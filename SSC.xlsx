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date1904="1"/>
  <mc:AlternateContent xmlns:mc="http://schemas.openxmlformats.org/markup-compatibility/2006">
    <mc:Choice Requires="x15">
      <x15ac:absPath xmlns:x15ac="http://schemas.microsoft.com/office/spreadsheetml/2010/11/ac" url="/Users/liou/Downloads/"/>
    </mc:Choice>
  </mc:AlternateContent>
  <xr:revisionPtr revIDLastSave="0" documentId="13_ncr:1_{562E4C1B-8CB8-1840-9D40-C75C3F0DF347}" xr6:coauthVersionLast="47" xr6:coauthVersionMax="47" xr10:uidLastSave="{00000000-0000-0000-0000-000000000000}"/>
  <bookViews>
    <workbookView xWindow="0" yWindow="960" windowWidth="16780" windowHeight="13940" xr2:uid="{00000000-000D-0000-FFFF-FFFF00000000}"/>
  </bookViews>
  <sheets>
    <sheet name="moment_rate" sheetId="1" r:id="rId1"/>
    <sheet name="Out2 for pureChar" sheetId="2" r:id="rId2"/>
    <sheet name="out2 for YC" sheetId="3" r:id="rId3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8" i="3" l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G7" i="3"/>
  <c r="H7" i="3"/>
  <c r="I8" i="1"/>
  <c r="G8" i="3" s="1"/>
  <c r="H8" i="3" s="1"/>
  <c r="I9" i="1"/>
  <c r="G9" i="3" s="1"/>
  <c r="H9" i="3" s="1"/>
  <c r="B23" i="1"/>
  <c r="B10" i="1"/>
  <c r="B24" i="1"/>
  <c r="V7" i="1"/>
  <c r="J7" i="1"/>
  <c r="L7" i="1" s="1"/>
  <c r="V8" i="1"/>
  <c r="J8" i="1"/>
  <c r="V9" i="1"/>
  <c r="L9" i="1" s="1"/>
  <c r="J9" i="1"/>
  <c r="B16" i="1"/>
  <c r="B18" i="1"/>
  <c r="D8" i="2"/>
  <c r="D9" i="2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G7" i="2"/>
  <c r="H7" i="2" s="1"/>
  <c r="G8" i="2"/>
  <c r="H8" i="2"/>
  <c r="G9" i="2"/>
  <c r="H9" i="2" s="1"/>
  <c r="Y7" i="1"/>
  <c r="Z7" i="1" s="1"/>
  <c r="AA7" i="1" s="1"/>
  <c r="Y8" i="1"/>
  <c r="Z8" i="1"/>
  <c r="AA8" i="1"/>
  <c r="Y9" i="1"/>
  <c r="Z9" i="1"/>
  <c r="AA9" i="1"/>
  <c r="K3" i="3"/>
  <c r="L3" i="3"/>
  <c r="M3" i="3" s="1"/>
  <c r="N3" i="3"/>
  <c r="O3" i="3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  <c r="AG3" i="3" s="1"/>
  <c r="AH3" i="3" s="1"/>
  <c r="AI3" i="3" s="1"/>
  <c r="AJ3" i="3" s="1"/>
  <c r="AK3" i="3" s="1"/>
  <c r="AL3" i="3" s="1"/>
  <c r="AM3" i="3" s="1"/>
  <c r="AN3" i="3" s="1"/>
  <c r="K3" i="2"/>
  <c r="L3" i="2" s="1"/>
  <c r="M3" i="2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M4" i="3"/>
  <c r="AM7" i="3"/>
  <c r="AM8" i="3"/>
  <c r="AM9" i="3"/>
  <c r="AM4" i="2"/>
  <c r="AM7" i="2" s="1"/>
  <c r="AL4" i="3"/>
  <c r="AL9" i="3" s="1"/>
  <c r="AL4" i="2"/>
  <c r="AL9" i="2" s="1"/>
  <c r="AL7" i="2"/>
  <c r="AL8" i="2"/>
  <c r="AK4" i="3"/>
  <c r="AK8" i="3" s="1"/>
  <c r="AK4" i="2"/>
  <c r="AK9" i="2" s="1"/>
  <c r="AJ4" i="3"/>
  <c r="AJ7" i="3" s="1"/>
  <c r="AJ9" i="3"/>
  <c r="AJ4" i="2"/>
  <c r="AJ7" i="2"/>
  <c r="AJ8" i="2"/>
  <c r="AJ9" i="2"/>
  <c r="AI4" i="3"/>
  <c r="AI7" i="3"/>
  <c r="AI8" i="3"/>
  <c r="AI9" i="3"/>
  <c r="AI4" i="2"/>
  <c r="AI7" i="2"/>
  <c r="AI8" i="2"/>
  <c r="AI9" i="2"/>
  <c r="AH4" i="3"/>
  <c r="AH8" i="3" s="1"/>
  <c r="AH7" i="3"/>
  <c r="AH4" i="2"/>
  <c r="AH7" i="2"/>
  <c r="AG4" i="3"/>
  <c r="AG7" i="3" s="1"/>
  <c r="AG9" i="3"/>
  <c r="AG4" i="2"/>
  <c r="AG9" i="2" s="1"/>
  <c r="AG8" i="2"/>
  <c r="AF4" i="3"/>
  <c r="AF4" i="2"/>
  <c r="AF7" i="2"/>
  <c r="AF8" i="2"/>
  <c r="AF9" i="2"/>
  <c r="AE4" i="3"/>
  <c r="AE9" i="3" s="1"/>
  <c r="AE7" i="3"/>
  <c r="AE8" i="3"/>
  <c r="AE4" i="2"/>
  <c r="AE7" i="2" s="1"/>
  <c r="AE8" i="2"/>
  <c r="AE9" i="2"/>
  <c r="AD4" i="3"/>
  <c r="AD7" i="3"/>
  <c r="AD8" i="3"/>
  <c r="AD9" i="3"/>
  <c r="AD4" i="2"/>
  <c r="AD9" i="2" s="1"/>
  <c r="AD7" i="2"/>
  <c r="AD8" i="2"/>
  <c r="AC4" i="3"/>
  <c r="AC8" i="3" s="1"/>
  <c r="AC7" i="3"/>
  <c r="AC4" i="2"/>
  <c r="AC7" i="2"/>
  <c r="AC8" i="2"/>
  <c r="AC9" i="2"/>
  <c r="AB4" i="3"/>
  <c r="AB7" i="3"/>
  <c r="AB4" i="2"/>
  <c r="AB7" i="2" s="1"/>
  <c r="AB8" i="2"/>
  <c r="AA4" i="3"/>
  <c r="AA4" i="2"/>
  <c r="AA8" i="2" s="1"/>
  <c r="AA7" i="2"/>
  <c r="AA9" i="2"/>
  <c r="Z4" i="3"/>
  <c r="Z7" i="3"/>
  <c r="Z8" i="3"/>
  <c r="Z9" i="3"/>
  <c r="Z4" i="2"/>
  <c r="Z7" i="2" s="1"/>
  <c r="Z8" i="2"/>
  <c r="Z9" i="2"/>
  <c r="Y4" i="3"/>
  <c r="Y7" i="3" s="1"/>
  <c r="Y4" i="2"/>
  <c r="Y7" i="2" s="1"/>
  <c r="X4" i="3"/>
  <c r="X7" i="3" s="1"/>
  <c r="X8" i="3"/>
  <c r="X9" i="3"/>
  <c r="X4" i="2"/>
  <c r="X7" i="2" s="1"/>
  <c r="X8" i="2"/>
  <c r="W4" i="3"/>
  <c r="W7" i="3" s="1"/>
  <c r="W9" i="3"/>
  <c r="W4" i="2"/>
  <c r="W9" i="2" s="1"/>
  <c r="V4" i="3"/>
  <c r="V7" i="3" s="1"/>
  <c r="V9" i="3"/>
  <c r="V4" i="2"/>
  <c r="V7" i="2"/>
  <c r="V8" i="2"/>
  <c r="V9" i="2"/>
  <c r="U4" i="3"/>
  <c r="U7" i="3"/>
  <c r="U8" i="3"/>
  <c r="U9" i="3"/>
  <c r="U4" i="2"/>
  <c r="U9" i="2" s="1"/>
  <c r="U7" i="2"/>
  <c r="U8" i="2"/>
  <c r="T4" i="3"/>
  <c r="T7" i="3"/>
  <c r="T4" i="2"/>
  <c r="T9" i="2" s="1"/>
  <c r="S4" i="3"/>
  <c r="S4" i="2"/>
  <c r="S7" i="2"/>
  <c r="S8" i="2"/>
  <c r="S9" i="2"/>
  <c r="R4" i="3"/>
  <c r="R7" i="3"/>
  <c r="R8" i="3"/>
  <c r="R9" i="3"/>
  <c r="R4" i="2"/>
  <c r="R9" i="2" s="1"/>
  <c r="Q4" i="3"/>
  <c r="Q7" i="3"/>
  <c r="Q8" i="3"/>
  <c r="Q9" i="3"/>
  <c r="Q4" i="2"/>
  <c r="Q7" i="2"/>
  <c r="Q8" i="2"/>
  <c r="Q9" i="2"/>
  <c r="P4" i="3"/>
  <c r="P9" i="3" s="1"/>
  <c r="P4" i="2"/>
  <c r="P9" i="2"/>
  <c r="O4" i="3"/>
  <c r="O7" i="3"/>
  <c r="O8" i="3"/>
  <c r="O9" i="3"/>
  <c r="O4" i="2"/>
  <c r="O7" i="2" s="1"/>
  <c r="N4" i="3"/>
  <c r="N4" i="2"/>
  <c r="N7" i="2"/>
  <c r="N8" i="2"/>
  <c r="N9" i="2"/>
  <c r="M4" i="3"/>
  <c r="M7" i="3"/>
  <c r="M8" i="3"/>
  <c r="M9" i="3"/>
  <c r="M4" i="2"/>
  <c r="M7" i="2"/>
  <c r="M8" i="2"/>
  <c r="M9" i="2"/>
  <c r="L4" i="3"/>
  <c r="L9" i="3" s="1"/>
  <c r="L7" i="3"/>
  <c r="L8" i="3"/>
  <c r="L4" i="2"/>
  <c r="L8" i="2" s="1"/>
  <c r="L9" i="2"/>
  <c r="K4" i="3"/>
  <c r="K7" i="3"/>
  <c r="K8" i="3"/>
  <c r="K9" i="3"/>
  <c r="K4" i="2"/>
  <c r="K8" i="2" s="1"/>
  <c r="J4" i="3"/>
  <c r="J9" i="3" s="1"/>
  <c r="J7" i="3"/>
  <c r="J8" i="3"/>
  <c r="J4" i="2"/>
  <c r="J9" i="2"/>
  <c r="I7" i="3"/>
  <c r="I8" i="3"/>
  <c r="I9" i="3"/>
  <c r="I7" i="2"/>
  <c r="I8" i="2"/>
  <c r="I9" i="2"/>
  <c r="AO4" i="2"/>
  <c r="AO7" i="2"/>
  <c r="AO8" i="2"/>
  <c r="AO9" i="2"/>
  <c r="AP4" i="2"/>
  <c r="AP7" i="2"/>
  <c r="AP8" i="2"/>
  <c r="AP9" i="2"/>
  <c r="A8" i="2"/>
  <c r="D8" i="1" s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9" i="2"/>
  <c r="D9" i="1" s="1"/>
  <c r="D7" i="1"/>
  <c r="B1" i="1"/>
  <c r="B2" i="1"/>
  <c r="S7" i="1"/>
  <c r="W7" i="1" s="1"/>
  <c r="R7" i="1"/>
  <c r="S8" i="1"/>
  <c r="W8" i="1" s="1"/>
  <c r="N7" i="1"/>
  <c r="R8" i="1"/>
  <c r="N8" i="1"/>
  <c r="X7" i="1"/>
  <c r="N9" i="1"/>
  <c r="R9" i="1"/>
  <c r="S9" i="1"/>
  <c r="W9" i="1" s="1"/>
  <c r="B25" i="1"/>
  <c r="P9" i="1"/>
  <c r="P7" i="1"/>
  <c r="C43" i="3" a="1"/>
  <c r="C43" i="2" a="1"/>
  <c r="C43" i="2" l="1"/>
  <c r="C43" i="3"/>
  <c r="A10" i="2"/>
  <c r="J8" i="2"/>
  <c r="J7" i="2"/>
  <c r="K9" i="2"/>
  <c r="K7" i="2"/>
  <c r="N8" i="3"/>
  <c r="N9" i="3"/>
  <c r="N7" i="3"/>
  <c r="L7" i="2"/>
  <c r="O9" i="2"/>
  <c r="O8" i="2"/>
  <c r="P8" i="3"/>
  <c r="P7" i="3"/>
  <c r="P8" i="2"/>
  <c r="P7" i="2"/>
  <c r="R8" i="2"/>
  <c r="S8" i="3"/>
  <c r="S9" i="3"/>
  <c r="S7" i="3"/>
  <c r="T7" i="2"/>
  <c r="R7" i="2"/>
  <c r="T8" i="2"/>
  <c r="T9" i="3"/>
  <c r="T8" i="3"/>
  <c r="W8" i="2"/>
  <c r="W7" i="2"/>
  <c r="X9" i="2"/>
  <c r="V8" i="3"/>
  <c r="W8" i="3"/>
  <c r="AA7" i="3"/>
  <c r="AA9" i="3"/>
  <c r="Y9" i="2"/>
  <c r="Y9" i="3"/>
  <c r="Y8" i="2"/>
  <c r="Y8" i="3"/>
  <c r="AA8" i="3"/>
  <c r="AB9" i="3"/>
  <c r="AB8" i="3"/>
  <c r="AC9" i="3"/>
  <c r="AB9" i="2"/>
  <c r="AF8" i="3"/>
  <c r="AF9" i="3"/>
  <c r="AF7" i="3"/>
  <c r="AG7" i="2"/>
  <c r="AH9" i="3"/>
  <c r="AH9" i="2"/>
  <c r="AH8" i="2"/>
  <c r="AG8" i="3"/>
  <c r="AK8" i="2"/>
  <c r="AK9" i="3"/>
  <c r="AJ8" i="3"/>
  <c r="AK7" i="2"/>
  <c r="AK7" i="3"/>
  <c r="AL8" i="3"/>
  <c r="AL7" i="3"/>
  <c r="AM9" i="2"/>
  <c r="AM8" i="2"/>
  <c r="AN4" i="2"/>
  <c r="AR3" i="2"/>
  <c r="AQ4" i="2"/>
  <c r="AQ7" i="2" s="1"/>
  <c r="AN9" i="2"/>
  <c r="AO3" i="3"/>
  <c r="AN4" i="3"/>
  <c r="AN7" i="3"/>
  <c r="AN8" i="2"/>
  <c r="AN7" i="2"/>
  <c r="L8" i="1"/>
  <c r="I10" i="1"/>
  <c r="D10" i="1" l="1"/>
  <c r="A11" i="2"/>
  <c r="AN8" i="3"/>
  <c r="AN9" i="3"/>
  <c r="AQ9" i="2"/>
  <c r="P8" i="1"/>
  <c r="AQ8" i="2"/>
  <c r="AP3" i="3"/>
  <c r="AO4" i="3"/>
  <c r="AO7" i="3"/>
  <c r="AO8" i="3"/>
  <c r="AO9" i="3"/>
  <c r="G10" i="3"/>
  <c r="I11" i="1"/>
  <c r="V10" i="1"/>
  <c r="J10" i="1"/>
  <c r="G10" i="2"/>
  <c r="Y10" i="1"/>
  <c r="Z10" i="1" s="1"/>
  <c r="S10" i="1"/>
  <c r="W10" i="1" s="1"/>
  <c r="R10" i="1"/>
  <c r="N10" i="1"/>
  <c r="AR4" i="2"/>
  <c r="AR8" i="2" s="1"/>
  <c r="H10" i="2" l="1"/>
  <c r="AR10" i="2"/>
  <c r="AQ10" i="2"/>
  <c r="AL10" i="2"/>
  <c r="AM10" i="2"/>
  <c r="AN10" i="2"/>
  <c r="AK10" i="2"/>
  <c r="AH10" i="2"/>
  <c r="AJ10" i="2"/>
  <c r="AG10" i="2"/>
  <c r="AI10" i="2"/>
  <c r="AF10" i="2"/>
  <c r="AD10" i="2"/>
  <c r="AE10" i="2"/>
  <c r="AC10" i="2"/>
  <c r="AB10" i="2"/>
  <c r="AA10" i="2"/>
  <c r="Y10" i="2"/>
  <c r="Z10" i="2"/>
  <c r="W10" i="2"/>
  <c r="X10" i="2"/>
  <c r="U10" i="2"/>
  <c r="T10" i="2"/>
  <c r="V10" i="2"/>
  <c r="R10" i="2"/>
  <c r="P10" i="2"/>
  <c r="S10" i="2"/>
  <c r="O10" i="2"/>
  <c r="Q10" i="2"/>
  <c r="N10" i="2"/>
  <c r="L10" i="2"/>
  <c r="J10" i="2"/>
  <c r="M10" i="2"/>
  <c r="K10" i="2"/>
  <c r="I10" i="2"/>
  <c r="AO10" i="2"/>
  <c r="AP10" i="2"/>
  <c r="AR7" i="2"/>
  <c r="AR9" i="2"/>
  <c r="L10" i="1"/>
  <c r="AA10" i="1"/>
  <c r="D11" i="1"/>
  <c r="A12" i="2"/>
  <c r="H10" i="3"/>
  <c r="AN10" i="3"/>
  <c r="AL10" i="3"/>
  <c r="AM10" i="3"/>
  <c r="AK10" i="3"/>
  <c r="AJ10" i="3"/>
  <c r="AI10" i="3"/>
  <c r="AH10" i="3"/>
  <c r="AF10" i="3"/>
  <c r="AG10" i="3"/>
  <c r="AE10" i="3"/>
  <c r="AB10" i="3"/>
  <c r="AD10" i="3"/>
  <c r="AA10" i="3"/>
  <c r="AC10" i="3"/>
  <c r="Y10" i="3"/>
  <c r="Z10" i="3"/>
  <c r="W10" i="3"/>
  <c r="T10" i="3"/>
  <c r="V10" i="3"/>
  <c r="X10" i="3"/>
  <c r="S10" i="3"/>
  <c r="U10" i="3"/>
  <c r="P10" i="3"/>
  <c r="Q10" i="3"/>
  <c r="R10" i="3"/>
  <c r="L10" i="3"/>
  <c r="N10" i="3"/>
  <c r="O10" i="3"/>
  <c r="J10" i="3"/>
  <c r="M10" i="3"/>
  <c r="K10" i="3"/>
  <c r="AP10" i="3"/>
  <c r="I10" i="3"/>
  <c r="AO10" i="3"/>
  <c r="AQ3" i="3"/>
  <c r="AP7" i="3"/>
  <c r="AP8" i="3"/>
  <c r="AP4" i="3"/>
  <c r="AP9" i="3" s="1"/>
  <c r="G11" i="3"/>
  <c r="I12" i="1"/>
  <c r="V11" i="1"/>
  <c r="J11" i="1"/>
  <c r="G11" i="2"/>
  <c r="Y11" i="1"/>
  <c r="Z11" i="1" s="1"/>
  <c r="S11" i="1"/>
  <c r="W11" i="1" s="1"/>
  <c r="R11" i="1"/>
  <c r="N11" i="1"/>
  <c r="D12" i="1" l="1"/>
  <c r="A13" i="2"/>
  <c r="P10" i="1"/>
  <c r="H11" i="2"/>
  <c r="AR11" i="2"/>
  <c r="AQ11" i="2"/>
  <c r="AM11" i="2"/>
  <c r="AL11" i="2"/>
  <c r="AK11" i="2"/>
  <c r="AN11" i="2"/>
  <c r="AI11" i="2"/>
  <c r="AH11" i="2"/>
  <c r="AJ11" i="2"/>
  <c r="AG11" i="2"/>
  <c r="AD11" i="2"/>
  <c r="AF11" i="2"/>
  <c r="AC11" i="2"/>
  <c r="AE11" i="2"/>
  <c r="AB11" i="2"/>
  <c r="AA11" i="2"/>
  <c r="Z11" i="2"/>
  <c r="U11" i="2"/>
  <c r="W11" i="2"/>
  <c r="Y11" i="2"/>
  <c r="X11" i="2"/>
  <c r="T11" i="2"/>
  <c r="V11" i="2"/>
  <c r="R11" i="2"/>
  <c r="S11" i="2"/>
  <c r="Q11" i="2"/>
  <c r="O11" i="2"/>
  <c r="P11" i="2"/>
  <c r="M11" i="2"/>
  <c r="N11" i="2"/>
  <c r="L11" i="2"/>
  <c r="K11" i="2"/>
  <c r="J11" i="2"/>
  <c r="I11" i="2"/>
  <c r="AP11" i="2"/>
  <c r="AO11" i="2"/>
  <c r="AR3" i="3"/>
  <c r="AQ4" i="3"/>
  <c r="AQ9" i="3" s="1"/>
  <c r="L11" i="1"/>
  <c r="P11" i="1" s="1"/>
  <c r="AA11" i="1"/>
  <c r="G12" i="3"/>
  <c r="I13" i="1"/>
  <c r="V12" i="1"/>
  <c r="J12" i="1"/>
  <c r="G12" i="2"/>
  <c r="Y12" i="1"/>
  <c r="Z12" i="1" s="1"/>
  <c r="S12" i="1"/>
  <c r="W12" i="1" s="1"/>
  <c r="R12" i="1"/>
  <c r="N12" i="1"/>
  <c r="H11" i="3"/>
  <c r="AN11" i="3"/>
  <c r="AL11" i="3"/>
  <c r="AK11" i="3"/>
  <c r="AM11" i="3"/>
  <c r="AH11" i="3"/>
  <c r="AJ11" i="3"/>
  <c r="AI11" i="3"/>
  <c r="AF11" i="3"/>
  <c r="AG11" i="3"/>
  <c r="AE11" i="3"/>
  <c r="AB11" i="3"/>
  <c r="AD11" i="3"/>
  <c r="AC11" i="3"/>
  <c r="AA11" i="3"/>
  <c r="W11" i="3"/>
  <c r="Z11" i="3"/>
  <c r="Y11" i="3"/>
  <c r="X11" i="3"/>
  <c r="V11" i="3"/>
  <c r="U11" i="3"/>
  <c r="T11" i="3"/>
  <c r="S11" i="3"/>
  <c r="P11" i="3"/>
  <c r="R11" i="3"/>
  <c r="O11" i="3"/>
  <c r="Q11" i="3"/>
  <c r="J11" i="3"/>
  <c r="M11" i="3"/>
  <c r="L11" i="3"/>
  <c r="N11" i="3"/>
  <c r="K11" i="3"/>
  <c r="AO11" i="3"/>
  <c r="AP11" i="3"/>
  <c r="I11" i="3"/>
  <c r="AQ10" i="3" l="1"/>
  <c r="A14" i="2"/>
  <c r="D13" i="1"/>
  <c r="H12" i="2"/>
  <c r="AR12" i="2"/>
  <c r="AN12" i="2"/>
  <c r="AM12" i="2"/>
  <c r="AQ12" i="2"/>
  <c r="AL12" i="2"/>
  <c r="AI12" i="2"/>
  <c r="AK12" i="2"/>
  <c r="AJ12" i="2"/>
  <c r="AH12" i="2"/>
  <c r="AG12" i="2"/>
  <c r="AF12" i="2"/>
  <c r="AD12" i="2"/>
  <c r="AC12" i="2"/>
  <c r="AE12" i="2"/>
  <c r="AB12" i="2"/>
  <c r="Z12" i="2"/>
  <c r="AA12" i="2"/>
  <c r="Y12" i="2"/>
  <c r="X12" i="2"/>
  <c r="U12" i="2"/>
  <c r="W12" i="2"/>
  <c r="R12" i="2"/>
  <c r="T12" i="2"/>
  <c r="V12" i="2"/>
  <c r="Q12" i="2"/>
  <c r="S12" i="2"/>
  <c r="M12" i="2"/>
  <c r="O12" i="2"/>
  <c r="P12" i="2"/>
  <c r="K12" i="2"/>
  <c r="N12" i="2"/>
  <c r="AP12" i="2"/>
  <c r="J12" i="2"/>
  <c r="L12" i="2"/>
  <c r="I12" i="2"/>
  <c r="AO12" i="2"/>
  <c r="AR9" i="3"/>
  <c r="AR4" i="3"/>
  <c r="AR11" i="3" s="1"/>
  <c r="AQ8" i="3"/>
  <c r="AQ11" i="3"/>
  <c r="G13" i="3"/>
  <c r="I14" i="1"/>
  <c r="J13" i="1"/>
  <c r="V13" i="1"/>
  <c r="G13" i="2"/>
  <c r="Y13" i="1"/>
  <c r="Z13" i="1" s="1"/>
  <c r="N13" i="1"/>
  <c r="S13" i="1"/>
  <c r="R13" i="1"/>
  <c r="H12" i="3"/>
  <c r="AR12" i="3"/>
  <c r="AQ12" i="3"/>
  <c r="AN12" i="3"/>
  <c r="AL12" i="3"/>
  <c r="AM12" i="3"/>
  <c r="AK12" i="3"/>
  <c r="AH12" i="3"/>
  <c r="AJ12" i="3"/>
  <c r="AI12" i="3"/>
  <c r="AG12" i="3"/>
  <c r="AE12" i="3"/>
  <c r="AF12" i="3"/>
  <c r="AD12" i="3"/>
  <c r="AC12" i="3"/>
  <c r="Y12" i="3"/>
  <c r="AA12" i="3"/>
  <c r="AB12" i="3"/>
  <c r="Z12" i="3"/>
  <c r="W12" i="3"/>
  <c r="V12" i="3"/>
  <c r="X12" i="3"/>
  <c r="U12" i="3"/>
  <c r="T12" i="3"/>
  <c r="S12" i="3"/>
  <c r="P12" i="3"/>
  <c r="R12" i="3"/>
  <c r="L12" i="3"/>
  <c r="O12" i="3"/>
  <c r="Q12" i="3"/>
  <c r="J12" i="3"/>
  <c r="M12" i="3"/>
  <c r="N12" i="3"/>
  <c r="K12" i="3"/>
  <c r="AP12" i="3"/>
  <c r="I12" i="3"/>
  <c r="AO12" i="3"/>
  <c r="AQ7" i="3"/>
  <c r="L12" i="1"/>
  <c r="AA12" i="1"/>
  <c r="AR10" i="3" l="1"/>
  <c r="H13" i="2"/>
  <c r="AR13" i="2"/>
  <c r="AN13" i="2"/>
  <c r="AM13" i="2"/>
  <c r="AQ13" i="2"/>
  <c r="AL13" i="2"/>
  <c r="AK13" i="2"/>
  <c r="AJ13" i="2"/>
  <c r="AI13" i="2"/>
  <c r="AH13" i="2"/>
  <c r="AD13" i="2"/>
  <c r="AG13" i="2"/>
  <c r="AF13" i="2"/>
  <c r="AC13" i="2"/>
  <c r="AE13" i="2"/>
  <c r="AB13" i="2"/>
  <c r="X13" i="2"/>
  <c r="AA13" i="2"/>
  <c r="Y13" i="2"/>
  <c r="Z13" i="2"/>
  <c r="U13" i="2"/>
  <c r="W13" i="2"/>
  <c r="T13" i="2"/>
  <c r="V13" i="2"/>
  <c r="Q13" i="2"/>
  <c r="R13" i="2"/>
  <c r="S13" i="2"/>
  <c r="O13" i="2"/>
  <c r="P13" i="2"/>
  <c r="K13" i="2"/>
  <c r="N13" i="2"/>
  <c r="M13" i="2"/>
  <c r="L13" i="2"/>
  <c r="AP13" i="2"/>
  <c r="J13" i="2"/>
  <c r="I13" i="2"/>
  <c r="AO13" i="2"/>
  <c r="L13" i="1"/>
  <c r="AA13" i="1"/>
  <c r="P12" i="1"/>
  <c r="I15" i="1"/>
  <c r="G14" i="3"/>
  <c r="J14" i="1"/>
  <c r="V14" i="1"/>
  <c r="G14" i="2"/>
  <c r="Y14" i="1"/>
  <c r="Z14" i="1" s="1"/>
  <c r="N14" i="1"/>
  <c r="S14" i="1"/>
  <c r="R14" i="1"/>
  <c r="A15" i="2"/>
  <c r="D14" i="1"/>
  <c r="H13" i="3"/>
  <c r="AR13" i="3"/>
  <c r="AQ13" i="3"/>
  <c r="AN13" i="3"/>
  <c r="AM13" i="3"/>
  <c r="AL13" i="3"/>
  <c r="AK13" i="3"/>
  <c r="AI13" i="3"/>
  <c r="AH13" i="3"/>
  <c r="AJ13" i="3"/>
  <c r="AG13" i="3"/>
  <c r="AD13" i="3"/>
  <c r="AE13" i="3"/>
  <c r="AF13" i="3"/>
  <c r="AC13" i="3"/>
  <c r="AA13" i="3"/>
  <c r="AB13" i="3"/>
  <c r="W13" i="3"/>
  <c r="Z13" i="3"/>
  <c r="U13" i="3"/>
  <c r="X13" i="3"/>
  <c r="Y13" i="3"/>
  <c r="T13" i="3"/>
  <c r="V13" i="3"/>
  <c r="R13" i="3"/>
  <c r="S13" i="3"/>
  <c r="Q13" i="3"/>
  <c r="P13" i="3"/>
  <c r="O13" i="3"/>
  <c r="M13" i="3"/>
  <c r="L13" i="3"/>
  <c r="N13" i="3"/>
  <c r="K13" i="3"/>
  <c r="AP13" i="3"/>
  <c r="J13" i="3"/>
  <c r="I13" i="3"/>
  <c r="AO13" i="3"/>
  <c r="AR8" i="3"/>
  <c r="AR7" i="3"/>
  <c r="W13" i="1"/>
  <c r="P13" i="1" l="1"/>
  <c r="W14" i="1"/>
  <c r="L14" i="1"/>
  <c r="AA14" i="1"/>
  <c r="H14" i="2"/>
  <c r="AN14" i="2"/>
  <c r="AR14" i="2"/>
  <c r="AM14" i="2"/>
  <c r="AQ14" i="2"/>
  <c r="AI14" i="2"/>
  <c r="AK14" i="2"/>
  <c r="AL14" i="2"/>
  <c r="AJ14" i="2"/>
  <c r="AH14" i="2"/>
  <c r="AF14" i="2"/>
  <c r="AG14" i="2"/>
  <c r="AE14" i="2"/>
  <c r="AD14" i="2"/>
  <c r="Z14" i="2"/>
  <c r="AC14" i="2"/>
  <c r="AB14" i="2"/>
  <c r="X14" i="2"/>
  <c r="AA14" i="2"/>
  <c r="W14" i="2"/>
  <c r="Y14" i="2"/>
  <c r="V14" i="2"/>
  <c r="U14" i="2"/>
  <c r="R14" i="2"/>
  <c r="S14" i="2"/>
  <c r="T14" i="2"/>
  <c r="Q14" i="2"/>
  <c r="M14" i="2"/>
  <c r="P14" i="2"/>
  <c r="K14" i="2"/>
  <c r="O14" i="2"/>
  <c r="N14" i="2"/>
  <c r="L14" i="2"/>
  <c r="I14" i="2"/>
  <c r="AO14" i="2"/>
  <c r="AP14" i="2"/>
  <c r="J14" i="2"/>
  <c r="H14" i="3"/>
  <c r="AR14" i="3"/>
  <c r="AQ14" i="3"/>
  <c r="AN14" i="3"/>
  <c r="AM14" i="3"/>
  <c r="AL14" i="3"/>
  <c r="AI14" i="3"/>
  <c r="AK14" i="3"/>
  <c r="AJ14" i="3"/>
  <c r="AH14" i="3"/>
  <c r="AG14" i="3"/>
  <c r="AE14" i="3"/>
  <c r="AD14" i="3"/>
  <c r="AF14" i="3"/>
  <c r="AC14" i="3"/>
  <c r="AA14" i="3"/>
  <c r="AB14" i="3"/>
  <c r="Z14" i="3"/>
  <c r="Y14" i="3"/>
  <c r="X14" i="3"/>
  <c r="U14" i="3"/>
  <c r="W14" i="3"/>
  <c r="R14" i="3"/>
  <c r="T14" i="3"/>
  <c r="V14" i="3"/>
  <c r="Q14" i="3"/>
  <c r="S14" i="3"/>
  <c r="M14" i="3"/>
  <c r="P14" i="3"/>
  <c r="O14" i="3"/>
  <c r="K14" i="3"/>
  <c r="L14" i="3"/>
  <c r="N14" i="3"/>
  <c r="AP14" i="3"/>
  <c r="J14" i="3"/>
  <c r="I14" i="3"/>
  <c r="AO14" i="3"/>
  <c r="A16" i="2"/>
  <c r="D15" i="1"/>
  <c r="G15" i="3"/>
  <c r="I16" i="1"/>
  <c r="V15" i="1"/>
  <c r="J15" i="1"/>
  <c r="G15" i="2"/>
  <c r="Y15" i="1"/>
  <c r="Z15" i="1" s="1"/>
  <c r="S15" i="1"/>
  <c r="N15" i="1"/>
  <c r="R15" i="1"/>
  <c r="A17" i="2" l="1"/>
  <c r="D16" i="1"/>
  <c r="G16" i="3"/>
  <c r="I17" i="1"/>
  <c r="V16" i="1"/>
  <c r="J16" i="1"/>
  <c r="G16" i="2"/>
  <c r="Y16" i="1"/>
  <c r="Z16" i="1" s="1"/>
  <c r="S16" i="1"/>
  <c r="N16" i="1"/>
  <c r="R16" i="1"/>
  <c r="H15" i="2"/>
  <c r="AR15" i="2"/>
  <c r="AN15" i="2"/>
  <c r="AQ15" i="2"/>
  <c r="AM15" i="2"/>
  <c r="AL15" i="2"/>
  <c r="AJ15" i="2"/>
  <c r="AK15" i="2"/>
  <c r="AI15" i="2"/>
  <c r="AH15" i="2"/>
  <c r="AF15" i="2"/>
  <c r="AG15" i="2"/>
  <c r="AE15" i="2"/>
  <c r="AD15" i="2"/>
  <c r="AC15" i="2"/>
  <c r="AB15" i="2"/>
  <c r="X15" i="2"/>
  <c r="AA15" i="2"/>
  <c r="Z15" i="2"/>
  <c r="Y15" i="2"/>
  <c r="V15" i="2"/>
  <c r="W15" i="2"/>
  <c r="U15" i="2"/>
  <c r="S15" i="2"/>
  <c r="T15" i="2"/>
  <c r="R15" i="2"/>
  <c r="Q15" i="2"/>
  <c r="P15" i="2"/>
  <c r="N15" i="2"/>
  <c r="O15" i="2"/>
  <c r="M15" i="2"/>
  <c r="L15" i="2"/>
  <c r="AO15" i="2"/>
  <c r="K15" i="2"/>
  <c r="J15" i="2"/>
  <c r="I15" i="2"/>
  <c r="AP15" i="2"/>
  <c r="H15" i="3"/>
  <c r="AR15" i="3"/>
  <c r="AN15" i="3"/>
  <c r="AQ15" i="3"/>
  <c r="AM15" i="3"/>
  <c r="AL15" i="3"/>
  <c r="AI15" i="3"/>
  <c r="AK15" i="3"/>
  <c r="AJ15" i="3"/>
  <c r="AH15" i="3"/>
  <c r="AG15" i="3"/>
  <c r="AE15" i="3"/>
  <c r="AD15" i="3"/>
  <c r="AF15" i="3"/>
  <c r="AA15" i="3"/>
  <c r="AC15" i="3"/>
  <c r="AB15" i="3"/>
  <c r="Z15" i="3"/>
  <c r="X15" i="3"/>
  <c r="Y15" i="3"/>
  <c r="U15" i="3"/>
  <c r="W15" i="3"/>
  <c r="R15" i="3"/>
  <c r="T15" i="3"/>
  <c r="V15" i="3"/>
  <c r="Q15" i="3"/>
  <c r="S15" i="3"/>
  <c r="O15" i="3"/>
  <c r="P15" i="3"/>
  <c r="K15" i="3"/>
  <c r="M15" i="3"/>
  <c r="L15" i="3"/>
  <c r="N15" i="3"/>
  <c r="I15" i="3"/>
  <c r="AO15" i="3"/>
  <c r="AP15" i="3"/>
  <c r="J15" i="3"/>
  <c r="L15" i="1"/>
  <c r="AA15" i="1"/>
  <c r="W15" i="1"/>
  <c r="P14" i="1"/>
  <c r="L16" i="1" l="1"/>
  <c r="AA16" i="1"/>
  <c r="H16" i="2"/>
  <c r="AQ16" i="2"/>
  <c r="AR16" i="2"/>
  <c r="AN16" i="2"/>
  <c r="AM16" i="2"/>
  <c r="AJ16" i="2"/>
  <c r="AK16" i="2"/>
  <c r="AL16" i="2"/>
  <c r="AF16" i="2"/>
  <c r="AI16" i="2"/>
  <c r="AH16" i="2"/>
  <c r="AG16" i="2"/>
  <c r="AE16" i="2"/>
  <c r="AD16" i="2"/>
  <c r="AC16" i="2"/>
  <c r="AB16" i="2"/>
  <c r="AA16" i="2"/>
  <c r="Z16" i="2"/>
  <c r="Y16" i="2"/>
  <c r="X16" i="2"/>
  <c r="V16" i="2"/>
  <c r="W16" i="2"/>
  <c r="S16" i="2"/>
  <c r="U16" i="2"/>
  <c r="T16" i="2"/>
  <c r="R16" i="2"/>
  <c r="N16" i="2"/>
  <c r="Q16" i="2"/>
  <c r="O16" i="2"/>
  <c r="P16" i="2"/>
  <c r="M16" i="2"/>
  <c r="L16" i="2"/>
  <c r="I16" i="2"/>
  <c r="AO16" i="2"/>
  <c r="K16" i="2"/>
  <c r="J16" i="2"/>
  <c r="AP16" i="2"/>
  <c r="I18" i="1"/>
  <c r="G17" i="3"/>
  <c r="V17" i="1"/>
  <c r="J17" i="1"/>
  <c r="G17" i="2"/>
  <c r="Y17" i="1"/>
  <c r="Z17" i="1" s="1"/>
  <c r="N17" i="1"/>
  <c r="S17" i="1"/>
  <c r="W17" i="1" s="1"/>
  <c r="R17" i="1"/>
  <c r="H16" i="3"/>
  <c r="AR16" i="3"/>
  <c r="AN16" i="3"/>
  <c r="AM16" i="3"/>
  <c r="AQ16" i="3"/>
  <c r="AL16" i="3"/>
  <c r="AI16" i="3"/>
  <c r="AK16" i="3"/>
  <c r="AJ16" i="3"/>
  <c r="AG16" i="3"/>
  <c r="AH16" i="3"/>
  <c r="AF16" i="3"/>
  <c r="AE16" i="3"/>
  <c r="AC16" i="3"/>
  <c r="AD16" i="3"/>
  <c r="AB16" i="3"/>
  <c r="Z16" i="3"/>
  <c r="AA16" i="3"/>
  <c r="X16" i="3"/>
  <c r="Y16" i="3"/>
  <c r="W16" i="3"/>
  <c r="V16" i="3"/>
  <c r="R16" i="3"/>
  <c r="T16" i="3"/>
  <c r="U16" i="3"/>
  <c r="O16" i="3"/>
  <c r="Q16" i="3"/>
  <c r="S16" i="3"/>
  <c r="P16" i="3"/>
  <c r="M16" i="3"/>
  <c r="N16" i="3"/>
  <c r="K16" i="3"/>
  <c r="L16" i="3"/>
  <c r="I16" i="3"/>
  <c r="J16" i="3"/>
  <c r="AO16" i="3"/>
  <c r="AP16" i="3"/>
  <c r="W16" i="1"/>
  <c r="P15" i="1"/>
  <c r="A18" i="2"/>
  <c r="D17" i="1"/>
  <c r="A19" i="2" l="1"/>
  <c r="D18" i="1"/>
  <c r="G18" i="3"/>
  <c r="I19" i="1"/>
  <c r="J18" i="1"/>
  <c r="V18" i="1"/>
  <c r="Y18" i="1"/>
  <c r="Z18" i="1" s="1"/>
  <c r="G18" i="2"/>
  <c r="S18" i="1"/>
  <c r="N18" i="1"/>
  <c r="R18" i="1"/>
  <c r="H17" i="2"/>
  <c r="AR17" i="2"/>
  <c r="AQ17" i="2"/>
  <c r="AN17" i="2"/>
  <c r="AM17" i="2"/>
  <c r="AJ17" i="2"/>
  <c r="AK17" i="2"/>
  <c r="AL17" i="2"/>
  <c r="AI17" i="2"/>
  <c r="AF17" i="2"/>
  <c r="AH17" i="2"/>
  <c r="AG17" i="2"/>
  <c r="AE17" i="2"/>
  <c r="AB17" i="2"/>
  <c r="AD17" i="2"/>
  <c r="AC17" i="2"/>
  <c r="AA17" i="2"/>
  <c r="Z17" i="2"/>
  <c r="Y17" i="2"/>
  <c r="X17" i="2"/>
  <c r="V17" i="2"/>
  <c r="W17" i="2"/>
  <c r="S17" i="2"/>
  <c r="U17" i="2"/>
  <c r="T17" i="2"/>
  <c r="R17" i="2"/>
  <c r="P17" i="2"/>
  <c r="N17" i="2"/>
  <c r="Q17" i="2"/>
  <c r="O17" i="2"/>
  <c r="I17" i="2"/>
  <c r="M17" i="2"/>
  <c r="L17" i="2"/>
  <c r="J17" i="2"/>
  <c r="AO17" i="2"/>
  <c r="K17" i="2"/>
  <c r="AP17" i="2"/>
  <c r="L17" i="1"/>
  <c r="AA17" i="1"/>
  <c r="H17" i="3"/>
  <c r="AR17" i="3"/>
  <c r="AN17" i="3"/>
  <c r="AQ17" i="3"/>
  <c r="AM17" i="3"/>
  <c r="AJ17" i="3"/>
  <c r="AL17" i="3"/>
  <c r="AK17" i="3"/>
  <c r="AG17" i="3"/>
  <c r="AI17" i="3"/>
  <c r="AH17" i="3"/>
  <c r="AF17" i="3"/>
  <c r="AE17" i="3"/>
  <c r="AA17" i="3"/>
  <c r="AC17" i="3"/>
  <c r="AD17" i="3"/>
  <c r="AB17" i="3"/>
  <c r="Z17" i="3"/>
  <c r="X17" i="3"/>
  <c r="Y17" i="3"/>
  <c r="V17" i="3"/>
  <c r="W17" i="3"/>
  <c r="T17" i="3"/>
  <c r="U17" i="3"/>
  <c r="S17" i="3"/>
  <c r="R17" i="3"/>
  <c r="Q17" i="3"/>
  <c r="P17" i="3"/>
  <c r="O17" i="3"/>
  <c r="N17" i="3"/>
  <c r="I17" i="3"/>
  <c r="K17" i="3"/>
  <c r="M17" i="3"/>
  <c r="L17" i="3"/>
  <c r="AP17" i="3"/>
  <c r="J17" i="3"/>
  <c r="AO17" i="3"/>
  <c r="P16" i="1"/>
  <c r="W18" i="1" l="1"/>
  <c r="H18" i="2"/>
  <c r="AQ18" i="2"/>
  <c r="AR18" i="2"/>
  <c r="AN18" i="2"/>
  <c r="AM18" i="2"/>
  <c r="AL18" i="2"/>
  <c r="AJ18" i="2"/>
  <c r="AK18" i="2"/>
  <c r="AI18" i="2"/>
  <c r="AH18" i="2"/>
  <c r="AF18" i="2"/>
  <c r="AG18" i="2"/>
  <c r="AB18" i="2"/>
  <c r="AE18" i="2"/>
  <c r="AD18" i="2"/>
  <c r="AA18" i="2"/>
  <c r="AC18" i="2"/>
  <c r="Z18" i="2"/>
  <c r="Y18" i="2"/>
  <c r="X18" i="2"/>
  <c r="W18" i="2"/>
  <c r="S18" i="2"/>
  <c r="U18" i="2"/>
  <c r="V18" i="2"/>
  <c r="P18" i="2"/>
  <c r="T18" i="2"/>
  <c r="R18" i="2"/>
  <c r="L18" i="2"/>
  <c r="N18" i="2"/>
  <c r="Q18" i="2"/>
  <c r="O18" i="2"/>
  <c r="J18" i="2"/>
  <c r="K18" i="2"/>
  <c r="M18" i="2"/>
  <c r="I18" i="2"/>
  <c r="AO18" i="2"/>
  <c r="AP18" i="2"/>
  <c r="L18" i="1"/>
  <c r="AA18" i="1"/>
  <c r="G19" i="3"/>
  <c r="I20" i="1"/>
  <c r="V19" i="1"/>
  <c r="J19" i="1"/>
  <c r="G19" i="2"/>
  <c r="Y19" i="1"/>
  <c r="Z19" i="1" s="1"/>
  <c r="S19" i="1"/>
  <c r="W19" i="1" s="1"/>
  <c r="N19" i="1"/>
  <c r="R19" i="1"/>
  <c r="H18" i="3"/>
  <c r="AR18" i="3"/>
  <c r="AQ18" i="3"/>
  <c r="AN18" i="3"/>
  <c r="AM18" i="3"/>
  <c r="AL18" i="3"/>
  <c r="AK18" i="3"/>
  <c r="AJ18" i="3"/>
  <c r="AG18" i="3"/>
  <c r="AI18" i="3"/>
  <c r="AF18" i="3"/>
  <c r="AH18" i="3"/>
  <c r="AE18" i="3"/>
  <c r="AC18" i="3"/>
  <c r="AD18" i="3"/>
  <c r="AB18" i="3"/>
  <c r="AA18" i="3"/>
  <c r="Z18" i="3"/>
  <c r="Y18" i="3"/>
  <c r="V18" i="3"/>
  <c r="X18" i="3"/>
  <c r="W18" i="3"/>
  <c r="T18" i="3"/>
  <c r="U18" i="3"/>
  <c r="S18" i="3"/>
  <c r="R18" i="3"/>
  <c r="O18" i="3"/>
  <c r="N18" i="3"/>
  <c r="P18" i="3"/>
  <c r="Q18" i="3"/>
  <c r="L18" i="3"/>
  <c r="M18" i="3"/>
  <c r="I18" i="3"/>
  <c r="AP18" i="3"/>
  <c r="J18" i="3"/>
  <c r="AO18" i="3"/>
  <c r="K18" i="3"/>
  <c r="P17" i="1"/>
  <c r="D19" i="1"/>
  <c r="A20" i="2"/>
  <c r="P18" i="1" l="1"/>
  <c r="D20" i="1"/>
  <c r="A21" i="2"/>
  <c r="H19" i="2"/>
  <c r="AQ19" i="2"/>
  <c r="AR19" i="2"/>
  <c r="AN19" i="2"/>
  <c r="AL19" i="2"/>
  <c r="AK19" i="2"/>
  <c r="AM19" i="2"/>
  <c r="AH19" i="2"/>
  <c r="AI19" i="2"/>
  <c r="AJ19" i="2"/>
  <c r="AG19" i="2"/>
  <c r="AF19" i="2"/>
  <c r="AB19" i="2"/>
  <c r="AE19" i="2"/>
  <c r="AD19" i="2"/>
  <c r="AA19" i="2"/>
  <c r="AC19" i="2"/>
  <c r="Z19" i="2"/>
  <c r="Y19" i="2"/>
  <c r="W19" i="2"/>
  <c r="X19" i="2"/>
  <c r="U19" i="2"/>
  <c r="V19" i="2"/>
  <c r="T19" i="2"/>
  <c r="S19" i="2"/>
  <c r="R19" i="2"/>
  <c r="P19" i="2"/>
  <c r="Q19" i="2"/>
  <c r="O19" i="2"/>
  <c r="M19" i="2"/>
  <c r="L19" i="2"/>
  <c r="N19" i="2"/>
  <c r="J19" i="2"/>
  <c r="I19" i="2"/>
  <c r="AO19" i="2"/>
  <c r="K19" i="2"/>
  <c r="AP19" i="2"/>
  <c r="H19" i="3"/>
  <c r="AR19" i="3"/>
  <c r="AQ19" i="3"/>
  <c r="AN19" i="3"/>
  <c r="AM19" i="3"/>
  <c r="AL19" i="3"/>
  <c r="AJ19" i="3"/>
  <c r="AK19" i="3"/>
  <c r="AG19" i="3"/>
  <c r="AI19" i="3"/>
  <c r="AF19" i="3"/>
  <c r="AH19" i="3"/>
  <c r="AB19" i="3"/>
  <c r="AE19" i="3"/>
  <c r="AC19" i="3"/>
  <c r="AD19" i="3"/>
  <c r="AA19" i="3"/>
  <c r="Y19" i="3"/>
  <c r="Z19" i="3"/>
  <c r="T19" i="3"/>
  <c r="V19" i="3"/>
  <c r="X19" i="3"/>
  <c r="W19" i="3"/>
  <c r="U19" i="3"/>
  <c r="S19" i="3"/>
  <c r="R19" i="3"/>
  <c r="Q19" i="3"/>
  <c r="P19" i="3"/>
  <c r="O19" i="3"/>
  <c r="N19" i="3"/>
  <c r="L19" i="3"/>
  <c r="I19" i="3"/>
  <c r="K19" i="3"/>
  <c r="M19" i="3"/>
  <c r="J19" i="3"/>
  <c r="AP19" i="3"/>
  <c r="AO19" i="3"/>
  <c r="L19" i="1"/>
  <c r="P19" i="1" s="1"/>
  <c r="AA19" i="1"/>
  <c r="G20" i="3"/>
  <c r="I21" i="1"/>
  <c r="V20" i="1"/>
  <c r="J20" i="1"/>
  <c r="Y20" i="1"/>
  <c r="Z20" i="1" s="1"/>
  <c r="G20" i="2"/>
  <c r="S20" i="1"/>
  <c r="R20" i="1"/>
  <c r="N20" i="1"/>
  <c r="L20" i="1" l="1"/>
  <c r="AA20" i="1"/>
  <c r="G21" i="3"/>
  <c r="I22" i="1"/>
  <c r="J21" i="1"/>
  <c r="V21" i="1"/>
  <c r="G21" i="2"/>
  <c r="Y21" i="1"/>
  <c r="Z21" i="1" s="1"/>
  <c r="S21" i="1"/>
  <c r="R21" i="1"/>
  <c r="N21" i="1"/>
  <c r="H20" i="3"/>
  <c r="AR20" i="3"/>
  <c r="AQ20" i="3"/>
  <c r="AN20" i="3"/>
  <c r="AL20" i="3"/>
  <c r="AM20" i="3"/>
  <c r="AK20" i="3"/>
  <c r="AJ20" i="3"/>
  <c r="AI20" i="3"/>
  <c r="AH20" i="3"/>
  <c r="AG20" i="3"/>
  <c r="AF20" i="3"/>
  <c r="AD20" i="3"/>
  <c r="AB20" i="3"/>
  <c r="AE20" i="3"/>
  <c r="AC20" i="3"/>
  <c r="AA20" i="3"/>
  <c r="Y20" i="3"/>
  <c r="Z20" i="3"/>
  <c r="W20" i="3"/>
  <c r="X20" i="3"/>
  <c r="V20" i="3"/>
  <c r="U20" i="3"/>
  <c r="S20" i="3"/>
  <c r="T20" i="3"/>
  <c r="P20" i="3"/>
  <c r="R20" i="3"/>
  <c r="Q20" i="3"/>
  <c r="L20" i="3"/>
  <c r="O20" i="3"/>
  <c r="N20" i="3"/>
  <c r="M20" i="3"/>
  <c r="J20" i="3"/>
  <c r="K20" i="3"/>
  <c r="I20" i="3"/>
  <c r="AP20" i="3"/>
  <c r="AO20" i="3"/>
  <c r="D21" i="1"/>
  <c r="A22" i="2"/>
  <c r="H20" i="2"/>
  <c r="AR20" i="2"/>
  <c r="AQ20" i="2"/>
  <c r="AN20" i="2"/>
  <c r="AL20" i="2"/>
  <c r="AK20" i="2"/>
  <c r="AM20" i="2"/>
  <c r="AH20" i="2"/>
  <c r="AI20" i="2"/>
  <c r="AJ20" i="2"/>
  <c r="AG20" i="2"/>
  <c r="AF20" i="2"/>
  <c r="AD20" i="2"/>
  <c r="AE20" i="2"/>
  <c r="AC20" i="2"/>
  <c r="AA20" i="2"/>
  <c r="AB20" i="2"/>
  <c r="Z20" i="2"/>
  <c r="Y20" i="2"/>
  <c r="W20" i="2"/>
  <c r="X20" i="2"/>
  <c r="U20" i="2"/>
  <c r="T20" i="2"/>
  <c r="V20" i="2"/>
  <c r="S20" i="2"/>
  <c r="P20" i="2"/>
  <c r="R20" i="2"/>
  <c r="Q20" i="2"/>
  <c r="O20" i="2"/>
  <c r="M20" i="2"/>
  <c r="L20" i="2"/>
  <c r="J20" i="2"/>
  <c r="N20" i="2"/>
  <c r="I20" i="2"/>
  <c r="AO20" i="2"/>
  <c r="K20" i="2"/>
  <c r="AP20" i="2"/>
  <c r="W20" i="1"/>
  <c r="H21" i="2" l="1"/>
  <c r="AR21" i="2"/>
  <c r="AQ21" i="2"/>
  <c r="AN21" i="2"/>
  <c r="AM21" i="2"/>
  <c r="AL21" i="2"/>
  <c r="AK21" i="2"/>
  <c r="AI21" i="2"/>
  <c r="AH21" i="2"/>
  <c r="AJ21" i="2"/>
  <c r="AG21" i="2"/>
  <c r="AD21" i="2"/>
  <c r="AF21" i="2"/>
  <c r="AC21" i="2"/>
  <c r="AE21" i="2"/>
  <c r="AA21" i="2"/>
  <c r="AB21" i="2"/>
  <c r="Z21" i="2"/>
  <c r="U21" i="2"/>
  <c r="Y21" i="2"/>
  <c r="W21" i="2"/>
  <c r="X21" i="2"/>
  <c r="T21" i="2"/>
  <c r="V21" i="2"/>
  <c r="R21" i="2"/>
  <c r="S21" i="2"/>
  <c r="Q21" i="2"/>
  <c r="O21" i="2"/>
  <c r="P21" i="2"/>
  <c r="M21" i="2"/>
  <c r="L21" i="2"/>
  <c r="N21" i="2"/>
  <c r="K21" i="2"/>
  <c r="J21" i="2"/>
  <c r="I21" i="2"/>
  <c r="AP21" i="2"/>
  <c r="AO21" i="2"/>
  <c r="H21" i="3"/>
  <c r="AR21" i="3"/>
  <c r="AQ21" i="3"/>
  <c r="AN21" i="3"/>
  <c r="AL21" i="3"/>
  <c r="AK21" i="3"/>
  <c r="AM21" i="3"/>
  <c r="AJ21" i="3"/>
  <c r="AH21" i="3"/>
  <c r="AI21" i="3"/>
  <c r="AG21" i="3"/>
  <c r="AF21" i="3"/>
  <c r="AD21" i="3"/>
  <c r="AB21" i="3"/>
  <c r="AE21" i="3"/>
  <c r="AC21" i="3"/>
  <c r="W21" i="3"/>
  <c r="AA21" i="3"/>
  <c r="Y21" i="3"/>
  <c r="Z21" i="3"/>
  <c r="X21" i="3"/>
  <c r="V21" i="3"/>
  <c r="U21" i="3"/>
  <c r="T21" i="3"/>
  <c r="P21" i="3"/>
  <c r="R21" i="3"/>
  <c r="S21" i="3"/>
  <c r="Q21" i="3"/>
  <c r="O21" i="3"/>
  <c r="N21" i="3"/>
  <c r="M21" i="3"/>
  <c r="L21" i="3"/>
  <c r="J21" i="3"/>
  <c r="K21" i="3"/>
  <c r="AO21" i="3"/>
  <c r="I21" i="3"/>
  <c r="AP21" i="3"/>
  <c r="D22" i="1"/>
  <c r="A23" i="2"/>
  <c r="L21" i="1"/>
  <c r="AA21" i="1"/>
  <c r="I23" i="1"/>
  <c r="G22" i="3"/>
  <c r="V22" i="1"/>
  <c r="J22" i="1"/>
  <c r="G22" i="2"/>
  <c r="Y22" i="1"/>
  <c r="Z22" i="1" s="1"/>
  <c r="S22" i="1"/>
  <c r="W22" i="1" s="1"/>
  <c r="N22" i="1"/>
  <c r="R22" i="1"/>
  <c r="P20" i="1"/>
  <c r="W21" i="1"/>
  <c r="A24" i="2" l="1"/>
  <c r="D23" i="1"/>
  <c r="P21" i="1"/>
  <c r="H22" i="2"/>
  <c r="AR22" i="2"/>
  <c r="AQ22" i="2"/>
  <c r="AN22" i="2"/>
  <c r="AM22" i="2"/>
  <c r="AL22" i="2"/>
  <c r="AI22" i="2"/>
  <c r="AK22" i="2"/>
  <c r="AJ22" i="2"/>
  <c r="AG22" i="2"/>
  <c r="AH22" i="2"/>
  <c r="AF22" i="2"/>
  <c r="AC22" i="2"/>
  <c r="AD22" i="2"/>
  <c r="AE22" i="2"/>
  <c r="AB22" i="2"/>
  <c r="Z22" i="2"/>
  <c r="AA22" i="2"/>
  <c r="Y22" i="2"/>
  <c r="X22" i="2"/>
  <c r="U22" i="2"/>
  <c r="W22" i="2"/>
  <c r="V22" i="2"/>
  <c r="R22" i="2"/>
  <c r="T22" i="2"/>
  <c r="Q22" i="2"/>
  <c r="S22" i="2"/>
  <c r="P22" i="2"/>
  <c r="M22" i="2"/>
  <c r="O22" i="2"/>
  <c r="K22" i="2"/>
  <c r="L22" i="2"/>
  <c r="N22" i="2"/>
  <c r="AP22" i="2"/>
  <c r="J22" i="2"/>
  <c r="I22" i="2"/>
  <c r="AO22" i="2"/>
  <c r="L22" i="1"/>
  <c r="P22" i="1" s="1"/>
  <c r="AA22" i="1"/>
  <c r="H22" i="3"/>
  <c r="AR22" i="3"/>
  <c r="AQ22" i="3"/>
  <c r="AN22" i="3"/>
  <c r="AL22" i="3"/>
  <c r="AM22" i="3"/>
  <c r="AK22" i="3"/>
  <c r="AI22" i="3"/>
  <c r="AH22" i="3"/>
  <c r="AJ22" i="3"/>
  <c r="AG22" i="3"/>
  <c r="AF22" i="3"/>
  <c r="AE22" i="3"/>
  <c r="AD22" i="3"/>
  <c r="AC22" i="3"/>
  <c r="AB22" i="3"/>
  <c r="AA22" i="3"/>
  <c r="Z22" i="3"/>
  <c r="Y22" i="3"/>
  <c r="W22" i="3"/>
  <c r="X22" i="3"/>
  <c r="V22" i="3"/>
  <c r="U22" i="3"/>
  <c r="T22" i="3"/>
  <c r="P22" i="3"/>
  <c r="R22" i="3"/>
  <c r="S22" i="3"/>
  <c r="Q22" i="3"/>
  <c r="L22" i="3"/>
  <c r="O22" i="3"/>
  <c r="N22" i="3"/>
  <c r="M22" i="3"/>
  <c r="J22" i="3"/>
  <c r="K22" i="3"/>
  <c r="I22" i="3"/>
  <c r="AP22" i="3"/>
  <c r="AO22" i="3"/>
  <c r="G23" i="3"/>
  <c r="I24" i="1"/>
  <c r="V23" i="1"/>
  <c r="J23" i="1"/>
  <c r="G23" i="2"/>
  <c r="Y23" i="1"/>
  <c r="Z23" i="1" s="1"/>
  <c r="R23" i="1"/>
  <c r="S23" i="1"/>
  <c r="W23" i="1" s="1"/>
  <c r="N23" i="1"/>
  <c r="I25" i="1" l="1"/>
  <c r="G24" i="3"/>
  <c r="J24" i="1"/>
  <c r="V24" i="1"/>
  <c r="G24" i="2"/>
  <c r="Y24" i="1"/>
  <c r="S24" i="1"/>
  <c r="W24" i="1" s="1"/>
  <c r="N24" i="1"/>
  <c r="R24" i="1"/>
  <c r="H23" i="3"/>
  <c r="AR23" i="3"/>
  <c r="AQ23" i="3"/>
  <c r="AN23" i="3"/>
  <c r="AM23" i="3"/>
  <c r="AL23" i="3"/>
  <c r="AK23" i="3"/>
  <c r="AI23" i="3"/>
  <c r="AH23" i="3"/>
  <c r="AJ23" i="3"/>
  <c r="AG23" i="3"/>
  <c r="AE23" i="3"/>
  <c r="AD23" i="3"/>
  <c r="AF23" i="3"/>
  <c r="AC23" i="3"/>
  <c r="AA23" i="3"/>
  <c r="AB23" i="3"/>
  <c r="Z23" i="3"/>
  <c r="W23" i="3"/>
  <c r="Y23" i="3"/>
  <c r="U23" i="3"/>
  <c r="X23" i="3"/>
  <c r="V23" i="3"/>
  <c r="T23" i="3"/>
  <c r="R23" i="3"/>
  <c r="S23" i="3"/>
  <c r="Q23" i="3"/>
  <c r="P23" i="3"/>
  <c r="O23" i="3"/>
  <c r="M23" i="3"/>
  <c r="L23" i="3"/>
  <c r="N23" i="3"/>
  <c r="K23" i="3"/>
  <c r="J23" i="3"/>
  <c r="I23" i="3"/>
  <c r="AP23" i="3"/>
  <c r="AO23" i="3"/>
  <c r="H23" i="2"/>
  <c r="AR23" i="2"/>
  <c r="AN23" i="2"/>
  <c r="AQ23" i="2"/>
  <c r="AM23" i="2"/>
  <c r="AL23" i="2"/>
  <c r="AK23" i="2"/>
  <c r="AJ23" i="2"/>
  <c r="AI23" i="2"/>
  <c r="AH23" i="2"/>
  <c r="AD23" i="2"/>
  <c r="AG23" i="2"/>
  <c r="AF23" i="2"/>
  <c r="AC23" i="2"/>
  <c r="AE23" i="2"/>
  <c r="AB23" i="2"/>
  <c r="X23" i="2"/>
  <c r="Z23" i="2"/>
  <c r="AA23" i="2"/>
  <c r="Y23" i="2"/>
  <c r="V23" i="2"/>
  <c r="W23" i="2"/>
  <c r="T23" i="2"/>
  <c r="U23" i="2"/>
  <c r="R23" i="2"/>
  <c r="Q23" i="2"/>
  <c r="S23" i="2"/>
  <c r="P23" i="2"/>
  <c r="O23" i="2"/>
  <c r="N23" i="2"/>
  <c r="K23" i="2"/>
  <c r="M23" i="2"/>
  <c r="AP23" i="2"/>
  <c r="J23" i="2"/>
  <c r="I23" i="2"/>
  <c r="L23" i="2"/>
  <c r="AO23" i="2"/>
  <c r="A25" i="2"/>
  <c r="D24" i="1"/>
  <c r="L23" i="1"/>
  <c r="AA23" i="1"/>
  <c r="A26" i="2" l="1"/>
  <c r="D25" i="1"/>
  <c r="Z24" i="1"/>
  <c r="H24" i="3"/>
  <c r="AR24" i="3"/>
  <c r="AN24" i="3"/>
  <c r="AM24" i="3"/>
  <c r="AQ24" i="3"/>
  <c r="AL24" i="3"/>
  <c r="AI24" i="3"/>
  <c r="AK24" i="3"/>
  <c r="AJ24" i="3"/>
  <c r="AE24" i="3"/>
  <c r="AH24" i="3"/>
  <c r="AG24" i="3"/>
  <c r="AD24" i="3"/>
  <c r="AF24" i="3"/>
  <c r="AC24" i="3"/>
  <c r="AA24" i="3"/>
  <c r="AB24" i="3"/>
  <c r="Z24" i="3"/>
  <c r="Y24" i="3"/>
  <c r="X24" i="3"/>
  <c r="W24" i="3"/>
  <c r="U24" i="3"/>
  <c r="T24" i="3"/>
  <c r="R24" i="3"/>
  <c r="V24" i="3"/>
  <c r="Q24" i="3"/>
  <c r="S24" i="3"/>
  <c r="M24" i="3"/>
  <c r="P24" i="3"/>
  <c r="O24" i="3"/>
  <c r="K24" i="3"/>
  <c r="L24" i="3"/>
  <c r="N24" i="3"/>
  <c r="J24" i="3"/>
  <c r="I24" i="3"/>
  <c r="AP24" i="3"/>
  <c r="AO24" i="3"/>
  <c r="L24" i="1"/>
  <c r="AA24" i="1"/>
  <c r="P23" i="1"/>
  <c r="G25" i="3"/>
  <c r="I26" i="1"/>
  <c r="V25" i="1"/>
  <c r="J25" i="1"/>
  <c r="G25" i="2"/>
  <c r="Y25" i="1"/>
  <c r="Z25" i="1" s="1"/>
  <c r="N25" i="1"/>
  <c r="R25" i="1"/>
  <c r="S25" i="1"/>
  <c r="W25" i="1" s="1"/>
  <c r="H24" i="2"/>
  <c r="AN24" i="2"/>
  <c r="AQ24" i="2"/>
  <c r="AR24" i="2"/>
  <c r="AM24" i="2"/>
  <c r="AL24" i="2"/>
  <c r="AK24" i="2"/>
  <c r="AI24" i="2"/>
  <c r="AJ24" i="2"/>
  <c r="AH24" i="2"/>
  <c r="AG24" i="2"/>
  <c r="AF24" i="2"/>
  <c r="AE24" i="2"/>
  <c r="AD24" i="2"/>
  <c r="AB24" i="2"/>
  <c r="Z24" i="2"/>
  <c r="AC24" i="2"/>
  <c r="X24" i="2"/>
  <c r="AA24" i="2"/>
  <c r="Y24" i="2"/>
  <c r="W24" i="2"/>
  <c r="V24" i="2"/>
  <c r="R24" i="2"/>
  <c r="U24" i="2"/>
  <c r="Q24" i="2"/>
  <c r="T24" i="2"/>
  <c r="S24" i="2"/>
  <c r="P24" i="2"/>
  <c r="M24" i="2"/>
  <c r="N24" i="2"/>
  <c r="K24" i="2"/>
  <c r="O24" i="2"/>
  <c r="L24" i="2"/>
  <c r="I24" i="2"/>
  <c r="AO24" i="2"/>
  <c r="AP24" i="2"/>
  <c r="J24" i="2"/>
  <c r="L25" i="1" l="1"/>
  <c r="AA25" i="1"/>
  <c r="G26" i="3"/>
  <c r="I27" i="1"/>
  <c r="V26" i="1"/>
  <c r="J26" i="1"/>
  <c r="G26" i="2"/>
  <c r="Y26" i="1"/>
  <c r="Z26" i="1" s="1"/>
  <c r="S26" i="1"/>
  <c r="W26" i="1" s="1"/>
  <c r="N26" i="1"/>
  <c r="R26" i="1"/>
  <c r="H25" i="3"/>
  <c r="AR25" i="3"/>
  <c r="AN25" i="3"/>
  <c r="AQ25" i="3"/>
  <c r="AM25" i="3"/>
  <c r="AL25" i="3"/>
  <c r="AI25" i="3"/>
  <c r="AK25" i="3"/>
  <c r="AJ25" i="3"/>
  <c r="AH25" i="3"/>
  <c r="AF25" i="3"/>
  <c r="AG25" i="3"/>
  <c r="AE25" i="3"/>
  <c r="AD25" i="3"/>
  <c r="AA25" i="3"/>
  <c r="AC25" i="3"/>
  <c r="Z25" i="3"/>
  <c r="AB25" i="3"/>
  <c r="X25" i="3"/>
  <c r="Y25" i="3"/>
  <c r="W25" i="3"/>
  <c r="U25" i="3"/>
  <c r="T25" i="3"/>
  <c r="R25" i="3"/>
  <c r="V25" i="3"/>
  <c r="S25" i="3"/>
  <c r="Q25" i="3"/>
  <c r="O25" i="3"/>
  <c r="P25" i="3"/>
  <c r="K25" i="3"/>
  <c r="M25" i="3"/>
  <c r="L25" i="3"/>
  <c r="N25" i="3"/>
  <c r="J25" i="3"/>
  <c r="I25" i="3"/>
  <c r="AP25" i="3"/>
  <c r="AO25" i="3"/>
  <c r="H25" i="2"/>
  <c r="AR25" i="2"/>
  <c r="AN25" i="2"/>
  <c r="AQ25" i="2"/>
  <c r="AL25" i="2"/>
  <c r="AM25" i="2"/>
  <c r="AK25" i="2"/>
  <c r="AJ25" i="2"/>
  <c r="AH25" i="2"/>
  <c r="AI25" i="2"/>
  <c r="AF25" i="2"/>
  <c r="AE25" i="2"/>
  <c r="AG25" i="2"/>
  <c r="AD25" i="2"/>
  <c r="AB25" i="2"/>
  <c r="AC25" i="2"/>
  <c r="X25" i="2"/>
  <c r="Z25" i="2"/>
  <c r="AA25" i="2"/>
  <c r="V25" i="2"/>
  <c r="Y25" i="2"/>
  <c r="W25" i="2"/>
  <c r="U25" i="2"/>
  <c r="S25" i="2"/>
  <c r="R25" i="2"/>
  <c r="T25" i="2"/>
  <c r="Q25" i="2"/>
  <c r="P25" i="2"/>
  <c r="N25" i="2"/>
  <c r="M25" i="2"/>
  <c r="O25" i="2"/>
  <c r="L25" i="2"/>
  <c r="AO25" i="2"/>
  <c r="J25" i="2"/>
  <c r="I25" i="2"/>
  <c r="K25" i="2"/>
  <c r="AP25" i="2"/>
  <c r="P24" i="1"/>
  <c r="A27" i="2"/>
  <c r="D26" i="1"/>
  <c r="H26" i="3" l="1"/>
  <c r="AR26" i="3"/>
  <c r="AQ26" i="3"/>
  <c r="AN26" i="3"/>
  <c r="AM26" i="3"/>
  <c r="AL26" i="3"/>
  <c r="AK26" i="3"/>
  <c r="AI26" i="3"/>
  <c r="AJ26" i="3"/>
  <c r="AG26" i="3"/>
  <c r="AH26" i="3"/>
  <c r="AF26" i="3"/>
  <c r="AE26" i="3"/>
  <c r="AD26" i="3"/>
  <c r="AC26" i="3"/>
  <c r="AA26" i="3"/>
  <c r="Z26" i="3"/>
  <c r="AB26" i="3"/>
  <c r="X26" i="3"/>
  <c r="Y26" i="3"/>
  <c r="W26" i="3"/>
  <c r="V26" i="3"/>
  <c r="T26" i="3"/>
  <c r="R26" i="3"/>
  <c r="U26" i="3"/>
  <c r="O26" i="3"/>
  <c r="S26" i="3"/>
  <c r="Q26" i="3"/>
  <c r="M26" i="3"/>
  <c r="P26" i="3"/>
  <c r="K26" i="3"/>
  <c r="L26" i="3"/>
  <c r="N26" i="3"/>
  <c r="I26" i="3"/>
  <c r="AO26" i="3"/>
  <c r="J26" i="3"/>
  <c r="AP26" i="3"/>
  <c r="I28" i="1"/>
  <c r="G27" i="3"/>
  <c r="J27" i="1"/>
  <c r="V27" i="1"/>
  <c r="G27" i="2"/>
  <c r="Y27" i="1"/>
  <c r="Z27" i="1" s="1"/>
  <c r="R27" i="1"/>
  <c r="S27" i="1"/>
  <c r="W27" i="1" s="1"/>
  <c r="N27" i="1"/>
  <c r="A28" i="2"/>
  <c r="D27" i="1"/>
  <c r="H26" i="2"/>
  <c r="AQ26" i="2"/>
  <c r="AR26" i="2"/>
  <c r="AN26" i="2"/>
  <c r="AM26" i="2"/>
  <c r="AL26" i="2"/>
  <c r="AJ26" i="2"/>
  <c r="AK26" i="2"/>
  <c r="AF26" i="2"/>
  <c r="AH26" i="2"/>
  <c r="AI26" i="2"/>
  <c r="AE26" i="2"/>
  <c r="AG26" i="2"/>
  <c r="AD26" i="2"/>
  <c r="AC26" i="2"/>
  <c r="AB26" i="2"/>
  <c r="AA26" i="2"/>
  <c r="Z26" i="2"/>
  <c r="Y26" i="2"/>
  <c r="V26" i="2"/>
  <c r="X26" i="2"/>
  <c r="W26" i="2"/>
  <c r="U26" i="2"/>
  <c r="S26" i="2"/>
  <c r="R26" i="2"/>
  <c r="T26" i="2"/>
  <c r="N26" i="2"/>
  <c r="Q26" i="2"/>
  <c r="P26" i="2"/>
  <c r="O26" i="2"/>
  <c r="M26" i="2"/>
  <c r="L26" i="2"/>
  <c r="AO26" i="2"/>
  <c r="J26" i="2"/>
  <c r="I26" i="2"/>
  <c r="K26" i="2"/>
  <c r="AP26" i="2"/>
  <c r="L26" i="1"/>
  <c r="AA26" i="1"/>
  <c r="P25" i="1"/>
  <c r="P26" i="1" l="1"/>
  <c r="G28" i="3"/>
  <c r="I29" i="1"/>
  <c r="J28" i="1"/>
  <c r="V28" i="1"/>
  <c r="Y28" i="1"/>
  <c r="Z28" i="1" s="1"/>
  <c r="G28" i="2"/>
  <c r="S28" i="1"/>
  <c r="W28" i="1" s="1"/>
  <c r="R28" i="1"/>
  <c r="N28" i="1"/>
  <c r="L27" i="1"/>
  <c r="AA27" i="1"/>
  <c r="H27" i="2"/>
  <c r="AR27" i="2"/>
  <c r="AN27" i="2"/>
  <c r="AQ27" i="2"/>
  <c r="AM27" i="2"/>
  <c r="AL27" i="2"/>
  <c r="AJ27" i="2"/>
  <c r="AK27" i="2"/>
  <c r="AF27" i="2"/>
  <c r="AH27" i="2"/>
  <c r="AI27" i="2"/>
  <c r="AE27" i="2"/>
  <c r="AG27" i="2"/>
  <c r="AB27" i="2"/>
  <c r="AD27" i="2"/>
  <c r="AC27" i="2"/>
  <c r="AA27" i="2"/>
  <c r="Y27" i="2"/>
  <c r="Z27" i="2"/>
  <c r="V27" i="2"/>
  <c r="X27" i="2"/>
  <c r="W27" i="2"/>
  <c r="U27" i="2"/>
  <c r="S27" i="2"/>
  <c r="R27" i="2"/>
  <c r="T27" i="2"/>
  <c r="P27" i="2"/>
  <c r="N27" i="2"/>
  <c r="Q27" i="2"/>
  <c r="O27" i="2"/>
  <c r="I27" i="2"/>
  <c r="M27" i="2"/>
  <c r="L27" i="2"/>
  <c r="J27" i="2"/>
  <c r="K27" i="2"/>
  <c r="AO27" i="2"/>
  <c r="AP27" i="2"/>
  <c r="A29" i="2"/>
  <c r="D28" i="1"/>
  <c r="H27" i="3"/>
  <c r="AR27" i="3"/>
  <c r="AQ27" i="3"/>
  <c r="AN27" i="3"/>
  <c r="AL27" i="3"/>
  <c r="AJ27" i="3"/>
  <c r="AM27" i="3"/>
  <c r="AK27" i="3"/>
  <c r="AG27" i="3"/>
  <c r="AI27" i="3"/>
  <c r="AH27" i="3"/>
  <c r="AF27" i="3"/>
  <c r="AA27" i="3"/>
  <c r="AD27" i="3"/>
  <c r="AC27" i="3"/>
  <c r="AE27" i="3"/>
  <c r="Z27" i="3"/>
  <c r="AB27" i="3"/>
  <c r="X27" i="3"/>
  <c r="Y27" i="3"/>
  <c r="V27" i="3"/>
  <c r="W27" i="3"/>
  <c r="T27" i="3"/>
  <c r="U27" i="3"/>
  <c r="S27" i="3"/>
  <c r="Q27" i="3"/>
  <c r="R27" i="3"/>
  <c r="O27" i="3"/>
  <c r="P27" i="3"/>
  <c r="N27" i="3"/>
  <c r="I27" i="3"/>
  <c r="K27" i="3"/>
  <c r="M27" i="3"/>
  <c r="L27" i="3"/>
  <c r="AP27" i="3"/>
  <c r="AO27" i="3"/>
  <c r="J27" i="3"/>
  <c r="D29" i="1" l="1"/>
  <c r="A30" i="2"/>
  <c r="H28" i="2"/>
  <c r="AQ28" i="2"/>
  <c r="AR28" i="2"/>
  <c r="AM28" i="2"/>
  <c r="AN28" i="2"/>
  <c r="AJ28" i="2"/>
  <c r="AL28" i="2"/>
  <c r="AK28" i="2"/>
  <c r="AH28" i="2"/>
  <c r="AI28" i="2"/>
  <c r="AF28" i="2"/>
  <c r="AG28" i="2"/>
  <c r="AE28" i="2"/>
  <c r="AB28" i="2"/>
  <c r="AD28" i="2"/>
  <c r="AA28" i="2"/>
  <c r="AC28" i="2"/>
  <c r="Y28" i="2"/>
  <c r="Z28" i="2"/>
  <c r="X28" i="2"/>
  <c r="W28" i="2"/>
  <c r="V28" i="2"/>
  <c r="U28" i="2"/>
  <c r="S28" i="2"/>
  <c r="T28" i="2"/>
  <c r="P28" i="2"/>
  <c r="R28" i="2"/>
  <c r="L28" i="2"/>
  <c r="N28" i="2"/>
  <c r="Q28" i="2"/>
  <c r="O28" i="2"/>
  <c r="J28" i="2"/>
  <c r="M28" i="2"/>
  <c r="K28" i="2"/>
  <c r="I28" i="2"/>
  <c r="AO28" i="2"/>
  <c r="AP28" i="2"/>
  <c r="G29" i="3"/>
  <c r="I30" i="1"/>
  <c r="V29" i="1"/>
  <c r="J29" i="1"/>
  <c r="G29" i="2"/>
  <c r="Y29" i="1"/>
  <c r="Z29" i="1" s="1"/>
  <c r="R29" i="1"/>
  <c r="N29" i="1"/>
  <c r="S29" i="1"/>
  <c r="W29" i="1" s="1"/>
  <c r="P27" i="1"/>
  <c r="L28" i="1"/>
  <c r="AA28" i="1"/>
  <c r="H28" i="3"/>
  <c r="AQ28" i="3"/>
  <c r="AR28" i="3"/>
  <c r="AN28" i="3"/>
  <c r="AL28" i="3"/>
  <c r="AM28" i="3"/>
  <c r="AK28" i="3"/>
  <c r="AG28" i="3"/>
  <c r="AJ28" i="3"/>
  <c r="AI28" i="3"/>
  <c r="AH28" i="3"/>
  <c r="AF28" i="3"/>
  <c r="AD28" i="3"/>
  <c r="AC28" i="3"/>
  <c r="AE28" i="3"/>
  <c r="AB28" i="3"/>
  <c r="AA28" i="3"/>
  <c r="Z28" i="3"/>
  <c r="Y28" i="3"/>
  <c r="V28" i="3"/>
  <c r="X28" i="3"/>
  <c r="W28" i="3"/>
  <c r="T28" i="3"/>
  <c r="S28" i="3"/>
  <c r="U28" i="3"/>
  <c r="O28" i="3"/>
  <c r="R28" i="3"/>
  <c r="N28" i="3"/>
  <c r="Q28" i="3"/>
  <c r="P28" i="3"/>
  <c r="M28" i="3"/>
  <c r="L28" i="3"/>
  <c r="AP28" i="3"/>
  <c r="AO28" i="3"/>
  <c r="K28" i="3"/>
  <c r="J28" i="3"/>
  <c r="I28" i="3"/>
  <c r="P28" i="1" l="1"/>
  <c r="L29" i="1"/>
  <c r="AA29" i="1"/>
  <c r="D30" i="1"/>
  <c r="A31" i="2"/>
  <c r="I31" i="1"/>
  <c r="G30" i="3"/>
  <c r="V30" i="1"/>
  <c r="J30" i="1"/>
  <c r="G30" i="2"/>
  <c r="Y30" i="1"/>
  <c r="Z30" i="1" s="1"/>
  <c r="S30" i="1"/>
  <c r="W30" i="1" s="1"/>
  <c r="R30" i="1"/>
  <c r="N30" i="1"/>
  <c r="H29" i="2"/>
  <c r="AQ29" i="2"/>
  <c r="AR29" i="2"/>
  <c r="AM29" i="2"/>
  <c r="AN29" i="2"/>
  <c r="AL29" i="2"/>
  <c r="AK29" i="2"/>
  <c r="AH29" i="2"/>
  <c r="AJ29" i="2"/>
  <c r="AI29" i="2"/>
  <c r="AG29" i="2"/>
  <c r="AF29" i="2"/>
  <c r="AE29" i="2"/>
  <c r="AB29" i="2"/>
  <c r="AD29" i="2"/>
  <c r="AC29" i="2"/>
  <c r="AA29" i="2"/>
  <c r="Z29" i="2"/>
  <c r="Y29" i="2"/>
  <c r="W29" i="2"/>
  <c r="X29" i="2"/>
  <c r="V29" i="2"/>
  <c r="U29" i="2"/>
  <c r="T29" i="2"/>
  <c r="R29" i="2"/>
  <c r="S29" i="2"/>
  <c r="Q29" i="2"/>
  <c r="P29" i="2"/>
  <c r="O29" i="2"/>
  <c r="N29" i="2"/>
  <c r="M29" i="2"/>
  <c r="L29" i="2"/>
  <c r="I29" i="2"/>
  <c r="K29" i="2"/>
  <c r="AO29" i="2"/>
  <c r="J29" i="2"/>
  <c r="AP29" i="2"/>
  <c r="H29" i="3"/>
  <c r="AQ29" i="3"/>
  <c r="AR29" i="3"/>
  <c r="AN29" i="3"/>
  <c r="AL29" i="3"/>
  <c r="AM29" i="3"/>
  <c r="AK29" i="3"/>
  <c r="AJ29" i="3"/>
  <c r="AG29" i="3"/>
  <c r="AH29" i="3"/>
  <c r="AF29" i="3"/>
  <c r="AI29" i="3"/>
  <c r="AB29" i="3"/>
  <c r="AD29" i="3"/>
  <c r="AC29" i="3"/>
  <c r="AE29" i="3"/>
  <c r="AA29" i="3"/>
  <c r="Y29" i="3"/>
  <c r="Z29" i="3"/>
  <c r="T29" i="3"/>
  <c r="V29" i="3"/>
  <c r="X29" i="3"/>
  <c r="S29" i="3"/>
  <c r="W29" i="3"/>
  <c r="U29" i="3"/>
  <c r="R29" i="3"/>
  <c r="Q29" i="3"/>
  <c r="P29" i="3"/>
  <c r="N29" i="3"/>
  <c r="O29" i="3"/>
  <c r="L29" i="3"/>
  <c r="I29" i="3"/>
  <c r="K29" i="3"/>
  <c r="M29" i="3"/>
  <c r="J29" i="3"/>
  <c r="AP29" i="3"/>
  <c r="AO29" i="3"/>
  <c r="D31" i="1" l="1"/>
  <c r="A32" i="2"/>
  <c r="H30" i="2"/>
  <c r="AR30" i="2"/>
  <c r="AQ30" i="2"/>
  <c r="AL30" i="2"/>
  <c r="AN30" i="2"/>
  <c r="AK30" i="2"/>
  <c r="AM30" i="2"/>
  <c r="AH30" i="2"/>
  <c r="AJ30" i="2"/>
  <c r="AI30" i="2"/>
  <c r="AG30" i="2"/>
  <c r="AF30" i="2"/>
  <c r="AE30" i="2"/>
  <c r="AD30" i="2"/>
  <c r="AC30" i="2"/>
  <c r="AB30" i="2"/>
  <c r="AA30" i="2"/>
  <c r="Z30" i="2"/>
  <c r="Y30" i="2"/>
  <c r="X30" i="2"/>
  <c r="W30" i="2"/>
  <c r="U30" i="2"/>
  <c r="T30" i="2"/>
  <c r="V30" i="2"/>
  <c r="P30" i="2"/>
  <c r="R30" i="2"/>
  <c r="S30" i="2"/>
  <c r="O30" i="2"/>
  <c r="Q30" i="2"/>
  <c r="L30" i="2"/>
  <c r="J30" i="2"/>
  <c r="N30" i="2"/>
  <c r="M30" i="2"/>
  <c r="I30" i="2"/>
  <c r="K30" i="2"/>
  <c r="AO30" i="2"/>
  <c r="AP30" i="2"/>
  <c r="P29" i="1"/>
  <c r="L30" i="1"/>
  <c r="AA30" i="1"/>
  <c r="H30" i="3"/>
  <c r="AQ30" i="3"/>
  <c r="AR30" i="3"/>
  <c r="AN30" i="3"/>
  <c r="AM30" i="3"/>
  <c r="AL30" i="3"/>
  <c r="AK30" i="3"/>
  <c r="AJ30" i="3"/>
  <c r="AI30" i="3"/>
  <c r="AH30" i="3"/>
  <c r="AF30" i="3"/>
  <c r="AG30" i="3"/>
  <c r="AE30" i="3"/>
  <c r="AB30" i="3"/>
  <c r="AD30" i="3"/>
  <c r="AA30" i="3"/>
  <c r="AC30" i="3"/>
  <c r="Y30" i="3"/>
  <c r="Z30" i="3"/>
  <c r="W30" i="3"/>
  <c r="V30" i="3"/>
  <c r="X30" i="3"/>
  <c r="S30" i="3"/>
  <c r="T30" i="3"/>
  <c r="U30" i="3"/>
  <c r="P30" i="3"/>
  <c r="R30" i="3"/>
  <c r="Q30" i="3"/>
  <c r="L30" i="3"/>
  <c r="N30" i="3"/>
  <c r="O30" i="3"/>
  <c r="J30" i="3"/>
  <c r="K30" i="3"/>
  <c r="M30" i="3"/>
  <c r="AP30" i="3"/>
  <c r="AO30" i="3"/>
  <c r="I30" i="3"/>
  <c r="G31" i="3"/>
  <c r="I32" i="1"/>
  <c r="J31" i="1"/>
  <c r="V31" i="1"/>
  <c r="G31" i="2"/>
  <c r="Y31" i="1"/>
  <c r="Z31" i="1" s="1"/>
  <c r="R31" i="1"/>
  <c r="S31" i="1"/>
  <c r="W31" i="1" s="1"/>
  <c r="N31" i="1"/>
  <c r="H31" i="2" l="1"/>
  <c r="AR31" i="2"/>
  <c r="AQ31" i="2"/>
  <c r="AM31" i="2"/>
  <c r="AL31" i="2"/>
  <c r="AN31" i="2"/>
  <c r="AK31" i="2"/>
  <c r="AI31" i="2"/>
  <c r="AJ31" i="2"/>
  <c r="AH31" i="2"/>
  <c r="AG31" i="2"/>
  <c r="AD31" i="2"/>
  <c r="AF31" i="2"/>
  <c r="AC31" i="2"/>
  <c r="AE31" i="2"/>
  <c r="AB31" i="2"/>
  <c r="AA31" i="2"/>
  <c r="Z31" i="2"/>
  <c r="U31" i="2"/>
  <c r="X31" i="2"/>
  <c r="W31" i="2"/>
  <c r="Y31" i="2"/>
  <c r="T31" i="2"/>
  <c r="V31" i="2"/>
  <c r="R31" i="2"/>
  <c r="S31" i="2"/>
  <c r="Q31" i="2"/>
  <c r="O31" i="2"/>
  <c r="P31" i="2"/>
  <c r="M31" i="2"/>
  <c r="L31" i="2"/>
  <c r="N31" i="2"/>
  <c r="K31" i="2"/>
  <c r="I31" i="2"/>
  <c r="J31" i="2"/>
  <c r="AP31" i="2"/>
  <c r="AO31" i="2"/>
  <c r="L31" i="1"/>
  <c r="AA31" i="1"/>
  <c r="H31" i="3"/>
  <c r="AR31" i="3"/>
  <c r="AQ31" i="3"/>
  <c r="AN31" i="3"/>
  <c r="AM31" i="3"/>
  <c r="AL31" i="3"/>
  <c r="AK31" i="3"/>
  <c r="AJ31" i="3"/>
  <c r="AH31" i="3"/>
  <c r="AI31" i="3"/>
  <c r="AG31" i="3"/>
  <c r="AF31" i="3"/>
  <c r="AE31" i="3"/>
  <c r="AB31" i="3"/>
  <c r="AD31" i="3"/>
  <c r="AC31" i="3"/>
  <c r="AA31" i="3"/>
  <c r="W31" i="3"/>
  <c r="Y31" i="3"/>
  <c r="Z31" i="3"/>
  <c r="X31" i="3"/>
  <c r="V31" i="3"/>
  <c r="T31" i="3"/>
  <c r="U31" i="3"/>
  <c r="P31" i="3"/>
  <c r="S31" i="3"/>
  <c r="R31" i="3"/>
  <c r="Q31" i="3"/>
  <c r="O31" i="3"/>
  <c r="J31" i="3"/>
  <c r="N31" i="3"/>
  <c r="K31" i="3"/>
  <c r="M31" i="3"/>
  <c r="L31" i="3"/>
  <c r="AO31" i="3"/>
  <c r="I31" i="3"/>
  <c r="AP31" i="3"/>
  <c r="P30" i="1"/>
  <c r="D32" i="1"/>
  <c r="A33" i="2"/>
  <c r="I33" i="1"/>
  <c r="G32" i="3"/>
  <c r="V32" i="1"/>
  <c r="J32" i="1"/>
  <c r="G32" i="2"/>
  <c r="Y32" i="1"/>
  <c r="Z32" i="1" s="1"/>
  <c r="S32" i="1"/>
  <c r="W32" i="1" s="1"/>
  <c r="N32" i="1"/>
  <c r="R32" i="1"/>
  <c r="H32" i="2" l="1"/>
  <c r="AR32" i="2"/>
  <c r="AN32" i="2"/>
  <c r="AM32" i="2"/>
  <c r="AQ32" i="2"/>
  <c r="AL32" i="2"/>
  <c r="AI32" i="2"/>
  <c r="AK32" i="2"/>
  <c r="AJ32" i="2"/>
  <c r="AG32" i="2"/>
  <c r="AH32" i="2"/>
  <c r="AF32" i="2"/>
  <c r="AC32" i="2"/>
  <c r="AE32" i="2"/>
  <c r="AD32" i="2"/>
  <c r="AB32" i="2"/>
  <c r="Z32" i="2"/>
  <c r="Y32" i="2"/>
  <c r="AA32" i="2"/>
  <c r="X32" i="2"/>
  <c r="U32" i="2"/>
  <c r="W32" i="2"/>
  <c r="R32" i="2"/>
  <c r="T32" i="2"/>
  <c r="V32" i="2"/>
  <c r="S32" i="2"/>
  <c r="Q32" i="2"/>
  <c r="M32" i="2"/>
  <c r="O32" i="2"/>
  <c r="P32" i="2"/>
  <c r="K32" i="2"/>
  <c r="L32" i="2"/>
  <c r="N32" i="2"/>
  <c r="AP32" i="2"/>
  <c r="I32" i="2"/>
  <c r="J32" i="2"/>
  <c r="AO32" i="2"/>
  <c r="P31" i="1"/>
  <c r="L32" i="1"/>
  <c r="P32" i="1" s="1"/>
  <c r="AA32" i="1"/>
  <c r="H32" i="3"/>
  <c r="AR32" i="3"/>
  <c r="AQ32" i="3"/>
  <c r="AN32" i="3"/>
  <c r="AL32" i="3"/>
  <c r="AM32" i="3"/>
  <c r="AK32" i="3"/>
  <c r="AJ32" i="3"/>
  <c r="AH32" i="3"/>
  <c r="AI32" i="3"/>
  <c r="AG32" i="3"/>
  <c r="AF32" i="3"/>
  <c r="AD32" i="3"/>
  <c r="AE32" i="3"/>
  <c r="AC32" i="3"/>
  <c r="AA32" i="3"/>
  <c r="AB32" i="3"/>
  <c r="Y32" i="3"/>
  <c r="Z32" i="3"/>
  <c r="V32" i="3"/>
  <c r="W32" i="3"/>
  <c r="X32" i="3"/>
  <c r="U32" i="3"/>
  <c r="T32" i="3"/>
  <c r="P32" i="3"/>
  <c r="S32" i="3"/>
  <c r="R32" i="3"/>
  <c r="O32" i="3"/>
  <c r="L32" i="3"/>
  <c r="Q32" i="3"/>
  <c r="J32" i="3"/>
  <c r="N32" i="3"/>
  <c r="K32" i="3"/>
  <c r="M32" i="3"/>
  <c r="I32" i="3"/>
  <c r="AO32" i="3"/>
  <c r="AP32" i="3"/>
  <c r="G33" i="3"/>
  <c r="I34" i="1"/>
  <c r="J33" i="1"/>
  <c r="V33" i="1"/>
  <c r="G33" i="2"/>
  <c r="Y33" i="1"/>
  <c r="Z33" i="1" s="1"/>
  <c r="N33" i="1"/>
  <c r="R33" i="1"/>
  <c r="S33" i="1"/>
  <c r="A34" i="2"/>
  <c r="D33" i="1"/>
  <c r="H33" i="2" l="1"/>
  <c r="AR33" i="2"/>
  <c r="AN33" i="2"/>
  <c r="AQ33" i="2"/>
  <c r="AM33" i="2"/>
  <c r="AL33" i="2"/>
  <c r="AK33" i="2"/>
  <c r="AI33" i="2"/>
  <c r="AJ33" i="2"/>
  <c r="AH33" i="2"/>
  <c r="AG33" i="2"/>
  <c r="AF33" i="2"/>
  <c r="AD33" i="2"/>
  <c r="AC33" i="2"/>
  <c r="AE33" i="2"/>
  <c r="AB33" i="2"/>
  <c r="AA33" i="2"/>
  <c r="X33" i="2"/>
  <c r="Z33" i="2"/>
  <c r="Y33" i="2"/>
  <c r="T33" i="2"/>
  <c r="U33" i="2"/>
  <c r="W33" i="2"/>
  <c r="V33" i="2"/>
  <c r="S33" i="2"/>
  <c r="Q33" i="2"/>
  <c r="R33" i="2"/>
  <c r="O33" i="2"/>
  <c r="P33" i="2"/>
  <c r="K33" i="2"/>
  <c r="L33" i="2"/>
  <c r="N33" i="2"/>
  <c r="M33" i="2"/>
  <c r="J33" i="2"/>
  <c r="AP33" i="2"/>
  <c r="I33" i="2"/>
  <c r="AO33" i="2"/>
  <c r="L33" i="1"/>
  <c r="AA33" i="1"/>
  <c r="A35" i="2"/>
  <c r="D34" i="1"/>
  <c r="I35" i="1"/>
  <c r="G34" i="3"/>
  <c r="V34" i="1"/>
  <c r="J34" i="1"/>
  <c r="Y34" i="1"/>
  <c r="Z34" i="1" s="1"/>
  <c r="G34" i="2"/>
  <c r="S34" i="1"/>
  <c r="R34" i="1"/>
  <c r="N34" i="1"/>
  <c r="W33" i="1"/>
  <c r="H33" i="3"/>
  <c r="AR33" i="3"/>
  <c r="AQ33" i="3"/>
  <c r="AN33" i="3"/>
  <c r="AM33" i="3"/>
  <c r="AL33" i="3"/>
  <c r="AK33" i="3"/>
  <c r="AI33" i="3"/>
  <c r="AH33" i="3"/>
  <c r="AJ33" i="3"/>
  <c r="AG33" i="3"/>
  <c r="AD33" i="3"/>
  <c r="AF33" i="3"/>
  <c r="AE33" i="3"/>
  <c r="AC33" i="3"/>
  <c r="AB33" i="3"/>
  <c r="W33" i="3"/>
  <c r="AA33" i="3"/>
  <c r="Z33" i="3"/>
  <c r="U33" i="3"/>
  <c r="Y33" i="3"/>
  <c r="X33" i="3"/>
  <c r="V33" i="3"/>
  <c r="T33" i="3"/>
  <c r="S33" i="3"/>
  <c r="R33" i="3"/>
  <c r="Q33" i="3"/>
  <c r="O33" i="3"/>
  <c r="P33" i="3"/>
  <c r="M33" i="3"/>
  <c r="N33" i="3"/>
  <c r="L33" i="3"/>
  <c r="K33" i="3"/>
  <c r="I33" i="3"/>
  <c r="AO33" i="3"/>
  <c r="AP33" i="3"/>
  <c r="J33" i="3"/>
  <c r="W34" i="1" l="1"/>
  <c r="H34" i="2"/>
  <c r="AR34" i="2"/>
  <c r="AQ34" i="2"/>
  <c r="AN34" i="2"/>
  <c r="AM34" i="2"/>
  <c r="AL34" i="2"/>
  <c r="AI34" i="2"/>
  <c r="AK34" i="2"/>
  <c r="AJ34" i="2"/>
  <c r="AH34" i="2"/>
  <c r="AG34" i="2"/>
  <c r="AF34" i="2"/>
  <c r="AE34" i="2"/>
  <c r="AD34" i="2"/>
  <c r="AC34" i="2"/>
  <c r="Z34" i="2"/>
  <c r="AB34" i="2"/>
  <c r="AA34" i="2"/>
  <c r="X34" i="2"/>
  <c r="Y34" i="2"/>
  <c r="W34" i="2"/>
  <c r="V34" i="2"/>
  <c r="R34" i="2"/>
  <c r="U34" i="2"/>
  <c r="T34" i="2"/>
  <c r="S34" i="2"/>
  <c r="Q34" i="2"/>
  <c r="M34" i="2"/>
  <c r="P34" i="2"/>
  <c r="K34" i="2"/>
  <c r="O34" i="2"/>
  <c r="N34" i="2"/>
  <c r="I34" i="2"/>
  <c r="AO34" i="2"/>
  <c r="J34" i="2"/>
  <c r="AP34" i="2"/>
  <c r="L34" i="2"/>
  <c r="P33" i="1"/>
  <c r="L34" i="1"/>
  <c r="AA34" i="1"/>
  <c r="H34" i="3"/>
  <c r="AR34" i="3"/>
  <c r="AN34" i="3"/>
  <c r="AM34" i="3"/>
  <c r="AQ34" i="3"/>
  <c r="AL34" i="3"/>
  <c r="AI34" i="3"/>
  <c r="AK34" i="3"/>
  <c r="AJ34" i="3"/>
  <c r="AE34" i="3"/>
  <c r="AH34" i="3"/>
  <c r="AG34" i="3"/>
  <c r="AD34" i="3"/>
  <c r="AF34" i="3"/>
  <c r="AC34" i="3"/>
  <c r="AA34" i="3"/>
  <c r="AB34" i="3"/>
  <c r="Z34" i="3"/>
  <c r="Y34" i="3"/>
  <c r="X34" i="3"/>
  <c r="U34" i="3"/>
  <c r="W34" i="3"/>
  <c r="R34" i="3"/>
  <c r="V34" i="3"/>
  <c r="T34" i="3"/>
  <c r="Q34" i="3"/>
  <c r="S34" i="3"/>
  <c r="P34" i="3"/>
  <c r="M34" i="3"/>
  <c r="O34" i="3"/>
  <c r="N34" i="3"/>
  <c r="L34" i="3"/>
  <c r="K34" i="3"/>
  <c r="J34" i="3"/>
  <c r="I34" i="3"/>
  <c r="AO34" i="3"/>
  <c r="AP34" i="3"/>
  <c r="G35" i="3"/>
  <c r="I36" i="1"/>
  <c r="V35" i="1"/>
  <c r="J35" i="1"/>
  <c r="G35" i="2"/>
  <c r="Y35" i="1"/>
  <c r="Z35" i="1" s="1"/>
  <c r="R35" i="1"/>
  <c r="S35" i="1"/>
  <c r="W35" i="1" s="1"/>
  <c r="N35" i="1"/>
  <c r="A36" i="2"/>
  <c r="D35" i="1"/>
  <c r="H35" i="2" l="1"/>
  <c r="AR35" i="2"/>
  <c r="AQ35" i="2"/>
  <c r="AN35" i="2"/>
  <c r="AM35" i="2"/>
  <c r="AL35" i="2"/>
  <c r="AK35" i="2"/>
  <c r="AJ35" i="2"/>
  <c r="AI35" i="2"/>
  <c r="AH35" i="2"/>
  <c r="AF35" i="2"/>
  <c r="AE35" i="2"/>
  <c r="AG35" i="2"/>
  <c r="AD35" i="2"/>
  <c r="AC35" i="2"/>
  <c r="AB35" i="2"/>
  <c r="AA35" i="2"/>
  <c r="X35" i="2"/>
  <c r="Z35" i="2"/>
  <c r="V35" i="2"/>
  <c r="Y35" i="2"/>
  <c r="W35" i="2"/>
  <c r="U35" i="2"/>
  <c r="S35" i="2"/>
  <c r="R35" i="2"/>
  <c r="T35" i="2"/>
  <c r="P35" i="2"/>
  <c r="Q35" i="2"/>
  <c r="N35" i="2"/>
  <c r="M35" i="2"/>
  <c r="L35" i="2"/>
  <c r="O35" i="2"/>
  <c r="AO35" i="2"/>
  <c r="J35" i="2"/>
  <c r="K35" i="2"/>
  <c r="I35" i="2"/>
  <c r="AP35" i="2"/>
  <c r="A37" i="2"/>
  <c r="D36" i="1"/>
  <c r="L35" i="1"/>
  <c r="AA35" i="1"/>
  <c r="G36" i="3"/>
  <c r="I37" i="1"/>
  <c r="V36" i="1"/>
  <c r="J36" i="1"/>
  <c r="G36" i="2"/>
  <c r="Y36" i="1"/>
  <c r="Z36" i="1" s="1"/>
  <c r="S36" i="1"/>
  <c r="W36" i="1" s="1"/>
  <c r="N36" i="1"/>
  <c r="R36" i="1"/>
  <c r="P34" i="1"/>
  <c r="H35" i="3"/>
  <c r="AR35" i="3"/>
  <c r="AN35" i="3"/>
  <c r="AQ35" i="3"/>
  <c r="AM35" i="3"/>
  <c r="AL35" i="3"/>
  <c r="AI35" i="3"/>
  <c r="AK35" i="3"/>
  <c r="AJ35" i="3"/>
  <c r="AH35" i="3"/>
  <c r="AG35" i="3"/>
  <c r="AE35" i="3"/>
  <c r="AD35" i="3"/>
  <c r="AF35" i="3"/>
  <c r="AA35" i="3"/>
  <c r="AC35" i="3"/>
  <c r="Z35" i="3"/>
  <c r="AB35" i="3"/>
  <c r="X35" i="3"/>
  <c r="Y35" i="3"/>
  <c r="U35" i="3"/>
  <c r="W35" i="3"/>
  <c r="R35" i="3"/>
  <c r="V35" i="3"/>
  <c r="T35" i="3"/>
  <c r="Q35" i="3"/>
  <c r="S35" i="3"/>
  <c r="O35" i="3"/>
  <c r="P35" i="3"/>
  <c r="M35" i="3"/>
  <c r="N35" i="3"/>
  <c r="L35" i="3"/>
  <c r="K35" i="3"/>
  <c r="J35" i="3"/>
  <c r="I35" i="3"/>
  <c r="AO35" i="3"/>
  <c r="AP35" i="3"/>
  <c r="A38" i="2" l="1"/>
  <c r="D37" i="1"/>
  <c r="H36" i="2"/>
  <c r="AR36" i="2"/>
  <c r="AQ36" i="2"/>
  <c r="AN36" i="2"/>
  <c r="AM36" i="2"/>
  <c r="AL36" i="2"/>
  <c r="AK36" i="2"/>
  <c r="AJ36" i="2"/>
  <c r="AI36" i="2"/>
  <c r="AF36" i="2"/>
  <c r="AH36" i="2"/>
  <c r="AE36" i="2"/>
  <c r="AG36" i="2"/>
  <c r="AC36" i="2"/>
  <c r="AD36" i="2"/>
  <c r="AB36" i="2"/>
  <c r="AA36" i="2"/>
  <c r="Z36" i="2"/>
  <c r="Y36" i="2"/>
  <c r="V36" i="2"/>
  <c r="X36" i="2"/>
  <c r="W36" i="2"/>
  <c r="S36" i="2"/>
  <c r="U36" i="2"/>
  <c r="R36" i="2"/>
  <c r="T36" i="2"/>
  <c r="N36" i="2"/>
  <c r="P36" i="2"/>
  <c r="O36" i="2"/>
  <c r="Q36" i="2"/>
  <c r="M36" i="2"/>
  <c r="L36" i="2"/>
  <c r="AO36" i="2"/>
  <c r="J36" i="2"/>
  <c r="K36" i="2"/>
  <c r="I36" i="2"/>
  <c r="AP36" i="2"/>
  <c r="L36" i="1"/>
  <c r="AA36" i="1"/>
  <c r="I38" i="1"/>
  <c r="G37" i="3"/>
  <c r="J37" i="1"/>
  <c r="V37" i="1"/>
  <c r="G37" i="2"/>
  <c r="Y37" i="1"/>
  <c r="Z37" i="1" s="1"/>
  <c r="R37" i="1"/>
  <c r="S37" i="1"/>
  <c r="N37" i="1"/>
  <c r="H36" i="3"/>
  <c r="AR36" i="3"/>
  <c r="AN36" i="3"/>
  <c r="AQ36" i="3"/>
  <c r="AM36" i="3"/>
  <c r="AL36" i="3"/>
  <c r="AI36" i="3"/>
  <c r="AK36" i="3"/>
  <c r="AJ36" i="3"/>
  <c r="AG36" i="3"/>
  <c r="AH36" i="3"/>
  <c r="AE36" i="3"/>
  <c r="AF36" i="3"/>
  <c r="AC36" i="3"/>
  <c r="AD36" i="3"/>
  <c r="Z36" i="3"/>
  <c r="AB36" i="3"/>
  <c r="X36" i="3"/>
  <c r="AA36" i="3"/>
  <c r="Y36" i="3"/>
  <c r="W36" i="3"/>
  <c r="V36" i="3"/>
  <c r="U36" i="3"/>
  <c r="T36" i="3"/>
  <c r="R36" i="3"/>
  <c r="O36" i="3"/>
  <c r="Q36" i="3"/>
  <c r="S36" i="3"/>
  <c r="P36" i="3"/>
  <c r="M36" i="3"/>
  <c r="N36" i="3"/>
  <c r="L36" i="3"/>
  <c r="K36" i="3"/>
  <c r="I36" i="3"/>
  <c r="J36" i="3"/>
  <c r="AO36" i="3"/>
  <c r="AP36" i="3"/>
  <c r="P35" i="1"/>
  <c r="H37" i="2" l="1"/>
  <c r="AQ37" i="2"/>
  <c r="AR37" i="2"/>
  <c r="AL37" i="2"/>
  <c r="AN37" i="2"/>
  <c r="AM37" i="2"/>
  <c r="AK37" i="2"/>
  <c r="AJ37" i="2"/>
  <c r="AF37" i="2"/>
  <c r="AI37" i="2"/>
  <c r="AH37" i="2"/>
  <c r="AE37" i="2"/>
  <c r="AG37" i="2"/>
  <c r="AB37" i="2"/>
  <c r="AC37" i="2"/>
  <c r="AD37" i="2"/>
  <c r="AA37" i="2"/>
  <c r="Y37" i="2"/>
  <c r="Z37" i="2"/>
  <c r="V37" i="2"/>
  <c r="X37" i="2"/>
  <c r="W37" i="2"/>
  <c r="S37" i="2"/>
  <c r="U37" i="2"/>
  <c r="R37" i="2"/>
  <c r="T37" i="2"/>
  <c r="P37" i="2"/>
  <c r="N37" i="2"/>
  <c r="O37" i="2"/>
  <c r="Q37" i="2"/>
  <c r="M37" i="2"/>
  <c r="I37" i="2"/>
  <c r="L37" i="2"/>
  <c r="J37" i="2"/>
  <c r="AO37" i="2"/>
  <c r="K37" i="2"/>
  <c r="AP37" i="2"/>
  <c r="L37" i="1"/>
  <c r="AA37" i="1"/>
  <c r="H37" i="3"/>
  <c r="AR37" i="3"/>
  <c r="AN37" i="3"/>
  <c r="AQ37" i="3"/>
  <c r="AM37" i="3"/>
  <c r="AJ37" i="3"/>
  <c r="AL37" i="3"/>
  <c r="AK37" i="3"/>
  <c r="AG37" i="3"/>
  <c r="AI37" i="3"/>
  <c r="AH37" i="3"/>
  <c r="AF37" i="3"/>
  <c r="AE37" i="3"/>
  <c r="AA37" i="3"/>
  <c r="AC37" i="3"/>
  <c r="AD37" i="3"/>
  <c r="Z37" i="3"/>
  <c r="AB37" i="3"/>
  <c r="X37" i="3"/>
  <c r="Y37" i="3"/>
  <c r="V37" i="3"/>
  <c r="W37" i="3"/>
  <c r="U37" i="3"/>
  <c r="T37" i="3"/>
  <c r="S37" i="3"/>
  <c r="Q37" i="3"/>
  <c r="R37" i="3"/>
  <c r="P37" i="3"/>
  <c r="O37" i="3"/>
  <c r="N37" i="3"/>
  <c r="I37" i="3"/>
  <c r="M37" i="3"/>
  <c r="L37" i="3"/>
  <c r="K37" i="3"/>
  <c r="AO37" i="3"/>
  <c r="AP37" i="3"/>
  <c r="J37" i="3"/>
  <c r="G38" i="3"/>
  <c r="I39" i="1"/>
  <c r="J38" i="1"/>
  <c r="V38" i="1"/>
  <c r="Y38" i="1"/>
  <c r="Z38" i="1" s="1"/>
  <c r="G38" i="2"/>
  <c r="S38" i="1"/>
  <c r="W38" i="1" s="1"/>
  <c r="N38" i="1"/>
  <c r="R38" i="1"/>
  <c r="W37" i="1"/>
  <c r="P36" i="1"/>
  <c r="A39" i="2"/>
  <c r="D38" i="1"/>
  <c r="G39" i="3" l="1"/>
  <c r="I40" i="1"/>
  <c r="V39" i="1"/>
  <c r="J39" i="1"/>
  <c r="G39" i="2"/>
  <c r="Y39" i="1"/>
  <c r="Z39" i="1" s="1"/>
  <c r="N39" i="1"/>
  <c r="S39" i="1"/>
  <c r="W39" i="1" s="1"/>
  <c r="R39" i="1"/>
  <c r="H38" i="3"/>
  <c r="AR38" i="3"/>
  <c r="AQ38" i="3"/>
  <c r="AN38" i="3"/>
  <c r="AM38" i="3"/>
  <c r="AL38" i="3"/>
  <c r="AK38" i="3"/>
  <c r="AG38" i="3"/>
  <c r="AJ38" i="3"/>
  <c r="AI38" i="3"/>
  <c r="AF38" i="3"/>
  <c r="AH38" i="3"/>
  <c r="AD38" i="3"/>
  <c r="AE38" i="3"/>
  <c r="AC38" i="3"/>
  <c r="AB38" i="3"/>
  <c r="AA38" i="3"/>
  <c r="Z38" i="3"/>
  <c r="Y38" i="3"/>
  <c r="X38" i="3"/>
  <c r="V38" i="3"/>
  <c r="W38" i="3"/>
  <c r="T38" i="3"/>
  <c r="S38" i="3"/>
  <c r="U38" i="3"/>
  <c r="O38" i="3"/>
  <c r="R38" i="3"/>
  <c r="N38" i="3"/>
  <c r="P38" i="3"/>
  <c r="Q38" i="3"/>
  <c r="M38" i="3"/>
  <c r="L38" i="3"/>
  <c r="AO38" i="3"/>
  <c r="AP38" i="3"/>
  <c r="J38" i="3"/>
  <c r="I38" i="3"/>
  <c r="K38" i="3"/>
  <c r="P37" i="1"/>
  <c r="H38" i="2"/>
  <c r="AQ38" i="2"/>
  <c r="AR38" i="2"/>
  <c r="AN38" i="2"/>
  <c r="AM38" i="2"/>
  <c r="AL38" i="2"/>
  <c r="AK38" i="2"/>
  <c r="AJ38" i="2"/>
  <c r="AH38" i="2"/>
  <c r="AF38" i="2"/>
  <c r="AI38" i="2"/>
  <c r="AG38" i="2"/>
  <c r="AD38" i="2"/>
  <c r="AB38" i="2"/>
  <c r="AE38" i="2"/>
  <c r="AA38" i="2"/>
  <c r="AC38" i="2"/>
  <c r="Y38" i="2"/>
  <c r="Z38" i="2"/>
  <c r="X38" i="2"/>
  <c r="W38" i="2"/>
  <c r="S38" i="2"/>
  <c r="V38" i="2"/>
  <c r="U38" i="2"/>
  <c r="P38" i="2"/>
  <c r="R38" i="2"/>
  <c r="T38" i="2"/>
  <c r="Q38" i="2"/>
  <c r="L38" i="2"/>
  <c r="N38" i="2"/>
  <c r="O38" i="2"/>
  <c r="J38" i="2"/>
  <c r="M38" i="2"/>
  <c r="K38" i="2"/>
  <c r="I38" i="2"/>
  <c r="AP38" i="2"/>
  <c r="AO38" i="2"/>
  <c r="L38" i="1"/>
  <c r="AA38" i="1"/>
  <c r="D39" i="1"/>
  <c r="A40" i="2"/>
  <c r="H39" i="2" l="1"/>
  <c r="AQ39" i="2"/>
  <c r="AR39" i="2"/>
  <c r="AN39" i="2"/>
  <c r="AL39" i="2"/>
  <c r="AK39" i="2"/>
  <c r="AM39" i="2"/>
  <c r="AH39" i="2"/>
  <c r="AJ39" i="2"/>
  <c r="AI39" i="2"/>
  <c r="AG39" i="2"/>
  <c r="AF39" i="2"/>
  <c r="AD39" i="2"/>
  <c r="AB39" i="2"/>
  <c r="AE39" i="2"/>
  <c r="AA39" i="2"/>
  <c r="AC39" i="2"/>
  <c r="Y39" i="2"/>
  <c r="Z39" i="2"/>
  <c r="W39" i="2"/>
  <c r="X39" i="2"/>
  <c r="U39" i="2"/>
  <c r="V39" i="2"/>
  <c r="T39" i="2"/>
  <c r="S39" i="2"/>
  <c r="R39" i="2"/>
  <c r="Q39" i="2"/>
  <c r="P39" i="2"/>
  <c r="O39" i="2"/>
  <c r="M39" i="2"/>
  <c r="N39" i="2"/>
  <c r="L39" i="2"/>
  <c r="J39" i="2"/>
  <c r="AO39" i="2"/>
  <c r="K39" i="2"/>
  <c r="I39" i="2"/>
  <c r="AP39" i="2"/>
  <c r="L39" i="1"/>
  <c r="AA39" i="1"/>
  <c r="P38" i="1"/>
  <c r="I41" i="1"/>
  <c r="G40" i="3"/>
  <c r="V40" i="1"/>
  <c r="J40" i="1"/>
  <c r="G40" i="2"/>
  <c r="Y40" i="1"/>
  <c r="Z40" i="1" s="1"/>
  <c r="S40" i="1"/>
  <c r="N40" i="1"/>
  <c r="R40" i="1"/>
  <c r="D40" i="1"/>
  <c r="A41" i="2"/>
  <c r="H39" i="3"/>
  <c r="AQ39" i="3"/>
  <c r="AR39" i="3"/>
  <c r="AN39" i="3"/>
  <c r="AM39" i="3"/>
  <c r="AL39" i="3"/>
  <c r="AK39" i="3"/>
  <c r="AG39" i="3"/>
  <c r="AJ39" i="3"/>
  <c r="AI39" i="3"/>
  <c r="AF39" i="3"/>
  <c r="AH39" i="3"/>
  <c r="AB39" i="3"/>
  <c r="AD39" i="3"/>
  <c r="AE39" i="3"/>
  <c r="AC39" i="3"/>
  <c r="AA39" i="3"/>
  <c r="Y39" i="3"/>
  <c r="Z39" i="3"/>
  <c r="T39" i="3"/>
  <c r="X39" i="3"/>
  <c r="V39" i="3"/>
  <c r="W39" i="3"/>
  <c r="S39" i="3"/>
  <c r="U39" i="3"/>
  <c r="Q39" i="3"/>
  <c r="R39" i="3"/>
  <c r="P39" i="3"/>
  <c r="N39" i="3"/>
  <c r="O39" i="3"/>
  <c r="L39" i="3"/>
  <c r="I39" i="3"/>
  <c r="M39" i="3"/>
  <c r="K39" i="3"/>
  <c r="J39" i="3"/>
  <c r="AO39" i="3"/>
  <c r="AP39" i="3"/>
  <c r="D41" i="1" l="1"/>
  <c r="A42" i="2"/>
  <c r="L40" i="1"/>
  <c r="AA40" i="1"/>
  <c r="H40" i="3"/>
  <c r="AQ40" i="3"/>
  <c r="AR40" i="3"/>
  <c r="AN40" i="3"/>
  <c r="AM40" i="3"/>
  <c r="AL40" i="3"/>
  <c r="AK40" i="3"/>
  <c r="AJ40" i="3"/>
  <c r="AI40" i="3"/>
  <c r="AH40" i="3"/>
  <c r="AF40" i="3"/>
  <c r="AG40" i="3"/>
  <c r="AB40" i="3"/>
  <c r="AD40" i="3"/>
  <c r="AE40" i="3"/>
  <c r="AA40" i="3"/>
  <c r="AC40" i="3"/>
  <c r="Z40" i="3"/>
  <c r="Y40" i="3"/>
  <c r="W40" i="3"/>
  <c r="X40" i="3"/>
  <c r="V40" i="3"/>
  <c r="T40" i="3"/>
  <c r="S40" i="3"/>
  <c r="U40" i="3"/>
  <c r="P40" i="3"/>
  <c r="Q40" i="3"/>
  <c r="R40" i="3"/>
  <c r="L40" i="3"/>
  <c r="N40" i="3"/>
  <c r="O40" i="3"/>
  <c r="J40" i="3"/>
  <c r="M40" i="3"/>
  <c r="K40" i="3"/>
  <c r="AO40" i="3"/>
  <c r="AP40" i="3"/>
  <c r="I40" i="3"/>
  <c r="H40" i="2"/>
  <c r="AQ40" i="2"/>
  <c r="AR40" i="2"/>
  <c r="AN40" i="2"/>
  <c r="AL40" i="2"/>
  <c r="AM40" i="2"/>
  <c r="AK40" i="2"/>
  <c r="AH40" i="2"/>
  <c r="AJ40" i="2"/>
  <c r="AG40" i="2"/>
  <c r="AI40" i="2"/>
  <c r="AF40" i="2"/>
  <c r="AD40" i="2"/>
  <c r="AE40" i="2"/>
  <c r="AC40" i="2"/>
  <c r="AA40" i="2"/>
  <c r="AB40" i="2"/>
  <c r="Y40" i="2"/>
  <c r="Z40" i="2"/>
  <c r="W40" i="2"/>
  <c r="X40" i="2"/>
  <c r="U40" i="2"/>
  <c r="V40" i="2"/>
  <c r="T40" i="2"/>
  <c r="P40" i="2"/>
  <c r="S40" i="2"/>
  <c r="R40" i="2"/>
  <c r="O40" i="2"/>
  <c r="Q40" i="2"/>
  <c r="J40" i="2"/>
  <c r="M40" i="2"/>
  <c r="N40" i="2"/>
  <c r="L40" i="2"/>
  <c r="AO40" i="2"/>
  <c r="K40" i="2"/>
  <c r="I40" i="2"/>
  <c r="AP40" i="2"/>
  <c r="G41" i="3"/>
  <c r="I42" i="1"/>
  <c r="J41" i="1"/>
  <c r="V41" i="1"/>
  <c r="G41" i="2"/>
  <c r="Y41" i="1"/>
  <c r="Z41" i="1" s="1"/>
  <c r="N41" i="1"/>
  <c r="R41" i="1"/>
  <c r="S41" i="1"/>
  <c r="W41" i="1" s="1"/>
  <c r="W40" i="1"/>
  <c r="P39" i="1"/>
  <c r="H41" i="3" l="1"/>
  <c r="AQ41" i="3"/>
  <c r="AR41" i="3"/>
  <c r="AN41" i="3"/>
  <c r="AL41" i="3"/>
  <c r="AK41" i="3"/>
  <c r="AM41" i="3"/>
  <c r="AJ41" i="3"/>
  <c r="AH41" i="3"/>
  <c r="AI41" i="3"/>
  <c r="AG41" i="3"/>
  <c r="AF41" i="3"/>
  <c r="AB41" i="3"/>
  <c r="AD41" i="3"/>
  <c r="AE41" i="3"/>
  <c r="AC41" i="3"/>
  <c r="AA41" i="3"/>
  <c r="W41" i="3"/>
  <c r="Z41" i="3"/>
  <c r="Y41" i="3"/>
  <c r="X41" i="3"/>
  <c r="T41" i="3"/>
  <c r="U41" i="3"/>
  <c r="V41" i="3"/>
  <c r="P41" i="3"/>
  <c r="S41" i="3"/>
  <c r="R41" i="3"/>
  <c r="Q41" i="3"/>
  <c r="O41" i="3"/>
  <c r="J41" i="3"/>
  <c r="N41" i="3"/>
  <c r="M41" i="3"/>
  <c r="L41" i="3"/>
  <c r="K41" i="3"/>
  <c r="AO41" i="3"/>
  <c r="AP41" i="3"/>
  <c r="I41" i="3"/>
  <c r="P40" i="1"/>
  <c r="H41" i="2"/>
  <c r="AR41" i="2"/>
  <c r="AQ41" i="2"/>
  <c r="AN41" i="2"/>
  <c r="AM41" i="2"/>
  <c r="AL41" i="2"/>
  <c r="AK41" i="2"/>
  <c r="AI41" i="2"/>
  <c r="AH41" i="2"/>
  <c r="AJ41" i="2"/>
  <c r="AG41" i="2"/>
  <c r="AD41" i="2"/>
  <c r="AF41" i="2"/>
  <c r="AC41" i="2"/>
  <c r="AE41" i="2"/>
  <c r="AB41" i="2"/>
  <c r="AA41" i="2"/>
  <c r="Z41" i="2"/>
  <c r="U41" i="2"/>
  <c r="W41" i="2"/>
  <c r="Y41" i="2"/>
  <c r="X41" i="2"/>
  <c r="V41" i="2"/>
  <c r="T41" i="2"/>
  <c r="S41" i="2"/>
  <c r="R41" i="2"/>
  <c r="Q41" i="2"/>
  <c r="O41" i="2"/>
  <c r="P41" i="2"/>
  <c r="M41" i="2"/>
  <c r="N41" i="2"/>
  <c r="L41" i="2"/>
  <c r="K41" i="2"/>
  <c r="I41" i="2"/>
  <c r="J41" i="2"/>
  <c r="AP41" i="2"/>
  <c r="AO41" i="2"/>
  <c r="D42" i="1"/>
  <c r="A43" i="2"/>
  <c r="D43" i="1" s="1"/>
  <c r="L41" i="1"/>
  <c r="AA41" i="1"/>
  <c r="I43" i="1"/>
  <c r="G42" i="3"/>
  <c r="V42" i="1"/>
  <c r="J42" i="1"/>
  <c r="G42" i="2"/>
  <c r="Y42" i="1"/>
  <c r="Z42" i="1" s="1"/>
  <c r="S42" i="1"/>
  <c r="R42" i="1"/>
  <c r="N42" i="1"/>
  <c r="W42" i="1" l="1"/>
  <c r="H42" i="2"/>
  <c r="AR42" i="2"/>
  <c r="AN42" i="2"/>
  <c r="AM42" i="2"/>
  <c r="AQ42" i="2"/>
  <c r="AL42" i="2"/>
  <c r="AI42" i="2"/>
  <c r="AK42" i="2"/>
  <c r="AJ42" i="2"/>
  <c r="AH42" i="2"/>
  <c r="AG42" i="2"/>
  <c r="AF42" i="2"/>
  <c r="AE42" i="2"/>
  <c r="AC42" i="2"/>
  <c r="AD42" i="2"/>
  <c r="AB42" i="2"/>
  <c r="Z42" i="2"/>
  <c r="AA42" i="2"/>
  <c r="Y42" i="2"/>
  <c r="X42" i="2"/>
  <c r="U42" i="2"/>
  <c r="W42" i="2"/>
  <c r="R42" i="2"/>
  <c r="V42" i="2"/>
  <c r="T42" i="2"/>
  <c r="Q42" i="2"/>
  <c r="S42" i="2"/>
  <c r="M42" i="2"/>
  <c r="O42" i="2"/>
  <c r="P42" i="2"/>
  <c r="K42" i="2"/>
  <c r="N42" i="2"/>
  <c r="L42" i="2"/>
  <c r="AP42" i="2"/>
  <c r="I42" i="2"/>
  <c r="J42" i="2"/>
  <c r="AO42" i="2"/>
  <c r="H42" i="3"/>
  <c r="AR42" i="3"/>
  <c r="AQ42" i="3"/>
  <c r="AN42" i="3"/>
  <c r="AL42" i="3"/>
  <c r="AK42" i="3"/>
  <c r="AM42" i="3"/>
  <c r="AJ42" i="3"/>
  <c r="AH42" i="3"/>
  <c r="AI42" i="3"/>
  <c r="AG42" i="3"/>
  <c r="AF42" i="3"/>
  <c r="AD42" i="3"/>
  <c r="AE42" i="3"/>
  <c r="AC42" i="3"/>
  <c r="AA42" i="3"/>
  <c r="AB42" i="3"/>
  <c r="Z42" i="3"/>
  <c r="Y42" i="3"/>
  <c r="X42" i="3"/>
  <c r="W42" i="3"/>
  <c r="V42" i="3"/>
  <c r="U42" i="3"/>
  <c r="T42" i="3"/>
  <c r="R42" i="3"/>
  <c r="P42" i="3"/>
  <c r="S42" i="3"/>
  <c r="L42" i="3"/>
  <c r="Q42" i="3"/>
  <c r="O42" i="3"/>
  <c r="J42" i="3"/>
  <c r="N42" i="3"/>
  <c r="M42" i="3"/>
  <c r="K42" i="3"/>
  <c r="AO42" i="3"/>
  <c r="AP42" i="3"/>
  <c r="I42" i="3"/>
  <c r="G43" i="3"/>
  <c r="I44" i="1"/>
  <c r="J43" i="1"/>
  <c r="V43" i="1"/>
  <c r="G43" i="2"/>
  <c r="Y43" i="1"/>
  <c r="Z43" i="1" s="1"/>
  <c r="S43" i="1"/>
  <c r="W43" i="1" s="1"/>
  <c r="N43" i="1"/>
  <c r="R43" i="1"/>
  <c r="L42" i="1"/>
  <c r="AA42" i="1"/>
  <c r="P41" i="1"/>
  <c r="P42" i="1" l="1"/>
  <c r="I45" i="1"/>
  <c r="G44" i="3"/>
  <c r="V44" i="1"/>
  <c r="J44" i="1"/>
  <c r="G44" i="2"/>
  <c r="Y44" i="1"/>
  <c r="Z44" i="1" s="1"/>
  <c r="S44" i="1"/>
  <c r="N44" i="1"/>
  <c r="R44" i="1"/>
  <c r="H43" i="3"/>
  <c r="AR43" i="3"/>
  <c r="AQ43" i="3"/>
  <c r="AN43" i="3"/>
  <c r="AM43" i="3"/>
  <c r="AL43" i="3"/>
  <c r="AK43" i="3"/>
  <c r="AJ43" i="3"/>
  <c r="AI43" i="3"/>
  <c r="AH43" i="3"/>
  <c r="AF43" i="3"/>
  <c r="AD43" i="3"/>
  <c r="AG43" i="3"/>
  <c r="AC43" i="3"/>
  <c r="AE43" i="3"/>
  <c r="AA43" i="3"/>
  <c r="AB43" i="3"/>
  <c r="W43" i="3"/>
  <c r="Z43" i="3"/>
  <c r="U43" i="3"/>
  <c r="Y43" i="3"/>
  <c r="X43" i="3"/>
  <c r="T43" i="3"/>
  <c r="V43" i="3"/>
  <c r="S43" i="3"/>
  <c r="R43" i="3"/>
  <c r="Q43" i="3"/>
  <c r="P43" i="3"/>
  <c r="O43" i="3"/>
  <c r="M43" i="3"/>
  <c r="N43" i="3"/>
  <c r="L43" i="3"/>
  <c r="K43" i="3"/>
  <c r="J43" i="3"/>
  <c r="AO43" i="3"/>
  <c r="AP43" i="3"/>
  <c r="I43" i="3"/>
  <c r="H43" i="2"/>
  <c r="AR43" i="2"/>
  <c r="AN43" i="2"/>
  <c r="AM43" i="2"/>
  <c r="AQ43" i="2"/>
  <c r="AL43" i="2"/>
  <c r="AK43" i="2"/>
  <c r="AJ43" i="2"/>
  <c r="AH43" i="2"/>
  <c r="AI43" i="2"/>
  <c r="AD43" i="2"/>
  <c r="AG43" i="2"/>
  <c r="AF43" i="2"/>
  <c r="AE43" i="2"/>
  <c r="AC43" i="2"/>
  <c r="AB43" i="2"/>
  <c r="X43" i="2"/>
  <c r="Z43" i="2"/>
  <c r="AA43" i="2"/>
  <c r="Y43" i="2"/>
  <c r="U43" i="2"/>
  <c r="V43" i="2"/>
  <c r="T43" i="2"/>
  <c r="W43" i="2"/>
  <c r="Q43" i="2"/>
  <c r="S43" i="2"/>
  <c r="R43" i="2"/>
  <c r="O43" i="2"/>
  <c r="P43" i="2"/>
  <c r="K43" i="2"/>
  <c r="N43" i="2"/>
  <c r="L43" i="2"/>
  <c r="M43" i="2"/>
  <c r="AP43" i="2"/>
  <c r="I43" i="2"/>
  <c r="J43" i="2"/>
  <c r="AO43" i="2"/>
  <c r="L43" i="1"/>
  <c r="AA43" i="1"/>
  <c r="P43" i="1" l="1"/>
  <c r="L44" i="1"/>
  <c r="AA44" i="1"/>
  <c r="H44" i="2"/>
  <c r="AR44" i="2"/>
  <c r="AN44" i="2"/>
  <c r="AM44" i="2"/>
  <c r="AQ44" i="2"/>
  <c r="AL44" i="2"/>
  <c r="AI44" i="2"/>
  <c r="AK44" i="2"/>
  <c r="AJ44" i="2"/>
  <c r="AH44" i="2"/>
  <c r="AG44" i="2"/>
  <c r="AF44" i="2"/>
  <c r="AE44" i="2"/>
  <c r="AD44" i="2"/>
  <c r="Z44" i="2"/>
  <c r="AB44" i="2"/>
  <c r="AC44" i="2"/>
  <c r="X44" i="2"/>
  <c r="AA44" i="2"/>
  <c r="W44" i="2"/>
  <c r="Y44" i="2"/>
  <c r="V44" i="2"/>
  <c r="U44" i="2"/>
  <c r="R44" i="2"/>
  <c r="Q44" i="2"/>
  <c r="T44" i="2"/>
  <c r="S44" i="2"/>
  <c r="M44" i="2"/>
  <c r="P44" i="2"/>
  <c r="K44" i="2"/>
  <c r="N44" i="2"/>
  <c r="L44" i="2"/>
  <c r="O44" i="2"/>
  <c r="I44" i="2"/>
  <c r="AO44" i="2"/>
  <c r="AP44" i="2"/>
  <c r="J44" i="2"/>
  <c r="H44" i="3"/>
  <c r="AR44" i="3"/>
  <c r="AQ44" i="3"/>
  <c r="AN44" i="3"/>
  <c r="AM44" i="3"/>
  <c r="AL44" i="3"/>
  <c r="AK44" i="3"/>
  <c r="AI44" i="3"/>
  <c r="AJ44" i="3"/>
  <c r="AE44" i="3"/>
  <c r="AH44" i="3"/>
  <c r="AG44" i="3"/>
  <c r="AF44" i="3"/>
  <c r="AD44" i="3"/>
  <c r="AC44" i="3"/>
  <c r="AA44" i="3"/>
  <c r="AB44" i="3"/>
  <c r="Z44" i="3"/>
  <c r="Y44" i="3"/>
  <c r="X44" i="3"/>
  <c r="U44" i="3"/>
  <c r="W44" i="3"/>
  <c r="V44" i="3"/>
  <c r="R44" i="3"/>
  <c r="T44" i="3"/>
  <c r="Q44" i="3"/>
  <c r="S44" i="3"/>
  <c r="M44" i="3"/>
  <c r="P44" i="3"/>
  <c r="O44" i="3"/>
  <c r="K44" i="3"/>
  <c r="N44" i="3"/>
  <c r="L44" i="3"/>
  <c r="I44" i="3"/>
  <c r="J44" i="3"/>
  <c r="AO44" i="3"/>
  <c r="AP44" i="3"/>
  <c r="G45" i="3"/>
  <c r="I46" i="1"/>
  <c r="V45" i="1"/>
  <c r="J45" i="1"/>
  <c r="G45" i="2"/>
  <c r="Y45" i="1"/>
  <c r="Z45" i="1" s="1"/>
  <c r="S45" i="1"/>
  <c r="W45" i="1" s="1"/>
  <c r="N45" i="1"/>
  <c r="R45" i="1"/>
  <c r="W44" i="1"/>
  <c r="H45" i="2" l="1"/>
  <c r="AR45" i="2"/>
  <c r="AN45" i="2"/>
  <c r="AQ45" i="2"/>
  <c r="AM45" i="2"/>
  <c r="AL45" i="2"/>
  <c r="AK45" i="2"/>
  <c r="AJ45" i="2"/>
  <c r="AH45" i="2"/>
  <c r="AI45" i="2"/>
  <c r="AF45" i="2"/>
  <c r="AE45" i="2"/>
  <c r="AG45" i="2"/>
  <c r="AD45" i="2"/>
  <c r="AB45" i="2"/>
  <c r="AC45" i="2"/>
  <c r="Z45" i="2"/>
  <c r="X45" i="2"/>
  <c r="AA45" i="2"/>
  <c r="V45" i="2"/>
  <c r="Y45" i="2"/>
  <c r="U45" i="2"/>
  <c r="W45" i="2"/>
  <c r="S45" i="2"/>
  <c r="T45" i="2"/>
  <c r="R45" i="2"/>
  <c r="Q45" i="2"/>
  <c r="P45" i="2"/>
  <c r="N45" i="2"/>
  <c r="O45" i="2"/>
  <c r="M45" i="2"/>
  <c r="L45" i="2"/>
  <c r="AO45" i="2"/>
  <c r="I45" i="2"/>
  <c r="K45" i="2"/>
  <c r="J45" i="2"/>
  <c r="AP45" i="2"/>
  <c r="P44" i="1"/>
  <c r="L45" i="1"/>
  <c r="P45" i="1" s="1"/>
  <c r="AA45" i="1"/>
  <c r="G46" i="3"/>
  <c r="I47" i="1"/>
  <c r="V46" i="1"/>
  <c r="J46" i="1"/>
  <c r="G46" i="2"/>
  <c r="Y46" i="1"/>
  <c r="Z46" i="1" s="1"/>
  <c r="R46" i="1"/>
  <c r="S46" i="1"/>
  <c r="N46" i="1"/>
  <c r="H45" i="3"/>
  <c r="AR45" i="3"/>
  <c r="AN45" i="3"/>
  <c r="AQ45" i="3"/>
  <c r="AM45" i="3"/>
  <c r="AL45" i="3"/>
  <c r="AK45" i="3"/>
  <c r="AI45" i="3"/>
  <c r="AJ45" i="3"/>
  <c r="AH45" i="3"/>
  <c r="AG45" i="3"/>
  <c r="AF45" i="3"/>
  <c r="AD45" i="3"/>
  <c r="AE45" i="3"/>
  <c r="AA45" i="3"/>
  <c r="AC45" i="3"/>
  <c r="Z45" i="3"/>
  <c r="AB45" i="3"/>
  <c r="X45" i="3"/>
  <c r="Y45" i="3"/>
  <c r="U45" i="3"/>
  <c r="V45" i="3"/>
  <c r="R45" i="3"/>
  <c r="W45" i="3"/>
  <c r="T45" i="3"/>
  <c r="Q45" i="3"/>
  <c r="S45" i="3"/>
  <c r="O45" i="3"/>
  <c r="P45" i="3"/>
  <c r="K45" i="3"/>
  <c r="N45" i="3"/>
  <c r="M45" i="3"/>
  <c r="L45" i="3"/>
  <c r="I45" i="3"/>
  <c r="J45" i="3"/>
  <c r="AO45" i="3"/>
  <c r="AP45" i="3"/>
  <c r="L46" i="1" l="1"/>
  <c r="AA46" i="1"/>
  <c r="H46" i="2"/>
  <c r="AR46" i="2"/>
  <c r="AQ46" i="2"/>
  <c r="AM46" i="2"/>
  <c r="AN46" i="2"/>
  <c r="AJ46" i="2"/>
  <c r="AL46" i="2"/>
  <c r="AK46" i="2"/>
  <c r="AI46" i="2"/>
  <c r="AF46" i="2"/>
  <c r="AH46" i="2"/>
  <c r="AE46" i="2"/>
  <c r="AG46" i="2"/>
  <c r="AC46" i="2"/>
  <c r="AD46" i="2"/>
  <c r="AB46" i="2"/>
  <c r="AA46" i="2"/>
  <c r="Z46" i="2"/>
  <c r="Y46" i="2"/>
  <c r="V46" i="2"/>
  <c r="W46" i="2"/>
  <c r="X46" i="2"/>
  <c r="S46" i="2"/>
  <c r="U46" i="2"/>
  <c r="T46" i="2"/>
  <c r="R46" i="2"/>
  <c r="N46" i="2"/>
  <c r="Q46" i="2"/>
  <c r="O46" i="2"/>
  <c r="P46" i="2"/>
  <c r="L46" i="2"/>
  <c r="M46" i="2"/>
  <c r="J46" i="2"/>
  <c r="AO46" i="2"/>
  <c r="I46" i="2"/>
  <c r="K46" i="2"/>
  <c r="AP46" i="2"/>
  <c r="W46" i="1"/>
  <c r="I48" i="1"/>
  <c r="G47" i="3"/>
  <c r="V47" i="1"/>
  <c r="J47" i="1"/>
  <c r="G47" i="2"/>
  <c r="Y47" i="1"/>
  <c r="Z47" i="1" s="1"/>
  <c r="S47" i="1"/>
  <c r="R47" i="1"/>
  <c r="N47" i="1"/>
  <c r="H46" i="3"/>
  <c r="AR46" i="3"/>
  <c r="AN46" i="3"/>
  <c r="AQ46" i="3"/>
  <c r="AM46" i="3"/>
  <c r="AL46" i="3"/>
  <c r="AK46" i="3"/>
  <c r="AI46" i="3"/>
  <c r="AJ46" i="3"/>
  <c r="AG46" i="3"/>
  <c r="AH46" i="3"/>
  <c r="AE46" i="3"/>
  <c r="AF46" i="3"/>
  <c r="AC46" i="3"/>
  <c r="AD46" i="3"/>
  <c r="Z46" i="3"/>
  <c r="AA46" i="3"/>
  <c r="AB46" i="3"/>
  <c r="X46" i="3"/>
  <c r="Y46" i="3"/>
  <c r="W46" i="3"/>
  <c r="V46" i="3"/>
  <c r="R46" i="3"/>
  <c r="U46" i="3"/>
  <c r="T46" i="3"/>
  <c r="O46" i="3"/>
  <c r="Q46" i="3"/>
  <c r="S46" i="3"/>
  <c r="M46" i="3"/>
  <c r="P46" i="3"/>
  <c r="K46" i="3"/>
  <c r="N46" i="3"/>
  <c r="L46" i="3"/>
  <c r="I46" i="3"/>
  <c r="J46" i="3"/>
  <c r="AO46" i="3"/>
  <c r="AP46" i="3"/>
  <c r="W47" i="1" l="1"/>
  <c r="G48" i="3"/>
  <c r="I49" i="1"/>
  <c r="J48" i="1"/>
  <c r="V48" i="1"/>
  <c r="G48" i="2"/>
  <c r="Y48" i="1"/>
  <c r="Z48" i="1" s="1"/>
  <c r="S48" i="1"/>
  <c r="N48" i="1"/>
  <c r="R48" i="1"/>
  <c r="H47" i="3"/>
  <c r="AR47" i="3"/>
  <c r="AN47" i="3"/>
  <c r="AQ47" i="3"/>
  <c r="AJ47" i="3"/>
  <c r="AL47" i="3"/>
  <c r="AM47" i="3"/>
  <c r="AK47" i="3"/>
  <c r="AG47" i="3"/>
  <c r="AI47" i="3"/>
  <c r="AH47" i="3"/>
  <c r="AF47" i="3"/>
  <c r="AE47" i="3"/>
  <c r="AA47" i="3"/>
  <c r="AC47" i="3"/>
  <c r="AD47" i="3"/>
  <c r="AB47" i="3"/>
  <c r="Z47" i="3"/>
  <c r="X47" i="3"/>
  <c r="Y47" i="3"/>
  <c r="V47" i="3"/>
  <c r="W47" i="3"/>
  <c r="U47" i="3"/>
  <c r="T47" i="3"/>
  <c r="S47" i="3"/>
  <c r="R47" i="3"/>
  <c r="Q47" i="3"/>
  <c r="O47" i="3"/>
  <c r="P47" i="3"/>
  <c r="N47" i="3"/>
  <c r="L47" i="3"/>
  <c r="I47" i="3"/>
  <c r="K47" i="3"/>
  <c r="M47" i="3"/>
  <c r="AP47" i="3"/>
  <c r="J47" i="3"/>
  <c r="AO47" i="3"/>
  <c r="P46" i="1"/>
  <c r="H47" i="2"/>
  <c r="AR47" i="2"/>
  <c r="AQ47" i="2"/>
  <c r="AN47" i="2"/>
  <c r="AM47" i="2"/>
  <c r="AJ47" i="2"/>
  <c r="AL47" i="2"/>
  <c r="AK47" i="2"/>
  <c r="AI47" i="2"/>
  <c r="AF47" i="2"/>
  <c r="AH47" i="2"/>
  <c r="AG47" i="2"/>
  <c r="AE47" i="2"/>
  <c r="AB47" i="2"/>
  <c r="AD47" i="2"/>
  <c r="AA47" i="2"/>
  <c r="AC47" i="2"/>
  <c r="Y47" i="2"/>
  <c r="Z47" i="2"/>
  <c r="V47" i="2"/>
  <c r="W47" i="2"/>
  <c r="X47" i="2"/>
  <c r="S47" i="2"/>
  <c r="U47" i="2"/>
  <c r="R47" i="2"/>
  <c r="T47" i="2"/>
  <c r="P47" i="2"/>
  <c r="N47" i="2"/>
  <c r="Q47" i="2"/>
  <c r="O47" i="2"/>
  <c r="I47" i="2"/>
  <c r="L47" i="2"/>
  <c r="M47" i="2"/>
  <c r="J47" i="2"/>
  <c r="K47" i="2"/>
  <c r="AO47" i="2"/>
  <c r="AP47" i="2"/>
  <c r="L47" i="1"/>
  <c r="AA47" i="1"/>
  <c r="W48" i="1" l="1"/>
  <c r="H48" i="2"/>
  <c r="AQ48" i="2"/>
  <c r="AR48" i="2"/>
  <c r="AN48" i="2"/>
  <c r="AM48" i="2"/>
  <c r="AJ48" i="2"/>
  <c r="AL48" i="2"/>
  <c r="AK48" i="2"/>
  <c r="AI48" i="2"/>
  <c r="AH48" i="2"/>
  <c r="AF48" i="2"/>
  <c r="AG48" i="2"/>
  <c r="AB48" i="2"/>
  <c r="AE48" i="2"/>
  <c r="AD48" i="2"/>
  <c r="AA48" i="2"/>
  <c r="AC48" i="2"/>
  <c r="Y48" i="2"/>
  <c r="Z48" i="2"/>
  <c r="X48" i="2"/>
  <c r="W48" i="2"/>
  <c r="S48" i="2"/>
  <c r="V48" i="2"/>
  <c r="U48" i="2"/>
  <c r="T48" i="2"/>
  <c r="P48" i="2"/>
  <c r="R48" i="2"/>
  <c r="L48" i="2"/>
  <c r="N48" i="2"/>
  <c r="Q48" i="2"/>
  <c r="O48" i="2"/>
  <c r="M48" i="2"/>
  <c r="J48" i="2"/>
  <c r="K48" i="2"/>
  <c r="I48" i="2"/>
  <c r="AO48" i="2"/>
  <c r="AP48" i="2"/>
  <c r="L48" i="1"/>
  <c r="AA48" i="1"/>
  <c r="G49" i="3"/>
  <c r="I50" i="1"/>
  <c r="V49" i="1"/>
  <c r="J49" i="1"/>
  <c r="G49" i="2"/>
  <c r="Y49" i="1"/>
  <c r="Z49" i="1" s="1"/>
  <c r="S49" i="1"/>
  <c r="W49" i="1" s="1"/>
  <c r="N49" i="1"/>
  <c r="R49" i="1"/>
  <c r="H48" i="3"/>
  <c r="AQ48" i="3"/>
  <c r="AR48" i="3"/>
  <c r="AN48" i="3"/>
  <c r="AM48" i="3"/>
  <c r="AL48" i="3"/>
  <c r="AK48" i="3"/>
  <c r="AG48" i="3"/>
  <c r="AJ48" i="3"/>
  <c r="AI48" i="3"/>
  <c r="AF48" i="3"/>
  <c r="AH48" i="3"/>
  <c r="AE48" i="3"/>
  <c r="AC48" i="3"/>
  <c r="AD48" i="3"/>
  <c r="AB48" i="3"/>
  <c r="AA48" i="3"/>
  <c r="Z48" i="3"/>
  <c r="Y48" i="3"/>
  <c r="V48" i="3"/>
  <c r="X48" i="3"/>
  <c r="W48" i="3"/>
  <c r="T48" i="3"/>
  <c r="S48" i="3"/>
  <c r="U48" i="3"/>
  <c r="O48" i="3"/>
  <c r="R48" i="3"/>
  <c r="P48" i="3"/>
  <c r="N48" i="3"/>
  <c r="Q48" i="3"/>
  <c r="L48" i="3"/>
  <c r="M48" i="3"/>
  <c r="J48" i="3"/>
  <c r="AO48" i="3"/>
  <c r="AP48" i="3"/>
  <c r="I48" i="3"/>
  <c r="K48" i="3"/>
  <c r="P47" i="1"/>
  <c r="H49" i="2" l="1"/>
  <c r="AQ49" i="2"/>
  <c r="AR49" i="2"/>
  <c r="AN49" i="2"/>
  <c r="AL49" i="2"/>
  <c r="AK49" i="2"/>
  <c r="AM49" i="2"/>
  <c r="AJ49" i="2"/>
  <c r="AH49" i="2"/>
  <c r="AI49" i="2"/>
  <c r="AG49" i="2"/>
  <c r="AF49" i="2"/>
  <c r="AB49" i="2"/>
  <c r="AE49" i="2"/>
  <c r="AD49" i="2"/>
  <c r="AA49" i="2"/>
  <c r="AC49" i="2"/>
  <c r="Y49" i="2"/>
  <c r="Z49" i="2"/>
  <c r="W49" i="2"/>
  <c r="X49" i="2"/>
  <c r="V49" i="2"/>
  <c r="U49" i="2"/>
  <c r="T49" i="2"/>
  <c r="R49" i="2"/>
  <c r="S49" i="2"/>
  <c r="Q49" i="2"/>
  <c r="P49" i="2"/>
  <c r="O49" i="2"/>
  <c r="M49" i="2"/>
  <c r="N49" i="2"/>
  <c r="L49" i="2"/>
  <c r="K49" i="2"/>
  <c r="J49" i="2"/>
  <c r="AO49" i="2"/>
  <c r="I49" i="2"/>
  <c r="AP49" i="2"/>
  <c r="L49" i="1"/>
  <c r="AA49" i="1"/>
  <c r="I51" i="1"/>
  <c r="G50" i="3"/>
  <c r="V50" i="1"/>
  <c r="J50" i="1"/>
  <c r="G50" i="2"/>
  <c r="Y50" i="1"/>
  <c r="Z50" i="1" s="1"/>
  <c r="S50" i="1"/>
  <c r="W50" i="1" s="1"/>
  <c r="R50" i="1"/>
  <c r="N50" i="1"/>
  <c r="H49" i="3"/>
  <c r="AQ49" i="3"/>
  <c r="AR49" i="3"/>
  <c r="AN49" i="3"/>
  <c r="AM49" i="3"/>
  <c r="AL49" i="3"/>
  <c r="AK49" i="3"/>
  <c r="AG49" i="3"/>
  <c r="AJ49" i="3"/>
  <c r="AI49" i="3"/>
  <c r="AF49" i="3"/>
  <c r="AH49" i="3"/>
  <c r="AB49" i="3"/>
  <c r="AC49" i="3"/>
  <c r="AD49" i="3"/>
  <c r="AE49" i="3"/>
  <c r="Y49" i="3"/>
  <c r="AA49" i="3"/>
  <c r="Z49" i="3"/>
  <c r="W49" i="3"/>
  <c r="T49" i="3"/>
  <c r="V49" i="3"/>
  <c r="X49" i="3"/>
  <c r="S49" i="3"/>
  <c r="U49" i="3"/>
  <c r="R49" i="3"/>
  <c r="Q49" i="3"/>
  <c r="P49" i="3"/>
  <c r="O49" i="3"/>
  <c r="N49" i="3"/>
  <c r="L49" i="3"/>
  <c r="M49" i="3"/>
  <c r="I49" i="3"/>
  <c r="K49" i="3"/>
  <c r="J49" i="3"/>
  <c r="AO49" i="3"/>
  <c r="AP49" i="3"/>
  <c r="P48" i="1"/>
  <c r="G51" i="3" l="1"/>
  <c r="I52" i="1"/>
  <c r="J51" i="1"/>
  <c r="G51" i="2"/>
  <c r="V51" i="1"/>
  <c r="Y51" i="1"/>
  <c r="Z51" i="1" s="1"/>
  <c r="S51" i="1"/>
  <c r="W51" i="1" s="1"/>
  <c r="N51" i="1"/>
  <c r="R51" i="1"/>
  <c r="P49" i="1"/>
  <c r="H50" i="2"/>
  <c r="AQ50" i="2"/>
  <c r="AR50" i="2"/>
  <c r="AL50" i="2"/>
  <c r="AN50" i="2"/>
  <c r="AK50" i="2"/>
  <c r="AM50" i="2"/>
  <c r="AJ50" i="2"/>
  <c r="AH50" i="2"/>
  <c r="AG50" i="2"/>
  <c r="AI50" i="2"/>
  <c r="AF50" i="2"/>
  <c r="AD50" i="2"/>
  <c r="AE50" i="2"/>
  <c r="AC50" i="2"/>
  <c r="AA50" i="2"/>
  <c r="AB50" i="2"/>
  <c r="Y50" i="2"/>
  <c r="Z50" i="2"/>
  <c r="W50" i="2"/>
  <c r="X50" i="2"/>
  <c r="U50" i="2"/>
  <c r="T50" i="2"/>
  <c r="V50" i="2"/>
  <c r="S50" i="2"/>
  <c r="P50" i="2"/>
  <c r="R50" i="2"/>
  <c r="O50" i="2"/>
  <c r="Q50" i="2"/>
  <c r="M50" i="2"/>
  <c r="J50" i="2"/>
  <c r="N50" i="2"/>
  <c r="L50" i="2"/>
  <c r="K50" i="2"/>
  <c r="AO50" i="2"/>
  <c r="I50" i="2"/>
  <c r="AP50" i="2"/>
  <c r="L50" i="1"/>
  <c r="P50" i="1" s="1"/>
  <c r="AA50" i="1"/>
  <c r="H50" i="3"/>
  <c r="AQ50" i="3"/>
  <c r="AR50" i="3"/>
  <c r="AN50" i="3"/>
  <c r="AM50" i="3"/>
  <c r="AK50" i="3"/>
  <c r="AL50" i="3"/>
  <c r="AJ50" i="3"/>
  <c r="AI50" i="3"/>
  <c r="AH50" i="3"/>
  <c r="AG50" i="3"/>
  <c r="AF50" i="3"/>
  <c r="AE50" i="3"/>
  <c r="AB50" i="3"/>
  <c r="AD50" i="3"/>
  <c r="AC50" i="3"/>
  <c r="Y50" i="3"/>
  <c r="AA50" i="3"/>
  <c r="Z50" i="3"/>
  <c r="W50" i="3"/>
  <c r="V50" i="3"/>
  <c r="X50" i="3"/>
  <c r="U50" i="3"/>
  <c r="T50" i="3"/>
  <c r="S50" i="3"/>
  <c r="P50" i="3"/>
  <c r="R50" i="3"/>
  <c r="Q50" i="3"/>
  <c r="L50" i="3"/>
  <c r="O50" i="3"/>
  <c r="N50" i="3"/>
  <c r="J50" i="3"/>
  <c r="M50" i="3"/>
  <c r="K50" i="3"/>
  <c r="AO50" i="3"/>
  <c r="I50" i="3"/>
  <c r="AP50" i="3"/>
  <c r="L51" i="1" l="1"/>
  <c r="AA51" i="1"/>
  <c r="H51" i="2"/>
  <c r="AQ51" i="2"/>
  <c r="AR51" i="2"/>
  <c r="AM51" i="2"/>
  <c r="AL51" i="2"/>
  <c r="AN51" i="2"/>
  <c r="AK51" i="2"/>
  <c r="AI51" i="2"/>
  <c r="AJ51" i="2"/>
  <c r="AH51" i="2"/>
  <c r="AG51" i="2"/>
  <c r="AD51" i="2"/>
  <c r="AF51" i="2"/>
  <c r="AC51" i="2"/>
  <c r="AE51" i="2"/>
  <c r="AA51" i="2"/>
  <c r="AB51" i="2"/>
  <c r="Z51" i="2"/>
  <c r="Y51" i="2"/>
  <c r="U51" i="2"/>
  <c r="W51" i="2"/>
  <c r="X51" i="2"/>
  <c r="T51" i="2"/>
  <c r="V51" i="2"/>
  <c r="S51" i="2"/>
  <c r="R51" i="2"/>
  <c r="Q51" i="2"/>
  <c r="P51" i="2"/>
  <c r="O51" i="2"/>
  <c r="M51" i="2"/>
  <c r="N51" i="2"/>
  <c r="L51" i="2"/>
  <c r="K51" i="2"/>
  <c r="J51" i="2"/>
  <c r="I51" i="2"/>
  <c r="AP51" i="2"/>
  <c r="AO51" i="2"/>
  <c r="I53" i="1"/>
  <c r="G52" i="3"/>
  <c r="V52" i="1"/>
  <c r="J52" i="1"/>
  <c r="G52" i="2"/>
  <c r="Y52" i="1"/>
  <c r="Z52" i="1" s="1"/>
  <c r="S52" i="1"/>
  <c r="N52" i="1"/>
  <c r="R52" i="1"/>
  <c r="H51" i="3"/>
  <c r="AR51" i="3"/>
  <c r="AQ51" i="3"/>
  <c r="AN51" i="3"/>
  <c r="AM51" i="3"/>
  <c r="AL51" i="3"/>
  <c r="AK51" i="3"/>
  <c r="AJ51" i="3"/>
  <c r="AH51" i="3"/>
  <c r="AI51" i="3"/>
  <c r="AG51" i="3"/>
  <c r="AF51" i="3"/>
  <c r="AE51" i="3"/>
  <c r="AB51" i="3"/>
  <c r="AC51" i="3"/>
  <c r="AD51" i="3"/>
  <c r="AA51" i="3"/>
  <c r="W51" i="3"/>
  <c r="Y51" i="3"/>
  <c r="Z51" i="3"/>
  <c r="X51" i="3"/>
  <c r="U51" i="3"/>
  <c r="T51" i="3"/>
  <c r="V51" i="3"/>
  <c r="P51" i="3"/>
  <c r="S51" i="3"/>
  <c r="R51" i="3"/>
  <c r="O51" i="3"/>
  <c r="Q51" i="3"/>
  <c r="J51" i="3"/>
  <c r="M51" i="3"/>
  <c r="L51" i="3"/>
  <c r="K51" i="3"/>
  <c r="N51" i="3"/>
  <c r="AO51" i="3"/>
  <c r="I51" i="3"/>
  <c r="AP51" i="3"/>
  <c r="H52" i="2" l="1"/>
  <c r="AQ52" i="2"/>
  <c r="AR52" i="2"/>
  <c r="AN52" i="2"/>
  <c r="AM52" i="2"/>
  <c r="AL52" i="2"/>
  <c r="AK52" i="2"/>
  <c r="AI52" i="2"/>
  <c r="AJ52" i="2"/>
  <c r="AG52" i="2"/>
  <c r="AH52" i="2"/>
  <c r="AF52" i="2"/>
  <c r="AD52" i="2"/>
  <c r="AC52" i="2"/>
  <c r="AE52" i="2"/>
  <c r="AB52" i="2"/>
  <c r="Z52" i="2"/>
  <c r="Y52" i="2"/>
  <c r="AA52" i="2"/>
  <c r="X52" i="2"/>
  <c r="U52" i="2"/>
  <c r="W52" i="2"/>
  <c r="R52" i="2"/>
  <c r="T52" i="2"/>
  <c r="V52" i="2"/>
  <c r="Q52" i="2"/>
  <c r="S52" i="2"/>
  <c r="M52" i="2"/>
  <c r="P52" i="2"/>
  <c r="O52" i="2"/>
  <c r="L52" i="2"/>
  <c r="K52" i="2"/>
  <c r="N52" i="2"/>
  <c r="AP52" i="2"/>
  <c r="J52" i="2"/>
  <c r="I52" i="2"/>
  <c r="AO52" i="2"/>
  <c r="H52" i="3"/>
  <c r="AR52" i="3"/>
  <c r="AN52" i="3"/>
  <c r="AQ52" i="3"/>
  <c r="AL52" i="3"/>
  <c r="AM52" i="3"/>
  <c r="AK52" i="3"/>
  <c r="AJ52" i="3"/>
  <c r="AH52" i="3"/>
  <c r="AI52" i="3"/>
  <c r="AG52" i="3"/>
  <c r="AF52" i="3"/>
  <c r="AD52" i="3"/>
  <c r="AE52" i="3"/>
  <c r="AC52" i="3"/>
  <c r="AA52" i="3"/>
  <c r="AB52" i="3"/>
  <c r="Y52" i="3"/>
  <c r="Z52" i="3"/>
  <c r="X52" i="3"/>
  <c r="W52" i="3"/>
  <c r="V52" i="3"/>
  <c r="U52" i="3"/>
  <c r="T52" i="3"/>
  <c r="P52" i="3"/>
  <c r="S52" i="3"/>
  <c r="R52" i="3"/>
  <c r="Q52" i="3"/>
  <c r="L52" i="3"/>
  <c r="O52" i="3"/>
  <c r="N52" i="3"/>
  <c r="J52" i="3"/>
  <c r="M52" i="3"/>
  <c r="K52" i="3"/>
  <c r="AO52" i="3"/>
  <c r="I52" i="3"/>
  <c r="AP52" i="3"/>
  <c r="P51" i="1"/>
  <c r="L52" i="1"/>
  <c r="AA52" i="1"/>
  <c r="G53" i="3"/>
  <c r="I54" i="1"/>
  <c r="V53" i="1"/>
  <c r="J53" i="1"/>
  <c r="Y53" i="1"/>
  <c r="Z53" i="1" s="1"/>
  <c r="G53" i="2"/>
  <c r="S53" i="1"/>
  <c r="W53" i="1" s="1"/>
  <c r="N53" i="1"/>
  <c r="R53" i="1"/>
  <c r="W52" i="1"/>
  <c r="L53" i="1" l="1"/>
  <c r="P53" i="1" s="1"/>
  <c r="AA53" i="1"/>
  <c r="P52" i="1"/>
  <c r="H53" i="2"/>
  <c r="AR53" i="2"/>
  <c r="AN53" i="2"/>
  <c r="AQ53" i="2"/>
  <c r="AM53" i="2"/>
  <c r="AK53" i="2"/>
  <c r="AL53" i="2"/>
  <c r="AJ53" i="2"/>
  <c r="AI53" i="2"/>
  <c r="AG53" i="2"/>
  <c r="AD53" i="2"/>
  <c r="AF53" i="2"/>
  <c r="AH53" i="2"/>
  <c r="AC53" i="2"/>
  <c r="AE53" i="2"/>
  <c r="AB53" i="2"/>
  <c r="X53" i="2"/>
  <c r="Y53" i="2"/>
  <c r="AA53" i="2"/>
  <c r="Z53" i="2"/>
  <c r="T53" i="2"/>
  <c r="U53" i="2"/>
  <c r="W53" i="2"/>
  <c r="V53" i="2"/>
  <c r="Q53" i="2"/>
  <c r="S53" i="2"/>
  <c r="R53" i="2"/>
  <c r="P53" i="2"/>
  <c r="O53" i="2"/>
  <c r="L53" i="2"/>
  <c r="K53" i="2"/>
  <c r="M53" i="2"/>
  <c r="N53" i="2"/>
  <c r="I53" i="2"/>
  <c r="AP53" i="2"/>
  <c r="J53" i="2"/>
  <c r="AO53" i="2"/>
  <c r="I55" i="1"/>
  <c r="G54" i="3"/>
  <c r="V54" i="1"/>
  <c r="J54" i="1"/>
  <c r="G54" i="2"/>
  <c r="Y54" i="1"/>
  <c r="Z54" i="1" s="1"/>
  <c r="R54" i="1"/>
  <c r="S54" i="1"/>
  <c r="N54" i="1"/>
  <c r="H53" i="3"/>
  <c r="AR53" i="3"/>
  <c r="AQ53" i="3"/>
  <c r="AN53" i="3"/>
  <c r="AM53" i="3"/>
  <c r="AL53" i="3"/>
  <c r="AK53" i="3"/>
  <c r="AJ53" i="3"/>
  <c r="AI53" i="3"/>
  <c r="AH53" i="3"/>
  <c r="AD53" i="3"/>
  <c r="AG53" i="3"/>
  <c r="AF53" i="3"/>
  <c r="AC53" i="3"/>
  <c r="AE53" i="3"/>
  <c r="AA53" i="3"/>
  <c r="AB53" i="3"/>
  <c r="W53" i="3"/>
  <c r="Z53" i="3"/>
  <c r="U53" i="3"/>
  <c r="X53" i="3"/>
  <c r="Y53" i="3"/>
  <c r="V53" i="3"/>
  <c r="T53" i="3"/>
  <c r="S53" i="3"/>
  <c r="R53" i="3"/>
  <c r="Q53" i="3"/>
  <c r="P53" i="3"/>
  <c r="O53" i="3"/>
  <c r="M53" i="3"/>
  <c r="N53" i="3"/>
  <c r="L53" i="3"/>
  <c r="K53" i="3"/>
  <c r="J53" i="3"/>
  <c r="AO53" i="3"/>
  <c r="I53" i="3"/>
  <c r="AP53" i="3"/>
  <c r="H54" i="3" l="1"/>
  <c r="AR54" i="3"/>
  <c r="AQ54" i="3"/>
  <c r="AN54" i="3"/>
  <c r="AM54" i="3"/>
  <c r="AL54" i="3"/>
  <c r="AI54" i="3"/>
  <c r="AJ54" i="3"/>
  <c r="AK54" i="3"/>
  <c r="AE54" i="3"/>
  <c r="AH54" i="3"/>
  <c r="AD54" i="3"/>
  <c r="AG54" i="3"/>
  <c r="AF54" i="3"/>
  <c r="AC54" i="3"/>
  <c r="AA54" i="3"/>
  <c r="AB54" i="3"/>
  <c r="Z54" i="3"/>
  <c r="Y54" i="3"/>
  <c r="X54" i="3"/>
  <c r="U54" i="3"/>
  <c r="W54" i="3"/>
  <c r="R54" i="3"/>
  <c r="V54" i="3"/>
  <c r="T54" i="3"/>
  <c r="Q54" i="3"/>
  <c r="S54" i="3"/>
  <c r="M54" i="3"/>
  <c r="P54" i="3"/>
  <c r="O54" i="3"/>
  <c r="K54" i="3"/>
  <c r="N54" i="3"/>
  <c r="L54" i="3"/>
  <c r="J54" i="3"/>
  <c r="AO54" i="3"/>
  <c r="I54" i="3"/>
  <c r="AP54" i="3"/>
  <c r="L54" i="1"/>
  <c r="AA54" i="1"/>
  <c r="G55" i="3"/>
  <c r="I56" i="1"/>
  <c r="V55" i="1"/>
  <c r="J55" i="1"/>
  <c r="G55" i="2"/>
  <c r="Y55" i="1"/>
  <c r="Z55" i="1" s="1"/>
  <c r="S55" i="1"/>
  <c r="W55" i="1" s="1"/>
  <c r="N55" i="1"/>
  <c r="R55" i="1"/>
  <c r="W54" i="1"/>
  <c r="H54" i="2"/>
  <c r="AN54" i="2"/>
  <c r="AR54" i="2"/>
  <c r="AM54" i="2"/>
  <c r="AQ54" i="2"/>
  <c r="AL54" i="2"/>
  <c r="AK54" i="2"/>
  <c r="AI54" i="2"/>
  <c r="AJ54" i="2"/>
  <c r="AH54" i="2"/>
  <c r="AG54" i="2"/>
  <c r="AF54" i="2"/>
  <c r="AE54" i="2"/>
  <c r="AD54" i="2"/>
  <c r="AC54" i="2"/>
  <c r="Z54" i="2"/>
  <c r="AB54" i="2"/>
  <c r="X54" i="2"/>
  <c r="AA54" i="2"/>
  <c r="Y54" i="2"/>
  <c r="W54" i="2"/>
  <c r="V54" i="2"/>
  <c r="R54" i="2"/>
  <c r="U54" i="2"/>
  <c r="T54" i="2"/>
  <c r="Q54" i="2"/>
  <c r="S54" i="2"/>
  <c r="M54" i="2"/>
  <c r="P54" i="2"/>
  <c r="O54" i="2"/>
  <c r="L54" i="2"/>
  <c r="K54" i="2"/>
  <c r="N54" i="2"/>
  <c r="I54" i="2"/>
  <c r="AO54" i="2"/>
  <c r="AP54" i="2"/>
  <c r="J54" i="2"/>
  <c r="P54" i="1" l="1"/>
  <c r="H55" i="2"/>
  <c r="AR55" i="2"/>
  <c r="AN55" i="2"/>
  <c r="AQ55" i="2"/>
  <c r="AL55" i="2"/>
  <c r="AM55" i="2"/>
  <c r="AK55" i="2"/>
  <c r="AJ55" i="2"/>
  <c r="AI55" i="2"/>
  <c r="AH55" i="2"/>
  <c r="AF55" i="2"/>
  <c r="AE55" i="2"/>
  <c r="AG55" i="2"/>
  <c r="AD55" i="2"/>
  <c r="AB55" i="2"/>
  <c r="AC55" i="2"/>
  <c r="AA55" i="2"/>
  <c r="Z55" i="2"/>
  <c r="X55" i="2"/>
  <c r="V55" i="2"/>
  <c r="Y55" i="2"/>
  <c r="W55" i="2"/>
  <c r="U55" i="2"/>
  <c r="S55" i="2"/>
  <c r="T55" i="2"/>
  <c r="R55" i="2"/>
  <c r="P55" i="2"/>
  <c r="Q55" i="2"/>
  <c r="N55" i="2"/>
  <c r="O55" i="2"/>
  <c r="L55" i="2"/>
  <c r="M55" i="2"/>
  <c r="I55" i="2"/>
  <c r="AO55" i="2"/>
  <c r="K55" i="2"/>
  <c r="J55" i="2"/>
  <c r="AP55" i="2"/>
  <c r="L55" i="1"/>
  <c r="P55" i="1" s="1"/>
  <c r="AA55" i="1"/>
  <c r="G56" i="3"/>
  <c r="I57" i="1"/>
  <c r="V56" i="1"/>
  <c r="J56" i="1"/>
  <c r="G56" i="2"/>
  <c r="Y56" i="1"/>
  <c r="Z56" i="1" s="1"/>
  <c r="R56" i="1"/>
  <c r="S56" i="1"/>
  <c r="W56" i="1" s="1"/>
  <c r="N56" i="1"/>
  <c r="H55" i="3"/>
  <c r="AR55" i="3"/>
  <c r="AN55" i="3"/>
  <c r="AQ55" i="3"/>
  <c r="AM55" i="3"/>
  <c r="AL55" i="3"/>
  <c r="AI55" i="3"/>
  <c r="AK55" i="3"/>
  <c r="AJ55" i="3"/>
  <c r="AH55" i="3"/>
  <c r="AD55" i="3"/>
  <c r="AG55" i="3"/>
  <c r="AF55" i="3"/>
  <c r="AA55" i="3"/>
  <c r="AC55" i="3"/>
  <c r="AE55" i="3"/>
  <c r="Z55" i="3"/>
  <c r="AB55" i="3"/>
  <c r="X55" i="3"/>
  <c r="Y55" i="3"/>
  <c r="U55" i="3"/>
  <c r="W55" i="3"/>
  <c r="R55" i="3"/>
  <c r="V55" i="3"/>
  <c r="T55" i="3"/>
  <c r="Q55" i="3"/>
  <c r="S55" i="3"/>
  <c r="O55" i="3"/>
  <c r="P55" i="3"/>
  <c r="K55" i="3"/>
  <c r="N55" i="3"/>
  <c r="M55" i="3"/>
  <c r="L55" i="3"/>
  <c r="J55" i="3"/>
  <c r="AO55" i="3"/>
  <c r="I55" i="3"/>
  <c r="AP55" i="3"/>
  <c r="I58" i="1" l="1"/>
  <c r="G57" i="3"/>
  <c r="V57" i="1"/>
  <c r="J57" i="1"/>
  <c r="Y57" i="1"/>
  <c r="Z57" i="1" s="1"/>
  <c r="G57" i="2"/>
  <c r="S57" i="1"/>
  <c r="W57" i="1" s="1"/>
  <c r="N57" i="1"/>
  <c r="R57" i="1"/>
  <c r="H56" i="3"/>
  <c r="AR56" i="3"/>
  <c r="AN56" i="3"/>
  <c r="AQ56" i="3"/>
  <c r="AM56" i="3"/>
  <c r="AL56" i="3"/>
  <c r="AI56" i="3"/>
  <c r="AK56" i="3"/>
  <c r="AJ56" i="3"/>
  <c r="AG56" i="3"/>
  <c r="AH56" i="3"/>
  <c r="AF56" i="3"/>
  <c r="AE56" i="3"/>
  <c r="AD56" i="3"/>
  <c r="AC56" i="3"/>
  <c r="Z56" i="3"/>
  <c r="AA56" i="3"/>
  <c r="AB56" i="3"/>
  <c r="X56" i="3"/>
  <c r="Y56" i="3"/>
  <c r="W56" i="3"/>
  <c r="V56" i="3"/>
  <c r="U56" i="3"/>
  <c r="R56" i="3"/>
  <c r="T56" i="3"/>
  <c r="O56" i="3"/>
  <c r="Q56" i="3"/>
  <c r="S56" i="3"/>
  <c r="M56" i="3"/>
  <c r="P56" i="3"/>
  <c r="K56" i="3"/>
  <c r="N56" i="3"/>
  <c r="L56" i="3"/>
  <c r="I56" i="3"/>
  <c r="J56" i="3"/>
  <c r="AO56" i="3"/>
  <c r="AP56" i="3"/>
  <c r="H56" i="2"/>
  <c r="AQ56" i="2"/>
  <c r="AR56" i="2"/>
  <c r="AN56" i="2"/>
  <c r="AL56" i="2"/>
  <c r="AM56" i="2"/>
  <c r="AJ56" i="2"/>
  <c r="AK56" i="2"/>
  <c r="AH56" i="2"/>
  <c r="AF56" i="2"/>
  <c r="AI56" i="2"/>
  <c r="AE56" i="2"/>
  <c r="AG56" i="2"/>
  <c r="AD56" i="2"/>
  <c r="AC56" i="2"/>
  <c r="AB56" i="2"/>
  <c r="AA56" i="2"/>
  <c r="Z56" i="2"/>
  <c r="Y56" i="2"/>
  <c r="V56" i="2"/>
  <c r="X56" i="2"/>
  <c r="W56" i="2"/>
  <c r="S56" i="2"/>
  <c r="U56" i="2"/>
  <c r="T56" i="2"/>
  <c r="R56" i="2"/>
  <c r="Q56" i="2"/>
  <c r="N56" i="2"/>
  <c r="P56" i="2"/>
  <c r="O56" i="2"/>
  <c r="M56" i="2"/>
  <c r="L56" i="2"/>
  <c r="I56" i="2"/>
  <c r="AO56" i="2"/>
  <c r="K56" i="2"/>
  <c r="J56" i="2"/>
  <c r="AP56" i="2"/>
  <c r="L56" i="1"/>
  <c r="AA56" i="1"/>
  <c r="L57" i="1" l="1"/>
  <c r="AA57" i="1"/>
  <c r="H57" i="2"/>
  <c r="AR57" i="2"/>
  <c r="AN57" i="2"/>
  <c r="AQ57" i="2"/>
  <c r="AL57" i="2"/>
  <c r="AM57" i="2"/>
  <c r="AJ57" i="2"/>
  <c r="AK57" i="2"/>
  <c r="AH57" i="2"/>
  <c r="AF57" i="2"/>
  <c r="AI57" i="2"/>
  <c r="AE57" i="2"/>
  <c r="AG57" i="2"/>
  <c r="AB57" i="2"/>
  <c r="AD57" i="2"/>
  <c r="AA57" i="2"/>
  <c r="AC57" i="2"/>
  <c r="Y57" i="2"/>
  <c r="Z57" i="2"/>
  <c r="V57" i="2"/>
  <c r="X57" i="2"/>
  <c r="W57" i="2"/>
  <c r="S57" i="2"/>
  <c r="U57" i="2"/>
  <c r="T57" i="2"/>
  <c r="R57" i="2"/>
  <c r="P57" i="2"/>
  <c r="Q57" i="2"/>
  <c r="N57" i="2"/>
  <c r="O57" i="2"/>
  <c r="I57" i="2"/>
  <c r="L57" i="2"/>
  <c r="M57" i="2"/>
  <c r="J57" i="2"/>
  <c r="AO57" i="2"/>
  <c r="K57" i="2"/>
  <c r="AP57" i="2"/>
  <c r="P56" i="1"/>
  <c r="H57" i="3"/>
  <c r="AR57" i="3"/>
  <c r="AN57" i="3"/>
  <c r="AQ57" i="3"/>
  <c r="AJ57" i="3"/>
  <c r="AM57" i="3"/>
  <c r="AL57" i="3"/>
  <c r="AK57" i="3"/>
  <c r="AG57" i="3"/>
  <c r="AI57" i="3"/>
  <c r="AH57" i="3"/>
  <c r="AF57" i="3"/>
  <c r="AE57" i="3"/>
  <c r="AD57" i="3"/>
  <c r="AA57" i="3"/>
  <c r="AC57" i="3"/>
  <c r="Z57" i="3"/>
  <c r="AB57" i="3"/>
  <c r="X57" i="3"/>
  <c r="Y57" i="3"/>
  <c r="V57" i="3"/>
  <c r="W57" i="3"/>
  <c r="U57" i="3"/>
  <c r="T57" i="3"/>
  <c r="S57" i="3"/>
  <c r="Q57" i="3"/>
  <c r="R57" i="3"/>
  <c r="P57" i="3"/>
  <c r="O57" i="3"/>
  <c r="N57" i="3"/>
  <c r="I57" i="3"/>
  <c r="K57" i="3"/>
  <c r="M57" i="3"/>
  <c r="L57" i="3"/>
  <c r="AP57" i="3"/>
  <c r="J57" i="3"/>
  <c r="AO57" i="3"/>
  <c r="G58" i="3"/>
  <c r="I59" i="1"/>
  <c r="J58" i="1"/>
  <c r="V58" i="1"/>
  <c r="Y58" i="1"/>
  <c r="Z58" i="1" s="1"/>
  <c r="G58" i="2"/>
  <c r="N58" i="1"/>
  <c r="S58" i="1"/>
  <c r="W58" i="1" s="1"/>
  <c r="R58" i="1"/>
  <c r="H58" i="2" l="1"/>
  <c r="AR58" i="2"/>
  <c r="AQ58" i="2"/>
  <c r="AN58" i="2"/>
  <c r="AM58" i="2"/>
  <c r="AL58" i="2"/>
  <c r="AJ58" i="2"/>
  <c r="AK58" i="2"/>
  <c r="AH58" i="2"/>
  <c r="AF58" i="2"/>
  <c r="AI58" i="2"/>
  <c r="AG58" i="2"/>
  <c r="AB58" i="2"/>
  <c r="AD58" i="2"/>
  <c r="AE58" i="2"/>
  <c r="AA58" i="2"/>
  <c r="AC58" i="2"/>
  <c r="Y58" i="2"/>
  <c r="Z58" i="2"/>
  <c r="X58" i="2"/>
  <c r="W58" i="2"/>
  <c r="V58" i="2"/>
  <c r="S58" i="2"/>
  <c r="U58" i="2"/>
  <c r="P58" i="2"/>
  <c r="T58" i="2"/>
  <c r="R58" i="2"/>
  <c r="L58" i="2"/>
  <c r="Q58" i="2"/>
  <c r="N58" i="2"/>
  <c r="O58" i="2"/>
  <c r="J58" i="2"/>
  <c r="K58" i="2"/>
  <c r="M58" i="2"/>
  <c r="I58" i="2"/>
  <c r="AO58" i="2"/>
  <c r="AP58" i="2"/>
  <c r="L58" i="1"/>
  <c r="AA58" i="1"/>
  <c r="G59" i="3"/>
  <c r="I60" i="1"/>
  <c r="V59" i="1"/>
  <c r="J59" i="1"/>
  <c r="G59" i="2"/>
  <c r="Y59" i="1"/>
  <c r="Z59" i="1" s="1"/>
  <c r="S59" i="1"/>
  <c r="W59" i="1" s="1"/>
  <c r="N59" i="1"/>
  <c r="R59" i="1"/>
  <c r="P57" i="1"/>
  <c r="H58" i="3"/>
  <c r="AR58" i="3"/>
  <c r="AQ58" i="3"/>
  <c r="AN58" i="3"/>
  <c r="AM58" i="3"/>
  <c r="AL58" i="3"/>
  <c r="AK58" i="3"/>
  <c r="AI58" i="3"/>
  <c r="AG58" i="3"/>
  <c r="AJ58" i="3"/>
  <c r="AF58" i="3"/>
  <c r="AH58" i="3"/>
  <c r="AE58" i="3"/>
  <c r="AD58" i="3"/>
  <c r="AC58" i="3"/>
  <c r="AB58" i="3"/>
  <c r="AA58" i="3"/>
  <c r="Z58" i="3"/>
  <c r="Y58" i="3"/>
  <c r="V58" i="3"/>
  <c r="X58" i="3"/>
  <c r="T58" i="3"/>
  <c r="S58" i="3"/>
  <c r="U58" i="3"/>
  <c r="W58" i="3"/>
  <c r="R58" i="3"/>
  <c r="O58" i="3"/>
  <c r="N58" i="3"/>
  <c r="Q58" i="3"/>
  <c r="P58" i="3"/>
  <c r="M58" i="3"/>
  <c r="L58" i="3"/>
  <c r="K58" i="3"/>
  <c r="AP58" i="3"/>
  <c r="J58" i="3"/>
  <c r="I58" i="3"/>
  <c r="AO58" i="3"/>
  <c r="H59" i="2" l="1"/>
  <c r="AR59" i="2"/>
  <c r="AQ59" i="2"/>
  <c r="AN59" i="2"/>
  <c r="AM59" i="2"/>
  <c r="AL59" i="2"/>
  <c r="AK59" i="2"/>
  <c r="AH59" i="2"/>
  <c r="AJ59" i="2"/>
  <c r="AI59" i="2"/>
  <c r="AG59" i="2"/>
  <c r="AF59" i="2"/>
  <c r="AB59" i="2"/>
  <c r="AD59" i="2"/>
  <c r="AE59" i="2"/>
  <c r="AA59" i="2"/>
  <c r="AC59" i="2"/>
  <c r="Y59" i="2"/>
  <c r="Z59" i="2"/>
  <c r="W59" i="2"/>
  <c r="X59" i="2"/>
  <c r="V59" i="2"/>
  <c r="U59" i="2"/>
  <c r="T59" i="2"/>
  <c r="R59" i="2"/>
  <c r="S59" i="2"/>
  <c r="Q59" i="2"/>
  <c r="P59" i="2"/>
  <c r="O59" i="2"/>
  <c r="N59" i="2"/>
  <c r="L59" i="2"/>
  <c r="M59" i="2"/>
  <c r="I59" i="2"/>
  <c r="AO59" i="2"/>
  <c r="K59" i="2"/>
  <c r="J59" i="2"/>
  <c r="AP59" i="2"/>
  <c r="P58" i="1"/>
  <c r="I61" i="1"/>
  <c r="G60" i="3"/>
  <c r="V60" i="1"/>
  <c r="J60" i="1"/>
  <c r="G60" i="2"/>
  <c r="Y60" i="1"/>
  <c r="Z60" i="1" s="1"/>
  <c r="N60" i="1"/>
  <c r="S60" i="1"/>
  <c r="R60" i="1"/>
  <c r="L59" i="1"/>
  <c r="P59" i="1" s="1"/>
  <c r="AA59" i="1"/>
  <c r="H59" i="3"/>
  <c r="AR59" i="3"/>
  <c r="AQ59" i="3"/>
  <c r="AN59" i="3"/>
  <c r="AL59" i="3"/>
  <c r="AM59" i="3"/>
  <c r="AK59" i="3"/>
  <c r="AI59" i="3"/>
  <c r="AG59" i="3"/>
  <c r="AJ59" i="3"/>
  <c r="AF59" i="3"/>
  <c r="AH59" i="3"/>
  <c r="AE59" i="3"/>
  <c r="AB59" i="3"/>
  <c r="AD59" i="3"/>
  <c r="AC59" i="3"/>
  <c r="AA59" i="3"/>
  <c r="Y59" i="3"/>
  <c r="Z59" i="3"/>
  <c r="T59" i="3"/>
  <c r="V59" i="3"/>
  <c r="X59" i="3"/>
  <c r="W59" i="3"/>
  <c r="S59" i="3"/>
  <c r="U59" i="3"/>
  <c r="R59" i="3"/>
  <c r="Q59" i="3"/>
  <c r="P59" i="3"/>
  <c r="N59" i="3"/>
  <c r="O59" i="3"/>
  <c r="L59" i="3"/>
  <c r="I59" i="3"/>
  <c r="K59" i="3"/>
  <c r="M59" i="3"/>
  <c r="J59" i="3"/>
  <c r="AO59" i="3"/>
  <c r="AP59" i="3"/>
  <c r="H60" i="2" l="1"/>
  <c r="AR60" i="2"/>
  <c r="AQ60" i="2"/>
  <c r="AL60" i="2"/>
  <c r="AM60" i="2"/>
  <c r="AK60" i="2"/>
  <c r="AN60" i="2"/>
  <c r="AI60" i="2"/>
  <c r="AH60" i="2"/>
  <c r="AJ60" i="2"/>
  <c r="AG60" i="2"/>
  <c r="AF60" i="2"/>
  <c r="AE60" i="2"/>
  <c r="AD60" i="2"/>
  <c r="AC60" i="2"/>
  <c r="AB60" i="2"/>
  <c r="AA60" i="2"/>
  <c r="Y60" i="2"/>
  <c r="Z60" i="2"/>
  <c r="W60" i="2"/>
  <c r="X60" i="2"/>
  <c r="U60" i="2"/>
  <c r="T60" i="2"/>
  <c r="V60" i="2"/>
  <c r="R60" i="2"/>
  <c r="P60" i="2"/>
  <c r="S60" i="2"/>
  <c r="O60" i="2"/>
  <c r="Q60" i="2"/>
  <c r="N60" i="2"/>
  <c r="J60" i="2"/>
  <c r="L60" i="2"/>
  <c r="M60" i="2"/>
  <c r="I60" i="2"/>
  <c r="AO60" i="2"/>
  <c r="K60" i="2"/>
  <c r="AP60" i="2"/>
  <c r="L60" i="1"/>
  <c r="AA60" i="1"/>
  <c r="H60" i="3"/>
  <c r="AQ60" i="3"/>
  <c r="AR60" i="3"/>
  <c r="AN60" i="3"/>
  <c r="AL60" i="3"/>
  <c r="AM60" i="3"/>
  <c r="AK60" i="3"/>
  <c r="AI60" i="3"/>
  <c r="AJ60" i="3"/>
  <c r="AH60" i="3"/>
  <c r="AF60" i="3"/>
  <c r="AG60" i="3"/>
  <c r="AB60" i="3"/>
  <c r="AD60" i="3"/>
  <c r="AE60" i="3"/>
  <c r="AA60" i="3"/>
  <c r="AC60" i="3"/>
  <c r="Y60" i="3"/>
  <c r="Z60" i="3"/>
  <c r="W60" i="3"/>
  <c r="V60" i="3"/>
  <c r="X60" i="3"/>
  <c r="S60" i="3"/>
  <c r="U60" i="3"/>
  <c r="T60" i="3"/>
  <c r="P60" i="3"/>
  <c r="R60" i="3"/>
  <c r="Q60" i="3"/>
  <c r="L60" i="3"/>
  <c r="N60" i="3"/>
  <c r="O60" i="3"/>
  <c r="J60" i="3"/>
  <c r="K60" i="3"/>
  <c r="M60" i="3"/>
  <c r="I60" i="3"/>
  <c r="AO60" i="3"/>
  <c r="AP60" i="3"/>
  <c r="G61" i="3"/>
  <c r="I62" i="1"/>
  <c r="J61" i="1"/>
  <c r="V61" i="1"/>
  <c r="G61" i="2"/>
  <c r="Y61" i="1"/>
  <c r="Z61" i="1" s="1"/>
  <c r="S61" i="1"/>
  <c r="W61" i="1" s="1"/>
  <c r="N61" i="1"/>
  <c r="R61" i="1"/>
  <c r="W60" i="1"/>
  <c r="I63" i="1" l="1"/>
  <c r="G62" i="3"/>
  <c r="V62" i="1"/>
  <c r="J62" i="1"/>
  <c r="G62" i="2"/>
  <c r="Y62" i="1"/>
  <c r="Z62" i="1" s="1"/>
  <c r="N62" i="1"/>
  <c r="S62" i="1"/>
  <c r="W62" i="1" s="1"/>
  <c r="R62" i="1"/>
  <c r="P60" i="1"/>
  <c r="H61" i="3"/>
  <c r="AQ61" i="3"/>
  <c r="AR61" i="3"/>
  <c r="AN61" i="3"/>
  <c r="AL61" i="3"/>
  <c r="AK61" i="3"/>
  <c r="AM61" i="3"/>
  <c r="AJ61" i="3"/>
  <c r="AH61" i="3"/>
  <c r="AI61" i="3"/>
  <c r="AF61" i="3"/>
  <c r="AG61" i="3"/>
  <c r="AB61" i="3"/>
  <c r="AD61" i="3"/>
  <c r="AE61" i="3"/>
  <c r="AC61" i="3"/>
  <c r="AA61" i="3"/>
  <c r="W61" i="3"/>
  <c r="Y61" i="3"/>
  <c r="Z61" i="3"/>
  <c r="X61" i="3"/>
  <c r="V61" i="3"/>
  <c r="U61" i="3"/>
  <c r="T61" i="3"/>
  <c r="S61" i="3"/>
  <c r="P61" i="3"/>
  <c r="R61" i="3"/>
  <c r="O61" i="3"/>
  <c r="Q61" i="3"/>
  <c r="J61" i="3"/>
  <c r="N61" i="3"/>
  <c r="K61" i="3"/>
  <c r="M61" i="3"/>
  <c r="L61" i="3"/>
  <c r="AO61" i="3"/>
  <c r="I61" i="3"/>
  <c r="AP61" i="3"/>
  <c r="H61" i="2"/>
  <c r="AR61" i="2"/>
  <c r="AQ61" i="2"/>
  <c r="AM61" i="2"/>
  <c r="AL61" i="2"/>
  <c r="AN61" i="2"/>
  <c r="AK61" i="2"/>
  <c r="AI61" i="2"/>
  <c r="AH61" i="2"/>
  <c r="AJ61" i="2"/>
  <c r="AG61" i="2"/>
  <c r="AD61" i="2"/>
  <c r="AF61" i="2"/>
  <c r="AC61" i="2"/>
  <c r="AE61" i="2"/>
  <c r="AB61" i="2"/>
  <c r="AA61" i="2"/>
  <c r="Z61" i="2"/>
  <c r="U61" i="2"/>
  <c r="W61" i="2"/>
  <c r="Y61" i="2"/>
  <c r="X61" i="2"/>
  <c r="T61" i="2"/>
  <c r="V61" i="2"/>
  <c r="R61" i="2"/>
  <c r="S61" i="2"/>
  <c r="Q61" i="2"/>
  <c r="O61" i="2"/>
  <c r="P61" i="2"/>
  <c r="M61" i="2"/>
  <c r="N61" i="2"/>
  <c r="L61" i="2"/>
  <c r="K61" i="2"/>
  <c r="I61" i="2"/>
  <c r="J61" i="2"/>
  <c r="AP61" i="2"/>
  <c r="AO61" i="2"/>
  <c r="L61" i="1"/>
  <c r="P61" i="1" s="1"/>
  <c r="AA61" i="1"/>
  <c r="H62" i="2" l="1"/>
  <c r="AR62" i="2"/>
  <c r="AQ62" i="2"/>
  <c r="AN62" i="2"/>
  <c r="AM62" i="2"/>
  <c r="AL62" i="2"/>
  <c r="AI62" i="2"/>
  <c r="AK62" i="2"/>
  <c r="AJ62" i="2"/>
  <c r="AH62" i="2"/>
  <c r="AG62" i="2"/>
  <c r="AF62" i="2"/>
  <c r="AC62" i="2"/>
  <c r="AE62" i="2"/>
  <c r="AD62" i="2"/>
  <c r="AB62" i="2"/>
  <c r="Z62" i="2"/>
  <c r="AA62" i="2"/>
  <c r="Y62" i="2"/>
  <c r="X62" i="2"/>
  <c r="U62" i="2"/>
  <c r="W62" i="2"/>
  <c r="R62" i="2"/>
  <c r="T62" i="2"/>
  <c r="V62" i="2"/>
  <c r="Q62" i="2"/>
  <c r="S62" i="2"/>
  <c r="M62" i="2"/>
  <c r="O62" i="2"/>
  <c r="P62" i="2"/>
  <c r="K62" i="2"/>
  <c r="N62" i="2"/>
  <c r="L62" i="2"/>
  <c r="J62" i="2"/>
  <c r="AP62" i="2"/>
  <c r="I62" i="2"/>
  <c r="AO62" i="2"/>
  <c r="L62" i="1"/>
  <c r="AA62" i="1"/>
  <c r="H62" i="3"/>
  <c r="AR62" i="3"/>
  <c r="AQ62" i="3"/>
  <c r="AN62" i="3"/>
  <c r="AL62" i="3"/>
  <c r="AM62" i="3"/>
  <c r="AK62" i="3"/>
  <c r="AJ62" i="3"/>
  <c r="AH62" i="3"/>
  <c r="AI62" i="3"/>
  <c r="AG62" i="3"/>
  <c r="AF62" i="3"/>
  <c r="AD62" i="3"/>
  <c r="AE62" i="3"/>
  <c r="AC62" i="3"/>
  <c r="AB62" i="3"/>
  <c r="Y62" i="3"/>
  <c r="Z62" i="3"/>
  <c r="AA62" i="3"/>
  <c r="V62" i="3"/>
  <c r="X62" i="3"/>
  <c r="W62" i="3"/>
  <c r="U62" i="3"/>
  <c r="T62" i="3"/>
  <c r="S62" i="3"/>
  <c r="P62" i="3"/>
  <c r="R62" i="3"/>
  <c r="O62" i="3"/>
  <c r="L62" i="3"/>
  <c r="Q62" i="3"/>
  <c r="M62" i="3"/>
  <c r="J62" i="3"/>
  <c r="N62" i="3"/>
  <c r="K62" i="3"/>
  <c r="I62" i="3"/>
  <c r="AO62" i="3"/>
  <c r="AP62" i="3"/>
  <c r="G63" i="3"/>
  <c r="I64" i="1"/>
  <c r="V63" i="1"/>
  <c r="J63" i="1"/>
  <c r="G63" i="2"/>
  <c r="Y63" i="1"/>
  <c r="Z63" i="1" s="1"/>
  <c r="S63" i="1"/>
  <c r="W63" i="1" s="1"/>
  <c r="N63" i="1"/>
  <c r="R63" i="1"/>
  <c r="P62" i="1" l="1"/>
  <c r="H63" i="2"/>
  <c r="AR63" i="2"/>
  <c r="AQ63" i="2"/>
  <c r="AN63" i="2"/>
  <c r="AM63" i="2"/>
  <c r="AL63" i="2"/>
  <c r="AK63" i="2"/>
  <c r="AJ63" i="2"/>
  <c r="AI63" i="2"/>
  <c r="AH63" i="2"/>
  <c r="AD63" i="2"/>
  <c r="AG63" i="2"/>
  <c r="AF63" i="2"/>
  <c r="AC63" i="2"/>
  <c r="AE63" i="2"/>
  <c r="AB63" i="2"/>
  <c r="X63" i="2"/>
  <c r="AA63" i="2"/>
  <c r="Y63" i="2"/>
  <c r="Z63" i="2"/>
  <c r="W63" i="2"/>
  <c r="T63" i="2"/>
  <c r="V63" i="2"/>
  <c r="U63" i="2"/>
  <c r="Q63" i="2"/>
  <c r="R63" i="2"/>
  <c r="S63" i="2"/>
  <c r="O63" i="2"/>
  <c r="P63" i="2"/>
  <c r="M63" i="2"/>
  <c r="L63" i="2"/>
  <c r="K63" i="2"/>
  <c r="N63" i="2"/>
  <c r="J63" i="2"/>
  <c r="AP63" i="2"/>
  <c r="I63" i="2"/>
  <c r="AO63" i="2"/>
  <c r="L63" i="1"/>
  <c r="P63" i="1" s="1"/>
  <c r="AA63" i="1"/>
  <c r="I65" i="1"/>
  <c r="G64" i="3"/>
  <c r="V64" i="1"/>
  <c r="J64" i="1"/>
  <c r="G64" i="2"/>
  <c r="Y64" i="1"/>
  <c r="Z64" i="1" s="1"/>
  <c r="S64" i="1"/>
  <c r="N64" i="1"/>
  <c r="R64" i="1"/>
  <c r="H63" i="3"/>
  <c r="AR63" i="3"/>
  <c r="AQ63" i="3"/>
  <c r="AN63" i="3"/>
  <c r="AM63" i="3"/>
  <c r="AL63" i="3"/>
  <c r="AK63" i="3"/>
  <c r="AJ63" i="3"/>
  <c r="AI63" i="3"/>
  <c r="AH63" i="3"/>
  <c r="AG63" i="3"/>
  <c r="AD63" i="3"/>
  <c r="AF63" i="3"/>
  <c r="AC63" i="3"/>
  <c r="AE63" i="3"/>
  <c r="AB63" i="3"/>
  <c r="W63" i="3"/>
  <c r="Z63" i="3"/>
  <c r="AA63" i="3"/>
  <c r="U63" i="3"/>
  <c r="Y63" i="3"/>
  <c r="X63" i="3"/>
  <c r="T63" i="3"/>
  <c r="V63" i="3"/>
  <c r="S63" i="3"/>
  <c r="R63" i="3"/>
  <c r="Q63" i="3"/>
  <c r="O63" i="3"/>
  <c r="P63" i="3"/>
  <c r="M63" i="3"/>
  <c r="L63" i="3"/>
  <c r="N63" i="3"/>
  <c r="K63" i="3"/>
  <c r="I63" i="3"/>
  <c r="AO63" i="3"/>
  <c r="AP63" i="3"/>
  <c r="J63" i="3"/>
  <c r="H64" i="3" l="1"/>
  <c r="AR64" i="3"/>
  <c r="AQ64" i="3"/>
  <c r="AN64" i="3"/>
  <c r="AM64" i="3"/>
  <c r="AL64" i="3"/>
  <c r="AI64" i="3"/>
  <c r="AJ64" i="3"/>
  <c r="AK64" i="3"/>
  <c r="AH64" i="3"/>
  <c r="AG64" i="3"/>
  <c r="AE64" i="3"/>
  <c r="AD64" i="3"/>
  <c r="AF64" i="3"/>
  <c r="AC64" i="3"/>
  <c r="AA64" i="3"/>
  <c r="AB64" i="3"/>
  <c r="Z64" i="3"/>
  <c r="Y64" i="3"/>
  <c r="X64" i="3"/>
  <c r="U64" i="3"/>
  <c r="W64" i="3"/>
  <c r="R64" i="3"/>
  <c r="T64" i="3"/>
  <c r="V64" i="3"/>
  <c r="Q64" i="3"/>
  <c r="S64" i="3"/>
  <c r="M64" i="3"/>
  <c r="O64" i="3"/>
  <c r="P64" i="3"/>
  <c r="K64" i="3"/>
  <c r="L64" i="3"/>
  <c r="N64" i="3"/>
  <c r="I64" i="3"/>
  <c r="AO64" i="3"/>
  <c r="AP64" i="3"/>
  <c r="J64" i="3"/>
  <c r="G65" i="3"/>
  <c r="I66" i="1"/>
  <c r="V65" i="1"/>
  <c r="J65" i="1"/>
  <c r="G65" i="2"/>
  <c r="Y65" i="1"/>
  <c r="Z65" i="1" s="1"/>
  <c r="S65" i="1"/>
  <c r="W65" i="1" s="1"/>
  <c r="N65" i="1"/>
  <c r="R65" i="1"/>
  <c r="L64" i="1"/>
  <c r="P64" i="1" s="1"/>
  <c r="AA64" i="1"/>
  <c r="W64" i="1"/>
  <c r="H64" i="2"/>
  <c r="AQ64" i="2"/>
  <c r="AN64" i="2"/>
  <c r="AR64" i="2"/>
  <c r="AM64" i="2"/>
  <c r="AI64" i="2"/>
  <c r="AL64" i="2"/>
  <c r="AK64" i="2"/>
  <c r="AJ64" i="2"/>
  <c r="AH64" i="2"/>
  <c r="AF64" i="2"/>
  <c r="AG64" i="2"/>
  <c r="AE64" i="2"/>
  <c r="AD64" i="2"/>
  <c r="Z64" i="2"/>
  <c r="AC64" i="2"/>
  <c r="AB64" i="2"/>
  <c r="X64" i="2"/>
  <c r="AA64" i="2"/>
  <c r="Y64" i="2"/>
  <c r="W64" i="2"/>
  <c r="V64" i="2"/>
  <c r="R64" i="2"/>
  <c r="U64" i="2"/>
  <c r="S64" i="2"/>
  <c r="Q64" i="2"/>
  <c r="T64" i="2"/>
  <c r="P64" i="2"/>
  <c r="M64" i="2"/>
  <c r="L64" i="2"/>
  <c r="K64" i="2"/>
  <c r="O64" i="2"/>
  <c r="N64" i="2"/>
  <c r="I64" i="2"/>
  <c r="AO64" i="2"/>
  <c r="J64" i="2"/>
  <c r="AP64" i="2"/>
  <c r="G66" i="3" l="1"/>
  <c r="I67" i="1"/>
  <c r="V66" i="1"/>
  <c r="J66" i="1"/>
  <c r="G66" i="2"/>
  <c r="Y66" i="1"/>
  <c r="Z66" i="1" s="1"/>
  <c r="S66" i="1"/>
  <c r="W66" i="1" s="1"/>
  <c r="R66" i="1"/>
  <c r="N66" i="1"/>
  <c r="H65" i="3"/>
  <c r="AN65" i="3"/>
  <c r="AQ65" i="3"/>
  <c r="AR65" i="3"/>
  <c r="AM65" i="3"/>
  <c r="AL65" i="3"/>
  <c r="AI65" i="3"/>
  <c r="AJ65" i="3"/>
  <c r="AK65" i="3"/>
  <c r="AH65" i="3"/>
  <c r="AG65" i="3"/>
  <c r="AD65" i="3"/>
  <c r="AF65" i="3"/>
  <c r="AA65" i="3"/>
  <c r="AC65" i="3"/>
  <c r="AE65" i="3"/>
  <c r="AB65" i="3"/>
  <c r="Z65" i="3"/>
  <c r="X65" i="3"/>
  <c r="Y65" i="3"/>
  <c r="W65" i="3"/>
  <c r="U65" i="3"/>
  <c r="R65" i="3"/>
  <c r="T65" i="3"/>
  <c r="V65" i="3"/>
  <c r="Q65" i="3"/>
  <c r="S65" i="3"/>
  <c r="O65" i="3"/>
  <c r="P65" i="3"/>
  <c r="M65" i="3"/>
  <c r="K65" i="3"/>
  <c r="L65" i="3"/>
  <c r="N65" i="3"/>
  <c r="I65" i="3"/>
  <c r="AO65" i="3"/>
  <c r="AP65" i="3"/>
  <c r="J65" i="3"/>
  <c r="H65" i="2"/>
  <c r="AR65" i="2"/>
  <c r="AQ65" i="2"/>
  <c r="AN65" i="2"/>
  <c r="AM65" i="2"/>
  <c r="AK65" i="2"/>
  <c r="AL65" i="2"/>
  <c r="AJ65" i="2"/>
  <c r="AI65" i="2"/>
  <c r="AH65" i="2"/>
  <c r="AF65" i="2"/>
  <c r="AG65" i="2"/>
  <c r="AE65" i="2"/>
  <c r="AD65" i="2"/>
  <c r="AC65" i="2"/>
  <c r="AB65" i="2"/>
  <c r="X65" i="2"/>
  <c r="AA65" i="2"/>
  <c r="Z65" i="2"/>
  <c r="V65" i="2"/>
  <c r="Y65" i="2"/>
  <c r="W65" i="2"/>
  <c r="U65" i="2"/>
  <c r="S65" i="2"/>
  <c r="R65" i="2"/>
  <c r="T65" i="2"/>
  <c r="P65" i="2"/>
  <c r="Q65" i="2"/>
  <c r="N65" i="2"/>
  <c r="M65" i="2"/>
  <c r="L65" i="2"/>
  <c r="O65" i="2"/>
  <c r="AO65" i="2"/>
  <c r="J65" i="2"/>
  <c r="K65" i="2"/>
  <c r="I65" i="2"/>
  <c r="AP65" i="2"/>
  <c r="L65" i="1"/>
  <c r="AA65" i="1"/>
  <c r="P65" i="1" l="1"/>
  <c r="L66" i="1"/>
  <c r="AA66" i="1"/>
  <c r="I68" i="1"/>
  <c r="G67" i="3"/>
  <c r="V67" i="1"/>
  <c r="J67" i="1"/>
  <c r="G67" i="2"/>
  <c r="Y67" i="1"/>
  <c r="Z67" i="1" s="1"/>
  <c r="S67" i="1"/>
  <c r="W67" i="1" s="1"/>
  <c r="N67" i="1"/>
  <c r="R67" i="1"/>
  <c r="H66" i="2"/>
  <c r="AQ66" i="2"/>
  <c r="AR66" i="2"/>
  <c r="AN66" i="2"/>
  <c r="AM66" i="2"/>
  <c r="AJ66" i="2"/>
  <c r="AK66" i="2"/>
  <c r="AL66" i="2"/>
  <c r="AF66" i="2"/>
  <c r="AI66" i="2"/>
  <c r="AH66" i="2"/>
  <c r="AG66" i="2"/>
  <c r="AE66" i="2"/>
  <c r="AD66" i="2"/>
  <c r="AB66" i="2"/>
  <c r="AC66" i="2"/>
  <c r="AA66" i="2"/>
  <c r="Z66" i="2"/>
  <c r="Y66" i="2"/>
  <c r="X66" i="2"/>
  <c r="V66" i="2"/>
  <c r="W66" i="2"/>
  <c r="S66" i="2"/>
  <c r="U66" i="2"/>
  <c r="R66" i="2"/>
  <c r="T66" i="2"/>
  <c r="N66" i="2"/>
  <c r="P66" i="2"/>
  <c r="Q66" i="2"/>
  <c r="O66" i="2"/>
  <c r="M66" i="2"/>
  <c r="L66" i="2"/>
  <c r="I66" i="2"/>
  <c r="AO66" i="2"/>
  <c r="J66" i="2"/>
  <c r="K66" i="2"/>
  <c r="AP66" i="2"/>
  <c r="H66" i="3"/>
  <c r="AR66" i="3"/>
  <c r="AN66" i="3"/>
  <c r="AQ66" i="3"/>
  <c r="AM66" i="3"/>
  <c r="AL66" i="3"/>
  <c r="AI66" i="3"/>
  <c r="AK66" i="3"/>
  <c r="AJ66" i="3"/>
  <c r="AG66" i="3"/>
  <c r="AH66" i="3"/>
  <c r="AF66" i="3"/>
  <c r="AE66" i="3"/>
  <c r="AC66" i="3"/>
  <c r="AD66" i="3"/>
  <c r="AB66" i="3"/>
  <c r="Z66" i="3"/>
  <c r="AA66" i="3"/>
  <c r="X66" i="3"/>
  <c r="Y66" i="3"/>
  <c r="W66" i="3"/>
  <c r="V66" i="3"/>
  <c r="R66" i="3"/>
  <c r="T66" i="3"/>
  <c r="U66" i="3"/>
  <c r="O66" i="3"/>
  <c r="Q66" i="3"/>
  <c r="S66" i="3"/>
  <c r="P66" i="3"/>
  <c r="M66" i="3"/>
  <c r="N66" i="3"/>
  <c r="K66" i="3"/>
  <c r="L66" i="3"/>
  <c r="I66" i="3"/>
  <c r="J66" i="3"/>
  <c r="AO66" i="3"/>
  <c r="AP66" i="3"/>
  <c r="G68" i="3" l="1"/>
  <c r="I69" i="1"/>
  <c r="J68" i="1"/>
  <c r="V68" i="1"/>
  <c r="Y68" i="1"/>
  <c r="Z68" i="1" s="1"/>
  <c r="G68" i="2"/>
  <c r="R68" i="1"/>
  <c r="S68" i="1"/>
  <c r="N68" i="1"/>
  <c r="P66" i="1"/>
  <c r="H67" i="2"/>
  <c r="AR67" i="2"/>
  <c r="AQ67" i="2"/>
  <c r="AN67" i="2"/>
  <c r="AM67" i="2"/>
  <c r="AL67" i="2"/>
  <c r="AJ67" i="2"/>
  <c r="AK67" i="2"/>
  <c r="AF67" i="2"/>
  <c r="AI67" i="2"/>
  <c r="AG67" i="2"/>
  <c r="AE67" i="2"/>
  <c r="AH67" i="2"/>
  <c r="AB67" i="2"/>
  <c r="AD67" i="2"/>
  <c r="AA67" i="2"/>
  <c r="AC67" i="2"/>
  <c r="Z67" i="2"/>
  <c r="Y67" i="2"/>
  <c r="X67" i="2"/>
  <c r="V67" i="2"/>
  <c r="W67" i="2"/>
  <c r="S67" i="2"/>
  <c r="U67" i="2"/>
  <c r="R67" i="2"/>
  <c r="T67" i="2"/>
  <c r="P67" i="2"/>
  <c r="N67" i="2"/>
  <c r="Q67" i="2"/>
  <c r="O67" i="2"/>
  <c r="I67" i="2"/>
  <c r="M67" i="2"/>
  <c r="J67" i="2"/>
  <c r="K67" i="2"/>
  <c r="L67" i="2"/>
  <c r="AO67" i="2"/>
  <c r="AP67" i="2"/>
  <c r="L67" i="1"/>
  <c r="AA67" i="1"/>
  <c r="H67" i="3"/>
  <c r="AR67" i="3"/>
  <c r="AN67" i="3"/>
  <c r="AQ67" i="3"/>
  <c r="AM67" i="3"/>
  <c r="AJ67" i="3"/>
  <c r="AL67" i="3"/>
  <c r="AK67" i="3"/>
  <c r="AG67" i="3"/>
  <c r="AI67" i="3"/>
  <c r="AH67" i="3"/>
  <c r="AF67" i="3"/>
  <c r="AE67" i="3"/>
  <c r="AA67" i="3"/>
  <c r="AC67" i="3"/>
  <c r="AD67" i="3"/>
  <c r="AB67" i="3"/>
  <c r="Z67" i="3"/>
  <c r="X67" i="3"/>
  <c r="Y67" i="3"/>
  <c r="V67" i="3"/>
  <c r="W67" i="3"/>
  <c r="T67" i="3"/>
  <c r="U67" i="3"/>
  <c r="S67" i="3"/>
  <c r="Q67" i="3"/>
  <c r="R67" i="3"/>
  <c r="P67" i="3"/>
  <c r="O67" i="3"/>
  <c r="N67" i="3"/>
  <c r="I67" i="3"/>
  <c r="M67" i="3"/>
  <c r="K67" i="3"/>
  <c r="L67" i="3"/>
  <c r="AP67" i="3"/>
  <c r="J67" i="3"/>
  <c r="AO67" i="3"/>
  <c r="W68" i="1" l="1"/>
  <c r="H68" i="2"/>
  <c r="AQ68" i="2"/>
  <c r="AR68" i="2"/>
  <c r="AN68" i="2"/>
  <c r="AM68" i="2"/>
  <c r="AL68" i="2"/>
  <c r="AJ68" i="2"/>
  <c r="AK68" i="2"/>
  <c r="AH68" i="2"/>
  <c r="AF68" i="2"/>
  <c r="AI68" i="2"/>
  <c r="AG68" i="2"/>
  <c r="AB68" i="2"/>
  <c r="AE68" i="2"/>
  <c r="AD68" i="2"/>
  <c r="AA68" i="2"/>
  <c r="AC68" i="2"/>
  <c r="Z68" i="2"/>
  <c r="Y68" i="2"/>
  <c r="X68" i="2"/>
  <c r="W68" i="2"/>
  <c r="U68" i="2"/>
  <c r="S68" i="2"/>
  <c r="V68" i="2"/>
  <c r="T68" i="2"/>
  <c r="P68" i="2"/>
  <c r="R68" i="2"/>
  <c r="L68" i="2"/>
  <c r="N68" i="2"/>
  <c r="Q68" i="2"/>
  <c r="O68" i="2"/>
  <c r="J68" i="2"/>
  <c r="M68" i="2"/>
  <c r="K68" i="2"/>
  <c r="I68" i="2"/>
  <c r="AP68" i="2"/>
  <c r="AO68" i="2"/>
  <c r="L68" i="1"/>
  <c r="AA68" i="1"/>
  <c r="P67" i="1"/>
  <c r="G69" i="3"/>
  <c r="I70" i="1"/>
  <c r="V69" i="1"/>
  <c r="J69" i="1"/>
  <c r="G69" i="2"/>
  <c r="Y69" i="1"/>
  <c r="Z69" i="1" s="1"/>
  <c r="S69" i="1"/>
  <c r="R69" i="1"/>
  <c r="N69" i="1"/>
  <c r="H68" i="3"/>
  <c r="AR68" i="3"/>
  <c r="AQ68" i="3"/>
  <c r="AN68" i="3"/>
  <c r="AM68" i="3"/>
  <c r="AL68" i="3"/>
  <c r="AK68" i="3"/>
  <c r="AG68" i="3"/>
  <c r="AJ68" i="3"/>
  <c r="AI68" i="3"/>
  <c r="AF68" i="3"/>
  <c r="AH68" i="3"/>
  <c r="AE68" i="3"/>
  <c r="AC68" i="3"/>
  <c r="AD68" i="3"/>
  <c r="AB68" i="3"/>
  <c r="AA68" i="3"/>
  <c r="Z68" i="3"/>
  <c r="Y68" i="3"/>
  <c r="V68" i="3"/>
  <c r="W68" i="3"/>
  <c r="X68" i="3"/>
  <c r="T68" i="3"/>
  <c r="U68" i="3"/>
  <c r="S68" i="3"/>
  <c r="O68" i="3"/>
  <c r="R68" i="3"/>
  <c r="N68" i="3"/>
  <c r="P68" i="3"/>
  <c r="Q68" i="3"/>
  <c r="M68" i="3"/>
  <c r="L68" i="3"/>
  <c r="AP68" i="3"/>
  <c r="J68" i="3"/>
  <c r="K68" i="3"/>
  <c r="I68" i="3"/>
  <c r="AO68" i="3"/>
  <c r="P68" i="1" l="1"/>
  <c r="I71" i="1"/>
  <c r="G70" i="3"/>
  <c r="J70" i="1"/>
  <c r="V70" i="1"/>
  <c r="G70" i="2"/>
  <c r="Y70" i="1"/>
  <c r="Z70" i="1" s="1"/>
  <c r="S70" i="1"/>
  <c r="R70" i="1"/>
  <c r="N70" i="1"/>
  <c r="L69" i="1"/>
  <c r="AA69" i="1"/>
  <c r="H69" i="3"/>
  <c r="AR69" i="3"/>
  <c r="AQ69" i="3"/>
  <c r="AN69" i="3"/>
  <c r="AM69" i="3"/>
  <c r="AL69" i="3"/>
  <c r="AK69" i="3"/>
  <c r="AG69" i="3"/>
  <c r="AJ69" i="3"/>
  <c r="AI69" i="3"/>
  <c r="AF69" i="3"/>
  <c r="AH69" i="3"/>
  <c r="AE69" i="3"/>
  <c r="AB69" i="3"/>
  <c r="AC69" i="3"/>
  <c r="AD69" i="3"/>
  <c r="AA69" i="3"/>
  <c r="Y69" i="3"/>
  <c r="Z69" i="3"/>
  <c r="T69" i="3"/>
  <c r="V69" i="3"/>
  <c r="W69" i="3"/>
  <c r="X69" i="3"/>
  <c r="U69" i="3"/>
  <c r="S69" i="3"/>
  <c r="Q69" i="3"/>
  <c r="R69" i="3"/>
  <c r="P69" i="3"/>
  <c r="N69" i="3"/>
  <c r="O69" i="3"/>
  <c r="L69" i="3"/>
  <c r="I69" i="3"/>
  <c r="M69" i="3"/>
  <c r="K69" i="3"/>
  <c r="J69" i="3"/>
  <c r="AP69" i="3"/>
  <c r="AO69" i="3"/>
  <c r="W69" i="1"/>
  <c r="H69" i="2"/>
  <c r="AQ69" i="2"/>
  <c r="AR69" i="2"/>
  <c r="AN69" i="2"/>
  <c r="AL69" i="2"/>
  <c r="AK69" i="2"/>
  <c r="AM69" i="2"/>
  <c r="AH69" i="2"/>
  <c r="AJ69" i="2"/>
  <c r="AI69" i="2"/>
  <c r="AG69" i="2"/>
  <c r="AF69" i="2"/>
  <c r="AB69" i="2"/>
  <c r="AE69" i="2"/>
  <c r="AD69" i="2"/>
  <c r="AC69" i="2"/>
  <c r="AA69" i="2"/>
  <c r="Z69" i="2"/>
  <c r="Y69" i="2"/>
  <c r="W69" i="2"/>
  <c r="X69" i="2"/>
  <c r="U69" i="2"/>
  <c r="V69" i="2"/>
  <c r="T69" i="2"/>
  <c r="S69" i="2"/>
  <c r="R69" i="2"/>
  <c r="P69" i="2"/>
  <c r="Q69" i="2"/>
  <c r="O69" i="2"/>
  <c r="M69" i="2"/>
  <c r="L69" i="2"/>
  <c r="N69" i="2"/>
  <c r="K69" i="2"/>
  <c r="I69" i="2"/>
  <c r="J69" i="2"/>
  <c r="AO69" i="2"/>
  <c r="AP69" i="2"/>
  <c r="L70" i="1" l="1"/>
  <c r="AA70" i="1"/>
  <c r="H70" i="2"/>
  <c r="AR70" i="2"/>
  <c r="AQ70" i="2"/>
  <c r="AN70" i="2"/>
  <c r="AL70" i="2"/>
  <c r="AK70" i="2"/>
  <c r="AM70" i="2"/>
  <c r="AH70" i="2"/>
  <c r="AJ70" i="2"/>
  <c r="AG70" i="2"/>
  <c r="AI70" i="2"/>
  <c r="AF70" i="2"/>
  <c r="AE70" i="2"/>
  <c r="AD70" i="2"/>
  <c r="AC70" i="2"/>
  <c r="AA70" i="2"/>
  <c r="AB70" i="2"/>
  <c r="Z70" i="2"/>
  <c r="Y70" i="2"/>
  <c r="W70" i="2"/>
  <c r="X70" i="2"/>
  <c r="U70" i="2"/>
  <c r="T70" i="2"/>
  <c r="V70" i="2"/>
  <c r="S70" i="2"/>
  <c r="P70" i="2"/>
  <c r="R70" i="2"/>
  <c r="Q70" i="2"/>
  <c r="O70" i="2"/>
  <c r="J70" i="2"/>
  <c r="M70" i="2"/>
  <c r="L70" i="2"/>
  <c r="N70" i="2"/>
  <c r="K70" i="2"/>
  <c r="I70" i="2"/>
  <c r="AO70" i="2"/>
  <c r="AP70" i="2"/>
  <c r="G71" i="3"/>
  <c r="I72" i="1"/>
  <c r="J71" i="1"/>
  <c r="V71" i="1"/>
  <c r="Y71" i="1"/>
  <c r="Z71" i="1" s="1"/>
  <c r="G71" i="2"/>
  <c r="S71" i="1"/>
  <c r="W71" i="1" s="1"/>
  <c r="N71" i="1"/>
  <c r="R71" i="1"/>
  <c r="H70" i="3"/>
  <c r="AR70" i="3"/>
  <c r="AQ70" i="3"/>
  <c r="AN70" i="3"/>
  <c r="AM70" i="3"/>
  <c r="AL70" i="3"/>
  <c r="AK70" i="3"/>
  <c r="AJ70" i="3"/>
  <c r="AI70" i="3"/>
  <c r="AH70" i="3"/>
  <c r="AG70" i="3"/>
  <c r="AF70" i="3"/>
  <c r="AE70" i="3"/>
  <c r="AD70" i="3"/>
  <c r="AB70" i="3"/>
  <c r="AC70" i="3"/>
  <c r="AA70" i="3"/>
  <c r="Y70" i="3"/>
  <c r="Z70" i="3"/>
  <c r="W70" i="3"/>
  <c r="X70" i="3"/>
  <c r="V70" i="3"/>
  <c r="U70" i="3"/>
  <c r="S70" i="3"/>
  <c r="T70" i="3"/>
  <c r="P70" i="3"/>
  <c r="Q70" i="3"/>
  <c r="R70" i="3"/>
  <c r="L70" i="3"/>
  <c r="N70" i="3"/>
  <c r="O70" i="3"/>
  <c r="J70" i="3"/>
  <c r="M70" i="3"/>
  <c r="K70" i="3"/>
  <c r="AO70" i="3"/>
  <c r="AP70" i="3"/>
  <c r="I70" i="3"/>
  <c r="W70" i="1"/>
  <c r="P69" i="1"/>
  <c r="H71" i="2" l="1"/>
  <c r="AR71" i="2"/>
  <c r="AN71" i="2"/>
  <c r="AQ71" i="2"/>
  <c r="AM71" i="2"/>
  <c r="AL71" i="2"/>
  <c r="AK71" i="2"/>
  <c r="AI71" i="2"/>
  <c r="AH71" i="2"/>
  <c r="AJ71" i="2"/>
  <c r="AG71" i="2"/>
  <c r="AD71" i="2"/>
  <c r="AF71" i="2"/>
  <c r="AC71" i="2"/>
  <c r="AE71" i="2"/>
  <c r="AA71" i="2"/>
  <c r="AB71" i="2"/>
  <c r="Z71" i="2"/>
  <c r="U71" i="2"/>
  <c r="W71" i="2"/>
  <c r="X71" i="2"/>
  <c r="Y71" i="2"/>
  <c r="T71" i="2"/>
  <c r="V71" i="2"/>
  <c r="R71" i="2"/>
  <c r="S71" i="2"/>
  <c r="Q71" i="2"/>
  <c r="O71" i="2"/>
  <c r="P71" i="2"/>
  <c r="M71" i="2"/>
  <c r="L71" i="2"/>
  <c r="N71" i="2"/>
  <c r="K71" i="2"/>
  <c r="I71" i="2"/>
  <c r="J71" i="2"/>
  <c r="AP71" i="2"/>
  <c r="AO71" i="2"/>
  <c r="P70" i="1"/>
  <c r="I73" i="1"/>
  <c r="G72" i="3"/>
  <c r="V72" i="1"/>
  <c r="J72" i="1"/>
  <c r="G72" i="2"/>
  <c r="Y72" i="1"/>
  <c r="Z72" i="1" s="1"/>
  <c r="S72" i="1"/>
  <c r="W72" i="1" s="1"/>
  <c r="N72" i="1"/>
  <c r="R72" i="1"/>
  <c r="H71" i="3"/>
  <c r="AR71" i="3"/>
  <c r="AQ71" i="3"/>
  <c r="AN71" i="3"/>
  <c r="AL71" i="3"/>
  <c r="AK71" i="3"/>
  <c r="AM71" i="3"/>
  <c r="AH71" i="3"/>
  <c r="AJ71" i="3"/>
  <c r="AI71" i="3"/>
  <c r="AG71" i="3"/>
  <c r="AF71" i="3"/>
  <c r="AE71" i="3"/>
  <c r="AD71" i="3"/>
  <c r="AB71" i="3"/>
  <c r="AC71" i="3"/>
  <c r="AA71" i="3"/>
  <c r="W71" i="3"/>
  <c r="Y71" i="3"/>
  <c r="Z71" i="3"/>
  <c r="X71" i="3"/>
  <c r="V71" i="3"/>
  <c r="U71" i="3"/>
  <c r="T71" i="3"/>
  <c r="R71" i="3"/>
  <c r="P71" i="3"/>
  <c r="S71" i="3"/>
  <c r="Q71" i="3"/>
  <c r="O71" i="3"/>
  <c r="N71" i="3"/>
  <c r="J71" i="3"/>
  <c r="M71" i="3"/>
  <c r="L71" i="3"/>
  <c r="K71" i="3"/>
  <c r="AO71" i="3"/>
  <c r="AP71" i="3"/>
  <c r="I71" i="3"/>
  <c r="L71" i="1"/>
  <c r="AA71" i="1"/>
  <c r="H72" i="2" l="1"/>
  <c r="AR72" i="2"/>
  <c r="AN72" i="2"/>
  <c r="AM72" i="2"/>
  <c r="AQ72" i="2"/>
  <c r="AL72" i="2"/>
  <c r="AI72" i="2"/>
  <c r="AK72" i="2"/>
  <c r="AJ72" i="2"/>
  <c r="AG72" i="2"/>
  <c r="AH72" i="2"/>
  <c r="AF72" i="2"/>
  <c r="AC72" i="2"/>
  <c r="AD72" i="2"/>
  <c r="AE72" i="2"/>
  <c r="AB72" i="2"/>
  <c r="Z72" i="2"/>
  <c r="AA72" i="2"/>
  <c r="Y72" i="2"/>
  <c r="X72" i="2"/>
  <c r="U72" i="2"/>
  <c r="W72" i="2"/>
  <c r="V72" i="2"/>
  <c r="R72" i="2"/>
  <c r="T72" i="2"/>
  <c r="Q72" i="2"/>
  <c r="S72" i="2"/>
  <c r="M72" i="2"/>
  <c r="O72" i="2"/>
  <c r="P72" i="2"/>
  <c r="K72" i="2"/>
  <c r="L72" i="2"/>
  <c r="N72" i="2"/>
  <c r="AP72" i="2"/>
  <c r="I72" i="2"/>
  <c r="J72" i="2"/>
  <c r="AO72" i="2"/>
  <c r="G73" i="3"/>
  <c r="I74" i="1"/>
  <c r="V73" i="1"/>
  <c r="J73" i="1"/>
  <c r="G73" i="2"/>
  <c r="Y73" i="1"/>
  <c r="Z73" i="1" s="1"/>
  <c r="S73" i="1"/>
  <c r="W73" i="1" s="1"/>
  <c r="N73" i="1"/>
  <c r="R73" i="1"/>
  <c r="L72" i="1"/>
  <c r="AA72" i="1"/>
  <c r="H72" i="3"/>
  <c r="AR72" i="3"/>
  <c r="AQ72" i="3"/>
  <c r="AN72" i="3"/>
  <c r="AL72" i="3"/>
  <c r="AK72" i="3"/>
  <c r="AM72" i="3"/>
  <c r="AI72" i="3"/>
  <c r="AH72" i="3"/>
  <c r="AJ72" i="3"/>
  <c r="AG72" i="3"/>
  <c r="AF72" i="3"/>
  <c r="AD72" i="3"/>
  <c r="AE72" i="3"/>
  <c r="AC72" i="3"/>
  <c r="AB72" i="3"/>
  <c r="AA72" i="3"/>
  <c r="Z72" i="3"/>
  <c r="Y72" i="3"/>
  <c r="X72" i="3"/>
  <c r="W72" i="3"/>
  <c r="V72" i="3"/>
  <c r="U72" i="3"/>
  <c r="T72" i="3"/>
  <c r="R72" i="3"/>
  <c r="P72" i="3"/>
  <c r="S72" i="3"/>
  <c r="L72" i="3"/>
  <c r="Q72" i="3"/>
  <c r="O72" i="3"/>
  <c r="N72" i="3"/>
  <c r="J72" i="3"/>
  <c r="M72" i="3"/>
  <c r="AO72" i="3"/>
  <c r="K72" i="3"/>
  <c r="AP72" i="3"/>
  <c r="I72" i="3"/>
  <c r="P71" i="1"/>
  <c r="H73" i="3" l="1"/>
  <c r="AR73" i="3"/>
  <c r="AQ73" i="3"/>
  <c r="AN73" i="3"/>
  <c r="AM73" i="3"/>
  <c r="AL73" i="3"/>
  <c r="AK73" i="3"/>
  <c r="AJ73" i="3"/>
  <c r="AI73" i="3"/>
  <c r="AH73" i="3"/>
  <c r="AD73" i="3"/>
  <c r="AG73" i="3"/>
  <c r="AF73" i="3"/>
  <c r="AC73" i="3"/>
  <c r="AE73" i="3"/>
  <c r="AB73" i="3"/>
  <c r="AA73" i="3"/>
  <c r="Z73" i="3"/>
  <c r="W73" i="3"/>
  <c r="U73" i="3"/>
  <c r="X73" i="3"/>
  <c r="Y73" i="3"/>
  <c r="V73" i="3"/>
  <c r="T73" i="3"/>
  <c r="R73" i="3"/>
  <c r="S73" i="3"/>
  <c r="Q73" i="3"/>
  <c r="P73" i="3"/>
  <c r="O73" i="3"/>
  <c r="M73" i="3"/>
  <c r="N73" i="3"/>
  <c r="L73" i="3"/>
  <c r="K73" i="3"/>
  <c r="I73" i="3"/>
  <c r="AO73" i="3"/>
  <c r="J73" i="3"/>
  <c r="AP73" i="3"/>
  <c r="P72" i="1"/>
  <c r="H73" i="2"/>
  <c r="AR73" i="2"/>
  <c r="AN73" i="2"/>
  <c r="AQ73" i="2"/>
  <c r="AL73" i="2"/>
  <c r="AM73" i="2"/>
  <c r="AK73" i="2"/>
  <c r="AJ73" i="2"/>
  <c r="AI73" i="2"/>
  <c r="AH73" i="2"/>
  <c r="AD73" i="2"/>
  <c r="AG73" i="2"/>
  <c r="AF73" i="2"/>
  <c r="AC73" i="2"/>
  <c r="AE73" i="2"/>
  <c r="AB73" i="2"/>
  <c r="X73" i="2"/>
  <c r="Z73" i="2"/>
  <c r="AA73" i="2"/>
  <c r="Y73" i="2"/>
  <c r="V73" i="2"/>
  <c r="U73" i="2"/>
  <c r="W73" i="2"/>
  <c r="T73" i="2"/>
  <c r="R73" i="2"/>
  <c r="Q73" i="2"/>
  <c r="S73" i="2"/>
  <c r="O73" i="2"/>
  <c r="P73" i="2"/>
  <c r="N73" i="2"/>
  <c r="K73" i="2"/>
  <c r="M73" i="2"/>
  <c r="L73" i="2"/>
  <c r="AP73" i="2"/>
  <c r="I73" i="2"/>
  <c r="J73" i="2"/>
  <c r="AO73" i="2"/>
  <c r="L73" i="1"/>
  <c r="AA73" i="1"/>
  <c r="I75" i="1"/>
  <c r="G74" i="3"/>
  <c r="V74" i="1"/>
  <c r="J74" i="1"/>
  <c r="G74" i="2"/>
  <c r="Y74" i="1"/>
  <c r="Z74" i="1" s="1"/>
  <c r="R74" i="1"/>
  <c r="S74" i="1"/>
  <c r="W74" i="1" s="1"/>
  <c r="N74" i="1"/>
  <c r="P73" i="1" l="1"/>
  <c r="H74" i="2"/>
  <c r="AN74" i="2"/>
  <c r="AR74" i="2"/>
  <c r="AM74" i="2"/>
  <c r="AQ74" i="2"/>
  <c r="AL74" i="2"/>
  <c r="AI74" i="2"/>
  <c r="AK74" i="2"/>
  <c r="AJ74" i="2"/>
  <c r="AH74" i="2"/>
  <c r="AG74" i="2"/>
  <c r="AF74" i="2"/>
  <c r="AE74" i="2"/>
  <c r="AD74" i="2"/>
  <c r="AC74" i="2"/>
  <c r="AB74" i="2"/>
  <c r="Z74" i="2"/>
  <c r="X74" i="2"/>
  <c r="AA74" i="2"/>
  <c r="W74" i="2"/>
  <c r="Y74" i="2"/>
  <c r="V74" i="2"/>
  <c r="R74" i="2"/>
  <c r="U74" i="2"/>
  <c r="T74" i="2"/>
  <c r="Q74" i="2"/>
  <c r="S74" i="2"/>
  <c r="M74" i="2"/>
  <c r="P74" i="2"/>
  <c r="L74" i="2"/>
  <c r="N74" i="2"/>
  <c r="K74" i="2"/>
  <c r="O74" i="2"/>
  <c r="I74" i="2"/>
  <c r="AO74" i="2"/>
  <c r="AP74" i="2"/>
  <c r="J74" i="2"/>
  <c r="H74" i="3"/>
  <c r="AR74" i="3"/>
  <c r="AN74" i="3"/>
  <c r="AM74" i="3"/>
  <c r="AQ74" i="3"/>
  <c r="AL74" i="3"/>
  <c r="AJ74" i="3"/>
  <c r="AI74" i="3"/>
  <c r="AK74" i="3"/>
  <c r="AE74" i="3"/>
  <c r="AH74" i="3"/>
  <c r="AD74" i="3"/>
  <c r="AG74" i="3"/>
  <c r="AF74" i="3"/>
  <c r="AC74" i="3"/>
  <c r="AA74" i="3"/>
  <c r="AB74" i="3"/>
  <c r="Z74" i="3"/>
  <c r="Y74" i="3"/>
  <c r="X74" i="3"/>
  <c r="U74" i="3"/>
  <c r="T74" i="3"/>
  <c r="R74" i="3"/>
  <c r="V74" i="3"/>
  <c r="W74" i="3"/>
  <c r="Q74" i="3"/>
  <c r="S74" i="3"/>
  <c r="O74" i="3"/>
  <c r="M74" i="3"/>
  <c r="P74" i="3"/>
  <c r="K74" i="3"/>
  <c r="N74" i="3"/>
  <c r="L74" i="3"/>
  <c r="I74" i="3"/>
  <c r="AO74" i="3"/>
  <c r="J74" i="3"/>
  <c r="AP74" i="3"/>
  <c r="L74" i="1"/>
  <c r="AA74" i="1"/>
  <c r="G75" i="3"/>
  <c r="I76" i="1"/>
  <c r="V75" i="1"/>
  <c r="J75" i="1"/>
  <c r="Y75" i="1"/>
  <c r="Z75" i="1" s="1"/>
  <c r="G75" i="2"/>
  <c r="S75" i="1"/>
  <c r="W75" i="1" s="1"/>
  <c r="N75" i="1"/>
  <c r="R75" i="1"/>
  <c r="H75" i="2" l="1"/>
  <c r="AR75" i="2"/>
  <c r="AN75" i="2"/>
  <c r="AQ75" i="2"/>
  <c r="AM75" i="2"/>
  <c r="AL75" i="2"/>
  <c r="AK75" i="2"/>
  <c r="AJ75" i="2"/>
  <c r="AI75" i="2"/>
  <c r="AH75" i="2"/>
  <c r="AF75" i="2"/>
  <c r="AE75" i="2"/>
  <c r="AG75" i="2"/>
  <c r="AD75" i="2"/>
  <c r="AC75" i="2"/>
  <c r="AB75" i="2"/>
  <c r="X75" i="2"/>
  <c r="Z75" i="2"/>
  <c r="AA75" i="2"/>
  <c r="V75" i="2"/>
  <c r="Y75" i="2"/>
  <c r="W75" i="2"/>
  <c r="U75" i="2"/>
  <c r="S75" i="2"/>
  <c r="T75" i="2"/>
  <c r="R75" i="2"/>
  <c r="Q75" i="2"/>
  <c r="P75" i="2"/>
  <c r="N75" i="2"/>
  <c r="L75" i="2"/>
  <c r="O75" i="2"/>
  <c r="M75" i="2"/>
  <c r="J75" i="2"/>
  <c r="AO75" i="2"/>
  <c r="K75" i="2"/>
  <c r="I75" i="2"/>
  <c r="AP75" i="2"/>
  <c r="L75" i="1"/>
  <c r="AA75" i="1"/>
  <c r="G76" i="3"/>
  <c r="I77" i="1"/>
  <c r="V76" i="1"/>
  <c r="J76" i="1"/>
  <c r="G76" i="2"/>
  <c r="Y76" i="1"/>
  <c r="Z76" i="1" s="1"/>
  <c r="S76" i="1"/>
  <c r="W76" i="1" s="1"/>
  <c r="N76" i="1"/>
  <c r="R76" i="1"/>
  <c r="H75" i="3"/>
  <c r="AR75" i="3"/>
  <c r="AN75" i="3"/>
  <c r="AQ75" i="3"/>
  <c r="AM75" i="3"/>
  <c r="AL75" i="3"/>
  <c r="AJ75" i="3"/>
  <c r="AI75" i="3"/>
  <c r="AK75" i="3"/>
  <c r="AH75" i="3"/>
  <c r="AF75" i="3"/>
  <c r="AD75" i="3"/>
  <c r="AG75" i="3"/>
  <c r="AA75" i="3"/>
  <c r="AC75" i="3"/>
  <c r="AE75" i="3"/>
  <c r="Z75" i="3"/>
  <c r="AB75" i="3"/>
  <c r="X75" i="3"/>
  <c r="Y75" i="3"/>
  <c r="U75" i="3"/>
  <c r="W75" i="3"/>
  <c r="T75" i="3"/>
  <c r="R75" i="3"/>
  <c r="V75" i="3"/>
  <c r="S75" i="3"/>
  <c r="Q75" i="3"/>
  <c r="O75" i="3"/>
  <c r="P75" i="3"/>
  <c r="K75" i="3"/>
  <c r="N75" i="3"/>
  <c r="M75" i="3"/>
  <c r="L75" i="3"/>
  <c r="I75" i="3"/>
  <c r="AO75" i="3"/>
  <c r="J75" i="3"/>
  <c r="AP75" i="3"/>
  <c r="P74" i="1"/>
  <c r="P75" i="1" l="1"/>
  <c r="H76" i="2"/>
  <c r="AQ76" i="2"/>
  <c r="AR76" i="2"/>
  <c r="AN76" i="2"/>
  <c r="AM76" i="2"/>
  <c r="AL76" i="2"/>
  <c r="AJ76" i="2"/>
  <c r="AK76" i="2"/>
  <c r="AI76" i="2"/>
  <c r="AF76" i="2"/>
  <c r="AH76" i="2"/>
  <c r="AE76" i="2"/>
  <c r="AG76" i="2"/>
  <c r="AD76" i="2"/>
  <c r="AB76" i="2"/>
  <c r="AC76" i="2"/>
  <c r="AA76" i="2"/>
  <c r="Z76" i="2"/>
  <c r="Y76" i="2"/>
  <c r="V76" i="2"/>
  <c r="X76" i="2"/>
  <c r="W76" i="2"/>
  <c r="S76" i="2"/>
  <c r="U76" i="2"/>
  <c r="T76" i="2"/>
  <c r="R76" i="2"/>
  <c r="N76" i="2"/>
  <c r="Q76" i="2"/>
  <c r="O76" i="2"/>
  <c r="P76" i="2"/>
  <c r="L76" i="2"/>
  <c r="M76" i="2"/>
  <c r="J76" i="2"/>
  <c r="AO76" i="2"/>
  <c r="K76" i="2"/>
  <c r="I76" i="2"/>
  <c r="AP76" i="2"/>
  <c r="L76" i="1"/>
  <c r="AA76" i="1"/>
  <c r="I78" i="1"/>
  <c r="G77" i="3"/>
  <c r="J77" i="1"/>
  <c r="V77" i="1"/>
  <c r="G77" i="2"/>
  <c r="Y77" i="1"/>
  <c r="Z77" i="1" s="1"/>
  <c r="S77" i="1"/>
  <c r="N77" i="1"/>
  <c r="R77" i="1"/>
  <c r="H76" i="3"/>
  <c r="AR76" i="3"/>
  <c r="AQ76" i="3"/>
  <c r="AN76" i="3"/>
  <c r="AM76" i="3"/>
  <c r="AL76" i="3"/>
  <c r="AK76" i="3"/>
  <c r="AJ76" i="3"/>
  <c r="AI76" i="3"/>
  <c r="AG76" i="3"/>
  <c r="AH76" i="3"/>
  <c r="AF76" i="3"/>
  <c r="AD76" i="3"/>
  <c r="AC76" i="3"/>
  <c r="AE76" i="3"/>
  <c r="Z76" i="3"/>
  <c r="AA76" i="3"/>
  <c r="AB76" i="3"/>
  <c r="X76" i="3"/>
  <c r="Y76" i="3"/>
  <c r="W76" i="3"/>
  <c r="V76" i="3"/>
  <c r="T76" i="3"/>
  <c r="R76" i="3"/>
  <c r="U76" i="3"/>
  <c r="O76" i="3"/>
  <c r="S76" i="3"/>
  <c r="Q76" i="3"/>
  <c r="M76" i="3"/>
  <c r="P76" i="3"/>
  <c r="L76" i="3"/>
  <c r="K76" i="3"/>
  <c r="N76" i="3"/>
  <c r="I76" i="3"/>
  <c r="AO76" i="3"/>
  <c r="J76" i="3"/>
  <c r="AP76" i="3"/>
  <c r="H77" i="2" l="1"/>
  <c r="AQ77" i="2"/>
  <c r="AR77" i="2"/>
  <c r="AN77" i="2"/>
  <c r="AM77" i="2"/>
  <c r="AL77" i="2"/>
  <c r="AJ77" i="2"/>
  <c r="AK77" i="2"/>
  <c r="AI77" i="2"/>
  <c r="AF77" i="2"/>
  <c r="AH77" i="2"/>
  <c r="AE77" i="2"/>
  <c r="AG77" i="2"/>
  <c r="AB77" i="2"/>
  <c r="AD77" i="2"/>
  <c r="AA77" i="2"/>
  <c r="AC77" i="2"/>
  <c r="Y77" i="2"/>
  <c r="Z77" i="2"/>
  <c r="V77" i="2"/>
  <c r="X77" i="2"/>
  <c r="W77" i="2"/>
  <c r="S77" i="2"/>
  <c r="U77" i="2"/>
  <c r="T77" i="2"/>
  <c r="R77" i="2"/>
  <c r="P77" i="2"/>
  <c r="N77" i="2"/>
  <c r="Q77" i="2"/>
  <c r="O77" i="2"/>
  <c r="M77" i="2"/>
  <c r="I77" i="2"/>
  <c r="L77" i="2"/>
  <c r="J77" i="2"/>
  <c r="AO77" i="2"/>
  <c r="K77" i="2"/>
  <c r="AP77" i="2"/>
  <c r="W77" i="1"/>
  <c r="L77" i="1"/>
  <c r="AA77" i="1"/>
  <c r="H77" i="3"/>
  <c r="AR77" i="3"/>
  <c r="AQ77" i="3"/>
  <c r="AN77" i="3"/>
  <c r="AL77" i="3"/>
  <c r="AJ77" i="3"/>
  <c r="AM77" i="3"/>
  <c r="AK77" i="3"/>
  <c r="AG77" i="3"/>
  <c r="AI77" i="3"/>
  <c r="AH77" i="3"/>
  <c r="AF77" i="3"/>
  <c r="AA77" i="3"/>
  <c r="AD77" i="3"/>
  <c r="AC77" i="3"/>
  <c r="AE77" i="3"/>
  <c r="Z77" i="3"/>
  <c r="AB77" i="3"/>
  <c r="X77" i="3"/>
  <c r="Y77" i="3"/>
  <c r="V77" i="3"/>
  <c r="W77" i="3"/>
  <c r="T77" i="3"/>
  <c r="U77" i="3"/>
  <c r="S77" i="3"/>
  <c r="R77" i="3"/>
  <c r="Q77" i="3"/>
  <c r="O77" i="3"/>
  <c r="P77" i="3"/>
  <c r="N77" i="3"/>
  <c r="I77" i="3"/>
  <c r="L77" i="3"/>
  <c r="K77" i="3"/>
  <c r="M77" i="3"/>
  <c r="AP77" i="3"/>
  <c r="AO77" i="3"/>
  <c r="J77" i="3"/>
  <c r="G78" i="3"/>
  <c r="I79" i="1"/>
  <c r="J78" i="1"/>
  <c r="V78" i="1"/>
  <c r="G78" i="2"/>
  <c r="Y78" i="1"/>
  <c r="Z78" i="1" s="1"/>
  <c r="S78" i="1"/>
  <c r="W78" i="1" s="1"/>
  <c r="R78" i="1"/>
  <c r="N78" i="1"/>
  <c r="P76" i="1"/>
  <c r="H78" i="3" l="1"/>
  <c r="AR78" i="3"/>
  <c r="AQ78" i="3"/>
  <c r="AN78" i="3"/>
  <c r="AM78" i="3"/>
  <c r="AL78" i="3"/>
  <c r="AK78" i="3"/>
  <c r="AG78" i="3"/>
  <c r="AI78" i="3"/>
  <c r="AJ78" i="3"/>
  <c r="AH78" i="3"/>
  <c r="AF78" i="3"/>
  <c r="AE78" i="3"/>
  <c r="AD78" i="3"/>
  <c r="AC78" i="3"/>
  <c r="AB78" i="3"/>
  <c r="Z78" i="3"/>
  <c r="AA78" i="3"/>
  <c r="Y78" i="3"/>
  <c r="W78" i="3"/>
  <c r="V78" i="3"/>
  <c r="X78" i="3"/>
  <c r="T78" i="3"/>
  <c r="S78" i="3"/>
  <c r="U78" i="3"/>
  <c r="O78" i="3"/>
  <c r="R78" i="3"/>
  <c r="N78" i="3"/>
  <c r="Q78" i="3"/>
  <c r="P78" i="3"/>
  <c r="M78" i="3"/>
  <c r="L78" i="3"/>
  <c r="AP78" i="3"/>
  <c r="I78" i="3"/>
  <c r="K78" i="3"/>
  <c r="AO78" i="3"/>
  <c r="J78" i="3"/>
  <c r="P77" i="1"/>
  <c r="H78" i="2"/>
  <c r="AQ78" i="2"/>
  <c r="AR78" i="2"/>
  <c r="AN78" i="2"/>
  <c r="AM78" i="2"/>
  <c r="AK78" i="2"/>
  <c r="AL78" i="2"/>
  <c r="AJ78" i="2"/>
  <c r="AI78" i="2"/>
  <c r="AH78" i="2"/>
  <c r="AF78" i="2"/>
  <c r="AG78" i="2"/>
  <c r="AE78" i="2"/>
  <c r="AB78" i="2"/>
  <c r="AD78" i="2"/>
  <c r="AA78" i="2"/>
  <c r="AC78" i="2"/>
  <c r="Y78" i="2"/>
  <c r="Z78" i="2"/>
  <c r="X78" i="2"/>
  <c r="W78" i="2"/>
  <c r="V78" i="2"/>
  <c r="S78" i="2"/>
  <c r="U78" i="2"/>
  <c r="P78" i="2"/>
  <c r="T78" i="2"/>
  <c r="R78" i="2"/>
  <c r="L78" i="2"/>
  <c r="N78" i="2"/>
  <c r="Q78" i="2"/>
  <c r="O78" i="2"/>
  <c r="J78" i="2"/>
  <c r="M78" i="2"/>
  <c r="K78" i="2"/>
  <c r="I78" i="2"/>
  <c r="AO78" i="2"/>
  <c r="AP78" i="2"/>
  <c r="L78" i="1"/>
  <c r="AA78" i="1"/>
  <c r="G79" i="3"/>
  <c r="I80" i="1"/>
  <c r="V79" i="1"/>
  <c r="J79" i="1"/>
  <c r="G79" i="2"/>
  <c r="Y79" i="1"/>
  <c r="Z79" i="1" s="1"/>
  <c r="S79" i="1"/>
  <c r="W79" i="1" s="1"/>
  <c r="N79" i="1"/>
  <c r="R79" i="1"/>
  <c r="P78" i="1" l="1"/>
  <c r="L79" i="1"/>
  <c r="AA79" i="1"/>
  <c r="I81" i="1"/>
  <c r="G80" i="3"/>
  <c r="J80" i="1"/>
  <c r="V80" i="1"/>
  <c r="G80" i="2"/>
  <c r="Y80" i="1"/>
  <c r="Z80" i="1" s="1"/>
  <c r="S80" i="1"/>
  <c r="W80" i="1" s="1"/>
  <c r="N80" i="1"/>
  <c r="R80" i="1"/>
  <c r="H79" i="2"/>
  <c r="AQ79" i="2"/>
  <c r="AR79" i="2"/>
  <c r="AN79" i="2"/>
  <c r="AL79" i="2"/>
  <c r="AK79" i="2"/>
  <c r="AM79" i="2"/>
  <c r="AH79" i="2"/>
  <c r="AJ79" i="2"/>
  <c r="AI79" i="2"/>
  <c r="AG79" i="2"/>
  <c r="AF79" i="2"/>
  <c r="AE79" i="2"/>
  <c r="AB79" i="2"/>
  <c r="AD79" i="2"/>
  <c r="AA79" i="2"/>
  <c r="AC79" i="2"/>
  <c r="Z79" i="2"/>
  <c r="Y79" i="2"/>
  <c r="W79" i="2"/>
  <c r="X79" i="2"/>
  <c r="V79" i="2"/>
  <c r="U79" i="2"/>
  <c r="T79" i="2"/>
  <c r="R79" i="2"/>
  <c r="S79" i="2"/>
  <c r="P79" i="2"/>
  <c r="Q79" i="2"/>
  <c r="O79" i="2"/>
  <c r="N79" i="2"/>
  <c r="M79" i="2"/>
  <c r="I79" i="2"/>
  <c r="J79" i="2"/>
  <c r="L79" i="2"/>
  <c r="AO79" i="2"/>
  <c r="K79" i="2"/>
  <c r="AP79" i="2"/>
  <c r="H79" i="3"/>
  <c r="AQ79" i="3"/>
  <c r="AR79" i="3"/>
  <c r="AN79" i="3"/>
  <c r="AM79" i="3"/>
  <c r="AL79" i="3"/>
  <c r="AK79" i="3"/>
  <c r="AG79" i="3"/>
  <c r="AJ79" i="3"/>
  <c r="AH79" i="3"/>
  <c r="AF79" i="3"/>
  <c r="AI79" i="3"/>
  <c r="AE79" i="3"/>
  <c r="AB79" i="3"/>
  <c r="AD79" i="3"/>
  <c r="AC79" i="3"/>
  <c r="AA79" i="3"/>
  <c r="Y79" i="3"/>
  <c r="Z79" i="3"/>
  <c r="T79" i="3"/>
  <c r="W79" i="3"/>
  <c r="V79" i="3"/>
  <c r="X79" i="3"/>
  <c r="S79" i="3"/>
  <c r="U79" i="3"/>
  <c r="R79" i="3"/>
  <c r="Q79" i="3"/>
  <c r="P79" i="3"/>
  <c r="N79" i="3"/>
  <c r="O79" i="3"/>
  <c r="L79" i="3"/>
  <c r="M79" i="3"/>
  <c r="I79" i="3"/>
  <c r="K79" i="3"/>
  <c r="J79" i="3"/>
  <c r="AP79" i="3"/>
  <c r="AO79" i="3"/>
  <c r="H80" i="3" l="1"/>
  <c r="AQ80" i="3"/>
  <c r="AR80" i="3"/>
  <c r="AN80" i="3"/>
  <c r="AM80" i="3"/>
  <c r="AL80" i="3"/>
  <c r="AK80" i="3"/>
  <c r="AI80" i="3"/>
  <c r="AJ80" i="3"/>
  <c r="AH80" i="3"/>
  <c r="AF80" i="3"/>
  <c r="AG80" i="3"/>
  <c r="AE80" i="3"/>
  <c r="AB80" i="3"/>
  <c r="AD80" i="3"/>
  <c r="AC80" i="3"/>
  <c r="AA80" i="3"/>
  <c r="Y80" i="3"/>
  <c r="Z80" i="3"/>
  <c r="W80" i="3"/>
  <c r="V80" i="3"/>
  <c r="X80" i="3"/>
  <c r="S80" i="3"/>
  <c r="T80" i="3"/>
  <c r="U80" i="3"/>
  <c r="P80" i="3"/>
  <c r="R80" i="3"/>
  <c r="Q80" i="3"/>
  <c r="L80" i="3"/>
  <c r="N80" i="3"/>
  <c r="O80" i="3"/>
  <c r="J80" i="3"/>
  <c r="M80" i="3"/>
  <c r="K80" i="3"/>
  <c r="AP80" i="3"/>
  <c r="I80" i="3"/>
  <c r="AO80" i="3"/>
  <c r="G81" i="3"/>
  <c r="I82" i="1"/>
  <c r="J81" i="1"/>
  <c r="V81" i="1"/>
  <c r="G81" i="2"/>
  <c r="Y81" i="1"/>
  <c r="Z81" i="1" s="1"/>
  <c r="S81" i="1"/>
  <c r="W81" i="1" s="1"/>
  <c r="N81" i="1"/>
  <c r="R81" i="1"/>
  <c r="P79" i="1"/>
  <c r="H80" i="2"/>
  <c r="AQ80" i="2"/>
  <c r="AR80" i="2"/>
  <c r="AL80" i="2"/>
  <c r="AN80" i="2"/>
  <c r="AK80" i="2"/>
  <c r="AM80" i="2"/>
  <c r="AH80" i="2"/>
  <c r="AJ80" i="2"/>
  <c r="AG80" i="2"/>
  <c r="AI80" i="2"/>
  <c r="AF80" i="2"/>
  <c r="AE80" i="2"/>
  <c r="AD80" i="2"/>
  <c r="AC80" i="2"/>
  <c r="AB80" i="2"/>
  <c r="AA80" i="2"/>
  <c r="Z80" i="2"/>
  <c r="Y80" i="2"/>
  <c r="X80" i="2"/>
  <c r="W80" i="2"/>
  <c r="U80" i="2"/>
  <c r="T80" i="2"/>
  <c r="V80" i="2"/>
  <c r="P80" i="2"/>
  <c r="R80" i="2"/>
  <c r="S80" i="2"/>
  <c r="O80" i="2"/>
  <c r="Q80" i="2"/>
  <c r="J80" i="2"/>
  <c r="N80" i="2"/>
  <c r="M80" i="2"/>
  <c r="L80" i="2"/>
  <c r="I80" i="2"/>
  <c r="AO80" i="2"/>
  <c r="K80" i="2"/>
  <c r="AP80" i="2"/>
  <c r="L80" i="1"/>
  <c r="AA80" i="1"/>
  <c r="I83" i="1" l="1"/>
  <c r="G82" i="3"/>
  <c r="V82" i="1"/>
  <c r="J82" i="1"/>
  <c r="G82" i="2"/>
  <c r="Y82" i="1"/>
  <c r="Z82" i="1" s="1"/>
  <c r="N82" i="1"/>
  <c r="S82" i="1"/>
  <c r="W82" i="1" s="1"/>
  <c r="R82" i="1"/>
  <c r="H81" i="2"/>
  <c r="AR81" i="2"/>
  <c r="AQ81" i="2"/>
  <c r="AM81" i="2"/>
  <c r="AL81" i="2"/>
  <c r="AN81" i="2"/>
  <c r="AK81" i="2"/>
  <c r="AI81" i="2"/>
  <c r="AJ81" i="2"/>
  <c r="AH81" i="2"/>
  <c r="AG81" i="2"/>
  <c r="AD81" i="2"/>
  <c r="AF81" i="2"/>
  <c r="AC81" i="2"/>
  <c r="AE81" i="2"/>
  <c r="AB81" i="2"/>
  <c r="AA81" i="2"/>
  <c r="Z81" i="2"/>
  <c r="U81" i="2"/>
  <c r="X81" i="2"/>
  <c r="W81" i="2"/>
  <c r="Y81" i="2"/>
  <c r="T81" i="2"/>
  <c r="V81" i="2"/>
  <c r="R81" i="2"/>
  <c r="S81" i="2"/>
  <c r="Q81" i="2"/>
  <c r="P81" i="2"/>
  <c r="O81" i="2"/>
  <c r="M81" i="2"/>
  <c r="N81" i="2"/>
  <c r="L81" i="2"/>
  <c r="K81" i="2"/>
  <c r="I81" i="2"/>
  <c r="J81" i="2"/>
  <c r="AP81" i="2"/>
  <c r="AO81" i="2"/>
  <c r="L81" i="1"/>
  <c r="AA81" i="1"/>
  <c r="H81" i="3"/>
  <c r="AR81" i="3"/>
  <c r="AQ81" i="3"/>
  <c r="AN81" i="3"/>
  <c r="AM81" i="3"/>
  <c r="AL81" i="3"/>
  <c r="AK81" i="3"/>
  <c r="AJ81" i="3"/>
  <c r="AH81" i="3"/>
  <c r="AI81" i="3"/>
  <c r="AG81" i="3"/>
  <c r="AF81" i="3"/>
  <c r="AE81" i="3"/>
  <c r="AB81" i="3"/>
  <c r="AD81" i="3"/>
  <c r="AC81" i="3"/>
  <c r="AA81" i="3"/>
  <c r="W81" i="3"/>
  <c r="Y81" i="3"/>
  <c r="Z81" i="3"/>
  <c r="X81" i="3"/>
  <c r="V81" i="3"/>
  <c r="T81" i="3"/>
  <c r="U81" i="3"/>
  <c r="P81" i="3"/>
  <c r="S81" i="3"/>
  <c r="R81" i="3"/>
  <c r="O81" i="3"/>
  <c r="Q81" i="3"/>
  <c r="J81" i="3"/>
  <c r="M81" i="3"/>
  <c r="L81" i="3"/>
  <c r="N81" i="3"/>
  <c r="K81" i="3"/>
  <c r="AO81" i="3"/>
  <c r="AP81" i="3"/>
  <c r="I81" i="3"/>
  <c r="P80" i="1"/>
  <c r="P81" i="1" l="1"/>
  <c r="H82" i="2"/>
  <c r="AR82" i="2"/>
  <c r="AQ82" i="2"/>
  <c r="AN82" i="2"/>
  <c r="AM82" i="2"/>
  <c r="AL82" i="2"/>
  <c r="AI82" i="2"/>
  <c r="AK82" i="2"/>
  <c r="AJ82" i="2"/>
  <c r="AG82" i="2"/>
  <c r="AH82" i="2"/>
  <c r="AF82" i="2"/>
  <c r="AC82" i="2"/>
  <c r="AE82" i="2"/>
  <c r="AD82" i="2"/>
  <c r="AB82" i="2"/>
  <c r="Z82" i="2"/>
  <c r="Y82" i="2"/>
  <c r="AA82" i="2"/>
  <c r="X82" i="2"/>
  <c r="U82" i="2"/>
  <c r="W82" i="2"/>
  <c r="R82" i="2"/>
  <c r="T82" i="2"/>
  <c r="V82" i="2"/>
  <c r="S82" i="2"/>
  <c r="Q82" i="2"/>
  <c r="M82" i="2"/>
  <c r="P82" i="2"/>
  <c r="O82" i="2"/>
  <c r="K82" i="2"/>
  <c r="N82" i="2"/>
  <c r="L82" i="2"/>
  <c r="AP82" i="2"/>
  <c r="I82" i="2"/>
  <c r="J82" i="2"/>
  <c r="AO82" i="2"/>
  <c r="L82" i="1"/>
  <c r="P82" i="1" s="1"/>
  <c r="AA82" i="1"/>
  <c r="H82" i="3"/>
  <c r="AR82" i="3"/>
  <c r="AQ82" i="3"/>
  <c r="AN82" i="3"/>
  <c r="AL82" i="3"/>
  <c r="AM82" i="3"/>
  <c r="AK82" i="3"/>
  <c r="AJ82" i="3"/>
  <c r="AH82" i="3"/>
  <c r="AI82" i="3"/>
  <c r="AG82" i="3"/>
  <c r="AF82" i="3"/>
  <c r="AD82" i="3"/>
  <c r="AE82" i="3"/>
  <c r="AC82" i="3"/>
  <c r="AA82" i="3"/>
  <c r="AB82" i="3"/>
  <c r="Y82" i="3"/>
  <c r="Z82" i="3"/>
  <c r="W82" i="3"/>
  <c r="V82" i="3"/>
  <c r="X82" i="3"/>
  <c r="U82" i="3"/>
  <c r="T82" i="3"/>
  <c r="P82" i="3"/>
  <c r="S82" i="3"/>
  <c r="R82" i="3"/>
  <c r="L82" i="3"/>
  <c r="O82" i="3"/>
  <c r="Q82" i="3"/>
  <c r="J82" i="3"/>
  <c r="M82" i="3"/>
  <c r="N82" i="3"/>
  <c r="AO82" i="3"/>
  <c r="AP82" i="3"/>
  <c r="K82" i="3"/>
  <c r="I82" i="3"/>
  <c r="G83" i="3"/>
  <c r="I84" i="1"/>
  <c r="J83" i="1"/>
  <c r="V83" i="1"/>
  <c r="G83" i="2"/>
  <c r="Y83" i="1"/>
  <c r="Z83" i="1" s="1"/>
  <c r="S83" i="1"/>
  <c r="R83" i="1"/>
  <c r="N83" i="1"/>
  <c r="H83" i="2" l="1"/>
  <c r="AR83" i="2"/>
  <c r="AN83" i="2"/>
  <c r="AQ83" i="2"/>
  <c r="AM83" i="2"/>
  <c r="AL83" i="2"/>
  <c r="AK83" i="2"/>
  <c r="AJ83" i="2"/>
  <c r="AI83" i="2"/>
  <c r="AH83" i="2"/>
  <c r="AG83" i="2"/>
  <c r="AF83" i="2"/>
  <c r="AD83" i="2"/>
  <c r="AC83" i="2"/>
  <c r="AE83" i="2"/>
  <c r="AB83" i="2"/>
  <c r="AA83" i="2"/>
  <c r="X83" i="2"/>
  <c r="Z83" i="2"/>
  <c r="Y83" i="2"/>
  <c r="T83" i="2"/>
  <c r="W83" i="2"/>
  <c r="V83" i="2"/>
  <c r="U83" i="2"/>
  <c r="S83" i="2"/>
  <c r="Q83" i="2"/>
  <c r="R83" i="2"/>
  <c r="P83" i="2"/>
  <c r="O83" i="2"/>
  <c r="K83" i="2"/>
  <c r="M83" i="2"/>
  <c r="N83" i="2"/>
  <c r="L83" i="2"/>
  <c r="AP83" i="2"/>
  <c r="I83" i="2"/>
  <c r="J83" i="2"/>
  <c r="AO83" i="2"/>
  <c r="L83" i="1"/>
  <c r="AA83" i="1"/>
  <c r="I85" i="1"/>
  <c r="G84" i="3"/>
  <c r="V84" i="1"/>
  <c r="J84" i="1"/>
  <c r="G84" i="2"/>
  <c r="Y84" i="1"/>
  <c r="Z84" i="1" s="1"/>
  <c r="S84" i="1"/>
  <c r="R84" i="1"/>
  <c r="N84" i="1"/>
  <c r="H83" i="3"/>
  <c r="AR83" i="3"/>
  <c r="AQ83" i="3"/>
  <c r="AN83" i="3"/>
  <c r="AM83" i="3"/>
  <c r="AL83" i="3"/>
  <c r="AK83" i="3"/>
  <c r="AI83" i="3"/>
  <c r="AJ83" i="3"/>
  <c r="AH83" i="3"/>
  <c r="AG83" i="3"/>
  <c r="AD83" i="3"/>
  <c r="AF83" i="3"/>
  <c r="AC83" i="3"/>
  <c r="AE83" i="3"/>
  <c r="AB83" i="3"/>
  <c r="AA83" i="3"/>
  <c r="W83" i="3"/>
  <c r="Z83" i="3"/>
  <c r="U83" i="3"/>
  <c r="Y83" i="3"/>
  <c r="X83" i="3"/>
  <c r="V83" i="3"/>
  <c r="T83" i="3"/>
  <c r="S83" i="3"/>
  <c r="R83" i="3"/>
  <c r="Q83" i="3"/>
  <c r="O83" i="3"/>
  <c r="P83" i="3"/>
  <c r="M83" i="3"/>
  <c r="L83" i="3"/>
  <c r="N83" i="3"/>
  <c r="K83" i="3"/>
  <c r="AO83" i="3"/>
  <c r="AP83" i="3"/>
  <c r="I83" i="3"/>
  <c r="J83" i="3"/>
  <c r="W83" i="1"/>
  <c r="L84" i="1" l="1"/>
  <c r="P84" i="1" s="1"/>
  <c r="AA84" i="1"/>
  <c r="H84" i="3"/>
  <c r="AR84" i="3"/>
  <c r="AN84" i="3"/>
  <c r="AM84" i="3"/>
  <c r="AQ84" i="3"/>
  <c r="AL84" i="3"/>
  <c r="AI84" i="3"/>
  <c r="AK84" i="3"/>
  <c r="AJ84" i="3"/>
  <c r="AE84" i="3"/>
  <c r="AH84" i="3"/>
  <c r="AG84" i="3"/>
  <c r="AD84" i="3"/>
  <c r="AF84" i="3"/>
  <c r="AC84" i="3"/>
  <c r="AA84" i="3"/>
  <c r="AB84" i="3"/>
  <c r="Z84" i="3"/>
  <c r="Y84" i="3"/>
  <c r="X84" i="3"/>
  <c r="U84" i="3"/>
  <c r="W84" i="3"/>
  <c r="R84" i="3"/>
  <c r="V84" i="3"/>
  <c r="T84" i="3"/>
  <c r="Q84" i="3"/>
  <c r="S84" i="3"/>
  <c r="P84" i="3"/>
  <c r="M84" i="3"/>
  <c r="O84" i="3"/>
  <c r="N84" i="3"/>
  <c r="K84" i="3"/>
  <c r="L84" i="3"/>
  <c r="J84" i="3"/>
  <c r="AO84" i="3"/>
  <c r="AP84" i="3"/>
  <c r="I84" i="3"/>
  <c r="H84" i="2"/>
  <c r="AR84" i="2"/>
  <c r="AN84" i="2"/>
  <c r="AM84" i="2"/>
  <c r="AQ84" i="2"/>
  <c r="AI84" i="2"/>
  <c r="AL84" i="2"/>
  <c r="AK84" i="2"/>
  <c r="AJ84" i="2"/>
  <c r="AH84" i="2"/>
  <c r="AG84" i="2"/>
  <c r="AF84" i="2"/>
  <c r="AE84" i="2"/>
  <c r="AD84" i="2"/>
  <c r="Z84" i="2"/>
  <c r="AC84" i="2"/>
  <c r="AB84" i="2"/>
  <c r="AA84" i="2"/>
  <c r="X84" i="2"/>
  <c r="Y84" i="2"/>
  <c r="W84" i="2"/>
  <c r="V84" i="2"/>
  <c r="U84" i="2"/>
  <c r="R84" i="2"/>
  <c r="S84" i="2"/>
  <c r="Q84" i="2"/>
  <c r="T84" i="2"/>
  <c r="M84" i="2"/>
  <c r="P84" i="2"/>
  <c r="K84" i="2"/>
  <c r="O84" i="2"/>
  <c r="N84" i="2"/>
  <c r="L84" i="2"/>
  <c r="I84" i="2"/>
  <c r="AO84" i="2"/>
  <c r="AP84" i="2"/>
  <c r="J84" i="2"/>
  <c r="G85" i="3"/>
  <c r="I86" i="1"/>
  <c r="V85" i="1"/>
  <c r="J85" i="1"/>
  <c r="G85" i="2"/>
  <c r="Y85" i="1"/>
  <c r="Z85" i="1" s="1"/>
  <c r="S85" i="1"/>
  <c r="N85" i="1"/>
  <c r="R85" i="1"/>
  <c r="P83" i="1"/>
  <c r="W84" i="1"/>
  <c r="H85" i="3" l="1"/>
  <c r="AR85" i="3"/>
  <c r="AN85" i="3"/>
  <c r="AQ85" i="3"/>
  <c r="AM85" i="3"/>
  <c r="AL85" i="3"/>
  <c r="AJ85" i="3"/>
  <c r="AI85" i="3"/>
  <c r="AK85" i="3"/>
  <c r="AH85" i="3"/>
  <c r="AD85" i="3"/>
  <c r="AG85" i="3"/>
  <c r="AF85" i="3"/>
  <c r="AA85" i="3"/>
  <c r="AC85" i="3"/>
  <c r="AE85" i="3"/>
  <c r="Z85" i="3"/>
  <c r="AB85" i="3"/>
  <c r="X85" i="3"/>
  <c r="Y85" i="3"/>
  <c r="U85" i="3"/>
  <c r="W85" i="3"/>
  <c r="R85" i="3"/>
  <c r="V85" i="3"/>
  <c r="T85" i="3"/>
  <c r="Q85" i="3"/>
  <c r="S85" i="3"/>
  <c r="O85" i="3"/>
  <c r="P85" i="3"/>
  <c r="N85" i="3"/>
  <c r="K85" i="3"/>
  <c r="M85" i="3"/>
  <c r="L85" i="3"/>
  <c r="J85" i="3"/>
  <c r="AO85" i="3"/>
  <c r="AP85" i="3"/>
  <c r="I85" i="3"/>
  <c r="W85" i="1"/>
  <c r="H85" i="2"/>
  <c r="AR85" i="2"/>
  <c r="AN85" i="2"/>
  <c r="AQ85" i="2"/>
  <c r="AM85" i="2"/>
  <c r="AL85" i="2"/>
  <c r="AK85" i="2"/>
  <c r="AJ85" i="2"/>
  <c r="AI85" i="2"/>
  <c r="AF85" i="2"/>
  <c r="AE85" i="2"/>
  <c r="AG85" i="2"/>
  <c r="AH85" i="2"/>
  <c r="AD85" i="2"/>
  <c r="AC85" i="2"/>
  <c r="AB85" i="2"/>
  <c r="AA85" i="2"/>
  <c r="X85" i="2"/>
  <c r="Z85" i="2"/>
  <c r="V85" i="2"/>
  <c r="Y85" i="2"/>
  <c r="U85" i="2"/>
  <c r="W85" i="2"/>
  <c r="S85" i="2"/>
  <c r="R85" i="2"/>
  <c r="T85" i="2"/>
  <c r="P85" i="2"/>
  <c r="Q85" i="2"/>
  <c r="N85" i="2"/>
  <c r="L85" i="2"/>
  <c r="M85" i="2"/>
  <c r="O85" i="2"/>
  <c r="AO85" i="2"/>
  <c r="I85" i="2"/>
  <c r="J85" i="2"/>
  <c r="K85" i="2"/>
  <c r="AP85" i="2"/>
  <c r="L85" i="1"/>
  <c r="AA85" i="1"/>
  <c r="G86" i="3"/>
  <c r="I87" i="1"/>
  <c r="V86" i="1"/>
  <c r="J86" i="1"/>
  <c r="Y86" i="1"/>
  <c r="Z86" i="1" s="1"/>
  <c r="G86" i="2"/>
  <c r="N86" i="1"/>
  <c r="S86" i="1"/>
  <c r="W86" i="1" s="1"/>
  <c r="R86" i="1"/>
  <c r="H86" i="3" l="1"/>
  <c r="AR86" i="3"/>
  <c r="AN86" i="3"/>
  <c r="AQ86" i="3"/>
  <c r="AM86" i="3"/>
  <c r="AJ86" i="3"/>
  <c r="AI86" i="3"/>
  <c r="AL86" i="3"/>
  <c r="AK86" i="3"/>
  <c r="AG86" i="3"/>
  <c r="AH86" i="3"/>
  <c r="AF86" i="3"/>
  <c r="AE86" i="3"/>
  <c r="AC86" i="3"/>
  <c r="AD86" i="3"/>
  <c r="Z86" i="3"/>
  <c r="AB86" i="3"/>
  <c r="AA86" i="3"/>
  <c r="X86" i="3"/>
  <c r="Y86" i="3"/>
  <c r="W86" i="3"/>
  <c r="V86" i="3"/>
  <c r="U86" i="3"/>
  <c r="T86" i="3"/>
  <c r="R86" i="3"/>
  <c r="O86" i="3"/>
  <c r="Q86" i="3"/>
  <c r="S86" i="3"/>
  <c r="P86" i="3"/>
  <c r="M86" i="3"/>
  <c r="N86" i="3"/>
  <c r="K86" i="3"/>
  <c r="L86" i="3"/>
  <c r="I86" i="3"/>
  <c r="J86" i="3"/>
  <c r="AO86" i="3"/>
  <c r="AP86" i="3"/>
  <c r="H86" i="2"/>
  <c r="AR86" i="2"/>
  <c r="AQ86" i="2"/>
  <c r="AN86" i="2"/>
  <c r="AM86" i="2"/>
  <c r="AL86" i="2"/>
  <c r="AJ86" i="2"/>
  <c r="AK86" i="2"/>
  <c r="AF86" i="2"/>
  <c r="AI86" i="2"/>
  <c r="AH86" i="2"/>
  <c r="AE86" i="2"/>
  <c r="AG86" i="2"/>
  <c r="AD86" i="2"/>
  <c r="AB86" i="2"/>
  <c r="AC86" i="2"/>
  <c r="AA86" i="2"/>
  <c r="Z86" i="2"/>
  <c r="Y86" i="2"/>
  <c r="V86" i="2"/>
  <c r="X86" i="2"/>
  <c r="W86" i="2"/>
  <c r="S86" i="2"/>
  <c r="U86" i="2"/>
  <c r="R86" i="2"/>
  <c r="T86" i="2"/>
  <c r="N86" i="2"/>
  <c r="P86" i="2"/>
  <c r="O86" i="2"/>
  <c r="Q86" i="2"/>
  <c r="L86" i="2"/>
  <c r="M86" i="2"/>
  <c r="AO86" i="2"/>
  <c r="I86" i="2"/>
  <c r="J86" i="2"/>
  <c r="K86" i="2"/>
  <c r="AP86" i="2"/>
  <c r="L86" i="1"/>
  <c r="P86" i="1" s="1"/>
  <c r="AA86" i="1"/>
  <c r="P85" i="1"/>
  <c r="I88" i="1"/>
  <c r="G87" i="3"/>
  <c r="J87" i="1"/>
  <c r="V87" i="1"/>
  <c r="G87" i="2"/>
  <c r="Y87" i="1"/>
  <c r="Z87" i="1" s="1"/>
  <c r="S87" i="1"/>
  <c r="N87" i="1"/>
  <c r="R87" i="1"/>
  <c r="H87" i="2" l="1"/>
  <c r="AR87" i="2"/>
  <c r="AQ87" i="2"/>
  <c r="AN87" i="2"/>
  <c r="AL87" i="2"/>
  <c r="AM87" i="2"/>
  <c r="AJ87" i="2"/>
  <c r="AK87" i="2"/>
  <c r="AF87" i="2"/>
  <c r="AI87" i="2"/>
  <c r="AH87" i="2"/>
  <c r="AE87" i="2"/>
  <c r="AG87" i="2"/>
  <c r="AB87" i="2"/>
  <c r="AD87" i="2"/>
  <c r="AC87" i="2"/>
  <c r="AA87" i="2"/>
  <c r="Y87" i="2"/>
  <c r="Z87" i="2"/>
  <c r="V87" i="2"/>
  <c r="X87" i="2"/>
  <c r="W87" i="2"/>
  <c r="S87" i="2"/>
  <c r="U87" i="2"/>
  <c r="R87" i="2"/>
  <c r="T87" i="2"/>
  <c r="P87" i="2"/>
  <c r="N87" i="2"/>
  <c r="O87" i="2"/>
  <c r="Q87" i="2"/>
  <c r="L87" i="2"/>
  <c r="I87" i="2"/>
  <c r="M87" i="2"/>
  <c r="J87" i="2"/>
  <c r="K87" i="2"/>
  <c r="AO87" i="2"/>
  <c r="AP87" i="2"/>
  <c r="L87" i="1"/>
  <c r="AA87" i="1"/>
  <c r="G88" i="3"/>
  <c r="I89" i="1"/>
  <c r="J88" i="1"/>
  <c r="V88" i="1"/>
  <c r="Y88" i="1"/>
  <c r="Z88" i="1" s="1"/>
  <c r="G88" i="2"/>
  <c r="S88" i="1"/>
  <c r="W88" i="1" s="1"/>
  <c r="N88" i="1"/>
  <c r="R88" i="1"/>
  <c r="H87" i="3"/>
  <c r="AR87" i="3"/>
  <c r="AN87" i="3"/>
  <c r="AQ87" i="3"/>
  <c r="AM87" i="3"/>
  <c r="AJ87" i="3"/>
  <c r="AL87" i="3"/>
  <c r="AK87" i="3"/>
  <c r="AG87" i="3"/>
  <c r="AI87" i="3"/>
  <c r="AH87" i="3"/>
  <c r="AF87" i="3"/>
  <c r="AE87" i="3"/>
  <c r="AA87" i="3"/>
  <c r="AC87" i="3"/>
  <c r="AD87" i="3"/>
  <c r="Z87" i="3"/>
  <c r="AB87" i="3"/>
  <c r="X87" i="3"/>
  <c r="Y87" i="3"/>
  <c r="V87" i="3"/>
  <c r="W87" i="3"/>
  <c r="U87" i="3"/>
  <c r="T87" i="3"/>
  <c r="S87" i="3"/>
  <c r="R87" i="3"/>
  <c r="Q87" i="3"/>
  <c r="P87" i="3"/>
  <c r="O87" i="3"/>
  <c r="N87" i="3"/>
  <c r="I87" i="3"/>
  <c r="K87" i="3"/>
  <c r="M87" i="3"/>
  <c r="L87" i="3"/>
  <c r="AP87" i="3"/>
  <c r="J87" i="3"/>
  <c r="AO87" i="3"/>
  <c r="W87" i="1"/>
  <c r="H88" i="3" l="1"/>
  <c r="AR88" i="3"/>
  <c r="AQ88" i="3"/>
  <c r="AN88" i="3"/>
  <c r="AM88" i="3"/>
  <c r="AL88" i="3"/>
  <c r="AJ88" i="3"/>
  <c r="AK88" i="3"/>
  <c r="AG88" i="3"/>
  <c r="AI88" i="3"/>
  <c r="AF88" i="3"/>
  <c r="AH88" i="3"/>
  <c r="AD88" i="3"/>
  <c r="AE88" i="3"/>
  <c r="AC88" i="3"/>
  <c r="AB88" i="3"/>
  <c r="AA88" i="3"/>
  <c r="Z88" i="3"/>
  <c r="Y88" i="3"/>
  <c r="X88" i="3"/>
  <c r="V88" i="3"/>
  <c r="W88" i="3"/>
  <c r="T88" i="3"/>
  <c r="S88" i="3"/>
  <c r="U88" i="3"/>
  <c r="R88" i="3"/>
  <c r="O88" i="3"/>
  <c r="Q88" i="3"/>
  <c r="N88" i="3"/>
  <c r="P88" i="3"/>
  <c r="M88" i="3"/>
  <c r="L88" i="3"/>
  <c r="I88" i="3"/>
  <c r="AP88" i="3"/>
  <c r="J88" i="3"/>
  <c r="AO88" i="3"/>
  <c r="K88" i="3"/>
  <c r="P87" i="1"/>
  <c r="L88" i="1"/>
  <c r="AA88" i="1"/>
  <c r="H88" i="2"/>
  <c r="AQ88" i="2"/>
  <c r="AR88" i="2"/>
  <c r="AN88" i="2"/>
  <c r="AM88" i="2"/>
  <c r="AL88" i="2"/>
  <c r="AJ88" i="2"/>
  <c r="AK88" i="2"/>
  <c r="AI88" i="2"/>
  <c r="AH88" i="2"/>
  <c r="AF88" i="2"/>
  <c r="AG88" i="2"/>
  <c r="AD88" i="2"/>
  <c r="AB88" i="2"/>
  <c r="AE88" i="2"/>
  <c r="AC88" i="2"/>
  <c r="AA88" i="2"/>
  <c r="Y88" i="2"/>
  <c r="Z88" i="2"/>
  <c r="X88" i="2"/>
  <c r="W88" i="2"/>
  <c r="S88" i="2"/>
  <c r="U88" i="2"/>
  <c r="V88" i="2"/>
  <c r="T88" i="2"/>
  <c r="P88" i="2"/>
  <c r="R88" i="2"/>
  <c r="Q88" i="2"/>
  <c r="L88" i="2"/>
  <c r="N88" i="2"/>
  <c r="O88" i="2"/>
  <c r="J88" i="2"/>
  <c r="K88" i="2"/>
  <c r="M88" i="2"/>
  <c r="I88" i="2"/>
  <c r="AO88" i="2"/>
  <c r="AP88" i="2"/>
  <c r="G89" i="3"/>
  <c r="I90" i="1"/>
  <c r="V89" i="1"/>
  <c r="J89" i="1"/>
  <c r="G89" i="2"/>
  <c r="Y89" i="1"/>
  <c r="Z89" i="1" s="1"/>
  <c r="S89" i="1"/>
  <c r="N89" i="1"/>
  <c r="R89" i="1"/>
  <c r="W89" i="1" l="1"/>
  <c r="H89" i="2"/>
  <c r="AQ89" i="2"/>
  <c r="AR89" i="2"/>
  <c r="AN89" i="2"/>
  <c r="AM89" i="2"/>
  <c r="AL89" i="2"/>
  <c r="AK89" i="2"/>
  <c r="AI89" i="2"/>
  <c r="AH89" i="2"/>
  <c r="AJ89" i="2"/>
  <c r="AG89" i="2"/>
  <c r="AF89" i="2"/>
  <c r="AD89" i="2"/>
  <c r="AB89" i="2"/>
  <c r="AE89" i="2"/>
  <c r="AC89" i="2"/>
  <c r="AA89" i="2"/>
  <c r="Y89" i="2"/>
  <c r="Z89" i="2"/>
  <c r="W89" i="2"/>
  <c r="X89" i="2"/>
  <c r="U89" i="2"/>
  <c r="V89" i="2"/>
  <c r="T89" i="2"/>
  <c r="S89" i="2"/>
  <c r="R89" i="2"/>
  <c r="Q89" i="2"/>
  <c r="P89" i="2"/>
  <c r="O89" i="2"/>
  <c r="L89" i="2"/>
  <c r="N89" i="2"/>
  <c r="M89" i="2"/>
  <c r="K89" i="2"/>
  <c r="AO89" i="2"/>
  <c r="I89" i="2"/>
  <c r="J89" i="2"/>
  <c r="AP89" i="2"/>
  <c r="L89" i="1"/>
  <c r="AA89" i="1"/>
  <c r="H89" i="3"/>
  <c r="AQ89" i="3"/>
  <c r="AR89" i="3"/>
  <c r="AN89" i="3"/>
  <c r="AM89" i="3"/>
  <c r="AL89" i="3"/>
  <c r="AK89" i="3"/>
  <c r="AG89" i="3"/>
  <c r="AJ89" i="3"/>
  <c r="AI89" i="3"/>
  <c r="AF89" i="3"/>
  <c r="AH89" i="3"/>
  <c r="AE89" i="3"/>
  <c r="AB89" i="3"/>
  <c r="AD89" i="3"/>
  <c r="AC89" i="3"/>
  <c r="AA89" i="3"/>
  <c r="Y89" i="3"/>
  <c r="Z89" i="3"/>
  <c r="T89" i="3"/>
  <c r="X89" i="3"/>
  <c r="V89" i="3"/>
  <c r="W89" i="3"/>
  <c r="S89" i="3"/>
  <c r="U89" i="3"/>
  <c r="R89" i="3"/>
  <c r="Q89" i="3"/>
  <c r="P89" i="3"/>
  <c r="N89" i="3"/>
  <c r="O89" i="3"/>
  <c r="L89" i="3"/>
  <c r="I89" i="3"/>
  <c r="K89" i="3"/>
  <c r="M89" i="3"/>
  <c r="J89" i="3"/>
  <c r="AP89" i="3"/>
  <c r="AO89" i="3"/>
  <c r="I91" i="1"/>
  <c r="G90" i="3"/>
  <c r="V90" i="1"/>
  <c r="J90" i="1"/>
  <c r="G90" i="2"/>
  <c r="Y90" i="1"/>
  <c r="Z90" i="1" s="1"/>
  <c r="S90" i="1"/>
  <c r="W90" i="1" s="1"/>
  <c r="N90" i="1"/>
  <c r="R90" i="1"/>
  <c r="P88" i="1"/>
  <c r="G91" i="3" l="1"/>
  <c r="I92" i="1"/>
  <c r="J91" i="1"/>
  <c r="V91" i="1"/>
  <c r="G91" i="2"/>
  <c r="Y91" i="1"/>
  <c r="Z91" i="1" s="1"/>
  <c r="S91" i="1"/>
  <c r="W91" i="1" s="1"/>
  <c r="N91" i="1"/>
  <c r="R91" i="1"/>
  <c r="H90" i="2"/>
  <c r="AR90" i="2"/>
  <c r="AQ90" i="2"/>
  <c r="AN90" i="2"/>
  <c r="AL90" i="2"/>
  <c r="AM90" i="2"/>
  <c r="AK90" i="2"/>
  <c r="AI90" i="2"/>
  <c r="AH90" i="2"/>
  <c r="AJ90" i="2"/>
  <c r="AG90" i="2"/>
  <c r="AF90" i="2"/>
  <c r="AD90" i="2"/>
  <c r="AE90" i="2"/>
  <c r="AC90" i="2"/>
  <c r="AA90" i="2"/>
  <c r="AB90" i="2"/>
  <c r="Y90" i="2"/>
  <c r="Z90" i="2"/>
  <c r="W90" i="2"/>
  <c r="X90" i="2"/>
  <c r="U90" i="2"/>
  <c r="V90" i="2"/>
  <c r="T90" i="2"/>
  <c r="P90" i="2"/>
  <c r="S90" i="2"/>
  <c r="R90" i="2"/>
  <c r="O90" i="2"/>
  <c r="Q90" i="2"/>
  <c r="M90" i="2"/>
  <c r="J90" i="2"/>
  <c r="N90" i="2"/>
  <c r="K90" i="2"/>
  <c r="L90" i="2"/>
  <c r="AO90" i="2"/>
  <c r="I90" i="2"/>
  <c r="AP90" i="2"/>
  <c r="L90" i="1"/>
  <c r="AA90" i="1"/>
  <c r="H90" i="3"/>
  <c r="AQ90" i="3"/>
  <c r="AR90" i="3"/>
  <c r="AN90" i="3"/>
  <c r="AM90" i="3"/>
  <c r="AL90" i="3"/>
  <c r="AK90" i="3"/>
  <c r="AI90" i="3"/>
  <c r="AJ90" i="3"/>
  <c r="AH90" i="3"/>
  <c r="AF90" i="3"/>
  <c r="AE90" i="3"/>
  <c r="AG90" i="3"/>
  <c r="AB90" i="3"/>
  <c r="AD90" i="3"/>
  <c r="AC90" i="3"/>
  <c r="AA90" i="3"/>
  <c r="Z90" i="3"/>
  <c r="Y90" i="3"/>
  <c r="W90" i="3"/>
  <c r="X90" i="3"/>
  <c r="V90" i="3"/>
  <c r="T90" i="3"/>
  <c r="S90" i="3"/>
  <c r="U90" i="3"/>
  <c r="P90" i="3"/>
  <c r="R90" i="3"/>
  <c r="Q90" i="3"/>
  <c r="O90" i="3"/>
  <c r="L90" i="3"/>
  <c r="N90" i="3"/>
  <c r="J90" i="3"/>
  <c r="K90" i="3"/>
  <c r="M90" i="3"/>
  <c r="I90" i="3"/>
  <c r="AP90" i="3"/>
  <c r="AO90" i="3"/>
  <c r="P89" i="1"/>
  <c r="H91" i="2" l="1"/>
  <c r="AR91" i="2"/>
  <c r="AQ91" i="2"/>
  <c r="AN91" i="2"/>
  <c r="AM91" i="2"/>
  <c r="AL91" i="2"/>
  <c r="AK91" i="2"/>
  <c r="AI91" i="2"/>
  <c r="AH91" i="2"/>
  <c r="AJ91" i="2"/>
  <c r="AG91" i="2"/>
  <c r="AD91" i="2"/>
  <c r="AF91" i="2"/>
  <c r="AC91" i="2"/>
  <c r="AE91" i="2"/>
  <c r="AB91" i="2"/>
  <c r="AA91" i="2"/>
  <c r="Z91" i="2"/>
  <c r="U91" i="2"/>
  <c r="Y91" i="2"/>
  <c r="W91" i="2"/>
  <c r="X91" i="2"/>
  <c r="V91" i="2"/>
  <c r="T91" i="2"/>
  <c r="S91" i="2"/>
  <c r="R91" i="2"/>
  <c r="Q91" i="2"/>
  <c r="O91" i="2"/>
  <c r="P91" i="2"/>
  <c r="M91" i="2"/>
  <c r="N91" i="2"/>
  <c r="L91" i="2"/>
  <c r="K91" i="2"/>
  <c r="J91" i="2"/>
  <c r="I91" i="2"/>
  <c r="AP91" i="2"/>
  <c r="AO91" i="2"/>
  <c r="L91" i="1"/>
  <c r="P91" i="1" s="1"/>
  <c r="AA91" i="1"/>
  <c r="P90" i="1"/>
  <c r="I93" i="1"/>
  <c r="G92" i="3"/>
  <c r="V92" i="1"/>
  <c r="J92" i="1"/>
  <c r="G92" i="2"/>
  <c r="Y92" i="1"/>
  <c r="Z92" i="1" s="1"/>
  <c r="N92" i="1"/>
  <c r="S92" i="1"/>
  <c r="W92" i="1" s="1"/>
  <c r="R92" i="1"/>
  <c r="H91" i="3"/>
  <c r="AQ91" i="3"/>
  <c r="AR91" i="3"/>
  <c r="AN91" i="3"/>
  <c r="AL91" i="3"/>
  <c r="AK91" i="3"/>
  <c r="AM91" i="3"/>
  <c r="AH91" i="3"/>
  <c r="AI91" i="3"/>
  <c r="AJ91" i="3"/>
  <c r="AE91" i="3"/>
  <c r="AG91" i="3"/>
  <c r="AF91" i="3"/>
  <c r="AB91" i="3"/>
  <c r="AD91" i="3"/>
  <c r="AC91" i="3"/>
  <c r="W91" i="3"/>
  <c r="AA91" i="3"/>
  <c r="Z91" i="3"/>
  <c r="Y91" i="3"/>
  <c r="X91" i="3"/>
  <c r="T91" i="3"/>
  <c r="U91" i="3"/>
  <c r="V91" i="3"/>
  <c r="P91" i="3"/>
  <c r="R91" i="3"/>
  <c r="S91" i="3"/>
  <c r="Q91" i="3"/>
  <c r="O91" i="3"/>
  <c r="M91" i="3"/>
  <c r="L91" i="3"/>
  <c r="J91" i="3"/>
  <c r="N91" i="3"/>
  <c r="K91" i="3"/>
  <c r="AO91" i="3"/>
  <c r="I91" i="3"/>
  <c r="AP91" i="3"/>
  <c r="L92" i="1" l="1"/>
  <c r="AA92" i="1"/>
  <c r="H92" i="3"/>
  <c r="AR92" i="3"/>
  <c r="AQ92" i="3"/>
  <c r="AN92" i="3"/>
  <c r="AL92" i="3"/>
  <c r="AK92" i="3"/>
  <c r="AM92" i="3"/>
  <c r="AH92" i="3"/>
  <c r="AI92" i="3"/>
  <c r="AJ92" i="3"/>
  <c r="AE92" i="3"/>
  <c r="AG92" i="3"/>
  <c r="AF92" i="3"/>
  <c r="AD92" i="3"/>
  <c r="AC92" i="3"/>
  <c r="AB92" i="3"/>
  <c r="AA92" i="3"/>
  <c r="Z92" i="3"/>
  <c r="Y92" i="3"/>
  <c r="X92" i="3"/>
  <c r="V92" i="3"/>
  <c r="W92" i="3"/>
  <c r="U92" i="3"/>
  <c r="T92" i="3"/>
  <c r="P92" i="3"/>
  <c r="R92" i="3"/>
  <c r="S92" i="3"/>
  <c r="Q92" i="3"/>
  <c r="O92" i="3"/>
  <c r="L92" i="3"/>
  <c r="M92" i="3"/>
  <c r="J92" i="3"/>
  <c r="N92" i="3"/>
  <c r="I92" i="3"/>
  <c r="AP92" i="3"/>
  <c r="K92" i="3"/>
  <c r="AO92" i="3"/>
  <c r="G93" i="3"/>
  <c r="I94" i="1"/>
  <c r="J93" i="1"/>
  <c r="V93" i="1"/>
  <c r="G93" i="2"/>
  <c r="Y93" i="1"/>
  <c r="Z93" i="1" s="1"/>
  <c r="S93" i="1"/>
  <c r="W93" i="1" s="1"/>
  <c r="R93" i="1"/>
  <c r="N93" i="1"/>
  <c r="H92" i="2"/>
  <c r="AQ92" i="2"/>
  <c r="AR92" i="2"/>
  <c r="AN92" i="2"/>
  <c r="AM92" i="2"/>
  <c r="AL92" i="2"/>
  <c r="AI92" i="2"/>
  <c r="AK92" i="2"/>
  <c r="AJ92" i="2"/>
  <c r="AH92" i="2"/>
  <c r="AG92" i="2"/>
  <c r="AF92" i="2"/>
  <c r="AE92" i="2"/>
  <c r="AC92" i="2"/>
  <c r="AD92" i="2"/>
  <c r="AB92" i="2"/>
  <c r="Z92" i="2"/>
  <c r="AA92" i="2"/>
  <c r="Y92" i="2"/>
  <c r="X92" i="2"/>
  <c r="U92" i="2"/>
  <c r="W92" i="2"/>
  <c r="R92" i="2"/>
  <c r="V92" i="2"/>
  <c r="T92" i="2"/>
  <c r="Q92" i="2"/>
  <c r="S92" i="2"/>
  <c r="M92" i="2"/>
  <c r="O92" i="2"/>
  <c r="P92" i="2"/>
  <c r="K92" i="2"/>
  <c r="N92" i="2"/>
  <c r="L92" i="2"/>
  <c r="AP92" i="2"/>
  <c r="J92" i="2"/>
  <c r="I92" i="2"/>
  <c r="AO92" i="2"/>
  <c r="H93" i="3" l="1"/>
  <c r="AR93" i="3"/>
  <c r="AQ93" i="3"/>
  <c r="AN93" i="3"/>
  <c r="AM93" i="3"/>
  <c r="AL93" i="3"/>
  <c r="AK93" i="3"/>
  <c r="AI93" i="3"/>
  <c r="AH93" i="3"/>
  <c r="AJ93" i="3"/>
  <c r="AF93" i="3"/>
  <c r="AD93" i="3"/>
  <c r="AG93" i="3"/>
  <c r="AC93" i="3"/>
  <c r="AE93" i="3"/>
  <c r="AB93" i="3"/>
  <c r="AA93" i="3"/>
  <c r="W93" i="3"/>
  <c r="Z93" i="3"/>
  <c r="U93" i="3"/>
  <c r="X93" i="3"/>
  <c r="Y93" i="3"/>
  <c r="T93" i="3"/>
  <c r="V93" i="3"/>
  <c r="S93" i="3"/>
  <c r="R93" i="3"/>
  <c r="Q93" i="3"/>
  <c r="O93" i="3"/>
  <c r="P93" i="3"/>
  <c r="M93" i="3"/>
  <c r="L93" i="3"/>
  <c r="N93" i="3"/>
  <c r="K93" i="3"/>
  <c r="AO93" i="3"/>
  <c r="I93" i="3"/>
  <c r="J93" i="3"/>
  <c r="AP93" i="3"/>
  <c r="H93" i="2"/>
  <c r="AR93" i="2"/>
  <c r="AN93" i="2"/>
  <c r="AQ93" i="2"/>
  <c r="AM93" i="2"/>
  <c r="AL93" i="2"/>
  <c r="AK93" i="2"/>
  <c r="AI93" i="2"/>
  <c r="AJ93" i="2"/>
  <c r="AH93" i="2"/>
  <c r="AD93" i="2"/>
  <c r="AG93" i="2"/>
  <c r="AF93" i="2"/>
  <c r="AE93" i="2"/>
  <c r="AC93" i="2"/>
  <c r="AB93" i="2"/>
  <c r="X93" i="2"/>
  <c r="Z93" i="2"/>
  <c r="AA93" i="2"/>
  <c r="Y93" i="2"/>
  <c r="V93" i="2"/>
  <c r="T93" i="2"/>
  <c r="U93" i="2"/>
  <c r="W93" i="2"/>
  <c r="Q93" i="2"/>
  <c r="S93" i="2"/>
  <c r="R93" i="2"/>
  <c r="P93" i="2"/>
  <c r="O93" i="2"/>
  <c r="M93" i="2"/>
  <c r="K93" i="2"/>
  <c r="N93" i="2"/>
  <c r="L93" i="2"/>
  <c r="AP93" i="2"/>
  <c r="J93" i="2"/>
  <c r="I93" i="2"/>
  <c r="AO93" i="2"/>
  <c r="L93" i="1"/>
  <c r="AA93" i="1"/>
  <c r="I95" i="1"/>
  <c r="G94" i="3"/>
  <c r="V94" i="1"/>
  <c r="J94" i="1"/>
  <c r="G94" i="2"/>
  <c r="Y94" i="1"/>
  <c r="Z94" i="1" s="1"/>
  <c r="S94" i="1"/>
  <c r="W94" i="1" s="1"/>
  <c r="R94" i="1"/>
  <c r="N94" i="1"/>
  <c r="P92" i="1"/>
  <c r="H94" i="3" l="1"/>
  <c r="AR94" i="3"/>
  <c r="AQ94" i="3"/>
  <c r="AN94" i="3"/>
  <c r="AM94" i="3"/>
  <c r="AL94" i="3"/>
  <c r="AK94" i="3"/>
  <c r="AI94" i="3"/>
  <c r="AJ94" i="3"/>
  <c r="AE94" i="3"/>
  <c r="AH94" i="3"/>
  <c r="AG94" i="3"/>
  <c r="AF94" i="3"/>
  <c r="AD94" i="3"/>
  <c r="AC94" i="3"/>
  <c r="AA94" i="3"/>
  <c r="AB94" i="3"/>
  <c r="Z94" i="3"/>
  <c r="Y94" i="3"/>
  <c r="X94" i="3"/>
  <c r="W94" i="3"/>
  <c r="U94" i="3"/>
  <c r="V94" i="3"/>
  <c r="R94" i="3"/>
  <c r="T94" i="3"/>
  <c r="Q94" i="3"/>
  <c r="S94" i="3"/>
  <c r="M94" i="3"/>
  <c r="O94" i="3"/>
  <c r="P94" i="3"/>
  <c r="K94" i="3"/>
  <c r="L94" i="3"/>
  <c r="N94" i="3"/>
  <c r="AO94" i="3"/>
  <c r="I94" i="3"/>
  <c r="J94" i="3"/>
  <c r="AP94" i="3"/>
  <c r="G95" i="3"/>
  <c r="I96" i="1"/>
  <c r="V95" i="1"/>
  <c r="J95" i="1"/>
  <c r="G95" i="2"/>
  <c r="Y95" i="1"/>
  <c r="Z95" i="1" s="1"/>
  <c r="S95" i="1"/>
  <c r="W95" i="1" s="1"/>
  <c r="N95" i="1"/>
  <c r="R95" i="1"/>
  <c r="H94" i="2"/>
  <c r="AR94" i="2"/>
  <c r="AN94" i="2"/>
  <c r="AQ94" i="2"/>
  <c r="AM94" i="2"/>
  <c r="AL94" i="2"/>
  <c r="AK94" i="2"/>
  <c r="AI94" i="2"/>
  <c r="AJ94" i="2"/>
  <c r="AH94" i="2"/>
  <c r="AG94" i="2"/>
  <c r="AF94" i="2"/>
  <c r="AE94" i="2"/>
  <c r="AD94" i="2"/>
  <c r="Z94" i="2"/>
  <c r="AC94" i="2"/>
  <c r="AB94" i="2"/>
  <c r="X94" i="2"/>
  <c r="AA94" i="2"/>
  <c r="Y94" i="2"/>
  <c r="W94" i="2"/>
  <c r="V94" i="2"/>
  <c r="R94" i="2"/>
  <c r="U94" i="2"/>
  <c r="T94" i="2"/>
  <c r="Q94" i="2"/>
  <c r="S94" i="2"/>
  <c r="P94" i="2"/>
  <c r="M94" i="2"/>
  <c r="K94" i="2"/>
  <c r="N94" i="2"/>
  <c r="L94" i="2"/>
  <c r="O94" i="2"/>
  <c r="I94" i="2"/>
  <c r="AO94" i="2"/>
  <c r="AP94" i="2"/>
  <c r="J94" i="2"/>
  <c r="P93" i="1"/>
  <c r="L94" i="1"/>
  <c r="AA94" i="1"/>
  <c r="L95" i="1" l="1"/>
  <c r="AA95" i="1"/>
  <c r="G96" i="3"/>
  <c r="I97" i="1"/>
  <c r="V96" i="1"/>
  <c r="J96" i="1"/>
  <c r="G96" i="2"/>
  <c r="Y96" i="1"/>
  <c r="Z96" i="1" s="1"/>
  <c r="R96" i="1"/>
  <c r="S96" i="1"/>
  <c r="N96" i="1"/>
  <c r="H95" i="3"/>
  <c r="AR95" i="3"/>
  <c r="AN95" i="3"/>
  <c r="AQ95" i="3"/>
  <c r="AM95" i="3"/>
  <c r="AL95" i="3"/>
  <c r="AK95" i="3"/>
  <c r="AI95" i="3"/>
  <c r="AJ95" i="3"/>
  <c r="AH95" i="3"/>
  <c r="AG95" i="3"/>
  <c r="AF95" i="3"/>
  <c r="AD95" i="3"/>
  <c r="AA95" i="3"/>
  <c r="AC95" i="3"/>
  <c r="AE95" i="3"/>
  <c r="AB95" i="3"/>
  <c r="X95" i="3"/>
  <c r="Z95" i="3"/>
  <c r="Y95" i="3"/>
  <c r="W95" i="3"/>
  <c r="U95" i="3"/>
  <c r="V95" i="3"/>
  <c r="R95" i="3"/>
  <c r="T95" i="3"/>
  <c r="Q95" i="3"/>
  <c r="S95" i="3"/>
  <c r="O95" i="3"/>
  <c r="P95" i="3"/>
  <c r="K95" i="3"/>
  <c r="M95" i="3"/>
  <c r="L95" i="3"/>
  <c r="N95" i="3"/>
  <c r="AO95" i="3"/>
  <c r="I95" i="3"/>
  <c r="J95" i="3"/>
  <c r="AP95" i="3"/>
  <c r="P94" i="1"/>
  <c r="H95" i="2"/>
  <c r="AR95" i="2"/>
  <c r="AN95" i="2"/>
  <c r="AQ95" i="2"/>
  <c r="AM95" i="2"/>
  <c r="AL95" i="2"/>
  <c r="AK95" i="2"/>
  <c r="AJ95" i="2"/>
  <c r="AH95" i="2"/>
  <c r="AI95" i="2"/>
  <c r="AF95" i="2"/>
  <c r="AE95" i="2"/>
  <c r="AG95" i="2"/>
  <c r="AD95" i="2"/>
  <c r="AC95" i="2"/>
  <c r="AB95" i="2"/>
  <c r="Z95" i="2"/>
  <c r="X95" i="2"/>
  <c r="AA95" i="2"/>
  <c r="V95" i="2"/>
  <c r="Y95" i="2"/>
  <c r="W95" i="2"/>
  <c r="U95" i="2"/>
  <c r="S95" i="2"/>
  <c r="T95" i="2"/>
  <c r="R95" i="2"/>
  <c r="P95" i="2"/>
  <c r="Q95" i="2"/>
  <c r="N95" i="2"/>
  <c r="O95" i="2"/>
  <c r="M95" i="2"/>
  <c r="L95" i="2"/>
  <c r="AO95" i="2"/>
  <c r="K95" i="2"/>
  <c r="I95" i="2"/>
  <c r="J95" i="2"/>
  <c r="AP95" i="2"/>
  <c r="H96" i="2" l="1"/>
  <c r="AR96" i="2"/>
  <c r="AQ96" i="2"/>
  <c r="AM96" i="2"/>
  <c r="AN96" i="2"/>
  <c r="AJ96" i="2"/>
  <c r="AK96" i="2"/>
  <c r="AL96" i="2"/>
  <c r="AF96" i="2"/>
  <c r="AH96" i="2"/>
  <c r="AI96" i="2"/>
  <c r="AE96" i="2"/>
  <c r="AG96" i="2"/>
  <c r="AD96" i="2"/>
  <c r="AB96" i="2"/>
  <c r="AC96" i="2"/>
  <c r="AA96" i="2"/>
  <c r="Z96" i="2"/>
  <c r="Y96" i="2"/>
  <c r="V96" i="2"/>
  <c r="W96" i="2"/>
  <c r="X96" i="2"/>
  <c r="S96" i="2"/>
  <c r="U96" i="2"/>
  <c r="T96" i="2"/>
  <c r="R96" i="2"/>
  <c r="N96" i="2"/>
  <c r="P96" i="2"/>
  <c r="Q96" i="2"/>
  <c r="O96" i="2"/>
  <c r="L96" i="2"/>
  <c r="M96" i="2"/>
  <c r="AO96" i="2"/>
  <c r="K96" i="2"/>
  <c r="I96" i="2"/>
  <c r="J96" i="2"/>
  <c r="AP96" i="2"/>
  <c r="H96" i="3"/>
  <c r="AR96" i="3"/>
  <c r="AN96" i="3"/>
  <c r="AQ96" i="3"/>
  <c r="AM96" i="3"/>
  <c r="AL96" i="3"/>
  <c r="AJ96" i="3"/>
  <c r="AK96" i="3"/>
  <c r="AI96" i="3"/>
  <c r="AG96" i="3"/>
  <c r="AH96" i="3"/>
  <c r="AF96" i="3"/>
  <c r="AC96" i="3"/>
  <c r="AD96" i="3"/>
  <c r="AE96" i="3"/>
  <c r="AA96" i="3"/>
  <c r="Z96" i="3"/>
  <c r="AB96" i="3"/>
  <c r="X96" i="3"/>
  <c r="Y96" i="3"/>
  <c r="W96" i="3"/>
  <c r="V96" i="3"/>
  <c r="R96" i="3"/>
  <c r="U96" i="3"/>
  <c r="T96" i="3"/>
  <c r="O96" i="3"/>
  <c r="Q96" i="3"/>
  <c r="S96" i="3"/>
  <c r="M96" i="3"/>
  <c r="P96" i="3"/>
  <c r="K96" i="3"/>
  <c r="L96" i="3"/>
  <c r="N96" i="3"/>
  <c r="I96" i="3"/>
  <c r="AO96" i="3"/>
  <c r="J96" i="3"/>
  <c r="AP96" i="3"/>
  <c r="L96" i="1"/>
  <c r="AA96" i="1"/>
  <c r="W96" i="1"/>
  <c r="I98" i="1"/>
  <c r="G97" i="3"/>
  <c r="J97" i="1"/>
  <c r="V97" i="1"/>
  <c r="Y97" i="1"/>
  <c r="Z97" i="1" s="1"/>
  <c r="G97" i="2"/>
  <c r="S97" i="1"/>
  <c r="W97" i="1" s="1"/>
  <c r="N97" i="1"/>
  <c r="R97" i="1"/>
  <c r="P95" i="1"/>
  <c r="G98" i="3" l="1"/>
  <c r="I99" i="1"/>
  <c r="J98" i="1"/>
  <c r="V98" i="1"/>
  <c r="Y98" i="1"/>
  <c r="Z98" i="1" s="1"/>
  <c r="G98" i="2"/>
  <c r="S98" i="1"/>
  <c r="R98" i="1"/>
  <c r="N98" i="1"/>
  <c r="P96" i="1"/>
  <c r="H97" i="2"/>
  <c r="AR97" i="2"/>
  <c r="AQ97" i="2"/>
  <c r="AN97" i="2"/>
  <c r="AM97" i="2"/>
  <c r="AJ97" i="2"/>
  <c r="AK97" i="2"/>
  <c r="AL97" i="2"/>
  <c r="AF97" i="2"/>
  <c r="AH97" i="2"/>
  <c r="AI97" i="2"/>
  <c r="AG97" i="2"/>
  <c r="AE97" i="2"/>
  <c r="AB97" i="2"/>
  <c r="AD97" i="2"/>
  <c r="AA97" i="2"/>
  <c r="AC97" i="2"/>
  <c r="Y97" i="2"/>
  <c r="Z97" i="2"/>
  <c r="V97" i="2"/>
  <c r="W97" i="2"/>
  <c r="X97" i="2"/>
  <c r="U97" i="2"/>
  <c r="S97" i="2"/>
  <c r="R97" i="2"/>
  <c r="T97" i="2"/>
  <c r="P97" i="2"/>
  <c r="N97" i="2"/>
  <c r="Q97" i="2"/>
  <c r="O97" i="2"/>
  <c r="L97" i="2"/>
  <c r="I97" i="2"/>
  <c r="M97" i="2"/>
  <c r="J97" i="2"/>
  <c r="AO97" i="2"/>
  <c r="K97" i="2"/>
  <c r="AP97" i="2"/>
  <c r="L97" i="1"/>
  <c r="P97" i="1" s="1"/>
  <c r="AA97" i="1"/>
  <c r="H97" i="3"/>
  <c r="AR97" i="3"/>
  <c r="AN97" i="3"/>
  <c r="AQ97" i="3"/>
  <c r="AJ97" i="3"/>
  <c r="AL97" i="3"/>
  <c r="AM97" i="3"/>
  <c r="AK97" i="3"/>
  <c r="AG97" i="3"/>
  <c r="AH97" i="3"/>
  <c r="AI97" i="3"/>
  <c r="AF97" i="3"/>
  <c r="AA97" i="3"/>
  <c r="AC97" i="3"/>
  <c r="AD97" i="3"/>
  <c r="AE97" i="3"/>
  <c r="AB97" i="3"/>
  <c r="Z97" i="3"/>
  <c r="X97" i="3"/>
  <c r="Y97" i="3"/>
  <c r="V97" i="3"/>
  <c r="W97" i="3"/>
  <c r="U97" i="3"/>
  <c r="T97" i="3"/>
  <c r="S97" i="3"/>
  <c r="Q97" i="3"/>
  <c r="R97" i="3"/>
  <c r="O97" i="3"/>
  <c r="P97" i="3"/>
  <c r="N97" i="3"/>
  <c r="I97" i="3"/>
  <c r="M97" i="3"/>
  <c r="K97" i="3"/>
  <c r="L97" i="3"/>
  <c r="AP97" i="3"/>
  <c r="AO97" i="3"/>
  <c r="J97" i="3"/>
  <c r="W98" i="1" l="1"/>
  <c r="H98" i="2"/>
  <c r="AQ98" i="2"/>
  <c r="AR98" i="2"/>
  <c r="AN98" i="2"/>
  <c r="AM98" i="2"/>
  <c r="AJ98" i="2"/>
  <c r="AK98" i="2"/>
  <c r="AL98" i="2"/>
  <c r="AH98" i="2"/>
  <c r="AF98" i="2"/>
  <c r="AI98" i="2"/>
  <c r="AG98" i="2"/>
  <c r="AB98" i="2"/>
  <c r="AE98" i="2"/>
  <c r="AD98" i="2"/>
  <c r="AA98" i="2"/>
  <c r="AC98" i="2"/>
  <c r="Y98" i="2"/>
  <c r="Z98" i="2"/>
  <c r="X98" i="2"/>
  <c r="W98" i="2"/>
  <c r="U98" i="2"/>
  <c r="S98" i="2"/>
  <c r="V98" i="2"/>
  <c r="P98" i="2"/>
  <c r="R98" i="2"/>
  <c r="T98" i="2"/>
  <c r="L98" i="2"/>
  <c r="N98" i="2"/>
  <c r="Q98" i="2"/>
  <c r="O98" i="2"/>
  <c r="J98" i="2"/>
  <c r="M98" i="2"/>
  <c r="K98" i="2"/>
  <c r="I98" i="2"/>
  <c r="AP98" i="2"/>
  <c r="AO98" i="2"/>
  <c r="G99" i="3"/>
  <c r="I100" i="1"/>
  <c r="V99" i="1"/>
  <c r="J99" i="1"/>
  <c r="G99" i="2"/>
  <c r="Y99" i="1"/>
  <c r="Z99" i="1" s="1"/>
  <c r="S99" i="1"/>
  <c r="W99" i="1" s="1"/>
  <c r="N99" i="1"/>
  <c r="R99" i="1"/>
  <c r="H98" i="3"/>
  <c r="AR98" i="3"/>
  <c r="AQ98" i="3"/>
  <c r="AN98" i="3"/>
  <c r="AM98" i="3"/>
  <c r="AL98" i="3"/>
  <c r="AJ98" i="3"/>
  <c r="AK98" i="3"/>
  <c r="AG98" i="3"/>
  <c r="AI98" i="3"/>
  <c r="AF98" i="3"/>
  <c r="AH98" i="3"/>
  <c r="AC98" i="3"/>
  <c r="AD98" i="3"/>
  <c r="AE98" i="3"/>
  <c r="AB98" i="3"/>
  <c r="AA98" i="3"/>
  <c r="Z98" i="3"/>
  <c r="Y98" i="3"/>
  <c r="V98" i="3"/>
  <c r="W98" i="3"/>
  <c r="X98" i="3"/>
  <c r="T98" i="3"/>
  <c r="S98" i="3"/>
  <c r="U98" i="3"/>
  <c r="O98" i="3"/>
  <c r="R98" i="3"/>
  <c r="P98" i="3"/>
  <c r="N98" i="3"/>
  <c r="Q98" i="3"/>
  <c r="M98" i="3"/>
  <c r="L98" i="3"/>
  <c r="J98" i="3"/>
  <c r="AP98" i="3"/>
  <c r="AO98" i="3"/>
  <c r="I98" i="3"/>
  <c r="K98" i="3"/>
  <c r="L98" i="1"/>
  <c r="AA98" i="1"/>
  <c r="H99" i="2" l="1"/>
  <c r="AQ99" i="2"/>
  <c r="AR99" i="2"/>
  <c r="AN99" i="2"/>
  <c r="AL99" i="2"/>
  <c r="AK99" i="2"/>
  <c r="AM99" i="2"/>
  <c r="AJ99" i="2"/>
  <c r="AH99" i="2"/>
  <c r="AI99" i="2"/>
  <c r="AG99" i="2"/>
  <c r="AF99" i="2"/>
  <c r="AB99" i="2"/>
  <c r="AE99" i="2"/>
  <c r="AD99" i="2"/>
  <c r="AA99" i="2"/>
  <c r="AC99" i="2"/>
  <c r="Y99" i="2"/>
  <c r="Z99" i="2"/>
  <c r="W99" i="2"/>
  <c r="X99" i="2"/>
  <c r="U99" i="2"/>
  <c r="V99" i="2"/>
  <c r="T99" i="2"/>
  <c r="R99" i="2"/>
  <c r="S99" i="2"/>
  <c r="P99" i="2"/>
  <c r="Q99" i="2"/>
  <c r="O99" i="2"/>
  <c r="L99" i="2"/>
  <c r="N99" i="2"/>
  <c r="M99" i="2"/>
  <c r="AO99" i="2"/>
  <c r="K99" i="2"/>
  <c r="J99" i="2"/>
  <c r="I99" i="2"/>
  <c r="AP99" i="2"/>
  <c r="L99" i="1"/>
  <c r="AA99" i="1"/>
  <c r="I101" i="1"/>
  <c r="G100" i="3"/>
  <c r="V100" i="1"/>
  <c r="J100" i="1"/>
  <c r="G100" i="2"/>
  <c r="Y100" i="1"/>
  <c r="Z100" i="1" s="1"/>
  <c r="S100" i="1"/>
  <c r="W100" i="1" s="1"/>
  <c r="N100" i="1"/>
  <c r="R100" i="1"/>
  <c r="P98" i="1"/>
  <c r="H99" i="3"/>
  <c r="AQ99" i="3"/>
  <c r="AR99" i="3"/>
  <c r="AN99" i="3"/>
  <c r="AM99" i="3"/>
  <c r="AL99" i="3"/>
  <c r="AJ99" i="3"/>
  <c r="AK99" i="3"/>
  <c r="AG99" i="3"/>
  <c r="AI99" i="3"/>
  <c r="AF99" i="3"/>
  <c r="AH99" i="3"/>
  <c r="AB99" i="3"/>
  <c r="AC99" i="3"/>
  <c r="AD99" i="3"/>
  <c r="AE99" i="3"/>
  <c r="AA99" i="3"/>
  <c r="Y99" i="3"/>
  <c r="Z99" i="3"/>
  <c r="T99" i="3"/>
  <c r="V99" i="3"/>
  <c r="W99" i="3"/>
  <c r="X99" i="3"/>
  <c r="S99" i="3"/>
  <c r="U99" i="3"/>
  <c r="Q99" i="3"/>
  <c r="R99" i="3"/>
  <c r="P99" i="3"/>
  <c r="N99" i="3"/>
  <c r="O99" i="3"/>
  <c r="L99" i="3"/>
  <c r="I99" i="3"/>
  <c r="M99" i="3"/>
  <c r="K99" i="3"/>
  <c r="J99" i="3"/>
  <c r="AP99" i="3"/>
  <c r="AO99" i="3"/>
  <c r="P99" i="1" l="1"/>
  <c r="H100" i="2"/>
  <c r="AR100" i="2"/>
  <c r="AQ100" i="2"/>
  <c r="AL100" i="2"/>
  <c r="AN100" i="2"/>
  <c r="AK100" i="2"/>
  <c r="AM100" i="2"/>
  <c r="AJ100" i="2"/>
  <c r="AH100" i="2"/>
  <c r="AG100" i="2"/>
  <c r="AI100" i="2"/>
  <c r="AF100" i="2"/>
  <c r="AD100" i="2"/>
  <c r="AE100" i="2"/>
  <c r="AC100" i="2"/>
  <c r="AA100" i="2"/>
  <c r="AB100" i="2"/>
  <c r="Y100" i="2"/>
  <c r="Z100" i="2"/>
  <c r="W100" i="2"/>
  <c r="X100" i="2"/>
  <c r="U100" i="2"/>
  <c r="T100" i="2"/>
  <c r="V100" i="2"/>
  <c r="S100" i="2"/>
  <c r="P100" i="2"/>
  <c r="R100" i="2"/>
  <c r="O100" i="2"/>
  <c r="Q100" i="2"/>
  <c r="J100" i="2"/>
  <c r="L100" i="2"/>
  <c r="N100" i="2"/>
  <c r="M100" i="2"/>
  <c r="AO100" i="2"/>
  <c r="K100" i="2"/>
  <c r="I100" i="2"/>
  <c r="AP100" i="2"/>
  <c r="H100" i="3"/>
  <c r="AQ100" i="3"/>
  <c r="AR100" i="3"/>
  <c r="AN100" i="3"/>
  <c r="AM100" i="3"/>
  <c r="AK100" i="3"/>
  <c r="AL100" i="3"/>
  <c r="AI100" i="3"/>
  <c r="AJ100" i="3"/>
  <c r="AH100" i="3"/>
  <c r="AG100" i="3"/>
  <c r="AF100" i="3"/>
  <c r="AE100" i="3"/>
  <c r="AB100" i="3"/>
  <c r="AD100" i="3"/>
  <c r="AC100" i="3"/>
  <c r="AA100" i="3"/>
  <c r="Y100" i="3"/>
  <c r="Z100" i="3"/>
  <c r="W100" i="3"/>
  <c r="V100" i="3"/>
  <c r="X100" i="3"/>
  <c r="U100" i="3"/>
  <c r="T100" i="3"/>
  <c r="S100" i="3"/>
  <c r="R100" i="3"/>
  <c r="P100" i="3"/>
  <c r="Q100" i="3"/>
  <c r="L100" i="3"/>
  <c r="N100" i="3"/>
  <c r="O100" i="3"/>
  <c r="J100" i="3"/>
  <c r="M100" i="3"/>
  <c r="K100" i="3"/>
  <c r="AP100" i="3"/>
  <c r="AO100" i="3"/>
  <c r="I100" i="3"/>
  <c r="L100" i="1"/>
  <c r="P100" i="1" s="1"/>
  <c r="AA100" i="1"/>
  <c r="G101" i="3"/>
  <c r="I102" i="1"/>
  <c r="J101" i="1"/>
  <c r="V101" i="1"/>
  <c r="G101" i="2"/>
  <c r="Y101" i="1"/>
  <c r="Z101" i="1" s="1"/>
  <c r="S101" i="1"/>
  <c r="R101" i="1"/>
  <c r="N101" i="1"/>
  <c r="L101" i="1" l="1"/>
  <c r="AA101" i="1"/>
  <c r="G102" i="3"/>
  <c r="I103" i="1"/>
  <c r="V102" i="1"/>
  <c r="J102" i="1"/>
  <c r="G102" i="2"/>
  <c r="Y102" i="1"/>
  <c r="Z102" i="1" s="1"/>
  <c r="S102" i="1"/>
  <c r="R102" i="1"/>
  <c r="N102" i="1"/>
  <c r="H101" i="3"/>
  <c r="AQ101" i="3"/>
  <c r="AR101" i="3"/>
  <c r="AN101" i="3"/>
  <c r="AM101" i="3"/>
  <c r="AL101" i="3"/>
  <c r="AK101" i="3"/>
  <c r="AJ101" i="3"/>
  <c r="AH101" i="3"/>
  <c r="AI101" i="3"/>
  <c r="AG101" i="3"/>
  <c r="AE101" i="3"/>
  <c r="AF101" i="3"/>
  <c r="AB101" i="3"/>
  <c r="AC101" i="3"/>
  <c r="AD101" i="3"/>
  <c r="AA101" i="3"/>
  <c r="W101" i="3"/>
  <c r="Y101" i="3"/>
  <c r="Z101" i="3"/>
  <c r="X101" i="3"/>
  <c r="U101" i="3"/>
  <c r="T101" i="3"/>
  <c r="V101" i="3"/>
  <c r="R101" i="3"/>
  <c r="P101" i="3"/>
  <c r="S101" i="3"/>
  <c r="Q101" i="3"/>
  <c r="O101" i="3"/>
  <c r="J101" i="3"/>
  <c r="M101" i="3"/>
  <c r="L101" i="3"/>
  <c r="K101" i="3"/>
  <c r="N101" i="3"/>
  <c r="AO101" i="3"/>
  <c r="AP101" i="3"/>
  <c r="I101" i="3"/>
  <c r="W101" i="1"/>
  <c r="H101" i="2"/>
  <c r="AR101" i="2"/>
  <c r="AQ101" i="2"/>
  <c r="AM101" i="2"/>
  <c r="AL101" i="2"/>
  <c r="AN101" i="2"/>
  <c r="AK101" i="2"/>
  <c r="AI101" i="2"/>
  <c r="AJ101" i="2"/>
  <c r="AH101" i="2"/>
  <c r="AG101" i="2"/>
  <c r="AD101" i="2"/>
  <c r="AF101" i="2"/>
  <c r="AC101" i="2"/>
  <c r="AE101" i="2"/>
  <c r="AA101" i="2"/>
  <c r="AB101" i="2"/>
  <c r="Z101" i="2"/>
  <c r="U101" i="2"/>
  <c r="W101" i="2"/>
  <c r="X101" i="2"/>
  <c r="Y101" i="2"/>
  <c r="T101" i="2"/>
  <c r="V101" i="2"/>
  <c r="S101" i="2"/>
  <c r="R101" i="2"/>
  <c r="Q101" i="2"/>
  <c r="O101" i="2"/>
  <c r="P101" i="2"/>
  <c r="M101" i="2"/>
  <c r="N101" i="2"/>
  <c r="K101" i="2"/>
  <c r="L101" i="2"/>
  <c r="J101" i="2"/>
  <c r="I101" i="2"/>
  <c r="AP101" i="2"/>
  <c r="AO101" i="2"/>
  <c r="W102" i="1" l="1"/>
  <c r="H102" i="2"/>
  <c r="AR102" i="2"/>
  <c r="AN102" i="2"/>
  <c r="AM102" i="2"/>
  <c r="AQ102" i="2"/>
  <c r="AL102" i="2"/>
  <c r="AI102" i="2"/>
  <c r="AJ102" i="2"/>
  <c r="AK102" i="2"/>
  <c r="AG102" i="2"/>
  <c r="AH102" i="2"/>
  <c r="AF102" i="2"/>
  <c r="AD102" i="2"/>
  <c r="AC102" i="2"/>
  <c r="AE102" i="2"/>
  <c r="AB102" i="2"/>
  <c r="Z102" i="2"/>
  <c r="Y102" i="2"/>
  <c r="AA102" i="2"/>
  <c r="X102" i="2"/>
  <c r="U102" i="2"/>
  <c r="W102" i="2"/>
  <c r="R102" i="2"/>
  <c r="T102" i="2"/>
  <c r="V102" i="2"/>
  <c r="Q102" i="2"/>
  <c r="S102" i="2"/>
  <c r="M102" i="2"/>
  <c r="O102" i="2"/>
  <c r="P102" i="2"/>
  <c r="K102" i="2"/>
  <c r="L102" i="2"/>
  <c r="N102" i="2"/>
  <c r="AP102" i="2"/>
  <c r="J102" i="2"/>
  <c r="I102" i="2"/>
  <c r="AO102" i="2"/>
  <c r="G103" i="3"/>
  <c r="I104" i="1"/>
  <c r="V103" i="1"/>
  <c r="J103" i="1"/>
  <c r="G103" i="2"/>
  <c r="Y103" i="1"/>
  <c r="Z103" i="1" s="1"/>
  <c r="S103" i="1"/>
  <c r="W103" i="1" s="1"/>
  <c r="N103" i="1"/>
  <c r="R103" i="1"/>
  <c r="H102" i="3"/>
  <c r="AR102" i="3"/>
  <c r="AN102" i="3"/>
  <c r="AQ102" i="3"/>
  <c r="AL102" i="3"/>
  <c r="AK102" i="3"/>
  <c r="AM102" i="3"/>
  <c r="AJ102" i="3"/>
  <c r="AH102" i="3"/>
  <c r="AI102" i="3"/>
  <c r="AG102" i="3"/>
  <c r="AE102" i="3"/>
  <c r="AF102" i="3"/>
  <c r="AD102" i="3"/>
  <c r="AC102" i="3"/>
  <c r="AB102" i="3"/>
  <c r="AA102" i="3"/>
  <c r="Y102" i="3"/>
  <c r="Z102" i="3"/>
  <c r="X102" i="3"/>
  <c r="V102" i="3"/>
  <c r="U102" i="3"/>
  <c r="W102" i="3"/>
  <c r="T102" i="3"/>
  <c r="R102" i="3"/>
  <c r="P102" i="3"/>
  <c r="S102" i="3"/>
  <c r="L102" i="3"/>
  <c r="Q102" i="3"/>
  <c r="O102" i="3"/>
  <c r="N102" i="3"/>
  <c r="J102" i="3"/>
  <c r="M102" i="3"/>
  <c r="K102" i="3"/>
  <c r="I102" i="3"/>
  <c r="AP102" i="3"/>
  <c r="AO102" i="3"/>
  <c r="L102" i="1"/>
  <c r="AA102" i="1"/>
  <c r="P101" i="1"/>
  <c r="P102" i="1" l="1"/>
  <c r="L103" i="1"/>
  <c r="P103" i="1" s="1"/>
  <c r="AA103" i="1"/>
  <c r="I105" i="1"/>
  <c r="G104" i="3"/>
  <c r="V104" i="1"/>
  <c r="J104" i="1"/>
  <c r="G104" i="2"/>
  <c r="Y104" i="1"/>
  <c r="Z104" i="1" s="1"/>
  <c r="R104" i="1"/>
  <c r="S104" i="1"/>
  <c r="W104" i="1" s="1"/>
  <c r="N104" i="1"/>
  <c r="H103" i="2"/>
  <c r="AR103" i="2"/>
  <c r="AN103" i="2"/>
  <c r="AQ103" i="2"/>
  <c r="AM103" i="2"/>
  <c r="AK103" i="2"/>
  <c r="AL103" i="2"/>
  <c r="AJ103" i="2"/>
  <c r="AI103" i="2"/>
  <c r="AG103" i="2"/>
  <c r="AD103" i="2"/>
  <c r="AF103" i="2"/>
  <c r="AH103" i="2"/>
  <c r="AC103" i="2"/>
  <c r="AE103" i="2"/>
  <c r="AB103" i="2"/>
  <c r="X103" i="2"/>
  <c r="Y103" i="2"/>
  <c r="AA103" i="2"/>
  <c r="Z103" i="2"/>
  <c r="U103" i="2"/>
  <c r="T103" i="2"/>
  <c r="W103" i="2"/>
  <c r="V103" i="2"/>
  <c r="Q103" i="2"/>
  <c r="S103" i="2"/>
  <c r="R103" i="2"/>
  <c r="O103" i="2"/>
  <c r="P103" i="2"/>
  <c r="K103" i="2"/>
  <c r="L103" i="2"/>
  <c r="N103" i="2"/>
  <c r="M103" i="2"/>
  <c r="I103" i="2"/>
  <c r="AP103" i="2"/>
  <c r="J103" i="2"/>
  <c r="AO103" i="2"/>
  <c r="H103" i="3"/>
  <c r="AR103" i="3"/>
  <c r="AQ103" i="3"/>
  <c r="AN103" i="3"/>
  <c r="AM103" i="3"/>
  <c r="AL103" i="3"/>
  <c r="AK103" i="3"/>
  <c r="AI103" i="3"/>
  <c r="AJ103" i="3"/>
  <c r="AH103" i="3"/>
  <c r="AG103" i="3"/>
  <c r="AD103" i="3"/>
  <c r="AE103" i="3"/>
  <c r="AF103" i="3"/>
  <c r="AC103" i="3"/>
  <c r="AB103" i="3"/>
  <c r="Z103" i="3"/>
  <c r="W103" i="3"/>
  <c r="AA103" i="3"/>
  <c r="U103" i="3"/>
  <c r="X103" i="3"/>
  <c r="Y103" i="3"/>
  <c r="V103" i="3"/>
  <c r="T103" i="3"/>
  <c r="R103" i="3"/>
  <c r="S103" i="3"/>
  <c r="Q103" i="3"/>
  <c r="O103" i="3"/>
  <c r="P103" i="3"/>
  <c r="M103" i="3"/>
  <c r="N103" i="3"/>
  <c r="L103" i="3"/>
  <c r="K103" i="3"/>
  <c r="J103" i="3"/>
  <c r="I103" i="3"/>
  <c r="AP103" i="3"/>
  <c r="AO103" i="3"/>
  <c r="H104" i="2" l="1"/>
  <c r="AN104" i="2"/>
  <c r="AR104" i="2"/>
  <c r="AQ104" i="2"/>
  <c r="AM104" i="2"/>
  <c r="AL104" i="2"/>
  <c r="AI104" i="2"/>
  <c r="AK104" i="2"/>
  <c r="AJ104" i="2"/>
  <c r="AH104" i="2"/>
  <c r="AG104" i="2"/>
  <c r="AF104" i="2"/>
  <c r="AE104" i="2"/>
  <c r="AD104" i="2"/>
  <c r="Z104" i="2"/>
  <c r="AC104" i="2"/>
  <c r="AB104" i="2"/>
  <c r="X104" i="2"/>
  <c r="AA104" i="2"/>
  <c r="W104" i="2"/>
  <c r="Y104" i="2"/>
  <c r="V104" i="2"/>
  <c r="R104" i="2"/>
  <c r="U104" i="2"/>
  <c r="Q104" i="2"/>
  <c r="S104" i="2"/>
  <c r="T104" i="2"/>
  <c r="M104" i="2"/>
  <c r="P104" i="2"/>
  <c r="O104" i="2"/>
  <c r="K104" i="2"/>
  <c r="L104" i="2"/>
  <c r="N104" i="2"/>
  <c r="I104" i="2"/>
  <c r="J104" i="2"/>
  <c r="AO104" i="2"/>
  <c r="AP104" i="2"/>
  <c r="L104" i="1"/>
  <c r="AA104" i="1"/>
  <c r="H104" i="3"/>
  <c r="AR104" i="3"/>
  <c r="AN104" i="3"/>
  <c r="AM104" i="3"/>
  <c r="AQ104" i="3"/>
  <c r="AL104" i="3"/>
  <c r="AI104" i="3"/>
  <c r="AK104" i="3"/>
  <c r="AJ104" i="3"/>
  <c r="AE104" i="3"/>
  <c r="AH104" i="3"/>
  <c r="AG104" i="3"/>
  <c r="AD104" i="3"/>
  <c r="AF104" i="3"/>
  <c r="AC104" i="3"/>
  <c r="AA104" i="3"/>
  <c r="AB104" i="3"/>
  <c r="Z104" i="3"/>
  <c r="Y104" i="3"/>
  <c r="X104" i="3"/>
  <c r="U104" i="3"/>
  <c r="W104" i="3"/>
  <c r="R104" i="3"/>
  <c r="V104" i="3"/>
  <c r="T104" i="3"/>
  <c r="Q104" i="3"/>
  <c r="S104" i="3"/>
  <c r="M104" i="3"/>
  <c r="O104" i="3"/>
  <c r="P104" i="3"/>
  <c r="K104" i="3"/>
  <c r="N104" i="3"/>
  <c r="L104" i="3"/>
  <c r="AO104" i="3"/>
  <c r="J104" i="3"/>
  <c r="I104" i="3"/>
  <c r="AP104" i="3"/>
  <c r="G105" i="3"/>
  <c r="I106" i="1"/>
  <c r="V105" i="1"/>
  <c r="J105" i="1"/>
  <c r="Y105" i="1"/>
  <c r="Z105" i="1" s="1"/>
  <c r="G105" i="2"/>
  <c r="S105" i="1"/>
  <c r="W105" i="1" s="1"/>
  <c r="N105" i="1"/>
  <c r="R105" i="1"/>
  <c r="O102" i="1" l="1"/>
  <c r="L105" i="1"/>
  <c r="AA105" i="1"/>
  <c r="P104" i="1"/>
  <c r="O104" i="1"/>
  <c r="O101" i="1"/>
  <c r="H105" i="2"/>
  <c r="AR105" i="2"/>
  <c r="AQ105" i="2"/>
  <c r="AN105" i="2"/>
  <c r="AM105" i="2"/>
  <c r="AL105" i="2"/>
  <c r="AK105" i="2"/>
  <c r="AJ105" i="2"/>
  <c r="AI105" i="2"/>
  <c r="AH105" i="2"/>
  <c r="AF105" i="2"/>
  <c r="AE105" i="2"/>
  <c r="AG105" i="2"/>
  <c r="AD105" i="2"/>
  <c r="AC105" i="2"/>
  <c r="AB105" i="2"/>
  <c r="AA105" i="2"/>
  <c r="Z105" i="2"/>
  <c r="X105" i="2"/>
  <c r="V105" i="2"/>
  <c r="Y105" i="2"/>
  <c r="W105" i="2"/>
  <c r="U105" i="2"/>
  <c r="S105" i="2"/>
  <c r="R105" i="2"/>
  <c r="T105" i="2"/>
  <c r="Q105" i="2"/>
  <c r="P105" i="2"/>
  <c r="N105" i="2"/>
  <c r="O105" i="2"/>
  <c r="L105" i="2"/>
  <c r="M105" i="2"/>
  <c r="J105" i="2"/>
  <c r="I105" i="2"/>
  <c r="AO105" i="2"/>
  <c r="K105" i="2"/>
  <c r="AP105" i="2"/>
  <c r="O103" i="1"/>
  <c r="G106" i="3"/>
  <c r="I107" i="1"/>
  <c r="V106" i="1"/>
  <c r="J106" i="1"/>
  <c r="G106" i="2"/>
  <c r="Y106" i="1"/>
  <c r="Z106" i="1" s="1"/>
  <c r="N106" i="1"/>
  <c r="R106" i="1"/>
  <c r="S106" i="1"/>
  <c r="O106" i="1"/>
  <c r="O105" i="1"/>
  <c r="H105" i="3"/>
  <c r="AR105" i="3"/>
  <c r="AN105" i="3"/>
  <c r="AQ105" i="3"/>
  <c r="AM105" i="3"/>
  <c r="AL105" i="3"/>
  <c r="AI105" i="3"/>
  <c r="AK105" i="3"/>
  <c r="AJ105" i="3"/>
  <c r="AH105" i="3"/>
  <c r="AG105" i="3"/>
  <c r="AD105" i="3"/>
  <c r="AF105" i="3"/>
  <c r="AA105" i="3"/>
  <c r="AC105" i="3"/>
  <c r="AE105" i="3"/>
  <c r="AB105" i="3"/>
  <c r="X105" i="3"/>
  <c r="Z105" i="3"/>
  <c r="Y105" i="3"/>
  <c r="U105" i="3"/>
  <c r="W105" i="3"/>
  <c r="R105" i="3"/>
  <c r="V105" i="3"/>
  <c r="T105" i="3"/>
  <c r="Q105" i="3"/>
  <c r="S105" i="3"/>
  <c r="O105" i="3"/>
  <c r="P105" i="3"/>
  <c r="L105" i="3"/>
  <c r="K105" i="3"/>
  <c r="N105" i="3"/>
  <c r="M105" i="3"/>
  <c r="AO105" i="3"/>
  <c r="J105" i="3"/>
  <c r="I105" i="3"/>
  <c r="AP105" i="3"/>
  <c r="H106" i="2" l="1"/>
  <c r="AQ106" i="2"/>
  <c r="AR106" i="2"/>
  <c r="AN106" i="2"/>
  <c r="AM106" i="2"/>
  <c r="AL106" i="2"/>
  <c r="AJ106" i="2"/>
  <c r="AK106" i="2"/>
  <c r="AI106" i="2"/>
  <c r="AH106" i="2"/>
  <c r="AF106" i="2"/>
  <c r="AE106" i="2"/>
  <c r="AG106" i="2"/>
  <c r="AD106" i="2"/>
  <c r="AB106" i="2"/>
  <c r="AC106" i="2"/>
  <c r="AA106" i="2"/>
  <c r="Z106" i="2"/>
  <c r="Y106" i="2"/>
  <c r="V106" i="2"/>
  <c r="X106" i="2"/>
  <c r="W106" i="2"/>
  <c r="S106" i="2"/>
  <c r="U106" i="2"/>
  <c r="R106" i="2"/>
  <c r="T106" i="2"/>
  <c r="Q106" i="2"/>
  <c r="P106" i="2"/>
  <c r="N106" i="2"/>
  <c r="O106" i="2"/>
  <c r="M106" i="2"/>
  <c r="L106" i="2"/>
  <c r="J106" i="2"/>
  <c r="I106" i="2"/>
  <c r="AO106" i="2"/>
  <c r="K106" i="2"/>
  <c r="AP106" i="2"/>
  <c r="L106" i="1"/>
  <c r="AA106" i="1"/>
  <c r="I108" i="1"/>
  <c r="G107" i="3"/>
  <c r="J107" i="1"/>
  <c r="V107" i="1"/>
  <c r="G107" i="2"/>
  <c r="Y107" i="1"/>
  <c r="Z107" i="1" s="1"/>
  <c r="S107" i="1"/>
  <c r="W107" i="1" s="1"/>
  <c r="N107" i="1"/>
  <c r="O107" i="1"/>
  <c r="R107" i="1"/>
  <c r="H106" i="3"/>
  <c r="AR106" i="3"/>
  <c r="AN106" i="3"/>
  <c r="AQ106" i="3"/>
  <c r="AM106" i="3"/>
  <c r="AL106" i="3"/>
  <c r="AI106" i="3"/>
  <c r="AK106" i="3"/>
  <c r="AJ106" i="3"/>
  <c r="AG106" i="3"/>
  <c r="AH106" i="3"/>
  <c r="AF106" i="3"/>
  <c r="AE106" i="3"/>
  <c r="AD106" i="3"/>
  <c r="AC106" i="3"/>
  <c r="Z106" i="3"/>
  <c r="AB106" i="3"/>
  <c r="X106" i="3"/>
  <c r="AA106" i="3"/>
  <c r="Y106" i="3"/>
  <c r="W106" i="3"/>
  <c r="V106" i="3"/>
  <c r="U106" i="3"/>
  <c r="R106" i="3"/>
  <c r="T106" i="3"/>
  <c r="O106" i="3"/>
  <c r="Q106" i="3"/>
  <c r="S106" i="3"/>
  <c r="M106" i="3"/>
  <c r="P106" i="3"/>
  <c r="L106" i="3"/>
  <c r="K106" i="3"/>
  <c r="N106" i="3"/>
  <c r="I106" i="3"/>
  <c r="AO106" i="3"/>
  <c r="J106" i="3"/>
  <c r="AP106" i="3"/>
  <c r="W106" i="1"/>
  <c r="O11" i="1"/>
  <c r="O10" i="1"/>
  <c r="O7" i="1"/>
  <c r="O8" i="1"/>
  <c r="O9" i="1"/>
  <c r="O13" i="1"/>
  <c r="O12" i="1"/>
  <c r="O14" i="1"/>
  <c r="O15" i="1"/>
  <c r="O16" i="1"/>
  <c r="O17" i="1"/>
  <c r="O18" i="1"/>
  <c r="O19" i="1"/>
  <c r="O20" i="1"/>
  <c r="O22" i="1"/>
  <c r="O21" i="1"/>
  <c r="O24" i="1"/>
  <c r="O23" i="1"/>
  <c r="O27" i="1"/>
  <c r="O25" i="1"/>
  <c r="O26" i="1"/>
  <c r="O28" i="1"/>
  <c r="O29" i="1"/>
  <c r="O30" i="1"/>
  <c r="O32" i="1"/>
  <c r="O31" i="1"/>
  <c r="O35" i="1"/>
  <c r="O34" i="1"/>
  <c r="O33" i="1"/>
  <c r="O36" i="1"/>
  <c r="O37" i="1"/>
  <c r="O39" i="1"/>
  <c r="O38" i="1"/>
  <c r="O41" i="1"/>
  <c r="O40" i="1"/>
  <c r="O42" i="1"/>
  <c r="O45" i="1"/>
  <c r="O43" i="1"/>
  <c r="O44" i="1"/>
  <c r="O46" i="1"/>
  <c r="O47" i="1"/>
  <c r="O48" i="1"/>
  <c r="O50" i="1"/>
  <c r="O49" i="1"/>
  <c r="O51" i="1"/>
  <c r="O55" i="1"/>
  <c r="O53" i="1"/>
  <c r="O52" i="1"/>
  <c r="O54" i="1"/>
  <c r="O56" i="1"/>
  <c r="O57" i="1"/>
  <c r="O58" i="1"/>
  <c r="O59" i="1"/>
  <c r="O60" i="1"/>
  <c r="O61" i="1"/>
  <c r="O63" i="1"/>
  <c r="O62" i="1"/>
  <c r="O64" i="1"/>
  <c r="O66" i="1"/>
  <c r="O65" i="1"/>
  <c r="O68" i="1"/>
  <c r="O67" i="1"/>
  <c r="O70" i="1"/>
  <c r="O72" i="1"/>
  <c r="O69" i="1"/>
  <c r="O71" i="1"/>
  <c r="O73" i="1"/>
  <c r="O75" i="1"/>
  <c r="O74" i="1"/>
  <c r="O76" i="1"/>
  <c r="O78" i="1"/>
  <c r="O77" i="1"/>
  <c r="O79" i="1"/>
  <c r="O80" i="1"/>
  <c r="O82" i="1"/>
  <c r="O81" i="1"/>
  <c r="O84" i="1"/>
  <c r="O86" i="1"/>
  <c r="O83" i="1"/>
  <c r="O85" i="1"/>
  <c r="O88" i="1"/>
  <c r="O87" i="1"/>
  <c r="O89" i="1"/>
  <c r="O91" i="1"/>
  <c r="O90" i="1"/>
  <c r="O92" i="1"/>
  <c r="O93" i="1"/>
  <c r="O97" i="1"/>
  <c r="O94" i="1"/>
  <c r="O95" i="1"/>
  <c r="O96" i="1"/>
  <c r="O100" i="1"/>
  <c r="O98" i="1"/>
  <c r="O99" i="1"/>
  <c r="P105" i="1"/>
  <c r="L107" i="1" l="1"/>
  <c r="P107" i="1" s="1"/>
  <c r="AA107" i="1"/>
  <c r="H107" i="2"/>
  <c r="AR107" i="2"/>
  <c r="AQ107" i="2"/>
  <c r="AN107" i="2"/>
  <c r="AM107" i="2"/>
  <c r="AL107" i="2"/>
  <c r="AK107" i="2"/>
  <c r="AJ107" i="2"/>
  <c r="AI107" i="2"/>
  <c r="AH107" i="2"/>
  <c r="AF107" i="2"/>
  <c r="AE107" i="2"/>
  <c r="AG107" i="2"/>
  <c r="AB107" i="2"/>
  <c r="AD107" i="2"/>
  <c r="AA107" i="2"/>
  <c r="AC107" i="2"/>
  <c r="Y107" i="2"/>
  <c r="Z107" i="2"/>
  <c r="V107" i="2"/>
  <c r="X107" i="2"/>
  <c r="W107" i="2"/>
  <c r="S107" i="2"/>
  <c r="U107" i="2"/>
  <c r="R107" i="2"/>
  <c r="T107" i="2"/>
  <c r="P107" i="2"/>
  <c r="Q107" i="2"/>
  <c r="N107" i="2"/>
  <c r="O107" i="2"/>
  <c r="L107" i="2"/>
  <c r="M107" i="2"/>
  <c r="I107" i="2"/>
  <c r="J107" i="2"/>
  <c r="K107" i="2"/>
  <c r="AO107" i="2"/>
  <c r="AP107" i="2"/>
  <c r="B38" i="1"/>
  <c r="P106" i="1"/>
  <c r="H107" i="3"/>
  <c r="AR107" i="3"/>
  <c r="AN107" i="3"/>
  <c r="AQ107" i="3"/>
  <c r="AJ107" i="3"/>
  <c r="AL107" i="3"/>
  <c r="AM107" i="3"/>
  <c r="AK107" i="3"/>
  <c r="AG107" i="3"/>
  <c r="AI107" i="3"/>
  <c r="AH107" i="3"/>
  <c r="AF107" i="3"/>
  <c r="AE107" i="3"/>
  <c r="AD107" i="3"/>
  <c r="AA107" i="3"/>
  <c r="AC107" i="3"/>
  <c r="Z107" i="3"/>
  <c r="AB107" i="3"/>
  <c r="X107" i="3"/>
  <c r="Y107" i="3"/>
  <c r="W107" i="3"/>
  <c r="V107" i="3"/>
  <c r="U107" i="3"/>
  <c r="T107" i="3"/>
  <c r="S107" i="3"/>
  <c r="Q107" i="3"/>
  <c r="R107" i="3"/>
  <c r="O107" i="3"/>
  <c r="P107" i="3"/>
  <c r="N107" i="3"/>
  <c r="M107" i="3"/>
  <c r="I107" i="3"/>
  <c r="L107" i="3"/>
  <c r="K107" i="3"/>
  <c r="AP107" i="3"/>
  <c r="AO107" i="3"/>
  <c r="J107" i="3"/>
  <c r="G108" i="3"/>
  <c r="I109" i="1"/>
  <c r="J108" i="1"/>
  <c r="V108" i="1"/>
  <c r="Y108" i="1"/>
  <c r="Z108" i="1" s="1"/>
  <c r="G108" i="2"/>
  <c r="O108" i="1"/>
  <c r="N108" i="1"/>
  <c r="R108" i="1"/>
  <c r="S108" i="1"/>
  <c r="H108" i="2" l="1"/>
  <c r="AR108" i="2"/>
  <c r="AQ108" i="2"/>
  <c r="AN108" i="2"/>
  <c r="AL108" i="2"/>
  <c r="AM108" i="2"/>
  <c r="AK108" i="2"/>
  <c r="AJ108" i="2"/>
  <c r="AH108" i="2"/>
  <c r="AI108" i="2"/>
  <c r="AF108" i="2"/>
  <c r="AG108" i="2"/>
  <c r="AB108" i="2"/>
  <c r="AD108" i="2"/>
  <c r="AE108" i="2"/>
  <c r="AA108" i="2"/>
  <c r="AC108" i="2"/>
  <c r="Y108" i="2"/>
  <c r="Z108" i="2"/>
  <c r="X108" i="2"/>
  <c r="W108" i="2"/>
  <c r="V108" i="2"/>
  <c r="S108" i="2"/>
  <c r="U108" i="2"/>
  <c r="T108" i="2"/>
  <c r="P108" i="2"/>
  <c r="R108" i="2"/>
  <c r="L108" i="2"/>
  <c r="Q108" i="2"/>
  <c r="N108" i="2"/>
  <c r="O108" i="2"/>
  <c r="J108" i="2"/>
  <c r="M108" i="2"/>
  <c r="K108" i="2"/>
  <c r="I108" i="2"/>
  <c r="AP108" i="2"/>
  <c r="AO108" i="2"/>
  <c r="G109" i="3"/>
  <c r="I110" i="1"/>
  <c r="V109" i="1"/>
  <c r="J109" i="1"/>
  <c r="G109" i="2"/>
  <c r="Y109" i="1"/>
  <c r="Z109" i="1" s="1"/>
  <c r="S109" i="1"/>
  <c r="W109" i="1" s="1"/>
  <c r="N109" i="1"/>
  <c r="R109" i="1"/>
  <c r="O109" i="1"/>
  <c r="W108" i="1"/>
  <c r="H108" i="3"/>
  <c r="AR108" i="3"/>
  <c r="AQ108" i="3"/>
  <c r="AN108" i="3"/>
  <c r="AM108" i="3"/>
  <c r="AL108" i="3"/>
  <c r="AK108" i="3"/>
  <c r="AJ108" i="3"/>
  <c r="AI108" i="3"/>
  <c r="AG108" i="3"/>
  <c r="AF108" i="3"/>
  <c r="AH108" i="3"/>
  <c r="AE108" i="3"/>
  <c r="AD108" i="3"/>
  <c r="AC108" i="3"/>
  <c r="AB108" i="3"/>
  <c r="Z108" i="3"/>
  <c r="AA108" i="3"/>
  <c r="Y108" i="3"/>
  <c r="W108" i="3"/>
  <c r="V108" i="3"/>
  <c r="X108" i="3"/>
  <c r="T108" i="3"/>
  <c r="S108" i="3"/>
  <c r="U108" i="3"/>
  <c r="O108" i="3"/>
  <c r="R108" i="3"/>
  <c r="N108" i="3"/>
  <c r="Q108" i="3"/>
  <c r="P108" i="3"/>
  <c r="M108" i="3"/>
  <c r="L108" i="3"/>
  <c r="K108" i="3"/>
  <c r="AP108" i="3"/>
  <c r="I108" i="3"/>
  <c r="AO108" i="3"/>
  <c r="J108" i="3"/>
  <c r="L108" i="1"/>
  <c r="P108" i="1" s="1"/>
  <c r="AA108" i="1"/>
  <c r="H109" i="2" l="1"/>
  <c r="AR109" i="2"/>
  <c r="AQ109" i="2"/>
  <c r="AN109" i="2"/>
  <c r="AL109" i="2"/>
  <c r="AK109" i="2"/>
  <c r="AM109" i="2"/>
  <c r="AH109" i="2"/>
  <c r="AJ109" i="2"/>
  <c r="AI109" i="2"/>
  <c r="AG109" i="2"/>
  <c r="AF109" i="2"/>
  <c r="AB109" i="2"/>
  <c r="AD109" i="2"/>
  <c r="AE109" i="2"/>
  <c r="AA109" i="2"/>
  <c r="AC109" i="2"/>
  <c r="Y109" i="2"/>
  <c r="Z109" i="2"/>
  <c r="W109" i="2"/>
  <c r="X109" i="2"/>
  <c r="V109" i="2"/>
  <c r="U109" i="2"/>
  <c r="T109" i="2"/>
  <c r="R109" i="2"/>
  <c r="S109" i="2"/>
  <c r="P109" i="2"/>
  <c r="Q109" i="2"/>
  <c r="O109" i="2"/>
  <c r="N109" i="2"/>
  <c r="L109" i="2"/>
  <c r="M109" i="2"/>
  <c r="K109" i="2"/>
  <c r="J109" i="2"/>
  <c r="I109" i="2"/>
  <c r="AO109" i="2"/>
  <c r="AP109" i="2"/>
  <c r="L109" i="1"/>
  <c r="P109" i="1" s="1"/>
  <c r="AA109" i="1"/>
  <c r="I111" i="1"/>
  <c r="G110" i="3"/>
  <c r="V110" i="1"/>
  <c r="J110" i="1"/>
  <c r="G110" i="2"/>
  <c r="Y110" i="1"/>
  <c r="Z110" i="1" s="1"/>
  <c r="S110" i="1"/>
  <c r="W110" i="1" s="1"/>
  <c r="N110" i="1"/>
  <c r="O110" i="1"/>
  <c r="R110" i="1"/>
  <c r="H109" i="3"/>
  <c r="AR109" i="3"/>
  <c r="AQ109" i="3"/>
  <c r="AN109" i="3"/>
  <c r="AL109" i="3"/>
  <c r="AM109" i="3"/>
  <c r="AK109" i="3"/>
  <c r="AJ109" i="3"/>
  <c r="AI109" i="3"/>
  <c r="AG109" i="3"/>
  <c r="AF109" i="3"/>
  <c r="AH109" i="3"/>
  <c r="AB109" i="3"/>
  <c r="AE109" i="3"/>
  <c r="AD109" i="3"/>
  <c r="AC109" i="3"/>
  <c r="AA109" i="3"/>
  <c r="Y109" i="3"/>
  <c r="Z109" i="3"/>
  <c r="T109" i="3"/>
  <c r="W109" i="3"/>
  <c r="V109" i="3"/>
  <c r="X109" i="3"/>
  <c r="S109" i="3"/>
  <c r="U109" i="3"/>
  <c r="Q109" i="3"/>
  <c r="R109" i="3"/>
  <c r="P109" i="3"/>
  <c r="N109" i="3"/>
  <c r="O109" i="3"/>
  <c r="L109" i="3"/>
  <c r="M109" i="3"/>
  <c r="I109" i="3"/>
  <c r="K109" i="3"/>
  <c r="J109" i="3"/>
  <c r="AP109" i="3"/>
  <c r="AO109" i="3"/>
  <c r="H110" i="2" l="1"/>
  <c r="AR110" i="2"/>
  <c r="AQ110" i="2"/>
  <c r="AL110" i="2"/>
  <c r="AN110" i="2"/>
  <c r="AK110" i="2"/>
  <c r="AM110" i="2"/>
  <c r="AH110" i="2"/>
  <c r="AJ110" i="2"/>
  <c r="AG110" i="2"/>
  <c r="AI110" i="2"/>
  <c r="AF110" i="2"/>
  <c r="AE110" i="2"/>
  <c r="AD110" i="2"/>
  <c r="AC110" i="2"/>
  <c r="AB110" i="2"/>
  <c r="AA110" i="2"/>
  <c r="Y110" i="2"/>
  <c r="Z110" i="2"/>
  <c r="W110" i="2"/>
  <c r="X110" i="2"/>
  <c r="U110" i="2"/>
  <c r="T110" i="2"/>
  <c r="V110" i="2"/>
  <c r="R110" i="2"/>
  <c r="P110" i="2"/>
  <c r="S110" i="2"/>
  <c r="O110" i="2"/>
  <c r="Q110" i="2"/>
  <c r="N110" i="2"/>
  <c r="L110" i="2"/>
  <c r="J110" i="2"/>
  <c r="M110" i="2"/>
  <c r="K110" i="2"/>
  <c r="I110" i="2"/>
  <c r="AO110" i="2"/>
  <c r="AP110" i="2"/>
  <c r="L110" i="1"/>
  <c r="P110" i="1" s="1"/>
  <c r="AA110" i="1"/>
  <c r="G111" i="3"/>
  <c r="I112" i="1"/>
  <c r="J111" i="1"/>
  <c r="V111" i="1"/>
  <c r="G111" i="2"/>
  <c r="Y111" i="1"/>
  <c r="Z111" i="1" s="1"/>
  <c r="N111" i="1"/>
  <c r="S111" i="1"/>
  <c r="W111" i="1" s="1"/>
  <c r="O111" i="1"/>
  <c r="R111" i="1"/>
  <c r="H110" i="3"/>
  <c r="AQ110" i="3"/>
  <c r="AR110" i="3"/>
  <c r="AN110" i="3"/>
  <c r="AL110" i="3"/>
  <c r="AM110" i="3"/>
  <c r="AK110" i="3"/>
  <c r="AJ110" i="3"/>
  <c r="AI110" i="3"/>
  <c r="AH110" i="3"/>
  <c r="AF110" i="3"/>
  <c r="AG110" i="3"/>
  <c r="AB110" i="3"/>
  <c r="AE110" i="3"/>
  <c r="AD110" i="3"/>
  <c r="AA110" i="3"/>
  <c r="AC110" i="3"/>
  <c r="Y110" i="3"/>
  <c r="Z110" i="3"/>
  <c r="W110" i="3"/>
  <c r="V110" i="3"/>
  <c r="X110" i="3"/>
  <c r="S110" i="3"/>
  <c r="U110" i="3"/>
  <c r="T110" i="3"/>
  <c r="P110" i="3"/>
  <c r="Q110" i="3"/>
  <c r="R110" i="3"/>
  <c r="L110" i="3"/>
  <c r="N110" i="3"/>
  <c r="O110" i="3"/>
  <c r="J110" i="3"/>
  <c r="M110" i="3"/>
  <c r="K110" i="3"/>
  <c r="AP110" i="3"/>
  <c r="I110" i="3"/>
  <c r="AO110" i="3"/>
  <c r="H111" i="3" l="1"/>
  <c r="AQ111" i="3"/>
  <c r="AR111" i="3"/>
  <c r="AN111" i="3"/>
  <c r="AL111" i="3"/>
  <c r="AK111" i="3"/>
  <c r="AM111" i="3"/>
  <c r="AH111" i="3"/>
  <c r="AJ111" i="3"/>
  <c r="AI111" i="3"/>
  <c r="AF111" i="3"/>
  <c r="AG111" i="3"/>
  <c r="AE111" i="3"/>
  <c r="AB111" i="3"/>
  <c r="AD111" i="3"/>
  <c r="AC111" i="3"/>
  <c r="AA111" i="3"/>
  <c r="W111" i="3"/>
  <c r="Y111" i="3"/>
  <c r="Z111" i="3"/>
  <c r="X111" i="3"/>
  <c r="V111" i="3"/>
  <c r="U111" i="3"/>
  <c r="T111" i="3"/>
  <c r="S111" i="3"/>
  <c r="P111" i="3"/>
  <c r="R111" i="3"/>
  <c r="O111" i="3"/>
  <c r="Q111" i="3"/>
  <c r="J111" i="3"/>
  <c r="M111" i="3"/>
  <c r="L111" i="3"/>
  <c r="N111" i="3"/>
  <c r="K111" i="3"/>
  <c r="AO111" i="3"/>
  <c r="AP111" i="3"/>
  <c r="I111" i="3"/>
  <c r="H111" i="2"/>
  <c r="AR111" i="2"/>
  <c r="AQ111" i="2"/>
  <c r="AM111" i="2"/>
  <c r="AL111" i="2"/>
  <c r="AN111" i="2"/>
  <c r="AK111" i="2"/>
  <c r="AI111" i="2"/>
  <c r="AH111" i="2"/>
  <c r="AJ111" i="2"/>
  <c r="AG111" i="2"/>
  <c r="AD111" i="2"/>
  <c r="AF111" i="2"/>
  <c r="AC111" i="2"/>
  <c r="AE111" i="2"/>
  <c r="AB111" i="2"/>
  <c r="AA111" i="2"/>
  <c r="Z111" i="2"/>
  <c r="U111" i="2"/>
  <c r="W111" i="2"/>
  <c r="Y111" i="2"/>
  <c r="X111" i="2"/>
  <c r="T111" i="2"/>
  <c r="V111" i="2"/>
  <c r="R111" i="2"/>
  <c r="S111" i="2"/>
  <c r="Q111" i="2"/>
  <c r="O111" i="2"/>
  <c r="P111" i="2"/>
  <c r="M111" i="2"/>
  <c r="N111" i="2"/>
  <c r="L111" i="2"/>
  <c r="K111" i="2"/>
  <c r="J111" i="2"/>
  <c r="I111" i="2"/>
  <c r="AP111" i="2"/>
  <c r="AO111" i="2"/>
  <c r="L111" i="1"/>
  <c r="P111" i="1" s="1"/>
  <c r="AA111" i="1"/>
  <c r="G112" i="3"/>
  <c r="I113" i="1"/>
  <c r="V112" i="1"/>
  <c r="J112" i="1"/>
  <c r="G112" i="2"/>
  <c r="Y112" i="1"/>
  <c r="Z112" i="1" s="1"/>
  <c r="S112" i="1"/>
  <c r="W112" i="1" s="1"/>
  <c r="N112" i="1"/>
  <c r="O112" i="1"/>
  <c r="R112" i="1"/>
  <c r="H112" i="3" l="1"/>
  <c r="AR112" i="3"/>
  <c r="AQ112" i="3"/>
  <c r="AN112" i="3"/>
  <c r="AL112" i="3"/>
  <c r="AM112" i="3"/>
  <c r="AK112" i="3"/>
  <c r="AH112" i="3"/>
  <c r="AI112" i="3"/>
  <c r="AJ112" i="3"/>
  <c r="AE112" i="3"/>
  <c r="AF112" i="3"/>
  <c r="AG112" i="3"/>
  <c r="AD112" i="3"/>
  <c r="AC112" i="3"/>
  <c r="AA112" i="3"/>
  <c r="AB112" i="3"/>
  <c r="Y112" i="3"/>
  <c r="Z112" i="3"/>
  <c r="W112" i="3"/>
  <c r="V112" i="3"/>
  <c r="X112" i="3"/>
  <c r="U112" i="3"/>
  <c r="T112" i="3"/>
  <c r="S112" i="3"/>
  <c r="P112" i="3"/>
  <c r="R112" i="3"/>
  <c r="L112" i="3"/>
  <c r="O112" i="3"/>
  <c r="Q112" i="3"/>
  <c r="J112" i="3"/>
  <c r="M112" i="3"/>
  <c r="N112" i="3"/>
  <c r="K112" i="3"/>
  <c r="AP112" i="3"/>
  <c r="I112" i="3"/>
  <c r="AO112" i="3"/>
  <c r="G113" i="3"/>
  <c r="I114" i="1"/>
  <c r="V113" i="1"/>
  <c r="J113" i="1"/>
  <c r="G113" i="2"/>
  <c r="Y113" i="1"/>
  <c r="Z113" i="1" s="1"/>
  <c r="N113" i="1"/>
  <c r="R113" i="1"/>
  <c r="O113" i="1"/>
  <c r="S113" i="1"/>
  <c r="H112" i="2"/>
  <c r="AR112" i="2"/>
  <c r="AN112" i="2"/>
  <c r="AM112" i="2"/>
  <c r="AQ112" i="2"/>
  <c r="AL112" i="2"/>
  <c r="AI112" i="2"/>
  <c r="AK112" i="2"/>
  <c r="AJ112" i="2"/>
  <c r="AH112" i="2"/>
  <c r="AG112" i="2"/>
  <c r="AF112" i="2"/>
  <c r="AC112" i="2"/>
  <c r="AE112" i="2"/>
  <c r="AD112" i="2"/>
  <c r="AB112" i="2"/>
  <c r="Z112" i="2"/>
  <c r="AA112" i="2"/>
  <c r="Y112" i="2"/>
  <c r="X112" i="2"/>
  <c r="U112" i="2"/>
  <c r="W112" i="2"/>
  <c r="R112" i="2"/>
  <c r="T112" i="2"/>
  <c r="V112" i="2"/>
  <c r="Q112" i="2"/>
  <c r="S112" i="2"/>
  <c r="M112" i="2"/>
  <c r="O112" i="2"/>
  <c r="P112" i="2"/>
  <c r="K112" i="2"/>
  <c r="N112" i="2"/>
  <c r="AP112" i="2"/>
  <c r="J112" i="2"/>
  <c r="L112" i="2"/>
  <c r="I112" i="2"/>
  <c r="AO112" i="2"/>
  <c r="L112" i="1"/>
  <c r="P112" i="1" s="1"/>
  <c r="AA112" i="1"/>
  <c r="L113" i="1" l="1"/>
  <c r="P113" i="1" s="1"/>
  <c r="AA113" i="1"/>
  <c r="H113" i="3"/>
  <c r="AQ113" i="3"/>
  <c r="AR113" i="3"/>
  <c r="AN113" i="3"/>
  <c r="AM113" i="3"/>
  <c r="AL113" i="3"/>
  <c r="AK113" i="3"/>
  <c r="AI113" i="3"/>
  <c r="AH113" i="3"/>
  <c r="AJ113" i="3"/>
  <c r="AG113" i="3"/>
  <c r="AD113" i="3"/>
  <c r="AE113" i="3"/>
  <c r="AF113" i="3"/>
  <c r="AC113" i="3"/>
  <c r="AA113" i="3"/>
  <c r="AB113" i="3"/>
  <c r="W113" i="3"/>
  <c r="Z113" i="3"/>
  <c r="U113" i="3"/>
  <c r="X113" i="3"/>
  <c r="Y113" i="3"/>
  <c r="T113" i="3"/>
  <c r="V113" i="3"/>
  <c r="R113" i="3"/>
  <c r="S113" i="3"/>
  <c r="Q113" i="3"/>
  <c r="P113" i="3"/>
  <c r="O113" i="3"/>
  <c r="M113" i="3"/>
  <c r="L113" i="3"/>
  <c r="N113" i="3"/>
  <c r="K113" i="3"/>
  <c r="AP113" i="3"/>
  <c r="J113" i="3"/>
  <c r="I113" i="3"/>
  <c r="AO113" i="3"/>
  <c r="W113" i="1"/>
  <c r="I115" i="1"/>
  <c r="G114" i="3"/>
  <c r="V114" i="1"/>
  <c r="J114" i="1"/>
  <c r="G114" i="2"/>
  <c r="Y114" i="1"/>
  <c r="Z114" i="1" s="1"/>
  <c r="S114" i="1"/>
  <c r="W114" i="1" s="1"/>
  <c r="O114" i="1"/>
  <c r="R114" i="1"/>
  <c r="N114" i="1"/>
  <c r="H113" i="2"/>
  <c r="AR113" i="2"/>
  <c r="AN113" i="2"/>
  <c r="AQ113" i="2"/>
  <c r="AL113" i="2"/>
  <c r="AM113" i="2"/>
  <c r="AK113" i="2"/>
  <c r="AJ113" i="2"/>
  <c r="AH113" i="2"/>
  <c r="AI113" i="2"/>
  <c r="AD113" i="2"/>
  <c r="AG113" i="2"/>
  <c r="AF113" i="2"/>
  <c r="AC113" i="2"/>
  <c r="AE113" i="2"/>
  <c r="AB113" i="2"/>
  <c r="X113" i="2"/>
  <c r="AA113" i="2"/>
  <c r="Y113" i="2"/>
  <c r="Z113" i="2"/>
  <c r="U113" i="2"/>
  <c r="W113" i="2"/>
  <c r="T113" i="2"/>
  <c r="V113" i="2"/>
  <c r="Q113" i="2"/>
  <c r="R113" i="2"/>
  <c r="S113" i="2"/>
  <c r="O113" i="2"/>
  <c r="P113" i="2"/>
  <c r="K113" i="2"/>
  <c r="N113" i="2"/>
  <c r="M113" i="2"/>
  <c r="L113" i="2"/>
  <c r="AP113" i="2"/>
  <c r="J113" i="2"/>
  <c r="I113" i="2"/>
  <c r="AO113" i="2"/>
  <c r="H114" i="2" l="1"/>
  <c r="AN114" i="2"/>
  <c r="AR114" i="2"/>
  <c r="AM114" i="2"/>
  <c r="AQ114" i="2"/>
  <c r="AI114" i="2"/>
  <c r="AK114" i="2"/>
  <c r="AL114" i="2"/>
  <c r="AJ114" i="2"/>
  <c r="AH114" i="2"/>
  <c r="AF114" i="2"/>
  <c r="AG114" i="2"/>
  <c r="AE114" i="2"/>
  <c r="AD114" i="2"/>
  <c r="Z114" i="2"/>
  <c r="AC114" i="2"/>
  <c r="AB114" i="2"/>
  <c r="X114" i="2"/>
  <c r="AA114" i="2"/>
  <c r="W114" i="2"/>
  <c r="Y114" i="2"/>
  <c r="V114" i="2"/>
  <c r="U114" i="2"/>
  <c r="R114" i="2"/>
  <c r="S114" i="2"/>
  <c r="T114" i="2"/>
  <c r="Q114" i="2"/>
  <c r="M114" i="2"/>
  <c r="P114" i="2"/>
  <c r="K114" i="2"/>
  <c r="O114" i="2"/>
  <c r="N114" i="2"/>
  <c r="L114" i="2"/>
  <c r="I114" i="2"/>
  <c r="AO114" i="2"/>
  <c r="AP114" i="2"/>
  <c r="J114" i="2"/>
  <c r="H114" i="3"/>
  <c r="AR114" i="3"/>
  <c r="AQ114" i="3"/>
  <c r="AN114" i="3"/>
  <c r="AM114" i="3"/>
  <c r="AL114" i="3"/>
  <c r="AI114" i="3"/>
  <c r="AK114" i="3"/>
  <c r="AJ114" i="3"/>
  <c r="AH114" i="3"/>
  <c r="AG114" i="3"/>
  <c r="AE114" i="3"/>
  <c r="AD114" i="3"/>
  <c r="AF114" i="3"/>
  <c r="AC114" i="3"/>
  <c r="AA114" i="3"/>
  <c r="AB114" i="3"/>
  <c r="Z114" i="3"/>
  <c r="Y114" i="3"/>
  <c r="X114" i="3"/>
  <c r="U114" i="3"/>
  <c r="W114" i="3"/>
  <c r="R114" i="3"/>
  <c r="T114" i="3"/>
  <c r="V114" i="3"/>
  <c r="Q114" i="3"/>
  <c r="S114" i="3"/>
  <c r="M114" i="3"/>
  <c r="P114" i="3"/>
  <c r="O114" i="3"/>
  <c r="K114" i="3"/>
  <c r="L114" i="3"/>
  <c r="N114" i="3"/>
  <c r="AP114" i="3"/>
  <c r="J114" i="3"/>
  <c r="I114" i="3"/>
  <c r="AO114" i="3"/>
  <c r="L114" i="1"/>
  <c r="P114" i="1" s="1"/>
  <c r="AA114" i="1"/>
  <c r="G115" i="3"/>
  <c r="I116" i="1"/>
  <c r="V115" i="1"/>
  <c r="J115" i="1"/>
  <c r="Y115" i="1"/>
  <c r="Z115" i="1" s="1"/>
  <c r="G115" i="2"/>
  <c r="S115" i="1"/>
  <c r="W115" i="1" s="1"/>
  <c r="O115" i="1"/>
  <c r="R115" i="1"/>
  <c r="N115" i="1"/>
  <c r="I117" i="1" l="1"/>
  <c r="G116" i="3"/>
  <c r="V116" i="1"/>
  <c r="J116" i="1"/>
  <c r="G116" i="2"/>
  <c r="Y116" i="1"/>
  <c r="Z116" i="1" s="1"/>
  <c r="R116" i="1"/>
  <c r="N116" i="1"/>
  <c r="S116" i="1"/>
  <c r="W116" i="1" s="1"/>
  <c r="O116" i="1"/>
  <c r="H115" i="2"/>
  <c r="AR115" i="2"/>
  <c r="AN115" i="2"/>
  <c r="AQ115" i="2"/>
  <c r="AM115" i="2"/>
  <c r="AL115" i="2"/>
  <c r="AJ115" i="2"/>
  <c r="AK115" i="2"/>
  <c r="AH115" i="2"/>
  <c r="AI115" i="2"/>
  <c r="AF115" i="2"/>
  <c r="AG115" i="2"/>
  <c r="AE115" i="2"/>
  <c r="AD115" i="2"/>
  <c r="AC115" i="2"/>
  <c r="AB115" i="2"/>
  <c r="X115" i="2"/>
  <c r="AA115" i="2"/>
  <c r="Z115" i="2"/>
  <c r="Y115" i="2"/>
  <c r="V115" i="2"/>
  <c r="W115" i="2"/>
  <c r="U115" i="2"/>
  <c r="S115" i="2"/>
  <c r="T115" i="2"/>
  <c r="R115" i="2"/>
  <c r="Q115" i="2"/>
  <c r="P115" i="2"/>
  <c r="N115" i="2"/>
  <c r="O115" i="2"/>
  <c r="M115" i="2"/>
  <c r="L115" i="2"/>
  <c r="AO115" i="2"/>
  <c r="K115" i="2"/>
  <c r="J115" i="2"/>
  <c r="I115" i="2"/>
  <c r="AP115" i="2"/>
  <c r="H115" i="3"/>
  <c r="AR115" i="3"/>
  <c r="AN115" i="3"/>
  <c r="AQ115" i="3"/>
  <c r="AM115" i="3"/>
  <c r="AL115" i="3"/>
  <c r="AI115" i="3"/>
  <c r="AK115" i="3"/>
  <c r="AJ115" i="3"/>
  <c r="AH115" i="3"/>
  <c r="AG115" i="3"/>
  <c r="AE115" i="3"/>
  <c r="AD115" i="3"/>
  <c r="AF115" i="3"/>
  <c r="AA115" i="3"/>
  <c r="AC115" i="3"/>
  <c r="AB115" i="3"/>
  <c r="X115" i="3"/>
  <c r="Y115" i="3"/>
  <c r="Z115" i="3"/>
  <c r="U115" i="3"/>
  <c r="W115" i="3"/>
  <c r="R115" i="3"/>
  <c r="T115" i="3"/>
  <c r="V115" i="3"/>
  <c r="Q115" i="3"/>
  <c r="S115" i="3"/>
  <c r="O115" i="3"/>
  <c r="P115" i="3"/>
  <c r="K115" i="3"/>
  <c r="M115" i="3"/>
  <c r="L115" i="3"/>
  <c r="N115" i="3"/>
  <c r="I115" i="3"/>
  <c r="AO115" i="3"/>
  <c r="AP115" i="3"/>
  <c r="J115" i="3"/>
  <c r="L115" i="1"/>
  <c r="P115" i="1" s="1"/>
  <c r="AA115" i="1"/>
  <c r="L116" i="1" l="1"/>
  <c r="P116" i="1" s="1"/>
  <c r="AA116" i="1"/>
  <c r="H116" i="3"/>
  <c r="AR116" i="3"/>
  <c r="AN116" i="3"/>
  <c r="AQ116" i="3"/>
  <c r="AM116" i="3"/>
  <c r="AL116" i="3"/>
  <c r="AI116" i="3"/>
  <c r="AK116" i="3"/>
  <c r="AJ116" i="3"/>
  <c r="AG116" i="3"/>
  <c r="AH116" i="3"/>
  <c r="AF116" i="3"/>
  <c r="AC116" i="3"/>
  <c r="AE116" i="3"/>
  <c r="AD116" i="3"/>
  <c r="AB116" i="3"/>
  <c r="Z116" i="3"/>
  <c r="AA116" i="3"/>
  <c r="X116" i="3"/>
  <c r="Y116" i="3"/>
  <c r="V116" i="3"/>
  <c r="W116" i="3"/>
  <c r="R116" i="3"/>
  <c r="T116" i="3"/>
  <c r="U116" i="3"/>
  <c r="O116" i="3"/>
  <c r="Q116" i="3"/>
  <c r="S116" i="3"/>
  <c r="P116" i="3"/>
  <c r="M116" i="3"/>
  <c r="N116" i="3"/>
  <c r="K116" i="3"/>
  <c r="L116" i="3"/>
  <c r="I116" i="3"/>
  <c r="J116" i="3"/>
  <c r="AO116" i="3"/>
  <c r="AP116" i="3"/>
  <c r="H116" i="2"/>
  <c r="AQ116" i="2"/>
  <c r="AR116" i="2"/>
  <c r="AN116" i="2"/>
  <c r="AM116" i="2"/>
  <c r="AJ116" i="2"/>
  <c r="AL116" i="2"/>
  <c r="AK116" i="2"/>
  <c r="AF116" i="2"/>
  <c r="AH116" i="2"/>
  <c r="AI116" i="2"/>
  <c r="AG116" i="2"/>
  <c r="AE116" i="2"/>
  <c r="AD116" i="2"/>
  <c r="AB116" i="2"/>
  <c r="AC116" i="2"/>
  <c r="AA116" i="2"/>
  <c r="Z116" i="2"/>
  <c r="Y116" i="2"/>
  <c r="X116" i="2"/>
  <c r="V116" i="2"/>
  <c r="W116" i="2"/>
  <c r="S116" i="2"/>
  <c r="U116" i="2"/>
  <c r="T116" i="2"/>
  <c r="R116" i="2"/>
  <c r="N116" i="2"/>
  <c r="Q116" i="2"/>
  <c r="P116" i="2"/>
  <c r="O116" i="2"/>
  <c r="M116" i="2"/>
  <c r="L116" i="2"/>
  <c r="I116" i="2"/>
  <c r="AO116" i="2"/>
  <c r="K116" i="2"/>
  <c r="J116" i="2"/>
  <c r="AP116" i="2"/>
  <c r="I118" i="1"/>
  <c r="G117" i="3"/>
  <c r="V117" i="1"/>
  <c r="J117" i="1"/>
  <c r="G117" i="2"/>
  <c r="Y117" i="1"/>
  <c r="Z117" i="1" s="1"/>
  <c r="S117" i="1"/>
  <c r="N117" i="1"/>
  <c r="O117" i="1"/>
  <c r="R117" i="1"/>
  <c r="H117" i="3" l="1"/>
  <c r="AN117" i="3"/>
  <c r="AR117" i="3"/>
  <c r="AQ117" i="3"/>
  <c r="AM117" i="3"/>
  <c r="AJ117" i="3"/>
  <c r="AL117" i="3"/>
  <c r="AK117" i="3"/>
  <c r="AG117" i="3"/>
  <c r="AI117" i="3"/>
  <c r="AH117" i="3"/>
  <c r="AF117" i="3"/>
  <c r="AA117" i="3"/>
  <c r="AC117" i="3"/>
  <c r="AE117" i="3"/>
  <c r="AD117" i="3"/>
  <c r="AB117" i="3"/>
  <c r="Z117" i="3"/>
  <c r="X117" i="3"/>
  <c r="Y117" i="3"/>
  <c r="V117" i="3"/>
  <c r="W117" i="3"/>
  <c r="T117" i="3"/>
  <c r="U117" i="3"/>
  <c r="S117" i="3"/>
  <c r="R117" i="3"/>
  <c r="Q117" i="3"/>
  <c r="P117" i="3"/>
  <c r="O117" i="3"/>
  <c r="N117" i="3"/>
  <c r="I117" i="3"/>
  <c r="K117" i="3"/>
  <c r="M117" i="3"/>
  <c r="L117" i="3"/>
  <c r="AP117" i="3"/>
  <c r="J117" i="3"/>
  <c r="AO117" i="3"/>
  <c r="G118" i="3"/>
  <c r="I119" i="1"/>
  <c r="J118" i="1"/>
  <c r="V118" i="1"/>
  <c r="G118" i="2"/>
  <c r="Y118" i="1"/>
  <c r="Z118" i="1" s="1"/>
  <c r="O118" i="1"/>
  <c r="R118" i="1"/>
  <c r="N118" i="1"/>
  <c r="S118" i="1"/>
  <c r="W118" i="1" s="1"/>
  <c r="W117" i="1"/>
  <c r="H117" i="2"/>
  <c r="AR117" i="2"/>
  <c r="AQ117" i="2"/>
  <c r="AN117" i="2"/>
  <c r="AM117" i="2"/>
  <c r="AJ117" i="2"/>
  <c r="AL117" i="2"/>
  <c r="AK117" i="2"/>
  <c r="AI117" i="2"/>
  <c r="AF117" i="2"/>
  <c r="AG117" i="2"/>
  <c r="AE117" i="2"/>
  <c r="AH117" i="2"/>
  <c r="AB117" i="2"/>
  <c r="AD117" i="2"/>
  <c r="AA117" i="2"/>
  <c r="AC117" i="2"/>
  <c r="Z117" i="2"/>
  <c r="Y117" i="2"/>
  <c r="X117" i="2"/>
  <c r="V117" i="2"/>
  <c r="W117" i="2"/>
  <c r="S117" i="2"/>
  <c r="U117" i="2"/>
  <c r="T117" i="2"/>
  <c r="R117" i="2"/>
  <c r="P117" i="2"/>
  <c r="N117" i="2"/>
  <c r="Q117" i="2"/>
  <c r="O117" i="2"/>
  <c r="I117" i="2"/>
  <c r="M117" i="2"/>
  <c r="L117" i="2"/>
  <c r="J117" i="2"/>
  <c r="AO117" i="2"/>
  <c r="K117" i="2"/>
  <c r="AP117" i="2"/>
  <c r="L117" i="1"/>
  <c r="P117" i="1" s="1"/>
  <c r="AA117" i="1"/>
  <c r="G119" i="3" l="1"/>
  <c r="I120" i="1"/>
  <c r="V119" i="1"/>
  <c r="J119" i="1"/>
  <c r="G119" i="2"/>
  <c r="Y119" i="1"/>
  <c r="Z119" i="1" s="1"/>
  <c r="S119" i="1"/>
  <c r="W119" i="1" s="1"/>
  <c r="N119" i="1"/>
  <c r="O119" i="1"/>
  <c r="R119" i="1"/>
  <c r="H118" i="2"/>
  <c r="AQ118" i="2"/>
  <c r="AR118" i="2"/>
  <c r="AM118" i="2"/>
  <c r="AN118" i="2"/>
  <c r="AL118" i="2"/>
  <c r="AJ118" i="2"/>
  <c r="AK118" i="2"/>
  <c r="AI118" i="2"/>
  <c r="AH118" i="2"/>
  <c r="AF118" i="2"/>
  <c r="AG118" i="2"/>
  <c r="AB118" i="2"/>
  <c r="AE118" i="2"/>
  <c r="AD118" i="2"/>
  <c r="AA118" i="2"/>
  <c r="AC118" i="2"/>
  <c r="Z118" i="2"/>
  <c r="Y118" i="2"/>
  <c r="X118" i="2"/>
  <c r="W118" i="2"/>
  <c r="S118" i="2"/>
  <c r="U118" i="2"/>
  <c r="V118" i="2"/>
  <c r="P118" i="2"/>
  <c r="T118" i="2"/>
  <c r="R118" i="2"/>
  <c r="L118" i="2"/>
  <c r="N118" i="2"/>
  <c r="Q118" i="2"/>
  <c r="O118" i="2"/>
  <c r="J118" i="2"/>
  <c r="K118" i="2"/>
  <c r="M118" i="2"/>
  <c r="I118" i="2"/>
  <c r="AO118" i="2"/>
  <c r="AP118" i="2"/>
  <c r="H118" i="3"/>
  <c r="AR118" i="3"/>
  <c r="AQ118" i="3"/>
  <c r="AN118" i="3"/>
  <c r="AM118" i="3"/>
  <c r="AL118" i="3"/>
  <c r="AK118" i="3"/>
  <c r="AJ118" i="3"/>
  <c r="AG118" i="3"/>
  <c r="AI118" i="3"/>
  <c r="AF118" i="3"/>
  <c r="AH118" i="3"/>
  <c r="AC118" i="3"/>
  <c r="AE118" i="3"/>
  <c r="AD118" i="3"/>
  <c r="AB118" i="3"/>
  <c r="AA118" i="3"/>
  <c r="Z118" i="3"/>
  <c r="Y118" i="3"/>
  <c r="V118" i="3"/>
  <c r="X118" i="3"/>
  <c r="W118" i="3"/>
  <c r="T118" i="3"/>
  <c r="U118" i="3"/>
  <c r="S118" i="3"/>
  <c r="R118" i="3"/>
  <c r="O118" i="3"/>
  <c r="N118" i="3"/>
  <c r="P118" i="3"/>
  <c r="Q118" i="3"/>
  <c r="L118" i="3"/>
  <c r="M118" i="3"/>
  <c r="I118" i="3"/>
  <c r="AP118" i="3"/>
  <c r="J118" i="3"/>
  <c r="K118" i="3"/>
  <c r="AO118" i="3"/>
  <c r="L118" i="1"/>
  <c r="P118" i="1" s="1"/>
  <c r="AA118" i="1"/>
  <c r="H119" i="2" l="1"/>
  <c r="AQ119" i="2"/>
  <c r="AR119" i="2"/>
  <c r="AM119" i="2"/>
  <c r="AL119" i="2"/>
  <c r="AK119" i="2"/>
  <c r="AN119" i="2"/>
  <c r="AH119" i="2"/>
  <c r="AI119" i="2"/>
  <c r="AJ119" i="2"/>
  <c r="AG119" i="2"/>
  <c r="AF119" i="2"/>
  <c r="AB119" i="2"/>
  <c r="AE119" i="2"/>
  <c r="AD119" i="2"/>
  <c r="AC119" i="2"/>
  <c r="AA119" i="2"/>
  <c r="Z119" i="2"/>
  <c r="Y119" i="2"/>
  <c r="W119" i="2"/>
  <c r="X119" i="2"/>
  <c r="U119" i="2"/>
  <c r="V119" i="2"/>
  <c r="T119" i="2"/>
  <c r="S119" i="2"/>
  <c r="R119" i="2"/>
  <c r="P119" i="2"/>
  <c r="Q119" i="2"/>
  <c r="O119" i="2"/>
  <c r="M119" i="2"/>
  <c r="L119" i="2"/>
  <c r="N119" i="2"/>
  <c r="J119" i="2"/>
  <c r="I119" i="2"/>
  <c r="AO119" i="2"/>
  <c r="K119" i="2"/>
  <c r="AP119" i="2"/>
  <c r="L119" i="1"/>
  <c r="P119" i="1" s="1"/>
  <c r="AA119" i="1"/>
  <c r="G120" i="3"/>
  <c r="I121" i="1"/>
  <c r="V120" i="1"/>
  <c r="J120" i="1"/>
  <c r="G120" i="2"/>
  <c r="Y120" i="1"/>
  <c r="Z120" i="1" s="1"/>
  <c r="S120" i="1"/>
  <c r="W120" i="1" s="1"/>
  <c r="N120" i="1"/>
  <c r="O120" i="1"/>
  <c r="R120" i="1"/>
  <c r="H119" i="3"/>
  <c r="AR119" i="3"/>
  <c r="AQ119" i="3"/>
  <c r="AN119" i="3"/>
  <c r="AM119" i="3"/>
  <c r="AL119" i="3"/>
  <c r="AJ119" i="3"/>
  <c r="AK119" i="3"/>
  <c r="AG119" i="3"/>
  <c r="AI119" i="3"/>
  <c r="AF119" i="3"/>
  <c r="AH119" i="3"/>
  <c r="AB119" i="3"/>
  <c r="AC119" i="3"/>
  <c r="AE119" i="3"/>
  <c r="AD119" i="3"/>
  <c r="Z119" i="3"/>
  <c r="Y119" i="3"/>
  <c r="AA119" i="3"/>
  <c r="T119" i="3"/>
  <c r="V119" i="3"/>
  <c r="X119" i="3"/>
  <c r="W119" i="3"/>
  <c r="U119" i="3"/>
  <c r="S119" i="3"/>
  <c r="R119" i="3"/>
  <c r="Q119" i="3"/>
  <c r="P119" i="3"/>
  <c r="O119" i="3"/>
  <c r="N119" i="3"/>
  <c r="L119" i="3"/>
  <c r="I119" i="3"/>
  <c r="K119" i="3"/>
  <c r="M119" i="3"/>
  <c r="J119" i="3"/>
  <c r="AP119" i="3"/>
  <c r="AO119" i="3"/>
  <c r="H120" i="2" l="1"/>
  <c r="AR120" i="2"/>
  <c r="AQ120" i="2"/>
  <c r="AN120" i="2"/>
  <c r="AL120" i="2"/>
  <c r="AM120" i="2"/>
  <c r="AK120" i="2"/>
  <c r="AH120" i="2"/>
  <c r="AI120" i="2"/>
  <c r="AJ120" i="2"/>
  <c r="AG120" i="2"/>
  <c r="AF120" i="2"/>
  <c r="AE120" i="2"/>
  <c r="AD120" i="2"/>
  <c r="AC120" i="2"/>
  <c r="AA120" i="2"/>
  <c r="AB120" i="2"/>
  <c r="Z120" i="2"/>
  <c r="Y120" i="2"/>
  <c r="W120" i="2"/>
  <c r="X120" i="2"/>
  <c r="U120" i="2"/>
  <c r="T120" i="2"/>
  <c r="V120" i="2"/>
  <c r="S120" i="2"/>
  <c r="P120" i="2"/>
  <c r="R120" i="2"/>
  <c r="Q120" i="2"/>
  <c r="O120" i="2"/>
  <c r="M120" i="2"/>
  <c r="L120" i="2"/>
  <c r="J120" i="2"/>
  <c r="N120" i="2"/>
  <c r="I120" i="2"/>
  <c r="AO120" i="2"/>
  <c r="K120" i="2"/>
  <c r="AP120" i="2"/>
  <c r="G121" i="3"/>
  <c r="I122" i="1"/>
  <c r="J121" i="1"/>
  <c r="V121" i="1"/>
  <c r="Y121" i="1"/>
  <c r="Z121" i="1" s="1"/>
  <c r="G121" i="2"/>
  <c r="R121" i="1"/>
  <c r="S121" i="1"/>
  <c r="W121" i="1" s="1"/>
  <c r="N121" i="1"/>
  <c r="O121" i="1"/>
  <c r="H120" i="3"/>
  <c r="AR120" i="3"/>
  <c r="AQ120" i="3"/>
  <c r="AN120" i="3"/>
  <c r="AM120" i="3"/>
  <c r="AL120" i="3"/>
  <c r="AK120" i="3"/>
  <c r="AJ120" i="3"/>
  <c r="AI120" i="3"/>
  <c r="AH120" i="3"/>
  <c r="AG120" i="3"/>
  <c r="AF120" i="3"/>
  <c r="AD120" i="3"/>
  <c r="AB120" i="3"/>
  <c r="AE120" i="3"/>
  <c r="AC120" i="3"/>
  <c r="Z120" i="3"/>
  <c r="Y120" i="3"/>
  <c r="AA120" i="3"/>
  <c r="W120" i="3"/>
  <c r="X120" i="3"/>
  <c r="V120" i="3"/>
  <c r="U120" i="3"/>
  <c r="S120" i="3"/>
  <c r="T120" i="3"/>
  <c r="P120" i="3"/>
  <c r="R120" i="3"/>
  <c r="Q120" i="3"/>
  <c r="L120" i="3"/>
  <c r="O120" i="3"/>
  <c r="N120" i="3"/>
  <c r="M120" i="3"/>
  <c r="J120" i="3"/>
  <c r="K120" i="3"/>
  <c r="I120" i="3"/>
  <c r="AP120" i="3"/>
  <c r="AO120" i="3"/>
  <c r="L120" i="1"/>
  <c r="P120" i="1" s="1"/>
  <c r="AA120" i="1"/>
  <c r="G122" i="3" l="1"/>
  <c r="I123" i="1"/>
  <c r="V122" i="1"/>
  <c r="J122" i="1"/>
  <c r="G122" i="2"/>
  <c r="Y122" i="1"/>
  <c r="Z122" i="1" s="1"/>
  <c r="S122" i="1"/>
  <c r="W122" i="1" s="1"/>
  <c r="N122" i="1"/>
  <c r="R122" i="1"/>
  <c r="O122" i="1"/>
  <c r="H121" i="3"/>
  <c r="AR121" i="3"/>
  <c r="AQ121" i="3"/>
  <c r="AN121" i="3"/>
  <c r="AL121" i="3"/>
  <c r="AK121" i="3"/>
  <c r="AM121" i="3"/>
  <c r="AJ121" i="3"/>
  <c r="AH121" i="3"/>
  <c r="AI121" i="3"/>
  <c r="AG121" i="3"/>
  <c r="AF121" i="3"/>
  <c r="AE121" i="3"/>
  <c r="AD121" i="3"/>
  <c r="AB121" i="3"/>
  <c r="AC121" i="3"/>
  <c r="W121" i="3"/>
  <c r="Z121" i="3"/>
  <c r="Y121" i="3"/>
  <c r="AA121" i="3"/>
  <c r="X121" i="3"/>
  <c r="V121" i="3"/>
  <c r="U121" i="3"/>
  <c r="T121" i="3"/>
  <c r="P121" i="3"/>
  <c r="R121" i="3"/>
  <c r="S121" i="3"/>
  <c r="Q121" i="3"/>
  <c r="O121" i="3"/>
  <c r="N121" i="3"/>
  <c r="M121" i="3"/>
  <c r="L121" i="3"/>
  <c r="J121" i="3"/>
  <c r="K121" i="3"/>
  <c r="AO121" i="3"/>
  <c r="I121" i="3"/>
  <c r="AP121" i="3"/>
  <c r="L121" i="1"/>
  <c r="P121" i="1" s="1"/>
  <c r="AA121" i="1"/>
  <c r="H121" i="2"/>
  <c r="AR121" i="2"/>
  <c r="AQ121" i="2"/>
  <c r="AN121" i="2"/>
  <c r="AM121" i="2"/>
  <c r="AL121" i="2"/>
  <c r="AK121" i="2"/>
  <c r="AI121" i="2"/>
  <c r="AH121" i="2"/>
  <c r="AJ121" i="2"/>
  <c r="AG121" i="2"/>
  <c r="AD121" i="2"/>
  <c r="AF121" i="2"/>
  <c r="AC121" i="2"/>
  <c r="AE121" i="2"/>
  <c r="AA121" i="2"/>
  <c r="AB121" i="2"/>
  <c r="Z121" i="2"/>
  <c r="U121" i="2"/>
  <c r="Y121" i="2"/>
  <c r="W121" i="2"/>
  <c r="X121" i="2"/>
  <c r="T121" i="2"/>
  <c r="V121" i="2"/>
  <c r="R121" i="2"/>
  <c r="S121" i="2"/>
  <c r="Q121" i="2"/>
  <c r="O121" i="2"/>
  <c r="P121" i="2"/>
  <c r="M121" i="2"/>
  <c r="L121" i="2"/>
  <c r="N121" i="2"/>
  <c r="K121" i="2"/>
  <c r="J121" i="2"/>
  <c r="I121" i="2"/>
  <c r="AP121" i="2"/>
  <c r="AO121" i="2"/>
  <c r="H122" i="2" l="1"/>
  <c r="AR122" i="2"/>
  <c r="AQ122" i="2"/>
  <c r="AN122" i="2"/>
  <c r="AM122" i="2"/>
  <c r="AL122" i="2"/>
  <c r="AI122" i="2"/>
  <c r="AK122" i="2"/>
  <c r="AJ122" i="2"/>
  <c r="AG122" i="2"/>
  <c r="AH122" i="2"/>
  <c r="AF122" i="2"/>
  <c r="AC122" i="2"/>
  <c r="AD122" i="2"/>
  <c r="AE122" i="2"/>
  <c r="AB122" i="2"/>
  <c r="Z122" i="2"/>
  <c r="AA122" i="2"/>
  <c r="Y122" i="2"/>
  <c r="X122" i="2"/>
  <c r="U122" i="2"/>
  <c r="W122" i="2"/>
  <c r="V122" i="2"/>
  <c r="R122" i="2"/>
  <c r="T122" i="2"/>
  <c r="Q122" i="2"/>
  <c r="S122" i="2"/>
  <c r="P122" i="2"/>
  <c r="M122" i="2"/>
  <c r="O122" i="2"/>
  <c r="K122" i="2"/>
  <c r="L122" i="2"/>
  <c r="N122" i="2"/>
  <c r="AP122" i="2"/>
  <c r="J122" i="2"/>
  <c r="I122" i="2"/>
  <c r="AO122" i="2"/>
  <c r="L122" i="1"/>
  <c r="P122" i="1" s="1"/>
  <c r="AA122" i="1"/>
  <c r="G123" i="3"/>
  <c r="I124" i="1"/>
  <c r="V123" i="1"/>
  <c r="J123" i="1"/>
  <c r="G123" i="2"/>
  <c r="Y123" i="1"/>
  <c r="Z123" i="1" s="1"/>
  <c r="O123" i="1"/>
  <c r="R123" i="1"/>
  <c r="N123" i="1"/>
  <c r="S123" i="1"/>
  <c r="H122" i="3"/>
  <c r="AR122" i="3"/>
  <c r="AQ122" i="3"/>
  <c r="AN122" i="3"/>
  <c r="AL122" i="3"/>
  <c r="AK122" i="3"/>
  <c r="AM122" i="3"/>
  <c r="AI122" i="3"/>
  <c r="AJ122" i="3"/>
  <c r="AH122" i="3"/>
  <c r="AG122" i="3"/>
  <c r="AF122" i="3"/>
  <c r="AE122" i="3"/>
  <c r="AD122" i="3"/>
  <c r="AC122" i="3"/>
  <c r="AB122" i="3"/>
  <c r="AA122" i="3"/>
  <c r="Z122" i="3"/>
  <c r="Y122" i="3"/>
  <c r="W122" i="3"/>
  <c r="X122" i="3"/>
  <c r="V122" i="3"/>
  <c r="U122" i="3"/>
  <c r="T122" i="3"/>
  <c r="P122" i="3"/>
  <c r="R122" i="3"/>
  <c r="S122" i="3"/>
  <c r="Q122" i="3"/>
  <c r="L122" i="3"/>
  <c r="O122" i="3"/>
  <c r="N122" i="3"/>
  <c r="M122" i="3"/>
  <c r="J122" i="3"/>
  <c r="K122" i="3"/>
  <c r="I122" i="3"/>
  <c r="AP122" i="3"/>
  <c r="AO122" i="3"/>
  <c r="H123" i="2" l="1"/>
  <c r="AR123" i="2"/>
  <c r="AN123" i="2"/>
  <c r="AQ123" i="2"/>
  <c r="AL123" i="2"/>
  <c r="AM123" i="2"/>
  <c r="AK123" i="2"/>
  <c r="AJ123" i="2"/>
  <c r="AI123" i="2"/>
  <c r="AH123" i="2"/>
  <c r="AD123" i="2"/>
  <c r="AG123" i="2"/>
  <c r="AF123" i="2"/>
  <c r="AC123" i="2"/>
  <c r="AE123" i="2"/>
  <c r="AB123" i="2"/>
  <c r="X123" i="2"/>
  <c r="Z123" i="2"/>
  <c r="AA123" i="2"/>
  <c r="Y123" i="2"/>
  <c r="V123" i="2"/>
  <c r="W123" i="2"/>
  <c r="T123" i="2"/>
  <c r="U123" i="2"/>
  <c r="R123" i="2"/>
  <c r="Q123" i="2"/>
  <c r="S123" i="2"/>
  <c r="P123" i="2"/>
  <c r="O123" i="2"/>
  <c r="N123" i="2"/>
  <c r="K123" i="2"/>
  <c r="M123" i="2"/>
  <c r="AP123" i="2"/>
  <c r="J123" i="2"/>
  <c r="I123" i="2"/>
  <c r="L123" i="2"/>
  <c r="AO123" i="2"/>
  <c r="G124" i="3"/>
  <c r="I125" i="1"/>
  <c r="J124" i="1"/>
  <c r="V124" i="1"/>
  <c r="G124" i="2"/>
  <c r="Y124" i="1"/>
  <c r="Z124" i="1" s="1"/>
  <c r="S124" i="1"/>
  <c r="W124" i="1" s="1"/>
  <c r="O124" i="1"/>
  <c r="R124" i="1"/>
  <c r="N124" i="1"/>
  <c r="L123" i="1"/>
  <c r="P123" i="1" s="1"/>
  <c r="AA123" i="1"/>
  <c r="W123" i="1"/>
  <c r="H123" i="3"/>
  <c r="AR123" i="3"/>
  <c r="AQ123" i="3"/>
  <c r="AN123" i="3"/>
  <c r="AM123" i="3"/>
  <c r="AL123" i="3"/>
  <c r="AK123" i="3"/>
  <c r="AI123" i="3"/>
  <c r="AJ123" i="3"/>
  <c r="AH123" i="3"/>
  <c r="AE123" i="3"/>
  <c r="AD123" i="3"/>
  <c r="AG123" i="3"/>
  <c r="AF123" i="3"/>
  <c r="AC123" i="3"/>
  <c r="AA123" i="3"/>
  <c r="AB123" i="3"/>
  <c r="W123" i="3"/>
  <c r="Z123" i="3"/>
  <c r="Y123" i="3"/>
  <c r="U123" i="3"/>
  <c r="X123" i="3"/>
  <c r="V123" i="3"/>
  <c r="T123" i="3"/>
  <c r="R123" i="3"/>
  <c r="S123" i="3"/>
  <c r="Q123" i="3"/>
  <c r="P123" i="3"/>
  <c r="O123" i="3"/>
  <c r="M123" i="3"/>
  <c r="L123" i="3"/>
  <c r="N123" i="3"/>
  <c r="K123" i="3"/>
  <c r="J123" i="3"/>
  <c r="I123" i="3"/>
  <c r="AP123" i="3"/>
  <c r="AO123" i="3"/>
  <c r="H124" i="3" l="1"/>
  <c r="AR124" i="3"/>
  <c r="AN124" i="3"/>
  <c r="AM124" i="3"/>
  <c r="AQ124" i="3"/>
  <c r="AL124" i="3"/>
  <c r="AI124" i="3"/>
  <c r="AK124" i="3"/>
  <c r="AJ124" i="3"/>
  <c r="AE124" i="3"/>
  <c r="AH124" i="3"/>
  <c r="AD124" i="3"/>
  <c r="AG124" i="3"/>
  <c r="AF124" i="3"/>
  <c r="AC124" i="3"/>
  <c r="AA124" i="3"/>
  <c r="AB124" i="3"/>
  <c r="Z124" i="3"/>
  <c r="Y124" i="3"/>
  <c r="X124" i="3"/>
  <c r="W124" i="3"/>
  <c r="U124" i="3"/>
  <c r="T124" i="3"/>
  <c r="R124" i="3"/>
  <c r="V124" i="3"/>
  <c r="Q124" i="3"/>
  <c r="S124" i="3"/>
  <c r="M124" i="3"/>
  <c r="P124" i="3"/>
  <c r="O124" i="3"/>
  <c r="K124" i="3"/>
  <c r="L124" i="3"/>
  <c r="N124" i="3"/>
  <c r="J124" i="3"/>
  <c r="I124" i="3"/>
  <c r="AP124" i="3"/>
  <c r="AO124" i="3"/>
  <c r="H124" i="2"/>
  <c r="AN124" i="2"/>
  <c r="AQ124" i="2"/>
  <c r="AR124" i="2"/>
  <c r="AM124" i="2"/>
  <c r="AL124" i="2"/>
  <c r="AK124" i="2"/>
  <c r="AI124" i="2"/>
  <c r="AJ124" i="2"/>
  <c r="AH124" i="2"/>
  <c r="AG124" i="2"/>
  <c r="AF124" i="2"/>
  <c r="AE124" i="2"/>
  <c r="AD124" i="2"/>
  <c r="AC124" i="2"/>
  <c r="AB124" i="2"/>
  <c r="Z124" i="2"/>
  <c r="X124" i="2"/>
  <c r="AA124" i="2"/>
  <c r="Y124" i="2"/>
  <c r="W124" i="2"/>
  <c r="V124" i="2"/>
  <c r="R124" i="2"/>
  <c r="U124" i="2"/>
  <c r="Q124" i="2"/>
  <c r="T124" i="2"/>
  <c r="S124" i="2"/>
  <c r="P124" i="2"/>
  <c r="M124" i="2"/>
  <c r="N124" i="2"/>
  <c r="K124" i="2"/>
  <c r="L124" i="2"/>
  <c r="O124" i="2"/>
  <c r="I124" i="2"/>
  <c r="AO124" i="2"/>
  <c r="AP124" i="2"/>
  <c r="J124" i="2"/>
  <c r="L124" i="1"/>
  <c r="P124" i="1" s="1"/>
  <c r="AA124" i="1"/>
  <c r="G125" i="3"/>
  <c r="I126" i="1"/>
  <c r="V125" i="1"/>
  <c r="J125" i="1"/>
  <c r="Y125" i="1"/>
  <c r="Z125" i="1" s="1"/>
  <c r="G125" i="2"/>
  <c r="S125" i="1"/>
  <c r="N125" i="1"/>
  <c r="O125" i="1"/>
  <c r="R125" i="1"/>
  <c r="I127" i="1" l="1"/>
  <c r="G126" i="3"/>
  <c r="J126" i="1"/>
  <c r="V126" i="1"/>
  <c r="G126" i="2"/>
  <c r="Y126" i="1"/>
  <c r="Z126" i="1" s="1"/>
  <c r="R126" i="1"/>
  <c r="S126" i="1"/>
  <c r="W126" i="1" s="1"/>
  <c r="N126" i="1"/>
  <c r="O126" i="1"/>
  <c r="H125" i="3"/>
  <c r="AR125" i="3"/>
  <c r="AN125" i="3"/>
  <c r="AQ125" i="3"/>
  <c r="AM125" i="3"/>
  <c r="AL125" i="3"/>
  <c r="AI125" i="3"/>
  <c r="AK125" i="3"/>
  <c r="AJ125" i="3"/>
  <c r="AH125" i="3"/>
  <c r="AG125" i="3"/>
  <c r="AF125" i="3"/>
  <c r="AE125" i="3"/>
  <c r="AD125" i="3"/>
  <c r="AA125" i="3"/>
  <c r="AC125" i="3"/>
  <c r="AB125" i="3"/>
  <c r="X125" i="3"/>
  <c r="Z125" i="3"/>
  <c r="Y125" i="3"/>
  <c r="W125" i="3"/>
  <c r="U125" i="3"/>
  <c r="T125" i="3"/>
  <c r="R125" i="3"/>
  <c r="V125" i="3"/>
  <c r="S125" i="3"/>
  <c r="Q125" i="3"/>
  <c r="O125" i="3"/>
  <c r="P125" i="3"/>
  <c r="K125" i="3"/>
  <c r="M125" i="3"/>
  <c r="L125" i="3"/>
  <c r="N125" i="3"/>
  <c r="J125" i="3"/>
  <c r="I125" i="3"/>
  <c r="AP125" i="3"/>
  <c r="AO125" i="3"/>
  <c r="W125" i="1"/>
  <c r="H125" i="2"/>
  <c r="AR125" i="2"/>
  <c r="AN125" i="2"/>
  <c r="AQ125" i="2"/>
  <c r="AM125" i="2"/>
  <c r="AL125" i="2"/>
  <c r="AK125" i="2"/>
  <c r="AJ125" i="2"/>
  <c r="AH125" i="2"/>
  <c r="AI125" i="2"/>
  <c r="AF125" i="2"/>
  <c r="AE125" i="2"/>
  <c r="AG125" i="2"/>
  <c r="AD125" i="2"/>
  <c r="AC125" i="2"/>
  <c r="AB125" i="2"/>
  <c r="X125" i="2"/>
  <c r="Z125" i="2"/>
  <c r="AA125" i="2"/>
  <c r="V125" i="2"/>
  <c r="Y125" i="2"/>
  <c r="W125" i="2"/>
  <c r="U125" i="2"/>
  <c r="S125" i="2"/>
  <c r="R125" i="2"/>
  <c r="T125" i="2"/>
  <c r="Q125" i="2"/>
  <c r="P125" i="2"/>
  <c r="N125" i="2"/>
  <c r="M125" i="2"/>
  <c r="L125" i="2"/>
  <c r="O125" i="2"/>
  <c r="AO125" i="2"/>
  <c r="J125" i="2"/>
  <c r="I125" i="2"/>
  <c r="K125" i="2"/>
  <c r="AP125" i="2"/>
  <c r="L125" i="1"/>
  <c r="P125" i="1" s="1"/>
  <c r="AA125" i="1"/>
  <c r="L126" i="1" l="1"/>
  <c r="P126" i="1" s="1"/>
  <c r="AA126" i="1"/>
  <c r="H126" i="2"/>
  <c r="AQ126" i="2"/>
  <c r="AR126" i="2"/>
  <c r="AN126" i="2"/>
  <c r="AM126" i="2"/>
  <c r="AL126" i="2"/>
  <c r="AJ126" i="2"/>
  <c r="AK126" i="2"/>
  <c r="AI126" i="2"/>
  <c r="AF126" i="2"/>
  <c r="AH126" i="2"/>
  <c r="AE126" i="2"/>
  <c r="AG126" i="2"/>
  <c r="AD126" i="2"/>
  <c r="AB126" i="2"/>
  <c r="AC126" i="2"/>
  <c r="AA126" i="2"/>
  <c r="Z126" i="2"/>
  <c r="Y126" i="2"/>
  <c r="V126" i="2"/>
  <c r="X126" i="2"/>
  <c r="W126" i="2"/>
  <c r="U126" i="2"/>
  <c r="S126" i="2"/>
  <c r="R126" i="2"/>
  <c r="T126" i="2"/>
  <c r="N126" i="2"/>
  <c r="Q126" i="2"/>
  <c r="P126" i="2"/>
  <c r="M126" i="2"/>
  <c r="L126" i="2"/>
  <c r="O126" i="2"/>
  <c r="AO126" i="2"/>
  <c r="J126" i="2"/>
  <c r="I126" i="2"/>
  <c r="K126" i="2"/>
  <c r="AP126" i="2"/>
  <c r="H126" i="3"/>
  <c r="AR126" i="3"/>
  <c r="AQ126" i="3"/>
  <c r="AN126" i="3"/>
  <c r="AM126" i="3"/>
  <c r="AL126" i="3"/>
  <c r="AK126" i="3"/>
  <c r="AI126" i="3"/>
  <c r="AJ126" i="3"/>
  <c r="AG126" i="3"/>
  <c r="AH126" i="3"/>
  <c r="AF126" i="3"/>
  <c r="AE126" i="3"/>
  <c r="AD126" i="3"/>
  <c r="AC126" i="3"/>
  <c r="AA126" i="3"/>
  <c r="Z126" i="3"/>
  <c r="AB126" i="3"/>
  <c r="X126" i="3"/>
  <c r="Y126" i="3"/>
  <c r="W126" i="3"/>
  <c r="V126" i="3"/>
  <c r="T126" i="3"/>
  <c r="R126" i="3"/>
  <c r="U126" i="3"/>
  <c r="O126" i="3"/>
  <c r="S126" i="3"/>
  <c r="Q126" i="3"/>
  <c r="M126" i="3"/>
  <c r="P126" i="3"/>
  <c r="K126" i="3"/>
  <c r="L126" i="3"/>
  <c r="N126" i="3"/>
  <c r="I126" i="3"/>
  <c r="AO126" i="3"/>
  <c r="J126" i="3"/>
  <c r="AP126" i="3"/>
  <c r="I128" i="1"/>
  <c r="G127" i="3"/>
  <c r="J127" i="1"/>
  <c r="V127" i="1"/>
  <c r="G127" i="2"/>
  <c r="Y127" i="1"/>
  <c r="Z127" i="1" s="1"/>
  <c r="S127" i="1"/>
  <c r="W127" i="1" s="1"/>
  <c r="N127" i="1"/>
  <c r="O127" i="1"/>
  <c r="R127" i="1"/>
  <c r="H127" i="3" l="1"/>
  <c r="AR127" i="3"/>
  <c r="AQ127" i="3"/>
  <c r="AN127" i="3"/>
  <c r="AL127" i="3"/>
  <c r="AJ127" i="3"/>
  <c r="AM127" i="3"/>
  <c r="AK127" i="3"/>
  <c r="AG127" i="3"/>
  <c r="AI127" i="3"/>
  <c r="AH127" i="3"/>
  <c r="AF127" i="3"/>
  <c r="AE127" i="3"/>
  <c r="AA127" i="3"/>
  <c r="AD127" i="3"/>
  <c r="AC127" i="3"/>
  <c r="Z127" i="3"/>
  <c r="AB127" i="3"/>
  <c r="X127" i="3"/>
  <c r="Y127" i="3"/>
  <c r="V127" i="3"/>
  <c r="W127" i="3"/>
  <c r="T127" i="3"/>
  <c r="U127" i="3"/>
  <c r="S127" i="3"/>
  <c r="Q127" i="3"/>
  <c r="R127" i="3"/>
  <c r="O127" i="3"/>
  <c r="P127" i="3"/>
  <c r="N127" i="3"/>
  <c r="I127" i="3"/>
  <c r="K127" i="3"/>
  <c r="M127" i="3"/>
  <c r="L127" i="3"/>
  <c r="AP127" i="3"/>
  <c r="AO127" i="3"/>
  <c r="J127" i="3"/>
  <c r="H127" i="2"/>
  <c r="AR127" i="2"/>
  <c r="AN127" i="2"/>
  <c r="AQ127" i="2"/>
  <c r="AM127" i="2"/>
  <c r="AJ127" i="2"/>
  <c r="AL127" i="2"/>
  <c r="AK127" i="2"/>
  <c r="AI127" i="2"/>
  <c r="AF127" i="2"/>
  <c r="AH127" i="2"/>
  <c r="AE127" i="2"/>
  <c r="AG127" i="2"/>
  <c r="AB127" i="2"/>
  <c r="AD127" i="2"/>
  <c r="AA127" i="2"/>
  <c r="AC127" i="2"/>
  <c r="Y127" i="2"/>
  <c r="Z127" i="2"/>
  <c r="V127" i="2"/>
  <c r="X127" i="2"/>
  <c r="W127" i="2"/>
  <c r="U127" i="2"/>
  <c r="S127" i="2"/>
  <c r="R127" i="2"/>
  <c r="T127" i="2"/>
  <c r="P127" i="2"/>
  <c r="N127" i="2"/>
  <c r="Q127" i="2"/>
  <c r="O127" i="2"/>
  <c r="I127" i="2"/>
  <c r="M127" i="2"/>
  <c r="L127" i="2"/>
  <c r="J127" i="2"/>
  <c r="K127" i="2"/>
  <c r="AO127" i="2"/>
  <c r="AP127" i="2"/>
  <c r="G128" i="3"/>
  <c r="I129" i="1"/>
  <c r="J128" i="1"/>
  <c r="V128" i="1"/>
  <c r="G128" i="2"/>
  <c r="Y128" i="1"/>
  <c r="Z128" i="1" s="1"/>
  <c r="N128" i="1"/>
  <c r="O128" i="1"/>
  <c r="R128" i="1"/>
  <c r="S128" i="1"/>
  <c r="W128" i="1" s="1"/>
  <c r="L127" i="1"/>
  <c r="P127" i="1" s="1"/>
  <c r="AA127" i="1"/>
  <c r="H128" i="2" l="1"/>
  <c r="AQ128" i="2"/>
  <c r="AR128" i="2"/>
  <c r="AN128" i="2"/>
  <c r="AM128" i="2"/>
  <c r="AJ128" i="2"/>
  <c r="AL128" i="2"/>
  <c r="AK128" i="2"/>
  <c r="AH128" i="2"/>
  <c r="AI128" i="2"/>
  <c r="AF128" i="2"/>
  <c r="AG128" i="2"/>
  <c r="AE128" i="2"/>
  <c r="AB128" i="2"/>
  <c r="AD128" i="2"/>
  <c r="AA128" i="2"/>
  <c r="AC128" i="2"/>
  <c r="Y128" i="2"/>
  <c r="Z128" i="2"/>
  <c r="X128" i="2"/>
  <c r="W128" i="2"/>
  <c r="V128" i="2"/>
  <c r="U128" i="2"/>
  <c r="S128" i="2"/>
  <c r="T128" i="2"/>
  <c r="P128" i="2"/>
  <c r="R128" i="2"/>
  <c r="L128" i="2"/>
  <c r="N128" i="2"/>
  <c r="Q128" i="2"/>
  <c r="O128" i="2"/>
  <c r="J128" i="2"/>
  <c r="M128" i="2"/>
  <c r="K128" i="2"/>
  <c r="I128" i="2"/>
  <c r="AO128" i="2"/>
  <c r="AP128" i="2"/>
  <c r="L128" i="1"/>
  <c r="P128" i="1" s="1"/>
  <c r="AA128" i="1"/>
  <c r="H128" i="3"/>
  <c r="AR128" i="3"/>
  <c r="AQ128" i="3"/>
  <c r="AN128" i="3"/>
  <c r="AL128" i="3"/>
  <c r="AM128" i="3"/>
  <c r="AK128" i="3"/>
  <c r="AG128" i="3"/>
  <c r="AI128" i="3"/>
  <c r="AJ128" i="3"/>
  <c r="AH128" i="3"/>
  <c r="AF128" i="3"/>
  <c r="AE128" i="3"/>
  <c r="AD128" i="3"/>
  <c r="AC128" i="3"/>
  <c r="AB128" i="3"/>
  <c r="AA128" i="3"/>
  <c r="Z128" i="3"/>
  <c r="Y128" i="3"/>
  <c r="V128" i="3"/>
  <c r="X128" i="3"/>
  <c r="W128" i="3"/>
  <c r="T128" i="3"/>
  <c r="S128" i="3"/>
  <c r="U128" i="3"/>
  <c r="O128" i="3"/>
  <c r="R128" i="3"/>
  <c r="N128" i="3"/>
  <c r="Q128" i="3"/>
  <c r="P128" i="3"/>
  <c r="M128" i="3"/>
  <c r="L128" i="3"/>
  <c r="AP128" i="3"/>
  <c r="AO128" i="3"/>
  <c r="K128" i="3"/>
  <c r="J128" i="3"/>
  <c r="I128" i="3"/>
  <c r="G129" i="3"/>
  <c r="I130" i="1"/>
  <c r="V129" i="1"/>
  <c r="J129" i="1"/>
  <c r="G129" i="2"/>
  <c r="Y129" i="1"/>
  <c r="Z129" i="1" s="1"/>
  <c r="S129" i="1"/>
  <c r="W129" i="1" s="1"/>
  <c r="N129" i="1"/>
  <c r="R129" i="1"/>
  <c r="O129" i="1"/>
  <c r="I131" i="1" l="1"/>
  <c r="G130" i="3"/>
  <c r="V130" i="1"/>
  <c r="J130" i="1"/>
  <c r="G130" i="2"/>
  <c r="Y130" i="1"/>
  <c r="Z130" i="1" s="1"/>
  <c r="S130" i="1"/>
  <c r="W130" i="1" s="1"/>
  <c r="N130" i="1"/>
  <c r="O130" i="1"/>
  <c r="R130" i="1"/>
  <c r="H129" i="3"/>
  <c r="AQ129" i="3"/>
  <c r="AR129" i="3"/>
  <c r="AN129" i="3"/>
  <c r="AL129" i="3"/>
  <c r="AM129" i="3"/>
  <c r="AK129" i="3"/>
  <c r="AJ129" i="3"/>
  <c r="AG129" i="3"/>
  <c r="AH129" i="3"/>
  <c r="AF129" i="3"/>
  <c r="AI129" i="3"/>
  <c r="AB129" i="3"/>
  <c r="AE129" i="3"/>
  <c r="AD129" i="3"/>
  <c r="AC129" i="3"/>
  <c r="AA129" i="3"/>
  <c r="Y129" i="3"/>
  <c r="Z129" i="3"/>
  <c r="T129" i="3"/>
  <c r="V129" i="3"/>
  <c r="X129" i="3"/>
  <c r="S129" i="3"/>
  <c r="W129" i="3"/>
  <c r="U129" i="3"/>
  <c r="R129" i="3"/>
  <c r="Q129" i="3"/>
  <c r="P129" i="3"/>
  <c r="N129" i="3"/>
  <c r="O129" i="3"/>
  <c r="L129" i="3"/>
  <c r="I129" i="3"/>
  <c r="K129" i="3"/>
  <c r="M129" i="3"/>
  <c r="J129" i="3"/>
  <c r="AP129" i="3"/>
  <c r="AO129" i="3"/>
  <c r="H129" i="2"/>
  <c r="AQ129" i="2"/>
  <c r="AR129" i="2"/>
  <c r="AN129" i="2"/>
  <c r="AK129" i="2"/>
  <c r="AM129" i="2"/>
  <c r="AL129" i="2"/>
  <c r="AH129" i="2"/>
  <c r="AJ129" i="2"/>
  <c r="AI129" i="2"/>
  <c r="AG129" i="2"/>
  <c r="AF129" i="2"/>
  <c r="AE129" i="2"/>
  <c r="AB129" i="2"/>
  <c r="AD129" i="2"/>
  <c r="AA129" i="2"/>
  <c r="AC129" i="2"/>
  <c r="Z129" i="2"/>
  <c r="Y129" i="2"/>
  <c r="W129" i="2"/>
  <c r="X129" i="2"/>
  <c r="V129" i="2"/>
  <c r="U129" i="2"/>
  <c r="T129" i="2"/>
  <c r="R129" i="2"/>
  <c r="S129" i="2"/>
  <c r="Q129" i="2"/>
  <c r="P129" i="2"/>
  <c r="O129" i="2"/>
  <c r="N129" i="2"/>
  <c r="M129" i="2"/>
  <c r="L129" i="2"/>
  <c r="I129" i="2"/>
  <c r="K129" i="2"/>
  <c r="AO129" i="2"/>
  <c r="J129" i="2"/>
  <c r="AP129" i="2"/>
  <c r="L129" i="1"/>
  <c r="P129" i="1" s="1"/>
  <c r="AA129" i="1"/>
  <c r="L130" i="1" l="1"/>
  <c r="P130" i="1" s="1"/>
  <c r="AA130" i="1"/>
  <c r="H130" i="2"/>
  <c r="AR130" i="2"/>
  <c r="AQ130" i="2"/>
  <c r="AL130" i="2"/>
  <c r="AN130" i="2"/>
  <c r="AM130" i="2"/>
  <c r="AK130" i="2"/>
  <c r="AH130" i="2"/>
  <c r="AJ130" i="2"/>
  <c r="AI130" i="2"/>
  <c r="AG130" i="2"/>
  <c r="AF130" i="2"/>
  <c r="AE130" i="2"/>
  <c r="AD130" i="2"/>
  <c r="AC130" i="2"/>
  <c r="AB130" i="2"/>
  <c r="AA130" i="2"/>
  <c r="Z130" i="2"/>
  <c r="Y130" i="2"/>
  <c r="X130" i="2"/>
  <c r="W130" i="2"/>
  <c r="U130" i="2"/>
  <c r="T130" i="2"/>
  <c r="V130" i="2"/>
  <c r="P130" i="2"/>
  <c r="R130" i="2"/>
  <c r="S130" i="2"/>
  <c r="O130" i="2"/>
  <c r="Q130" i="2"/>
  <c r="L130" i="2"/>
  <c r="J130" i="2"/>
  <c r="N130" i="2"/>
  <c r="M130" i="2"/>
  <c r="I130" i="2"/>
  <c r="K130" i="2"/>
  <c r="AO130" i="2"/>
  <c r="AP130" i="2"/>
  <c r="H130" i="3"/>
  <c r="AQ130" i="3"/>
  <c r="AR130" i="3"/>
  <c r="AN130" i="3"/>
  <c r="AM130" i="3"/>
  <c r="AL130" i="3"/>
  <c r="AK130" i="3"/>
  <c r="AJ130" i="3"/>
  <c r="AI130" i="3"/>
  <c r="AH130" i="3"/>
  <c r="AF130" i="3"/>
  <c r="AG130" i="3"/>
  <c r="AB130" i="3"/>
  <c r="AE130" i="3"/>
  <c r="AD130" i="3"/>
  <c r="AA130" i="3"/>
  <c r="AC130" i="3"/>
  <c r="Y130" i="3"/>
  <c r="Z130" i="3"/>
  <c r="W130" i="3"/>
  <c r="V130" i="3"/>
  <c r="X130" i="3"/>
  <c r="S130" i="3"/>
  <c r="T130" i="3"/>
  <c r="U130" i="3"/>
  <c r="P130" i="3"/>
  <c r="R130" i="3"/>
  <c r="Q130" i="3"/>
  <c r="L130" i="3"/>
  <c r="N130" i="3"/>
  <c r="O130" i="3"/>
  <c r="J130" i="3"/>
  <c r="K130" i="3"/>
  <c r="M130" i="3"/>
  <c r="AP130" i="3"/>
  <c r="AO130" i="3"/>
  <c r="I130" i="3"/>
  <c r="G131" i="3"/>
  <c r="I132" i="1"/>
  <c r="J131" i="1"/>
  <c r="V131" i="1"/>
  <c r="G131" i="2"/>
  <c r="Y131" i="1"/>
  <c r="Z131" i="1" s="1"/>
  <c r="R131" i="1"/>
  <c r="S131" i="1"/>
  <c r="W131" i="1" s="1"/>
  <c r="N131" i="1"/>
  <c r="O131" i="1"/>
  <c r="G132" i="3" l="1"/>
  <c r="I133" i="1"/>
  <c r="V132" i="1"/>
  <c r="J132" i="1"/>
  <c r="G132" i="2"/>
  <c r="Y132" i="1"/>
  <c r="Z132" i="1" s="1"/>
  <c r="S132" i="1"/>
  <c r="W132" i="1" s="1"/>
  <c r="O132" i="1"/>
  <c r="N132" i="1"/>
  <c r="R132" i="1"/>
  <c r="H131" i="3"/>
  <c r="AR131" i="3"/>
  <c r="AQ131" i="3"/>
  <c r="AN131" i="3"/>
  <c r="AM131" i="3"/>
  <c r="AL131" i="3"/>
  <c r="AK131" i="3"/>
  <c r="AJ131" i="3"/>
  <c r="AH131" i="3"/>
  <c r="AI131" i="3"/>
  <c r="AG131" i="3"/>
  <c r="AF131" i="3"/>
  <c r="AB131" i="3"/>
  <c r="AE131" i="3"/>
  <c r="AD131" i="3"/>
  <c r="AC131" i="3"/>
  <c r="AA131" i="3"/>
  <c r="W131" i="3"/>
  <c r="Y131" i="3"/>
  <c r="Z131" i="3"/>
  <c r="X131" i="3"/>
  <c r="V131" i="3"/>
  <c r="T131" i="3"/>
  <c r="U131" i="3"/>
  <c r="P131" i="3"/>
  <c r="S131" i="3"/>
  <c r="R131" i="3"/>
  <c r="Q131" i="3"/>
  <c r="O131" i="3"/>
  <c r="J131" i="3"/>
  <c r="N131" i="3"/>
  <c r="K131" i="3"/>
  <c r="M131" i="3"/>
  <c r="L131" i="3"/>
  <c r="AO131" i="3"/>
  <c r="I131" i="3"/>
  <c r="AP131" i="3"/>
  <c r="H131" i="2"/>
  <c r="AR131" i="2"/>
  <c r="AQ131" i="2"/>
  <c r="AM131" i="2"/>
  <c r="AL131" i="2"/>
  <c r="AN131" i="2"/>
  <c r="AK131" i="2"/>
  <c r="AI131" i="2"/>
  <c r="AJ131" i="2"/>
  <c r="AH131" i="2"/>
  <c r="AG131" i="2"/>
  <c r="AD131" i="2"/>
  <c r="AF131" i="2"/>
  <c r="AC131" i="2"/>
  <c r="AE131" i="2"/>
  <c r="AB131" i="2"/>
  <c r="AA131" i="2"/>
  <c r="Z131" i="2"/>
  <c r="U131" i="2"/>
  <c r="X131" i="2"/>
  <c r="W131" i="2"/>
  <c r="Y131" i="2"/>
  <c r="T131" i="2"/>
  <c r="V131" i="2"/>
  <c r="R131" i="2"/>
  <c r="S131" i="2"/>
  <c r="Q131" i="2"/>
  <c r="O131" i="2"/>
  <c r="P131" i="2"/>
  <c r="M131" i="2"/>
  <c r="L131" i="2"/>
  <c r="N131" i="2"/>
  <c r="K131" i="2"/>
  <c r="I131" i="2"/>
  <c r="J131" i="2"/>
  <c r="AP131" i="2"/>
  <c r="AO131" i="2"/>
  <c r="L131" i="1"/>
  <c r="P131" i="1" s="1"/>
  <c r="AA131" i="1"/>
  <c r="H132" i="2" l="1"/>
  <c r="AR132" i="2"/>
  <c r="AN132" i="2"/>
  <c r="AM132" i="2"/>
  <c r="AQ132" i="2"/>
  <c r="AI132" i="2"/>
  <c r="AL132" i="2"/>
  <c r="AK132" i="2"/>
  <c r="AJ132" i="2"/>
  <c r="AG132" i="2"/>
  <c r="AH132" i="2"/>
  <c r="AF132" i="2"/>
  <c r="AC132" i="2"/>
  <c r="AE132" i="2"/>
  <c r="AD132" i="2"/>
  <c r="AB132" i="2"/>
  <c r="Z132" i="2"/>
  <c r="Y132" i="2"/>
  <c r="AA132" i="2"/>
  <c r="X132" i="2"/>
  <c r="U132" i="2"/>
  <c r="W132" i="2"/>
  <c r="R132" i="2"/>
  <c r="T132" i="2"/>
  <c r="V132" i="2"/>
  <c r="S132" i="2"/>
  <c r="Q132" i="2"/>
  <c r="M132" i="2"/>
  <c r="O132" i="2"/>
  <c r="P132" i="2"/>
  <c r="K132" i="2"/>
  <c r="L132" i="2"/>
  <c r="N132" i="2"/>
  <c r="AP132" i="2"/>
  <c r="I132" i="2"/>
  <c r="J132" i="2"/>
  <c r="AO132" i="2"/>
  <c r="L132" i="1"/>
  <c r="P132" i="1" s="1"/>
  <c r="AA132" i="1"/>
  <c r="G133" i="3"/>
  <c r="I134" i="1"/>
  <c r="J133" i="1"/>
  <c r="V133" i="1"/>
  <c r="G133" i="2"/>
  <c r="Y133" i="1"/>
  <c r="Z133" i="1" s="1"/>
  <c r="O133" i="1"/>
  <c r="R133" i="1"/>
  <c r="N133" i="1"/>
  <c r="S133" i="1"/>
  <c r="H132" i="3"/>
  <c r="AR132" i="3"/>
  <c r="AQ132" i="3"/>
  <c r="AN132" i="3"/>
  <c r="AL132" i="3"/>
  <c r="AM132" i="3"/>
  <c r="AK132" i="3"/>
  <c r="AJ132" i="3"/>
  <c r="AH132" i="3"/>
  <c r="AI132" i="3"/>
  <c r="AG132" i="3"/>
  <c r="AF132" i="3"/>
  <c r="AD132" i="3"/>
  <c r="AE132" i="3"/>
  <c r="AC132" i="3"/>
  <c r="AB132" i="3"/>
  <c r="Z132" i="3"/>
  <c r="Y132" i="3"/>
  <c r="AA132" i="3"/>
  <c r="V132" i="3"/>
  <c r="W132" i="3"/>
  <c r="X132" i="3"/>
  <c r="U132" i="3"/>
  <c r="T132" i="3"/>
  <c r="P132" i="3"/>
  <c r="S132" i="3"/>
  <c r="R132" i="3"/>
  <c r="O132" i="3"/>
  <c r="L132" i="3"/>
  <c r="Q132" i="3"/>
  <c r="J132" i="3"/>
  <c r="N132" i="3"/>
  <c r="M132" i="3"/>
  <c r="I132" i="3"/>
  <c r="AO132" i="3"/>
  <c r="AP132" i="3"/>
  <c r="K132" i="3"/>
  <c r="H133" i="2" l="1"/>
  <c r="AR133" i="2"/>
  <c r="AN133" i="2"/>
  <c r="AQ133" i="2"/>
  <c r="AM133" i="2"/>
  <c r="AL133" i="2"/>
  <c r="AK133" i="2"/>
  <c r="AI133" i="2"/>
  <c r="AJ133" i="2"/>
  <c r="AH133" i="2"/>
  <c r="AG133" i="2"/>
  <c r="AF133" i="2"/>
  <c r="AD133" i="2"/>
  <c r="AC133" i="2"/>
  <c r="AE133" i="2"/>
  <c r="AB133" i="2"/>
  <c r="AA133" i="2"/>
  <c r="X133" i="2"/>
  <c r="Z133" i="2"/>
  <c r="Y133" i="2"/>
  <c r="T133" i="2"/>
  <c r="U133" i="2"/>
  <c r="W133" i="2"/>
  <c r="V133" i="2"/>
  <c r="S133" i="2"/>
  <c r="Q133" i="2"/>
  <c r="R133" i="2"/>
  <c r="O133" i="2"/>
  <c r="P133" i="2"/>
  <c r="K133" i="2"/>
  <c r="L133" i="2"/>
  <c r="N133" i="2"/>
  <c r="M133" i="2"/>
  <c r="J133" i="2"/>
  <c r="AP133" i="2"/>
  <c r="I133" i="2"/>
  <c r="AO133" i="2"/>
  <c r="L133" i="1"/>
  <c r="P133" i="1" s="1"/>
  <c r="AA133" i="1"/>
  <c r="G134" i="3"/>
  <c r="I135" i="1"/>
  <c r="V134" i="1"/>
  <c r="J134" i="1"/>
  <c r="G134" i="2"/>
  <c r="Y134" i="1"/>
  <c r="Z134" i="1" s="1"/>
  <c r="S134" i="1"/>
  <c r="W134" i="1" s="1"/>
  <c r="O134" i="1"/>
  <c r="R134" i="1"/>
  <c r="N134" i="1"/>
  <c r="W133" i="1"/>
  <c r="H133" i="3"/>
  <c r="AR133" i="3"/>
  <c r="AQ133" i="3"/>
  <c r="AN133" i="3"/>
  <c r="AM133" i="3"/>
  <c r="AL133" i="3"/>
  <c r="AK133" i="3"/>
  <c r="AI133" i="3"/>
  <c r="AH133" i="3"/>
  <c r="AJ133" i="3"/>
  <c r="AG133" i="3"/>
  <c r="AD133" i="3"/>
  <c r="AF133" i="3"/>
  <c r="AE133" i="3"/>
  <c r="AC133" i="3"/>
  <c r="AB133" i="3"/>
  <c r="AA133" i="3"/>
  <c r="Z133" i="3"/>
  <c r="W133" i="3"/>
  <c r="U133" i="3"/>
  <c r="Y133" i="3"/>
  <c r="X133" i="3"/>
  <c r="V133" i="3"/>
  <c r="T133" i="3"/>
  <c r="S133" i="3"/>
  <c r="R133" i="3"/>
  <c r="Q133" i="3"/>
  <c r="O133" i="3"/>
  <c r="P133" i="3"/>
  <c r="M133" i="3"/>
  <c r="N133" i="3"/>
  <c r="L133" i="3"/>
  <c r="K133" i="3"/>
  <c r="I133" i="3"/>
  <c r="AO133" i="3"/>
  <c r="AP133" i="3"/>
  <c r="J133" i="3"/>
  <c r="H134" i="2" l="1"/>
  <c r="AR134" i="2"/>
  <c r="AQ134" i="2"/>
  <c r="AN134" i="2"/>
  <c r="AM134" i="2"/>
  <c r="AL134" i="2"/>
  <c r="AI134" i="2"/>
  <c r="AK134" i="2"/>
  <c r="AJ134" i="2"/>
  <c r="AH134" i="2"/>
  <c r="AG134" i="2"/>
  <c r="AF134" i="2"/>
  <c r="AE134" i="2"/>
  <c r="AD134" i="2"/>
  <c r="Z134" i="2"/>
  <c r="AC134" i="2"/>
  <c r="AB134" i="2"/>
  <c r="AA134" i="2"/>
  <c r="X134" i="2"/>
  <c r="Y134" i="2"/>
  <c r="W134" i="2"/>
  <c r="V134" i="2"/>
  <c r="R134" i="2"/>
  <c r="U134" i="2"/>
  <c r="T134" i="2"/>
  <c r="S134" i="2"/>
  <c r="Q134" i="2"/>
  <c r="M134" i="2"/>
  <c r="P134" i="2"/>
  <c r="K134" i="2"/>
  <c r="N134" i="2"/>
  <c r="O134" i="2"/>
  <c r="I134" i="2"/>
  <c r="AO134" i="2"/>
  <c r="J134" i="2"/>
  <c r="AP134" i="2"/>
  <c r="L134" i="2"/>
  <c r="L134" i="1"/>
  <c r="P134" i="1" s="1"/>
  <c r="AA134" i="1"/>
  <c r="G135" i="3"/>
  <c r="I136" i="1"/>
  <c r="V135" i="1"/>
  <c r="J135" i="1"/>
  <c r="G135" i="2"/>
  <c r="Y135" i="1"/>
  <c r="Z135" i="1" s="1"/>
  <c r="S135" i="1"/>
  <c r="W135" i="1" s="1"/>
  <c r="O135" i="1"/>
  <c r="R135" i="1"/>
  <c r="N135" i="1"/>
  <c r="H134" i="3"/>
  <c r="AR134" i="3"/>
  <c r="AN134" i="3"/>
  <c r="AM134" i="3"/>
  <c r="AQ134" i="3"/>
  <c r="AL134" i="3"/>
  <c r="AI134" i="3"/>
  <c r="AK134" i="3"/>
  <c r="AJ134" i="3"/>
  <c r="AE134" i="3"/>
  <c r="AH134" i="3"/>
  <c r="AG134" i="3"/>
  <c r="AD134" i="3"/>
  <c r="AF134" i="3"/>
  <c r="AC134" i="3"/>
  <c r="AA134" i="3"/>
  <c r="AB134" i="3"/>
  <c r="Z134" i="3"/>
  <c r="Y134" i="3"/>
  <c r="X134" i="3"/>
  <c r="U134" i="3"/>
  <c r="W134" i="3"/>
  <c r="R134" i="3"/>
  <c r="V134" i="3"/>
  <c r="T134" i="3"/>
  <c r="Q134" i="3"/>
  <c r="S134" i="3"/>
  <c r="P134" i="3"/>
  <c r="M134" i="3"/>
  <c r="O134" i="3"/>
  <c r="N134" i="3"/>
  <c r="L134" i="3"/>
  <c r="K134" i="3"/>
  <c r="J134" i="3"/>
  <c r="I134" i="3"/>
  <c r="AO134" i="3"/>
  <c r="AP134" i="3"/>
  <c r="L135" i="1" l="1"/>
  <c r="P135" i="1" s="1"/>
  <c r="AA135" i="1"/>
  <c r="H135" i="2"/>
  <c r="AR135" i="2"/>
  <c r="AQ135" i="2"/>
  <c r="AN135" i="2"/>
  <c r="AM135" i="2"/>
  <c r="AL135" i="2"/>
  <c r="AK135" i="2"/>
  <c r="AJ135" i="2"/>
  <c r="AI135" i="2"/>
  <c r="AF135" i="2"/>
  <c r="AE135" i="2"/>
  <c r="AG135" i="2"/>
  <c r="AH135" i="2"/>
  <c r="AD135" i="2"/>
  <c r="AC135" i="2"/>
  <c r="AB135" i="2"/>
  <c r="AA135" i="2"/>
  <c r="X135" i="2"/>
  <c r="Z135" i="2"/>
  <c r="V135" i="2"/>
  <c r="Y135" i="2"/>
  <c r="W135" i="2"/>
  <c r="U135" i="2"/>
  <c r="S135" i="2"/>
  <c r="R135" i="2"/>
  <c r="T135" i="2"/>
  <c r="P135" i="2"/>
  <c r="Q135" i="2"/>
  <c r="N135" i="2"/>
  <c r="O135" i="2"/>
  <c r="M135" i="2"/>
  <c r="L135" i="2"/>
  <c r="AO135" i="2"/>
  <c r="J135" i="2"/>
  <c r="K135" i="2"/>
  <c r="I135" i="2"/>
  <c r="AP135" i="2"/>
  <c r="G136" i="3"/>
  <c r="I137" i="1"/>
  <c r="J136" i="1"/>
  <c r="V136" i="1"/>
  <c r="G136" i="2"/>
  <c r="Y136" i="1"/>
  <c r="Z136" i="1" s="1"/>
  <c r="O136" i="1"/>
  <c r="R136" i="1"/>
  <c r="S136" i="1"/>
  <c r="W136" i="1" s="1"/>
  <c r="N136" i="1"/>
  <c r="H135" i="3"/>
  <c r="AR135" i="3"/>
  <c r="AN135" i="3"/>
  <c r="AM135" i="3"/>
  <c r="AQ135" i="3"/>
  <c r="AL135" i="3"/>
  <c r="AI135" i="3"/>
  <c r="AK135" i="3"/>
  <c r="AJ135" i="3"/>
  <c r="AH135" i="3"/>
  <c r="AE135" i="3"/>
  <c r="AG135" i="3"/>
  <c r="AD135" i="3"/>
  <c r="AF135" i="3"/>
  <c r="AA135" i="3"/>
  <c r="AC135" i="3"/>
  <c r="AB135" i="3"/>
  <c r="X135" i="3"/>
  <c r="Z135" i="3"/>
  <c r="Y135" i="3"/>
  <c r="U135" i="3"/>
  <c r="W135" i="3"/>
  <c r="R135" i="3"/>
  <c r="V135" i="3"/>
  <c r="T135" i="3"/>
  <c r="Q135" i="3"/>
  <c r="S135" i="3"/>
  <c r="O135" i="3"/>
  <c r="P135" i="3"/>
  <c r="M135" i="3"/>
  <c r="N135" i="3"/>
  <c r="L135" i="3"/>
  <c r="K135" i="3"/>
  <c r="J135" i="3"/>
  <c r="I135" i="3"/>
  <c r="AO135" i="3"/>
  <c r="AP135" i="3"/>
  <c r="L136" i="1" l="1"/>
  <c r="P136" i="1" s="1"/>
  <c r="AA136" i="1"/>
  <c r="G137" i="3"/>
  <c r="I138" i="1"/>
  <c r="J137" i="1"/>
  <c r="V137" i="1"/>
  <c r="G137" i="2"/>
  <c r="Y137" i="1"/>
  <c r="Z137" i="1" s="1"/>
  <c r="S137" i="1"/>
  <c r="N137" i="1"/>
  <c r="O137" i="1"/>
  <c r="R137" i="1"/>
  <c r="H136" i="3"/>
  <c r="AR136" i="3"/>
  <c r="AN136" i="3"/>
  <c r="AM136" i="3"/>
  <c r="AQ136" i="3"/>
  <c r="AI136" i="3"/>
  <c r="AK136" i="3"/>
  <c r="AL136" i="3"/>
  <c r="AJ136" i="3"/>
  <c r="AG136" i="3"/>
  <c r="AH136" i="3"/>
  <c r="AE136" i="3"/>
  <c r="AF136" i="3"/>
  <c r="AC136" i="3"/>
  <c r="AD136" i="3"/>
  <c r="Z136" i="3"/>
  <c r="AB136" i="3"/>
  <c r="AA136" i="3"/>
  <c r="X136" i="3"/>
  <c r="Y136" i="3"/>
  <c r="W136" i="3"/>
  <c r="V136" i="3"/>
  <c r="U136" i="3"/>
  <c r="T136" i="3"/>
  <c r="R136" i="3"/>
  <c r="O136" i="3"/>
  <c r="Q136" i="3"/>
  <c r="S136" i="3"/>
  <c r="P136" i="3"/>
  <c r="M136" i="3"/>
  <c r="N136" i="3"/>
  <c r="L136" i="3"/>
  <c r="K136" i="3"/>
  <c r="I136" i="3"/>
  <c r="J136" i="3"/>
  <c r="AO136" i="3"/>
  <c r="AP136" i="3"/>
  <c r="H136" i="2"/>
  <c r="AR136" i="2"/>
  <c r="AQ136" i="2"/>
  <c r="AM136" i="2"/>
  <c r="AN136" i="2"/>
  <c r="AL136" i="2"/>
  <c r="AK136" i="2"/>
  <c r="AJ136" i="2"/>
  <c r="AI136" i="2"/>
  <c r="AF136" i="2"/>
  <c r="AH136" i="2"/>
  <c r="AE136" i="2"/>
  <c r="AG136" i="2"/>
  <c r="AD136" i="2"/>
  <c r="AB136" i="2"/>
  <c r="AC136" i="2"/>
  <c r="AA136" i="2"/>
  <c r="Z136" i="2"/>
  <c r="Y136" i="2"/>
  <c r="V136" i="2"/>
  <c r="X136" i="2"/>
  <c r="W136" i="2"/>
  <c r="S136" i="2"/>
  <c r="U136" i="2"/>
  <c r="R136" i="2"/>
  <c r="T136" i="2"/>
  <c r="N136" i="2"/>
  <c r="P136" i="2"/>
  <c r="Q136" i="2"/>
  <c r="O136" i="2"/>
  <c r="M136" i="2"/>
  <c r="L136" i="2"/>
  <c r="AO136" i="2"/>
  <c r="J136" i="2"/>
  <c r="K136" i="2"/>
  <c r="I136" i="2"/>
  <c r="AP136" i="2"/>
  <c r="G138" i="3" l="1"/>
  <c r="I139" i="1"/>
  <c r="J138" i="1"/>
  <c r="V138" i="1"/>
  <c r="Y138" i="1"/>
  <c r="Z138" i="1" s="1"/>
  <c r="G138" i="2"/>
  <c r="N138" i="1"/>
  <c r="O138" i="1"/>
  <c r="R138" i="1"/>
  <c r="S138" i="1"/>
  <c r="H137" i="2"/>
  <c r="AR137" i="2"/>
  <c r="AQ137" i="2"/>
  <c r="AN137" i="2"/>
  <c r="AL137" i="2"/>
  <c r="AM137" i="2"/>
  <c r="AK137" i="2"/>
  <c r="AJ137" i="2"/>
  <c r="AF137" i="2"/>
  <c r="AI137" i="2"/>
  <c r="AH137" i="2"/>
  <c r="AE137" i="2"/>
  <c r="AG137" i="2"/>
  <c r="AB137" i="2"/>
  <c r="AD137" i="2"/>
  <c r="AC137" i="2"/>
  <c r="AA137" i="2"/>
  <c r="Y137" i="2"/>
  <c r="Z137" i="2"/>
  <c r="V137" i="2"/>
  <c r="X137" i="2"/>
  <c r="W137" i="2"/>
  <c r="S137" i="2"/>
  <c r="U137" i="2"/>
  <c r="R137" i="2"/>
  <c r="T137" i="2"/>
  <c r="P137" i="2"/>
  <c r="N137" i="2"/>
  <c r="O137" i="2"/>
  <c r="Q137" i="2"/>
  <c r="M137" i="2"/>
  <c r="I137" i="2"/>
  <c r="L137" i="2"/>
  <c r="J137" i="2"/>
  <c r="AO137" i="2"/>
  <c r="K137" i="2"/>
  <c r="AP137" i="2"/>
  <c r="L137" i="1"/>
  <c r="P137" i="1" s="1"/>
  <c r="AA137" i="1"/>
  <c r="H137" i="3"/>
  <c r="AR137" i="3"/>
  <c r="AN137" i="3"/>
  <c r="AQ137" i="3"/>
  <c r="AM137" i="3"/>
  <c r="AJ137" i="3"/>
  <c r="AL137" i="3"/>
  <c r="AK137" i="3"/>
  <c r="AG137" i="3"/>
  <c r="AI137" i="3"/>
  <c r="AH137" i="3"/>
  <c r="AF137" i="3"/>
  <c r="AE137" i="3"/>
  <c r="AA137" i="3"/>
  <c r="AC137" i="3"/>
  <c r="AD137" i="3"/>
  <c r="Z137" i="3"/>
  <c r="AB137" i="3"/>
  <c r="X137" i="3"/>
  <c r="Y137" i="3"/>
  <c r="V137" i="3"/>
  <c r="W137" i="3"/>
  <c r="U137" i="3"/>
  <c r="T137" i="3"/>
  <c r="S137" i="3"/>
  <c r="Q137" i="3"/>
  <c r="R137" i="3"/>
  <c r="P137" i="3"/>
  <c r="O137" i="3"/>
  <c r="N137" i="3"/>
  <c r="I137" i="3"/>
  <c r="M137" i="3"/>
  <c r="L137" i="3"/>
  <c r="K137" i="3"/>
  <c r="AO137" i="3"/>
  <c r="AP137" i="3"/>
  <c r="J137" i="3"/>
  <c r="W137" i="1"/>
  <c r="H138" i="2" l="1"/>
  <c r="AQ138" i="2"/>
  <c r="AR138" i="2"/>
  <c r="AN138" i="2"/>
  <c r="AL138" i="2"/>
  <c r="AM138" i="2"/>
  <c r="AK138" i="2"/>
  <c r="AJ138" i="2"/>
  <c r="AH138" i="2"/>
  <c r="AF138" i="2"/>
  <c r="AI138" i="2"/>
  <c r="AG138" i="2"/>
  <c r="AD138" i="2"/>
  <c r="AB138" i="2"/>
  <c r="AE138" i="2"/>
  <c r="AC138" i="2"/>
  <c r="AA138" i="2"/>
  <c r="Y138" i="2"/>
  <c r="Z138" i="2"/>
  <c r="X138" i="2"/>
  <c r="W138" i="2"/>
  <c r="S138" i="2"/>
  <c r="V138" i="2"/>
  <c r="U138" i="2"/>
  <c r="P138" i="2"/>
  <c r="R138" i="2"/>
  <c r="T138" i="2"/>
  <c r="Q138" i="2"/>
  <c r="L138" i="2"/>
  <c r="N138" i="2"/>
  <c r="O138" i="2"/>
  <c r="J138" i="2"/>
  <c r="M138" i="2"/>
  <c r="K138" i="2"/>
  <c r="I138" i="2"/>
  <c r="AP138" i="2"/>
  <c r="AO138" i="2"/>
  <c r="L138" i="1"/>
  <c r="P138" i="1" s="1"/>
  <c r="AA138" i="1"/>
  <c r="G139" i="3"/>
  <c r="I140" i="1"/>
  <c r="V139" i="1"/>
  <c r="J139" i="1"/>
  <c r="G139" i="2"/>
  <c r="Y139" i="1"/>
  <c r="Z139" i="1" s="1"/>
  <c r="S139" i="1"/>
  <c r="W139" i="1" s="1"/>
  <c r="N139" i="1"/>
  <c r="O139" i="1"/>
  <c r="R139" i="1"/>
  <c r="W138" i="1"/>
  <c r="H138" i="3"/>
  <c r="AR138" i="3"/>
  <c r="AQ138" i="3"/>
  <c r="AN138" i="3"/>
  <c r="AM138" i="3"/>
  <c r="AL138" i="3"/>
  <c r="AK138" i="3"/>
  <c r="AJ138" i="3"/>
  <c r="AG138" i="3"/>
  <c r="AI138" i="3"/>
  <c r="AF138" i="3"/>
  <c r="AH138" i="3"/>
  <c r="AD138" i="3"/>
  <c r="AC138" i="3"/>
  <c r="AE138" i="3"/>
  <c r="AB138" i="3"/>
  <c r="AA138" i="3"/>
  <c r="Z138" i="3"/>
  <c r="Y138" i="3"/>
  <c r="X138" i="3"/>
  <c r="V138" i="3"/>
  <c r="W138" i="3"/>
  <c r="T138" i="3"/>
  <c r="S138" i="3"/>
  <c r="U138" i="3"/>
  <c r="O138" i="3"/>
  <c r="R138" i="3"/>
  <c r="N138" i="3"/>
  <c r="P138" i="3"/>
  <c r="Q138" i="3"/>
  <c r="M138" i="3"/>
  <c r="L138" i="3"/>
  <c r="AO138" i="3"/>
  <c r="AP138" i="3"/>
  <c r="J138" i="3"/>
  <c r="I138" i="3"/>
  <c r="K138" i="3"/>
  <c r="H139" i="2" l="1"/>
  <c r="AQ139" i="2"/>
  <c r="AR139" i="2"/>
  <c r="AN139" i="2"/>
  <c r="AM139" i="2"/>
  <c r="AK139" i="2"/>
  <c r="AL139" i="2"/>
  <c r="AH139" i="2"/>
  <c r="AJ139" i="2"/>
  <c r="AI139" i="2"/>
  <c r="AG139" i="2"/>
  <c r="AF139" i="2"/>
  <c r="AD139" i="2"/>
  <c r="AB139" i="2"/>
  <c r="AE139" i="2"/>
  <c r="AC139" i="2"/>
  <c r="AA139" i="2"/>
  <c r="Y139" i="2"/>
  <c r="Z139" i="2"/>
  <c r="W139" i="2"/>
  <c r="X139" i="2"/>
  <c r="U139" i="2"/>
  <c r="V139" i="2"/>
  <c r="T139" i="2"/>
  <c r="S139" i="2"/>
  <c r="R139" i="2"/>
  <c r="Q139" i="2"/>
  <c r="P139" i="2"/>
  <c r="O139" i="2"/>
  <c r="M139" i="2"/>
  <c r="N139" i="2"/>
  <c r="L139" i="2"/>
  <c r="J139" i="2"/>
  <c r="AO139" i="2"/>
  <c r="K139" i="2"/>
  <c r="I139" i="2"/>
  <c r="AP139" i="2"/>
  <c r="G140" i="3"/>
  <c r="I141" i="1"/>
  <c r="V140" i="1"/>
  <c r="J140" i="1"/>
  <c r="G140" i="2"/>
  <c r="Y140" i="1"/>
  <c r="Z140" i="1" s="1"/>
  <c r="S140" i="1"/>
  <c r="W140" i="1" s="1"/>
  <c r="N140" i="1"/>
  <c r="O140" i="1"/>
  <c r="R140" i="1"/>
  <c r="H139" i="3"/>
  <c r="AQ139" i="3"/>
  <c r="AR139" i="3"/>
  <c r="AN139" i="3"/>
  <c r="AM139" i="3"/>
  <c r="AL139" i="3"/>
  <c r="AK139" i="3"/>
  <c r="AJ139" i="3"/>
  <c r="AG139" i="3"/>
  <c r="AI139" i="3"/>
  <c r="AF139" i="3"/>
  <c r="AH139" i="3"/>
  <c r="AB139" i="3"/>
  <c r="AD139" i="3"/>
  <c r="AC139" i="3"/>
  <c r="AE139" i="3"/>
  <c r="AA139" i="3"/>
  <c r="Y139" i="3"/>
  <c r="Z139" i="3"/>
  <c r="T139" i="3"/>
  <c r="X139" i="3"/>
  <c r="V139" i="3"/>
  <c r="W139" i="3"/>
  <c r="S139" i="3"/>
  <c r="U139" i="3"/>
  <c r="Q139" i="3"/>
  <c r="R139" i="3"/>
  <c r="P139" i="3"/>
  <c r="N139" i="3"/>
  <c r="O139" i="3"/>
  <c r="L139" i="3"/>
  <c r="I139" i="3"/>
  <c r="M139" i="3"/>
  <c r="K139" i="3"/>
  <c r="J139" i="3"/>
  <c r="AO139" i="3"/>
  <c r="AP139" i="3"/>
  <c r="L139" i="1"/>
  <c r="P139" i="1" s="1"/>
  <c r="AA139" i="1"/>
  <c r="H140" i="3" l="1"/>
  <c r="AR140" i="3"/>
  <c r="AQ140" i="3"/>
  <c r="AN140" i="3"/>
  <c r="AM140" i="3"/>
  <c r="AL140" i="3"/>
  <c r="AK140" i="3"/>
  <c r="AJ140" i="3"/>
  <c r="AI140" i="3"/>
  <c r="AH140" i="3"/>
  <c r="AF140" i="3"/>
  <c r="AG140" i="3"/>
  <c r="AB140" i="3"/>
  <c r="AD140" i="3"/>
  <c r="AE140" i="3"/>
  <c r="AA140" i="3"/>
  <c r="AC140" i="3"/>
  <c r="Y140" i="3"/>
  <c r="Z140" i="3"/>
  <c r="W140" i="3"/>
  <c r="X140" i="3"/>
  <c r="V140" i="3"/>
  <c r="T140" i="3"/>
  <c r="S140" i="3"/>
  <c r="U140" i="3"/>
  <c r="P140" i="3"/>
  <c r="Q140" i="3"/>
  <c r="R140" i="3"/>
  <c r="L140" i="3"/>
  <c r="N140" i="3"/>
  <c r="O140" i="3"/>
  <c r="J140" i="3"/>
  <c r="M140" i="3"/>
  <c r="K140" i="3"/>
  <c r="AO140" i="3"/>
  <c r="AP140" i="3"/>
  <c r="I140" i="3"/>
  <c r="H140" i="2"/>
  <c r="AQ140" i="2"/>
  <c r="AR140" i="2"/>
  <c r="AN140" i="2"/>
  <c r="AL140" i="2"/>
  <c r="AM140" i="2"/>
  <c r="AK140" i="2"/>
  <c r="AH140" i="2"/>
  <c r="AJ140" i="2"/>
  <c r="AG140" i="2"/>
  <c r="AI140" i="2"/>
  <c r="AF140" i="2"/>
  <c r="AD140" i="2"/>
  <c r="AE140" i="2"/>
  <c r="AC140" i="2"/>
  <c r="AA140" i="2"/>
  <c r="AB140" i="2"/>
  <c r="Y140" i="2"/>
  <c r="Z140" i="2"/>
  <c r="W140" i="2"/>
  <c r="X140" i="2"/>
  <c r="U140" i="2"/>
  <c r="V140" i="2"/>
  <c r="T140" i="2"/>
  <c r="P140" i="2"/>
  <c r="S140" i="2"/>
  <c r="R140" i="2"/>
  <c r="O140" i="2"/>
  <c r="Q140" i="2"/>
  <c r="J140" i="2"/>
  <c r="M140" i="2"/>
  <c r="N140" i="2"/>
  <c r="L140" i="2"/>
  <c r="AO140" i="2"/>
  <c r="K140" i="2"/>
  <c r="I140" i="2"/>
  <c r="AP140" i="2"/>
  <c r="L140" i="1"/>
  <c r="P140" i="1" s="1"/>
  <c r="AA140" i="1"/>
  <c r="I142" i="1"/>
  <c r="G141" i="3"/>
  <c r="J141" i="1"/>
  <c r="V141" i="1"/>
  <c r="G141" i="2"/>
  <c r="Y141" i="1"/>
  <c r="Z141" i="1" s="1"/>
  <c r="R141" i="1"/>
  <c r="O141" i="1"/>
  <c r="S141" i="1"/>
  <c r="W141" i="1" s="1"/>
  <c r="N141" i="1"/>
  <c r="H141" i="2" l="1"/>
  <c r="AR141" i="2"/>
  <c r="AN141" i="2"/>
  <c r="AQ141" i="2"/>
  <c r="AM141" i="2"/>
  <c r="AL141" i="2"/>
  <c r="AK141" i="2"/>
  <c r="AI141" i="2"/>
  <c r="AH141" i="2"/>
  <c r="AJ141" i="2"/>
  <c r="AG141" i="2"/>
  <c r="AD141" i="2"/>
  <c r="AF141" i="2"/>
  <c r="AC141" i="2"/>
  <c r="AE141" i="2"/>
  <c r="AB141" i="2"/>
  <c r="AA141" i="2"/>
  <c r="Z141" i="2"/>
  <c r="U141" i="2"/>
  <c r="W141" i="2"/>
  <c r="Y141" i="2"/>
  <c r="X141" i="2"/>
  <c r="V141" i="2"/>
  <c r="T141" i="2"/>
  <c r="S141" i="2"/>
  <c r="R141" i="2"/>
  <c r="Q141" i="2"/>
  <c r="O141" i="2"/>
  <c r="P141" i="2"/>
  <c r="M141" i="2"/>
  <c r="N141" i="2"/>
  <c r="L141" i="2"/>
  <c r="K141" i="2"/>
  <c r="I141" i="2"/>
  <c r="J141" i="2"/>
  <c r="AP141" i="2"/>
  <c r="AO141" i="2"/>
  <c r="L141" i="1"/>
  <c r="P141" i="1" s="1"/>
  <c r="AA141" i="1"/>
  <c r="H141" i="3"/>
  <c r="AR141" i="3"/>
  <c r="AQ141" i="3"/>
  <c r="AN141" i="3"/>
  <c r="AL141" i="3"/>
  <c r="AK141" i="3"/>
  <c r="AM141" i="3"/>
  <c r="AJ141" i="3"/>
  <c r="AH141" i="3"/>
  <c r="AI141" i="3"/>
  <c r="AG141" i="3"/>
  <c r="AF141" i="3"/>
  <c r="AE141" i="3"/>
  <c r="AB141" i="3"/>
  <c r="AD141" i="3"/>
  <c r="AC141" i="3"/>
  <c r="AA141" i="3"/>
  <c r="W141" i="3"/>
  <c r="Y141" i="3"/>
  <c r="Z141" i="3"/>
  <c r="X141" i="3"/>
  <c r="T141" i="3"/>
  <c r="U141" i="3"/>
  <c r="V141" i="3"/>
  <c r="P141" i="3"/>
  <c r="S141" i="3"/>
  <c r="R141" i="3"/>
  <c r="Q141" i="3"/>
  <c r="O141" i="3"/>
  <c r="J141" i="3"/>
  <c r="N141" i="3"/>
  <c r="M141" i="3"/>
  <c r="L141" i="3"/>
  <c r="K141" i="3"/>
  <c r="AO141" i="3"/>
  <c r="AP141" i="3"/>
  <c r="I141" i="3"/>
  <c r="G142" i="3"/>
  <c r="I143" i="1"/>
  <c r="V142" i="1"/>
  <c r="J142" i="1"/>
  <c r="G142" i="2"/>
  <c r="Y142" i="1"/>
  <c r="Z142" i="1" s="1"/>
  <c r="S142" i="1"/>
  <c r="W142" i="1" s="1"/>
  <c r="N142" i="1"/>
  <c r="R142" i="1"/>
  <c r="O142" i="1"/>
  <c r="L142" i="1" l="1"/>
  <c r="P142" i="1" s="1"/>
  <c r="AA142" i="1"/>
  <c r="H142" i="3"/>
  <c r="AR142" i="3"/>
  <c r="AQ142" i="3"/>
  <c r="AN142" i="3"/>
  <c r="AL142" i="3"/>
  <c r="AK142" i="3"/>
  <c r="AM142" i="3"/>
  <c r="AJ142" i="3"/>
  <c r="AH142" i="3"/>
  <c r="AI142" i="3"/>
  <c r="AG142" i="3"/>
  <c r="AF142" i="3"/>
  <c r="AD142" i="3"/>
  <c r="AE142" i="3"/>
  <c r="AC142" i="3"/>
  <c r="AA142" i="3"/>
  <c r="AB142" i="3"/>
  <c r="Y142" i="3"/>
  <c r="Z142" i="3"/>
  <c r="X142" i="3"/>
  <c r="W142" i="3"/>
  <c r="V142" i="3"/>
  <c r="U142" i="3"/>
  <c r="T142" i="3"/>
  <c r="R142" i="3"/>
  <c r="P142" i="3"/>
  <c r="S142" i="3"/>
  <c r="L142" i="3"/>
  <c r="Q142" i="3"/>
  <c r="O142" i="3"/>
  <c r="J142" i="3"/>
  <c r="N142" i="3"/>
  <c r="M142" i="3"/>
  <c r="AO142" i="3"/>
  <c r="AP142" i="3"/>
  <c r="K142" i="3"/>
  <c r="I142" i="3"/>
  <c r="I144" i="1"/>
  <c r="G143" i="3"/>
  <c r="J143" i="1"/>
  <c r="V143" i="1"/>
  <c r="G143" i="2"/>
  <c r="Y143" i="1"/>
  <c r="Z143" i="1" s="1"/>
  <c r="O143" i="1"/>
  <c r="R143" i="1"/>
  <c r="N143" i="1"/>
  <c r="S143" i="1"/>
  <c r="H142" i="2"/>
  <c r="AR142" i="2"/>
  <c r="AN142" i="2"/>
  <c r="AM142" i="2"/>
  <c r="AQ142" i="2"/>
  <c r="AI142" i="2"/>
  <c r="AK142" i="2"/>
  <c r="AL142" i="2"/>
  <c r="AJ142" i="2"/>
  <c r="AH142" i="2"/>
  <c r="AG142" i="2"/>
  <c r="AF142" i="2"/>
  <c r="AE142" i="2"/>
  <c r="AC142" i="2"/>
  <c r="AD142" i="2"/>
  <c r="AB142" i="2"/>
  <c r="Z142" i="2"/>
  <c r="AA142" i="2"/>
  <c r="Y142" i="2"/>
  <c r="X142" i="2"/>
  <c r="U142" i="2"/>
  <c r="W142" i="2"/>
  <c r="R142" i="2"/>
  <c r="V142" i="2"/>
  <c r="T142" i="2"/>
  <c r="Q142" i="2"/>
  <c r="S142" i="2"/>
  <c r="M142" i="2"/>
  <c r="O142" i="2"/>
  <c r="P142" i="2"/>
  <c r="K142" i="2"/>
  <c r="N142" i="2"/>
  <c r="L142" i="2"/>
  <c r="AP142" i="2"/>
  <c r="I142" i="2"/>
  <c r="J142" i="2"/>
  <c r="AO142" i="2"/>
  <c r="H143" i="2" l="1"/>
  <c r="AR143" i="2"/>
  <c r="AN143" i="2"/>
  <c r="AQ143" i="2"/>
  <c r="AM143" i="2"/>
  <c r="AK143" i="2"/>
  <c r="AL143" i="2"/>
  <c r="AJ143" i="2"/>
  <c r="AH143" i="2"/>
  <c r="AI143" i="2"/>
  <c r="AD143" i="2"/>
  <c r="AG143" i="2"/>
  <c r="AF143" i="2"/>
  <c r="AE143" i="2"/>
  <c r="AC143" i="2"/>
  <c r="AB143" i="2"/>
  <c r="X143" i="2"/>
  <c r="Z143" i="2"/>
  <c r="AA143" i="2"/>
  <c r="Y143" i="2"/>
  <c r="U143" i="2"/>
  <c r="V143" i="2"/>
  <c r="T143" i="2"/>
  <c r="W143" i="2"/>
  <c r="Q143" i="2"/>
  <c r="S143" i="2"/>
  <c r="R143" i="2"/>
  <c r="O143" i="2"/>
  <c r="P143" i="2"/>
  <c r="K143" i="2"/>
  <c r="N143" i="2"/>
  <c r="L143" i="2"/>
  <c r="M143" i="2"/>
  <c r="AP143" i="2"/>
  <c r="I143" i="2"/>
  <c r="J143" i="2"/>
  <c r="AO143" i="2"/>
  <c r="L143" i="1"/>
  <c r="P143" i="1" s="1"/>
  <c r="AA143" i="1"/>
  <c r="H143" i="3"/>
  <c r="AR143" i="3"/>
  <c r="AQ143" i="3"/>
  <c r="AN143" i="3"/>
  <c r="AM143" i="3"/>
  <c r="AL143" i="3"/>
  <c r="AK143" i="3"/>
  <c r="AJ143" i="3"/>
  <c r="AI143" i="3"/>
  <c r="AH143" i="3"/>
  <c r="AF143" i="3"/>
  <c r="AD143" i="3"/>
  <c r="AG143" i="3"/>
  <c r="AC143" i="3"/>
  <c r="AE143" i="3"/>
  <c r="AA143" i="3"/>
  <c r="AB143" i="3"/>
  <c r="W143" i="3"/>
  <c r="Z143" i="3"/>
  <c r="U143" i="3"/>
  <c r="Y143" i="3"/>
  <c r="X143" i="3"/>
  <c r="T143" i="3"/>
  <c r="V143" i="3"/>
  <c r="S143" i="3"/>
  <c r="R143" i="3"/>
  <c r="Q143" i="3"/>
  <c r="P143" i="3"/>
  <c r="O143" i="3"/>
  <c r="M143" i="3"/>
  <c r="N143" i="3"/>
  <c r="L143" i="3"/>
  <c r="K143" i="3"/>
  <c r="J143" i="3"/>
  <c r="AO143" i="3"/>
  <c r="AP143" i="3"/>
  <c r="I143" i="3"/>
  <c r="W143" i="1"/>
  <c r="G144" i="3"/>
  <c r="I145" i="1"/>
  <c r="V144" i="1"/>
  <c r="J144" i="1"/>
  <c r="G144" i="2"/>
  <c r="Y144" i="1"/>
  <c r="Z144" i="1" s="1"/>
  <c r="S144" i="1"/>
  <c r="W144" i="1" s="1"/>
  <c r="N144" i="1"/>
  <c r="O144" i="1"/>
  <c r="R144" i="1"/>
  <c r="H144" i="3" l="1"/>
  <c r="AR144" i="3"/>
  <c r="AQ144" i="3"/>
  <c r="AN144" i="3"/>
  <c r="AM144" i="3"/>
  <c r="AL144" i="3"/>
  <c r="AK144" i="3"/>
  <c r="AI144" i="3"/>
  <c r="AJ144" i="3"/>
  <c r="AE144" i="3"/>
  <c r="AH144" i="3"/>
  <c r="AF144" i="3"/>
  <c r="AD144" i="3"/>
  <c r="AG144" i="3"/>
  <c r="AC144" i="3"/>
  <c r="AA144" i="3"/>
  <c r="AB144" i="3"/>
  <c r="Z144" i="3"/>
  <c r="Y144" i="3"/>
  <c r="X144" i="3"/>
  <c r="U144" i="3"/>
  <c r="W144" i="3"/>
  <c r="V144" i="3"/>
  <c r="R144" i="3"/>
  <c r="T144" i="3"/>
  <c r="Q144" i="3"/>
  <c r="S144" i="3"/>
  <c r="M144" i="3"/>
  <c r="P144" i="3"/>
  <c r="O144" i="3"/>
  <c r="K144" i="3"/>
  <c r="N144" i="3"/>
  <c r="L144" i="3"/>
  <c r="I144" i="3"/>
  <c r="J144" i="3"/>
  <c r="AO144" i="3"/>
  <c r="AP144" i="3"/>
  <c r="L144" i="1"/>
  <c r="P144" i="1" s="1"/>
  <c r="AA144" i="1"/>
  <c r="H144" i="2"/>
  <c r="AR144" i="2"/>
  <c r="AN144" i="2"/>
  <c r="AQ144" i="2"/>
  <c r="AM144" i="2"/>
  <c r="AL144" i="2"/>
  <c r="AI144" i="2"/>
  <c r="AK144" i="2"/>
  <c r="AJ144" i="2"/>
  <c r="AH144" i="2"/>
  <c r="AG144" i="2"/>
  <c r="AF144" i="2"/>
  <c r="AE144" i="2"/>
  <c r="AD144" i="2"/>
  <c r="Z144" i="2"/>
  <c r="AC144" i="2"/>
  <c r="AB144" i="2"/>
  <c r="X144" i="2"/>
  <c r="AA144" i="2"/>
  <c r="W144" i="2"/>
  <c r="Y144" i="2"/>
  <c r="V144" i="2"/>
  <c r="U144" i="2"/>
  <c r="Q144" i="2"/>
  <c r="T144" i="2"/>
  <c r="S144" i="2"/>
  <c r="R144" i="2"/>
  <c r="M144" i="2"/>
  <c r="P144" i="2"/>
  <c r="O144" i="2"/>
  <c r="K144" i="2"/>
  <c r="N144" i="2"/>
  <c r="L144" i="2"/>
  <c r="I144" i="2"/>
  <c r="AO144" i="2"/>
  <c r="AP144" i="2"/>
  <c r="J144" i="2"/>
  <c r="G145" i="3"/>
  <c r="I146" i="1"/>
  <c r="V145" i="1"/>
  <c r="J145" i="1"/>
  <c r="G145" i="2"/>
  <c r="Y145" i="1"/>
  <c r="Z145" i="1" s="1"/>
  <c r="S145" i="1"/>
  <c r="W145" i="1" s="1"/>
  <c r="N145" i="1"/>
  <c r="O145" i="1"/>
  <c r="R145" i="1"/>
  <c r="H145" i="3" l="1"/>
  <c r="AR145" i="3"/>
  <c r="AN145" i="3"/>
  <c r="AQ145" i="3"/>
  <c r="AM145" i="3"/>
  <c r="AL145" i="3"/>
  <c r="AK145" i="3"/>
  <c r="AI145" i="3"/>
  <c r="AJ145" i="3"/>
  <c r="AH145" i="3"/>
  <c r="AG145" i="3"/>
  <c r="AF145" i="3"/>
  <c r="AD145" i="3"/>
  <c r="AE145" i="3"/>
  <c r="AA145" i="3"/>
  <c r="AC145" i="3"/>
  <c r="AB145" i="3"/>
  <c r="X145" i="3"/>
  <c r="Y145" i="3"/>
  <c r="Z145" i="3"/>
  <c r="U145" i="3"/>
  <c r="V145" i="3"/>
  <c r="R145" i="3"/>
  <c r="W145" i="3"/>
  <c r="T145" i="3"/>
  <c r="Q145" i="3"/>
  <c r="S145" i="3"/>
  <c r="O145" i="3"/>
  <c r="P145" i="3"/>
  <c r="K145" i="3"/>
  <c r="N145" i="3"/>
  <c r="M145" i="3"/>
  <c r="L145" i="3"/>
  <c r="I145" i="3"/>
  <c r="J145" i="3"/>
  <c r="AO145" i="3"/>
  <c r="AP145" i="3"/>
  <c r="G146" i="3"/>
  <c r="I147" i="1"/>
  <c r="V146" i="1"/>
  <c r="J146" i="1"/>
  <c r="G146" i="2"/>
  <c r="Y146" i="1"/>
  <c r="Z146" i="1" s="1"/>
  <c r="R146" i="1"/>
  <c r="O146" i="1"/>
  <c r="S146" i="1"/>
  <c r="W146" i="1" s="1"/>
  <c r="N146" i="1"/>
  <c r="H145" i="2"/>
  <c r="AR145" i="2"/>
  <c r="AN145" i="2"/>
  <c r="AQ145" i="2"/>
  <c r="AM145" i="2"/>
  <c r="AL145" i="2"/>
  <c r="AK145" i="2"/>
  <c r="AJ145" i="2"/>
  <c r="AH145" i="2"/>
  <c r="AI145" i="2"/>
  <c r="AF145" i="2"/>
  <c r="AE145" i="2"/>
  <c r="AG145" i="2"/>
  <c r="AD145" i="2"/>
  <c r="AC145" i="2"/>
  <c r="AB145" i="2"/>
  <c r="Z145" i="2"/>
  <c r="X145" i="2"/>
  <c r="AA145" i="2"/>
  <c r="V145" i="2"/>
  <c r="Y145" i="2"/>
  <c r="U145" i="2"/>
  <c r="W145" i="2"/>
  <c r="S145" i="2"/>
  <c r="T145" i="2"/>
  <c r="R145" i="2"/>
  <c r="Q145" i="2"/>
  <c r="P145" i="2"/>
  <c r="N145" i="2"/>
  <c r="O145" i="2"/>
  <c r="M145" i="2"/>
  <c r="AO145" i="2"/>
  <c r="I145" i="2"/>
  <c r="K145" i="2"/>
  <c r="L145" i="2"/>
  <c r="J145" i="2"/>
  <c r="AP145" i="2"/>
  <c r="L145" i="1"/>
  <c r="P145" i="1" s="1"/>
  <c r="AA145" i="1"/>
  <c r="L146" i="1" l="1"/>
  <c r="P146" i="1" s="1"/>
  <c r="AA146" i="1"/>
  <c r="I148" i="1"/>
  <c r="G147" i="3"/>
  <c r="V147" i="1"/>
  <c r="J147" i="1"/>
  <c r="G147" i="2"/>
  <c r="Y147" i="1"/>
  <c r="Z147" i="1" s="1"/>
  <c r="S147" i="1"/>
  <c r="W147" i="1" s="1"/>
  <c r="O147" i="1"/>
  <c r="R147" i="1"/>
  <c r="N147" i="1"/>
  <c r="H146" i="3"/>
  <c r="AR146" i="3"/>
  <c r="AN146" i="3"/>
  <c r="AQ146" i="3"/>
  <c r="AM146" i="3"/>
  <c r="AL146" i="3"/>
  <c r="AK146" i="3"/>
  <c r="AI146" i="3"/>
  <c r="AJ146" i="3"/>
  <c r="AG146" i="3"/>
  <c r="AH146" i="3"/>
  <c r="AE146" i="3"/>
  <c r="AF146" i="3"/>
  <c r="AC146" i="3"/>
  <c r="AD146" i="3"/>
  <c r="Z146" i="3"/>
  <c r="AA146" i="3"/>
  <c r="AB146" i="3"/>
  <c r="X146" i="3"/>
  <c r="Y146" i="3"/>
  <c r="W146" i="3"/>
  <c r="V146" i="3"/>
  <c r="R146" i="3"/>
  <c r="U146" i="3"/>
  <c r="T146" i="3"/>
  <c r="O146" i="3"/>
  <c r="Q146" i="3"/>
  <c r="S146" i="3"/>
  <c r="M146" i="3"/>
  <c r="P146" i="3"/>
  <c r="K146" i="3"/>
  <c r="N146" i="3"/>
  <c r="L146" i="3"/>
  <c r="I146" i="3"/>
  <c r="J146" i="3"/>
  <c r="AO146" i="3"/>
  <c r="AP146" i="3"/>
  <c r="H146" i="2"/>
  <c r="AR146" i="2"/>
  <c r="AQ146" i="2"/>
  <c r="AM146" i="2"/>
  <c r="AL146" i="2"/>
  <c r="AN146" i="2"/>
  <c r="AJ146" i="2"/>
  <c r="AK146" i="2"/>
  <c r="AI146" i="2"/>
  <c r="AF146" i="2"/>
  <c r="AH146" i="2"/>
  <c r="AE146" i="2"/>
  <c r="AG146" i="2"/>
  <c r="AD146" i="2"/>
  <c r="AB146" i="2"/>
  <c r="AC146" i="2"/>
  <c r="AA146" i="2"/>
  <c r="Z146" i="2"/>
  <c r="Y146" i="2"/>
  <c r="V146" i="2"/>
  <c r="W146" i="2"/>
  <c r="X146" i="2"/>
  <c r="S146" i="2"/>
  <c r="U146" i="2"/>
  <c r="R146" i="2"/>
  <c r="T146" i="2"/>
  <c r="N146" i="2"/>
  <c r="Q146" i="2"/>
  <c r="P146" i="2"/>
  <c r="O146" i="2"/>
  <c r="L146" i="2"/>
  <c r="M146" i="2"/>
  <c r="J146" i="2"/>
  <c r="AO146" i="2"/>
  <c r="I146" i="2"/>
  <c r="K146" i="2"/>
  <c r="AP146" i="2"/>
  <c r="H147" i="3" l="1"/>
  <c r="AR147" i="3"/>
  <c r="AN147" i="3"/>
  <c r="AQ147" i="3"/>
  <c r="AJ147" i="3"/>
  <c r="AL147" i="3"/>
  <c r="AM147" i="3"/>
  <c r="AK147" i="3"/>
  <c r="AG147" i="3"/>
  <c r="AH147" i="3"/>
  <c r="AI147" i="3"/>
  <c r="AF147" i="3"/>
  <c r="AE147" i="3"/>
  <c r="AA147" i="3"/>
  <c r="AC147" i="3"/>
  <c r="AD147" i="3"/>
  <c r="AB147" i="3"/>
  <c r="Z147" i="3"/>
  <c r="X147" i="3"/>
  <c r="Y147" i="3"/>
  <c r="V147" i="3"/>
  <c r="W147" i="3"/>
  <c r="U147" i="3"/>
  <c r="T147" i="3"/>
  <c r="S147" i="3"/>
  <c r="R147" i="3"/>
  <c r="Q147" i="3"/>
  <c r="O147" i="3"/>
  <c r="P147" i="3"/>
  <c r="N147" i="3"/>
  <c r="L147" i="3"/>
  <c r="I147" i="3"/>
  <c r="K147" i="3"/>
  <c r="M147" i="3"/>
  <c r="AP147" i="3"/>
  <c r="J147" i="3"/>
  <c r="AO147" i="3"/>
  <c r="L147" i="1"/>
  <c r="P147" i="1" s="1"/>
  <c r="AA147" i="1"/>
  <c r="G148" i="3"/>
  <c r="I149" i="1"/>
  <c r="J148" i="1"/>
  <c r="V148" i="1"/>
  <c r="Y148" i="1"/>
  <c r="Z148" i="1" s="1"/>
  <c r="G148" i="2"/>
  <c r="O148" i="1"/>
  <c r="N148" i="1"/>
  <c r="R148" i="1"/>
  <c r="S148" i="1"/>
  <c r="H147" i="2"/>
  <c r="AR147" i="2"/>
  <c r="AQ147" i="2"/>
  <c r="AM147" i="2"/>
  <c r="AN147" i="2"/>
  <c r="AL147" i="2"/>
  <c r="AJ147" i="2"/>
  <c r="AK147" i="2"/>
  <c r="AI147" i="2"/>
  <c r="AF147" i="2"/>
  <c r="AH147" i="2"/>
  <c r="AG147" i="2"/>
  <c r="AE147" i="2"/>
  <c r="AB147" i="2"/>
  <c r="AD147" i="2"/>
  <c r="AA147" i="2"/>
  <c r="AC147" i="2"/>
  <c r="Y147" i="2"/>
  <c r="Z147" i="2"/>
  <c r="V147" i="2"/>
  <c r="W147" i="2"/>
  <c r="X147" i="2"/>
  <c r="S147" i="2"/>
  <c r="U147" i="2"/>
  <c r="R147" i="2"/>
  <c r="T147" i="2"/>
  <c r="P147" i="2"/>
  <c r="N147" i="2"/>
  <c r="Q147" i="2"/>
  <c r="O147" i="2"/>
  <c r="I147" i="2"/>
  <c r="L147" i="2"/>
  <c r="M147" i="2"/>
  <c r="J147" i="2"/>
  <c r="K147" i="2"/>
  <c r="AO147" i="2"/>
  <c r="AP147" i="2"/>
  <c r="H148" i="2" l="1"/>
  <c r="AR148" i="2"/>
  <c r="AQ148" i="2"/>
  <c r="AM148" i="2"/>
  <c r="AL148" i="2"/>
  <c r="AN148" i="2"/>
  <c r="AJ148" i="2"/>
  <c r="AK148" i="2"/>
  <c r="AI148" i="2"/>
  <c r="AH148" i="2"/>
  <c r="AF148" i="2"/>
  <c r="AG148" i="2"/>
  <c r="AB148" i="2"/>
  <c r="AE148" i="2"/>
  <c r="AD148" i="2"/>
  <c r="AA148" i="2"/>
  <c r="AC148" i="2"/>
  <c r="Y148" i="2"/>
  <c r="Z148" i="2"/>
  <c r="X148" i="2"/>
  <c r="W148" i="2"/>
  <c r="S148" i="2"/>
  <c r="V148" i="2"/>
  <c r="U148" i="2"/>
  <c r="T148" i="2"/>
  <c r="P148" i="2"/>
  <c r="R148" i="2"/>
  <c r="L148" i="2"/>
  <c r="N148" i="2"/>
  <c r="Q148" i="2"/>
  <c r="O148" i="2"/>
  <c r="M148" i="2"/>
  <c r="J148" i="2"/>
  <c r="K148" i="2"/>
  <c r="I148" i="2"/>
  <c r="AO148" i="2"/>
  <c r="AP148" i="2"/>
  <c r="G149" i="3"/>
  <c r="I150" i="1"/>
  <c r="V149" i="1"/>
  <c r="J149" i="1"/>
  <c r="G149" i="2"/>
  <c r="Y149" i="1"/>
  <c r="Z149" i="1" s="1"/>
  <c r="S149" i="1"/>
  <c r="W149" i="1" s="1"/>
  <c r="N149" i="1"/>
  <c r="O149" i="1"/>
  <c r="R149" i="1"/>
  <c r="L148" i="1"/>
  <c r="P148" i="1" s="1"/>
  <c r="AA148" i="1"/>
  <c r="H148" i="3"/>
  <c r="AR148" i="3"/>
  <c r="AQ148" i="3"/>
  <c r="AN148" i="3"/>
  <c r="AM148" i="3"/>
  <c r="AL148" i="3"/>
  <c r="AK148" i="3"/>
  <c r="AG148" i="3"/>
  <c r="AI148" i="3"/>
  <c r="AJ148" i="3"/>
  <c r="AF148" i="3"/>
  <c r="AH148" i="3"/>
  <c r="AE148" i="3"/>
  <c r="AC148" i="3"/>
  <c r="AD148" i="3"/>
  <c r="AB148" i="3"/>
  <c r="Z148" i="3"/>
  <c r="AA148" i="3"/>
  <c r="Y148" i="3"/>
  <c r="V148" i="3"/>
  <c r="X148" i="3"/>
  <c r="W148" i="3"/>
  <c r="T148" i="3"/>
  <c r="S148" i="3"/>
  <c r="U148" i="3"/>
  <c r="O148" i="3"/>
  <c r="R148" i="3"/>
  <c r="P148" i="3"/>
  <c r="N148" i="3"/>
  <c r="Q148" i="3"/>
  <c r="L148" i="3"/>
  <c r="M148" i="3"/>
  <c r="J148" i="3"/>
  <c r="AO148" i="3"/>
  <c r="AP148" i="3"/>
  <c r="I148" i="3"/>
  <c r="K148" i="3"/>
  <c r="W148" i="1"/>
  <c r="G150" i="3" l="1"/>
  <c r="I151" i="1"/>
  <c r="V150" i="1"/>
  <c r="J150" i="1"/>
  <c r="G150" i="2"/>
  <c r="Y150" i="1"/>
  <c r="Z150" i="1" s="1"/>
  <c r="S150" i="1"/>
  <c r="W150" i="1" s="1"/>
  <c r="R150" i="1"/>
  <c r="N150" i="1"/>
  <c r="O150" i="1"/>
  <c r="H149" i="3"/>
  <c r="AQ149" i="3"/>
  <c r="AR149" i="3"/>
  <c r="AN149" i="3"/>
  <c r="AM149" i="3"/>
  <c r="AL149" i="3"/>
  <c r="AK149" i="3"/>
  <c r="AG149" i="3"/>
  <c r="AI149" i="3"/>
  <c r="AJ149" i="3"/>
  <c r="AF149" i="3"/>
  <c r="AH149" i="3"/>
  <c r="AB149" i="3"/>
  <c r="AE149" i="3"/>
  <c r="AC149" i="3"/>
  <c r="AD149" i="3"/>
  <c r="Y149" i="3"/>
  <c r="Z149" i="3"/>
  <c r="AA149" i="3"/>
  <c r="W149" i="3"/>
  <c r="T149" i="3"/>
  <c r="V149" i="3"/>
  <c r="X149" i="3"/>
  <c r="S149" i="3"/>
  <c r="U149" i="3"/>
  <c r="R149" i="3"/>
  <c r="Q149" i="3"/>
  <c r="P149" i="3"/>
  <c r="N149" i="3"/>
  <c r="O149" i="3"/>
  <c r="L149" i="3"/>
  <c r="M149" i="3"/>
  <c r="I149" i="3"/>
  <c r="K149" i="3"/>
  <c r="J149" i="3"/>
  <c r="AO149" i="3"/>
  <c r="AP149" i="3"/>
  <c r="H149" i="2"/>
  <c r="AQ149" i="2"/>
  <c r="AR149" i="2"/>
  <c r="AM149" i="2"/>
  <c r="AK149" i="2"/>
  <c r="AL149" i="2"/>
  <c r="AN149" i="2"/>
  <c r="AJ149" i="2"/>
  <c r="AH149" i="2"/>
  <c r="AI149" i="2"/>
  <c r="AG149" i="2"/>
  <c r="AF149" i="2"/>
  <c r="AB149" i="2"/>
  <c r="AE149" i="2"/>
  <c r="AD149" i="2"/>
  <c r="AA149" i="2"/>
  <c r="AC149" i="2"/>
  <c r="Y149" i="2"/>
  <c r="Z149" i="2"/>
  <c r="W149" i="2"/>
  <c r="X149" i="2"/>
  <c r="V149" i="2"/>
  <c r="U149" i="2"/>
  <c r="T149" i="2"/>
  <c r="R149" i="2"/>
  <c r="S149" i="2"/>
  <c r="Q149" i="2"/>
  <c r="P149" i="2"/>
  <c r="O149" i="2"/>
  <c r="M149" i="2"/>
  <c r="N149" i="2"/>
  <c r="L149" i="2"/>
  <c r="K149" i="2"/>
  <c r="J149" i="2"/>
  <c r="AO149" i="2"/>
  <c r="I149" i="2"/>
  <c r="AP149" i="2"/>
  <c r="L149" i="1"/>
  <c r="P149" i="1" s="1"/>
  <c r="AA149" i="1"/>
  <c r="H150" i="2" l="1"/>
  <c r="AQ150" i="2"/>
  <c r="AR150" i="2"/>
  <c r="AL150" i="2"/>
  <c r="AN150" i="2"/>
  <c r="AK150" i="2"/>
  <c r="AM150" i="2"/>
  <c r="AJ150" i="2"/>
  <c r="AH150" i="2"/>
  <c r="AI150" i="2"/>
  <c r="AG150" i="2"/>
  <c r="AF150" i="2"/>
  <c r="AD150" i="2"/>
  <c r="AE150" i="2"/>
  <c r="AC150" i="2"/>
  <c r="AA150" i="2"/>
  <c r="AB150" i="2"/>
  <c r="Y150" i="2"/>
  <c r="Z150" i="2"/>
  <c r="W150" i="2"/>
  <c r="X150" i="2"/>
  <c r="U150" i="2"/>
  <c r="T150" i="2"/>
  <c r="V150" i="2"/>
  <c r="S150" i="2"/>
  <c r="P150" i="2"/>
  <c r="R150" i="2"/>
  <c r="O150" i="2"/>
  <c r="Q150" i="2"/>
  <c r="M150" i="2"/>
  <c r="J150" i="2"/>
  <c r="N150" i="2"/>
  <c r="L150" i="2"/>
  <c r="K150" i="2"/>
  <c r="AO150" i="2"/>
  <c r="I150" i="2"/>
  <c r="AP150" i="2"/>
  <c r="L150" i="1"/>
  <c r="P150" i="1" s="1"/>
  <c r="AA150" i="1"/>
  <c r="I152" i="1"/>
  <c r="G151" i="3"/>
  <c r="J151" i="1"/>
  <c r="V151" i="1"/>
  <c r="G151" i="2"/>
  <c r="Y151" i="1"/>
  <c r="Z151" i="1" s="1"/>
  <c r="O151" i="1"/>
  <c r="R151" i="1"/>
  <c r="S151" i="1"/>
  <c r="N151" i="1"/>
  <c r="H150" i="3"/>
  <c r="AQ150" i="3"/>
  <c r="AR150" i="3"/>
  <c r="AN150" i="3"/>
  <c r="AM150" i="3"/>
  <c r="AK150" i="3"/>
  <c r="AL150" i="3"/>
  <c r="AI150" i="3"/>
  <c r="AJ150" i="3"/>
  <c r="AH150" i="3"/>
  <c r="AG150" i="3"/>
  <c r="AF150" i="3"/>
  <c r="AB150" i="3"/>
  <c r="AE150" i="3"/>
  <c r="AD150" i="3"/>
  <c r="AC150" i="3"/>
  <c r="Y150" i="3"/>
  <c r="Z150" i="3"/>
  <c r="AA150" i="3"/>
  <c r="W150" i="3"/>
  <c r="V150" i="3"/>
  <c r="X150" i="3"/>
  <c r="U150" i="3"/>
  <c r="T150" i="3"/>
  <c r="S150" i="3"/>
  <c r="P150" i="3"/>
  <c r="R150" i="3"/>
  <c r="Q150" i="3"/>
  <c r="L150" i="3"/>
  <c r="N150" i="3"/>
  <c r="O150" i="3"/>
  <c r="J150" i="3"/>
  <c r="M150" i="3"/>
  <c r="K150" i="3"/>
  <c r="AO150" i="3"/>
  <c r="I150" i="3"/>
  <c r="AP150" i="3"/>
  <c r="H151" i="2" l="1"/>
  <c r="AR151" i="2"/>
  <c r="AQ151" i="2"/>
  <c r="AM151" i="2"/>
  <c r="AN151" i="2"/>
  <c r="AL151" i="2"/>
  <c r="AK151" i="2"/>
  <c r="AI151" i="2"/>
  <c r="AJ151" i="2"/>
  <c r="AH151" i="2"/>
  <c r="AG151" i="2"/>
  <c r="AD151" i="2"/>
  <c r="AF151" i="2"/>
  <c r="AC151" i="2"/>
  <c r="AE151" i="2"/>
  <c r="AA151" i="2"/>
  <c r="AB151" i="2"/>
  <c r="Z151" i="2"/>
  <c r="Y151" i="2"/>
  <c r="U151" i="2"/>
  <c r="W151" i="2"/>
  <c r="X151" i="2"/>
  <c r="T151" i="2"/>
  <c r="V151" i="2"/>
  <c r="S151" i="2"/>
  <c r="R151" i="2"/>
  <c r="Q151" i="2"/>
  <c r="P151" i="2"/>
  <c r="O151" i="2"/>
  <c r="M151" i="2"/>
  <c r="N151" i="2"/>
  <c r="L151" i="2"/>
  <c r="K151" i="2"/>
  <c r="J151" i="2"/>
  <c r="I151" i="2"/>
  <c r="AP151" i="2"/>
  <c r="AO151" i="2"/>
  <c r="L151" i="1"/>
  <c r="P151" i="1" s="1"/>
  <c r="AA151" i="1"/>
  <c r="H151" i="3"/>
  <c r="AQ151" i="3"/>
  <c r="AR151" i="3"/>
  <c r="AN151" i="3"/>
  <c r="AM151" i="3"/>
  <c r="AL151" i="3"/>
  <c r="AK151" i="3"/>
  <c r="AJ151" i="3"/>
  <c r="AH151" i="3"/>
  <c r="AI151" i="3"/>
  <c r="AG151" i="3"/>
  <c r="AF151" i="3"/>
  <c r="AB151" i="3"/>
  <c r="AE151" i="3"/>
  <c r="AC151" i="3"/>
  <c r="AD151" i="3"/>
  <c r="AA151" i="3"/>
  <c r="W151" i="3"/>
  <c r="Y151" i="3"/>
  <c r="Z151" i="3"/>
  <c r="X151" i="3"/>
  <c r="U151" i="3"/>
  <c r="T151" i="3"/>
  <c r="V151" i="3"/>
  <c r="P151" i="3"/>
  <c r="S151" i="3"/>
  <c r="R151" i="3"/>
  <c r="O151" i="3"/>
  <c r="Q151" i="3"/>
  <c r="J151" i="3"/>
  <c r="M151" i="3"/>
  <c r="L151" i="3"/>
  <c r="K151" i="3"/>
  <c r="N151" i="3"/>
  <c r="AO151" i="3"/>
  <c r="I151" i="3"/>
  <c r="AP151" i="3"/>
  <c r="G152" i="3"/>
  <c r="I153" i="1"/>
  <c r="V152" i="1"/>
  <c r="J152" i="1"/>
  <c r="G152" i="2"/>
  <c r="Y152" i="1"/>
  <c r="Z152" i="1" s="1"/>
  <c r="S152" i="1"/>
  <c r="W152" i="1" s="1"/>
  <c r="N152" i="1"/>
  <c r="R152" i="1"/>
  <c r="O152" i="1"/>
  <c r="W151" i="1"/>
  <c r="H152" i="3" l="1"/>
  <c r="AR152" i="3"/>
  <c r="AQ152" i="3"/>
  <c r="AN152" i="3"/>
  <c r="AL152" i="3"/>
  <c r="AK152" i="3"/>
  <c r="AM152" i="3"/>
  <c r="AJ152" i="3"/>
  <c r="AH152" i="3"/>
  <c r="AI152" i="3"/>
  <c r="AG152" i="3"/>
  <c r="AF152" i="3"/>
  <c r="AD152" i="3"/>
  <c r="AE152" i="3"/>
  <c r="AC152" i="3"/>
  <c r="AA152" i="3"/>
  <c r="AB152" i="3"/>
  <c r="Y152" i="3"/>
  <c r="Z152" i="3"/>
  <c r="X152" i="3"/>
  <c r="W152" i="3"/>
  <c r="V152" i="3"/>
  <c r="U152" i="3"/>
  <c r="T152" i="3"/>
  <c r="P152" i="3"/>
  <c r="S152" i="3"/>
  <c r="R152" i="3"/>
  <c r="Q152" i="3"/>
  <c r="L152" i="3"/>
  <c r="O152" i="3"/>
  <c r="N152" i="3"/>
  <c r="J152" i="3"/>
  <c r="M152" i="3"/>
  <c r="K152" i="3"/>
  <c r="AO152" i="3"/>
  <c r="I152" i="3"/>
  <c r="AP152" i="3"/>
  <c r="G153" i="3"/>
  <c r="I154" i="1"/>
  <c r="J153" i="1"/>
  <c r="V153" i="1"/>
  <c r="G153" i="2"/>
  <c r="Y153" i="1"/>
  <c r="Z153" i="1" s="1"/>
  <c r="N153" i="1"/>
  <c r="O153" i="1"/>
  <c r="R153" i="1"/>
  <c r="S153" i="1"/>
  <c r="W153" i="1" s="1"/>
  <c r="H152" i="2"/>
  <c r="AR152" i="2"/>
  <c r="AQ152" i="2"/>
  <c r="AN152" i="2"/>
  <c r="AM152" i="2"/>
  <c r="AL152" i="2"/>
  <c r="AK152" i="2"/>
  <c r="AI152" i="2"/>
  <c r="AJ152" i="2"/>
  <c r="AG152" i="2"/>
  <c r="AH152" i="2"/>
  <c r="AF152" i="2"/>
  <c r="AD152" i="2"/>
  <c r="AC152" i="2"/>
  <c r="AE152" i="2"/>
  <c r="AB152" i="2"/>
  <c r="Z152" i="2"/>
  <c r="Y152" i="2"/>
  <c r="AA152" i="2"/>
  <c r="X152" i="2"/>
  <c r="U152" i="2"/>
  <c r="W152" i="2"/>
  <c r="R152" i="2"/>
  <c r="T152" i="2"/>
  <c r="V152" i="2"/>
  <c r="Q152" i="2"/>
  <c r="S152" i="2"/>
  <c r="M152" i="2"/>
  <c r="P152" i="2"/>
  <c r="O152" i="2"/>
  <c r="L152" i="2"/>
  <c r="K152" i="2"/>
  <c r="N152" i="2"/>
  <c r="AP152" i="2"/>
  <c r="J152" i="2"/>
  <c r="I152" i="2"/>
  <c r="AO152" i="2"/>
  <c r="L152" i="1"/>
  <c r="P152" i="1" s="1"/>
  <c r="AA152" i="1"/>
  <c r="G154" i="3" l="1"/>
  <c r="I155" i="1"/>
  <c r="V154" i="1"/>
  <c r="J154" i="1"/>
  <c r="G154" i="2"/>
  <c r="Y154" i="1"/>
  <c r="Z154" i="1" s="1"/>
  <c r="S154" i="1"/>
  <c r="W154" i="1" s="1"/>
  <c r="N154" i="1"/>
  <c r="R154" i="1"/>
  <c r="O154" i="1"/>
  <c r="H153" i="3"/>
  <c r="AR153" i="3"/>
  <c r="AQ153" i="3"/>
  <c r="AN153" i="3"/>
  <c r="AM153" i="3"/>
  <c r="AL153" i="3"/>
  <c r="AK153" i="3"/>
  <c r="AJ153" i="3"/>
  <c r="AI153" i="3"/>
  <c r="AH153" i="3"/>
  <c r="AD153" i="3"/>
  <c r="AF153" i="3"/>
  <c r="AG153" i="3"/>
  <c r="AC153" i="3"/>
  <c r="AE153" i="3"/>
  <c r="AA153" i="3"/>
  <c r="AB153" i="3"/>
  <c r="W153" i="3"/>
  <c r="Z153" i="3"/>
  <c r="U153" i="3"/>
  <c r="X153" i="3"/>
  <c r="Y153" i="3"/>
  <c r="V153" i="3"/>
  <c r="T153" i="3"/>
  <c r="S153" i="3"/>
  <c r="R153" i="3"/>
  <c r="Q153" i="3"/>
  <c r="P153" i="3"/>
  <c r="O153" i="3"/>
  <c r="M153" i="3"/>
  <c r="N153" i="3"/>
  <c r="L153" i="3"/>
  <c r="K153" i="3"/>
  <c r="J153" i="3"/>
  <c r="AO153" i="3"/>
  <c r="I153" i="3"/>
  <c r="AP153" i="3"/>
  <c r="H153" i="2"/>
  <c r="AR153" i="2"/>
  <c r="AN153" i="2"/>
  <c r="AQ153" i="2"/>
  <c r="AM153" i="2"/>
  <c r="AL153" i="2"/>
  <c r="AK153" i="2"/>
  <c r="AJ153" i="2"/>
  <c r="AI153" i="2"/>
  <c r="AH153" i="2"/>
  <c r="AG153" i="2"/>
  <c r="AD153" i="2"/>
  <c r="AF153" i="2"/>
  <c r="AC153" i="2"/>
  <c r="AE153" i="2"/>
  <c r="AB153" i="2"/>
  <c r="X153" i="2"/>
  <c r="Y153" i="2"/>
  <c r="AA153" i="2"/>
  <c r="Z153" i="2"/>
  <c r="T153" i="2"/>
  <c r="U153" i="2"/>
  <c r="W153" i="2"/>
  <c r="V153" i="2"/>
  <c r="Q153" i="2"/>
  <c r="S153" i="2"/>
  <c r="R153" i="2"/>
  <c r="P153" i="2"/>
  <c r="O153" i="2"/>
  <c r="L153" i="2"/>
  <c r="K153" i="2"/>
  <c r="M153" i="2"/>
  <c r="N153" i="2"/>
  <c r="I153" i="2"/>
  <c r="AP153" i="2"/>
  <c r="J153" i="2"/>
  <c r="AO153" i="2"/>
  <c r="L153" i="1"/>
  <c r="P153" i="1" s="1"/>
  <c r="AA153" i="1"/>
  <c r="H154" i="2" l="1"/>
  <c r="AN154" i="2"/>
  <c r="AR154" i="2"/>
  <c r="AM154" i="2"/>
  <c r="AQ154" i="2"/>
  <c r="AL154" i="2"/>
  <c r="AK154" i="2"/>
  <c r="AI154" i="2"/>
  <c r="AJ154" i="2"/>
  <c r="AH154" i="2"/>
  <c r="AG154" i="2"/>
  <c r="AF154" i="2"/>
  <c r="AE154" i="2"/>
  <c r="AD154" i="2"/>
  <c r="Z154" i="2"/>
  <c r="AC154" i="2"/>
  <c r="AB154" i="2"/>
  <c r="X154" i="2"/>
  <c r="AA154" i="2"/>
  <c r="Y154" i="2"/>
  <c r="W154" i="2"/>
  <c r="V154" i="2"/>
  <c r="U154" i="2"/>
  <c r="T154" i="2"/>
  <c r="Q154" i="2"/>
  <c r="S154" i="2"/>
  <c r="R154" i="2"/>
  <c r="M154" i="2"/>
  <c r="P154" i="2"/>
  <c r="L154" i="2"/>
  <c r="K154" i="2"/>
  <c r="O154" i="2"/>
  <c r="N154" i="2"/>
  <c r="I154" i="2"/>
  <c r="AO154" i="2"/>
  <c r="AP154" i="2"/>
  <c r="J154" i="2"/>
  <c r="L154" i="1"/>
  <c r="P154" i="1" s="1"/>
  <c r="AA154" i="1"/>
  <c r="G155" i="3"/>
  <c r="I156" i="1"/>
  <c r="V155" i="1"/>
  <c r="J155" i="1"/>
  <c r="G155" i="2"/>
  <c r="Y155" i="1"/>
  <c r="Z155" i="1" s="1"/>
  <c r="S155" i="1"/>
  <c r="O155" i="1"/>
  <c r="R155" i="1"/>
  <c r="N155" i="1"/>
  <c r="H154" i="3"/>
  <c r="AR154" i="3"/>
  <c r="AN154" i="3"/>
  <c r="AM154" i="3"/>
  <c r="AQ154" i="3"/>
  <c r="AL154" i="3"/>
  <c r="AI154" i="3"/>
  <c r="AJ154" i="3"/>
  <c r="AK154" i="3"/>
  <c r="AE154" i="3"/>
  <c r="AH154" i="3"/>
  <c r="AD154" i="3"/>
  <c r="AF154" i="3"/>
  <c r="AG154" i="3"/>
  <c r="AC154" i="3"/>
  <c r="AA154" i="3"/>
  <c r="AB154" i="3"/>
  <c r="Z154" i="3"/>
  <c r="Y154" i="3"/>
  <c r="X154" i="3"/>
  <c r="U154" i="3"/>
  <c r="W154" i="3"/>
  <c r="R154" i="3"/>
  <c r="V154" i="3"/>
  <c r="T154" i="3"/>
  <c r="Q154" i="3"/>
  <c r="S154" i="3"/>
  <c r="M154" i="3"/>
  <c r="P154" i="3"/>
  <c r="O154" i="3"/>
  <c r="K154" i="3"/>
  <c r="N154" i="3"/>
  <c r="L154" i="3"/>
  <c r="J154" i="3"/>
  <c r="AO154" i="3"/>
  <c r="I154" i="3"/>
  <c r="AP154" i="3"/>
  <c r="W155" i="1" l="1"/>
  <c r="L155" i="1"/>
  <c r="P155" i="1" s="1"/>
  <c r="AA155" i="1"/>
  <c r="H155" i="2"/>
  <c r="AR155" i="2"/>
  <c r="AN155" i="2"/>
  <c r="AQ155" i="2"/>
  <c r="AM155" i="2"/>
  <c r="AL155" i="2"/>
  <c r="AK155" i="2"/>
  <c r="AJ155" i="2"/>
  <c r="AI155" i="2"/>
  <c r="AH155" i="2"/>
  <c r="AF155" i="2"/>
  <c r="AE155" i="2"/>
  <c r="AG155" i="2"/>
  <c r="AD155" i="2"/>
  <c r="AC155" i="2"/>
  <c r="AB155" i="2"/>
  <c r="AA155" i="2"/>
  <c r="Z155" i="2"/>
  <c r="X155" i="2"/>
  <c r="V155" i="2"/>
  <c r="Y155" i="2"/>
  <c r="W155" i="2"/>
  <c r="U155" i="2"/>
  <c r="S155" i="2"/>
  <c r="T155" i="2"/>
  <c r="R155" i="2"/>
  <c r="P155" i="2"/>
  <c r="Q155" i="2"/>
  <c r="N155" i="2"/>
  <c r="L155" i="2"/>
  <c r="M155" i="2"/>
  <c r="O155" i="2"/>
  <c r="I155" i="2"/>
  <c r="AO155" i="2"/>
  <c r="K155" i="2"/>
  <c r="J155" i="2"/>
  <c r="AP155" i="2"/>
  <c r="I157" i="1"/>
  <c r="G156" i="3"/>
  <c r="V156" i="1"/>
  <c r="J156" i="1"/>
  <c r="G156" i="2"/>
  <c r="Y156" i="1"/>
  <c r="Z156" i="1" s="1"/>
  <c r="O156" i="1"/>
  <c r="R156" i="1"/>
  <c r="S156" i="1"/>
  <c r="N156" i="1"/>
  <c r="H155" i="3"/>
  <c r="AR155" i="3"/>
  <c r="AN155" i="3"/>
  <c r="AM155" i="3"/>
  <c r="AQ155" i="3"/>
  <c r="AL155" i="3"/>
  <c r="AI155" i="3"/>
  <c r="AK155" i="3"/>
  <c r="AJ155" i="3"/>
  <c r="AH155" i="3"/>
  <c r="AG155" i="3"/>
  <c r="AD155" i="3"/>
  <c r="AF155" i="3"/>
  <c r="AA155" i="3"/>
  <c r="AC155" i="3"/>
  <c r="AE155" i="3"/>
  <c r="AB155" i="3"/>
  <c r="X155" i="3"/>
  <c r="Z155" i="3"/>
  <c r="Y155" i="3"/>
  <c r="U155" i="3"/>
  <c r="W155" i="3"/>
  <c r="R155" i="3"/>
  <c r="V155" i="3"/>
  <c r="T155" i="3"/>
  <c r="Q155" i="3"/>
  <c r="S155" i="3"/>
  <c r="P155" i="3"/>
  <c r="O155" i="3"/>
  <c r="K155" i="3"/>
  <c r="N155" i="3"/>
  <c r="M155" i="3"/>
  <c r="L155" i="3"/>
  <c r="J155" i="3"/>
  <c r="AO155" i="3"/>
  <c r="I155" i="3"/>
  <c r="AP155" i="3"/>
  <c r="H156" i="2" l="1"/>
  <c r="AQ156" i="2"/>
  <c r="AR156" i="2"/>
  <c r="AN156" i="2"/>
  <c r="AM156" i="2"/>
  <c r="AJ156" i="2"/>
  <c r="AL156" i="2"/>
  <c r="AK156" i="2"/>
  <c r="AH156" i="2"/>
  <c r="AF156" i="2"/>
  <c r="AI156" i="2"/>
  <c r="AE156" i="2"/>
  <c r="AG156" i="2"/>
  <c r="AD156" i="2"/>
  <c r="AB156" i="2"/>
  <c r="AC156" i="2"/>
  <c r="AA156" i="2"/>
  <c r="Z156" i="2"/>
  <c r="Y156" i="2"/>
  <c r="V156" i="2"/>
  <c r="X156" i="2"/>
  <c r="W156" i="2"/>
  <c r="S156" i="2"/>
  <c r="U156" i="2"/>
  <c r="T156" i="2"/>
  <c r="R156" i="2"/>
  <c r="Q156" i="2"/>
  <c r="N156" i="2"/>
  <c r="P156" i="2"/>
  <c r="M156" i="2"/>
  <c r="O156" i="2"/>
  <c r="L156" i="2"/>
  <c r="I156" i="2"/>
  <c r="AO156" i="2"/>
  <c r="K156" i="2"/>
  <c r="J156" i="2"/>
  <c r="AP156" i="2"/>
  <c r="H156" i="3"/>
  <c r="AR156" i="3"/>
  <c r="AN156" i="3"/>
  <c r="AM156" i="3"/>
  <c r="AQ156" i="3"/>
  <c r="AL156" i="3"/>
  <c r="AI156" i="3"/>
  <c r="AK156" i="3"/>
  <c r="AJ156" i="3"/>
  <c r="AG156" i="3"/>
  <c r="AH156" i="3"/>
  <c r="AF156" i="3"/>
  <c r="AE156" i="3"/>
  <c r="AD156" i="3"/>
  <c r="AC156" i="3"/>
  <c r="Z156" i="3"/>
  <c r="AA156" i="3"/>
  <c r="AB156" i="3"/>
  <c r="X156" i="3"/>
  <c r="Y156" i="3"/>
  <c r="W156" i="3"/>
  <c r="V156" i="3"/>
  <c r="U156" i="3"/>
  <c r="R156" i="3"/>
  <c r="T156" i="3"/>
  <c r="O156" i="3"/>
  <c r="Q156" i="3"/>
  <c r="S156" i="3"/>
  <c r="M156" i="3"/>
  <c r="P156" i="3"/>
  <c r="K156" i="3"/>
  <c r="N156" i="3"/>
  <c r="L156" i="3"/>
  <c r="I156" i="3"/>
  <c r="J156" i="3"/>
  <c r="AO156" i="3"/>
  <c r="AP156" i="3"/>
  <c r="G157" i="3"/>
  <c r="I158" i="1"/>
  <c r="V157" i="1"/>
  <c r="J157" i="1"/>
  <c r="G157" i="2"/>
  <c r="Y157" i="1"/>
  <c r="Z157" i="1" s="1"/>
  <c r="S157" i="1"/>
  <c r="N157" i="1"/>
  <c r="O157" i="1"/>
  <c r="R157" i="1"/>
  <c r="L156" i="1"/>
  <c r="P156" i="1" s="1"/>
  <c r="AA156" i="1"/>
  <c r="W156" i="1"/>
  <c r="L157" i="1" l="1"/>
  <c r="P157" i="1" s="1"/>
  <c r="AA157" i="1"/>
  <c r="H157" i="2"/>
  <c r="AR157" i="2"/>
  <c r="AN157" i="2"/>
  <c r="AQ157" i="2"/>
  <c r="AM157" i="2"/>
  <c r="AL157" i="2"/>
  <c r="AJ157" i="2"/>
  <c r="AK157" i="2"/>
  <c r="AH157" i="2"/>
  <c r="AF157" i="2"/>
  <c r="AI157" i="2"/>
  <c r="AE157" i="2"/>
  <c r="AG157" i="2"/>
  <c r="AB157" i="2"/>
  <c r="AD157" i="2"/>
  <c r="AA157" i="2"/>
  <c r="AC157" i="2"/>
  <c r="Y157" i="2"/>
  <c r="Z157" i="2"/>
  <c r="V157" i="2"/>
  <c r="X157" i="2"/>
  <c r="W157" i="2"/>
  <c r="S157" i="2"/>
  <c r="U157" i="2"/>
  <c r="R157" i="2"/>
  <c r="T157" i="2"/>
  <c r="P157" i="2"/>
  <c r="Q157" i="2"/>
  <c r="N157" i="2"/>
  <c r="O157" i="2"/>
  <c r="I157" i="2"/>
  <c r="L157" i="2"/>
  <c r="M157" i="2"/>
  <c r="J157" i="2"/>
  <c r="AO157" i="2"/>
  <c r="K157" i="2"/>
  <c r="AP157" i="2"/>
  <c r="G158" i="3"/>
  <c r="I159" i="1"/>
  <c r="J158" i="1"/>
  <c r="V158" i="1"/>
  <c r="Y158" i="1"/>
  <c r="Z158" i="1" s="1"/>
  <c r="G158" i="2"/>
  <c r="N158" i="1"/>
  <c r="R158" i="1"/>
  <c r="O158" i="1"/>
  <c r="S158" i="1"/>
  <c r="W158" i="1" s="1"/>
  <c r="H157" i="3"/>
  <c r="AR157" i="3"/>
  <c r="AN157" i="3"/>
  <c r="AQ157" i="3"/>
  <c r="AJ157" i="3"/>
  <c r="AM157" i="3"/>
  <c r="AL157" i="3"/>
  <c r="AK157" i="3"/>
  <c r="AG157" i="3"/>
  <c r="AI157" i="3"/>
  <c r="AH157" i="3"/>
  <c r="AF157" i="3"/>
  <c r="AE157" i="3"/>
  <c r="AD157" i="3"/>
  <c r="AA157" i="3"/>
  <c r="AC157" i="3"/>
  <c r="Z157" i="3"/>
  <c r="AB157" i="3"/>
  <c r="X157" i="3"/>
  <c r="Y157" i="3"/>
  <c r="V157" i="3"/>
  <c r="W157" i="3"/>
  <c r="U157" i="3"/>
  <c r="T157" i="3"/>
  <c r="S157" i="3"/>
  <c r="Q157" i="3"/>
  <c r="R157" i="3"/>
  <c r="P157" i="3"/>
  <c r="O157" i="3"/>
  <c r="N157" i="3"/>
  <c r="I157" i="3"/>
  <c r="K157" i="3"/>
  <c r="M157" i="3"/>
  <c r="L157" i="3"/>
  <c r="AP157" i="3"/>
  <c r="J157" i="3"/>
  <c r="AO157" i="3"/>
  <c r="W157" i="1"/>
  <c r="H158" i="3" l="1"/>
  <c r="AR158" i="3"/>
  <c r="AQ158" i="3"/>
  <c r="AN158" i="3"/>
  <c r="AM158" i="3"/>
  <c r="AL158" i="3"/>
  <c r="AK158" i="3"/>
  <c r="AI158" i="3"/>
  <c r="AJ158" i="3"/>
  <c r="AG158" i="3"/>
  <c r="AF158" i="3"/>
  <c r="AH158" i="3"/>
  <c r="AE158" i="3"/>
  <c r="AD158" i="3"/>
  <c r="AC158" i="3"/>
  <c r="AB158" i="3"/>
  <c r="AA158" i="3"/>
  <c r="Z158" i="3"/>
  <c r="Y158" i="3"/>
  <c r="V158" i="3"/>
  <c r="X158" i="3"/>
  <c r="T158" i="3"/>
  <c r="S158" i="3"/>
  <c r="U158" i="3"/>
  <c r="W158" i="3"/>
  <c r="R158" i="3"/>
  <c r="O158" i="3"/>
  <c r="N158" i="3"/>
  <c r="Q158" i="3"/>
  <c r="P158" i="3"/>
  <c r="M158" i="3"/>
  <c r="L158" i="3"/>
  <c r="K158" i="3"/>
  <c r="AP158" i="3"/>
  <c r="J158" i="3"/>
  <c r="I158" i="3"/>
  <c r="AO158" i="3"/>
  <c r="H158" i="2"/>
  <c r="AR158" i="2"/>
  <c r="AN158" i="2"/>
  <c r="AQ158" i="2"/>
  <c r="AL158" i="2"/>
  <c r="AM158" i="2"/>
  <c r="AJ158" i="2"/>
  <c r="AK158" i="2"/>
  <c r="AH158" i="2"/>
  <c r="AF158" i="2"/>
  <c r="AI158" i="2"/>
  <c r="AG158" i="2"/>
  <c r="AB158" i="2"/>
  <c r="AD158" i="2"/>
  <c r="AE158" i="2"/>
  <c r="AA158" i="2"/>
  <c r="AC158" i="2"/>
  <c r="Y158" i="2"/>
  <c r="Z158" i="2"/>
  <c r="X158" i="2"/>
  <c r="W158" i="2"/>
  <c r="V158" i="2"/>
  <c r="S158" i="2"/>
  <c r="U158" i="2"/>
  <c r="P158" i="2"/>
  <c r="R158" i="2"/>
  <c r="T158" i="2"/>
  <c r="L158" i="2"/>
  <c r="Q158" i="2"/>
  <c r="N158" i="2"/>
  <c r="O158" i="2"/>
  <c r="J158" i="2"/>
  <c r="K158" i="2"/>
  <c r="M158" i="2"/>
  <c r="I158" i="2"/>
  <c r="AO158" i="2"/>
  <c r="AP158" i="2"/>
  <c r="L158" i="1"/>
  <c r="P158" i="1" s="1"/>
  <c r="AA158" i="1"/>
  <c r="G159" i="3"/>
  <c r="I160" i="1"/>
  <c r="V159" i="1"/>
  <c r="J159" i="1"/>
  <c r="G159" i="2"/>
  <c r="Y159" i="1"/>
  <c r="Z159" i="1" s="1"/>
  <c r="S159" i="1"/>
  <c r="W159" i="1" s="1"/>
  <c r="N159" i="1"/>
  <c r="O159" i="1"/>
  <c r="R159" i="1"/>
  <c r="I161" i="1" l="1"/>
  <c r="G160" i="3"/>
  <c r="V160" i="1"/>
  <c r="G160" i="2"/>
  <c r="J160" i="1"/>
  <c r="Y160" i="1"/>
  <c r="Z160" i="1" s="1"/>
  <c r="S160" i="1"/>
  <c r="W160" i="1" s="1"/>
  <c r="N160" i="1"/>
  <c r="O160" i="1"/>
  <c r="R160" i="1"/>
  <c r="H159" i="3"/>
  <c r="AR159" i="3"/>
  <c r="AQ159" i="3"/>
  <c r="AN159" i="3"/>
  <c r="AL159" i="3"/>
  <c r="AM159" i="3"/>
  <c r="AK159" i="3"/>
  <c r="AI159" i="3"/>
  <c r="AJ159" i="3"/>
  <c r="AG159" i="3"/>
  <c r="AF159" i="3"/>
  <c r="AH159" i="3"/>
  <c r="AE159" i="3"/>
  <c r="AB159" i="3"/>
  <c r="AD159" i="3"/>
  <c r="AC159" i="3"/>
  <c r="AA159" i="3"/>
  <c r="Y159" i="3"/>
  <c r="Z159" i="3"/>
  <c r="T159" i="3"/>
  <c r="V159" i="3"/>
  <c r="X159" i="3"/>
  <c r="W159" i="3"/>
  <c r="S159" i="3"/>
  <c r="U159" i="3"/>
  <c r="R159" i="3"/>
  <c r="Q159" i="3"/>
  <c r="P159" i="3"/>
  <c r="O159" i="3"/>
  <c r="N159" i="3"/>
  <c r="L159" i="3"/>
  <c r="I159" i="3"/>
  <c r="K159" i="3"/>
  <c r="M159" i="3"/>
  <c r="J159" i="3"/>
  <c r="AO159" i="3"/>
  <c r="AP159" i="3"/>
  <c r="H159" i="2"/>
  <c r="AR159" i="2"/>
  <c r="AQ159" i="2"/>
  <c r="AN159" i="2"/>
  <c r="AM159" i="2"/>
  <c r="AK159" i="2"/>
  <c r="AL159" i="2"/>
  <c r="AH159" i="2"/>
  <c r="AJ159" i="2"/>
  <c r="AI159" i="2"/>
  <c r="AG159" i="2"/>
  <c r="AF159" i="2"/>
  <c r="AB159" i="2"/>
  <c r="AE159" i="2"/>
  <c r="AA159" i="2"/>
  <c r="AC159" i="2"/>
  <c r="AD159" i="2"/>
  <c r="Y159" i="2"/>
  <c r="Z159" i="2"/>
  <c r="W159" i="2"/>
  <c r="X159" i="2"/>
  <c r="V159" i="2"/>
  <c r="U159" i="2"/>
  <c r="T159" i="2"/>
  <c r="R159" i="2"/>
  <c r="S159" i="2"/>
  <c r="Q159" i="2"/>
  <c r="P159" i="2"/>
  <c r="O159" i="2"/>
  <c r="N159" i="2"/>
  <c r="L159" i="2"/>
  <c r="M159" i="2"/>
  <c r="I159" i="2"/>
  <c r="AO159" i="2"/>
  <c r="K159" i="2"/>
  <c r="J159" i="2"/>
  <c r="AP159" i="2"/>
  <c r="L159" i="1"/>
  <c r="P159" i="1" s="1"/>
  <c r="AA159" i="1"/>
  <c r="H160" i="2" l="1"/>
  <c r="AR160" i="2"/>
  <c r="AQ160" i="2"/>
  <c r="AM160" i="2"/>
  <c r="AL160" i="2"/>
  <c r="AN160" i="2"/>
  <c r="AK160" i="2"/>
  <c r="AI160" i="2"/>
  <c r="AH160" i="2"/>
  <c r="AJ160" i="2"/>
  <c r="AG160" i="2"/>
  <c r="AF160" i="2"/>
  <c r="AE160" i="2"/>
  <c r="AD160" i="2"/>
  <c r="AC160" i="2"/>
  <c r="AB160" i="2"/>
  <c r="AA160" i="2"/>
  <c r="Y160" i="2"/>
  <c r="Z160" i="2"/>
  <c r="W160" i="2"/>
  <c r="X160" i="2"/>
  <c r="U160" i="2"/>
  <c r="T160" i="2"/>
  <c r="V160" i="2"/>
  <c r="P160" i="2"/>
  <c r="R160" i="2"/>
  <c r="S160" i="2"/>
  <c r="O160" i="2"/>
  <c r="Q160" i="2"/>
  <c r="N160" i="2"/>
  <c r="J160" i="2"/>
  <c r="L160" i="2"/>
  <c r="M160" i="2"/>
  <c r="I160" i="2"/>
  <c r="AO160" i="2"/>
  <c r="K160" i="2"/>
  <c r="AP160" i="2"/>
  <c r="L160" i="1"/>
  <c r="P160" i="1" s="1"/>
  <c r="AA160" i="1"/>
  <c r="H160" i="3"/>
  <c r="AR160" i="3"/>
  <c r="AQ160" i="3"/>
  <c r="AN160" i="3"/>
  <c r="AM160" i="3"/>
  <c r="AL160" i="3"/>
  <c r="AK160" i="3"/>
  <c r="AI160" i="3"/>
  <c r="AJ160" i="3"/>
  <c r="AH160" i="3"/>
  <c r="AF160" i="3"/>
  <c r="AG160" i="3"/>
  <c r="AB160" i="3"/>
  <c r="AD160" i="3"/>
  <c r="AE160" i="3"/>
  <c r="AA160" i="3"/>
  <c r="AC160" i="3"/>
  <c r="Y160" i="3"/>
  <c r="Z160" i="3"/>
  <c r="W160" i="3"/>
  <c r="V160" i="3"/>
  <c r="X160" i="3"/>
  <c r="S160" i="3"/>
  <c r="U160" i="3"/>
  <c r="T160" i="3"/>
  <c r="P160" i="3"/>
  <c r="R160" i="3"/>
  <c r="Q160" i="3"/>
  <c r="L160" i="3"/>
  <c r="O160" i="3"/>
  <c r="N160" i="3"/>
  <c r="J160" i="3"/>
  <c r="K160" i="3"/>
  <c r="M160" i="3"/>
  <c r="I160" i="3"/>
  <c r="AO160" i="3"/>
  <c r="AP160" i="3"/>
  <c r="I162" i="1"/>
  <c r="G161" i="3"/>
  <c r="J161" i="1"/>
  <c r="V161" i="1"/>
  <c r="G161" i="2"/>
  <c r="Y161" i="1"/>
  <c r="Z161" i="1" s="1"/>
  <c r="O161" i="1"/>
  <c r="R161" i="1"/>
  <c r="S161" i="1"/>
  <c r="W161" i="1" s="1"/>
  <c r="N161" i="1"/>
  <c r="G162" i="3" l="1"/>
  <c r="I163" i="1"/>
  <c r="V162" i="1"/>
  <c r="J162" i="1"/>
  <c r="G162" i="2"/>
  <c r="Y162" i="1"/>
  <c r="Z162" i="1" s="1"/>
  <c r="S162" i="1"/>
  <c r="W162" i="1" s="1"/>
  <c r="N162" i="1"/>
  <c r="R162" i="1"/>
  <c r="O162" i="1"/>
  <c r="H161" i="3"/>
  <c r="AR161" i="3"/>
  <c r="AQ161" i="3"/>
  <c r="AN161" i="3"/>
  <c r="AL161" i="3"/>
  <c r="AK161" i="3"/>
  <c r="AM161" i="3"/>
  <c r="AH161" i="3"/>
  <c r="AJ161" i="3"/>
  <c r="AI161" i="3"/>
  <c r="AF161" i="3"/>
  <c r="AG161" i="3"/>
  <c r="AE161" i="3"/>
  <c r="AB161" i="3"/>
  <c r="AD161" i="3"/>
  <c r="AC161" i="3"/>
  <c r="Z161" i="3"/>
  <c r="W161" i="3"/>
  <c r="Y161" i="3"/>
  <c r="AA161" i="3"/>
  <c r="X161" i="3"/>
  <c r="V161" i="3"/>
  <c r="U161" i="3"/>
  <c r="T161" i="3"/>
  <c r="S161" i="3"/>
  <c r="P161" i="3"/>
  <c r="R161" i="3"/>
  <c r="Q161" i="3"/>
  <c r="O161" i="3"/>
  <c r="J161" i="3"/>
  <c r="N161" i="3"/>
  <c r="K161" i="3"/>
  <c r="M161" i="3"/>
  <c r="L161" i="3"/>
  <c r="AO161" i="3"/>
  <c r="I161" i="3"/>
  <c r="AP161" i="3"/>
  <c r="H161" i="2"/>
  <c r="AQ161" i="2"/>
  <c r="AR161" i="2"/>
  <c r="AM161" i="2"/>
  <c r="AL161" i="2"/>
  <c r="AN161" i="2"/>
  <c r="AK161" i="2"/>
  <c r="AI161" i="2"/>
  <c r="AH161" i="2"/>
  <c r="AJ161" i="2"/>
  <c r="AG161" i="2"/>
  <c r="AD161" i="2"/>
  <c r="AF161" i="2"/>
  <c r="AC161" i="2"/>
  <c r="AE161" i="2"/>
  <c r="AB161" i="2"/>
  <c r="AA161" i="2"/>
  <c r="Z161" i="2"/>
  <c r="U161" i="2"/>
  <c r="W161" i="2"/>
  <c r="Y161" i="2"/>
  <c r="X161" i="2"/>
  <c r="T161" i="2"/>
  <c r="V161" i="2"/>
  <c r="R161" i="2"/>
  <c r="S161" i="2"/>
  <c r="Q161" i="2"/>
  <c r="O161" i="2"/>
  <c r="P161" i="2"/>
  <c r="M161" i="2"/>
  <c r="N161" i="2"/>
  <c r="L161" i="2"/>
  <c r="K161" i="2"/>
  <c r="I161" i="2"/>
  <c r="J161" i="2"/>
  <c r="AP161" i="2"/>
  <c r="AO161" i="2"/>
  <c r="L161" i="1"/>
  <c r="P161" i="1" s="1"/>
  <c r="AA161" i="1"/>
  <c r="H162" i="2" l="1"/>
  <c r="AQ162" i="2"/>
  <c r="AR162" i="2"/>
  <c r="AN162" i="2"/>
  <c r="AM162" i="2"/>
  <c r="AL162" i="2"/>
  <c r="AI162" i="2"/>
  <c r="AK162" i="2"/>
  <c r="AJ162" i="2"/>
  <c r="AH162" i="2"/>
  <c r="AG162" i="2"/>
  <c r="AF162" i="2"/>
  <c r="AC162" i="2"/>
  <c r="AE162" i="2"/>
  <c r="AD162" i="2"/>
  <c r="AB162" i="2"/>
  <c r="Z162" i="2"/>
  <c r="AA162" i="2"/>
  <c r="Y162" i="2"/>
  <c r="X162" i="2"/>
  <c r="U162" i="2"/>
  <c r="W162" i="2"/>
  <c r="R162" i="2"/>
  <c r="T162" i="2"/>
  <c r="V162" i="2"/>
  <c r="Q162" i="2"/>
  <c r="S162" i="2"/>
  <c r="M162" i="2"/>
  <c r="O162" i="2"/>
  <c r="P162" i="2"/>
  <c r="K162" i="2"/>
  <c r="N162" i="2"/>
  <c r="L162" i="2"/>
  <c r="J162" i="2"/>
  <c r="AP162" i="2"/>
  <c r="I162" i="2"/>
  <c r="AO162" i="2"/>
  <c r="L162" i="1"/>
  <c r="P162" i="1" s="1"/>
  <c r="AA162" i="1"/>
  <c r="G163" i="3"/>
  <c r="I164" i="1"/>
  <c r="J163" i="1"/>
  <c r="V163" i="1"/>
  <c r="G163" i="2"/>
  <c r="Y163" i="1"/>
  <c r="Z163" i="1" s="1"/>
  <c r="N163" i="1"/>
  <c r="O163" i="1"/>
  <c r="R163" i="1"/>
  <c r="S163" i="1"/>
  <c r="H162" i="3"/>
  <c r="AR162" i="3"/>
  <c r="AQ162" i="3"/>
  <c r="AN162" i="3"/>
  <c r="AL162" i="3"/>
  <c r="AM162" i="3"/>
  <c r="AK162" i="3"/>
  <c r="AJ162" i="3"/>
  <c r="AH162" i="3"/>
  <c r="AI162" i="3"/>
  <c r="AF162" i="3"/>
  <c r="AG162" i="3"/>
  <c r="AD162" i="3"/>
  <c r="AE162" i="3"/>
  <c r="AC162" i="3"/>
  <c r="AB162" i="3"/>
  <c r="Z162" i="3"/>
  <c r="Y162" i="3"/>
  <c r="AA162" i="3"/>
  <c r="V162" i="3"/>
  <c r="X162" i="3"/>
  <c r="W162" i="3"/>
  <c r="U162" i="3"/>
  <c r="T162" i="3"/>
  <c r="S162" i="3"/>
  <c r="P162" i="3"/>
  <c r="R162" i="3"/>
  <c r="L162" i="3"/>
  <c r="Q162" i="3"/>
  <c r="O162" i="3"/>
  <c r="M162" i="3"/>
  <c r="J162" i="3"/>
  <c r="N162" i="3"/>
  <c r="K162" i="3"/>
  <c r="I162" i="3"/>
  <c r="AO162" i="3"/>
  <c r="AP162" i="3"/>
  <c r="G164" i="3" l="1"/>
  <c r="I165" i="1"/>
  <c r="V164" i="1"/>
  <c r="J164" i="1"/>
  <c r="G164" i="2"/>
  <c r="Y164" i="1"/>
  <c r="Z164" i="1" s="1"/>
  <c r="S164" i="1"/>
  <c r="W164" i="1" s="1"/>
  <c r="N164" i="1"/>
  <c r="O164" i="1"/>
  <c r="R164" i="1"/>
  <c r="H163" i="3"/>
  <c r="AR163" i="3"/>
  <c r="AQ163" i="3"/>
  <c r="AN163" i="3"/>
  <c r="AM163" i="3"/>
  <c r="AL163" i="3"/>
  <c r="AK163" i="3"/>
  <c r="AJ163" i="3"/>
  <c r="AI163" i="3"/>
  <c r="AH163" i="3"/>
  <c r="AG163" i="3"/>
  <c r="AD163" i="3"/>
  <c r="AF163" i="3"/>
  <c r="AC163" i="3"/>
  <c r="AE163" i="3"/>
  <c r="AB163" i="3"/>
  <c r="Z163" i="3"/>
  <c r="W163" i="3"/>
  <c r="AA163" i="3"/>
  <c r="U163" i="3"/>
  <c r="Y163" i="3"/>
  <c r="X163" i="3"/>
  <c r="T163" i="3"/>
  <c r="V163" i="3"/>
  <c r="S163" i="3"/>
  <c r="R163" i="3"/>
  <c r="Q163" i="3"/>
  <c r="O163" i="3"/>
  <c r="P163" i="3"/>
  <c r="M163" i="3"/>
  <c r="L163" i="3"/>
  <c r="N163" i="3"/>
  <c r="K163" i="3"/>
  <c r="I163" i="3"/>
  <c r="AO163" i="3"/>
  <c r="AP163" i="3"/>
  <c r="J163" i="3"/>
  <c r="H163" i="2"/>
  <c r="AR163" i="2"/>
  <c r="AN163" i="2"/>
  <c r="AQ163" i="2"/>
  <c r="AM163" i="2"/>
  <c r="AL163" i="2"/>
  <c r="AK163" i="2"/>
  <c r="AJ163" i="2"/>
  <c r="AI163" i="2"/>
  <c r="AH163" i="2"/>
  <c r="AD163" i="2"/>
  <c r="AG163" i="2"/>
  <c r="AF163" i="2"/>
  <c r="AC163" i="2"/>
  <c r="AE163" i="2"/>
  <c r="AB163" i="2"/>
  <c r="X163" i="2"/>
  <c r="AA163" i="2"/>
  <c r="Y163" i="2"/>
  <c r="Z163" i="2"/>
  <c r="W163" i="2"/>
  <c r="T163" i="2"/>
  <c r="V163" i="2"/>
  <c r="U163" i="2"/>
  <c r="Q163" i="2"/>
  <c r="R163" i="2"/>
  <c r="S163" i="2"/>
  <c r="O163" i="2"/>
  <c r="P163" i="2"/>
  <c r="M163" i="2"/>
  <c r="L163" i="2"/>
  <c r="K163" i="2"/>
  <c r="N163" i="2"/>
  <c r="J163" i="2"/>
  <c r="AP163" i="2"/>
  <c r="I163" i="2"/>
  <c r="AO163" i="2"/>
  <c r="L163" i="1"/>
  <c r="P163" i="1" s="1"/>
  <c r="AA163" i="1"/>
  <c r="W163" i="1"/>
  <c r="H164" i="2" l="1"/>
  <c r="AN164" i="2"/>
  <c r="AQ164" i="2"/>
  <c r="AR164" i="2"/>
  <c r="AM164" i="2"/>
  <c r="AL164" i="2"/>
  <c r="AI164" i="2"/>
  <c r="AK164" i="2"/>
  <c r="AJ164" i="2"/>
  <c r="AH164" i="2"/>
  <c r="AF164" i="2"/>
  <c r="AG164" i="2"/>
  <c r="AE164" i="2"/>
  <c r="AD164" i="2"/>
  <c r="Z164" i="2"/>
  <c r="AC164" i="2"/>
  <c r="AB164" i="2"/>
  <c r="X164" i="2"/>
  <c r="AA164" i="2"/>
  <c r="Y164" i="2"/>
  <c r="W164" i="2"/>
  <c r="V164" i="2"/>
  <c r="U164" i="2"/>
  <c r="S164" i="2"/>
  <c r="Q164" i="2"/>
  <c r="T164" i="2"/>
  <c r="R164" i="2"/>
  <c r="P164" i="2"/>
  <c r="M164" i="2"/>
  <c r="L164" i="2"/>
  <c r="K164" i="2"/>
  <c r="N164" i="2"/>
  <c r="O164" i="2"/>
  <c r="I164" i="2"/>
  <c r="AO164" i="2"/>
  <c r="J164" i="2"/>
  <c r="AP164" i="2"/>
  <c r="L164" i="1"/>
  <c r="P164" i="1" s="1"/>
  <c r="AA164" i="1"/>
  <c r="G165" i="3"/>
  <c r="I166" i="1"/>
  <c r="V165" i="1"/>
  <c r="J165" i="1"/>
  <c r="G165" i="2"/>
  <c r="Y165" i="1"/>
  <c r="Z165" i="1" s="1"/>
  <c r="S165" i="1"/>
  <c r="W165" i="1" s="1"/>
  <c r="O165" i="1"/>
  <c r="N165" i="1"/>
  <c r="R165" i="1"/>
  <c r="H164" i="3"/>
  <c r="AR164" i="3"/>
  <c r="AQ164" i="3"/>
  <c r="AN164" i="3"/>
  <c r="AM164" i="3"/>
  <c r="AL164" i="3"/>
  <c r="AI164" i="3"/>
  <c r="AJ164" i="3"/>
  <c r="AK164" i="3"/>
  <c r="AH164" i="3"/>
  <c r="AG164" i="3"/>
  <c r="AE164" i="3"/>
  <c r="AD164" i="3"/>
  <c r="AF164" i="3"/>
  <c r="AC164" i="3"/>
  <c r="AA164" i="3"/>
  <c r="AB164" i="3"/>
  <c r="Z164" i="3"/>
  <c r="Y164" i="3"/>
  <c r="X164" i="3"/>
  <c r="U164" i="3"/>
  <c r="W164" i="3"/>
  <c r="R164" i="3"/>
  <c r="T164" i="3"/>
  <c r="V164" i="3"/>
  <c r="Q164" i="3"/>
  <c r="S164" i="3"/>
  <c r="M164" i="3"/>
  <c r="O164" i="3"/>
  <c r="P164" i="3"/>
  <c r="K164" i="3"/>
  <c r="L164" i="3"/>
  <c r="N164" i="3"/>
  <c r="I164" i="3"/>
  <c r="AO164" i="3"/>
  <c r="AP164" i="3"/>
  <c r="J164" i="3"/>
  <c r="H165" i="2" l="1"/>
  <c r="AR165" i="2"/>
  <c r="AN165" i="2"/>
  <c r="AQ165" i="2"/>
  <c r="AM165" i="2"/>
  <c r="AK165" i="2"/>
  <c r="AL165" i="2"/>
  <c r="AJ165" i="2"/>
  <c r="AI165" i="2"/>
  <c r="AH165" i="2"/>
  <c r="AF165" i="2"/>
  <c r="AG165" i="2"/>
  <c r="AE165" i="2"/>
  <c r="AD165" i="2"/>
  <c r="AC165" i="2"/>
  <c r="AB165" i="2"/>
  <c r="X165" i="2"/>
  <c r="AA165" i="2"/>
  <c r="Z165" i="2"/>
  <c r="V165" i="2"/>
  <c r="Y165" i="2"/>
  <c r="W165" i="2"/>
  <c r="U165" i="2"/>
  <c r="S165" i="2"/>
  <c r="T165" i="2"/>
  <c r="R165" i="2"/>
  <c r="P165" i="2"/>
  <c r="Q165" i="2"/>
  <c r="N165" i="2"/>
  <c r="M165" i="2"/>
  <c r="L165" i="2"/>
  <c r="O165" i="2"/>
  <c r="AO165" i="2"/>
  <c r="J165" i="2"/>
  <c r="K165" i="2"/>
  <c r="I165" i="2"/>
  <c r="AP165" i="2"/>
  <c r="L165" i="1"/>
  <c r="P165" i="1" s="1"/>
  <c r="AA165" i="1"/>
  <c r="G166" i="3"/>
  <c r="I167" i="1"/>
  <c r="V166" i="1"/>
  <c r="J166" i="1"/>
  <c r="G166" i="2"/>
  <c r="Y166" i="1"/>
  <c r="Z166" i="1" s="1"/>
  <c r="O166" i="1"/>
  <c r="R166" i="1"/>
  <c r="N166" i="1"/>
  <c r="S166" i="1"/>
  <c r="H165" i="3"/>
  <c r="AR165" i="3"/>
  <c r="AN165" i="3"/>
  <c r="AQ165" i="3"/>
  <c r="AM165" i="3"/>
  <c r="AL165" i="3"/>
  <c r="AI165" i="3"/>
  <c r="AJ165" i="3"/>
  <c r="AK165" i="3"/>
  <c r="AH165" i="3"/>
  <c r="AG165" i="3"/>
  <c r="AD165" i="3"/>
  <c r="AF165" i="3"/>
  <c r="AA165" i="3"/>
  <c r="AC165" i="3"/>
  <c r="AE165" i="3"/>
  <c r="AB165" i="3"/>
  <c r="X165" i="3"/>
  <c r="Z165" i="3"/>
  <c r="Y165" i="3"/>
  <c r="W165" i="3"/>
  <c r="U165" i="3"/>
  <c r="R165" i="3"/>
  <c r="T165" i="3"/>
  <c r="V165" i="3"/>
  <c r="Q165" i="3"/>
  <c r="S165" i="3"/>
  <c r="O165" i="3"/>
  <c r="P165" i="3"/>
  <c r="M165" i="3"/>
  <c r="K165" i="3"/>
  <c r="L165" i="3"/>
  <c r="N165" i="3"/>
  <c r="I165" i="3"/>
  <c r="AO165" i="3"/>
  <c r="AP165" i="3"/>
  <c r="J165" i="3"/>
  <c r="H166" i="2" l="1"/>
  <c r="AQ166" i="2"/>
  <c r="AR166" i="2"/>
  <c r="AN166" i="2"/>
  <c r="AM166" i="2"/>
  <c r="AJ166" i="2"/>
  <c r="AK166" i="2"/>
  <c r="AL166" i="2"/>
  <c r="AF166" i="2"/>
  <c r="AI166" i="2"/>
  <c r="AH166" i="2"/>
  <c r="AG166" i="2"/>
  <c r="AE166" i="2"/>
  <c r="AD166" i="2"/>
  <c r="AB166" i="2"/>
  <c r="AC166" i="2"/>
  <c r="AA166" i="2"/>
  <c r="Z166" i="2"/>
  <c r="Y166" i="2"/>
  <c r="X166" i="2"/>
  <c r="V166" i="2"/>
  <c r="W166" i="2"/>
  <c r="S166" i="2"/>
  <c r="U166" i="2"/>
  <c r="T166" i="2"/>
  <c r="R166" i="2"/>
  <c r="N166" i="2"/>
  <c r="P166" i="2"/>
  <c r="Q166" i="2"/>
  <c r="O166" i="2"/>
  <c r="M166" i="2"/>
  <c r="L166" i="2"/>
  <c r="I166" i="2"/>
  <c r="AO166" i="2"/>
  <c r="J166" i="2"/>
  <c r="K166" i="2"/>
  <c r="AP166" i="2"/>
  <c r="L166" i="1"/>
  <c r="P166" i="1" s="1"/>
  <c r="AA166" i="1"/>
  <c r="I168" i="1"/>
  <c r="G167" i="3"/>
  <c r="V167" i="1"/>
  <c r="J167" i="1"/>
  <c r="G167" i="2"/>
  <c r="Y167" i="1"/>
  <c r="Z167" i="1" s="1"/>
  <c r="S167" i="1"/>
  <c r="W167" i="1" s="1"/>
  <c r="N167" i="1"/>
  <c r="O167" i="1"/>
  <c r="R167" i="1"/>
  <c r="W166" i="1"/>
  <c r="H166" i="3"/>
  <c r="AN166" i="3"/>
  <c r="AR166" i="3"/>
  <c r="AM166" i="3"/>
  <c r="AQ166" i="3"/>
  <c r="AL166" i="3"/>
  <c r="AI166" i="3"/>
  <c r="AK166" i="3"/>
  <c r="AJ166" i="3"/>
  <c r="AG166" i="3"/>
  <c r="AH166" i="3"/>
  <c r="AF166" i="3"/>
  <c r="AC166" i="3"/>
  <c r="AE166" i="3"/>
  <c r="AD166" i="3"/>
  <c r="AB166" i="3"/>
  <c r="Z166" i="3"/>
  <c r="AA166" i="3"/>
  <c r="X166" i="3"/>
  <c r="Y166" i="3"/>
  <c r="W166" i="3"/>
  <c r="V166" i="3"/>
  <c r="R166" i="3"/>
  <c r="T166" i="3"/>
  <c r="U166" i="3"/>
  <c r="O166" i="3"/>
  <c r="Q166" i="3"/>
  <c r="S166" i="3"/>
  <c r="P166" i="3"/>
  <c r="M166" i="3"/>
  <c r="N166" i="3"/>
  <c r="K166" i="3"/>
  <c r="L166" i="3"/>
  <c r="I166" i="3"/>
  <c r="J166" i="3"/>
  <c r="AO166" i="3"/>
  <c r="AP166" i="3"/>
  <c r="H167" i="3" l="1"/>
  <c r="AR167" i="3"/>
  <c r="AN167" i="3"/>
  <c r="AQ167" i="3"/>
  <c r="AM167" i="3"/>
  <c r="AJ167" i="3"/>
  <c r="AL167" i="3"/>
  <c r="AK167" i="3"/>
  <c r="AG167" i="3"/>
  <c r="AI167" i="3"/>
  <c r="AH167" i="3"/>
  <c r="AF167" i="3"/>
  <c r="AE167" i="3"/>
  <c r="AA167" i="3"/>
  <c r="AC167" i="3"/>
  <c r="AD167" i="3"/>
  <c r="AB167" i="3"/>
  <c r="Z167" i="3"/>
  <c r="X167" i="3"/>
  <c r="Y167" i="3"/>
  <c r="V167" i="3"/>
  <c r="W167" i="3"/>
  <c r="T167" i="3"/>
  <c r="U167" i="3"/>
  <c r="S167" i="3"/>
  <c r="Q167" i="3"/>
  <c r="R167" i="3"/>
  <c r="P167" i="3"/>
  <c r="O167" i="3"/>
  <c r="N167" i="3"/>
  <c r="I167" i="3"/>
  <c r="M167" i="3"/>
  <c r="K167" i="3"/>
  <c r="L167" i="3"/>
  <c r="AP167" i="3"/>
  <c r="J167" i="3"/>
  <c r="AO167" i="3"/>
  <c r="H167" i="2"/>
  <c r="AR167" i="2"/>
  <c r="AQ167" i="2"/>
  <c r="AN167" i="2"/>
  <c r="AM167" i="2"/>
  <c r="AJ167" i="2"/>
  <c r="AK167" i="2"/>
  <c r="AL167" i="2"/>
  <c r="AF167" i="2"/>
  <c r="AI167" i="2"/>
  <c r="AH167" i="2"/>
  <c r="AG167" i="2"/>
  <c r="AE167" i="2"/>
  <c r="AB167" i="2"/>
  <c r="AD167" i="2"/>
  <c r="AA167" i="2"/>
  <c r="AC167" i="2"/>
  <c r="Z167" i="2"/>
  <c r="Y167" i="2"/>
  <c r="X167" i="2"/>
  <c r="V167" i="2"/>
  <c r="W167" i="2"/>
  <c r="S167" i="2"/>
  <c r="U167" i="2"/>
  <c r="T167" i="2"/>
  <c r="R167" i="2"/>
  <c r="P167" i="2"/>
  <c r="N167" i="2"/>
  <c r="Q167" i="2"/>
  <c r="O167" i="2"/>
  <c r="I167" i="2"/>
  <c r="M167" i="2"/>
  <c r="J167" i="2"/>
  <c r="K167" i="2"/>
  <c r="L167" i="2"/>
  <c r="AO167" i="2"/>
  <c r="AP167" i="2"/>
  <c r="L167" i="1"/>
  <c r="P167" i="1" s="1"/>
  <c r="AA167" i="1"/>
  <c r="G168" i="3"/>
  <c r="I169" i="1"/>
  <c r="J168" i="1"/>
  <c r="V168" i="1"/>
  <c r="Y168" i="1"/>
  <c r="Z168" i="1" s="1"/>
  <c r="G168" i="2"/>
  <c r="N168" i="1"/>
  <c r="R168" i="1"/>
  <c r="O168" i="1"/>
  <c r="S168" i="1"/>
  <c r="W168" i="1" s="1"/>
  <c r="G169" i="3" l="1"/>
  <c r="I170" i="1"/>
  <c r="V169" i="1"/>
  <c r="J169" i="1"/>
  <c r="G169" i="2"/>
  <c r="Y169" i="1"/>
  <c r="Z169" i="1" s="1"/>
  <c r="S169" i="1"/>
  <c r="W169" i="1" s="1"/>
  <c r="N169" i="1"/>
  <c r="R169" i="1"/>
  <c r="O169" i="1"/>
  <c r="H168" i="3"/>
  <c r="AR168" i="3"/>
  <c r="AQ168" i="3"/>
  <c r="AN168" i="3"/>
  <c r="AM168" i="3"/>
  <c r="AK168" i="3"/>
  <c r="AL168" i="3"/>
  <c r="AG168" i="3"/>
  <c r="AJ168" i="3"/>
  <c r="AI168" i="3"/>
  <c r="AF168" i="3"/>
  <c r="AH168" i="3"/>
  <c r="AE168" i="3"/>
  <c r="AC168" i="3"/>
  <c r="AD168" i="3"/>
  <c r="AB168" i="3"/>
  <c r="AA168" i="3"/>
  <c r="Z168" i="3"/>
  <c r="Y168" i="3"/>
  <c r="V168" i="3"/>
  <c r="W168" i="3"/>
  <c r="X168" i="3"/>
  <c r="U168" i="3"/>
  <c r="S168" i="3"/>
  <c r="T168" i="3"/>
  <c r="O168" i="3"/>
  <c r="R168" i="3"/>
  <c r="N168" i="3"/>
  <c r="P168" i="3"/>
  <c r="Q168" i="3"/>
  <c r="M168" i="3"/>
  <c r="L168" i="3"/>
  <c r="AP168" i="3"/>
  <c r="J168" i="3"/>
  <c r="K168" i="3"/>
  <c r="I168" i="3"/>
  <c r="AO168" i="3"/>
  <c r="H168" i="2"/>
  <c r="AR168" i="2"/>
  <c r="AQ168" i="2"/>
  <c r="AM168" i="2"/>
  <c r="AN168" i="2"/>
  <c r="AJ168" i="2"/>
  <c r="AK168" i="2"/>
  <c r="AL168" i="2"/>
  <c r="AH168" i="2"/>
  <c r="AF168" i="2"/>
  <c r="AI168" i="2"/>
  <c r="AG168" i="2"/>
  <c r="AB168" i="2"/>
  <c r="AE168" i="2"/>
  <c r="AD168" i="2"/>
  <c r="AA168" i="2"/>
  <c r="AC168" i="2"/>
  <c r="Z168" i="2"/>
  <c r="Y168" i="2"/>
  <c r="X168" i="2"/>
  <c r="W168" i="2"/>
  <c r="U168" i="2"/>
  <c r="S168" i="2"/>
  <c r="V168" i="2"/>
  <c r="T168" i="2"/>
  <c r="R168" i="2"/>
  <c r="P168" i="2"/>
  <c r="L168" i="2"/>
  <c r="N168" i="2"/>
  <c r="Q168" i="2"/>
  <c r="O168" i="2"/>
  <c r="J168" i="2"/>
  <c r="M168" i="2"/>
  <c r="K168" i="2"/>
  <c r="I168" i="2"/>
  <c r="AP168" i="2"/>
  <c r="AO168" i="2"/>
  <c r="L168" i="1"/>
  <c r="P168" i="1" s="1"/>
  <c r="AA168" i="1"/>
  <c r="H169" i="2" l="1"/>
  <c r="AQ169" i="2"/>
  <c r="AR169" i="2"/>
  <c r="AN169" i="2"/>
  <c r="AK169" i="2"/>
  <c r="AM169" i="2"/>
  <c r="AL169" i="2"/>
  <c r="AH169" i="2"/>
  <c r="AJ169" i="2"/>
  <c r="AI169" i="2"/>
  <c r="AG169" i="2"/>
  <c r="AF169" i="2"/>
  <c r="AB169" i="2"/>
  <c r="AE169" i="2"/>
  <c r="AD169" i="2"/>
  <c r="AC169" i="2"/>
  <c r="AA169" i="2"/>
  <c r="Z169" i="2"/>
  <c r="Y169" i="2"/>
  <c r="W169" i="2"/>
  <c r="X169" i="2"/>
  <c r="U169" i="2"/>
  <c r="V169" i="2"/>
  <c r="T169" i="2"/>
  <c r="S169" i="2"/>
  <c r="R169" i="2"/>
  <c r="P169" i="2"/>
  <c r="Q169" i="2"/>
  <c r="O169" i="2"/>
  <c r="M169" i="2"/>
  <c r="L169" i="2"/>
  <c r="N169" i="2"/>
  <c r="K169" i="2"/>
  <c r="I169" i="2"/>
  <c r="J169" i="2"/>
  <c r="AO169" i="2"/>
  <c r="AP169" i="2"/>
  <c r="L169" i="1"/>
  <c r="P169" i="1" s="1"/>
  <c r="AA169" i="1"/>
  <c r="G170" i="3"/>
  <c r="I171" i="1"/>
  <c r="J170" i="1"/>
  <c r="V170" i="1"/>
  <c r="G170" i="2"/>
  <c r="Y170" i="1"/>
  <c r="Z170" i="1" s="1"/>
  <c r="S170" i="1"/>
  <c r="W170" i="1" s="1"/>
  <c r="O170" i="1"/>
  <c r="R170" i="1"/>
  <c r="N170" i="1"/>
  <c r="H169" i="3"/>
  <c r="AR169" i="3"/>
  <c r="AQ169" i="3"/>
  <c r="AN169" i="3"/>
  <c r="AM169" i="3"/>
  <c r="AL169" i="3"/>
  <c r="AK169" i="3"/>
  <c r="AG169" i="3"/>
  <c r="AJ169" i="3"/>
  <c r="AI169" i="3"/>
  <c r="AF169" i="3"/>
  <c r="AH169" i="3"/>
  <c r="AE169" i="3"/>
  <c r="AB169" i="3"/>
  <c r="AC169" i="3"/>
  <c r="AD169" i="3"/>
  <c r="AA169" i="3"/>
  <c r="Y169" i="3"/>
  <c r="Z169" i="3"/>
  <c r="V169" i="3"/>
  <c r="W169" i="3"/>
  <c r="X169" i="3"/>
  <c r="U169" i="3"/>
  <c r="S169" i="3"/>
  <c r="T169" i="3"/>
  <c r="Q169" i="3"/>
  <c r="R169" i="3"/>
  <c r="P169" i="3"/>
  <c r="N169" i="3"/>
  <c r="O169" i="3"/>
  <c r="L169" i="3"/>
  <c r="I169" i="3"/>
  <c r="M169" i="3"/>
  <c r="K169" i="3"/>
  <c r="J169" i="3"/>
  <c r="AP169" i="3"/>
  <c r="AO169" i="3"/>
  <c r="H170" i="2" l="1"/>
  <c r="AR170" i="2"/>
  <c r="AQ170" i="2"/>
  <c r="AN170" i="2"/>
  <c r="AL170" i="2"/>
  <c r="AK170" i="2"/>
  <c r="AM170" i="2"/>
  <c r="AH170" i="2"/>
  <c r="AJ170" i="2"/>
  <c r="AI170" i="2"/>
  <c r="AG170" i="2"/>
  <c r="AF170" i="2"/>
  <c r="AE170" i="2"/>
  <c r="AD170" i="2"/>
  <c r="AC170" i="2"/>
  <c r="AA170" i="2"/>
  <c r="AB170" i="2"/>
  <c r="Z170" i="2"/>
  <c r="Y170" i="2"/>
  <c r="W170" i="2"/>
  <c r="X170" i="2"/>
  <c r="U170" i="2"/>
  <c r="T170" i="2"/>
  <c r="V170" i="2"/>
  <c r="S170" i="2"/>
  <c r="R170" i="2"/>
  <c r="P170" i="2"/>
  <c r="Q170" i="2"/>
  <c r="O170" i="2"/>
  <c r="J170" i="2"/>
  <c r="M170" i="2"/>
  <c r="L170" i="2"/>
  <c r="N170" i="2"/>
  <c r="K170" i="2"/>
  <c r="I170" i="2"/>
  <c r="AO170" i="2"/>
  <c r="AP170" i="2"/>
  <c r="I172" i="1"/>
  <c r="G171" i="3"/>
  <c r="J171" i="1"/>
  <c r="V171" i="1"/>
  <c r="G171" i="2"/>
  <c r="Y171" i="1"/>
  <c r="Z171" i="1" s="1"/>
  <c r="O171" i="1"/>
  <c r="R171" i="1"/>
  <c r="S171" i="1"/>
  <c r="W171" i="1" s="1"/>
  <c r="N171" i="1"/>
  <c r="L170" i="1"/>
  <c r="P170" i="1" s="1"/>
  <c r="AA170" i="1"/>
  <c r="H170" i="3"/>
  <c r="AR170" i="3"/>
  <c r="AQ170" i="3"/>
  <c r="AN170" i="3"/>
  <c r="AM170" i="3"/>
  <c r="AL170" i="3"/>
  <c r="AK170" i="3"/>
  <c r="AJ170" i="3"/>
  <c r="AI170" i="3"/>
  <c r="AH170" i="3"/>
  <c r="AG170" i="3"/>
  <c r="AF170" i="3"/>
  <c r="AE170" i="3"/>
  <c r="AD170" i="3"/>
  <c r="AB170" i="3"/>
  <c r="AC170" i="3"/>
  <c r="AA170" i="3"/>
  <c r="Y170" i="3"/>
  <c r="Z170" i="3"/>
  <c r="W170" i="3"/>
  <c r="X170" i="3"/>
  <c r="V170" i="3"/>
  <c r="U170" i="3"/>
  <c r="S170" i="3"/>
  <c r="T170" i="3"/>
  <c r="P170" i="3"/>
  <c r="Q170" i="3"/>
  <c r="R170" i="3"/>
  <c r="L170" i="3"/>
  <c r="N170" i="3"/>
  <c r="O170" i="3"/>
  <c r="J170" i="3"/>
  <c r="M170" i="3"/>
  <c r="K170" i="3"/>
  <c r="AO170" i="3"/>
  <c r="AP170" i="3"/>
  <c r="I170" i="3"/>
  <c r="G172" i="3" l="1"/>
  <c r="I173" i="1"/>
  <c r="V172" i="1"/>
  <c r="J172" i="1"/>
  <c r="G172" i="2"/>
  <c r="Y172" i="1"/>
  <c r="Z172" i="1" s="1"/>
  <c r="S172" i="1"/>
  <c r="W172" i="1" s="1"/>
  <c r="N172" i="1"/>
  <c r="R172" i="1"/>
  <c r="O172" i="1"/>
  <c r="L171" i="1"/>
  <c r="P171" i="1" s="1"/>
  <c r="AA171" i="1"/>
  <c r="H171" i="2"/>
  <c r="AR171" i="2"/>
  <c r="AN171" i="2"/>
  <c r="AQ171" i="2"/>
  <c r="AM171" i="2"/>
  <c r="AL171" i="2"/>
  <c r="AK171" i="2"/>
  <c r="AI171" i="2"/>
  <c r="AH171" i="2"/>
  <c r="AJ171" i="2"/>
  <c r="AG171" i="2"/>
  <c r="AD171" i="2"/>
  <c r="AF171" i="2"/>
  <c r="AC171" i="2"/>
  <c r="AE171" i="2"/>
  <c r="AA171" i="2"/>
  <c r="AB171" i="2"/>
  <c r="Z171" i="2"/>
  <c r="U171" i="2"/>
  <c r="W171" i="2"/>
  <c r="X171" i="2"/>
  <c r="Y171" i="2"/>
  <c r="T171" i="2"/>
  <c r="V171" i="2"/>
  <c r="S171" i="2"/>
  <c r="R171" i="2"/>
  <c r="Q171" i="2"/>
  <c r="O171" i="2"/>
  <c r="P171" i="2"/>
  <c r="M171" i="2"/>
  <c r="L171" i="2"/>
  <c r="N171" i="2"/>
  <c r="K171" i="2"/>
  <c r="I171" i="2"/>
  <c r="J171" i="2"/>
  <c r="AP171" i="2"/>
  <c r="AO171" i="2"/>
  <c r="H171" i="3"/>
  <c r="AR171" i="3"/>
  <c r="AQ171" i="3"/>
  <c r="AN171" i="3"/>
  <c r="AL171" i="3"/>
  <c r="AK171" i="3"/>
  <c r="AM171" i="3"/>
  <c r="AH171" i="3"/>
  <c r="AJ171" i="3"/>
  <c r="AI171" i="3"/>
  <c r="AG171" i="3"/>
  <c r="AF171" i="3"/>
  <c r="AD171" i="3"/>
  <c r="AB171" i="3"/>
  <c r="AE171" i="3"/>
  <c r="AC171" i="3"/>
  <c r="AA171" i="3"/>
  <c r="W171" i="3"/>
  <c r="Y171" i="3"/>
  <c r="Z171" i="3"/>
  <c r="X171" i="3"/>
  <c r="V171" i="3"/>
  <c r="U171" i="3"/>
  <c r="T171" i="3"/>
  <c r="R171" i="3"/>
  <c r="P171" i="3"/>
  <c r="S171" i="3"/>
  <c r="O171" i="3"/>
  <c r="Q171" i="3"/>
  <c r="N171" i="3"/>
  <c r="J171" i="3"/>
  <c r="M171" i="3"/>
  <c r="L171" i="3"/>
  <c r="K171" i="3"/>
  <c r="AO171" i="3"/>
  <c r="AP171" i="3"/>
  <c r="I171" i="3"/>
  <c r="H172" i="2" l="1"/>
  <c r="AR172" i="2"/>
  <c r="AQ172" i="2"/>
  <c r="AN172" i="2"/>
  <c r="AM172" i="2"/>
  <c r="AL172" i="2"/>
  <c r="AI172" i="2"/>
  <c r="AK172" i="2"/>
  <c r="AJ172" i="2"/>
  <c r="AG172" i="2"/>
  <c r="AH172" i="2"/>
  <c r="AF172" i="2"/>
  <c r="AC172" i="2"/>
  <c r="AE172" i="2"/>
  <c r="AD172" i="2"/>
  <c r="AB172" i="2"/>
  <c r="Z172" i="2"/>
  <c r="AA172" i="2"/>
  <c r="Y172" i="2"/>
  <c r="X172" i="2"/>
  <c r="U172" i="2"/>
  <c r="W172" i="2"/>
  <c r="V172" i="2"/>
  <c r="R172" i="2"/>
  <c r="T172" i="2"/>
  <c r="Q172" i="2"/>
  <c r="S172" i="2"/>
  <c r="M172" i="2"/>
  <c r="O172" i="2"/>
  <c r="P172" i="2"/>
  <c r="K172" i="2"/>
  <c r="L172" i="2"/>
  <c r="N172" i="2"/>
  <c r="AP172" i="2"/>
  <c r="I172" i="2"/>
  <c r="J172" i="2"/>
  <c r="AO172" i="2"/>
  <c r="L172" i="1"/>
  <c r="P172" i="1" s="1"/>
  <c r="AA172" i="1"/>
  <c r="G173" i="3"/>
  <c r="I174" i="1"/>
  <c r="V173" i="1"/>
  <c r="J173" i="1"/>
  <c r="G173" i="2"/>
  <c r="Y173" i="1"/>
  <c r="Z173" i="1" s="1"/>
  <c r="N173" i="1"/>
  <c r="O173" i="1"/>
  <c r="R173" i="1"/>
  <c r="S173" i="1"/>
  <c r="H172" i="3"/>
  <c r="AR172" i="3"/>
  <c r="AN172" i="3"/>
  <c r="AQ172" i="3"/>
  <c r="AL172" i="3"/>
  <c r="AK172" i="3"/>
  <c r="AM172" i="3"/>
  <c r="AJ172" i="3"/>
  <c r="AI172" i="3"/>
  <c r="AH172" i="3"/>
  <c r="AG172" i="3"/>
  <c r="AF172" i="3"/>
  <c r="AD172" i="3"/>
  <c r="AE172" i="3"/>
  <c r="AC172" i="3"/>
  <c r="AB172" i="3"/>
  <c r="AA172" i="3"/>
  <c r="Y172" i="3"/>
  <c r="Z172" i="3"/>
  <c r="X172" i="3"/>
  <c r="W172" i="3"/>
  <c r="V172" i="3"/>
  <c r="U172" i="3"/>
  <c r="T172" i="3"/>
  <c r="R172" i="3"/>
  <c r="P172" i="3"/>
  <c r="S172" i="3"/>
  <c r="O172" i="3"/>
  <c r="L172" i="3"/>
  <c r="Q172" i="3"/>
  <c r="N172" i="3"/>
  <c r="J172" i="3"/>
  <c r="M172" i="3"/>
  <c r="AO172" i="3"/>
  <c r="K172" i="3"/>
  <c r="AP172" i="3"/>
  <c r="I172" i="3"/>
  <c r="H173" i="2" l="1"/>
  <c r="AR173" i="2"/>
  <c r="AQ173" i="2"/>
  <c r="AN173" i="2"/>
  <c r="AL173" i="2"/>
  <c r="AM173" i="2"/>
  <c r="AJ173" i="2"/>
  <c r="AK173" i="2"/>
  <c r="AI173" i="2"/>
  <c r="AH173" i="2"/>
  <c r="AD173" i="2"/>
  <c r="AG173" i="2"/>
  <c r="AF173" i="2"/>
  <c r="AC173" i="2"/>
  <c r="AE173" i="2"/>
  <c r="AB173" i="2"/>
  <c r="X173" i="2"/>
  <c r="Z173" i="2"/>
  <c r="AA173" i="2"/>
  <c r="Y173" i="2"/>
  <c r="V173" i="2"/>
  <c r="U173" i="2"/>
  <c r="W173" i="2"/>
  <c r="T173" i="2"/>
  <c r="Q173" i="2"/>
  <c r="R173" i="2"/>
  <c r="S173" i="2"/>
  <c r="O173" i="2"/>
  <c r="P173" i="2"/>
  <c r="N173" i="2"/>
  <c r="K173" i="2"/>
  <c r="M173" i="2"/>
  <c r="L173" i="2"/>
  <c r="AP173" i="2"/>
  <c r="I173" i="2"/>
  <c r="J173" i="2"/>
  <c r="AO173" i="2"/>
  <c r="L173" i="1"/>
  <c r="P173" i="1" s="1"/>
  <c r="AA173" i="1"/>
  <c r="G174" i="3"/>
  <c r="I175" i="1"/>
  <c r="V174" i="1"/>
  <c r="J174" i="1"/>
  <c r="G174" i="2"/>
  <c r="Y174" i="1"/>
  <c r="Z174" i="1" s="1"/>
  <c r="S174" i="1"/>
  <c r="W174" i="1" s="1"/>
  <c r="N174" i="1"/>
  <c r="O174" i="1"/>
  <c r="R174" i="1"/>
  <c r="W173" i="1"/>
  <c r="H173" i="3"/>
  <c r="AR173" i="3"/>
  <c r="AQ173" i="3"/>
  <c r="AN173" i="3"/>
  <c r="AM173" i="3"/>
  <c r="AL173" i="3"/>
  <c r="AK173" i="3"/>
  <c r="AJ173" i="3"/>
  <c r="AI173" i="3"/>
  <c r="AH173" i="3"/>
  <c r="AD173" i="3"/>
  <c r="AG173" i="3"/>
  <c r="AF173" i="3"/>
  <c r="AC173" i="3"/>
  <c r="AE173" i="3"/>
  <c r="AB173" i="3"/>
  <c r="AA173" i="3"/>
  <c r="W173" i="3"/>
  <c r="Z173" i="3"/>
  <c r="U173" i="3"/>
  <c r="X173" i="3"/>
  <c r="Y173" i="3"/>
  <c r="V173" i="3"/>
  <c r="T173" i="3"/>
  <c r="R173" i="3"/>
  <c r="S173" i="3"/>
  <c r="Q173" i="3"/>
  <c r="O173" i="3"/>
  <c r="P173" i="3"/>
  <c r="M173" i="3"/>
  <c r="N173" i="3"/>
  <c r="L173" i="3"/>
  <c r="K173" i="3"/>
  <c r="I173" i="3"/>
  <c r="AO173" i="3"/>
  <c r="J173" i="3"/>
  <c r="AP173" i="3"/>
  <c r="L174" i="1" l="1"/>
  <c r="P174" i="1" s="1"/>
  <c r="AA174" i="1"/>
  <c r="G175" i="3"/>
  <c r="I176" i="1"/>
  <c r="V175" i="1"/>
  <c r="J175" i="1"/>
  <c r="G175" i="2"/>
  <c r="Y175" i="1"/>
  <c r="Z175" i="1" s="1"/>
  <c r="S175" i="1"/>
  <c r="N175" i="1"/>
  <c r="O175" i="1"/>
  <c r="R175" i="1"/>
  <c r="H174" i="2"/>
  <c r="AR174" i="2"/>
  <c r="AQ174" i="2"/>
  <c r="AN174" i="2"/>
  <c r="AM174" i="2"/>
  <c r="AL174" i="2"/>
  <c r="AI174" i="2"/>
  <c r="AK174" i="2"/>
  <c r="AJ174" i="2"/>
  <c r="AH174" i="2"/>
  <c r="AG174" i="2"/>
  <c r="AF174" i="2"/>
  <c r="AE174" i="2"/>
  <c r="AD174" i="2"/>
  <c r="AC174" i="2"/>
  <c r="AB174" i="2"/>
  <c r="Z174" i="2"/>
  <c r="X174" i="2"/>
  <c r="AA174" i="2"/>
  <c r="W174" i="2"/>
  <c r="Y174" i="2"/>
  <c r="V174" i="2"/>
  <c r="U174" i="2"/>
  <c r="T174" i="2"/>
  <c r="Q174" i="2"/>
  <c r="R174" i="2"/>
  <c r="S174" i="2"/>
  <c r="M174" i="2"/>
  <c r="P174" i="2"/>
  <c r="L174" i="2"/>
  <c r="O174" i="2"/>
  <c r="N174" i="2"/>
  <c r="K174" i="2"/>
  <c r="I174" i="2"/>
  <c r="AO174" i="2"/>
  <c r="AP174" i="2"/>
  <c r="J174" i="2"/>
  <c r="H174" i="3"/>
  <c r="AR174" i="3"/>
  <c r="AN174" i="3"/>
  <c r="AM174" i="3"/>
  <c r="AQ174" i="3"/>
  <c r="AL174" i="3"/>
  <c r="AJ174" i="3"/>
  <c r="AI174" i="3"/>
  <c r="AK174" i="3"/>
  <c r="AE174" i="3"/>
  <c r="AH174" i="3"/>
  <c r="AD174" i="3"/>
  <c r="AG174" i="3"/>
  <c r="AF174" i="3"/>
  <c r="AC174" i="3"/>
  <c r="AA174" i="3"/>
  <c r="AB174" i="3"/>
  <c r="Z174" i="3"/>
  <c r="Y174" i="3"/>
  <c r="X174" i="3"/>
  <c r="U174" i="3"/>
  <c r="R174" i="3"/>
  <c r="V174" i="3"/>
  <c r="T174" i="3"/>
  <c r="W174" i="3"/>
  <c r="Q174" i="3"/>
  <c r="S174" i="3"/>
  <c r="M174" i="3"/>
  <c r="O174" i="3"/>
  <c r="P174" i="3"/>
  <c r="K174" i="3"/>
  <c r="N174" i="3"/>
  <c r="L174" i="3"/>
  <c r="I174" i="3"/>
  <c r="AO174" i="3"/>
  <c r="J174" i="3"/>
  <c r="AP174" i="3"/>
  <c r="G176" i="3" l="1"/>
  <c r="I177" i="1"/>
  <c r="V176" i="1"/>
  <c r="J176" i="1"/>
  <c r="G176" i="2"/>
  <c r="Y176" i="1"/>
  <c r="Z176" i="1" s="1"/>
  <c r="R176" i="1"/>
  <c r="O176" i="1"/>
  <c r="S176" i="1"/>
  <c r="W176" i="1" s="1"/>
  <c r="N176" i="1"/>
  <c r="H175" i="3"/>
  <c r="AR175" i="3"/>
  <c r="AN175" i="3"/>
  <c r="AQ175" i="3"/>
  <c r="AM175" i="3"/>
  <c r="AL175" i="3"/>
  <c r="AJ175" i="3"/>
  <c r="AI175" i="3"/>
  <c r="AK175" i="3"/>
  <c r="AH175" i="3"/>
  <c r="AF175" i="3"/>
  <c r="AD175" i="3"/>
  <c r="AG175" i="3"/>
  <c r="AA175" i="3"/>
  <c r="AC175" i="3"/>
  <c r="AE175" i="3"/>
  <c r="AB175" i="3"/>
  <c r="Z175" i="3"/>
  <c r="X175" i="3"/>
  <c r="Y175" i="3"/>
  <c r="U175" i="3"/>
  <c r="W175" i="3"/>
  <c r="R175" i="3"/>
  <c r="V175" i="3"/>
  <c r="T175" i="3"/>
  <c r="S175" i="3"/>
  <c r="Q175" i="3"/>
  <c r="O175" i="3"/>
  <c r="P175" i="3"/>
  <c r="K175" i="3"/>
  <c r="N175" i="3"/>
  <c r="M175" i="3"/>
  <c r="L175" i="3"/>
  <c r="I175" i="3"/>
  <c r="AO175" i="3"/>
  <c r="J175" i="3"/>
  <c r="AP175" i="3"/>
  <c r="H175" i="2"/>
  <c r="AR175" i="2"/>
  <c r="AQ175" i="2"/>
  <c r="AN175" i="2"/>
  <c r="AM175" i="2"/>
  <c r="AL175" i="2"/>
  <c r="AK175" i="2"/>
  <c r="AJ175" i="2"/>
  <c r="AI175" i="2"/>
  <c r="AH175" i="2"/>
  <c r="AF175" i="2"/>
  <c r="AE175" i="2"/>
  <c r="AG175" i="2"/>
  <c r="AD175" i="2"/>
  <c r="AC175" i="2"/>
  <c r="AB175" i="2"/>
  <c r="X175" i="2"/>
  <c r="Z175" i="2"/>
  <c r="AA175" i="2"/>
  <c r="V175" i="2"/>
  <c r="Y175" i="2"/>
  <c r="W175" i="2"/>
  <c r="U175" i="2"/>
  <c r="S175" i="2"/>
  <c r="T175" i="2"/>
  <c r="R175" i="2"/>
  <c r="Q175" i="2"/>
  <c r="P175" i="2"/>
  <c r="N175" i="2"/>
  <c r="L175" i="2"/>
  <c r="O175" i="2"/>
  <c r="M175" i="2"/>
  <c r="J175" i="2"/>
  <c r="AO175" i="2"/>
  <c r="K175" i="2"/>
  <c r="I175" i="2"/>
  <c r="AP175" i="2"/>
  <c r="L175" i="1"/>
  <c r="P175" i="1" s="1"/>
  <c r="AA175" i="1"/>
  <c r="W175" i="1"/>
  <c r="L176" i="1" l="1"/>
  <c r="P176" i="1" s="1"/>
  <c r="AA176" i="1"/>
  <c r="G177" i="3"/>
  <c r="I178" i="1"/>
  <c r="J177" i="1"/>
  <c r="V177" i="1"/>
  <c r="G177" i="2"/>
  <c r="Y177" i="1"/>
  <c r="Z177" i="1" s="1"/>
  <c r="S177" i="1"/>
  <c r="N177" i="1"/>
  <c r="R177" i="1"/>
  <c r="O177" i="1"/>
  <c r="H176" i="2"/>
  <c r="AQ176" i="2"/>
  <c r="AR176" i="2"/>
  <c r="AN176" i="2"/>
  <c r="AM176" i="2"/>
  <c r="AL176" i="2"/>
  <c r="AJ176" i="2"/>
  <c r="AK176" i="2"/>
  <c r="AI176" i="2"/>
  <c r="AF176" i="2"/>
  <c r="AH176" i="2"/>
  <c r="AE176" i="2"/>
  <c r="AG176" i="2"/>
  <c r="AD176" i="2"/>
  <c r="AB176" i="2"/>
  <c r="AC176" i="2"/>
  <c r="AA176" i="2"/>
  <c r="Z176" i="2"/>
  <c r="Y176" i="2"/>
  <c r="V176" i="2"/>
  <c r="X176" i="2"/>
  <c r="W176" i="2"/>
  <c r="S176" i="2"/>
  <c r="U176" i="2"/>
  <c r="T176" i="2"/>
  <c r="R176" i="2"/>
  <c r="N176" i="2"/>
  <c r="Q176" i="2"/>
  <c r="P176" i="2"/>
  <c r="L176" i="2"/>
  <c r="O176" i="2"/>
  <c r="M176" i="2"/>
  <c r="J176" i="2"/>
  <c r="AO176" i="2"/>
  <c r="K176" i="2"/>
  <c r="I176" i="2"/>
  <c r="AP176" i="2"/>
  <c r="H176" i="3"/>
  <c r="AR176" i="3"/>
  <c r="AQ176" i="3"/>
  <c r="AN176" i="3"/>
  <c r="AM176" i="3"/>
  <c r="AL176" i="3"/>
  <c r="AK176" i="3"/>
  <c r="AJ176" i="3"/>
  <c r="AI176" i="3"/>
  <c r="AG176" i="3"/>
  <c r="AH176" i="3"/>
  <c r="AF176" i="3"/>
  <c r="AD176" i="3"/>
  <c r="AC176" i="3"/>
  <c r="AE176" i="3"/>
  <c r="Z176" i="3"/>
  <c r="AB176" i="3"/>
  <c r="X176" i="3"/>
  <c r="Y176" i="3"/>
  <c r="AA176" i="3"/>
  <c r="W176" i="3"/>
  <c r="V176" i="3"/>
  <c r="R176" i="3"/>
  <c r="U176" i="3"/>
  <c r="T176" i="3"/>
  <c r="O176" i="3"/>
  <c r="S176" i="3"/>
  <c r="Q176" i="3"/>
  <c r="M176" i="3"/>
  <c r="P176" i="3"/>
  <c r="L176" i="3"/>
  <c r="K176" i="3"/>
  <c r="N176" i="3"/>
  <c r="I176" i="3"/>
  <c r="AO176" i="3"/>
  <c r="J176" i="3"/>
  <c r="AP176" i="3"/>
  <c r="I179" i="1" l="1"/>
  <c r="G178" i="3"/>
  <c r="J178" i="1"/>
  <c r="V178" i="1"/>
  <c r="Y178" i="1"/>
  <c r="Z178" i="1" s="1"/>
  <c r="G178" i="2"/>
  <c r="N178" i="1"/>
  <c r="R178" i="1"/>
  <c r="O178" i="1"/>
  <c r="S178" i="1"/>
  <c r="H177" i="2"/>
  <c r="AR177" i="2"/>
  <c r="AQ177" i="2"/>
  <c r="AN177" i="2"/>
  <c r="AM177" i="2"/>
  <c r="AJ177" i="2"/>
  <c r="AL177" i="2"/>
  <c r="AK177" i="2"/>
  <c r="AI177" i="2"/>
  <c r="AF177" i="2"/>
  <c r="AH177" i="2"/>
  <c r="AE177" i="2"/>
  <c r="AG177" i="2"/>
  <c r="AB177" i="2"/>
  <c r="AD177" i="2"/>
  <c r="AA177" i="2"/>
  <c r="AC177" i="2"/>
  <c r="Y177" i="2"/>
  <c r="Z177" i="2"/>
  <c r="V177" i="2"/>
  <c r="X177" i="2"/>
  <c r="W177" i="2"/>
  <c r="S177" i="2"/>
  <c r="U177" i="2"/>
  <c r="T177" i="2"/>
  <c r="R177" i="2"/>
  <c r="P177" i="2"/>
  <c r="N177" i="2"/>
  <c r="Q177" i="2"/>
  <c r="O177" i="2"/>
  <c r="M177" i="2"/>
  <c r="I177" i="2"/>
  <c r="L177" i="2"/>
  <c r="J177" i="2"/>
  <c r="AO177" i="2"/>
  <c r="K177" i="2"/>
  <c r="AP177" i="2"/>
  <c r="L177" i="1"/>
  <c r="P177" i="1" s="1"/>
  <c r="AA177" i="1"/>
  <c r="H177" i="3"/>
  <c r="AR177" i="3"/>
  <c r="AQ177" i="3"/>
  <c r="AN177" i="3"/>
  <c r="AL177" i="3"/>
  <c r="AJ177" i="3"/>
  <c r="AM177" i="3"/>
  <c r="AK177" i="3"/>
  <c r="AG177" i="3"/>
  <c r="AI177" i="3"/>
  <c r="AH177" i="3"/>
  <c r="AF177" i="3"/>
  <c r="AE177" i="3"/>
  <c r="AA177" i="3"/>
  <c r="AD177" i="3"/>
  <c r="AC177" i="3"/>
  <c r="Z177" i="3"/>
  <c r="AB177" i="3"/>
  <c r="X177" i="3"/>
  <c r="Y177" i="3"/>
  <c r="V177" i="3"/>
  <c r="W177" i="3"/>
  <c r="U177" i="3"/>
  <c r="T177" i="3"/>
  <c r="S177" i="3"/>
  <c r="R177" i="3"/>
  <c r="Q177" i="3"/>
  <c r="O177" i="3"/>
  <c r="P177" i="3"/>
  <c r="N177" i="3"/>
  <c r="I177" i="3"/>
  <c r="L177" i="3"/>
  <c r="K177" i="3"/>
  <c r="M177" i="3"/>
  <c r="AP177" i="3"/>
  <c r="AO177" i="3"/>
  <c r="J177" i="3"/>
  <c r="W177" i="1"/>
  <c r="H178" i="3" l="1"/>
  <c r="AR178" i="3"/>
  <c r="AQ178" i="3"/>
  <c r="AN178" i="3"/>
  <c r="AL178" i="3"/>
  <c r="AM178" i="3"/>
  <c r="AK178" i="3"/>
  <c r="AJ178" i="3"/>
  <c r="AG178" i="3"/>
  <c r="AI178" i="3"/>
  <c r="AH178" i="3"/>
  <c r="AF178" i="3"/>
  <c r="AE178" i="3"/>
  <c r="AD178" i="3"/>
  <c r="AC178" i="3"/>
  <c r="AB178" i="3"/>
  <c r="Z178" i="3"/>
  <c r="AA178" i="3"/>
  <c r="Y178" i="3"/>
  <c r="W178" i="3"/>
  <c r="V178" i="3"/>
  <c r="X178" i="3"/>
  <c r="S178" i="3"/>
  <c r="U178" i="3"/>
  <c r="T178" i="3"/>
  <c r="O178" i="3"/>
  <c r="R178" i="3"/>
  <c r="N178" i="3"/>
  <c r="Q178" i="3"/>
  <c r="P178" i="3"/>
  <c r="M178" i="3"/>
  <c r="L178" i="3"/>
  <c r="AP178" i="3"/>
  <c r="I178" i="3"/>
  <c r="K178" i="3"/>
  <c r="AO178" i="3"/>
  <c r="J178" i="3"/>
  <c r="H178" i="2"/>
  <c r="AR178" i="2"/>
  <c r="AQ178" i="2"/>
  <c r="AM178" i="2"/>
  <c r="AN178" i="2"/>
  <c r="AL178" i="2"/>
  <c r="AK178" i="2"/>
  <c r="AJ178" i="2"/>
  <c r="AI178" i="2"/>
  <c r="AH178" i="2"/>
  <c r="AF178" i="2"/>
  <c r="AG178" i="2"/>
  <c r="AE178" i="2"/>
  <c r="AB178" i="2"/>
  <c r="AD178" i="2"/>
  <c r="AA178" i="2"/>
  <c r="AC178" i="2"/>
  <c r="Y178" i="2"/>
  <c r="Z178" i="2"/>
  <c r="X178" i="2"/>
  <c r="W178" i="2"/>
  <c r="V178" i="2"/>
  <c r="S178" i="2"/>
  <c r="U178" i="2"/>
  <c r="P178" i="2"/>
  <c r="T178" i="2"/>
  <c r="R178" i="2"/>
  <c r="L178" i="2"/>
  <c r="N178" i="2"/>
  <c r="Q178" i="2"/>
  <c r="O178" i="2"/>
  <c r="J178" i="2"/>
  <c r="M178" i="2"/>
  <c r="K178" i="2"/>
  <c r="I178" i="2"/>
  <c r="AO178" i="2"/>
  <c r="AP178" i="2"/>
  <c r="L178" i="1"/>
  <c r="P178" i="1" s="1"/>
  <c r="AA178" i="1"/>
  <c r="W178" i="1"/>
  <c r="G179" i="3"/>
  <c r="I180" i="1"/>
  <c r="V179" i="1"/>
  <c r="J179" i="1"/>
  <c r="G179" i="2"/>
  <c r="Y179" i="1"/>
  <c r="Z179" i="1" s="1"/>
  <c r="S179" i="1"/>
  <c r="W179" i="1" s="1"/>
  <c r="O179" i="1"/>
  <c r="N179" i="1"/>
  <c r="R179" i="1"/>
  <c r="H179" i="3" l="1"/>
  <c r="AQ179" i="3"/>
  <c r="AR179" i="3"/>
  <c r="AN179" i="3"/>
  <c r="AL179" i="3"/>
  <c r="AM179" i="3"/>
  <c r="AK179" i="3"/>
  <c r="AJ179" i="3"/>
  <c r="AG179" i="3"/>
  <c r="AH179" i="3"/>
  <c r="AF179" i="3"/>
  <c r="AI179" i="3"/>
  <c r="AE179" i="3"/>
  <c r="AB179" i="3"/>
  <c r="AD179" i="3"/>
  <c r="AC179" i="3"/>
  <c r="AA179" i="3"/>
  <c r="Y179" i="3"/>
  <c r="Z179" i="3"/>
  <c r="W179" i="3"/>
  <c r="V179" i="3"/>
  <c r="X179" i="3"/>
  <c r="S179" i="3"/>
  <c r="U179" i="3"/>
  <c r="T179" i="3"/>
  <c r="R179" i="3"/>
  <c r="Q179" i="3"/>
  <c r="P179" i="3"/>
  <c r="N179" i="3"/>
  <c r="O179" i="3"/>
  <c r="L179" i="3"/>
  <c r="M179" i="3"/>
  <c r="I179" i="3"/>
  <c r="K179" i="3"/>
  <c r="J179" i="3"/>
  <c r="AP179" i="3"/>
  <c r="AO179" i="3"/>
  <c r="H179" i="2"/>
  <c r="AQ179" i="2"/>
  <c r="AR179" i="2"/>
  <c r="AK179" i="2"/>
  <c r="AM179" i="2"/>
  <c r="AN179" i="2"/>
  <c r="AL179" i="2"/>
  <c r="AH179" i="2"/>
  <c r="AJ179" i="2"/>
  <c r="AI179" i="2"/>
  <c r="AG179" i="2"/>
  <c r="AF179" i="2"/>
  <c r="AE179" i="2"/>
  <c r="AB179" i="2"/>
  <c r="AD179" i="2"/>
  <c r="AA179" i="2"/>
  <c r="AC179" i="2"/>
  <c r="Z179" i="2"/>
  <c r="Y179" i="2"/>
  <c r="W179" i="2"/>
  <c r="X179" i="2"/>
  <c r="V179" i="2"/>
  <c r="U179" i="2"/>
  <c r="T179" i="2"/>
  <c r="R179" i="2"/>
  <c r="S179" i="2"/>
  <c r="P179" i="2"/>
  <c r="Q179" i="2"/>
  <c r="O179" i="2"/>
  <c r="N179" i="2"/>
  <c r="M179" i="2"/>
  <c r="I179" i="2"/>
  <c r="L179" i="2"/>
  <c r="J179" i="2"/>
  <c r="AO179" i="2"/>
  <c r="K179" i="2"/>
  <c r="AP179" i="2"/>
  <c r="L179" i="1"/>
  <c r="P179" i="1" s="1"/>
  <c r="AA179" i="1"/>
  <c r="G180" i="3"/>
  <c r="I181" i="1"/>
  <c r="V180" i="1"/>
  <c r="J180" i="1"/>
  <c r="G180" i="2"/>
  <c r="Y180" i="1"/>
  <c r="Z180" i="1" s="1"/>
  <c r="S180" i="1"/>
  <c r="W180" i="1" s="1"/>
  <c r="N180" i="1"/>
  <c r="O180" i="1"/>
  <c r="R180" i="1"/>
  <c r="I182" i="1" l="1"/>
  <c r="G181" i="3"/>
  <c r="J181" i="1"/>
  <c r="V181" i="1"/>
  <c r="G181" i="2"/>
  <c r="Y181" i="1"/>
  <c r="Z181" i="1" s="1"/>
  <c r="O181" i="1"/>
  <c r="R181" i="1"/>
  <c r="S181" i="1"/>
  <c r="N181" i="1"/>
  <c r="H180" i="3"/>
  <c r="AQ180" i="3"/>
  <c r="AR180" i="3"/>
  <c r="AN180" i="3"/>
  <c r="AM180" i="3"/>
  <c r="AL180" i="3"/>
  <c r="AK180" i="3"/>
  <c r="AJ180" i="3"/>
  <c r="AI180" i="3"/>
  <c r="AH180" i="3"/>
  <c r="AF180" i="3"/>
  <c r="AE180" i="3"/>
  <c r="AG180" i="3"/>
  <c r="AB180" i="3"/>
  <c r="AD180" i="3"/>
  <c r="AC180" i="3"/>
  <c r="AA180" i="3"/>
  <c r="Y180" i="3"/>
  <c r="Z180" i="3"/>
  <c r="W180" i="3"/>
  <c r="V180" i="3"/>
  <c r="X180" i="3"/>
  <c r="S180" i="3"/>
  <c r="U180" i="3"/>
  <c r="T180" i="3"/>
  <c r="P180" i="3"/>
  <c r="R180" i="3"/>
  <c r="Q180" i="3"/>
  <c r="L180" i="3"/>
  <c r="N180" i="3"/>
  <c r="O180" i="3"/>
  <c r="J180" i="3"/>
  <c r="M180" i="3"/>
  <c r="K180" i="3"/>
  <c r="AP180" i="3"/>
  <c r="I180" i="3"/>
  <c r="AO180" i="3"/>
  <c r="H180" i="2"/>
  <c r="AR180" i="2"/>
  <c r="AQ180" i="2"/>
  <c r="AL180" i="2"/>
  <c r="AN180" i="2"/>
  <c r="AK180" i="2"/>
  <c r="AM180" i="2"/>
  <c r="AH180" i="2"/>
  <c r="AJ180" i="2"/>
  <c r="AG180" i="2"/>
  <c r="AI180" i="2"/>
  <c r="AF180" i="2"/>
  <c r="AE180" i="2"/>
  <c r="AD180" i="2"/>
  <c r="AC180" i="2"/>
  <c r="AB180" i="2"/>
  <c r="AA180" i="2"/>
  <c r="Z180" i="2"/>
  <c r="Y180" i="2"/>
  <c r="X180" i="2"/>
  <c r="W180" i="2"/>
  <c r="U180" i="2"/>
  <c r="T180" i="2"/>
  <c r="V180" i="2"/>
  <c r="R180" i="2"/>
  <c r="P180" i="2"/>
  <c r="S180" i="2"/>
  <c r="O180" i="2"/>
  <c r="Q180" i="2"/>
  <c r="J180" i="2"/>
  <c r="N180" i="2"/>
  <c r="M180" i="2"/>
  <c r="L180" i="2"/>
  <c r="I180" i="2"/>
  <c r="AO180" i="2"/>
  <c r="K180" i="2"/>
  <c r="AP180" i="2"/>
  <c r="L180" i="1"/>
  <c r="P180" i="1" s="1"/>
  <c r="AA180" i="1"/>
  <c r="W181" i="1" l="1"/>
  <c r="H181" i="2"/>
  <c r="AR181" i="2"/>
  <c r="AQ181" i="2"/>
  <c r="AM181" i="2"/>
  <c r="AN181" i="2"/>
  <c r="AL181" i="2"/>
  <c r="AK181" i="2"/>
  <c r="AI181" i="2"/>
  <c r="AJ181" i="2"/>
  <c r="AH181" i="2"/>
  <c r="AG181" i="2"/>
  <c r="AD181" i="2"/>
  <c r="AF181" i="2"/>
  <c r="AC181" i="2"/>
  <c r="AE181" i="2"/>
  <c r="AB181" i="2"/>
  <c r="AA181" i="2"/>
  <c r="Z181" i="2"/>
  <c r="U181" i="2"/>
  <c r="X181" i="2"/>
  <c r="W181" i="2"/>
  <c r="Y181" i="2"/>
  <c r="T181" i="2"/>
  <c r="V181" i="2"/>
  <c r="R181" i="2"/>
  <c r="S181" i="2"/>
  <c r="Q181" i="2"/>
  <c r="P181" i="2"/>
  <c r="O181" i="2"/>
  <c r="M181" i="2"/>
  <c r="N181" i="2"/>
  <c r="L181" i="2"/>
  <c r="K181" i="2"/>
  <c r="I181" i="2"/>
  <c r="J181" i="2"/>
  <c r="AP181" i="2"/>
  <c r="AO181" i="2"/>
  <c r="L181" i="1"/>
  <c r="P181" i="1" s="1"/>
  <c r="AA181" i="1"/>
  <c r="H181" i="3"/>
  <c r="AR181" i="3"/>
  <c r="AQ181" i="3"/>
  <c r="AN181" i="3"/>
  <c r="AM181" i="3"/>
  <c r="AL181" i="3"/>
  <c r="AK181" i="3"/>
  <c r="AH181" i="3"/>
  <c r="AJ181" i="3"/>
  <c r="AI181" i="3"/>
  <c r="AG181" i="3"/>
  <c r="AF181" i="3"/>
  <c r="AE181" i="3"/>
  <c r="AB181" i="3"/>
  <c r="AD181" i="3"/>
  <c r="AC181" i="3"/>
  <c r="AA181" i="3"/>
  <c r="W181" i="3"/>
  <c r="Y181" i="3"/>
  <c r="Z181" i="3"/>
  <c r="X181" i="3"/>
  <c r="V181" i="3"/>
  <c r="U181" i="3"/>
  <c r="T181" i="3"/>
  <c r="P181" i="3"/>
  <c r="S181" i="3"/>
  <c r="R181" i="3"/>
  <c r="Q181" i="3"/>
  <c r="O181" i="3"/>
  <c r="J181" i="3"/>
  <c r="M181" i="3"/>
  <c r="L181" i="3"/>
  <c r="N181" i="3"/>
  <c r="K181" i="3"/>
  <c r="AO181" i="3"/>
  <c r="AP181" i="3"/>
  <c r="I181" i="3"/>
  <c r="I183" i="1"/>
  <c r="G182" i="3"/>
  <c r="V182" i="1"/>
  <c r="J182" i="1"/>
  <c r="G182" i="2"/>
  <c r="Y182" i="1"/>
  <c r="Z182" i="1" s="1"/>
  <c r="S182" i="1"/>
  <c r="W182" i="1" s="1"/>
  <c r="N182" i="1"/>
  <c r="R182" i="1"/>
  <c r="O182" i="1"/>
  <c r="G183" i="3" l="1"/>
  <c r="I184" i="1"/>
  <c r="J183" i="1"/>
  <c r="V183" i="1"/>
  <c r="G183" i="2"/>
  <c r="Y183" i="1"/>
  <c r="Z183" i="1" s="1"/>
  <c r="N183" i="1"/>
  <c r="O183" i="1"/>
  <c r="R183" i="1"/>
  <c r="S183" i="1"/>
  <c r="H182" i="2"/>
  <c r="AR182" i="2"/>
  <c r="AN182" i="2"/>
  <c r="AM182" i="2"/>
  <c r="AQ182" i="2"/>
  <c r="AI182" i="2"/>
  <c r="AK182" i="2"/>
  <c r="AL182" i="2"/>
  <c r="AJ182" i="2"/>
  <c r="AG182" i="2"/>
  <c r="AH182" i="2"/>
  <c r="AF182" i="2"/>
  <c r="AC182" i="2"/>
  <c r="AE182" i="2"/>
  <c r="AD182" i="2"/>
  <c r="AB182" i="2"/>
  <c r="Z182" i="2"/>
  <c r="Y182" i="2"/>
  <c r="AA182" i="2"/>
  <c r="X182" i="2"/>
  <c r="U182" i="2"/>
  <c r="W182" i="2"/>
  <c r="R182" i="2"/>
  <c r="T182" i="2"/>
  <c r="V182" i="2"/>
  <c r="S182" i="2"/>
  <c r="Q182" i="2"/>
  <c r="M182" i="2"/>
  <c r="P182" i="2"/>
  <c r="O182" i="2"/>
  <c r="K182" i="2"/>
  <c r="N182" i="2"/>
  <c r="L182" i="2"/>
  <c r="AP182" i="2"/>
  <c r="I182" i="2"/>
  <c r="J182" i="2"/>
  <c r="AO182" i="2"/>
  <c r="L182" i="1"/>
  <c r="P182" i="1" s="1"/>
  <c r="AA182" i="1"/>
  <c r="H182" i="3"/>
  <c r="AR182" i="3"/>
  <c r="AQ182" i="3"/>
  <c r="AN182" i="3"/>
  <c r="AL182" i="3"/>
  <c r="AM182" i="3"/>
  <c r="AK182" i="3"/>
  <c r="AH182" i="3"/>
  <c r="AJ182" i="3"/>
  <c r="AI182" i="3"/>
  <c r="AG182" i="3"/>
  <c r="AF182" i="3"/>
  <c r="AD182" i="3"/>
  <c r="AE182" i="3"/>
  <c r="AC182" i="3"/>
  <c r="AA182" i="3"/>
  <c r="AB182" i="3"/>
  <c r="Y182" i="3"/>
  <c r="Z182" i="3"/>
  <c r="W182" i="3"/>
  <c r="V182" i="3"/>
  <c r="X182" i="3"/>
  <c r="U182" i="3"/>
  <c r="T182" i="3"/>
  <c r="P182" i="3"/>
  <c r="S182" i="3"/>
  <c r="R182" i="3"/>
  <c r="L182" i="3"/>
  <c r="Q182" i="3"/>
  <c r="O182" i="3"/>
  <c r="J182" i="3"/>
  <c r="M182" i="3"/>
  <c r="N182" i="3"/>
  <c r="AO182" i="3"/>
  <c r="AP182" i="3"/>
  <c r="K182" i="3"/>
  <c r="I182" i="3"/>
  <c r="L183" i="1" l="1"/>
  <c r="P183" i="1" s="1"/>
  <c r="AA183" i="1"/>
  <c r="H183" i="2"/>
  <c r="AR183" i="2"/>
  <c r="AN183" i="2"/>
  <c r="AQ183" i="2"/>
  <c r="AM183" i="2"/>
  <c r="AL183" i="2"/>
  <c r="AK183" i="2"/>
  <c r="AJ183" i="2"/>
  <c r="AI183" i="2"/>
  <c r="AH183" i="2"/>
  <c r="AG183" i="2"/>
  <c r="AF183" i="2"/>
  <c r="AD183" i="2"/>
  <c r="AC183" i="2"/>
  <c r="AE183" i="2"/>
  <c r="AB183" i="2"/>
  <c r="AA183" i="2"/>
  <c r="X183" i="2"/>
  <c r="Z183" i="2"/>
  <c r="Y183" i="2"/>
  <c r="T183" i="2"/>
  <c r="W183" i="2"/>
  <c r="V183" i="2"/>
  <c r="U183" i="2"/>
  <c r="S183" i="2"/>
  <c r="Q183" i="2"/>
  <c r="R183" i="2"/>
  <c r="P183" i="2"/>
  <c r="O183" i="2"/>
  <c r="K183" i="2"/>
  <c r="M183" i="2"/>
  <c r="N183" i="2"/>
  <c r="L183" i="2"/>
  <c r="AP183" i="2"/>
  <c r="I183" i="2"/>
  <c r="J183" i="2"/>
  <c r="AO183" i="2"/>
  <c r="G184" i="3"/>
  <c r="I185" i="1"/>
  <c r="V184" i="1"/>
  <c r="J184" i="1"/>
  <c r="G184" i="2"/>
  <c r="Y184" i="1"/>
  <c r="Z184" i="1" s="1"/>
  <c r="S184" i="1"/>
  <c r="R184" i="1"/>
  <c r="N184" i="1"/>
  <c r="O184" i="1"/>
  <c r="W183" i="1"/>
  <c r="H183" i="3"/>
  <c r="AR183" i="3"/>
  <c r="AQ183" i="3"/>
  <c r="AN183" i="3"/>
  <c r="AM183" i="3"/>
  <c r="AL183" i="3"/>
  <c r="AK183" i="3"/>
  <c r="AI183" i="3"/>
  <c r="AH183" i="3"/>
  <c r="AJ183" i="3"/>
  <c r="AG183" i="3"/>
  <c r="AD183" i="3"/>
  <c r="AF183" i="3"/>
  <c r="AC183" i="3"/>
  <c r="AE183" i="3"/>
  <c r="AB183" i="3"/>
  <c r="AA183" i="3"/>
  <c r="W183" i="3"/>
  <c r="Z183" i="3"/>
  <c r="U183" i="3"/>
  <c r="Y183" i="3"/>
  <c r="X183" i="3"/>
  <c r="T183" i="3"/>
  <c r="V183" i="3"/>
  <c r="S183" i="3"/>
  <c r="R183" i="3"/>
  <c r="Q183" i="3"/>
  <c r="O183" i="3"/>
  <c r="P183" i="3"/>
  <c r="M183" i="3"/>
  <c r="L183" i="3"/>
  <c r="N183" i="3"/>
  <c r="K183" i="3"/>
  <c r="AO183" i="3"/>
  <c r="AP183" i="3"/>
  <c r="I183" i="3"/>
  <c r="J183" i="3"/>
  <c r="W184" i="1" l="1"/>
  <c r="G185" i="3"/>
  <c r="I186" i="1"/>
  <c r="V185" i="1"/>
  <c r="J185" i="1"/>
  <c r="G185" i="2"/>
  <c r="Y185" i="1"/>
  <c r="Z185" i="1" s="1"/>
  <c r="S185" i="1"/>
  <c r="W185" i="1" s="1"/>
  <c r="N185" i="1"/>
  <c r="O185" i="1"/>
  <c r="R185" i="1"/>
  <c r="H184" i="3"/>
  <c r="AR184" i="3"/>
  <c r="AN184" i="3"/>
  <c r="AM184" i="3"/>
  <c r="AQ184" i="3"/>
  <c r="AL184" i="3"/>
  <c r="AI184" i="3"/>
  <c r="AK184" i="3"/>
  <c r="AJ184" i="3"/>
  <c r="AE184" i="3"/>
  <c r="AH184" i="3"/>
  <c r="AG184" i="3"/>
  <c r="AD184" i="3"/>
  <c r="AF184" i="3"/>
  <c r="AC184" i="3"/>
  <c r="AA184" i="3"/>
  <c r="AB184" i="3"/>
  <c r="Z184" i="3"/>
  <c r="Y184" i="3"/>
  <c r="X184" i="3"/>
  <c r="U184" i="3"/>
  <c r="W184" i="3"/>
  <c r="R184" i="3"/>
  <c r="T184" i="3"/>
  <c r="V184" i="3"/>
  <c r="Q184" i="3"/>
  <c r="S184" i="3"/>
  <c r="P184" i="3"/>
  <c r="M184" i="3"/>
  <c r="O184" i="3"/>
  <c r="N184" i="3"/>
  <c r="K184" i="3"/>
  <c r="L184" i="3"/>
  <c r="J184" i="3"/>
  <c r="AO184" i="3"/>
  <c r="AP184" i="3"/>
  <c r="I184" i="3"/>
  <c r="H184" i="2"/>
  <c r="AR184" i="2"/>
  <c r="AN184" i="2"/>
  <c r="AQ184" i="2"/>
  <c r="AM184" i="2"/>
  <c r="AL184" i="2"/>
  <c r="AI184" i="2"/>
  <c r="AK184" i="2"/>
  <c r="AJ184" i="2"/>
  <c r="AH184" i="2"/>
  <c r="AG184" i="2"/>
  <c r="AF184" i="2"/>
  <c r="AE184" i="2"/>
  <c r="AD184" i="2"/>
  <c r="Z184" i="2"/>
  <c r="AC184" i="2"/>
  <c r="AB184" i="2"/>
  <c r="AA184" i="2"/>
  <c r="X184" i="2"/>
  <c r="Y184" i="2"/>
  <c r="W184" i="2"/>
  <c r="V184" i="2"/>
  <c r="U184" i="2"/>
  <c r="S184" i="2"/>
  <c r="Q184" i="2"/>
  <c r="R184" i="2"/>
  <c r="T184" i="2"/>
  <c r="M184" i="2"/>
  <c r="P184" i="2"/>
  <c r="K184" i="2"/>
  <c r="O184" i="2"/>
  <c r="N184" i="2"/>
  <c r="L184" i="2"/>
  <c r="I184" i="2"/>
  <c r="AO184" i="2"/>
  <c r="AP184" i="2"/>
  <c r="J184" i="2"/>
  <c r="L184" i="1"/>
  <c r="P184" i="1" s="1"/>
  <c r="AA184" i="1"/>
  <c r="H185" i="2" l="1"/>
  <c r="AR185" i="2"/>
  <c r="AQ185" i="2"/>
  <c r="AN185" i="2"/>
  <c r="AL185" i="2"/>
  <c r="AM185" i="2"/>
  <c r="AK185" i="2"/>
  <c r="AJ185" i="2"/>
  <c r="AI185" i="2"/>
  <c r="AF185" i="2"/>
  <c r="AE185" i="2"/>
  <c r="AH185" i="2"/>
  <c r="AG185" i="2"/>
  <c r="AD185" i="2"/>
  <c r="AC185" i="2"/>
  <c r="AB185" i="2"/>
  <c r="AA185" i="2"/>
  <c r="X185" i="2"/>
  <c r="Z185" i="2"/>
  <c r="V185" i="2"/>
  <c r="Y185" i="2"/>
  <c r="U185" i="2"/>
  <c r="W185" i="2"/>
  <c r="S185" i="2"/>
  <c r="R185" i="2"/>
  <c r="T185" i="2"/>
  <c r="P185" i="2"/>
  <c r="Q185" i="2"/>
  <c r="N185" i="2"/>
  <c r="L185" i="2"/>
  <c r="O185" i="2"/>
  <c r="M185" i="2"/>
  <c r="AO185" i="2"/>
  <c r="I185" i="2"/>
  <c r="J185" i="2"/>
  <c r="K185" i="2"/>
  <c r="AP185" i="2"/>
  <c r="L185" i="1"/>
  <c r="P185" i="1" s="1"/>
  <c r="AA185" i="1"/>
  <c r="I187" i="1"/>
  <c r="G186" i="3"/>
  <c r="V186" i="1"/>
  <c r="J186" i="1"/>
  <c r="G186" i="2"/>
  <c r="Y186" i="1"/>
  <c r="Z186" i="1" s="1"/>
  <c r="R186" i="1"/>
  <c r="O186" i="1"/>
  <c r="S186" i="1"/>
  <c r="N186" i="1"/>
  <c r="H185" i="3"/>
  <c r="AR185" i="3"/>
  <c r="AN185" i="3"/>
  <c r="AM185" i="3"/>
  <c r="AQ185" i="3"/>
  <c r="AL185" i="3"/>
  <c r="AJ185" i="3"/>
  <c r="AI185" i="3"/>
  <c r="AK185" i="3"/>
  <c r="AH185" i="3"/>
  <c r="AG185" i="3"/>
  <c r="AD185" i="3"/>
  <c r="AF185" i="3"/>
  <c r="AA185" i="3"/>
  <c r="AC185" i="3"/>
  <c r="AE185" i="3"/>
  <c r="AB185" i="3"/>
  <c r="X185" i="3"/>
  <c r="Y185" i="3"/>
  <c r="Z185" i="3"/>
  <c r="U185" i="3"/>
  <c r="W185" i="3"/>
  <c r="R185" i="3"/>
  <c r="T185" i="3"/>
  <c r="V185" i="3"/>
  <c r="Q185" i="3"/>
  <c r="S185" i="3"/>
  <c r="P185" i="3"/>
  <c r="O185" i="3"/>
  <c r="N185" i="3"/>
  <c r="K185" i="3"/>
  <c r="M185" i="3"/>
  <c r="L185" i="3"/>
  <c r="J185" i="3"/>
  <c r="AO185" i="3"/>
  <c r="AP185" i="3"/>
  <c r="I185" i="3"/>
  <c r="H186" i="3" l="1"/>
  <c r="AN186" i="3"/>
  <c r="AR186" i="3"/>
  <c r="AM186" i="3"/>
  <c r="AQ186" i="3"/>
  <c r="AL186" i="3"/>
  <c r="AJ186" i="3"/>
  <c r="AI186" i="3"/>
  <c r="AK186" i="3"/>
  <c r="AG186" i="3"/>
  <c r="AH186" i="3"/>
  <c r="AF186" i="3"/>
  <c r="AC186" i="3"/>
  <c r="AE186" i="3"/>
  <c r="AD186" i="3"/>
  <c r="Z186" i="3"/>
  <c r="AB186" i="3"/>
  <c r="AA186" i="3"/>
  <c r="X186" i="3"/>
  <c r="Y186" i="3"/>
  <c r="W186" i="3"/>
  <c r="V186" i="3"/>
  <c r="U186" i="3"/>
  <c r="R186" i="3"/>
  <c r="T186" i="3"/>
  <c r="O186" i="3"/>
  <c r="Q186" i="3"/>
  <c r="S186" i="3"/>
  <c r="P186" i="3"/>
  <c r="M186" i="3"/>
  <c r="N186" i="3"/>
  <c r="K186" i="3"/>
  <c r="L186" i="3"/>
  <c r="I186" i="3"/>
  <c r="J186" i="3"/>
  <c r="AO186" i="3"/>
  <c r="AP186" i="3"/>
  <c r="H186" i="2"/>
  <c r="AR186" i="2"/>
  <c r="AQ186" i="2"/>
  <c r="AN186" i="2"/>
  <c r="AM186" i="2"/>
  <c r="AL186" i="2"/>
  <c r="AJ186" i="2"/>
  <c r="AK186" i="2"/>
  <c r="AF186" i="2"/>
  <c r="AI186" i="2"/>
  <c r="AH186" i="2"/>
  <c r="AE186" i="2"/>
  <c r="AG186" i="2"/>
  <c r="AD186" i="2"/>
  <c r="AB186" i="2"/>
  <c r="AC186" i="2"/>
  <c r="AA186" i="2"/>
  <c r="Z186" i="2"/>
  <c r="Y186" i="2"/>
  <c r="V186" i="2"/>
  <c r="X186" i="2"/>
  <c r="W186" i="2"/>
  <c r="S186" i="2"/>
  <c r="U186" i="2"/>
  <c r="R186" i="2"/>
  <c r="T186" i="2"/>
  <c r="N186" i="2"/>
  <c r="P186" i="2"/>
  <c r="Q186" i="2"/>
  <c r="L186" i="2"/>
  <c r="O186" i="2"/>
  <c r="M186" i="2"/>
  <c r="AO186" i="2"/>
  <c r="I186" i="2"/>
  <c r="J186" i="2"/>
  <c r="K186" i="2"/>
  <c r="AP186" i="2"/>
  <c r="L186" i="1"/>
  <c r="P186" i="1" s="1"/>
  <c r="AA186" i="1"/>
  <c r="G187" i="3"/>
  <c r="I188" i="1"/>
  <c r="J187" i="1"/>
  <c r="V187" i="1"/>
  <c r="G187" i="2"/>
  <c r="Y187" i="1"/>
  <c r="Z187" i="1" s="1"/>
  <c r="S187" i="1"/>
  <c r="W187" i="1" s="1"/>
  <c r="N187" i="1"/>
  <c r="O187" i="1"/>
  <c r="R187" i="1"/>
  <c r="W186" i="1"/>
  <c r="G188" i="3" l="1"/>
  <c r="I189" i="1"/>
  <c r="J188" i="1"/>
  <c r="V188" i="1"/>
  <c r="Y188" i="1"/>
  <c r="Z188" i="1" s="1"/>
  <c r="G188" i="2"/>
  <c r="N188" i="1"/>
  <c r="R188" i="1"/>
  <c r="O188" i="1"/>
  <c r="S188" i="1"/>
  <c r="W188" i="1" s="1"/>
  <c r="H187" i="3"/>
  <c r="AR187" i="3"/>
  <c r="AN187" i="3"/>
  <c r="AQ187" i="3"/>
  <c r="AM187" i="3"/>
  <c r="AJ187" i="3"/>
  <c r="AL187" i="3"/>
  <c r="AK187" i="3"/>
  <c r="AG187" i="3"/>
  <c r="AI187" i="3"/>
  <c r="AH187" i="3"/>
  <c r="AF187" i="3"/>
  <c r="AA187" i="3"/>
  <c r="AC187" i="3"/>
  <c r="AE187" i="3"/>
  <c r="AD187" i="3"/>
  <c r="AB187" i="3"/>
  <c r="X187" i="3"/>
  <c r="Z187" i="3"/>
  <c r="Y187" i="3"/>
  <c r="V187" i="3"/>
  <c r="U187" i="3"/>
  <c r="T187" i="3"/>
  <c r="W187" i="3"/>
  <c r="S187" i="3"/>
  <c r="R187" i="3"/>
  <c r="Q187" i="3"/>
  <c r="P187" i="3"/>
  <c r="O187" i="3"/>
  <c r="N187" i="3"/>
  <c r="I187" i="3"/>
  <c r="K187" i="3"/>
  <c r="M187" i="3"/>
  <c r="L187" i="3"/>
  <c r="AP187" i="3"/>
  <c r="J187" i="3"/>
  <c r="AO187" i="3"/>
  <c r="H187" i="2"/>
  <c r="AQ187" i="2"/>
  <c r="AR187" i="2"/>
  <c r="AN187" i="2"/>
  <c r="AM187" i="2"/>
  <c r="AL187" i="2"/>
  <c r="AJ187" i="2"/>
  <c r="AK187" i="2"/>
  <c r="AF187" i="2"/>
  <c r="AI187" i="2"/>
  <c r="AH187" i="2"/>
  <c r="AE187" i="2"/>
  <c r="AG187" i="2"/>
  <c r="AB187" i="2"/>
  <c r="AD187" i="2"/>
  <c r="AC187" i="2"/>
  <c r="AA187" i="2"/>
  <c r="Y187" i="2"/>
  <c r="Z187" i="2"/>
  <c r="V187" i="2"/>
  <c r="X187" i="2"/>
  <c r="W187" i="2"/>
  <c r="S187" i="2"/>
  <c r="U187" i="2"/>
  <c r="R187" i="2"/>
  <c r="T187" i="2"/>
  <c r="P187" i="2"/>
  <c r="N187" i="2"/>
  <c r="O187" i="2"/>
  <c r="Q187" i="2"/>
  <c r="L187" i="2"/>
  <c r="I187" i="2"/>
  <c r="M187" i="2"/>
  <c r="J187" i="2"/>
  <c r="K187" i="2"/>
  <c r="AO187" i="2"/>
  <c r="AP187" i="2"/>
  <c r="L187" i="1"/>
  <c r="P187" i="1" s="1"/>
  <c r="AA187" i="1"/>
  <c r="H188" i="2" l="1"/>
  <c r="AQ188" i="2"/>
  <c r="AR188" i="2"/>
  <c r="AN188" i="2"/>
  <c r="AM188" i="2"/>
  <c r="AL188" i="2"/>
  <c r="AJ188" i="2"/>
  <c r="AK188" i="2"/>
  <c r="AI188" i="2"/>
  <c r="AH188" i="2"/>
  <c r="AF188" i="2"/>
  <c r="AG188" i="2"/>
  <c r="AD188" i="2"/>
  <c r="AB188" i="2"/>
  <c r="AE188" i="2"/>
  <c r="AC188" i="2"/>
  <c r="AA188" i="2"/>
  <c r="Y188" i="2"/>
  <c r="Z188" i="2"/>
  <c r="X188" i="2"/>
  <c r="W188" i="2"/>
  <c r="S188" i="2"/>
  <c r="U188" i="2"/>
  <c r="V188" i="2"/>
  <c r="T188" i="2"/>
  <c r="P188" i="2"/>
  <c r="R188" i="2"/>
  <c r="Q188" i="2"/>
  <c r="L188" i="2"/>
  <c r="N188" i="2"/>
  <c r="O188" i="2"/>
  <c r="J188" i="2"/>
  <c r="K188" i="2"/>
  <c r="M188" i="2"/>
  <c r="I188" i="2"/>
  <c r="AO188" i="2"/>
  <c r="AP188" i="2"/>
  <c r="L188" i="1"/>
  <c r="P188" i="1" s="1"/>
  <c r="AA188" i="1"/>
  <c r="G189" i="3"/>
  <c r="I190" i="1"/>
  <c r="V189" i="1"/>
  <c r="J189" i="1"/>
  <c r="G189" i="2"/>
  <c r="Y189" i="1"/>
  <c r="Z189" i="1" s="1"/>
  <c r="S189" i="1"/>
  <c r="W189" i="1" s="1"/>
  <c r="N189" i="1"/>
  <c r="O189" i="1"/>
  <c r="R189" i="1"/>
  <c r="H188" i="3"/>
  <c r="AR188" i="3"/>
  <c r="AQ188" i="3"/>
  <c r="AN188" i="3"/>
  <c r="AL188" i="3"/>
  <c r="AM188" i="3"/>
  <c r="AJ188" i="3"/>
  <c r="AK188" i="3"/>
  <c r="AG188" i="3"/>
  <c r="AI188" i="3"/>
  <c r="AF188" i="3"/>
  <c r="AH188" i="3"/>
  <c r="AD188" i="3"/>
  <c r="AC188" i="3"/>
  <c r="AE188" i="3"/>
  <c r="AB188" i="3"/>
  <c r="AA188" i="3"/>
  <c r="Z188" i="3"/>
  <c r="Y188" i="3"/>
  <c r="X188" i="3"/>
  <c r="V188" i="3"/>
  <c r="W188" i="3"/>
  <c r="S188" i="3"/>
  <c r="U188" i="3"/>
  <c r="T188" i="3"/>
  <c r="R188" i="3"/>
  <c r="O188" i="3"/>
  <c r="Q188" i="3"/>
  <c r="N188" i="3"/>
  <c r="P188" i="3"/>
  <c r="M188" i="3"/>
  <c r="L188" i="3"/>
  <c r="I188" i="3"/>
  <c r="AP188" i="3"/>
  <c r="J188" i="3"/>
  <c r="AO188" i="3"/>
  <c r="K188" i="3"/>
  <c r="H189" i="2" l="1"/>
  <c r="AQ189" i="2"/>
  <c r="AR189" i="2"/>
  <c r="AN189" i="2"/>
  <c r="AM189" i="2"/>
  <c r="AK189" i="2"/>
  <c r="AL189" i="2"/>
  <c r="AI189" i="2"/>
  <c r="AH189" i="2"/>
  <c r="AJ189" i="2"/>
  <c r="AG189" i="2"/>
  <c r="AF189" i="2"/>
  <c r="AD189" i="2"/>
  <c r="AB189" i="2"/>
  <c r="AE189" i="2"/>
  <c r="AC189" i="2"/>
  <c r="AA189" i="2"/>
  <c r="Y189" i="2"/>
  <c r="Z189" i="2"/>
  <c r="W189" i="2"/>
  <c r="X189" i="2"/>
  <c r="U189" i="2"/>
  <c r="V189" i="2"/>
  <c r="T189" i="2"/>
  <c r="S189" i="2"/>
  <c r="R189" i="2"/>
  <c r="Q189" i="2"/>
  <c r="P189" i="2"/>
  <c r="O189" i="2"/>
  <c r="L189" i="2"/>
  <c r="N189" i="2"/>
  <c r="M189" i="2"/>
  <c r="K189" i="2"/>
  <c r="AO189" i="2"/>
  <c r="I189" i="2"/>
  <c r="J189" i="2"/>
  <c r="AP189" i="2"/>
  <c r="L189" i="1"/>
  <c r="P189" i="1" s="1"/>
  <c r="AA189" i="1"/>
  <c r="G190" i="3"/>
  <c r="I191" i="1"/>
  <c r="V190" i="1"/>
  <c r="J190" i="1"/>
  <c r="G190" i="2"/>
  <c r="Y190" i="1"/>
  <c r="Z190" i="1" s="1"/>
  <c r="S190" i="1"/>
  <c r="W190" i="1" s="1"/>
  <c r="R190" i="1"/>
  <c r="O190" i="1"/>
  <c r="N190" i="1"/>
  <c r="H189" i="3"/>
  <c r="AQ189" i="3"/>
  <c r="AR189" i="3"/>
  <c r="AN189" i="3"/>
  <c r="AL189" i="3"/>
  <c r="AM189" i="3"/>
  <c r="AK189" i="3"/>
  <c r="AG189" i="3"/>
  <c r="AJ189" i="3"/>
  <c r="AI189" i="3"/>
  <c r="AF189" i="3"/>
  <c r="AH189" i="3"/>
  <c r="AE189" i="3"/>
  <c r="AB189" i="3"/>
  <c r="AD189" i="3"/>
  <c r="AC189" i="3"/>
  <c r="AA189" i="3"/>
  <c r="Z189" i="3"/>
  <c r="Y189" i="3"/>
  <c r="X189" i="3"/>
  <c r="V189" i="3"/>
  <c r="W189" i="3"/>
  <c r="S189" i="3"/>
  <c r="U189" i="3"/>
  <c r="T189" i="3"/>
  <c r="R189" i="3"/>
  <c r="Q189" i="3"/>
  <c r="P189" i="3"/>
  <c r="N189" i="3"/>
  <c r="O189" i="3"/>
  <c r="L189" i="3"/>
  <c r="I189" i="3"/>
  <c r="K189" i="3"/>
  <c r="M189" i="3"/>
  <c r="J189" i="3"/>
  <c r="AP189" i="3"/>
  <c r="AO189" i="3"/>
  <c r="H190" i="2" l="1"/>
  <c r="AQ190" i="2"/>
  <c r="AR190" i="2"/>
  <c r="AN190" i="2"/>
  <c r="AL190" i="2"/>
  <c r="AM190" i="2"/>
  <c r="AK190" i="2"/>
  <c r="AI190" i="2"/>
  <c r="AH190" i="2"/>
  <c r="AJ190" i="2"/>
  <c r="AG190" i="2"/>
  <c r="AF190" i="2"/>
  <c r="AD190" i="2"/>
  <c r="AE190" i="2"/>
  <c r="AC190" i="2"/>
  <c r="AA190" i="2"/>
  <c r="AB190" i="2"/>
  <c r="Y190" i="2"/>
  <c r="Z190" i="2"/>
  <c r="W190" i="2"/>
  <c r="X190" i="2"/>
  <c r="U190" i="2"/>
  <c r="V190" i="2"/>
  <c r="T190" i="2"/>
  <c r="R190" i="2"/>
  <c r="P190" i="2"/>
  <c r="S190" i="2"/>
  <c r="O190" i="2"/>
  <c r="Q190" i="2"/>
  <c r="M190" i="2"/>
  <c r="J190" i="2"/>
  <c r="N190" i="2"/>
  <c r="K190" i="2"/>
  <c r="L190" i="2"/>
  <c r="AO190" i="2"/>
  <c r="I190" i="2"/>
  <c r="AP190" i="2"/>
  <c r="L190" i="1"/>
  <c r="P190" i="1" s="1"/>
  <c r="AA190" i="1"/>
  <c r="I192" i="1"/>
  <c r="G191" i="3"/>
  <c r="J191" i="1"/>
  <c r="V191" i="1"/>
  <c r="G191" i="2"/>
  <c r="Y191" i="1"/>
  <c r="Z191" i="1" s="1"/>
  <c r="R191" i="1"/>
  <c r="S191" i="1"/>
  <c r="N191" i="1"/>
  <c r="O191" i="1"/>
  <c r="H190" i="3"/>
  <c r="AQ190" i="3"/>
  <c r="AR190" i="3"/>
  <c r="AN190" i="3"/>
  <c r="AM190" i="3"/>
  <c r="AL190" i="3"/>
  <c r="AK190" i="3"/>
  <c r="AI190" i="3"/>
  <c r="AJ190" i="3"/>
  <c r="AH190" i="3"/>
  <c r="AF190" i="3"/>
  <c r="AE190" i="3"/>
  <c r="AG190" i="3"/>
  <c r="AB190" i="3"/>
  <c r="AD190" i="3"/>
  <c r="AC190" i="3"/>
  <c r="AA190" i="3"/>
  <c r="Z190" i="3"/>
  <c r="Y190" i="3"/>
  <c r="W190" i="3"/>
  <c r="X190" i="3"/>
  <c r="V190" i="3"/>
  <c r="S190" i="3"/>
  <c r="U190" i="3"/>
  <c r="T190" i="3"/>
  <c r="P190" i="3"/>
  <c r="R190" i="3"/>
  <c r="Q190" i="3"/>
  <c r="L190" i="3"/>
  <c r="N190" i="3"/>
  <c r="O190" i="3"/>
  <c r="J190" i="3"/>
  <c r="K190" i="3"/>
  <c r="M190" i="3"/>
  <c r="I190" i="3"/>
  <c r="AP190" i="3"/>
  <c r="AO190" i="3"/>
  <c r="W191" i="1" l="1"/>
  <c r="H191" i="3"/>
  <c r="AQ191" i="3"/>
  <c r="AR191" i="3"/>
  <c r="AN191" i="3"/>
  <c r="AL191" i="3"/>
  <c r="AK191" i="3"/>
  <c r="AM191" i="3"/>
  <c r="AH191" i="3"/>
  <c r="AI191" i="3"/>
  <c r="AJ191" i="3"/>
  <c r="AE191" i="3"/>
  <c r="AG191" i="3"/>
  <c r="AF191" i="3"/>
  <c r="AB191" i="3"/>
  <c r="AD191" i="3"/>
  <c r="AC191" i="3"/>
  <c r="W191" i="3"/>
  <c r="AA191" i="3"/>
  <c r="Z191" i="3"/>
  <c r="Y191" i="3"/>
  <c r="X191" i="3"/>
  <c r="U191" i="3"/>
  <c r="V191" i="3"/>
  <c r="T191" i="3"/>
  <c r="P191" i="3"/>
  <c r="R191" i="3"/>
  <c r="S191" i="3"/>
  <c r="Q191" i="3"/>
  <c r="O191" i="3"/>
  <c r="M191" i="3"/>
  <c r="L191" i="3"/>
  <c r="J191" i="3"/>
  <c r="N191" i="3"/>
  <c r="K191" i="3"/>
  <c r="AO191" i="3"/>
  <c r="I191" i="3"/>
  <c r="AP191" i="3"/>
  <c r="L191" i="1"/>
  <c r="P191" i="1" s="1"/>
  <c r="AA191" i="1"/>
  <c r="G192" i="3"/>
  <c r="I193" i="1"/>
  <c r="V192" i="1"/>
  <c r="J192" i="1"/>
  <c r="G192" i="2"/>
  <c r="Y192" i="1"/>
  <c r="Z192" i="1" s="1"/>
  <c r="S192" i="1"/>
  <c r="W192" i="1" s="1"/>
  <c r="N192" i="1"/>
  <c r="R192" i="1"/>
  <c r="O192" i="1"/>
  <c r="H191" i="2"/>
  <c r="AR191" i="2"/>
  <c r="AN191" i="2"/>
  <c r="AQ191" i="2"/>
  <c r="AM191" i="2"/>
  <c r="AL191" i="2"/>
  <c r="AK191" i="2"/>
  <c r="AI191" i="2"/>
  <c r="AH191" i="2"/>
  <c r="AJ191" i="2"/>
  <c r="AG191" i="2"/>
  <c r="AD191" i="2"/>
  <c r="AF191" i="2"/>
  <c r="AC191" i="2"/>
  <c r="AE191" i="2"/>
  <c r="AB191" i="2"/>
  <c r="AA191" i="2"/>
  <c r="Z191" i="2"/>
  <c r="U191" i="2"/>
  <c r="Y191" i="2"/>
  <c r="W191" i="2"/>
  <c r="X191" i="2"/>
  <c r="V191" i="2"/>
  <c r="T191" i="2"/>
  <c r="R191" i="2"/>
  <c r="S191" i="2"/>
  <c r="Q191" i="2"/>
  <c r="O191" i="2"/>
  <c r="P191" i="2"/>
  <c r="M191" i="2"/>
  <c r="N191" i="2"/>
  <c r="L191" i="2"/>
  <c r="K191" i="2"/>
  <c r="J191" i="2"/>
  <c r="I191" i="2"/>
  <c r="AP191" i="2"/>
  <c r="AO191" i="2"/>
  <c r="H192" i="2" l="1"/>
  <c r="AR192" i="2"/>
  <c r="AN192" i="2"/>
  <c r="AM192" i="2"/>
  <c r="AQ192" i="2"/>
  <c r="AI192" i="2"/>
  <c r="AL192" i="2"/>
  <c r="AK192" i="2"/>
  <c r="AJ192" i="2"/>
  <c r="AH192" i="2"/>
  <c r="AG192" i="2"/>
  <c r="AF192" i="2"/>
  <c r="AE192" i="2"/>
  <c r="AC192" i="2"/>
  <c r="AD192" i="2"/>
  <c r="AB192" i="2"/>
  <c r="Z192" i="2"/>
  <c r="AA192" i="2"/>
  <c r="Y192" i="2"/>
  <c r="X192" i="2"/>
  <c r="U192" i="2"/>
  <c r="W192" i="2"/>
  <c r="R192" i="2"/>
  <c r="V192" i="2"/>
  <c r="T192" i="2"/>
  <c r="Q192" i="2"/>
  <c r="S192" i="2"/>
  <c r="M192" i="2"/>
  <c r="O192" i="2"/>
  <c r="P192" i="2"/>
  <c r="K192" i="2"/>
  <c r="N192" i="2"/>
  <c r="L192" i="2"/>
  <c r="AP192" i="2"/>
  <c r="J192" i="2"/>
  <c r="I192" i="2"/>
  <c r="AO192" i="2"/>
  <c r="L192" i="1"/>
  <c r="P192" i="1" s="1"/>
  <c r="AA192" i="1"/>
  <c r="I194" i="1"/>
  <c r="G193" i="3"/>
  <c r="J193" i="1"/>
  <c r="V193" i="1"/>
  <c r="G193" i="2"/>
  <c r="Y193" i="1"/>
  <c r="Z193" i="1" s="1"/>
  <c r="N193" i="1"/>
  <c r="O193" i="1"/>
  <c r="R193" i="1"/>
  <c r="S193" i="1"/>
  <c r="H192" i="3"/>
  <c r="AR192" i="3"/>
  <c r="AQ192" i="3"/>
  <c r="AN192" i="3"/>
  <c r="AL192" i="3"/>
  <c r="AK192" i="3"/>
  <c r="AM192" i="3"/>
  <c r="AJ192" i="3"/>
  <c r="AH192" i="3"/>
  <c r="AI192" i="3"/>
  <c r="AE192" i="3"/>
  <c r="AG192" i="3"/>
  <c r="AF192" i="3"/>
  <c r="AD192" i="3"/>
  <c r="AC192" i="3"/>
  <c r="AB192" i="3"/>
  <c r="AA192" i="3"/>
  <c r="Z192" i="3"/>
  <c r="Y192" i="3"/>
  <c r="X192" i="3"/>
  <c r="V192" i="3"/>
  <c r="W192" i="3"/>
  <c r="U192" i="3"/>
  <c r="T192" i="3"/>
  <c r="P192" i="3"/>
  <c r="R192" i="3"/>
  <c r="S192" i="3"/>
  <c r="Q192" i="3"/>
  <c r="L192" i="3"/>
  <c r="O192" i="3"/>
  <c r="M192" i="3"/>
  <c r="J192" i="3"/>
  <c r="N192" i="3"/>
  <c r="I192" i="3"/>
  <c r="AP192" i="3"/>
  <c r="K192" i="3"/>
  <c r="AO192" i="3"/>
  <c r="H193" i="2" l="1"/>
  <c r="AR193" i="2"/>
  <c r="AN193" i="2"/>
  <c r="AQ193" i="2"/>
  <c r="AM193" i="2"/>
  <c r="AL193" i="2"/>
  <c r="AK193" i="2"/>
  <c r="AI193" i="2"/>
  <c r="AJ193" i="2"/>
  <c r="AH193" i="2"/>
  <c r="AD193" i="2"/>
  <c r="AG193" i="2"/>
  <c r="AF193" i="2"/>
  <c r="AE193" i="2"/>
  <c r="AC193" i="2"/>
  <c r="AB193" i="2"/>
  <c r="X193" i="2"/>
  <c r="Z193" i="2"/>
  <c r="AA193" i="2"/>
  <c r="Y193" i="2"/>
  <c r="V193" i="2"/>
  <c r="T193" i="2"/>
  <c r="U193" i="2"/>
  <c r="W193" i="2"/>
  <c r="Q193" i="2"/>
  <c r="R193" i="2"/>
  <c r="S193" i="2"/>
  <c r="P193" i="2"/>
  <c r="O193" i="2"/>
  <c r="M193" i="2"/>
  <c r="K193" i="2"/>
  <c r="N193" i="2"/>
  <c r="L193" i="2"/>
  <c r="AP193" i="2"/>
  <c r="J193" i="2"/>
  <c r="I193" i="2"/>
  <c r="AO193" i="2"/>
  <c r="L193" i="1"/>
  <c r="P193" i="1" s="1"/>
  <c r="AA193" i="1"/>
  <c r="H193" i="3"/>
  <c r="AR193" i="3"/>
  <c r="AQ193" i="3"/>
  <c r="AN193" i="3"/>
  <c r="AM193" i="3"/>
  <c r="AL193" i="3"/>
  <c r="AK193" i="3"/>
  <c r="AI193" i="3"/>
  <c r="AJ193" i="3"/>
  <c r="AH193" i="3"/>
  <c r="AF193" i="3"/>
  <c r="AD193" i="3"/>
  <c r="AG193" i="3"/>
  <c r="AC193" i="3"/>
  <c r="AE193" i="3"/>
  <c r="AB193" i="3"/>
  <c r="AA193" i="3"/>
  <c r="W193" i="3"/>
  <c r="Z193" i="3"/>
  <c r="U193" i="3"/>
  <c r="X193" i="3"/>
  <c r="Y193" i="3"/>
  <c r="T193" i="3"/>
  <c r="V193" i="3"/>
  <c r="S193" i="3"/>
  <c r="R193" i="3"/>
  <c r="Q193" i="3"/>
  <c r="P193" i="3"/>
  <c r="O193" i="3"/>
  <c r="M193" i="3"/>
  <c r="L193" i="3"/>
  <c r="N193" i="3"/>
  <c r="K193" i="3"/>
  <c r="AO193" i="3"/>
  <c r="I193" i="3"/>
  <c r="J193" i="3"/>
  <c r="AP193" i="3"/>
  <c r="G194" i="3"/>
  <c r="I195" i="1"/>
  <c r="V194" i="1"/>
  <c r="J194" i="1"/>
  <c r="G194" i="2"/>
  <c r="Y194" i="1"/>
  <c r="Z194" i="1" s="1"/>
  <c r="S194" i="1"/>
  <c r="W194" i="1" s="1"/>
  <c r="N194" i="1"/>
  <c r="R194" i="1"/>
  <c r="O194" i="1"/>
  <c r="W193" i="1"/>
  <c r="G195" i="3" l="1"/>
  <c r="I196" i="1"/>
  <c r="V195" i="1"/>
  <c r="J195" i="1"/>
  <c r="G195" i="2"/>
  <c r="Y195" i="1"/>
  <c r="Z195" i="1" s="1"/>
  <c r="S195" i="1"/>
  <c r="W195" i="1" s="1"/>
  <c r="N195" i="1"/>
  <c r="O195" i="1"/>
  <c r="R195" i="1"/>
  <c r="H194" i="3"/>
  <c r="AR194" i="3"/>
  <c r="AQ194" i="3"/>
  <c r="AN194" i="3"/>
  <c r="AM194" i="3"/>
  <c r="AL194" i="3"/>
  <c r="AK194" i="3"/>
  <c r="AI194" i="3"/>
  <c r="AJ194" i="3"/>
  <c r="AE194" i="3"/>
  <c r="AH194" i="3"/>
  <c r="AF194" i="3"/>
  <c r="AD194" i="3"/>
  <c r="AG194" i="3"/>
  <c r="AC194" i="3"/>
  <c r="AA194" i="3"/>
  <c r="AB194" i="3"/>
  <c r="Z194" i="3"/>
  <c r="Y194" i="3"/>
  <c r="X194" i="3"/>
  <c r="W194" i="3"/>
  <c r="U194" i="3"/>
  <c r="V194" i="3"/>
  <c r="R194" i="3"/>
  <c r="T194" i="3"/>
  <c r="Q194" i="3"/>
  <c r="S194" i="3"/>
  <c r="M194" i="3"/>
  <c r="P194" i="3"/>
  <c r="O194" i="3"/>
  <c r="K194" i="3"/>
  <c r="L194" i="3"/>
  <c r="N194" i="3"/>
  <c r="AO194" i="3"/>
  <c r="I194" i="3"/>
  <c r="J194" i="3"/>
  <c r="AP194" i="3"/>
  <c r="H194" i="2"/>
  <c r="AR194" i="2"/>
  <c r="AN194" i="2"/>
  <c r="AQ194" i="2"/>
  <c r="AM194" i="2"/>
  <c r="AK194" i="2"/>
  <c r="AI194" i="2"/>
  <c r="AL194" i="2"/>
  <c r="AJ194" i="2"/>
  <c r="AH194" i="2"/>
  <c r="AG194" i="2"/>
  <c r="AF194" i="2"/>
  <c r="AE194" i="2"/>
  <c r="AD194" i="2"/>
  <c r="Z194" i="2"/>
  <c r="AC194" i="2"/>
  <c r="AB194" i="2"/>
  <c r="X194" i="2"/>
  <c r="AA194" i="2"/>
  <c r="Y194" i="2"/>
  <c r="W194" i="2"/>
  <c r="V194" i="2"/>
  <c r="U194" i="2"/>
  <c r="T194" i="2"/>
  <c r="Q194" i="2"/>
  <c r="R194" i="2"/>
  <c r="S194" i="2"/>
  <c r="P194" i="2"/>
  <c r="M194" i="2"/>
  <c r="K194" i="2"/>
  <c r="N194" i="2"/>
  <c r="O194" i="2"/>
  <c r="L194" i="2"/>
  <c r="I194" i="2"/>
  <c r="AO194" i="2"/>
  <c r="AP194" i="2"/>
  <c r="J194" i="2"/>
  <c r="L194" i="1"/>
  <c r="P194" i="1" s="1"/>
  <c r="AA194" i="1"/>
  <c r="L195" i="1" l="1"/>
  <c r="P195" i="1" s="1"/>
  <c r="AA195" i="1"/>
  <c r="G196" i="3"/>
  <c r="I197" i="1"/>
  <c r="V196" i="1"/>
  <c r="J196" i="1"/>
  <c r="G196" i="2"/>
  <c r="Y196" i="1"/>
  <c r="Z196" i="1" s="1"/>
  <c r="N196" i="1"/>
  <c r="O196" i="1"/>
  <c r="S196" i="1"/>
  <c r="R196" i="1"/>
  <c r="H195" i="2"/>
  <c r="AR195" i="2"/>
  <c r="AN195" i="2"/>
  <c r="AQ195" i="2"/>
  <c r="AM195" i="2"/>
  <c r="AL195" i="2"/>
  <c r="AK195" i="2"/>
  <c r="AJ195" i="2"/>
  <c r="AH195" i="2"/>
  <c r="AI195" i="2"/>
  <c r="AF195" i="2"/>
  <c r="AE195" i="2"/>
  <c r="AG195" i="2"/>
  <c r="AD195" i="2"/>
  <c r="AC195" i="2"/>
  <c r="AB195" i="2"/>
  <c r="Z195" i="2"/>
  <c r="X195" i="2"/>
  <c r="AA195" i="2"/>
  <c r="V195" i="2"/>
  <c r="Y195" i="2"/>
  <c r="W195" i="2"/>
  <c r="U195" i="2"/>
  <c r="S195" i="2"/>
  <c r="T195" i="2"/>
  <c r="R195" i="2"/>
  <c r="P195" i="2"/>
  <c r="Q195" i="2"/>
  <c r="N195" i="2"/>
  <c r="M195" i="2"/>
  <c r="O195" i="2"/>
  <c r="L195" i="2"/>
  <c r="AO195" i="2"/>
  <c r="K195" i="2"/>
  <c r="I195" i="2"/>
  <c r="J195" i="2"/>
  <c r="AP195" i="2"/>
  <c r="H195" i="3"/>
  <c r="AR195" i="3"/>
  <c r="AN195" i="3"/>
  <c r="AQ195" i="3"/>
  <c r="AM195" i="3"/>
  <c r="AL195" i="3"/>
  <c r="AK195" i="3"/>
  <c r="AI195" i="3"/>
  <c r="AJ195" i="3"/>
  <c r="AH195" i="3"/>
  <c r="AG195" i="3"/>
  <c r="AF195" i="3"/>
  <c r="AD195" i="3"/>
  <c r="AA195" i="3"/>
  <c r="AC195" i="3"/>
  <c r="AE195" i="3"/>
  <c r="AB195" i="3"/>
  <c r="X195" i="3"/>
  <c r="Z195" i="3"/>
  <c r="Y195" i="3"/>
  <c r="W195" i="3"/>
  <c r="U195" i="3"/>
  <c r="V195" i="3"/>
  <c r="R195" i="3"/>
  <c r="T195" i="3"/>
  <c r="Q195" i="3"/>
  <c r="S195" i="3"/>
  <c r="O195" i="3"/>
  <c r="P195" i="3"/>
  <c r="K195" i="3"/>
  <c r="M195" i="3"/>
  <c r="L195" i="3"/>
  <c r="N195" i="3"/>
  <c r="AO195" i="3"/>
  <c r="I195" i="3"/>
  <c r="J195" i="3"/>
  <c r="AP195" i="3"/>
  <c r="H196" i="2" l="1"/>
  <c r="AR196" i="2"/>
  <c r="AQ196" i="2"/>
  <c r="AN196" i="2"/>
  <c r="AL196" i="2"/>
  <c r="AM196" i="2"/>
  <c r="AJ196" i="2"/>
  <c r="AK196" i="2"/>
  <c r="AF196" i="2"/>
  <c r="AH196" i="2"/>
  <c r="AI196" i="2"/>
  <c r="AE196" i="2"/>
  <c r="AG196" i="2"/>
  <c r="AD196" i="2"/>
  <c r="AB196" i="2"/>
  <c r="AC196" i="2"/>
  <c r="AA196" i="2"/>
  <c r="Z196" i="2"/>
  <c r="Y196" i="2"/>
  <c r="V196" i="2"/>
  <c r="W196" i="2"/>
  <c r="X196" i="2"/>
  <c r="S196" i="2"/>
  <c r="U196" i="2"/>
  <c r="T196" i="2"/>
  <c r="R196" i="2"/>
  <c r="N196" i="2"/>
  <c r="P196" i="2"/>
  <c r="Q196" i="2"/>
  <c r="L196" i="2"/>
  <c r="M196" i="2"/>
  <c r="O196" i="2"/>
  <c r="AO196" i="2"/>
  <c r="K196" i="2"/>
  <c r="I196" i="2"/>
  <c r="J196" i="2"/>
  <c r="AP196" i="2"/>
  <c r="I198" i="1"/>
  <c r="G197" i="3"/>
  <c r="J197" i="1"/>
  <c r="V197" i="1"/>
  <c r="G197" i="2"/>
  <c r="Y197" i="1"/>
  <c r="Z197" i="1" s="1"/>
  <c r="S197" i="1"/>
  <c r="W197" i="1" s="1"/>
  <c r="N197" i="1"/>
  <c r="O197" i="1"/>
  <c r="R197" i="1"/>
  <c r="L196" i="1"/>
  <c r="P196" i="1" s="1"/>
  <c r="AA196" i="1"/>
  <c r="H196" i="3"/>
  <c r="AR196" i="3"/>
  <c r="AN196" i="3"/>
  <c r="AQ196" i="3"/>
  <c r="AM196" i="3"/>
  <c r="AL196" i="3"/>
  <c r="AJ196" i="3"/>
  <c r="AK196" i="3"/>
  <c r="AI196" i="3"/>
  <c r="AG196" i="3"/>
  <c r="AH196" i="3"/>
  <c r="AF196" i="3"/>
  <c r="AC196" i="3"/>
  <c r="AD196" i="3"/>
  <c r="AE196" i="3"/>
  <c r="AA196" i="3"/>
  <c r="Z196" i="3"/>
  <c r="AB196" i="3"/>
  <c r="X196" i="3"/>
  <c r="Y196" i="3"/>
  <c r="W196" i="3"/>
  <c r="V196" i="3"/>
  <c r="R196" i="3"/>
  <c r="T196" i="3"/>
  <c r="U196" i="3"/>
  <c r="O196" i="3"/>
  <c r="Q196" i="3"/>
  <c r="S196" i="3"/>
  <c r="M196" i="3"/>
  <c r="P196" i="3"/>
  <c r="K196" i="3"/>
  <c r="L196" i="3"/>
  <c r="N196" i="3"/>
  <c r="I196" i="3"/>
  <c r="AO196" i="3"/>
  <c r="J196" i="3"/>
  <c r="AP196" i="3"/>
  <c r="W196" i="1"/>
  <c r="H197" i="3" l="1"/>
  <c r="AR197" i="3"/>
  <c r="AN197" i="3"/>
  <c r="AQ197" i="3"/>
  <c r="AJ197" i="3"/>
  <c r="AL197" i="3"/>
  <c r="AM197" i="3"/>
  <c r="AK197" i="3"/>
  <c r="AG197" i="3"/>
  <c r="AH197" i="3"/>
  <c r="AI197" i="3"/>
  <c r="AF197" i="3"/>
  <c r="AE197" i="3"/>
  <c r="AA197" i="3"/>
  <c r="AC197" i="3"/>
  <c r="AD197" i="3"/>
  <c r="AB197" i="3"/>
  <c r="X197" i="3"/>
  <c r="Z197" i="3"/>
  <c r="Y197" i="3"/>
  <c r="V197" i="3"/>
  <c r="W197" i="3"/>
  <c r="T197" i="3"/>
  <c r="U197" i="3"/>
  <c r="S197" i="3"/>
  <c r="Q197" i="3"/>
  <c r="R197" i="3"/>
  <c r="O197" i="3"/>
  <c r="P197" i="3"/>
  <c r="N197" i="3"/>
  <c r="I197" i="3"/>
  <c r="M197" i="3"/>
  <c r="K197" i="3"/>
  <c r="L197" i="3"/>
  <c r="AP197" i="3"/>
  <c r="AO197" i="3"/>
  <c r="J197" i="3"/>
  <c r="G198" i="3"/>
  <c r="I199" i="1"/>
  <c r="J198" i="1"/>
  <c r="V198" i="1"/>
  <c r="Y198" i="1"/>
  <c r="Z198" i="1" s="1"/>
  <c r="G198" i="2"/>
  <c r="N198" i="1"/>
  <c r="R198" i="1"/>
  <c r="O198" i="1"/>
  <c r="S198" i="1"/>
  <c r="W198" i="1" s="1"/>
  <c r="H197" i="2"/>
  <c r="AR197" i="2"/>
  <c r="AQ197" i="2"/>
  <c r="AN197" i="2"/>
  <c r="AL197" i="2"/>
  <c r="AM197" i="2"/>
  <c r="AJ197" i="2"/>
  <c r="AK197" i="2"/>
  <c r="AI197" i="2"/>
  <c r="AF197" i="2"/>
  <c r="AH197" i="2"/>
  <c r="AG197" i="2"/>
  <c r="AE197" i="2"/>
  <c r="AB197" i="2"/>
  <c r="AA197" i="2"/>
  <c r="AC197" i="2"/>
  <c r="AD197" i="2"/>
  <c r="Y197" i="2"/>
  <c r="Z197" i="2"/>
  <c r="V197" i="2"/>
  <c r="W197" i="2"/>
  <c r="X197" i="2"/>
  <c r="U197" i="2"/>
  <c r="S197" i="2"/>
  <c r="T197" i="2"/>
  <c r="R197" i="2"/>
  <c r="P197" i="2"/>
  <c r="N197" i="2"/>
  <c r="Q197" i="2"/>
  <c r="O197" i="2"/>
  <c r="L197" i="2"/>
  <c r="I197" i="2"/>
  <c r="M197" i="2"/>
  <c r="J197" i="2"/>
  <c r="AO197" i="2"/>
  <c r="K197" i="2"/>
  <c r="AP197" i="2"/>
  <c r="L197" i="1"/>
  <c r="P197" i="1" s="1"/>
  <c r="AA197" i="1"/>
  <c r="H198" i="3" l="1"/>
  <c r="AR198" i="3"/>
  <c r="AQ198" i="3"/>
  <c r="AN198" i="3"/>
  <c r="AM198" i="3"/>
  <c r="AL198" i="3"/>
  <c r="AJ198" i="3"/>
  <c r="AK198" i="3"/>
  <c r="AG198" i="3"/>
  <c r="AI198" i="3"/>
  <c r="AF198" i="3"/>
  <c r="AH198" i="3"/>
  <c r="AE198" i="3"/>
  <c r="AC198" i="3"/>
  <c r="AD198" i="3"/>
  <c r="AB198" i="3"/>
  <c r="AA198" i="3"/>
  <c r="Z198" i="3"/>
  <c r="Y198" i="3"/>
  <c r="V198" i="3"/>
  <c r="W198" i="3"/>
  <c r="X198" i="3"/>
  <c r="S198" i="3"/>
  <c r="T198" i="3"/>
  <c r="U198" i="3"/>
  <c r="O198" i="3"/>
  <c r="R198" i="3"/>
  <c r="P198" i="3"/>
  <c r="N198" i="3"/>
  <c r="Q198" i="3"/>
  <c r="M198" i="3"/>
  <c r="L198" i="3"/>
  <c r="J198" i="3"/>
  <c r="AP198" i="3"/>
  <c r="AO198" i="3"/>
  <c r="I198" i="3"/>
  <c r="K198" i="3"/>
  <c r="G199" i="3"/>
  <c r="I200" i="1"/>
  <c r="V199" i="1"/>
  <c r="J199" i="1"/>
  <c r="G199" i="2"/>
  <c r="Y199" i="1"/>
  <c r="Z199" i="1" s="1"/>
  <c r="S199" i="1"/>
  <c r="W199" i="1" s="1"/>
  <c r="N199" i="1"/>
  <c r="O199" i="1"/>
  <c r="R199" i="1"/>
  <c r="H198" i="2"/>
  <c r="AR198" i="2"/>
  <c r="AQ198" i="2"/>
  <c r="AN198" i="2"/>
  <c r="AL198" i="2"/>
  <c r="AM198" i="2"/>
  <c r="AJ198" i="2"/>
  <c r="AK198" i="2"/>
  <c r="AH198" i="2"/>
  <c r="AI198" i="2"/>
  <c r="AF198" i="2"/>
  <c r="AG198" i="2"/>
  <c r="AB198" i="2"/>
  <c r="AE198" i="2"/>
  <c r="AD198" i="2"/>
  <c r="AA198" i="2"/>
  <c r="AC198" i="2"/>
  <c r="Y198" i="2"/>
  <c r="Z198" i="2"/>
  <c r="X198" i="2"/>
  <c r="W198" i="2"/>
  <c r="U198" i="2"/>
  <c r="S198" i="2"/>
  <c r="V198" i="2"/>
  <c r="P198" i="2"/>
  <c r="T198" i="2"/>
  <c r="R198" i="2"/>
  <c r="N198" i="2"/>
  <c r="Q198" i="2"/>
  <c r="O198" i="2"/>
  <c r="J198" i="2"/>
  <c r="L198" i="2"/>
  <c r="M198" i="2"/>
  <c r="K198" i="2"/>
  <c r="I198" i="2"/>
  <c r="AP198" i="2"/>
  <c r="AO198" i="2"/>
  <c r="L198" i="1"/>
  <c r="P198" i="1" s="1"/>
  <c r="AA198" i="1"/>
  <c r="G200" i="3" l="1"/>
  <c r="I201" i="1"/>
  <c r="V200" i="1"/>
  <c r="J200" i="1"/>
  <c r="G200" i="2"/>
  <c r="Y200" i="1"/>
  <c r="Z200" i="1" s="1"/>
  <c r="S200" i="1"/>
  <c r="W200" i="1" s="1"/>
  <c r="R200" i="1"/>
  <c r="O200" i="1"/>
  <c r="N200" i="1"/>
  <c r="H199" i="3"/>
  <c r="AQ199" i="3"/>
  <c r="AR199" i="3"/>
  <c r="AN199" i="3"/>
  <c r="AM199" i="3"/>
  <c r="AL199" i="3"/>
  <c r="AJ199" i="3"/>
  <c r="AK199" i="3"/>
  <c r="AG199" i="3"/>
  <c r="AI199" i="3"/>
  <c r="AF199" i="3"/>
  <c r="AH199" i="3"/>
  <c r="AB199" i="3"/>
  <c r="AE199" i="3"/>
  <c r="AC199" i="3"/>
  <c r="AD199" i="3"/>
  <c r="AA199" i="3"/>
  <c r="Y199" i="3"/>
  <c r="Z199" i="3"/>
  <c r="V199" i="3"/>
  <c r="W199" i="3"/>
  <c r="X199" i="3"/>
  <c r="S199" i="3"/>
  <c r="T199" i="3"/>
  <c r="U199" i="3"/>
  <c r="Q199" i="3"/>
  <c r="R199" i="3"/>
  <c r="P199" i="3"/>
  <c r="N199" i="3"/>
  <c r="O199" i="3"/>
  <c r="L199" i="3"/>
  <c r="I199" i="3"/>
  <c r="M199" i="3"/>
  <c r="K199" i="3"/>
  <c r="J199" i="3"/>
  <c r="AP199" i="3"/>
  <c r="AO199" i="3"/>
  <c r="H199" i="2"/>
  <c r="AQ199" i="2"/>
  <c r="AR199" i="2"/>
  <c r="AN199" i="2"/>
  <c r="AK199" i="2"/>
  <c r="AL199" i="2"/>
  <c r="AM199" i="2"/>
  <c r="AJ199" i="2"/>
  <c r="AH199" i="2"/>
  <c r="AI199" i="2"/>
  <c r="AG199" i="2"/>
  <c r="AF199" i="2"/>
  <c r="AB199" i="2"/>
  <c r="AE199" i="2"/>
  <c r="AD199" i="2"/>
  <c r="AA199" i="2"/>
  <c r="AC199" i="2"/>
  <c r="Y199" i="2"/>
  <c r="Z199" i="2"/>
  <c r="W199" i="2"/>
  <c r="X199" i="2"/>
  <c r="U199" i="2"/>
  <c r="V199" i="2"/>
  <c r="T199" i="2"/>
  <c r="R199" i="2"/>
  <c r="S199" i="2"/>
  <c r="P199" i="2"/>
  <c r="Q199" i="2"/>
  <c r="O199" i="2"/>
  <c r="L199" i="2"/>
  <c r="N199" i="2"/>
  <c r="M199" i="2"/>
  <c r="AO199" i="2"/>
  <c r="K199" i="2"/>
  <c r="J199" i="2"/>
  <c r="I199" i="2"/>
  <c r="AP199" i="2"/>
  <c r="L199" i="1"/>
  <c r="P199" i="1" s="1"/>
  <c r="AA199" i="1"/>
  <c r="L200" i="1" l="1"/>
  <c r="P200" i="1" s="1"/>
  <c r="AA200" i="1"/>
  <c r="H200" i="2"/>
  <c r="AQ200" i="2"/>
  <c r="AR200" i="2"/>
  <c r="AL200" i="2"/>
  <c r="AN200" i="2"/>
  <c r="AK200" i="2"/>
  <c r="AM200" i="2"/>
  <c r="AJ200" i="2"/>
  <c r="AH200" i="2"/>
  <c r="AG200" i="2"/>
  <c r="AI200" i="2"/>
  <c r="AF200" i="2"/>
  <c r="AD200" i="2"/>
  <c r="AE200" i="2"/>
  <c r="AC200" i="2"/>
  <c r="AA200" i="2"/>
  <c r="AB200" i="2"/>
  <c r="Y200" i="2"/>
  <c r="Z200" i="2"/>
  <c r="W200" i="2"/>
  <c r="X200" i="2"/>
  <c r="U200" i="2"/>
  <c r="T200" i="2"/>
  <c r="V200" i="2"/>
  <c r="S200" i="2"/>
  <c r="P200" i="2"/>
  <c r="R200" i="2"/>
  <c r="O200" i="2"/>
  <c r="Q200" i="2"/>
  <c r="J200" i="2"/>
  <c r="N200" i="2"/>
  <c r="M200" i="2"/>
  <c r="L200" i="2"/>
  <c r="AO200" i="2"/>
  <c r="K200" i="2"/>
  <c r="I200" i="2"/>
  <c r="AP200" i="2"/>
  <c r="I202" i="1"/>
  <c r="G201" i="3"/>
  <c r="J201" i="1"/>
  <c r="V201" i="1"/>
  <c r="G201" i="2"/>
  <c r="Y201" i="1"/>
  <c r="Z201" i="1" s="1"/>
  <c r="N201" i="1"/>
  <c r="S201" i="1"/>
  <c r="W201" i="1" s="1"/>
  <c r="O201" i="1"/>
  <c r="R201" i="1"/>
  <c r="H200" i="3"/>
  <c r="AQ200" i="3"/>
  <c r="AR200" i="3"/>
  <c r="AN200" i="3"/>
  <c r="AM200" i="3"/>
  <c r="AK200" i="3"/>
  <c r="AL200" i="3"/>
  <c r="AJ200" i="3"/>
  <c r="AI200" i="3"/>
  <c r="AH200" i="3"/>
  <c r="AG200" i="3"/>
  <c r="AF200" i="3"/>
  <c r="AE200" i="3"/>
  <c r="AB200" i="3"/>
  <c r="AD200" i="3"/>
  <c r="AC200" i="3"/>
  <c r="AA200" i="3"/>
  <c r="Y200" i="3"/>
  <c r="Z200" i="3"/>
  <c r="W200" i="3"/>
  <c r="V200" i="3"/>
  <c r="X200" i="3"/>
  <c r="U200" i="3"/>
  <c r="S200" i="3"/>
  <c r="T200" i="3"/>
  <c r="R200" i="3"/>
  <c r="P200" i="3"/>
  <c r="Q200" i="3"/>
  <c r="L200" i="3"/>
  <c r="N200" i="3"/>
  <c r="O200" i="3"/>
  <c r="J200" i="3"/>
  <c r="M200" i="3"/>
  <c r="K200" i="3"/>
  <c r="AP200" i="3"/>
  <c r="AO200" i="3"/>
  <c r="I200" i="3"/>
  <c r="L201" i="1" l="1"/>
  <c r="P201" i="1" s="1"/>
  <c r="AA201" i="1"/>
  <c r="H201" i="2"/>
  <c r="AQ201" i="2"/>
  <c r="AR201" i="2"/>
  <c r="AM201" i="2"/>
  <c r="AL201" i="2"/>
  <c r="AN201" i="2"/>
  <c r="AK201" i="2"/>
  <c r="AI201" i="2"/>
  <c r="AJ201" i="2"/>
  <c r="AH201" i="2"/>
  <c r="AG201" i="2"/>
  <c r="AD201" i="2"/>
  <c r="AF201" i="2"/>
  <c r="AC201" i="2"/>
  <c r="AE201" i="2"/>
  <c r="AA201" i="2"/>
  <c r="AB201" i="2"/>
  <c r="Z201" i="2"/>
  <c r="U201" i="2"/>
  <c r="W201" i="2"/>
  <c r="X201" i="2"/>
  <c r="Y201" i="2"/>
  <c r="T201" i="2"/>
  <c r="V201" i="2"/>
  <c r="R201" i="2"/>
  <c r="S201" i="2"/>
  <c r="Q201" i="2"/>
  <c r="O201" i="2"/>
  <c r="P201" i="2"/>
  <c r="M201" i="2"/>
  <c r="L201" i="2"/>
  <c r="N201" i="2"/>
  <c r="K201" i="2"/>
  <c r="J201" i="2"/>
  <c r="I201" i="2"/>
  <c r="AP201" i="2"/>
  <c r="AO201" i="2"/>
  <c r="G202" i="3"/>
  <c r="I203" i="1"/>
  <c r="V202" i="1"/>
  <c r="J202" i="1"/>
  <c r="G202" i="2"/>
  <c r="Y202" i="1"/>
  <c r="Z202" i="1" s="1"/>
  <c r="S202" i="1"/>
  <c r="W202" i="1" s="1"/>
  <c r="N202" i="1"/>
  <c r="R202" i="1"/>
  <c r="O202" i="1"/>
  <c r="H201" i="3"/>
  <c r="AQ201" i="3"/>
  <c r="AR201" i="3"/>
  <c r="AN201" i="3"/>
  <c r="AM201" i="3"/>
  <c r="AL201" i="3"/>
  <c r="AK201" i="3"/>
  <c r="AH201" i="3"/>
  <c r="AJ201" i="3"/>
  <c r="AI201" i="3"/>
  <c r="AG201" i="3"/>
  <c r="AE201" i="3"/>
  <c r="AF201" i="3"/>
  <c r="AB201" i="3"/>
  <c r="AC201" i="3"/>
  <c r="AD201" i="3"/>
  <c r="AA201" i="3"/>
  <c r="Z201" i="3"/>
  <c r="W201" i="3"/>
  <c r="Y201" i="3"/>
  <c r="X201" i="3"/>
  <c r="U201" i="3"/>
  <c r="V201" i="3"/>
  <c r="T201" i="3"/>
  <c r="R201" i="3"/>
  <c r="P201" i="3"/>
  <c r="S201" i="3"/>
  <c r="Q201" i="3"/>
  <c r="O201" i="3"/>
  <c r="J201" i="3"/>
  <c r="M201" i="3"/>
  <c r="L201" i="3"/>
  <c r="K201" i="3"/>
  <c r="N201" i="3"/>
  <c r="AO201" i="3"/>
  <c r="AP201" i="3"/>
  <c r="I201" i="3"/>
  <c r="H202" i="2" l="1"/>
  <c r="AQ202" i="2"/>
  <c r="AR202" i="2"/>
  <c r="AN202" i="2"/>
  <c r="AM202" i="2"/>
  <c r="AL202" i="2"/>
  <c r="AI202" i="2"/>
  <c r="AK202" i="2"/>
  <c r="AG202" i="2"/>
  <c r="AJ202" i="2"/>
  <c r="AH202" i="2"/>
  <c r="AF202" i="2"/>
  <c r="AD202" i="2"/>
  <c r="AC202" i="2"/>
  <c r="AE202" i="2"/>
  <c r="AB202" i="2"/>
  <c r="Z202" i="2"/>
  <c r="Y202" i="2"/>
  <c r="AA202" i="2"/>
  <c r="X202" i="2"/>
  <c r="U202" i="2"/>
  <c r="W202" i="2"/>
  <c r="R202" i="2"/>
  <c r="T202" i="2"/>
  <c r="V202" i="2"/>
  <c r="Q202" i="2"/>
  <c r="S202" i="2"/>
  <c r="M202" i="2"/>
  <c r="O202" i="2"/>
  <c r="P202" i="2"/>
  <c r="K202" i="2"/>
  <c r="L202" i="2"/>
  <c r="N202" i="2"/>
  <c r="AP202" i="2"/>
  <c r="J202" i="2"/>
  <c r="I202" i="2"/>
  <c r="AO202" i="2"/>
  <c r="G203" i="3"/>
  <c r="I204" i="1"/>
  <c r="V203" i="1"/>
  <c r="J203" i="1"/>
  <c r="G203" i="2"/>
  <c r="Y203" i="1"/>
  <c r="Z203" i="1" s="1"/>
  <c r="N203" i="1"/>
  <c r="O203" i="1"/>
  <c r="R203" i="1"/>
  <c r="S203" i="1"/>
  <c r="W203" i="1" s="1"/>
  <c r="H202" i="3"/>
  <c r="AR202" i="3"/>
  <c r="AN202" i="3"/>
  <c r="AQ202" i="3"/>
  <c r="AL202" i="3"/>
  <c r="AK202" i="3"/>
  <c r="AM202" i="3"/>
  <c r="AH202" i="3"/>
  <c r="AJ202" i="3"/>
  <c r="AI202" i="3"/>
  <c r="AG202" i="3"/>
  <c r="AE202" i="3"/>
  <c r="AF202" i="3"/>
  <c r="AD202" i="3"/>
  <c r="AC202" i="3"/>
  <c r="AB202" i="3"/>
  <c r="AA202" i="3"/>
  <c r="Z202" i="3"/>
  <c r="Y202" i="3"/>
  <c r="X202" i="3"/>
  <c r="V202" i="3"/>
  <c r="U202" i="3"/>
  <c r="T202" i="3"/>
  <c r="W202" i="3"/>
  <c r="R202" i="3"/>
  <c r="P202" i="3"/>
  <c r="S202" i="3"/>
  <c r="L202" i="3"/>
  <c r="Q202" i="3"/>
  <c r="O202" i="3"/>
  <c r="N202" i="3"/>
  <c r="J202" i="3"/>
  <c r="M202" i="3"/>
  <c r="K202" i="3"/>
  <c r="I202" i="3"/>
  <c r="AP202" i="3"/>
  <c r="AO202" i="3"/>
  <c r="L202" i="1"/>
  <c r="P202" i="1" s="1"/>
  <c r="AA202" i="1"/>
  <c r="L203" i="1" l="1"/>
  <c r="P203" i="1" s="1"/>
  <c r="AA203" i="1"/>
  <c r="I205" i="1"/>
  <c r="G204" i="3"/>
  <c r="V204" i="1"/>
  <c r="J204" i="1"/>
  <c r="G204" i="2"/>
  <c r="Y204" i="1"/>
  <c r="Z204" i="1" s="1"/>
  <c r="S204" i="1"/>
  <c r="N204" i="1"/>
  <c r="R204" i="1"/>
  <c r="O204" i="1"/>
  <c r="H203" i="3"/>
  <c r="AR203" i="3"/>
  <c r="AN203" i="3"/>
  <c r="AQ203" i="3"/>
  <c r="AM203" i="3"/>
  <c r="AL203" i="3"/>
  <c r="AK203" i="3"/>
  <c r="AI203" i="3"/>
  <c r="AH203" i="3"/>
  <c r="AJ203" i="3"/>
  <c r="AD203" i="3"/>
  <c r="AE203" i="3"/>
  <c r="AG203" i="3"/>
  <c r="AF203" i="3"/>
  <c r="AC203" i="3"/>
  <c r="AB203" i="3"/>
  <c r="Z203" i="3"/>
  <c r="W203" i="3"/>
  <c r="AA203" i="3"/>
  <c r="U203" i="3"/>
  <c r="X203" i="3"/>
  <c r="Y203" i="3"/>
  <c r="T203" i="3"/>
  <c r="V203" i="3"/>
  <c r="R203" i="3"/>
  <c r="S203" i="3"/>
  <c r="Q203" i="3"/>
  <c r="P203" i="3"/>
  <c r="O203" i="3"/>
  <c r="M203" i="3"/>
  <c r="N203" i="3"/>
  <c r="L203" i="3"/>
  <c r="K203" i="3"/>
  <c r="J203" i="3"/>
  <c r="I203" i="3"/>
  <c r="AP203" i="3"/>
  <c r="AO203" i="3"/>
  <c r="H203" i="2"/>
  <c r="AR203" i="2"/>
  <c r="AN203" i="2"/>
  <c r="AQ203" i="2"/>
  <c r="AM203" i="2"/>
  <c r="AK203" i="2"/>
  <c r="AL203" i="2"/>
  <c r="AJ203" i="2"/>
  <c r="AI203" i="2"/>
  <c r="AG203" i="2"/>
  <c r="AD203" i="2"/>
  <c r="AH203" i="2"/>
  <c r="AF203" i="2"/>
  <c r="AC203" i="2"/>
  <c r="AE203" i="2"/>
  <c r="AB203" i="2"/>
  <c r="X203" i="2"/>
  <c r="Y203" i="2"/>
  <c r="AA203" i="2"/>
  <c r="Z203" i="2"/>
  <c r="U203" i="2"/>
  <c r="T203" i="2"/>
  <c r="W203" i="2"/>
  <c r="V203" i="2"/>
  <c r="R203" i="2"/>
  <c r="Q203" i="2"/>
  <c r="S203" i="2"/>
  <c r="O203" i="2"/>
  <c r="P203" i="2"/>
  <c r="K203" i="2"/>
  <c r="L203" i="2"/>
  <c r="N203" i="2"/>
  <c r="M203" i="2"/>
  <c r="I203" i="2"/>
  <c r="AP203" i="2"/>
  <c r="J203" i="2"/>
  <c r="AO203" i="2"/>
  <c r="W204" i="1" l="1"/>
  <c r="H204" i="3"/>
  <c r="AR204" i="3"/>
  <c r="AN204" i="3"/>
  <c r="AM204" i="3"/>
  <c r="AQ204" i="3"/>
  <c r="AL204" i="3"/>
  <c r="AI204" i="3"/>
  <c r="AK204" i="3"/>
  <c r="AJ204" i="3"/>
  <c r="AE204" i="3"/>
  <c r="AH204" i="3"/>
  <c r="AD204" i="3"/>
  <c r="AG204" i="3"/>
  <c r="AF204" i="3"/>
  <c r="AC204" i="3"/>
  <c r="AA204" i="3"/>
  <c r="AB204" i="3"/>
  <c r="Z204" i="3"/>
  <c r="Y204" i="3"/>
  <c r="X204" i="3"/>
  <c r="U204" i="3"/>
  <c r="W204" i="3"/>
  <c r="R204" i="3"/>
  <c r="T204" i="3"/>
  <c r="V204" i="3"/>
  <c r="Q204" i="3"/>
  <c r="S204" i="3"/>
  <c r="M204" i="3"/>
  <c r="P204" i="3"/>
  <c r="O204" i="3"/>
  <c r="K204" i="3"/>
  <c r="N204" i="3"/>
  <c r="L204" i="3"/>
  <c r="AO204" i="3"/>
  <c r="J204" i="3"/>
  <c r="I204" i="3"/>
  <c r="AP204" i="3"/>
  <c r="G205" i="3"/>
  <c r="I206" i="1"/>
  <c r="V205" i="1"/>
  <c r="J205" i="1"/>
  <c r="G205" i="2"/>
  <c r="Y205" i="1"/>
  <c r="Z205" i="1" s="1"/>
  <c r="S205" i="1"/>
  <c r="W205" i="1" s="1"/>
  <c r="N205" i="1"/>
  <c r="O205" i="1"/>
  <c r="R205" i="1"/>
  <c r="H204" i="2"/>
  <c r="AN204" i="2"/>
  <c r="AR204" i="2"/>
  <c r="AM204" i="2"/>
  <c r="AQ204" i="2"/>
  <c r="AI204" i="2"/>
  <c r="AK204" i="2"/>
  <c r="AL204" i="2"/>
  <c r="AJ204" i="2"/>
  <c r="AH204" i="2"/>
  <c r="AG204" i="2"/>
  <c r="AF204" i="2"/>
  <c r="AE204" i="2"/>
  <c r="AD204" i="2"/>
  <c r="Z204" i="2"/>
  <c r="AC204" i="2"/>
  <c r="AB204" i="2"/>
  <c r="X204" i="2"/>
  <c r="AA204" i="2"/>
  <c r="W204" i="2"/>
  <c r="Y204" i="2"/>
  <c r="V204" i="2"/>
  <c r="U204" i="2"/>
  <c r="R204" i="2"/>
  <c r="Q204" i="2"/>
  <c r="S204" i="2"/>
  <c r="T204" i="2"/>
  <c r="M204" i="2"/>
  <c r="P204" i="2"/>
  <c r="O204" i="2"/>
  <c r="K204" i="2"/>
  <c r="L204" i="2"/>
  <c r="N204" i="2"/>
  <c r="I204" i="2"/>
  <c r="J204" i="2"/>
  <c r="AO204" i="2"/>
  <c r="AP204" i="2"/>
  <c r="L204" i="1"/>
  <c r="P204" i="1" s="1"/>
  <c r="AA204" i="1"/>
  <c r="H205" i="3" l="1"/>
  <c r="AN205" i="3"/>
  <c r="AR205" i="3"/>
  <c r="AQ205" i="3"/>
  <c r="AM205" i="3"/>
  <c r="AL205" i="3"/>
  <c r="AI205" i="3"/>
  <c r="AK205" i="3"/>
  <c r="AJ205" i="3"/>
  <c r="AH205" i="3"/>
  <c r="AD205" i="3"/>
  <c r="AG205" i="3"/>
  <c r="AF205" i="3"/>
  <c r="AA205" i="3"/>
  <c r="AC205" i="3"/>
  <c r="AE205" i="3"/>
  <c r="AB205" i="3"/>
  <c r="X205" i="3"/>
  <c r="Z205" i="3"/>
  <c r="Y205" i="3"/>
  <c r="U205" i="3"/>
  <c r="W205" i="3"/>
  <c r="R205" i="3"/>
  <c r="T205" i="3"/>
  <c r="V205" i="3"/>
  <c r="Q205" i="3"/>
  <c r="S205" i="3"/>
  <c r="P205" i="3"/>
  <c r="O205" i="3"/>
  <c r="L205" i="3"/>
  <c r="K205" i="3"/>
  <c r="N205" i="3"/>
  <c r="M205" i="3"/>
  <c r="AO205" i="3"/>
  <c r="J205" i="3"/>
  <c r="I205" i="3"/>
  <c r="AP205" i="3"/>
  <c r="H205" i="2"/>
  <c r="AR205" i="2"/>
  <c r="AN205" i="2"/>
  <c r="AQ205" i="2"/>
  <c r="AM205" i="2"/>
  <c r="AK205" i="2"/>
  <c r="AL205" i="2"/>
  <c r="AJ205" i="2"/>
  <c r="AI205" i="2"/>
  <c r="AH205" i="2"/>
  <c r="AF205" i="2"/>
  <c r="AE205" i="2"/>
  <c r="AG205" i="2"/>
  <c r="AD205" i="2"/>
  <c r="AC205" i="2"/>
  <c r="AB205" i="2"/>
  <c r="AA205" i="2"/>
  <c r="Z205" i="2"/>
  <c r="X205" i="2"/>
  <c r="V205" i="2"/>
  <c r="Y205" i="2"/>
  <c r="W205" i="2"/>
  <c r="U205" i="2"/>
  <c r="S205" i="2"/>
  <c r="R205" i="2"/>
  <c r="T205" i="2"/>
  <c r="Q205" i="2"/>
  <c r="P205" i="2"/>
  <c r="N205" i="2"/>
  <c r="O205" i="2"/>
  <c r="M205" i="2"/>
  <c r="L205" i="2"/>
  <c r="J205" i="2"/>
  <c r="I205" i="2"/>
  <c r="AO205" i="2"/>
  <c r="K205" i="2"/>
  <c r="AP205" i="2"/>
  <c r="L205" i="1"/>
  <c r="P205" i="1" s="1"/>
  <c r="AA205" i="1"/>
  <c r="G206" i="3"/>
  <c r="I207" i="1"/>
  <c r="V206" i="1"/>
  <c r="J206" i="1"/>
  <c r="G206" i="2"/>
  <c r="Y206" i="1"/>
  <c r="Z206" i="1" s="1"/>
  <c r="N206" i="1"/>
  <c r="O206" i="1"/>
  <c r="S206" i="1"/>
  <c r="W206" i="1" s="1"/>
  <c r="R206" i="1"/>
  <c r="G207" i="3" l="1"/>
  <c r="I208" i="1"/>
  <c r="V207" i="1"/>
  <c r="J207" i="1"/>
  <c r="G207" i="2"/>
  <c r="Y207" i="1"/>
  <c r="Z207" i="1" s="1"/>
  <c r="S207" i="1"/>
  <c r="W207" i="1" s="1"/>
  <c r="N207" i="1"/>
  <c r="O207" i="1"/>
  <c r="R207" i="1"/>
  <c r="H206" i="2"/>
  <c r="AQ206" i="2"/>
  <c r="AR206" i="2"/>
  <c r="AN206" i="2"/>
  <c r="AM206" i="2"/>
  <c r="AL206" i="2"/>
  <c r="AJ206" i="2"/>
  <c r="AK206" i="2"/>
  <c r="AI206" i="2"/>
  <c r="AH206" i="2"/>
  <c r="AF206" i="2"/>
  <c r="AE206" i="2"/>
  <c r="AG206" i="2"/>
  <c r="AD206" i="2"/>
  <c r="AB206" i="2"/>
  <c r="AC206" i="2"/>
  <c r="AA206" i="2"/>
  <c r="Z206" i="2"/>
  <c r="Y206" i="2"/>
  <c r="V206" i="2"/>
  <c r="X206" i="2"/>
  <c r="W206" i="2"/>
  <c r="S206" i="2"/>
  <c r="U206" i="2"/>
  <c r="R206" i="2"/>
  <c r="T206" i="2"/>
  <c r="Q206" i="2"/>
  <c r="P206" i="2"/>
  <c r="N206" i="2"/>
  <c r="M206" i="2"/>
  <c r="L206" i="2"/>
  <c r="O206" i="2"/>
  <c r="J206" i="2"/>
  <c r="I206" i="2"/>
  <c r="AO206" i="2"/>
  <c r="K206" i="2"/>
  <c r="AP206" i="2"/>
  <c r="H206" i="3"/>
  <c r="AR206" i="3"/>
  <c r="AN206" i="3"/>
  <c r="AQ206" i="3"/>
  <c r="AM206" i="3"/>
  <c r="AL206" i="3"/>
  <c r="AI206" i="3"/>
  <c r="AK206" i="3"/>
  <c r="AJ206" i="3"/>
  <c r="AG206" i="3"/>
  <c r="AH206" i="3"/>
  <c r="AF206" i="3"/>
  <c r="AD206" i="3"/>
  <c r="AC206" i="3"/>
  <c r="AE206" i="3"/>
  <c r="Z206" i="3"/>
  <c r="AB206" i="3"/>
  <c r="X206" i="3"/>
  <c r="AA206" i="3"/>
  <c r="Y206" i="3"/>
  <c r="W206" i="3"/>
  <c r="V206" i="3"/>
  <c r="U206" i="3"/>
  <c r="R206" i="3"/>
  <c r="T206" i="3"/>
  <c r="O206" i="3"/>
  <c r="Q206" i="3"/>
  <c r="S206" i="3"/>
  <c r="M206" i="3"/>
  <c r="P206" i="3"/>
  <c r="L206" i="3"/>
  <c r="K206" i="3"/>
  <c r="N206" i="3"/>
  <c r="I206" i="3"/>
  <c r="AO206" i="3"/>
  <c r="J206" i="3"/>
  <c r="AP206" i="3"/>
  <c r="L206" i="1"/>
  <c r="P206" i="1" s="1"/>
  <c r="AA206" i="1"/>
  <c r="H207" i="2" l="1"/>
  <c r="AR207" i="2"/>
  <c r="AN207" i="2"/>
  <c r="AQ207" i="2"/>
  <c r="AM207" i="2"/>
  <c r="AL207" i="2"/>
  <c r="AK207" i="2"/>
  <c r="AJ207" i="2"/>
  <c r="AI207" i="2"/>
  <c r="AH207" i="2"/>
  <c r="AF207" i="2"/>
  <c r="AE207" i="2"/>
  <c r="AG207" i="2"/>
  <c r="AB207" i="2"/>
  <c r="AD207" i="2"/>
  <c r="AA207" i="2"/>
  <c r="AC207" i="2"/>
  <c r="Y207" i="2"/>
  <c r="Z207" i="2"/>
  <c r="V207" i="2"/>
  <c r="X207" i="2"/>
  <c r="W207" i="2"/>
  <c r="S207" i="2"/>
  <c r="U207" i="2"/>
  <c r="R207" i="2"/>
  <c r="T207" i="2"/>
  <c r="P207" i="2"/>
  <c r="Q207" i="2"/>
  <c r="N207" i="2"/>
  <c r="O207" i="2"/>
  <c r="M207" i="2"/>
  <c r="L207" i="2"/>
  <c r="I207" i="2"/>
  <c r="J207" i="2"/>
  <c r="K207" i="2"/>
  <c r="AO207" i="2"/>
  <c r="AP207" i="2"/>
  <c r="L207" i="1"/>
  <c r="P207" i="1" s="1"/>
  <c r="AA207" i="1"/>
  <c r="I209" i="1"/>
  <c r="G208" i="3"/>
  <c r="J208" i="1"/>
  <c r="V208" i="1"/>
  <c r="Y208" i="1"/>
  <c r="Z208" i="1" s="1"/>
  <c r="G208" i="2"/>
  <c r="N208" i="1"/>
  <c r="R208" i="1"/>
  <c r="O208" i="1"/>
  <c r="S208" i="1"/>
  <c r="H207" i="3"/>
  <c r="AR207" i="3"/>
  <c r="AN207" i="3"/>
  <c r="AQ207" i="3"/>
  <c r="AJ207" i="3"/>
  <c r="AM207" i="3"/>
  <c r="AL207" i="3"/>
  <c r="AK207" i="3"/>
  <c r="AG207" i="3"/>
  <c r="AI207" i="3"/>
  <c r="AH207" i="3"/>
  <c r="AF207" i="3"/>
  <c r="AD207" i="3"/>
  <c r="AA207" i="3"/>
  <c r="AC207" i="3"/>
  <c r="AE207" i="3"/>
  <c r="AB207" i="3"/>
  <c r="X207" i="3"/>
  <c r="Z207" i="3"/>
  <c r="Y207" i="3"/>
  <c r="W207" i="3"/>
  <c r="V207" i="3"/>
  <c r="U207" i="3"/>
  <c r="T207" i="3"/>
  <c r="S207" i="3"/>
  <c r="Q207" i="3"/>
  <c r="R207" i="3"/>
  <c r="P207" i="3"/>
  <c r="O207" i="3"/>
  <c r="N207" i="3"/>
  <c r="M207" i="3"/>
  <c r="I207" i="3"/>
  <c r="L207" i="3"/>
  <c r="K207" i="3"/>
  <c r="AP207" i="3"/>
  <c r="AO207" i="3"/>
  <c r="J207" i="3"/>
  <c r="H208" i="2" l="1"/>
  <c r="AR208" i="2"/>
  <c r="AN208" i="2"/>
  <c r="AQ208" i="2"/>
  <c r="AL208" i="2"/>
  <c r="AM208" i="2"/>
  <c r="AK208" i="2"/>
  <c r="AJ208" i="2"/>
  <c r="AH208" i="2"/>
  <c r="AF208" i="2"/>
  <c r="AI208" i="2"/>
  <c r="AG208" i="2"/>
  <c r="AB208" i="2"/>
  <c r="AD208" i="2"/>
  <c r="AE208" i="2"/>
  <c r="AA208" i="2"/>
  <c r="AC208" i="2"/>
  <c r="Y208" i="2"/>
  <c r="Z208" i="2"/>
  <c r="X208" i="2"/>
  <c r="W208" i="2"/>
  <c r="V208" i="2"/>
  <c r="S208" i="2"/>
  <c r="U208" i="2"/>
  <c r="T208" i="2"/>
  <c r="P208" i="2"/>
  <c r="R208" i="2"/>
  <c r="Q208" i="2"/>
  <c r="N208" i="2"/>
  <c r="O208" i="2"/>
  <c r="J208" i="2"/>
  <c r="M208" i="2"/>
  <c r="L208" i="2"/>
  <c r="K208" i="2"/>
  <c r="I208" i="2"/>
  <c r="AP208" i="2"/>
  <c r="AO208" i="2"/>
  <c r="L208" i="1"/>
  <c r="P208" i="1" s="1"/>
  <c r="AA208" i="1"/>
  <c r="G209" i="3"/>
  <c r="I210" i="1"/>
  <c r="V209" i="1"/>
  <c r="J209" i="1"/>
  <c r="G209" i="2"/>
  <c r="Y209" i="1"/>
  <c r="Z209" i="1" s="1"/>
  <c r="S209" i="1"/>
  <c r="W209" i="1" s="1"/>
  <c r="N209" i="1"/>
  <c r="O209" i="1"/>
  <c r="R209" i="1"/>
  <c r="H208" i="3"/>
  <c r="AR208" i="3"/>
  <c r="AQ208" i="3"/>
  <c r="AN208" i="3"/>
  <c r="AM208" i="3"/>
  <c r="AL208" i="3"/>
  <c r="AK208" i="3"/>
  <c r="AJ208" i="3"/>
  <c r="AI208" i="3"/>
  <c r="AG208" i="3"/>
  <c r="AF208" i="3"/>
  <c r="AH208" i="3"/>
  <c r="AD208" i="3"/>
  <c r="AC208" i="3"/>
  <c r="AE208" i="3"/>
  <c r="AB208" i="3"/>
  <c r="Z208" i="3"/>
  <c r="AA208" i="3"/>
  <c r="Y208" i="3"/>
  <c r="W208" i="3"/>
  <c r="V208" i="3"/>
  <c r="X208" i="3"/>
  <c r="S208" i="3"/>
  <c r="U208" i="3"/>
  <c r="T208" i="3"/>
  <c r="O208" i="3"/>
  <c r="R208" i="3"/>
  <c r="N208" i="3"/>
  <c r="Q208" i="3"/>
  <c r="P208" i="3"/>
  <c r="M208" i="3"/>
  <c r="L208" i="3"/>
  <c r="K208" i="3"/>
  <c r="AP208" i="3"/>
  <c r="I208" i="3"/>
  <c r="AO208" i="3"/>
  <c r="J208" i="3"/>
  <c r="W208" i="1"/>
  <c r="H209" i="2" l="1"/>
  <c r="AR209" i="2"/>
  <c r="AQ209" i="2"/>
  <c r="AN209" i="2"/>
  <c r="AK209" i="2"/>
  <c r="AL209" i="2"/>
  <c r="AM209" i="2"/>
  <c r="AH209" i="2"/>
  <c r="AJ209" i="2"/>
  <c r="AI209" i="2"/>
  <c r="AG209" i="2"/>
  <c r="AF209" i="2"/>
  <c r="AB209" i="2"/>
  <c r="AE209" i="2"/>
  <c r="AD209" i="2"/>
  <c r="AA209" i="2"/>
  <c r="AC209" i="2"/>
  <c r="Y209" i="2"/>
  <c r="Z209" i="2"/>
  <c r="W209" i="2"/>
  <c r="X209" i="2"/>
  <c r="V209" i="2"/>
  <c r="U209" i="2"/>
  <c r="T209" i="2"/>
  <c r="S209" i="2"/>
  <c r="R209" i="2"/>
  <c r="P209" i="2"/>
  <c r="Q209" i="2"/>
  <c r="O209" i="2"/>
  <c r="N209" i="2"/>
  <c r="M209" i="2"/>
  <c r="L209" i="2"/>
  <c r="K209" i="2"/>
  <c r="J209" i="2"/>
  <c r="I209" i="2"/>
  <c r="AO209" i="2"/>
  <c r="AP209" i="2"/>
  <c r="L209" i="1"/>
  <c r="P209" i="1" s="1"/>
  <c r="AA209" i="1"/>
  <c r="G210" i="3"/>
  <c r="I211" i="1"/>
  <c r="V210" i="1"/>
  <c r="J210" i="1"/>
  <c r="G210" i="2"/>
  <c r="Y210" i="1"/>
  <c r="Z210" i="1" s="1"/>
  <c r="S210" i="1"/>
  <c r="W210" i="1" s="1"/>
  <c r="R210" i="1"/>
  <c r="N210" i="1"/>
  <c r="O210" i="1"/>
  <c r="H209" i="3"/>
  <c r="AR209" i="3"/>
  <c r="AQ209" i="3"/>
  <c r="AN209" i="3"/>
  <c r="AL209" i="3"/>
  <c r="AM209" i="3"/>
  <c r="AK209" i="3"/>
  <c r="AJ209" i="3"/>
  <c r="AI209" i="3"/>
  <c r="AG209" i="3"/>
  <c r="AF209" i="3"/>
  <c r="AH209" i="3"/>
  <c r="AB209" i="3"/>
  <c r="AD209" i="3"/>
  <c r="AC209" i="3"/>
  <c r="AE209" i="3"/>
  <c r="AA209" i="3"/>
  <c r="Y209" i="3"/>
  <c r="Z209" i="3"/>
  <c r="W209" i="3"/>
  <c r="V209" i="3"/>
  <c r="X209" i="3"/>
  <c r="S209" i="3"/>
  <c r="U209" i="3"/>
  <c r="T209" i="3"/>
  <c r="Q209" i="3"/>
  <c r="R209" i="3"/>
  <c r="P209" i="3"/>
  <c r="O209" i="3"/>
  <c r="N209" i="3"/>
  <c r="L209" i="3"/>
  <c r="M209" i="3"/>
  <c r="I209" i="3"/>
  <c r="K209" i="3"/>
  <c r="J209" i="3"/>
  <c r="AP209" i="3"/>
  <c r="AO209" i="3"/>
  <c r="H210" i="2" l="1"/>
  <c r="AR210" i="2"/>
  <c r="AQ210" i="2"/>
  <c r="AL210" i="2"/>
  <c r="AN210" i="2"/>
  <c r="AM210" i="2"/>
  <c r="AK210" i="2"/>
  <c r="AH210" i="2"/>
  <c r="AJ210" i="2"/>
  <c r="AG210" i="2"/>
  <c r="AI210" i="2"/>
  <c r="AF210" i="2"/>
  <c r="AE210" i="2"/>
  <c r="AD210" i="2"/>
  <c r="AC210" i="2"/>
  <c r="AB210" i="2"/>
  <c r="AA210" i="2"/>
  <c r="Y210" i="2"/>
  <c r="Z210" i="2"/>
  <c r="W210" i="2"/>
  <c r="X210" i="2"/>
  <c r="U210" i="2"/>
  <c r="T210" i="2"/>
  <c r="V210" i="2"/>
  <c r="P210" i="2"/>
  <c r="S210" i="2"/>
  <c r="R210" i="2"/>
  <c r="O210" i="2"/>
  <c r="Q210" i="2"/>
  <c r="N210" i="2"/>
  <c r="J210" i="2"/>
  <c r="M210" i="2"/>
  <c r="K210" i="2"/>
  <c r="L210" i="2"/>
  <c r="I210" i="2"/>
  <c r="AO210" i="2"/>
  <c r="AP210" i="2"/>
  <c r="L210" i="1"/>
  <c r="P210" i="1" s="1"/>
  <c r="AA210" i="1"/>
  <c r="I212" i="1"/>
  <c r="G211" i="3"/>
  <c r="J211" i="1"/>
  <c r="V211" i="1"/>
  <c r="G211" i="2"/>
  <c r="Y211" i="1"/>
  <c r="Z211" i="1" s="1"/>
  <c r="O211" i="1"/>
  <c r="R211" i="1"/>
  <c r="S211" i="1"/>
  <c r="N211" i="1"/>
  <c r="H210" i="3"/>
  <c r="AR210" i="3"/>
  <c r="AQ210" i="3"/>
  <c r="AN210" i="3"/>
  <c r="AL210" i="3"/>
  <c r="AM210" i="3"/>
  <c r="AK210" i="3"/>
  <c r="AJ210" i="3"/>
  <c r="AI210" i="3"/>
  <c r="AH210" i="3"/>
  <c r="AF210" i="3"/>
  <c r="AG210" i="3"/>
  <c r="AB210" i="3"/>
  <c r="AD210" i="3"/>
  <c r="AE210" i="3"/>
  <c r="AA210" i="3"/>
  <c r="AC210" i="3"/>
  <c r="Y210" i="3"/>
  <c r="Z210" i="3"/>
  <c r="W210" i="3"/>
  <c r="V210" i="3"/>
  <c r="X210" i="3"/>
  <c r="S210" i="3"/>
  <c r="U210" i="3"/>
  <c r="T210" i="3"/>
  <c r="P210" i="3"/>
  <c r="Q210" i="3"/>
  <c r="R210" i="3"/>
  <c r="L210" i="3"/>
  <c r="O210" i="3"/>
  <c r="N210" i="3"/>
  <c r="J210" i="3"/>
  <c r="M210" i="3"/>
  <c r="K210" i="3"/>
  <c r="AP210" i="3"/>
  <c r="I210" i="3"/>
  <c r="AO210" i="3"/>
  <c r="H211" i="2" l="1"/>
  <c r="AQ211" i="2"/>
  <c r="AR211" i="2"/>
  <c r="AM211" i="2"/>
  <c r="AN211" i="2"/>
  <c r="AL211" i="2"/>
  <c r="AK211" i="2"/>
  <c r="AI211" i="2"/>
  <c r="AH211" i="2"/>
  <c r="AJ211" i="2"/>
  <c r="AG211" i="2"/>
  <c r="AD211" i="2"/>
  <c r="AF211" i="2"/>
  <c r="AC211" i="2"/>
  <c r="AE211" i="2"/>
  <c r="AB211" i="2"/>
  <c r="AA211" i="2"/>
  <c r="Z211" i="2"/>
  <c r="U211" i="2"/>
  <c r="W211" i="2"/>
  <c r="Y211" i="2"/>
  <c r="X211" i="2"/>
  <c r="T211" i="2"/>
  <c r="V211" i="2"/>
  <c r="S211" i="2"/>
  <c r="R211" i="2"/>
  <c r="Q211" i="2"/>
  <c r="O211" i="2"/>
  <c r="P211" i="2"/>
  <c r="M211" i="2"/>
  <c r="N211" i="2"/>
  <c r="L211" i="2"/>
  <c r="K211" i="2"/>
  <c r="J211" i="2"/>
  <c r="I211" i="2"/>
  <c r="AP211" i="2"/>
  <c r="AO211" i="2"/>
  <c r="H211" i="3"/>
  <c r="AR211" i="3"/>
  <c r="AQ211" i="3"/>
  <c r="AN211" i="3"/>
  <c r="AL211" i="3"/>
  <c r="AK211" i="3"/>
  <c r="AM211" i="3"/>
  <c r="AH211" i="3"/>
  <c r="AJ211" i="3"/>
  <c r="AI211" i="3"/>
  <c r="AG211" i="3"/>
  <c r="AF211" i="3"/>
  <c r="AE211" i="3"/>
  <c r="AB211" i="3"/>
  <c r="AD211" i="3"/>
  <c r="AC211" i="3"/>
  <c r="AA211" i="3"/>
  <c r="W211" i="3"/>
  <c r="Y211" i="3"/>
  <c r="Z211" i="3"/>
  <c r="X211" i="3"/>
  <c r="V211" i="3"/>
  <c r="U211" i="3"/>
  <c r="T211" i="3"/>
  <c r="S211" i="3"/>
  <c r="P211" i="3"/>
  <c r="R211" i="3"/>
  <c r="O211" i="3"/>
  <c r="Q211" i="3"/>
  <c r="J211" i="3"/>
  <c r="M211" i="3"/>
  <c r="L211" i="3"/>
  <c r="N211" i="3"/>
  <c r="K211" i="3"/>
  <c r="AO211" i="3"/>
  <c r="AP211" i="3"/>
  <c r="I211" i="3"/>
  <c r="I213" i="1"/>
  <c r="G212" i="3"/>
  <c r="V212" i="1"/>
  <c r="J212" i="1"/>
  <c r="G212" i="2"/>
  <c r="Y212" i="1"/>
  <c r="Z212" i="1" s="1"/>
  <c r="S212" i="1"/>
  <c r="R212" i="1"/>
  <c r="N212" i="1"/>
  <c r="O212" i="1"/>
  <c r="L211" i="1"/>
  <c r="P211" i="1" s="1"/>
  <c r="AA211" i="1"/>
  <c r="W211" i="1"/>
  <c r="L212" i="1" l="1"/>
  <c r="P212" i="1" s="1"/>
  <c r="AA212" i="1"/>
  <c r="H212" i="3"/>
  <c r="AR212" i="3"/>
  <c r="AQ212" i="3"/>
  <c r="AN212" i="3"/>
  <c r="AL212" i="3"/>
  <c r="AM212" i="3"/>
  <c r="AK212" i="3"/>
  <c r="AJ212" i="3"/>
  <c r="AH212" i="3"/>
  <c r="AI212" i="3"/>
  <c r="AE212" i="3"/>
  <c r="AG212" i="3"/>
  <c r="AF212" i="3"/>
  <c r="AD212" i="3"/>
  <c r="AC212" i="3"/>
  <c r="AA212" i="3"/>
  <c r="AB212" i="3"/>
  <c r="Y212" i="3"/>
  <c r="Z212" i="3"/>
  <c r="W212" i="3"/>
  <c r="V212" i="3"/>
  <c r="X212" i="3"/>
  <c r="U212" i="3"/>
  <c r="T212" i="3"/>
  <c r="S212" i="3"/>
  <c r="P212" i="3"/>
  <c r="R212" i="3"/>
  <c r="L212" i="3"/>
  <c r="O212" i="3"/>
  <c r="Q212" i="3"/>
  <c r="J212" i="3"/>
  <c r="M212" i="3"/>
  <c r="N212" i="3"/>
  <c r="K212" i="3"/>
  <c r="AP212" i="3"/>
  <c r="I212" i="3"/>
  <c r="AO212" i="3"/>
  <c r="G213" i="3"/>
  <c r="I214" i="1"/>
  <c r="V213" i="1"/>
  <c r="J213" i="1"/>
  <c r="G213" i="2"/>
  <c r="Y213" i="1"/>
  <c r="Z213" i="1" s="1"/>
  <c r="N213" i="1"/>
  <c r="O213" i="1"/>
  <c r="R213" i="1"/>
  <c r="S213" i="1"/>
  <c r="W213" i="1" s="1"/>
  <c r="W212" i="1"/>
  <c r="H212" i="2"/>
  <c r="AQ212" i="2"/>
  <c r="AR212" i="2"/>
  <c r="AN212" i="2"/>
  <c r="AM212" i="2"/>
  <c r="AL212" i="2"/>
  <c r="AI212" i="2"/>
  <c r="AK212" i="2"/>
  <c r="AJ212" i="2"/>
  <c r="AH212" i="2"/>
  <c r="AG212" i="2"/>
  <c r="AF212" i="2"/>
  <c r="AC212" i="2"/>
  <c r="AE212" i="2"/>
  <c r="AD212" i="2"/>
  <c r="AB212" i="2"/>
  <c r="Z212" i="2"/>
  <c r="AA212" i="2"/>
  <c r="Y212" i="2"/>
  <c r="X212" i="2"/>
  <c r="U212" i="2"/>
  <c r="W212" i="2"/>
  <c r="R212" i="2"/>
  <c r="T212" i="2"/>
  <c r="V212" i="2"/>
  <c r="Q212" i="2"/>
  <c r="S212" i="2"/>
  <c r="M212" i="2"/>
  <c r="O212" i="2"/>
  <c r="P212" i="2"/>
  <c r="K212" i="2"/>
  <c r="N212" i="2"/>
  <c r="L212" i="2"/>
  <c r="AP212" i="2"/>
  <c r="J212" i="2"/>
  <c r="I212" i="2"/>
  <c r="AO212" i="2"/>
  <c r="L213" i="1" l="1"/>
  <c r="P213" i="1" s="1"/>
  <c r="AA213" i="1"/>
  <c r="H213" i="2"/>
  <c r="AR213" i="2"/>
  <c r="AN213" i="2"/>
  <c r="AQ213" i="2"/>
  <c r="AM213" i="2"/>
  <c r="AL213" i="2"/>
  <c r="AK213" i="2"/>
  <c r="AJ213" i="2"/>
  <c r="AH213" i="2"/>
  <c r="AI213" i="2"/>
  <c r="AD213" i="2"/>
  <c r="AG213" i="2"/>
  <c r="AF213" i="2"/>
  <c r="AC213" i="2"/>
  <c r="AE213" i="2"/>
  <c r="AB213" i="2"/>
  <c r="X213" i="2"/>
  <c r="AA213" i="2"/>
  <c r="Y213" i="2"/>
  <c r="Z213" i="2"/>
  <c r="U213" i="2"/>
  <c r="W213" i="2"/>
  <c r="T213" i="2"/>
  <c r="V213" i="2"/>
  <c r="R213" i="2"/>
  <c r="Q213" i="2"/>
  <c r="S213" i="2"/>
  <c r="O213" i="2"/>
  <c r="P213" i="2"/>
  <c r="K213" i="2"/>
  <c r="N213" i="2"/>
  <c r="M213" i="2"/>
  <c r="L213" i="2"/>
  <c r="AP213" i="2"/>
  <c r="J213" i="2"/>
  <c r="I213" i="2"/>
  <c r="AO213" i="2"/>
  <c r="G214" i="3"/>
  <c r="I215" i="1"/>
  <c r="J214" i="1"/>
  <c r="V214" i="1"/>
  <c r="G214" i="2"/>
  <c r="Y214" i="1"/>
  <c r="Z214" i="1" s="1"/>
  <c r="S214" i="1"/>
  <c r="W214" i="1" s="1"/>
  <c r="N214" i="1"/>
  <c r="R214" i="1"/>
  <c r="O214" i="1"/>
  <c r="H213" i="3"/>
  <c r="AR213" i="3"/>
  <c r="AQ213" i="3"/>
  <c r="AN213" i="3"/>
  <c r="AM213" i="3"/>
  <c r="AL213" i="3"/>
  <c r="AK213" i="3"/>
  <c r="AI213" i="3"/>
  <c r="AJ213" i="3"/>
  <c r="AH213" i="3"/>
  <c r="AG213" i="3"/>
  <c r="AD213" i="3"/>
  <c r="AE213" i="3"/>
  <c r="AF213" i="3"/>
  <c r="AC213" i="3"/>
  <c r="AA213" i="3"/>
  <c r="AB213" i="3"/>
  <c r="Z213" i="3"/>
  <c r="W213" i="3"/>
  <c r="U213" i="3"/>
  <c r="X213" i="3"/>
  <c r="Y213" i="3"/>
  <c r="T213" i="3"/>
  <c r="V213" i="3"/>
  <c r="R213" i="3"/>
  <c r="S213" i="3"/>
  <c r="Q213" i="3"/>
  <c r="O213" i="3"/>
  <c r="P213" i="3"/>
  <c r="M213" i="3"/>
  <c r="L213" i="3"/>
  <c r="N213" i="3"/>
  <c r="K213" i="3"/>
  <c r="AP213" i="3"/>
  <c r="J213" i="3"/>
  <c r="I213" i="3"/>
  <c r="AO213" i="3"/>
  <c r="H214" i="2" l="1"/>
  <c r="AR214" i="2"/>
  <c r="AN214" i="2"/>
  <c r="AQ214" i="2"/>
  <c r="AM214" i="2"/>
  <c r="AL214" i="2"/>
  <c r="AI214" i="2"/>
  <c r="AK214" i="2"/>
  <c r="AJ214" i="2"/>
  <c r="AH214" i="2"/>
  <c r="AF214" i="2"/>
  <c r="AG214" i="2"/>
  <c r="AE214" i="2"/>
  <c r="AD214" i="2"/>
  <c r="Z214" i="2"/>
  <c r="AC214" i="2"/>
  <c r="AB214" i="2"/>
  <c r="X214" i="2"/>
  <c r="AA214" i="2"/>
  <c r="W214" i="2"/>
  <c r="Y214" i="2"/>
  <c r="V214" i="2"/>
  <c r="U214" i="2"/>
  <c r="S214" i="2"/>
  <c r="T214" i="2"/>
  <c r="R214" i="2"/>
  <c r="Q214" i="2"/>
  <c r="M214" i="2"/>
  <c r="P214" i="2"/>
  <c r="K214" i="2"/>
  <c r="O214" i="2"/>
  <c r="N214" i="2"/>
  <c r="L214" i="2"/>
  <c r="I214" i="2"/>
  <c r="AO214" i="2"/>
  <c r="AP214" i="2"/>
  <c r="J214" i="2"/>
  <c r="G215" i="3"/>
  <c r="I216" i="1"/>
  <c r="V215" i="1"/>
  <c r="J215" i="1"/>
  <c r="G215" i="2"/>
  <c r="Y215" i="1"/>
  <c r="Z215" i="1" s="1"/>
  <c r="S215" i="1"/>
  <c r="W215" i="1" s="1"/>
  <c r="N215" i="1"/>
  <c r="O215" i="1"/>
  <c r="R215" i="1"/>
  <c r="H214" i="3"/>
  <c r="AR214" i="3"/>
  <c r="AQ214" i="3"/>
  <c r="AN214" i="3"/>
  <c r="AM214" i="3"/>
  <c r="AL214" i="3"/>
  <c r="AI214" i="3"/>
  <c r="AK214" i="3"/>
  <c r="AJ214" i="3"/>
  <c r="AH214" i="3"/>
  <c r="AG214" i="3"/>
  <c r="AE214" i="3"/>
  <c r="AD214" i="3"/>
  <c r="AF214" i="3"/>
  <c r="AC214" i="3"/>
  <c r="AA214" i="3"/>
  <c r="AB214" i="3"/>
  <c r="Z214" i="3"/>
  <c r="Y214" i="3"/>
  <c r="X214" i="3"/>
  <c r="U214" i="3"/>
  <c r="W214" i="3"/>
  <c r="R214" i="3"/>
  <c r="T214" i="3"/>
  <c r="V214" i="3"/>
  <c r="Q214" i="3"/>
  <c r="S214" i="3"/>
  <c r="M214" i="3"/>
  <c r="O214" i="3"/>
  <c r="P214" i="3"/>
  <c r="K214" i="3"/>
  <c r="L214" i="3"/>
  <c r="N214" i="3"/>
  <c r="AP214" i="3"/>
  <c r="J214" i="3"/>
  <c r="I214" i="3"/>
  <c r="AO214" i="3"/>
  <c r="L214" i="1"/>
  <c r="P214" i="1" s="1"/>
  <c r="AA214" i="1"/>
  <c r="H215" i="3" l="1"/>
  <c r="AR215" i="3"/>
  <c r="AN215" i="3"/>
  <c r="AQ215" i="3"/>
  <c r="AM215" i="3"/>
  <c r="AL215" i="3"/>
  <c r="AI215" i="3"/>
  <c r="AK215" i="3"/>
  <c r="AJ215" i="3"/>
  <c r="AH215" i="3"/>
  <c r="AG215" i="3"/>
  <c r="AE215" i="3"/>
  <c r="AD215" i="3"/>
  <c r="AF215" i="3"/>
  <c r="AA215" i="3"/>
  <c r="AC215" i="3"/>
  <c r="AB215" i="3"/>
  <c r="X215" i="3"/>
  <c r="Z215" i="3"/>
  <c r="Y215" i="3"/>
  <c r="U215" i="3"/>
  <c r="W215" i="3"/>
  <c r="R215" i="3"/>
  <c r="T215" i="3"/>
  <c r="V215" i="3"/>
  <c r="Q215" i="3"/>
  <c r="S215" i="3"/>
  <c r="O215" i="3"/>
  <c r="P215" i="3"/>
  <c r="K215" i="3"/>
  <c r="M215" i="3"/>
  <c r="L215" i="3"/>
  <c r="N215" i="3"/>
  <c r="I215" i="3"/>
  <c r="AO215" i="3"/>
  <c r="AP215" i="3"/>
  <c r="J215" i="3"/>
  <c r="H215" i="2"/>
  <c r="AR215" i="2"/>
  <c r="AN215" i="2"/>
  <c r="AQ215" i="2"/>
  <c r="AM215" i="2"/>
  <c r="AL215" i="2"/>
  <c r="AJ215" i="2"/>
  <c r="AK215" i="2"/>
  <c r="AH215" i="2"/>
  <c r="AI215" i="2"/>
  <c r="AF215" i="2"/>
  <c r="AG215" i="2"/>
  <c r="AE215" i="2"/>
  <c r="AD215" i="2"/>
  <c r="AC215" i="2"/>
  <c r="AB215" i="2"/>
  <c r="X215" i="2"/>
  <c r="AA215" i="2"/>
  <c r="Z215" i="2"/>
  <c r="Y215" i="2"/>
  <c r="V215" i="2"/>
  <c r="W215" i="2"/>
  <c r="U215" i="2"/>
  <c r="S215" i="2"/>
  <c r="T215" i="2"/>
  <c r="R215" i="2"/>
  <c r="Q215" i="2"/>
  <c r="P215" i="2"/>
  <c r="N215" i="2"/>
  <c r="O215" i="2"/>
  <c r="M215" i="2"/>
  <c r="L215" i="2"/>
  <c r="AO215" i="2"/>
  <c r="K215" i="2"/>
  <c r="J215" i="2"/>
  <c r="I215" i="2"/>
  <c r="AP215" i="2"/>
  <c r="L215" i="1"/>
  <c r="P215" i="1" s="1"/>
  <c r="AA215" i="1"/>
  <c r="G216" i="3"/>
  <c r="I217" i="1"/>
  <c r="V216" i="1"/>
  <c r="J216" i="1"/>
  <c r="G216" i="2"/>
  <c r="Y216" i="1"/>
  <c r="Z216" i="1" s="1"/>
  <c r="N216" i="1"/>
  <c r="O216" i="1"/>
  <c r="S216" i="1"/>
  <c r="W216" i="1" s="1"/>
  <c r="R216" i="1"/>
  <c r="G217" i="3" l="1"/>
  <c r="I218" i="1"/>
  <c r="V217" i="1"/>
  <c r="J217" i="1"/>
  <c r="G217" i="2"/>
  <c r="Y217" i="1"/>
  <c r="Z217" i="1" s="1"/>
  <c r="S217" i="1"/>
  <c r="W217" i="1" s="1"/>
  <c r="O217" i="1"/>
  <c r="R217" i="1"/>
  <c r="N217" i="1"/>
  <c r="H216" i="3"/>
  <c r="AR216" i="3"/>
  <c r="AN216" i="3"/>
  <c r="AQ216" i="3"/>
  <c r="AM216" i="3"/>
  <c r="AL216" i="3"/>
  <c r="AI216" i="3"/>
  <c r="AK216" i="3"/>
  <c r="AJ216" i="3"/>
  <c r="AG216" i="3"/>
  <c r="AH216" i="3"/>
  <c r="AF216" i="3"/>
  <c r="AC216" i="3"/>
  <c r="AD216" i="3"/>
  <c r="AE216" i="3"/>
  <c r="AB216" i="3"/>
  <c r="Z216" i="3"/>
  <c r="AA216" i="3"/>
  <c r="X216" i="3"/>
  <c r="Y216" i="3"/>
  <c r="V216" i="3"/>
  <c r="R216" i="3"/>
  <c r="T216" i="3"/>
  <c r="U216" i="3"/>
  <c r="W216" i="3"/>
  <c r="O216" i="3"/>
  <c r="Q216" i="3"/>
  <c r="S216" i="3"/>
  <c r="P216" i="3"/>
  <c r="M216" i="3"/>
  <c r="N216" i="3"/>
  <c r="K216" i="3"/>
  <c r="L216" i="3"/>
  <c r="I216" i="3"/>
  <c r="J216" i="3"/>
  <c r="AO216" i="3"/>
  <c r="AP216" i="3"/>
  <c r="H216" i="2"/>
  <c r="AQ216" i="2"/>
  <c r="AR216" i="2"/>
  <c r="AN216" i="2"/>
  <c r="AM216" i="2"/>
  <c r="AJ216" i="2"/>
  <c r="AL216" i="2"/>
  <c r="AK216" i="2"/>
  <c r="AF216" i="2"/>
  <c r="AH216" i="2"/>
  <c r="AI216" i="2"/>
  <c r="AG216" i="2"/>
  <c r="AE216" i="2"/>
  <c r="AD216" i="2"/>
  <c r="AB216" i="2"/>
  <c r="AC216" i="2"/>
  <c r="AA216" i="2"/>
  <c r="Z216" i="2"/>
  <c r="Y216" i="2"/>
  <c r="X216" i="2"/>
  <c r="V216" i="2"/>
  <c r="W216" i="2"/>
  <c r="S216" i="2"/>
  <c r="U216" i="2"/>
  <c r="T216" i="2"/>
  <c r="R216" i="2"/>
  <c r="N216" i="2"/>
  <c r="Q216" i="2"/>
  <c r="P216" i="2"/>
  <c r="L216" i="2"/>
  <c r="O216" i="2"/>
  <c r="M216" i="2"/>
  <c r="I216" i="2"/>
  <c r="AO216" i="2"/>
  <c r="K216" i="2"/>
  <c r="J216" i="2"/>
  <c r="AP216" i="2"/>
  <c r="L216" i="1"/>
  <c r="P216" i="1" s="1"/>
  <c r="AA216" i="1"/>
  <c r="H217" i="2" l="1"/>
  <c r="AR217" i="2"/>
  <c r="AQ217" i="2"/>
  <c r="AN217" i="2"/>
  <c r="AM217" i="2"/>
  <c r="AJ217" i="2"/>
  <c r="AL217" i="2"/>
  <c r="AK217" i="2"/>
  <c r="AI217" i="2"/>
  <c r="AF217" i="2"/>
  <c r="AG217" i="2"/>
  <c r="AE217" i="2"/>
  <c r="AH217" i="2"/>
  <c r="AB217" i="2"/>
  <c r="AD217" i="2"/>
  <c r="AA217" i="2"/>
  <c r="AC217" i="2"/>
  <c r="Z217" i="2"/>
  <c r="Y217" i="2"/>
  <c r="X217" i="2"/>
  <c r="V217" i="2"/>
  <c r="W217" i="2"/>
  <c r="S217" i="2"/>
  <c r="U217" i="2"/>
  <c r="T217" i="2"/>
  <c r="R217" i="2"/>
  <c r="P217" i="2"/>
  <c r="N217" i="2"/>
  <c r="Q217" i="2"/>
  <c r="O217" i="2"/>
  <c r="L217" i="2"/>
  <c r="I217" i="2"/>
  <c r="M217" i="2"/>
  <c r="J217" i="2"/>
  <c r="AO217" i="2"/>
  <c r="K217" i="2"/>
  <c r="AP217" i="2"/>
  <c r="L217" i="1"/>
  <c r="P217" i="1" s="1"/>
  <c r="AA217" i="1"/>
  <c r="G218" i="3"/>
  <c r="I219" i="1"/>
  <c r="J218" i="1"/>
  <c r="V218" i="1"/>
  <c r="Y218" i="1"/>
  <c r="Z218" i="1" s="1"/>
  <c r="G218" i="2"/>
  <c r="N218" i="1"/>
  <c r="R218" i="1"/>
  <c r="O218" i="1"/>
  <c r="S218" i="1"/>
  <c r="H217" i="3"/>
  <c r="AR217" i="3"/>
  <c r="AN217" i="3"/>
  <c r="AQ217" i="3"/>
  <c r="AM217" i="3"/>
  <c r="AJ217" i="3"/>
  <c r="AL217" i="3"/>
  <c r="AK217" i="3"/>
  <c r="AG217" i="3"/>
  <c r="AI217" i="3"/>
  <c r="AH217" i="3"/>
  <c r="AF217" i="3"/>
  <c r="AE217" i="3"/>
  <c r="AA217" i="3"/>
  <c r="AC217" i="3"/>
  <c r="AD217" i="3"/>
  <c r="AB217" i="3"/>
  <c r="Z217" i="3"/>
  <c r="X217" i="3"/>
  <c r="Y217" i="3"/>
  <c r="V217" i="3"/>
  <c r="W217" i="3"/>
  <c r="T217" i="3"/>
  <c r="U217" i="3"/>
  <c r="S217" i="3"/>
  <c r="R217" i="3"/>
  <c r="Q217" i="3"/>
  <c r="P217" i="3"/>
  <c r="O217" i="3"/>
  <c r="N217" i="3"/>
  <c r="I217" i="3"/>
  <c r="K217" i="3"/>
  <c r="M217" i="3"/>
  <c r="L217" i="3"/>
  <c r="AP217" i="3"/>
  <c r="J217" i="3"/>
  <c r="AO217" i="3"/>
  <c r="H218" i="2" l="1"/>
  <c r="AR218" i="2"/>
  <c r="AQ218" i="2"/>
  <c r="AM218" i="2"/>
  <c r="AN218" i="2"/>
  <c r="AJ218" i="2"/>
  <c r="AL218" i="2"/>
  <c r="AK218" i="2"/>
  <c r="AI218" i="2"/>
  <c r="AH218" i="2"/>
  <c r="AF218" i="2"/>
  <c r="AG218" i="2"/>
  <c r="AB218" i="2"/>
  <c r="AE218" i="2"/>
  <c r="AD218" i="2"/>
  <c r="AA218" i="2"/>
  <c r="AC218" i="2"/>
  <c r="Z218" i="2"/>
  <c r="Y218" i="2"/>
  <c r="X218" i="2"/>
  <c r="W218" i="2"/>
  <c r="S218" i="2"/>
  <c r="U218" i="2"/>
  <c r="V218" i="2"/>
  <c r="P218" i="2"/>
  <c r="T218" i="2"/>
  <c r="R218" i="2"/>
  <c r="N218" i="2"/>
  <c r="Q218" i="2"/>
  <c r="O218" i="2"/>
  <c r="J218" i="2"/>
  <c r="L218" i="2"/>
  <c r="K218" i="2"/>
  <c r="M218" i="2"/>
  <c r="I218" i="2"/>
  <c r="AO218" i="2"/>
  <c r="AP218" i="2"/>
  <c r="L218" i="1"/>
  <c r="P218" i="1" s="1"/>
  <c r="AA218" i="1"/>
  <c r="I220" i="1"/>
  <c r="G219" i="3"/>
  <c r="V219" i="1"/>
  <c r="J219" i="1"/>
  <c r="G219" i="2"/>
  <c r="Y219" i="1"/>
  <c r="Z219" i="1" s="1"/>
  <c r="S219" i="1"/>
  <c r="W219" i="1" s="1"/>
  <c r="N219" i="1"/>
  <c r="O219" i="1"/>
  <c r="R219" i="1"/>
  <c r="W218" i="1"/>
  <c r="H218" i="3"/>
  <c r="AR218" i="3"/>
  <c r="AQ218" i="3"/>
  <c r="AN218" i="3"/>
  <c r="AM218" i="3"/>
  <c r="AL218" i="3"/>
  <c r="AK218" i="3"/>
  <c r="AJ218" i="3"/>
  <c r="AG218" i="3"/>
  <c r="AI218" i="3"/>
  <c r="AF218" i="3"/>
  <c r="AH218" i="3"/>
  <c r="AE218" i="3"/>
  <c r="AC218" i="3"/>
  <c r="AD218" i="3"/>
  <c r="AB218" i="3"/>
  <c r="AA218" i="3"/>
  <c r="Z218" i="3"/>
  <c r="Y218" i="3"/>
  <c r="V218" i="3"/>
  <c r="X218" i="3"/>
  <c r="W218" i="3"/>
  <c r="U218" i="3"/>
  <c r="S218" i="3"/>
  <c r="T218" i="3"/>
  <c r="R218" i="3"/>
  <c r="O218" i="3"/>
  <c r="N218" i="3"/>
  <c r="P218" i="3"/>
  <c r="Q218" i="3"/>
  <c r="L218" i="3"/>
  <c r="M218" i="3"/>
  <c r="I218" i="3"/>
  <c r="AP218" i="3"/>
  <c r="J218" i="3"/>
  <c r="K218" i="3"/>
  <c r="AO218" i="3"/>
  <c r="H219" i="2" l="1"/>
  <c r="AQ219" i="2"/>
  <c r="AR219" i="2"/>
  <c r="AM219" i="2"/>
  <c r="AN219" i="2"/>
  <c r="AK219" i="2"/>
  <c r="AL219" i="2"/>
  <c r="AH219" i="2"/>
  <c r="AI219" i="2"/>
  <c r="AJ219" i="2"/>
  <c r="AG219" i="2"/>
  <c r="AF219" i="2"/>
  <c r="AB219" i="2"/>
  <c r="AE219" i="2"/>
  <c r="AD219" i="2"/>
  <c r="AC219" i="2"/>
  <c r="AA219" i="2"/>
  <c r="Z219" i="2"/>
  <c r="Y219" i="2"/>
  <c r="W219" i="2"/>
  <c r="X219" i="2"/>
  <c r="U219" i="2"/>
  <c r="V219" i="2"/>
  <c r="T219" i="2"/>
  <c r="S219" i="2"/>
  <c r="R219" i="2"/>
  <c r="P219" i="2"/>
  <c r="Q219" i="2"/>
  <c r="O219" i="2"/>
  <c r="M219" i="2"/>
  <c r="L219" i="2"/>
  <c r="N219" i="2"/>
  <c r="J219" i="2"/>
  <c r="I219" i="2"/>
  <c r="AO219" i="2"/>
  <c r="K219" i="2"/>
  <c r="AP219" i="2"/>
  <c r="L219" i="1"/>
  <c r="P219" i="1" s="1"/>
  <c r="AA219" i="1"/>
  <c r="H219" i="3"/>
  <c r="AR219" i="3"/>
  <c r="AQ219" i="3"/>
  <c r="AN219" i="3"/>
  <c r="AM219" i="3"/>
  <c r="AL219" i="3"/>
  <c r="AJ219" i="3"/>
  <c r="AK219" i="3"/>
  <c r="AG219" i="3"/>
  <c r="AI219" i="3"/>
  <c r="AF219" i="3"/>
  <c r="AH219" i="3"/>
  <c r="AB219" i="3"/>
  <c r="AE219" i="3"/>
  <c r="AC219" i="3"/>
  <c r="AD219" i="3"/>
  <c r="Y219" i="3"/>
  <c r="Z219" i="3"/>
  <c r="AA219" i="3"/>
  <c r="V219" i="3"/>
  <c r="X219" i="3"/>
  <c r="W219" i="3"/>
  <c r="U219" i="3"/>
  <c r="S219" i="3"/>
  <c r="T219" i="3"/>
  <c r="R219" i="3"/>
  <c r="Q219" i="3"/>
  <c r="P219" i="3"/>
  <c r="N219" i="3"/>
  <c r="O219" i="3"/>
  <c r="L219" i="3"/>
  <c r="I219" i="3"/>
  <c r="K219" i="3"/>
  <c r="M219" i="3"/>
  <c r="J219" i="3"/>
  <c r="AP219" i="3"/>
  <c r="AO219" i="3"/>
  <c r="G220" i="3"/>
  <c r="I221" i="1"/>
  <c r="V220" i="1"/>
  <c r="J220" i="1"/>
  <c r="G220" i="2"/>
  <c r="Y220" i="1"/>
  <c r="Z220" i="1" s="1"/>
  <c r="S220" i="1"/>
  <c r="W220" i="1" s="1"/>
  <c r="N220" i="1"/>
  <c r="R220" i="1"/>
  <c r="O220" i="1"/>
  <c r="L220" i="1" l="1"/>
  <c r="P220" i="1" s="1"/>
  <c r="AA220" i="1"/>
  <c r="I222" i="1"/>
  <c r="G221" i="3"/>
  <c r="J221" i="1"/>
  <c r="V221" i="1"/>
  <c r="G221" i="2"/>
  <c r="Y221" i="1"/>
  <c r="Z221" i="1" s="1"/>
  <c r="R221" i="1"/>
  <c r="S221" i="1"/>
  <c r="N221" i="1"/>
  <c r="O221" i="1"/>
  <c r="H220" i="3"/>
  <c r="AQ220" i="3"/>
  <c r="AR220" i="3"/>
  <c r="AN220" i="3"/>
  <c r="AM220" i="3"/>
  <c r="AL220" i="3"/>
  <c r="AK220" i="3"/>
  <c r="AJ220" i="3"/>
  <c r="AI220" i="3"/>
  <c r="AH220" i="3"/>
  <c r="AG220" i="3"/>
  <c r="AF220" i="3"/>
  <c r="AD220" i="3"/>
  <c r="AB220" i="3"/>
  <c r="AE220" i="3"/>
  <c r="AC220" i="3"/>
  <c r="Y220" i="3"/>
  <c r="Z220" i="3"/>
  <c r="AA220" i="3"/>
  <c r="W220" i="3"/>
  <c r="X220" i="3"/>
  <c r="V220" i="3"/>
  <c r="U220" i="3"/>
  <c r="S220" i="3"/>
  <c r="P220" i="3"/>
  <c r="T220" i="3"/>
  <c r="R220" i="3"/>
  <c r="Q220" i="3"/>
  <c r="L220" i="3"/>
  <c r="N220" i="3"/>
  <c r="O220" i="3"/>
  <c r="M220" i="3"/>
  <c r="J220" i="3"/>
  <c r="K220" i="3"/>
  <c r="I220" i="3"/>
  <c r="AP220" i="3"/>
  <c r="AO220" i="3"/>
  <c r="H220" i="2"/>
  <c r="AR220" i="2"/>
  <c r="AQ220" i="2"/>
  <c r="AN220" i="2"/>
  <c r="AL220" i="2"/>
  <c r="AM220" i="2"/>
  <c r="AK220" i="2"/>
  <c r="AH220" i="2"/>
  <c r="AI220" i="2"/>
  <c r="AG220" i="2"/>
  <c r="AJ220" i="2"/>
  <c r="AF220" i="2"/>
  <c r="AE220" i="2"/>
  <c r="AD220" i="2"/>
  <c r="AC220" i="2"/>
  <c r="AA220" i="2"/>
  <c r="AB220" i="2"/>
  <c r="Z220" i="2"/>
  <c r="Y220" i="2"/>
  <c r="W220" i="2"/>
  <c r="X220" i="2"/>
  <c r="U220" i="2"/>
  <c r="T220" i="2"/>
  <c r="V220" i="2"/>
  <c r="S220" i="2"/>
  <c r="P220" i="2"/>
  <c r="R220" i="2"/>
  <c r="Q220" i="2"/>
  <c r="O220" i="2"/>
  <c r="M220" i="2"/>
  <c r="J220" i="2"/>
  <c r="N220" i="2"/>
  <c r="I220" i="2"/>
  <c r="L220" i="2"/>
  <c r="AO220" i="2"/>
  <c r="K220" i="2"/>
  <c r="AP220" i="2"/>
  <c r="H221" i="2" l="1"/>
  <c r="AR221" i="2"/>
  <c r="AN221" i="2"/>
  <c r="AQ221" i="2"/>
  <c r="AM221" i="2"/>
  <c r="AL221" i="2"/>
  <c r="AK221" i="2"/>
  <c r="AI221" i="2"/>
  <c r="AH221" i="2"/>
  <c r="AJ221" i="2"/>
  <c r="AG221" i="2"/>
  <c r="AD221" i="2"/>
  <c r="AF221" i="2"/>
  <c r="AC221" i="2"/>
  <c r="AE221" i="2"/>
  <c r="AA221" i="2"/>
  <c r="AB221" i="2"/>
  <c r="Z221" i="2"/>
  <c r="U221" i="2"/>
  <c r="Y221" i="2"/>
  <c r="W221" i="2"/>
  <c r="X221" i="2"/>
  <c r="T221" i="2"/>
  <c r="V221" i="2"/>
  <c r="S221" i="2"/>
  <c r="R221" i="2"/>
  <c r="Q221" i="2"/>
  <c r="O221" i="2"/>
  <c r="P221" i="2"/>
  <c r="M221" i="2"/>
  <c r="L221" i="2"/>
  <c r="N221" i="2"/>
  <c r="K221" i="2"/>
  <c r="J221" i="2"/>
  <c r="I221" i="2"/>
  <c r="AP221" i="2"/>
  <c r="AO221" i="2"/>
  <c r="L221" i="1"/>
  <c r="P221" i="1" s="1"/>
  <c r="AA221" i="1"/>
  <c r="H221" i="3"/>
  <c r="AR221" i="3"/>
  <c r="AQ221" i="3"/>
  <c r="AN221" i="3"/>
  <c r="AL221" i="3"/>
  <c r="AK221" i="3"/>
  <c r="AM221" i="3"/>
  <c r="AJ221" i="3"/>
  <c r="AH221" i="3"/>
  <c r="AI221" i="3"/>
  <c r="AG221" i="3"/>
  <c r="AF221" i="3"/>
  <c r="AD221" i="3"/>
  <c r="AB221" i="3"/>
  <c r="AE221" i="3"/>
  <c r="AC221" i="3"/>
  <c r="W221" i="3"/>
  <c r="Y221" i="3"/>
  <c r="Z221" i="3"/>
  <c r="AA221" i="3"/>
  <c r="X221" i="3"/>
  <c r="V221" i="3"/>
  <c r="U221" i="3"/>
  <c r="T221" i="3"/>
  <c r="P221" i="3"/>
  <c r="R221" i="3"/>
  <c r="S221" i="3"/>
  <c r="Q221" i="3"/>
  <c r="O221" i="3"/>
  <c r="N221" i="3"/>
  <c r="M221" i="3"/>
  <c r="L221" i="3"/>
  <c r="J221" i="3"/>
  <c r="K221" i="3"/>
  <c r="AO221" i="3"/>
  <c r="I221" i="3"/>
  <c r="AP221" i="3"/>
  <c r="G222" i="3"/>
  <c r="I223" i="1"/>
  <c r="V222" i="1"/>
  <c r="J222" i="1"/>
  <c r="G222" i="2"/>
  <c r="Y222" i="1"/>
  <c r="Z222" i="1" s="1"/>
  <c r="S222" i="1"/>
  <c r="W222" i="1" s="1"/>
  <c r="R222" i="1"/>
  <c r="N222" i="1"/>
  <c r="O222" i="1"/>
  <c r="W221" i="1"/>
  <c r="H222" i="3" l="1"/>
  <c r="AR222" i="3"/>
  <c r="AQ222" i="3"/>
  <c r="AN222" i="3"/>
  <c r="AL222" i="3"/>
  <c r="AK222" i="3"/>
  <c r="AM222" i="3"/>
  <c r="AI222" i="3"/>
  <c r="AH222" i="3"/>
  <c r="AJ222" i="3"/>
  <c r="AG222" i="3"/>
  <c r="AF222" i="3"/>
  <c r="AE222" i="3"/>
  <c r="AD222" i="3"/>
  <c r="AC222" i="3"/>
  <c r="AB222" i="3"/>
  <c r="AA222" i="3"/>
  <c r="Y222" i="3"/>
  <c r="Z222" i="3"/>
  <c r="W222" i="3"/>
  <c r="X222" i="3"/>
  <c r="V222" i="3"/>
  <c r="U222" i="3"/>
  <c r="T222" i="3"/>
  <c r="P222" i="3"/>
  <c r="R222" i="3"/>
  <c r="S222" i="3"/>
  <c r="Q222" i="3"/>
  <c r="O222" i="3"/>
  <c r="L222" i="3"/>
  <c r="N222" i="3"/>
  <c r="M222" i="3"/>
  <c r="J222" i="3"/>
  <c r="K222" i="3"/>
  <c r="I222" i="3"/>
  <c r="AP222" i="3"/>
  <c r="AO222" i="3"/>
  <c r="I224" i="1"/>
  <c r="G223" i="3"/>
  <c r="V223" i="1"/>
  <c r="J223" i="1"/>
  <c r="G223" i="2"/>
  <c r="Y223" i="1"/>
  <c r="Z223" i="1" s="1"/>
  <c r="N223" i="1"/>
  <c r="O223" i="1"/>
  <c r="R223" i="1"/>
  <c r="S223" i="1"/>
  <c r="W223" i="1" s="1"/>
  <c r="H222" i="2"/>
  <c r="AR222" i="2"/>
  <c r="AQ222" i="2"/>
  <c r="AN222" i="2"/>
  <c r="AM222" i="2"/>
  <c r="AL222" i="2"/>
  <c r="AI222" i="2"/>
  <c r="AK222" i="2"/>
  <c r="AJ222" i="2"/>
  <c r="AG222" i="2"/>
  <c r="AH222" i="2"/>
  <c r="AF222" i="2"/>
  <c r="AC222" i="2"/>
  <c r="AE222" i="2"/>
  <c r="AD222" i="2"/>
  <c r="AB222" i="2"/>
  <c r="Z222" i="2"/>
  <c r="AA222" i="2"/>
  <c r="Y222" i="2"/>
  <c r="X222" i="2"/>
  <c r="U222" i="2"/>
  <c r="W222" i="2"/>
  <c r="V222" i="2"/>
  <c r="R222" i="2"/>
  <c r="T222" i="2"/>
  <c r="Q222" i="2"/>
  <c r="S222" i="2"/>
  <c r="P222" i="2"/>
  <c r="M222" i="2"/>
  <c r="O222" i="2"/>
  <c r="K222" i="2"/>
  <c r="L222" i="2"/>
  <c r="N222" i="2"/>
  <c r="AP222" i="2"/>
  <c r="J222" i="2"/>
  <c r="I222" i="2"/>
  <c r="AO222" i="2"/>
  <c r="L222" i="1"/>
  <c r="P222" i="1" s="1"/>
  <c r="AA222" i="1"/>
  <c r="H223" i="3" l="1"/>
  <c r="AR223" i="3"/>
  <c r="AQ223" i="3"/>
  <c r="AN223" i="3"/>
  <c r="AM223" i="3"/>
  <c r="AL223" i="3"/>
  <c r="AK223" i="3"/>
  <c r="AI223" i="3"/>
  <c r="AH223" i="3"/>
  <c r="AJ223" i="3"/>
  <c r="AE223" i="3"/>
  <c r="AD223" i="3"/>
  <c r="AG223" i="3"/>
  <c r="AF223" i="3"/>
  <c r="AC223" i="3"/>
  <c r="AA223" i="3"/>
  <c r="AB223" i="3"/>
  <c r="W223" i="3"/>
  <c r="Z223" i="3"/>
  <c r="Y223" i="3"/>
  <c r="U223" i="3"/>
  <c r="X223" i="3"/>
  <c r="V223" i="3"/>
  <c r="T223" i="3"/>
  <c r="R223" i="3"/>
  <c r="S223" i="3"/>
  <c r="Q223" i="3"/>
  <c r="O223" i="3"/>
  <c r="P223" i="3"/>
  <c r="M223" i="3"/>
  <c r="L223" i="3"/>
  <c r="N223" i="3"/>
  <c r="K223" i="3"/>
  <c r="J223" i="3"/>
  <c r="I223" i="3"/>
  <c r="AP223" i="3"/>
  <c r="AO223" i="3"/>
  <c r="G224" i="3"/>
  <c r="I225" i="1"/>
  <c r="V224" i="1"/>
  <c r="J224" i="1"/>
  <c r="G224" i="2"/>
  <c r="Y224" i="1"/>
  <c r="Z224" i="1" s="1"/>
  <c r="S224" i="1"/>
  <c r="N224" i="1"/>
  <c r="R224" i="1"/>
  <c r="O224" i="1"/>
  <c r="L223" i="1"/>
  <c r="P223" i="1" s="1"/>
  <c r="AA223" i="1"/>
  <c r="H223" i="2"/>
  <c r="AR223" i="2"/>
  <c r="AQ223" i="2"/>
  <c r="AN223" i="2"/>
  <c r="AL223" i="2"/>
  <c r="AM223" i="2"/>
  <c r="AK223" i="2"/>
  <c r="AJ223" i="2"/>
  <c r="AI223" i="2"/>
  <c r="AH223" i="2"/>
  <c r="AD223" i="2"/>
  <c r="AG223" i="2"/>
  <c r="AF223" i="2"/>
  <c r="AC223" i="2"/>
  <c r="AE223" i="2"/>
  <c r="AB223" i="2"/>
  <c r="X223" i="2"/>
  <c r="Z223" i="2"/>
  <c r="AA223" i="2"/>
  <c r="Y223" i="2"/>
  <c r="V223" i="2"/>
  <c r="W223" i="2"/>
  <c r="T223" i="2"/>
  <c r="U223" i="2"/>
  <c r="Q223" i="2"/>
  <c r="S223" i="2"/>
  <c r="R223" i="2"/>
  <c r="P223" i="2"/>
  <c r="O223" i="2"/>
  <c r="N223" i="2"/>
  <c r="K223" i="2"/>
  <c r="M223" i="2"/>
  <c r="L223" i="2"/>
  <c r="AP223" i="2"/>
  <c r="J223" i="2"/>
  <c r="I223" i="2"/>
  <c r="AO223" i="2"/>
  <c r="H224" i="3" l="1"/>
  <c r="AR224" i="3"/>
  <c r="AN224" i="3"/>
  <c r="AM224" i="3"/>
  <c r="AQ224" i="3"/>
  <c r="AL224" i="3"/>
  <c r="AI224" i="3"/>
  <c r="AK224" i="3"/>
  <c r="AJ224" i="3"/>
  <c r="AE224" i="3"/>
  <c r="AH224" i="3"/>
  <c r="AD224" i="3"/>
  <c r="AG224" i="3"/>
  <c r="AF224" i="3"/>
  <c r="AC224" i="3"/>
  <c r="AA224" i="3"/>
  <c r="AB224" i="3"/>
  <c r="Z224" i="3"/>
  <c r="Y224" i="3"/>
  <c r="X224" i="3"/>
  <c r="W224" i="3"/>
  <c r="U224" i="3"/>
  <c r="R224" i="3"/>
  <c r="V224" i="3"/>
  <c r="T224" i="3"/>
  <c r="Q224" i="3"/>
  <c r="S224" i="3"/>
  <c r="M224" i="3"/>
  <c r="O224" i="3"/>
  <c r="P224" i="3"/>
  <c r="K224" i="3"/>
  <c r="L224" i="3"/>
  <c r="N224" i="3"/>
  <c r="J224" i="3"/>
  <c r="I224" i="3"/>
  <c r="AP224" i="3"/>
  <c r="AO224" i="3"/>
  <c r="L224" i="1"/>
  <c r="P224" i="1" s="1"/>
  <c r="AA224" i="1"/>
  <c r="W224" i="1"/>
  <c r="H224" i="2"/>
  <c r="AQ224" i="2"/>
  <c r="AN224" i="2"/>
  <c r="AR224" i="2"/>
  <c r="AM224" i="2"/>
  <c r="AL224" i="2"/>
  <c r="AK224" i="2"/>
  <c r="AI224" i="2"/>
  <c r="AJ224" i="2"/>
  <c r="AH224" i="2"/>
  <c r="AG224" i="2"/>
  <c r="AF224" i="2"/>
  <c r="AE224" i="2"/>
  <c r="AD224" i="2"/>
  <c r="AC224" i="2"/>
  <c r="AB224" i="2"/>
  <c r="Z224" i="2"/>
  <c r="X224" i="2"/>
  <c r="AA224" i="2"/>
  <c r="Y224" i="2"/>
  <c r="W224" i="2"/>
  <c r="V224" i="2"/>
  <c r="U224" i="2"/>
  <c r="R224" i="2"/>
  <c r="Q224" i="2"/>
  <c r="T224" i="2"/>
  <c r="S224" i="2"/>
  <c r="P224" i="2"/>
  <c r="M224" i="2"/>
  <c r="N224" i="2"/>
  <c r="K224" i="2"/>
  <c r="O224" i="2"/>
  <c r="L224" i="2"/>
  <c r="I224" i="2"/>
  <c r="AO224" i="2"/>
  <c r="AP224" i="2"/>
  <c r="J224" i="2"/>
  <c r="G225" i="3"/>
  <c r="I226" i="1"/>
  <c r="V225" i="1"/>
  <c r="J225" i="1"/>
  <c r="G225" i="2"/>
  <c r="Y225" i="1"/>
  <c r="Z225" i="1" s="1"/>
  <c r="S225" i="1"/>
  <c r="W225" i="1" s="1"/>
  <c r="N225" i="1"/>
  <c r="O225" i="1"/>
  <c r="R225" i="1"/>
  <c r="L225" i="1" l="1"/>
  <c r="P225" i="1" s="1"/>
  <c r="AA225" i="1"/>
  <c r="G226" i="3"/>
  <c r="I227" i="1"/>
  <c r="V226" i="1"/>
  <c r="J226" i="1"/>
  <c r="G226" i="2"/>
  <c r="Y226" i="1"/>
  <c r="Z226" i="1" s="1"/>
  <c r="O226" i="1"/>
  <c r="N226" i="1"/>
  <c r="S226" i="1"/>
  <c r="R226" i="1"/>
  <c r="H225" i="3"/>
  <c r="AR225" i="3"/>
  <c r="AN225" i="3"/>
  <c r="AQ225" i="3"/>
  <c r="AM225" i="3"/>
  <c r="AL225" i="3"/>
  <c r="AI225" i="3"/>
  <c r="AK225" i="3"/>
  <c r="AJ225" i="3"/>
  <c r="AH225" i="3"/>
  <c r="AF225" i="3"/>
  <c r="AE225" i="3"/>
  <c r="AD225" i="3"/>
  <c r="AG225" i="3"/>
  <c r="AA225" i="3"/>
  <c r="AC225" i="3"/>
  <c r="AB225" i="3"/>
  <c r="X225" i="3"/>
  <c r="Y225" i="3"/>
  <c r="Z225" i="3"/>
  <c r="W225" i="3"/>
  <c r="U225" i="3"/>
  <c r="R225" i="3"/>
  <c r="V225" i="3"/>
  <c r="T225" i="3"/>
  <c r="S225" i="3"/>
  <c r="Q225" i="3"/>
  <c r="O225" i="3"/>
  <c r="P225" i="3"/>
  <c r="K225" i="3"/>
  <c r="M225" i="3"/>
  <c r="L225" i="3"/>
  <c r="N225" i="3"/>
  <c r="J225" i="3"/>
  <c r="I225" i="3"/>
  <c r="AP225" i="3"/>
  <c r="AO225" i="3"/>
  <c r="H225" i="2"/>
  <c r="AR225" i="2"/>
  <c r="AQ225" i="2"/>
  <c r="AN225" i="2"/>
  <c r="AL225" i="2"/>
  <c r="AM225" i="2"/>
  <c r="AK225" i="2"/>
  <c r="AJ225" i="2"/>
  <c r="AI225" i="2"/>
  <c r="AH225" i="2"/>
  <c r="AF225" i="2"/>
  <c r="AE225" i="2"/>
  <c r="AG225" i="2"/>
  <c r="AD225" i="2"/>
  <c r="AC225" i="2"/>
  <c r="AB225" i="2"/>
  <c r="X225" i="2"/>
  <c r="Z225" i="2"/>
  <c r="AA225" i="2"/>
  <c r="V225" i="2"/>
  <c r="Y225" i="2"/>
  <c r="W225" i="2"/>
  <c r="U225" i="2"/>
  <c r="S225" i="2"/>
  <c r="R225" i="2"/>
  <c r="T225" i="2"/>
  <c r="Q225" i="2"/>
  <c r="P225" i="2"/>
  <c r="N225" i="2"/>
  <c r="M225" i="2"/>
  <c r="O225" i="2"/>
  <c r="L225" i="2"/>
  <c r="AO225" i="2"/>
  <c r="J225" i="2"/>
  <c r="I225" i="2"/>
  <c r="K225" i="2"/>
  <c r="AP225" i="2"/>
  <c r="I228" i="1" l="1"/>
  <c r="G227" i="3"/>
  <c r="J227" i="1"/>
  <c r="V227" i="1"/>
  <c r="G227" i="2"/>
  <c r="Y227" i="1"/>
  <c r="Z227" i="1" s="1"/>
  <c r="S227" i="1"/>
  <c r="W227" i="1" s="1"/>
  <c r="N227" i="1"/>
  <c r="O227" i="1"/>
  <c r="R227" i="1"/>
  <c r="H226" i="3"/>
  <c r="AR226" i="3"/>
  <c r="AQ226" i="3"/>
  <c r="AN226" i="3"/>
  <c r="AM226" i="3"/>
  <c r="AL226" i="3"/>
  <c r="AK226" i="3"/>
  <c r="AI226" i="3"/>
  <c r="AJ226" i="3"/>
  <c r="AG226" i="3"/>
  <c r="AH226" i="3"/>
  <c r="AF226" i="3"/>
  <c r="AE226" i="3"/>
  <c r="AD226" i="3"/>
  <c r="AC226" i="3"/>
  <c r="AA226" i="3"/>
  <c r="Z226" i="3"/>
  <c r="AB226" i="3"/>
  <c r="X226" i="3"/>
  <c r="Y226" i="3"/>
  <c r="W226" i="3"/>
  <c r="V226" i="3"/>
  <c r="R226" i="3"/>
  <c r="U226" i="3"/>
  <c r="T226" i="3"/>
  <c r="O226" i="3"/>
  <c r="S226" i="3"/>
  <c r="Q226" i="3"/>
  <c r="M226" i="3"/>
  <c r="P226" i="3"/>
  <c r="K226" i="3"/>
  <c r="L226" i="3"/>
  <c r="N226" i="3"/>
  <c r="I226" i="3"/>
  <c r="AO226" i="3"/>
  <c r="J226" i="3"/>
  <c r="AP226" i="3"/>
  <c r="H226" i="2"/>
  <c r="AQ226" i="2"/>
  <c r="AR226" i="2"/>
  <c r="AN226" i="2"/>
  <c r="AL226" i="2"/>
  <c r="AM226" i="2"/>
  <c r="AJ226" i="2"/>
  <c r="AK226" i="2"/>
  <c r="AF226" i="2"/>
  <c r="AI226" i="2"/>
  <c r="AH226" i="2"/>
  <c r="AE226" i="2"/>
  <c r="AG226" i="2"/>
  <c r="AD226" i="2"/>
  <c r="AB226" i="2"/>
  <c r="AC226" i="2"/>
  <c r="AA226" i="2"/>
  <c r="Z226" i="2"/>
  <c r="Y226" i="2"/>
  <c r="V226" i="2"/>
  <c r="X226" i="2"/>
  <c r="W226" i="2"/>
  <c r="U226" i="2"/>
  <c r="S226" i="2"/>
  <c r="R226" i="2"/>
  <c r="T226" i="2"/>
  <c r="N226" i="2"/>
  <c r="Q226" i="2"/>
  <c r="P226" i="2"/>
  <c r="L226" i="2"/>
  <c r="M226" i="2"/>
  <c r="O226" i="2"/>
  <c r="AO226" i="2"/>
  <c r="J226" i="2"/>
  <c r="I226" i="2"/>
  <c r="K226" i="2"/>
  <c r="AP226" i="2"/>
  <c r="L226" i="1"/>
  <c r="P226" i="1" s="1"/>
  <c r="AA226" i="1"/>
  <c r="W226" i="1"/>
  <c r="H227" i="2" l="1"/>
  <c r="AQ227" i="2"/>
  <c r="AR227" i="2"/>
  <c r="AN227" i="2"/>
  <c r="AM227" i="2"/>
  <c r="AJ227" i="2"/>
  <c r="AK227" i="2"/>
  <c r="AL227" i="2"/>
  <c r="AF227" i="2"/>
  <c r="AI227" i="2"/>
  <c r="AH227" i="2"/>
  <c r="AE227" i="2"/>
  <c r="AG227" i="2"/>
  <c r="AB227" i="2"/>
  <c r="AD227" i="2"/>
  <c r="AA227" i="2"/>
  <c r="AC227" i="2"/>
  <c r="Y227" i="2"/>
  <c r="Z227" i="2"/>
  <c r="V227" i="2"/>
  <c r="X227" i="2"/>
  <c r="W227" i="2"/>
  <c r="U227" i="2"/>
  <c r="S227" i="2"/>
  <c r="R227" i="2"/>
  <c r="T227" i="2"/>
  <c r="P227" i="2"/>
  <c r="N227" i="2"/>
  <c r="Q227" i="2"/>
  <c r="O227" i="2"/>
  <c r="L227" i="2"/>
  <c r="I227" i="2"/>
  <c r="M227" i="2"/>
  <c r="J227" i="2"/>
  <c r="K227" i="2"/>
  <c r="AO227" i="2"/>
  <c r="AP227" i="2"/>
  <c r="L227" i="1"/>
  <c r="P227" i="1" s="1"/>
  <c r="AA227" i="1"/>
  <c r="H227" i="3"/>
  <c r="AR227" i="3"/>
  <c r="AQ227" i="3"/>
  <c r="AN227" i="3"/>
  <c r="AL227" i="3"/>
  <c r="AJ227" i="3"/>
  <c r="AM227" i="3"/>
  <c r="AK227" i="3"/>
  <c r="AG227" i="3"/>
  <c r="AI227" i="3"/>
  <c r="AH227" i="3"/>
  <c r="AF227" i="3"/>
  <c r="AA227" i="3"/>
  <c r="AD227" i="3"/>
  <c r="AC227" i="3"/>
  <c r="AE227" i="3"/>
  <c r="AB227" i="3"/>
  <c r="Z227" i="3"/>
  <c r="X227" i="3"/>
  <c r="Y227" i="3"/>
  <c r="V227" i="3"/>
  <c r="W227" i="3"/>
  <c r="U227" i="3"/>
  <c r="T227" i="3"/>
  <c r="S227" i="3"/>
  <c r="Q227" i="3"/>
  <c r="R227" i="3"/>
  <c r="O227" i="3"/>
  <c r="P227" i="3"/>
  <c r="N227" i="3"/>
  <c r="I227" i="3"/>
  <c r="K227" i="3"/>
  <c r="M227" i="3"/>
  <c r="L227" i="3"/>
  <c r="AP227" i="3"/>
  <c r="AO227" i="3"/>
  <c r="J227" i="3"/>
  <c r="G228" i="3"/>
  <c r="I229" i="1"/>
  <c r="J228" i="1"/>
  <c r="V228" i="1"/>
  <c r="Y228" i="1"/>
  <c r="Z228" i="1" s="1"/>
  <c r="G228" i="2"/>
  <c r="N228" i="1"/>
  <c r="R228" i="1"/>
  <c r="O228" i="1"/>
  <c r="S228" i="1"/>
  <c r="W228" i="1" s="1"/>
  <c r="G229" i="3" l="1"/>
  <c r="I230" i="1"/>
  <c r="V229" i="1"/>
  <c r="J229" i="1"/>
  <c r="G229" i="2"/>
  <c r="Y229" i="1"/>
  <c r="Z229" i="1" s="1"/>
  <c r="S229" i="1"/>
  <c r="W229" i="1" s="1"/>
  <c r="N229" i="1"/>
  <c r="O229" i="1"/>
  <c r="R229" i="1"/>
  <c r="H228" i="3"/>
  <c r="AR228" i="3"/>
  <c r="AQ228" i="3"/>
  <c r="AN228" i="3"/>
  <c r="AL228" i="3"/>
  <c r="AM228" i="3"/>
  <c r="AK228" i="3"/>
  <c r="AJ228" i="3"/>
  <c r="AG228" i="3"/>
  <c r="AI228" i="3"/>
  <c r="AH228" i="3"/>
  <c r="AF228" i="3"/>
  <c r="AD228" i="3"/>
  <c r="AC228" i="3"/>
  <c r="AE228" i="3"/>
  <c r="AB228" i="3"/>
  <c r="AA228" i="3"/>
  <c r="Z228" i="3"/>
  <c r="Y228" i="3"/>
  <c r="V228" i="3"/>
  <c r="X228" i="3"/>
  <c r="W228" i="3"/>
  <c r="S228" i="3"/>
  <c r="U228" i="3"/>
  <c r="T228" i="3"/>
  <c r="O228" i="3"/>
  <c r="R228" i="3"/>
  <c r="N228" i="3"/>
  <c r="Q228" i="3"/>
  <c r="P228" i="3"/>
  <c r="M228" i="3"/>
  <c r="L228" i="3"/>
  <c r="AP228" i="3"/>
  <c r="AO228" i="3"/>
  <c r="K228" i="3"/>
  <c r="J228" i="3"/>
  <c r="I228" i="3"/>
  <c r="L228" i="1"/>
  <c r="P228" i="1" s="1"/>
  <c r="AA228" i="1"/>
  <c r="H228" i="2"/>
  <c r="AR228" i="2"/>
  <c r="AQ228" i="2"/>
  <c r="AN228" i="2"/>
  <c r="AM228" i="2"/>
  <c r="AJ228" i="2"/>
  <c r="AL228" i="2"/>
  <c r="AK228" i="2"/>
  <c r="AH228" i="2"/>
  <c r="AF228" i="2"/>
  <c r="AI228" i="2"/>
  <c r="AG228" i="2"/>
  <c r="AE228" i="2"/>
  <c r="AB228" i="2"/>
  <c r="AD228" i="2"/>
  <c r="AA228" i="2"/>
  <c r="AC228" i="2"/>
  <c r="Y228" i="2"/>
  <c r="Z228" i="2"/>
  <c r="X228" i="2"/>
  <c r="W228" i="2"/>
  <c r="V228" i="2"/>
  <c r="U228" i="2"/>
  <c r="S228" i="2"/>
  <c r="T228" i="2"/>
  <c r="P228" i="2"/>
  <c r="R228" i="2"/>
  <c r="N228" i="2"/>
  <c r="Q228" i="2"/>
  <c r="O228" i="2"/>
  <c r="J228" i="2"/>
  <c r="L228" i="2"/>
  <c r="M228" i="2"/>
  <c r="K228" i="2"/>
  <c r="I228" i="2"/>
  <c r="AO228" i="2"/>
  <c r="AP228" i="2"/>
  <c r="H229" i="2" l="1"/>
  <c r="AQ229" i="2"/>
  <c r="AR229" i="2"/>
  <c r="AN229" i="2"/>
  <c r="AK229" i="2"/>
  <c r="AM229" i="2"/>
  <c r="AL229" i="2"/>
  <c r="AH229" i="2"/>
  <c r="AJ229" i="2"/>
  <c r="AI229" i="2"/>
  <c r="AG229" i="2"/>
  <c r="AF229" i="2"/>
  <c r="AE229" i="2"/>
  <c r="AB229" i="2"/>
  <c r="AD229" i="2"/>
  <c r="AA229" i="2"/>
  <c r="AC229" i="2"/>
  <c r="Z229" i="2"/>
  <c r="Y229" i="2"/>
  <c r="W229" i="2"/>
  <c r="X229" i="2"/>
  <c r="V229" i="2"/>
  <c r="U229" i="2"/>
  <c r="T229" i="2"/>
  <c r="R229" i="2"/>
  <c r="S229" i="2"/>
  <c r="Q229" i="2"/>
  <c r="P229" i="2"/>
  <c r="O229" i="2"/>
  <c r="N229" i="2"/>
  <c r="L229" i="2"/>
  <c r="M229" i="2"/>
  <c r="I229" i="2"/>
  <c r="K229" i="2"/>
  <c r="AO229" i="2"/>
  <c r="J229" i="2"/>
  <c r="AP229" i="2"/>
  <c r="L229" i="1"/>
  <c r="P229" i="1" s="1"/>
  <c r="AA229" i="1"/>
  <c r="G230" i="3"/>
  <c r="I231" i="1"/>
  <c r="V230" i="1"/>
  <c r="J230" i="1"/>
  <c r="G230" i="2"/>
  <c r="Y230" i="1"/>
  <c r="Z230" i="1" s="1"/>
  <c r="S230" i="1"/>
  <c r="N230" i="1"/>
  <c r="R230" i="1"/>
  <c r="O230" i="1"/>
  <c r="H229" i="3"/>
  <c r="AQ229" i="3"/>
  <c r="AR229" i="3"/>
  <c r="AN229" i="3"/>
  <c r="AL229" i="3"/>
  <c r="AM229" i="3"/>
  <c r="AK229" i="3"/>
  <c r="AJ229" i="3"/>
  <c r="AG229" i="3"/>
  <c r="AI229" i="3"/>
  <c r="AH229" i="3"/>
  <c r="AF229" i="3"/>
  <c r="AB229" i="3"/>
  <c r="AD229" i="3"/>
  <c r="AC229" i="3"/>
  <c r="AE229" i="3"/>
  <c r="AA229" i="3"/>
  <c r="Y229" i="3"/>
  <c r="Z229" i="3"/>
  <c r="V229" i="3"/>
  <c r="X229" i="3"/>
  <c r="W229" i="3"/>
  <c r="S229" i="3"/>
  <c r="U229" i="3"/>
  <c r="T229" i="3"/>
  <c r="R229" i="3"/>
  <c r="Q229" i="3"/>
  <c r="P229" i="3"/>
  <c r="N229" i="3"/>
  <c r="O229" i="3"/>
  <c r="L229" i="3"/>
  <c r="I229" i="3"/>
  <c r="K229" i="3"/>
  <c r="M229" i="3"/>
  <c r="J229" i="3"/>
  <c r="AP229" i="3"/>
  <c r="AO229" i="3"/>
  <c r="L230" i="1" l="1"/>
  <c r="P230" i="1" s="1"/>
  <c r="AA230" i="1"/>
  <c r="W230" i="1"/>
  <c r="H230" i="2"/>
  <c r="AR230" i="2"/>
  <c r="AQ230" i="2"/>
  <c r="AL230" i="2"/>
  <c r="AM230" i="2"/>
  <c r="AK230" i="2"/>
  <c r="AN230" i="2"/>
  <c r="AH230" i="2"/>
  <c r="AJ230" i="2"/>
  <c r="AI230" i="2"/>
  <c r="AG230" i="2"/>
  <c r="AF230" i="2"/>
  <c r="AE230" i="2"/>
  <c r="AD230" i="2"/>
  <c r="AC230" i="2"/>
  <c r="AB230" i="2"/>
  <c r="AA230" i="2"/>
  <c r="Z230" i="2"/>
  <c r="Y230" i="2"/>
  <c r="X230" i="2"/>
  <c r="W230" i="2"/>
  <c r="U230" i="2"/>
  <c r="T230" i="2"/>
  <c r="V230" i="2"/>
  <c r="P230" i="2"/>
  <c r="R230" i="2"/>
  <c r="S230" i="2"/>
  <c r="O230" i="2"/>
  <c r="Q230" i="2"/>
  <c r="J230" i="2"/>
  <c r="N230" i="2"/>
  <c r="M230" i="2"/>
  <c r="I230" i="2"/>
  <c r="K230" i="2"/>
  <c r="AO230" i="2"/>
  <c r="L230" i="2"/>
  <c r="AP230" i="2"/>
  <c r="I232" i="1"/>
  <c r="G231" i="3"/>
  <c r="J231" i="1"/>
  <c r="V231" i="1"/>
  <c r="Y231" i="1"/>
  <c r="Z231" i="1" s="1"/>
  <c r="G231" i="2"/>
  <c r="O231" i="1"/>
  <c r="R231" i="1"/>
  <c r="S231" i="1"/>
  <c r="N231" i="1"/>
  <c r="H230" i="3"/>
  <c r="AQ230" i="3"/>
  <c r="AR230" i="3"/>
  <c r="AN230" i="3"/>
  <c r="AM230" i="3"/>
  <c r="AL230" i="3"/>
  <c r="AK230" i="3"/>
  <c r="AJ230" i="3"/>
  <c r="AI230" i="3"/>
  <c r="AH230" i="3"/>
  <c r="AF230" i="3"/>
  <c r="AG230" i="3"/>
  <c r="AB230" i="3"/>
  <c r="AD230" i="3"/>
  <c r="AE230" i="3"/>
  <c r="AA230" i="3"/>
  <c r="AC230" i="3"/>
  <c r="Y230" i="3"/>
  <c r="Z230" i="3"/>
  <c r="W230" i="3"/>
  <c r="V230" i="3"/>
  <c r="X230" i="3"/>
  <c r="S230" i="3"/>
  <c r="U230" i="3"/>
  <c r="P230" i="3"/>
  <c r="R230" i="3"/>
  <c r="T230" i="3"/>
  <c r="Q230" i="3"/>
  <c r="L230" i="3"/>
  <c r="N230" i="3"/>
  <c r="O230" i="3"/>
  <c r="J230" i="3"/>
  <c r="K230" i="3"/>
  <c r="M230" i="3"/>
  <c r="AP230" i="3"/>
  <c r="AO230" i="3"/>
  <c r="I230" i="3"/>
  <c r="H231" i="2" l="1"/>
  <c r="AR231" i="2"/>
  <c r="AQ231" i="2"/>
  <c r="AM231" i="2"/>
  <c r="AL231" i="2"/>
  <c r="AK231" i="2"/>
  <c r="AN231" i="2"/>
  <c r="AI231" i="2"/>
  <c r="AJ231" i="2"/>
  <c r="AH231" i="2"/>
  <c r="AG231" i="2"/>
  <c r="AD231" i="2"/>
  <c r="AF231" i="2"/>
  <c r="AC231" i="2"/>
  <c r="AE231" i="2"/>
  <c r="AB231" i="2"/>
  <c r="AA231" i="2"/>
  <c r="Z231" i="2"/>
  <c r="U231" i="2"/>
  <c r="X231" i="2"/>
  <c r="W231" i="2"/>
  <c r="Y231" i="2"/>
  <c r="T231" i="2"/>
  <c r="V231" i="2"/>
  <c r="R231" i="2"/>
  <c r="S231" i="2"/>
  <c r="Q231" i="2"/>
  <c r="O231" i="2"/>
  <c r="P231" i="2"/>
  <c r="M231" i="2"/>
  <c r="N231" i="2"/>
  <c r="L231" i="2"/>
  <c r="K231" i="2"/>
  <c r="I231" i="2"/>
  <c r="J231" i="2"/>
  <c r="AP231" i="2"/>
  <c r="AO231" i="2"/>
  <c r="L231" i="1"/>
  <c r="P231" i="1" s="1"/>
  <c r="AA231" i="1"/>
  <c r="G232" i="3"/>
  <c r="I233" i="1"/>
  <c r="V232" i="1"/>
  <c r="J232" i="1"/>
  <c r="G232" i="2"/>
  <c r="Y232" i="1"/>
  <c r="Z232" i="1" s="1"/>
  <c r="S232" i="1"/>
  <c r="W232" i="1" s="1"/>
  <c r="R232" i="1"/>
  <c r="N232" i="1"/>
  <c r="O232" i="1"/>
  <c r="H231" i="3"/>
  <c r="AR231" i="3"/>
  <c r="AQ231" i="3"/>
  <c r="AN231" i="3"/>
  <c r="AM231" i="3"/>
  <c r="AL231" i="3"/>
  <c r="AK231" i="3"/>
  <c r="AJ231" i="3"/>
  <c r="AH231" i="3"/>
  <c r="AI231" i="3"/>
  <c r="AG231" i="3"/>
  <c r="AF231" i="3"/>
  <c r="AB231" i="3"/>
  <c r="AD231" i="3"/>
  <c r="AC231" i="3"/>
  <c r="AE231" i="3"/>
  <c r="AA231" i="3"/>
  <c r="W231" i="3"/>
  <c r="Y231" i="3"/>
  <c r="Z231" i="3"/>
  <c r="X231" i="3"/>
  <c r="V231" i="3"/>
  <c r="U231" i="3"/>
  <c r="T231" i="3"/>
  <c r="P231" i="3"/>
  <c r="S231" i="3"/>
  <c r="R231" i="3"/>
  <c r="Q231" i="3"/>
  <c r="O231" i="3"/>
  <c r="J231" i="3"/>
  <c r="N231" i="3"/>
  <c r="K231" i="3"/>
  <c r="M231" i="3"/>
  <c r="L231" i="3"/>
  <c r="AO231" i="3"/>
  <c r="I231" i="3"/>
  <c r="AP231" i="3"/>
  <c r="W231" i="1"/>
  <c r="H232" i="2" l="1"/>
  <c r="AR232" i="2"/>
  <c r="AN232" i="2"/>
  <c r="AM232" i="2"/>
  <c r="AQ232" i="2"/>
  <c r="AI232" i="2"/>
  <c r="AK232" i="2"/>
  <c r="AL232" i="2"/>
  <c r="AJ232" i="2"/>
  <c r="AG232" i="2"/>
  <c r="AH232" i="2"/>
  <c r="AF232" i="2"/>
  <c r="AC232" i="2"/>
  <c r="AE232" i="2"/>
  <c r="AD232" i="2"/>
  <c r="AB232" i="2"/>
  <c r="Z232" i="2"/>
  <c r="Y232" i="2"/>
  <c r="AA232" i="2"/>
  <c r="X232" i="2"/>
  <c r="U232" i="2"/>
  <c r="W232" i="2"/>
  <c r="R232" i="2"/>
  <c r="T232" i="2"/>
  <c r="V232" i="2"/>
  <c r="S232" i="2"/>
  <c r="Q232" i="2"/>
  <c r="M232" i="2"/>
  <c r="O232" i="2"/>
  <c r="P232" i="2"/>
  <c r="K232" i="2"/>
  <c r="N232" i="2"/>
  <c r="L232" i="2"/>
  <c r="AP232" i="2"/>
  <c r="I232" i="2"/>
  <c r="J232" i="2"/>
  <c r="AO232" i="2"/>
  <c r="L232" i="1"/>
  <c r="P232" i="1" s="1"/>
  <c r="AA232" i="1"/>
  <c r="G233" i="3"/>
  <c r="I234" i="1"/>
  <c r="J233" i="1"/>
  <c r="V233" i="1"/>
  <c r="G233" i="2"/>
  <c r="Y233" i="1"/>
  <c r="Z233" i="1" s="1"/>
  <c r="O233" i="1"/>
  <c r="N233" i="1"/>
  <c r="R233" i="1"/>
  <c r="S233" i="1"/>
  <c r="H232" i="3"/>
  <c r="AR232" i="3"/>
  <c r="AQ232" i="3"/>
  <c r="AN232" i="3"/>
  <c r="AL232" i="3"/>
  <c r="AM232" i="3"/>
  <c r="AK232" i="3"/>
  <c r="AJ232" i="3"/>
  <c r="AH232" i="3"/>
  <c r="AI232" i="3"/>
  <c r="AG232" i="3"/>
  <c r="AF232" i="3"/>
  <c r="AD232" i="3"/>
  <c r="AE232" i="3"/>
  <c r="AC232" i="3"/>
  <c r="AB232" i="3"/>
  <c r="AA232" i="3"/>
  <c r="Y232" i="3"/>
  <c r="Z232" i="3"/>
  <c r="V232" i="3"/>
  <c r="W232" i="3"/>
  <c r="X232" i="3"/>
  <c r="U232" i="3"/>
  <c r="T232" i="3"/>
  <c r="P232" i="3"/>
  <c r="S232" i="3"/>
  <c r="R232" i="3"/>
  <c r="L232" i="3"/>
  <c r="Q232" i="3"/>
  <c r="O232" i="3"/>
  <c r="J232" i="3"/>
  <c r="N232" i="3"/>
  <c r="M232" i="3"/>
  <c r="I232" i="3"/>
  <c r="AO232" i="3"/>
  <c r="AP232" i="3"/>
  <c r="K232" i="3"/>
  <c r="H233" i="2" l="1"/>
  <c r="AR233" i="2"/>
  <c r="AN233" i="2"/>
  <c r="AQ233" i="2"/>
  <c r="AM233" i="2"/>
  <c r="AL233" i="2"/>
  <c r="AK233" i="2"/>
  <c r="AI233" i="2"/>
  <c r="AJ233" i="2"/>
  <c r="AH233" i="2"/>
  <c r="AG233" i="2"/>
  <c r="AF233" i="2"/>
  <c r="AD233" i="2"/>
  <c r="AC233" i="2"/>
  <c r="AE233" i="2"/>
  <c r="AB233" i="2"/>
  <c r="AA233" i="2"/>
  <c r="X233" i="2"/>
  <c r="Z233" i="2"/>
  <c r="Y233" i="2"/>
  <c r="T233" i="2"/>
  <c r="U233" i="2"/>
  <c r="W233" i="2"/>
  <c r="V233" i="2"/>
  <c r="S233" i="2"/>
  <c r="Q233" i="2"/>
  <c r="R233" i="2"/>
  <c r="O233" i="2"/>
  <c r="P233" i="2"/>
  <c r="K233" i="2"/>
  <c r="N233" i="2"/>
  <c r="L233" i="2"/>
  <c r="M233" i="2"/>
  <c r="J233" i="2"/>
  <c r="AP233" i="2"/>
  <c r="I233" i="2"/>
  <c r="AO233" i="2"/>
  <c r="L233" i="1"/>
  <c r="P233" i="1" s="1"/>
  <c r="AA233" i="1"/>
  <c r="I235" i="1"/>
  <c r="G234" i="3"/>
  <c r="V234" i="1"/>
  <c r="J234" i="1"/>
  <c r="G234" i="2"/>
  <c r="Y234" i="1"/>
  <c r="Z234" i="1" s="1"/>
  <c r="S234" i="1"/>
  <c r="W234" i="1" s="1"/>
  <c r="N234" i="1"/>
  <c r="R234" i="1"/>
  <c r="O234" i="1"/>
  <c r="H233" i="3"/>
  <c r="AR233" i="3"/>
  <c r="AQ233" i="3"/>
  <c r="AN233" i="3"/>
  <c r="AM233" i="3"/>
  <c r="AL233" i="3"/>
  <c r="AK233" i="3"/>
  <c r="AI233" i="3"/>
  <c r="AJ233" i="3"/>
  <c r="AH233" i="3"/>
  <c r="AG233" i="3"/>
  <c r="AD233" i="3"/>
  <c r="AF233" i="3"/>
  <c r="AE233" i="3"/>
  <c r="AC233" i="3"/>
  <c r="AB233" i="3"/>
  <c r="AA233" i="3"/>
  <c r="W233" i="3"/>
  <c r="Z233" i="3"/>
  <c r="U233" i="3"/>
  <c r="Y233" i="3"/>
  <c r="X233" i="3"/>
  <c r="T233" i="3"/>
  <c r="V233" i="3"/>
  <c r="S233" i="3"/>
  <c r="R233" i="3"/>
  <c r="Q233" i="3"/>
  <c r="O233" i="3"/>
  <c r="P233" i="3"/>
  <c r="M233" i="3"/>
  <c r="N233" i="3"/>
  <c r="L233" i="3"/>
  <c r="K233" i="3"/>
  <c r="I233" i="3"/>
  <c r="AO233" i="3"/>
  <c r="AP233" i="3"/>
  <c r="J233" i="3"/>
  <c r="W233" i="1"/>
  <c r="H234" i="2" l="1"/>
  <c r="AR234" i="2"/>
  <c r="AN234" i="2"/>
  <c r="AQ234" i="2"/>
  <c r="AM234" i="2"/>
  <c r="AL234" i="2"/>
  <c r="AI234" i="2"/>
  <c r="AK234" i="2"/>
  <c r="AJ234" i="2"/>
  <c r="AH234" i="2"/>
  <c r="AG234" i="2"/>
  <c r="AF234" i="2"/>
  <c r="AE234" i="2"/>
  <c r="AD234" i="2"/>
  <c r="Z234" i="2"/>
  <c r="AC234" i="2"/>
  <c r="AB234" i="2"/>
  <c r="AA234" i="2"/>
  <c r="X234" i="2"/>
  <c r="Y234" i="2"/>
  <c r="W234" i="2"/>
  <c r="V234" i="2"/>
  <c r="U234" i="2"/>
  <c r="T234" i="2"/>
  <c r="S234" i="2"/>
  <c r="Q234" i="2"/>
  <c r="R234" i="2"/>
  <c r="M234" i="2"/>
  <c r="P234" i="2"/>
  <c r="K234" i="2"/>
  <c r="N234" i="2"/>
  <c r="L234" i="2"/>
  <c r="O234" i="2"/>
  <c r="I234" i="2"/>
  <c r="AO234" i="2"/>
  <c r="J234" i="2"/>
  <c r="AP234" i="2"/>
  <c r="L234" i="1"/>
  <c r="P234" i="1" s="1"/>
  <c r="AA234" i="1"/>
  <c r="H234" i="3"/>
  <c r="AR234" i="3"/>
  <c r="AN234" i="3"/>
  <c r="AM234" i="3"/>
  <c r="AQ234" i="3"/>
  <c r="AL234" i="3"/>
  <c r="AI234" i="3"/>
  <c r="AK234" i="3"/>
  <c r="AJ234" i="3"/>
  <c r="AE234" i="3"/>
  <c r="AH234" i="3"/>
  <c r="AG234" i="3"/>
  <c r="AD234" i="3"/>
  <c r="AF234" i="3"/>
  <c r="AC234" i="3"/>
  <c r="AA234" i="3"/>
  <c r="AB234" i="3"/>
  <c r="Z234" i="3"/>
  <c r="Y234" i="3"/>
  <c r="X234" i="3"/>
  <c r="U234" i="3"/>
  <c r="W234" i="3"/>
  <c r="R234" i="3"/>
  <c r="T234" i="3"/>
  <c r="V234" i="3"/>
  <c r="Q234" i="3"/>
  <c r="S234" i="3"/>
  <c r="P234" i="3"/>
  <c r="M234" i="3"/>
  <c r="O234" i="3"/>
  <c r="N234" i="3"/>
  <c r="L234" i="3"/>
  <c r="K234" i="3"/>
  <c r="J234" i="3"/>
  <c r="I234" i="3"/>
  <c r="AO234" i="3"/>
  <c r="AP234" i="3"/>
  <c r="G235" i="3"/>
  <c r="I236" i="1"/>
  <c r="V235" i="1"/>
  <c r="G235" i="2"/>
  <c r="J235" i="1"/>
  <c r="Y235" i="1"/>
  <c r="Z235" i="1" s="1"/>
  <c r="S235" i="1"/>
  <c r="W235" i="1" s="1"/>
  <c r="N235" i="1"/>
  <c r="O235" i="1"/>
  <c r="R235" i="1"/>
  <c r="G236" i="3" l="1"/>
  <c r="I237" i="1"/>
  <c r="J236" i="1"/>
  <c r="V236" i="1"/>
  <c r="G236" i="2"/>
  <c r="Y236" i="1"/>
  <c r="Z236" i="1" s="1"/>
  <c r="R236" i="1"/>
  <c r="O236" i="1"/>
  <c r="S236" i="1"/>
  <c r="W236" i="1" s="1"/>
  <c r="N236" i="1"/>
  <c r="H235" i="3"/>
  <c r="AR235" i="3"/>
  <c r="AN235" i="3"/>
  <c r="AM235" i="3"/>
  <c r="AQ235" i="3"/>
  <c r="AL235" i="3"/>
  <c r="AI235" i="3"/>
  <c r="AK235" i="3"/>
  <c r="AJ235" i="3"/>
  <c r="AH235" i="3"/>
  <c r="AE235" i="3"/>
  <c r="AD235" i="3"/>
  <c r="AF235" i="3"/>
  <c r="AG235" i="3"/>
  <c r="AA235" i="3"/>
  <c r="AC235" i="3"/>
  <c r="AB235" i="3"/>
  <c r="X235" i="3"/>
  <c r="Y235" i="3"/>
  <c r="Z235" i="3"/>
  <c r="U235" i="3"/>
  <c r="W235" i="3"/>
  <c r="R235" i="3"/>
  <c r="T235" i="3"/>
  <c r="V235" i="3"/>
  <c r="Q235" i="3"/>
  <c r="S235" i="3"/>
  <c r="P235" i="3"/>
  <c r="O235" i="3"/>
  <c r="M235" i="3"/>
  <c r="N235" i="3"/>
  <c r="L235" i="3"/>
  <c r="K235" i="3"/>
  <c r="J235" i="3"/>
  <c r="I235" i="3"/>
  <c r="AO235" i="3"/>
  <c r="AP235" i="3"/>
  <c r="H235" i="2"/>
  <c r="AR235" i="2"/>
  <c r="AQ235" i="2"/>
  <c r="AN235" i="2"/>
  <c r="AM235" i="2"/>
  <c r="AL235" i="2"/>
  <c r="AK235" i="2"/>
  <c r="AJ235" i="2"/>
  <c r="AI235" i="2"/>
  <c r="AF235" i="2"/>
  <c r="AE235" i="2"/>
  <c r="AG235" i="2"/>
  <c r="AH235" i="2"/>
  <c r="AD235" i="2"/>
  <c r="AC235" i="2"/>
  <c r="AB235" i="2"/>
  <c r="AA235" i="2"/>
  <c r="X235" i="2"/>
  <c r="Z235" i="2"/>
  <c r="V235" i="2"/>
  <c r="Y235" i="2"/>
  <c r="W235" i="2"/>
  <c r="U235" i="2"/>
  <c r="S235" i="2"/>
  <c r="R235" i="2"/>
  <c r="T235" i="2"/>
  <c r="P235" i="2"/>
  <c r="Q235" i="2"/>
  <c r="N235" i="2"/>
  <c r="O235" i="2"/>
  <c r="M235" i="2"/>
  <c r="L235" i="2"/>
  <c r="AO235" i="2"/>
  <c r="J235" i="2"/>
  <c r="K235" i="2"/>
  <c r="I235" i="2"/>
  <c r="AP235" i="2"/>
  <c r="L235" i="1"/>
  <c r="P235" i="1" s="1"/>
  <c r="AA235" i="1"/>
  <c r="H236" i="2" l="1"/>
  <c r="AR236" i="2"/>
  <c r="AQ236" i="2"/>
  <c r="AM236" i="2"/>
  <c r="AN236" i="2"/>
  <c r="AL236" i="2"/>
  <c r="AK236" i="2"/>
  <c r="AJ236" i="2"/>
  <c r="AI236" i="2"/>
  <c r="AF236" i="2"/>
  <c r="AH236" i="2"/>
  <c r="AE236" i="2"/>
  <c r="AG236" i="2"/>
  <c r="AD236" i="2"/>
  <c r="AB236" i="2"/>
  <c r="AC236" i="2"/>
  <c r="AA236" i="2"/>
  <c r="Z236" i="2"/>
  <c r="Y236" i="2"/>
  <c r="V236" i="2"/>
  <c r="X236" i="2"/>
  <c r="W236" i="2"/>
  <c r="S236" i="2"/>
  <c r="U236" i="2"/>
  <c r="R236" i="2"/>
  <c r="T236" i="2"/>
  <c r="N236" i="2"/>
  <c r="P236" i="2"/>
  <c r="Q236" i="2"/>
  <c r="L236" i="2"/>
  <c r="O236" i="2"/>
  <c r="M236" i="2"/>
  <c r="AO236" i="2"/>
  <c r="J236" i="2"/>
  <c r="K236" i="2"/>
  <c r="I236" i="2"/>
  <c r="AP236" i="2"/>
  <c r="L236" i="1"/>
  <c r="P236" i="1" s="1"/>
  <c r="AA236" i="1"/>
  <c r="G237" i="3"/>
  <c r="I238" i="1"/>
  <c r="V237" i="1"/>
  <c r="J237" i="1"/>
  <c r="G237" i="2"/>
  <c r="Y237" i="1"/>
  <c r="Z237" i="1" s="1"/>
  <c r="S237" i="1"/>
  <c r="W237" i="1" s="1"/>
  <c r="N237" i="1"/>
  <c r="O237" i="1"/>
  <c r="R237" i="1"/>
  <c r="H236" i="3"/>
  <c r="AR236" i="3"/>
  <c r="AN236" i="3"/>
  <c r="AM236" i="3"/>
  <c r="AQ236" i="3"/>
  <c r="AI236" i="3"/>
  <c r="AL236" i="3"/>
  <c r="AK236" i="3"/>
  <c r="AJ236" i="3"/>
  <c r="AG236" i="3"/>
  <c r="AH236" i="3"/>
  <c r="AE236" i="3"/>
  <c r="AF236" i="3"/>
  <c r="AC236" i="3"/>
  <c r="AD236" i="3"/>
  <c r="Z236" i="3"/>
  <c r="AB236" i="3"/>
  <c r="X236" i="3"/>
  <c r="AA236" i="3"/>
  <c r="Y236" i="3"/>
  <c r="W236" i="3"/>
  <c r="V236" i="3"/>
  <c r="U236" i="3"/>
  <c r="R236" i="3"/>
  <c r="T236" i="3"/>
  <c r="O236" i="3"/>
  <c r="Q236" i="3"/>
  <c r="S236" i="3"/>
  <c r="P236" i="3"/>
  <c r="M236" i="3"/>
  <c r="N236" i="3"/>
  <c r="L236" i="3"/>
  <c r="K236" i="3"/>
  <c r="I236" i="3"/>
  <c r="J236" i="3"/>
  <c r="AO236" i="3"/>
  <c r="AP236" i="3"/>
  <c r="H237" i="2" l="1"/>
  <c r="AR237" i="2"/>
  <c r="AQ237" i="2"/>
  <c r="AN237" i="2"/>
  <c r="AM237" i="2"/>
  <c r="AL237" i="2"/>
  <c r="AK237" i="2"/>
  <c r="AJ237" i="2"/>
  <c r="AF237" i="2"/>
  <c r="AI237" i="2"/>
  <c r="AH237" i="2"/>
  <c r="AE237" i="2"/>
  <c r="AG237" i="2"/>
  <c r="AB237" i="2"/>
  <c r="AD237" i="2"/>
  <c r="AC237" i="2"/>
  <c r="AA237" i="2"/>
  <c r="Y237" i="2"/>
  <c r="Z237" i="2"/>
  <c r="V237" i="2"/>
  <c r="X237" i="2"/>
  <c r="W237" i="2"/>
  <c r="S237" i="2"/>
  <c r="U237" i="2"/>
  <c r="R237" i="2"/>
  <c r="T237" i="2"/>
  <c r="P237" i="2"/>
  <c r="N237" i="2"/>
  <c r="O237" i="2"/>
  <c r="Q237" i="2"/>
  <c r="L237" i="2"/>
  <c r="M237" i="2"/>
  <c r="I237" i="2"/>
  <c r="J237" i="2"/>
  <c r="AO237" i="2"/>
  <c r="K237" i="2"/>
  <c r="AP237" i="2"/>
  <c r="L237" i="1"/>
  <c r="P237" i="1" s="1"/>
  <c r="AA237" i="1"/>
  <c r="I239" i="1"/>
  <c r="G238" i="3"/>
  <c r="J238" i="1"/>
  <c r="V238" i="1"/>
  <c r="Y238" i="1"/>
  <c r="Z238" i="1" s="1"/>
  <c r="G238" i="2"/>
  <c r="R238" i="1"/>
  <c r="N238" i="1"/>
  <c r="O238" i="1"/>
  <c r="S238" i="1"/>
  <c r="H237" i="3"/>
  <c r="AN237" i="3"/>
  <c r="AR237" i="3"/>
  <c r="AQ237" i="3"/>
  <c r="AM237" i="3"/>
  <c r="AJ237" i="3"/>
  <c r="AL237" i="3"/>
  <c r="AK237" i="3"/>
  <c r="AG237" i="3"/>
  <c r="AI237" i="3"/>
  <c r="AH237" i="3"/>
  <c r="AF237" i="3"/>
  <c r="AE237" i="3"/>
  <c r="AA237" i="3"/>
  <c r="AC237" i="3"/>
  <c r="AD237" i="3"/>
  <c r="AB237" i="3"/>
  <c r="X237" i="3"/>
  <c r="Z237" i="3"/>
  <c r="Y237" i="3"/>
  <c r="V237" i="3"/>
  <c r="W237" i="3"/>
  <c r="U237" i="3"/>
  <c r="T237" i="3"/>
  <c r="S237" i="3"/>
  <c r="Q237" i="3"/>
  <c r="R237" i="3"/>
  <c r="P237" i="3"/>
  <c r="O237" i="3"/>
  <c r="N237" i="3"/>
  <c r="I237" i="3"/>
  <c r="M237" i="3"/>
  <c r="L237" i="3"/>
  <c r="K237" i="3"/>
  <c r="AO237" i="3"/>
  <c r="AP237" i="3"/>
  <c r="J237" i="3"/>
  <c r="H238" i="2" l="1"/>
  <c r="AR238" i="2"/>
  <c r="AQ238" i="2"/>
  <c r="AN238" i="2"/>
  <c r="AM238" i="2"/>
  <c r="AL238" i="2"/>
  <c r="AK238" i="2"/>
  <c r="AJ238" i="2"/>
  <c r="AH238" i="2"/>
  <c r="AF238" i="2"/>
  <c r="AI238" i="2"/>
  <c r="AG238" i="2"/>
  <c r="AD238" i="2"/>
  <c r="AB238" i="2"/>
  <c r="AE238" i="2"/>
  <c r="AC238" i="2"/>
  <c r="AA238" i="2"/>
  <c r="Y238" i="2"/>
  <c r="Z238" i="2"/>
  <c r="X238" i="2"/>
  <c r="W238" i="2"/>
  <c r="S238" i="2"/>
  <c r="V238" i="2"/>
  <c r="U238" i="2"/>
  <c r="P238" i="2"/>
  <c r="R238" i="2"/>
  <c r="T238" i="2"/>
  <c r="Q238" i="2"/>
  <c r="N238" i="2"/>
  <c r="O238" i="2"/>
  <c r="J238" i="2"/>
  <c r="L238" i="2"/>
  <c r="M238" i="2"/>
  <c r="K238" i="2"/>
  <c r="I238" i="2"/>
  <c r="AP238" i="2"/>
  <c r="AO238" i="2"/>
  <c r="L238" i="1"/>
  <c r="P238" i="1" s="1"/>
  <c r="AA238" i="1"/>
  <c r="H238" i="3"/>
  <c r="AR238" i="3"/>
  <c r="AQ238" i="3"/>
  <c r="AN238" i="3"/>
  <c r="AM238" i="3"/>
  <c r="AL238" i="3"/>
  <c r="AK238" i="3"/>
  <c r="AG238" i="3"/>
  <c r="AJ238" i="3"/>
  <c r="AI238" i="3"/>
  <c r="AF238" i="3"/>
  <c r="AH238" i="3"/>
  <c r="AD238" i="3"/>
  <c r="AE238" i="3"/>
  <c r="AC238" i="3"/>
  <c r="AB238" i="3"/>
  <c r="AA238" i="3"/>
  <c r="Z238" i="3"/>
  <c r="Y238" i="3"/>
  <c r="X238" i="3"/>
  <c r="V238" i="3"/>
  <c r="W238" i="3"/>
  <c r="S238" i="3"/>
  <c r="U238" i="3"/>
  <c r="T238" i="3"/>
  <c r="O238" i="3"/>
  <c r="R238" i="3"/>
  <c r="N238" i="3"/>
  <c r="P238" i="3"/>
  <c r="Q238" i="3"/>
  <c r="M238" i="3"/>
  <c r="L238" i="3"/>
  <c r="AO238" i="3"/>
  <c r="AP238" i="3"/>
  <c r="J238" i="3"/>
  <c r="I238" i="3"/>
  <c r="K238" i="3"/>
  <c r="W238" i="1"/>
  <c r="G239" i="3"/>
  <c r="I240" i="1"/>
  <c r="V239" i="1"/>
  <c r="J239" i="1"/>
  <c r="G239" i="2"/>
  <c r="Y239" i="1"/>
  <c r="Z239" i="1" s="1"/>
  <c r="S239" i="1"/>
  <c r="W239" i="1" s="1"/>
  <c r="N239" i="1"/>
  <c r="O239" i="1"/>
  <c r="R239" i="1"/>
  <c r="H239" i="3" l="1"/>
  <c r="AQ239" i="3"/>
  <c r="AR239" i="3"/>
  <c r="AN239" i="3"/>
  <c r="AM239" i="3"/>
  <c r="AL239" i="3"/>
  <c r="AK239" i="3"/>
  <c r="AG239" i="3"/>
  <c r="AJ239" i="3"/>
  <c r="AI239" i="3"/>
  <c r="AF239" i="3"/>
  <c r="AH239" i="3"/>
  <c r="AB239" i="3"/>
  <c r="AD239" i="3"/>
  <c r="AE239" i="3"/>
  <c r="AC239" i="3"/>
  <c r="AA239" i="3"/>
  <c r="Z239" i="3"/>
  <c r="Y239" i="3"/>
  <c r="X239" i="3"/>
  <c r="V239" i="3"/>
  <c r="W239" i="3"/>
  <c r="S239" i="3"/>
  <c r="U239" i="3"/>
  <c r="T239" i="3"/>
  <c r="Q239" i="3"/>
  <c r="R239" i="3"/>
  <c r="P239" i="3"/>
  <c r="N239" i="3"/>
  <c r="O239" i="3"/>
  <c r="L239" i="3"/>
  <c r="I239" i="3"/>
  <c r="M239" i="3"/>
  <c r="K239" i="3"/>
  <c r="J239" i="3"/>
  <c r="AO239" i="3"/>
  <c r="AP239" i="3"/>
  <c r="H239" i="2"/>
  <c r="AQ239" i="2"/>
  <c r="AR239" i="2"/>
  <c r="AN239" i="2"/>
  <c r="AK239" i="2"/>
  <c r="AM239" i="2"/>
  <c r="AL239" i="2"/>
  <c r="AH239" i="2"/>
  <c r="AJ239" i="2"/>
  <c r="AI239" i="2"/>
  <c r="AG239" i="2"/>
  <c r="AF239" i="2"/>
  <c r="AD239" i="2"/>
  <c r="AB239" i="2"/>
  <c r="AE239" i="2"/>
  <c r="AC239" i="2"/>
  <c r="AA239" i="2"/>
  <c r="Y239" i="2"/>
  <c r="Z239" i="2"/>
  <c r="W239" i="2"/>
  <c r="X239" i="2"/>
  <c r="U239" i="2"/>
  <c r="V239" i="2"/>
  <c r="T239" i="2"/>
  <c r="S239" i="2"/>
  <c r="R239" i="2"/>
  <c r="Q239" i="2"/>
  <c r="P239" i="2"/>
  <c r="O239" i="2"/>
  <c r="L239" i="2"/>
  <c r="M239" i="2"/>
  <c r="N239" i="2"/>
  <c r="J239" i="2"/>
  <c r="AO239" i="2"/>
  <c r="K239" i="2"/>
  <c r="I239" i="2"/>
  <c r="AP239" i="2"/>
  <c r="L239" i="1"/>
  <c r="P239" i="1" s="1"/>
  <c r="AA239" i="1"/>
  <c r="G240" i="3"/>
  <c r="I241" i="1"/>
  <c r="V240" i="1"/>
  <c r="J240" i="1"/>
  <c r="G240" i="2"/>
  <c r="Y240" i="1"/>
  <c r="Z240" i="1" s="1"/>
  <c r="S240" i="1"/>
  <c r="W240" i="1" s="1"/>
  <c r="N240" i="1"/>
  <c r="R240" i="1"/>
  <c r="O240" i="1"/>
  <c r="I242" i="1" l="1"/>
  <c r="G241" i="3"/>
  <c r="J241" i="1"/>
  <c r="V241" i="1"/>
  <c r="Y241" i="1"/>
  <c r="Z241" i="1" s="1"/>
  <c r="G241" i="2"/>
  <c r="R241" i="1"/>
  <c r="S241" i="1"/>
  <c r="W241" i="1" s="1"/>
  <c r="N241" i="1"/>
  <c r="O241" i="1"/>
  <c r="H240" i="3"/>
  <c r="AR240" i="3"/>
  <c r="AQ240" i="3"/>
  <c r="AN240" i="3"/>
  <c r="AM240" i="3"/>
  <c r="AL240" i="3"/>
  <c r="AK240" i="3"/>
  <c r="AJ240" i="3"/>
  <c r="AI240" i="3"/>
  <c r="AH240" i="3"/>
  <c r="AF240" i="3"/>
  <c r="AG240" i="3"/>
  <c r="AB240" i="3"/>
  <c r="AD240" i="3"/>
  <c r="AE240" i="3"/>
  <c r="AA240" i="3"/>
  <c r="AC240" i="3"/>
  <c r="Z240" i="3"/>
  <c r="Y240" i="3"/>
  <c r="W240" i="3"/>
  <c r="X240" i="3"/>
  <c r="V240" i="3"/>
  <c r="S240" i="3"/>
  <c r="U240" i="3"/>
  <c r="P240" i="3"/>
  <c r="T240" i="3"/>
  <c r="Q240" i="3"/>
  <c r="R240" i="3"/>
  <c r="L240" i="3"/>
  <c r="N240" i="3"/>
  <c r="O240" i="3"/>
  <c r="J240" i="3"/>
  <c r="M240" i="3"/>
  <c r="K240" i="3"/>
  <c r="AO240" i="3"/>
  <c r="AP240" i="3"/>
  <c r="I240" i="3"/>
  <c r="H240" i="2"/>
  <c r="AR240" i="2"/>
  <c r="AQ240" i="2"/>
  <c r="AN240" i="2"/>
  <c r="AL240" i="2"/>
  <c r="AK240" i="2"/>
  <c r="AM240" i="2"/>
  <c r="AH240" i="2"/>
  <c r="AJ240" i="2"/>
  <c r="AG240" i="2"/>
  <c r="AI240" i="2"/>
  <c r="AF240" i="2"/>
  <c r="AD240" i="2"/>
  <c r="AE240" i="2"/>
  <c r="AC240" i="2"/>
  <c r="AA240" i="2"/>
  <c r="AB240" i="2"/>
  <c r="Y240" i="2"/>
  <c r="Z240" i="2"/>
  <c r="W240" i="2"/>
  <c r="X240" i="2"/>
  <c r="U240" i="2"/>
  <c r="V240" i="2"/>
  <c r="T240" i="2"/>
  <c r="P240" i="2"/>
  <c r="S240" i="2"/>
  <c r="R240" i="2"/>
  <c r="O240" i="2"/>
  <c r="Q240" i="2"/>
  <c r="J240" i="2"/>
  <c r="M240" i="2"/>
  <c r="N240" i="2"/>
  <c r="AO240" i="2"/>
  <c r="K240" i="2"/>
  <c r="L240" i="2"/>
  <c r="I240" i="2"/>
  <c r="AP240" i="2"/>
  <c r="L240" i="1"/>
  <c r="P240" i="1" s="1"/>
  <c r="AA240" i="1"/>
  <c r="H241" i="2" l="1"/>
  <c r="AR241" i="2"/>
  <c r="AN241" i="2"/>
  <c r="AQ241" i="2"/>
  <c r="AM241" i="2"/>
  <c r="AL241" i="2"/>
  <c r="AK241" i="2"/>
  <c r="AI241" i="2"/>
  <c r="AH241" i="2"/>
  <c r="AJ241" i="2"/>
  <c r="AG241" i="2"/>
  <c r="AD241" i="2"/>
  <c r="AF241" i="2"/>
  <c r="AC241" i="2"/>
  <c r="AE241" i="2"/>
  <c r="AB241" i="2"/>
  <c r="AA241" i="2"/>
  <c r="Z241" i="2"/>
  <c r="U241" i="2"/>
  <c r="W241" i="2"/>
  <c r="Y241" i="2"/>
  <c r="X241" i="2"/>
  <c r="V241" i="2"/>
  <c r="T241" i="2"/>
  <c r="S241" i="2"/>
  <c r="R241" i="2"/>
  <c r="Q241" i="2"/>
  <c r="O241" i="2"/>
  <c r="P241" i="2"/>
  <c r="M241" i="2"/>
  <c r="N241" i="2"/>
  <c r="L241" i="2"/>
  <c r="K241" i="2"/>
  <c r="I241" i="2"/>
  <c r="J241" i="2"/>
  <c r="AP241" i="2"/>
  <c r="AO241" i="2"/>
  <c r="L241" i="1"/>
  <c r="P241" i="1" s="1"/>
  <c r="AA241" i="1"/>
  <c r="H241" i="3"/>
  <c r="AR241" i="3"/>
  <c r="AQ241" i="3"/>
  <c r="AN241" i="3"/>
  <c r="AL241" i="3"/>
  <c r="AK241" i="3"/>
  <c r="AM241" i="3"/>
  <c r="AJ241" i="3"/>
  <c r="AH241" i="3"/>
  <c r="AI241" i="3"/>
  <c r="AG241" i="3"/>
  <c r="AF241" i="3"/>
  <c r="AB241" i="3"/>
  <c r="AD241" i="3"/>
  <c r="AE241" i="3"/>
  <c r="AC241" i="3"/>
  <c r="AA241" i="3"/>
  <c r="W241" i="3"/>
  <c r="Z241" i="3"/>
  <c r="Y241" i="3"/>
  <c r="X241" i="3"/>
  <c r="U241" i="3"/>
  <c r="V241" i="3"/>
  <c r="T241" i="3"/>
  <c r="P241" i="3"/>
  <c r="S241" i="3"/>
  <c r="R241" i="3"/>
  <c r="Q241" i="3"/>
  <c r="O241" i="3"/>
  <c r="J241" i="3"/>
  <c r="N241" i="3"/>
  <c r="M241" i="3"/>
  <c r="L241" i="3"/>
  <c r="K241" i="3"/>
  <c r="AO241" i="3"/>
  <c r="AP241" i="3"/>
  <c r="I241" i="3"/>
  <c r="I243" i="1"/>
  <c r="G242" i="3"/>
  <c r="J242" i="1"/>
  <c r="V242" i="1"/>
  <c r="G242" i="2"/>
  <c r="Y242" i="1"/>
  <c r="Z242" i="1" s="1"/>
  <c r="S242" i="1"/>
  <c r="W242" i="1" s="1"/>
  <c r="R242" i="1"/>
  <c r="O242" i="1"/>
  <c r="N242" i="1"/>
  <c r="H242" i="3" l="1"/>
  <c r="AR242" i="3"/>
  <c r="AQ242" i="3"/>
  <c r="AN242" i="3"/>
  <c r="AL242" i="3"/>
  <c r="AM242" i="3"/>
  <c r="AK242" i="3"/>
  <c r="AJ242" i="3"/>
  <c r="AH242" i="3"/>
  <c r="AI242" i="3"/>
  <c r="AG242" i="3"/>
  <c r="AF242" i="3"/>
  <c r="AD242" i="3"/>
  <c r="AE242" i="3"/>
  <c r="AC242" i="3"/>
  <c r="AA242" i="3"/>
  <c r="AB242" i="3"/>
  <c r="Z242" i="3"/>
  <c r="Y242" i="3"/>
  <c r="X242" i="3"/>
  <c r="W242" i="3"/>
  <c r="V242" i="3"/>
  <c r="U242" i="3"/>
  <c r="T242" i="3"/>
  <c r="R242" i="3"/>
  <c r="P242" i="3"/>
  <c r="S242" i="3"/>
  <c r="L242" i="3"/>
  <c r="Q242" i="3"/>
  <c r="O242" i="3"/>
  <c r="J242" i="3"/>
  <c r="N242" i="3"/>
  <c r="M242" i="3"/>
  <c r="AO242" i="3"/>
  <c r="AP242" i="3"/>
  <c r="K242" i="3"/>
  <c r="I242" i="3"/>
  <c r="G243" i="3"/>
  <c r="I244" i="1"/>
  <c r="V243" i="1"/>
  <c r="J243" i="1"/>
  <c r="G243" i="2"/>
  <c r="Y243" i="1"/>
  <c r="Z243" i="1" s="1"/>
  <c r="N243" i="1"/>
  <c r="O243" i="1"/>
  <c r="R243" i="1"/>
  <c r="S243" i="1"/>
  <c r="W243" i="1" s="1"/>
  <c r="H242" i="2"/>
  <c r="AR242" i="2"/>
  <c r="AN242" i="2"/>
  <c r="AM242" i="2"/>
  <c r="AQ242" i="2"/>
  <c r="AL242" i="2"/>
  <c r="AI242" i="2"/>
  <c r="AK242" i="2"/>
  <c r="AJ242" i="2"/>
  <c r="AH242" i="2"/>
  <c r="AG242" i="2"/>
  <c r="AF242" i="2"/>
  <c r="AE242" i="2"/>
  <c r="AC242" i="2"/>
  <c r="AD242" i="2"/>
  <c r="AB242" i="2"/>
  <c r="Z242" i="2"/>
  <c r="AA242" i="2"/>
  <c r="Y242" i="2"/>
  <c r="X242" i="2"/>
  <c r="U242" i="2"/>
  <c r="W242" i="2"/>
  <c r="R242" i="2"/>
  <c r="V242" i="2"/>
  <c r="T242" i="2"/>
  <c r="Q242" i="2"/>
  <c r="S242" i="2"/>
  <c r="M242" i="2"/>
  <c r="O242" i="2"/>
  <c r="P242" i="2"/>
  <c r="K242" i="2"/>
  <c r="N242" i="2"/>
  <c r="L242" i="2"/>
  <c r="AP242" i="2"/>
  <c r="I242" i="2"/>
  <c r="J242" i="2"/>
  <c r="AO242" i="2"/>
  <c r="L242" i="1"/>
  <c r="P242" i="1" s="1"/>
  <c r="AA242" i="1"/>
  <c r="L243" i="1" l="1"/>
  <c r="P243" i="1" s="1"/>
  <c r="AA243" i="1"/>
  <c r="H243" i="3"/>
  <c r="AR243" i="3"/>
  <c r="AQ243" i="3"/>
  <c r="AN243" i="3"/>
  <c r="AM243" i="3"/>
  <c r="AL243" i="3"/>
  <c r="AK243" i="3"/>
  <c r="AJ243" i="3"/>
  <c r="AI243" i="3"/>
  <c r="AH243" i="3"/>
  <c r="AF243" i="3"/>
  <c r="AD243" i="3"/>
  <c r="AG243" i="3"/>
  <c r="AC243" i="3"/>
  <c r="AE243" i="3"/>
  <c r="AA243" i="3"/>
  <c r="AB243" i="3"/>
  <c r="W243" i="3"/>
  <c r="Z243" i="3"/>
  <c r="U243" i="3"/>
  <c r="Y243" i="3"/>
  <c r="X243" i="3"/>
  <c r="T243" i="3"/>
  <c r="V243" i="3"/>
  <c r="S243" i="3"/>
  <c r="R243" i="3"/>
  <c r="Q243" i="3"/>
  <c r="P243" i="3"/>
  <c r="O243" i="3"/>
  <c r="M243" i="3"/>
  <c r="N243" i="3"/>
  <c r="L243" i="3"/>
  <c r="K243" i="3"/>
  <c r="J243" i="3"/>
  <c r="AO243" i="3"/>
  <c r="AP243" i="3"/>
  <c r="I243" i="3"/>
  <c r="G244" i="3"/>
  <c r="I245" i="1"/>
  <c r="J244" i="1"/>
  <c r="V244" i="1"/>
  <c r="G244" i="2"/>
  <c r="Y244" i="1"/>
  <c r="Z244" i="1" s="1"/>
  <c r="S244" i="1"/>
  <c r="W244" i="1" s="1"/>
  <c r="R244" i="1"/>
  <c r="N244" i="1"/>
  <c r="O244" i="1"/>
  <c r="H243" i="2"/>
  <c r="AR243" i="2"/>
  <c r="AN243" i="2"/>
  <c r="AQ243" i="2"/>
  <c r="AM243" i="2"/>
  <c r="AL243" i="2"/>
  <c r="AK243" i="2"/>
  <c r="AJ243" i="2"/>
  <c r="AI243" i="2"/>
  <c r="AH243" i="2"/>
  <c r="AD243" i="2"/>
  <c r="AG243" i="2"/>
  <c r="AF243" i="2"/>
  <c r="AE243" i="2"/>
  <c r="AC243" i="2"/>
  <c r="AB243" i="2"/>
  <c r="X243" i="2"/>
  <c r="Z243" i="2"/>
  <c r="AA243" i="2"/>
  <c r="Y243" i="2"/>
  <c r="U243" i="2"/>
  <c r="V243" i="2"/>
  <c r="T243" i="2"/>
  <c r="W243" i="2"/>
  <c r="Q243" i="2"/>
  <c r="S243" i="2"/>
  <c r="R243" i="2"/>
  <c r="O243" i="2"/>
  <c r="P243" i="2"/>
  <c r="K243" i="2"/>
  <c r="N243" i="2"/>
  <c r="M243" i="2"/>
  <c r="L243" i="2"/>
  <c r="AP243" i="2"/>
  <c r="I243" i="2"/>
  <c r="J243" i="2"/>
  <c r="AO243" i="2"/>
  <c r="H244" i="3" l="1"/>
  <c r="AR244" i="3"/>
  <c r="AQ244" i="3"/>
  <c r="AN244" i="3"/>
  <c r="AM244" i="3"/>
  <c r="AL244" i="3"/>
  <c r="AK244" i="3"/>
  <c r="AI244" i="3"/>
  <c r="AJ244" i="3"/>
  <c r="AE244" i="3"/>
  <c r="AH244" i="3"/>
  <c r="AF244" i="3"/>
  <c r="AD244" i="3"/>
  <c r="AG244" i="3"/>
  <c r="AC244" i="3"/>
  <c r="AA244" i="3"/>
  <c r="AB244" i="3"/>
  <c r="Z244" i="3"/>
  <c r="Y244" i="3"/>
  <c r="X244" i="3"/>
  <c r="U244" i="3"/>
  <c r="W244" i="3"/>
  <c r="V244" i="3"/>
  <c r="R244" i="3"/>
  <c r="T244" i="3"/>
  <c r="Q244" i="3"/>
  <c r="S244" i="3"/>
  <c r="M244" i="3"/>
  <c r="P244" i="3"/>
  <c r="O244" i="3"/>
  <c r="K244" i="3"/>
  <c r="N244" i="3"/>
  <c r="L244" i="3"/>
  <c r="I244" i="3"/>
  <c r="J244" i="3"/>
  <c r="AO244" i="3"/>
  <c r="AP244" i="3"/>
  <c r="L244" i="1"/>
  <c r="P244" i="1" s="1"/>
  <c r="AA244" i="1"/>
  <c r="H244" i="2"/>
  <c r="AR244" i="2"/>
  <c r="AN244" i="2"/>
  <c r="AQ244" i="2"/>
  <c r="AM244" i="2"/>
  <c r="AL244" i="2"/>
  <c r="AI244" i="2"/>
  <c r="AK244" i="2"/>
  <c r="AJ244" i="2"/>
  <c r="AH244" i="2"/>
  <c r="AG244" i="2"/>
  <c r="AF244" i="2"/>
  <c r="AE244" i="2"/>
  <c r="AD244" i="2"/>
  <c r="Z244" i="2"/>
  <c r="AC244" i="2"/>
  <c r="AB244" i="2"/>
  <c r="X244" i="2"/>
  <c r="AA244" i="2"/>
  <c r="W244" i="2"/>
  <c r="Y244" i="2"/>
  <c r="V244" i="2"/>
  <c r="U244" i="2"/>
  <c r="Q244" i="2"/>
  <c r="T244" i="2"/>
  <c r="S244" i="2"/>
  <c r="R244" i="2"/>
  <c r="M244" i="2"/>
  <c r="P244" i="2"/>
  <c r="O244" i="2"/>
  <c r="K244" i="2"/>
  <c r="N244" i="2"/>
  <c r="L244" i="2"/>
  <c r="I244" i="2"/>
  <c r="AO244" i="2"/>
  <c r="AP244" i="2"/>
  <c r="J244" i="2"/>
  <c r="G245" i="3"/>
  <c r="I246" i="1"/>
  <c r="V245" i="1"/>
  <c r="J245" i="1"/>
  <c r="G245" i="2"/>
  <c r="Y245" i="1"/>
  <c r="Z245" i="1" s="1"/>
  <c r="S245" i="1"/>
  <c r="W245" i="1" s="1"/>
  <c r="N245" i="1"/>
  <c r="O245" i="1"/>
  <c r="R245" i="1"/>
  <c r="H245" i="3" l="1"/>
  <c r="AR245" i="3"/>
  <c r="AN245" i="3"/>
  <c r="AQ245" i="3"/>
  <c r="AM245" i="3"/>
  <c r="AL245" i="3"/>
  <c r="AK245" i="3"/>
  <c r="AI245" i="3"/>
  <c r="AJ245" i="3"/>
  <c r="AH245" i="3"/>
  <c r="AG245" i="3"/>
  <c r="AF245" i="3"/>
  <c r="AD245" i="3"/>
  <c r="AE245" i="3"/>
  <c r="AA245" i="3"/>
  <c r="AC245" i="3"/>
  <c r="AB245" i="3"/>
  <c r="X245" i="3"/>
  <c r="Z245" i="3"/>
  <c r="Y245" i="3"/>
  <c r="U245" i="3"/>
  <c r="W245" i="3"/>
  <c r="V245" i="3"/>
  <c r="R245" i="3"/>
  <c r="T245" i="3"/>
  <c r="Q245" i="3"/>
  <c r="S245" i="3"/>
  <c r="O245" i="3"/>
  <c r="P245" i="3"/>
  <c r="K245" i="3"/>
  <c r="N245" i="3"/>
  <c r="M245" i="3"/>
  <c r="L245" i="3"/>
  <c r="I245" i="3"/>
  <c r="J245" i="3"/>
  <c r="AO245" i="3"/>
  <c r="AP245" i="3"/>
  <c r="G246" i="3"/>
  <c r="I247" i="1"/>
  <c r="V246" i="1"/>
  <c r="J246" i="1"/>
  <c r="G246" i="2"/>
  <c r="Y246" i="1"/>
  <c r="Z246" i="1" s="1"/>
  <c r="R246" i="1"/>
  <c r="O246" i="1"/>
  <c r="S246" i="1"/>
  <c r="N246" i="1"/>
  <c r="H245" i="2"/>
  <c r="AR245" i="2"/>
  <c r="AN245" i="2"/>
  <c r="AQ245" i="2"/>
  <c r="AM245" i="2"/>
  <c r="AL245" i="2"/>
  <c r="AK245" i="2"/>
  <c r="AJ245" i="2"/>
  <c r="AI245" i="2"/>
  <c r="AH245" i="2"/>
  <c r="AF245" i="2"/>
  <c r="AE245" i="2"/>
  <c r="AG245" i="2"/>
  <c r="AD245" i="2"/>
  <c r="AC245" i="2"/>
  <c r="AB245" i="2"/>
  <c r="Z245" i="2"/>
  <c r="X245" i="2"/>
  <c r="AA245" i="2"/>
  <c r="V245" i="2"/>
  <c r="Y245" i="2"/>
  <c r="U245" i="2"/>
  <c r="W245" i="2"/>
  <c r="S245" i="2"/>
  <c r="T245" i="2"/>
  <c r="R245" i="2"/>
  <c r="Q245" i="2"/>
  <c r="P245" i="2"/>
  <c r="N245" i="2"/>
  <c r="O245" i="2"/>
  <c r="M245" i="2"/>
  <c r="L245" i="2"/>
  <c r="AO245" i="2"/>
  <c r="I245" i="2"/>
  <c r="K245" i="2"/>
  <c r="J245" i="2"/>
  <c r="AP245" i="2"/>
  <c r="L245" i="1"/>
  <c r="P245" i="1" s="1"/>
  <c r="AA245" i="1"/>
  <c r="G247" i="3" l="1"/>
  <c r="I248" i="1"/>
  <c r="J247" i="1"/>
  <c r="V247" i="1"/>
  <c r="G247" i="2"/>
  <c r="Y247" i="1"/>
  <c r="Z247" i="1" s="1"/>
  <c r="S247" i="1"/>
  <c r="W247" i="1" s="1"/>
  <c r="N247" i="1"/>
  <c r="O247" i="1"/>
  <c r="R247" i="1"/>
  <c r="H246" i="3"/>
  <c r="AN246" i="3"/>
  <c r="AQ246" i="3"/>
  <c r="AR246" i="3"/>
  <c r="AM246" i="3"/>
  <c r="AL246" i="3"/>
  <c r="AK246" i="3"/>
  <c r="AI246" i="3"/>
  <c r="AJ246" i="3"/>
  <c r="AG246" i="3"/>
  <c r="AH246" i="3"/>
  <c r="AE246" i="3"/>
  <c r="AF246" i="3"/>
  <c r="AC246" i="3"/>
  <c r="AD246" i="3"/>
  <c r="Z246" i="3"/>
  <c r="AA246" i="3"/>
  <c r="AB246" i="3"/>
  <c r="X246" i="3"/>
  <c r="Y246" i="3"/>
  <c r="W246" i="3"/>
  <c r="V246" i="3"/>
  <c r="R246" i="3"/>
  <c r="T246" i="3"/>
  <c r="U246" i="3"/>
  <c r="O246" i="3"/>
  <c r="Q246" i="3"/>
  <c r="S246" i="3"/>
  <c r="M246" i="3"/>
  <c r="P246" i="3"/>
  <c r="K246" i="3"/>
  <c r="N246" i="3"/>
  <c r="L246" i="3"/>
  <c r="I246" i="3"/>
  <c r="J246" i="3"/>
  <c r="AO246" i="3"/>
  <c r="AP246" i="3"/>
  <c r="L246" i="1"/>
  <c r="P246" i="1" s="1"/>
  <c r="AA246" i="1"/>
  <c r="W246" i="1"/>
  <c r="H246" i="2"/>
  <c r="AR246" i="2"/>
  <c r="AQ246" i="2"/>
  <c r="AN246" i="2"/>
  <c r="AM246" i="2"/>
  <c r="AL246" i="2"/>
  <c r="AJ246" i="2"/>
  <c r="AK246" i="2"/>
  <c r="AI246" i="2"/>
  <c r="AF246" i="2"/>
  <c r="AH246" i="2"/>
  <c r="AE246" i="2"/>
  <c r="AG246" i="2"/>
  <c r="AD246" i="2"/>
  <c r="AB246" i="2"/>
  <c r="AC246" i="2"/>
  <c r="AA246" i="2"/>
  <c r="Z246" i="2"/>
  <c r="Y246" i="2"/>
  <c r="V246" i="2"/>
  <c r="W246" i="2"/>
  <c r="X246" i="2"/>
  <c r="S246" i="2"/>
  <c r="U246" i="2"/>
  <c r="R246" i="2"/>
  <c r="T246" i="2"/>
  <c r="N246" i="2"/>
  <c r="Q246" i="2"/>
  <c r="P246" i="2"/>
  <c r="L246" i="2"/>
  <c r="O246" i="2"/>
  <c r="M246" i="2"/>
  <c r="J246" i="2"/>
  <c r="AO246" i="2"/>
  <c r="I246" i="2"/>
  <c r="K246" i="2"/>
  <c r="AP246" i="2"/>
  <c r="H247" i="2" l="1"/>
  <c r="AR247" i="2"/>
  <c r="AQ247" i="2"/>
  <c r="AM247" i="2"/>
  <c r="AN247" i="2"/>
  <c r="AL247" i="2"/>
  <c r="AJ247" i="2"/>
  <c r="AK247" i="2"/>
  <c r="AI247" i="2"/>
  <c r="AF247" i="2"/>
  <c r="AH247" i="2"/>
  <c r="AG247" i="2"/>
  <c r="AE247" i="2"/>
  <c r="AB247" i="2"/>
  <c r="AA247" i="2"/>
  <c r="AD247" i="2"/>
  <c r="AC247" i="2"/>
  <c r="Y247" i="2"/>
  <c r="V247" i="2"/>
  <c r="Z247" i="2"/>
  <c r="W247" i="2"/>
  <c r="X247" i="2"/>
  <c r="S247" i="2"/>
  <c r="U247" i="2"/>
  <c r="R247" i="2"/>
  <c r="T247" i="2"/>
  <c r="P247" i="2"/>
  <c r="N247" i="2"/>
  <c r="Q247" i="2"/>
  <c r="O247" i="2"/>
  <c r="L247" i="2"/>
  <c r="I247" i="2"/>
  <c r="M247" i="2"/>
  <c r="J247" i="2"/>
  <c r="K247" i="2"/>
  <c r="AO247" i="2"/>
  <c r="AP247" i="2"/>
  <c r="L247" i="1"/>
  <c r="P247" i="1" s="1"/>
  <c r="AA247" i="1"/>
  <c r="G248" i="3"/>
  <c r="I249" i="1"/>
  <c r="J248" i="1"/>
  <c r="V248" i="1"/>
  <c r="G248" i="2"/>
  <c r="Y248" i="1"/>
  <c r="Z248" i="1" s="1"/>
  <c r="R248" i="1"/>
  <c r="N248" i="1"/>
  <c r="O248" i="1"/>
  <c r="S248" i="1"/>
  <c r="H247" i="3"/>
  <c r="AR247" i="3"/>
  <c r="AN247" i="3"/>
  <c r="AQ247" i="3"/>
  <c r="AJ247" i="3"/>
  <c r="AM247" i="3"/>
  <c r="AL247" i="3"/>
  <c r="AK247" i="3"/>
  <c r="AG247" i="3"/>
  <c r="AH247" i="3"/>
  <c r="AI247" i="3"/>
  <c r="AF247" i="3"/>
  <c r="AE247" i="3"/>
  <c r="AA247" i="3"/>
  <c r="AC247" i="3"/>
  <c r="AD247" i="3"/>
  <c r="AB247" i="3"/>
  <c r="X247" i="3"/>
  <c r="Z247" i="3"/>
  <c r="Y247" i="3"/>
  <c r="V247" i="3"/>
  <c r="W247" i="3"/>
  <c r="T247" i="3"/>
  <c r="U247" i="3"/>
  <c r="S247" i="3"/>
  <c r="R247" i="3"/>
  <c r="Q247" i="3"/>
  <c r="O247" i="3"/>
  <c r="P247" i="3"/>
  <c r="N247" i="3"/>
  <c r="L247" i="3"/>
  <c r="I247" i="3"/>
  <c r="K247" i="3"/>
  <c r="M247" i="3"/>
  <c r="AP247" i="3"/>
  <c r="J247" i="3"/>
  <c r="AO247" i="3"/>
  <c r="H248" i="2" l="1"/>
  <c r="AR248" i="2"/>
  <c r="AQ248" i="2"/>
  <c r="AM248" i="2"/>
  <c r="AN248" i="2"/>
  <c r="AL248" i="2"/>
  <c r="AJ248" i="2"/>
  <c r="AK248" i="2"/>
  <c r="AI248" i="2"/>
  <c r="AH248" i="2"/>
  <c r="AF248" i="2"/>
  <c r="AG248" i="2"/>
  <c r="AB248" i="2"/>
  <c r="AE248" i="2"/>
  <c r="AD248" i="2"/>
  <c r="AA248" i="2"/>
  <c r="AC248" i="2"/>
  <c r="Y248" i="2"/>
  <c r="Z248" i="2"/>
  <c r="X248" i="2"/>
  <c r="W248" i="2"/>
  <c r="S248" i="2"/>
  <c r="V248" i="2"/>
  <c r="U248" i="2"/>
  <c r="T248" i="2"/>
  <c r="P248" i="2"/>
  <c r="R248" i="2"/>
  <c r="N248" i="2"/>
  <c r="Q248" i="2"/>
  <c r="O248" i="2"/>
  <c r="M248" i="2"/>
  <c r="J248" i="2"/>
  <c r="L248" i="2"/>
  <c r="K248" i="2"/>
  <c r="I248" i="2"/>
  <c r="AO248" i="2"/>
  <c r="AP248" i="2"/>
  <c r="I250" i="1"/>
  <c r="G249" i="3"/>
  <c r="V249" i="1"/>
  <c r="J249" i="1"/>
  <c r="G249" i="2"/>
  <c r="Y249" i="1"/>
  <c r="Z249" i="1" s="1"/>
  <c r="S249" i="1"/>
  <c r="W249" i="1" s="1"/>
  <c r="O249" i="1"/>
  <c r="N249" i="1"/>
  <c r="R249" i="1"/>
  <c r="L248" i="1"/>
  <c r="P248" i="1" s="1"/>
  <c r="AA248" i="1"/>
  <c r="H248" i="3"/>
  <c r="AQ248" i="3"/>
  <c r="AR248" i="3"/>
  <c r="AN248" i="3"/>
  <c r="AM248" i="3"/>
  <c r="AL248" i="3"/>
  <c r="AK248" i="3"/>
  <c r="AJ248" i="3"/>
  <c r="AG248" i="3"/>
  <c r="AI248" i="3"/>
  <c r="AF248" i="3"/>
  <c r="AH248" i="3"/>
  <c r="AE248" i="3"/>
  <c r="AC248" i="3"/>
  <c r="AD248" i="3"/>
  <c r="AB248" i="3"/>
  <c r="AA248" i="3"/>
  <c r="Z248" i="3"/>
  <c r="Y248" i="3"/>
  <c r="V248" i="3"/>
  <c r="X248" i="3"/>
  <c r="W248" i="3"/>
  <c r="S248" i="3"/>
  <c r="T248" i="3"/>
  <c r="U248" i="3"/>
  <c r="O248" i="3"/>
  <c r="R248" i="3"/>
  <c r="P248" i="3"/>
  <c r="N248" i="3"/>
  <c r="Q248" i="3"/>
  <c r="L248" i="3"/>
  <c r="M248" i="3"/>
  <c r="J248" i="3"/>
  <c r="AO248" i="3"/>
  <c r="AP248" i="3"/>
  <c r="I248" i="3"/>
  <c r="K248" i="3"/>
  <c r="W248" i="1"/>
  <c r="G250" i="3" l="1"/>
  <c r="I251" i="1"/>
  <c r="V250" i="1"/>
  <c r="J250" i="1"/>
  <c r="G250" i="2"/>
  <c r="Y250" i="1"/>
  <c r="Z250" i="1" s="1"/>
  <c r="S250" i="1"/>
  <c r="W250" i="1" s="1"/>
  <c r="N250" i="1"/>
  <c r="R250" i="1"/>
  <c r="O250" i="1"/>
  <c r="H249" i="2"/>
  <c r="AQ249" i="2"/>
  <c r="AR249" i="2"/>
  <c r="AM249" i="2"/>
  <c r="AN249" i="2"/>
  <c r="AK249" i="2"/>
  <c r="AL249" i="2"/>
  <c r="AJ249" i="2"/>
  <c r="AH249" i="2"/>
  <c r="AI249" i="2"/>
  <c r="AG249" i="2"/>
  <c r="AF249" i="2"/>
  <c r="AB249" i="2"/>
  <c r="AE249" i="2"/>
  <c r="AD249" i="2"/>
  <c r="AA249" i="2"/>
  <c r="AC249" i="2"/>
  <c r="Y249" i="2"/>
  <c r="Z249" i="2"/>
  <c r="W249" i="2"/>
  <c r="X249" i="2"/>
  <c r="V249" i="2"/>
  <c r="U249" i="2"/>
  <c r="T249" i="2"/>
  <c r="R249" i="2"/>
  <c r="S249" i="2"/>
  <c r="Q249" i="2"/>
  <c r="P249" i="2"/>
  <c r="O249" i="2"/>
  <c r="M249" i="2"/>
  <c r="L249" i="2"/>
  <c r="N249" i="2"/>
  <c r="K249" i="2"/>
  <c r="J249" i="2"/>
  <c r="AO249" i="2"/>
  <c r="I249" i="2"/>
  <c r="AP249" i="2"/>
  <c r="L249" i="1"/>
  <c r="P249" i="1" s="1"/>
  <c r="AA249" i="1"/>
  <c r="H249" i="3"/>
  <c r="AQ249" i="3"/>
  <c r="AR249" i="3"/>
  <c r="AN249" i="3"/>
  <c r="AM249" i="3"/>
  <c r="AL249" i="3"/>
  <c r="AK249" i="3"/>
  <c r="AJ249" i="3"/>
  <c r="AG249" i="3"/>
  <c r="AI249" i="3"/>
  <c r="AF249" i="3"/>
  <c r="AH249" i="3"/>
  <c r="AB249" i="3"/>
  <c r="AC249" i="3"/>
  <c r="AE249" i="3"/>
  <c r="AD249" i="3"/>
  <c r="Y249" i="3"/>
  <c r="AA249" i="3"/>
  <c r="Z249" i="3"/>
  <c r="W249" i="3"/>
  <c r="V249" i="3"/>
  <c r="X249" i="3"/>
  <c r="S249" i="3"/>
  <c r="U249" i="3"/>
  <c r="R249" i="3"/>
  <c r="T249" i="3"/>
  <c r="Q249" i="3"/>
  <c r="P249" i="3"/>
  <c r="N249" i="3"/>
  <c r="O249" i="3"/>
  <c r="L249" i="3"/>
  <c r="M249" i="3"/>
  <c r="I249" i="3"/>
  <c r="K249" i="3"/>
  <c r="J249" i="3"/>
  <c r="AO249" i="3"/>
  <c r="AP249" i="3"/>
  <c r="L250" i="1" l="1"/>
  <c r="P250" i="1" s="1"/>
  <c r="AA250" i="1"/>
  <c r="I252" i="1"/>
  <c r="G251" i="3"/>
  <c r="J251" i="1"/>
  <c r="V251" i="1"/>
  <c r="Y251" i="1"/>
  <c r="Z251" i="1" s="1"/>
  <c r="G251" i="2"/>
  <c r="O251" i="1"/>
  <c r="R251" i="1"/>
  <c r="S251" i="1"/>
  <c r="N251" i="1"/>
  <c r="H250" i="2"/>
  <c r="AQ250" i="2"/>
  <c r="AR250" i="2"/>
  <c r="AL250" i="2"/>
  <c r="AK250" i="2"/>
  <c r="AN250" i="2"/>
  <c r="AM250" i="2"/>
  <c r="AJ250" i="2"/>
  <c r="AH250" i="2"/>
  <c r="AG250" i="2"/>
  <c r="AI250" i="2"/>
  <c r="AF250" i="2"/>
  <c r="AD250" i="2"/>
  <c r="AE250" i="2"/>
  <c r="AC250" i="2"/>
  <c r="AA250" i="2"/>
  <c r="AB250" i="2"/>
  <c r="Y250" i="2"/>
  <c r="Z250" i="2"/>
  <c r="W250" i="2"/>
  <c r="X250" i="2"/>
  <c r="U250" i="2"/>
  <c r="T250" i="2"/>
  <c r="V250" i="2"/>
  <c r="S250" i="2"/>
  <c r="P250" i="2"/>
  <c r="R250" i="2"/>
  <c r="O250" i="2"/>
  <c r="Q250" i="2"/>
  <c r="M250" i="2"/>
  <c r="J250" i="2"/>
  <c r="N250" i="2"/>
  <c r="K250" i="2"/>
  <c r="AO250" i="2"/>
  <c r="I250" i="2"/>
  <c r="L250" i="2"/>
  <c r="AP250" i="2"/>
  <c r="H250" i="3"/>
  <c r="AQ250" i="3"/>
  <c r="AR250" i="3"/>
  <c r="AN250" i="3"/>
  <c r="AM250" i="3"/>
  <c r="AK250" i="3"/>
  <c r="AL250" i="3"/>
  <c r="AJ250" i="3"/>
  <c r="AI250" i="3"/>
  <c r="AH250" i="3"/>
  <c r="AG250" i="3"/>
  <c r="AF250" i="3"/>
  <c r="AB250" i="3"/>
  <c r="AE250" i="3"/>
  <c r="AD250" i="3"/>
  <c r="AC250" i="3"/>
  <c r="Y250" i="3"/>
  <c r="AA250" i="3"/>
  <c r="Z250" i="3"/>
  <c r="W250" i="3"/>
  <c r="V250" i="3"/>
  <c r="X250" i="3"/>
  <c r="U250" i="3"/>
  <c r="S250" i="3"/>
  <c r="P250" i="3"/>
  <c r="R250" i="3"/>
  <c r="T250" i="3"/>
  <c r="Q250" i="3"/>
  <c r="L250" i="3"/>
  <c r="N250" i="3"/>
  <c r="O250" i="3"/>
  <c r="J250" i="3"/>
  <c r="M250" i="3"/>
  <c r="K250" i="3"/>
  <c r="AO250" i="3"/>
  <c r="I250" i="3"/>
  <c r="AP250" i="3"/>
  <c r="H251" i="2" l="1"/>
  <c r="AQ251" i="2"/>
  <c r="AR251" i="2"/>
  <c r="AM251" i="2"/>
  <c r="AL251" i="2"/>
  <c r="AN251" i="2"/>
  <c r="AK251" i="2"/>
  <c r="AI251" i="2"/>
  <c r="AJ251" i="2"/>
  <c r="AH251" i="2"/>
  <c r="AG251" i="2"/>
  <c r="AD251" i="2"/>
  <c r="AF251" i="2"/>
  <c r="AC251" i="2"/>
  <c r="AE251" i="2"/>
  <c r="AA251" i="2"/>
  <c r="AB251" i="2"/>
  <c r="Z251" i="2"/>
  <c r="Y251" i="2"/>
  <c r="U251" i="2"/>
  <c r="W251" i="2"/>
  <c r="X251" i="2"/>
  <c r="T251" i="2"/>
  <c r="V251" i="2"/>
  <c r="S251" i="2"/>
  <c r="R251" i="2"/>
  <c r="Q251" i="2"/>
  <c r="P251" i="2"/>
  <c r="O251" i="2"/>
  <c r="M251" i="2"/>
  <c r="L251" i="2"/>
  <c r="N251" i="2"/>
  <c r="K251" i="2"/>
  <c r="J251" i="2"/>
  <c r="I251" i="2"/>
  <c r="AP251" i="2"/>
  <c r="AO251" i="2"/>
  <c r="L251" i="1"/>
  <c r="P251" i="1" s="1"/>
  <c r="AA251" i="1"/>
  <c r="H251" i="3"/>
  <c r="AQ251" i="3"/>
  <c r="AR251" i="3"/>
  <c r="AN251" i="3"/>
  <c r="AM251" i="3"/>
  <c r="AL251" i="3"/>
  <c r="AK251" i="3"/>
  <c r="AJ251" i="3"/>
  <c r="AH251" i="3"/>
  <c r="AI251" i="3"/>
  <c r="AG251" i="3"/>
  <c r="AF251" i="3"/>
  <c r="AB251" i="3"/>
  <c r="AC251" i="3"/>
  <c r="AE251" i="3"/>
  <c r="AD251" i="3"/>
  <c r="AA251" i="3"/>
  <c r="Z251" i="3"/>
  <c r="W251" i="3"/>
  <c r="Y251" i="3"/>
  <c r="X251" i="3"/>
  <c r="U251" i="3"/>
  <c r="V251" i="3"/>
  <c r="T251" i="3"/>
  <c r="P251" i="3"/>
  <c r="S251" i="3"/>
  <c r="R251" i="3"/>
  <c r="O251" i="3"/>
  <c r="Q251" i="3"/>
  <c r="J251" i="3"/>
  <c r="M251" i="3"/>
  <c r="L251" i="3"/>
  <c r="K251" i="3"/>
  <c r="N251" i="3"/>
  <c r="AO251" i="3"/>
  <c r="I251" i="3"/>
  <c r="AP251" i="3"/>
  <c r="G252" i="3"/>
  <c r="I253" i="1"/>
  <c r="J252" i="1"/>
  <c r="V252" i="1"/>
  <c r="G252" i="2"/>
  <c r="Y252" i="1"/>
  <c r="Z252" i="1" s="1"/>
  <c r="S252" i="1"/>
  <c r="W252" i="1" s="1"/>
  <c r="N252" i="1"/>
  <c r="R252" i="1"/>
  <c r="O252" i="1"/>
  <c r="W251" i="1"/>
  <c r="I254" i="1" l="1"/>
  <c r="G253" i="3"/>
  <c r="V253" i="1"/>
  <c r="J253" i="1"/>
  <c r="G253" i="2"/>
  <c r="Y253" i="1"/>
  <c r="Z253" i="1" s="1"/>
  <c r="O253" i="1"/>
  <c r="N253" i="1"/>
  <c r="R253" i="1"/>
  <c r="S253" i="1"/>
  <c r="H252" i="3"/>
  <c r="AR252" i="3"/>
  <c r="AQ252" i="3"/>
  <c r="AN252" i="3"/>
  <c r="AL252" i="3"/>
  <c r="AK252" i="3"/>
  <c r="AM252" i="3"/>
  <c r="AJ252" i="3"/>
  <c r="AH252" i="3"/>
  <c r="AI252" i="3"/>
  <c r="AG252" i="3"/>
  <c r="AF252" i="3"/>
  <c r="AD252" i="3"/>
  <c r="AE252" i="3"/>
  <c r="AC252" i="3"/>
  <c r="AA252" i="3"/>
  <c r="AB252" i="3"/>
  <c r="Z252" i="3"/>
  <c r="Y252" i="3"/>
  <c r="X252" i="3"/>
  <c r="W252" i="3"/>
  <c r="V252" i="3"/>
  <c r="U252" i="3"/>
  <c r="T252" i="3"/>
  <c r="P252" i="3"/>
  <c r="S252" i="3"/>
  <c r="R252" i="3"/>
  <c r="Q252" i="3"/>
  <c r="L252" i="3"/>
  <c r="O252" i="3"/>
  <c r="N252" i="3"/>
  <c r="J252" i="3"/>
  <c r="M252" i="3"/>
  <c r="K252" i="3"/>
  <c r="AO252" i="3"/>
  <c r="I252" i="3"/>
  <c r="AP252" i="3"/>
  <c r="L252" i="1"/>
  <c r="P252" i="1" s="1"/>
  <c r="AA252" i="1"/>
  <c r="H252" i="2"/>
  <c r="AQ252" i="2"/>
  <c r="AR252" i="2"/>
  <c r="AN252" i="2"/>
  <c r="AM252" i="2"/>
  <c r="AK252" i="2"/>
  <c r="AI252" i="2"/>
  <c r="AL252" i="2"/>
  <c r="AG252" i="2"/>
  <c r="AJ252" i="2"/>
  <c r="AH252" i="2"/>
  <c r="AF252" i="2"/>
  <c r="AD252" i="2"/>
  <c r="AC252" i="2"/>
  <c r="AE252" i="2"/>
  <c r="AB252" i="2"/>
  <c r="Z252" i="2"/>
  <c r="Y252" i="2"/>
  <c r="AA252" i="2"/>
  <c r="X252" i="2"/>
  <c r="U252" i="2"/>
  <c r="W252" i="2"/>
  <c r="T252" i="2"/>
  <c r="V252" i="2"/>
  <c r="Q252" i="2"/>
  <c r="S252" i="2"/>
  <c r="R252" i="2"/>
  <c r="M252" i="2"/>
  <c r="P252" i="2"/>
  <c r="O252" i="2"/>
  <c r="K252" i="2"/>
  <c r="L252" i="2"/>
  <c r="N252" i="2"/>
  <c r="AP252" i="2"/>
  <c r="J252" i="2"/>
  <c r="I252" i="2"/>
  <c r="AO252" i="2"/>
  <c r="H253" i="2" l="1"/>
  <c r="AR253" i="2"/>
  <c r="AN253" i="2"/>
  <c r="AQ253" i="2"/>
  <c r="AM253" i="2"/>
  <c r="AK253" i="2"/>
  <c r="AL253" i="2"/>
  <c r="AJ253" i="2"/>
  <c r="AI253" i="2"/>
  <c r="AG253" i="2"/>
  <c r="AD253" i="2"/>
  <c r="AF253" i="2"/>
  <c r="AH253" i="2"/>
  <c r="AC253" i="2"/>
  <c r="AE253" i="2"/>
  <c r="AB253" i="2"/>
  <c r="X253" i="2"/>
  <c r="Y253" i="2"/>
  <c r="AA253" i="2"/>
  <c r="Z253" i="2"/>
  <c r="T253" i="2"/>
  <c r="U253" i="2"/>
  <c r="W253" i="2"/>
  <c r="V253" i="2"/>
  <c r="Q253" i="2"/>
  <c r="S253" i="2"/>
  <c r="R253" i="2"/>
  <c r="P253" i="2"/>
  <c r="O253" i="2"/>
  <c r="K253" i="2"/>
  <c r="M253" i="2"/>
  <c r="L253" i="2"/>
  <c r="N253" i="2"/>
  <c r="I253" i="2"/>
  <c r="AP253" i="2"/>
  <c r="J253" i="2"/>
  <c r="AO253" i="2"/>
  <c r="L253" i="1"/>
  <c r="P253" i="1" s="1"/>
  <c r="AA253" i="1"/>
  <c r="H253" i="3"/>
  <c r="AR253" i="3"/>
  <c r="AQ253" i="3"/>
  <c r="AN253" i="3"/>
  <c r="AM253" i="3"/>
  <c r="AL253" i="3"/>
  <c r="AK253" i="3"/>
  <c r="AJ253" i="3"/>
  <c r="AI253" i="3"/>
  <c r="AH253" i="3"/>
  <c r="AD253" i="3"/>
  <c r="AG253" i="3"/>
  <c r="AF253" i="3"/>
  <c r="AC253" i="3"/>
  <c r="AE253" i="3"/>
  <c r="AA253" i="3"/>
  <c r="AB253" i="3"/>
  <c r="Z253" i="3"/>
  <c r="W253" i="3"/>
  <c r="U253" i="3"/>
  <c r="X253" i="3"/>
  <c r="Y253" i="3"/>
  <c r="T253" i="3"/>
  <c r="V253" i="3"/>
  <c r="S253" i="3"/>
  <c r="R253" i="3"/>
  <c r="Q253" i="3"/>
  <c r="P253" i="3"/>
  <c r="O253" i="3"/>
  <c r="M253" i="3"/>
  <c r="N253" i="3"/>
  <c r="L253" i="3"/>
  <c r="K253" i="3"/>
  <c r="J253" i="3"/>
  <c r="AO253" i="3"/>
  <c r="I253" i="3"/>
  <c r="AP253" i="3"/>
  <c r="W253" i="1"/>
  <c r="G254" i="3"/>
  <c r="I255" i="1"/>
  <c r="V254" i="1"/>
  <c r="J254" i="1"/>
  <c r="G254" i="2"/>
  <c r="Y254" i="1"/>
  <c r="Z254" i="1" s="1"/>
  <c r="S254" i="1"/>
  <c r="W254" i="1" s="1"/>
  <c r="R254" i="1"/>
  <c r="N254" i="1"/>
  <c r="O254" i="1"/>
  <c r="H254" i="3" l="1"/>
  <c r="AR254" i="3"/>
  <c r="AN254" i="3"/>
  <c r="AM254" i="3"/>
  <c r="AQ254" i="3"/>
  <c r="AL254" i="3"/>
  <c r="AI254" i="3"/>
  <c r="AJ254" i="3"/>
  <c r="AK254" i="3"/>
  <c r="AE254" i="3"/>
  <c r="AH254" i="3"/>
  <c r="AD254" i="3"/>
  <c r="AG254" i="3"/>
  <c r="AF254" i="3"/>
  <c r="AC254" i="3"/>
  <c r="AA254" i="3"/>
  <c r="AB254" i="3"/>
  <c r="Z254" i="3"/>
  <c r="Y254" i="3"/>
  <c r="X254" i="3"/>
  <c r="U254" i="3"/>
  <c r="W254" i="3"/>
  <c r="R254" i="3"/>
  <c r="T254" i="3"/>
  <c r="V254" i="3"/>
  <c r="Q254" i="3"/>
  <c r="S254" i="3"/>
  <c r="M254" i="3"/>
  <c r="P254" i="3"/>
  <c r="O254" i="3"/>
  <c r="K254" i="3"/>
  <c r="N254" i="3"/>
  <c r="L254" i="3"/>
  <c r="J254" i="3"/>
  <c r="AO254" i="3"/>
  <c r="I254" i="3"/>
  <c r="AP254" i="3"/>
  <c r="H254" i="2"/>
  <c r="AR254" i="2"/>
  <c r="AN254" i="2"/>
  <c r="AM254" i="2"/>
  <c r="AQ254" i="2"/>
  <c r="AK254" i="2"/>
  <c r="AI254" i="2"/>
  <c r="AL254" i="2"/>
  <c r="AJ254" i="2"/>
  <c r="AH254" i="2"/>
  <c r="AG254" i="2"/>
  <c r="AF254" i="2"/>
  <c r="AE254" i="2"/>
  <c r="AD254" i="2"/>
  <c r="Z254" i="2"/>
  <c r="AC254" i="2"/>
  <c r="AB254" i="2"/>
  <c r="X254" i="2"/>
  <c r="AA254" i="2"/>
  <c r="Y254" i="2"/>
  <c r="W254" i="2"/>
  <c r="V254" i="2"/>
  <c r="U254" i="2"/>
  <c r="T254" i="2"/>
  <c r="Q254" i="2"/>
  <c r="S254" i="2"/>
  <c r="R254" i="2"/>
  <c r="M254" i="2"/>
  <c r="P254" i="2"/>
  <c r="K254" i="2"/>
  <c r="O254" i="2"/>
  <c r="L254" i="2"/>
  <c r="N254" i="2"/>
  <c r="I254" i="2"/>
  <c r="AO254" i="2"/>
  <c r="AP254" i="2"/>
  <c r="J254" i="2"/>
  <c r="L254" i="1"/>
  <c r="P254" i="1" s="1"/>
  <c r="AA254" i="1"/>
  <c r="G255" i="3"/>
  <c r="I256" i="1"/>
  <c r="V255" i="1"/>
  <c r="J255" i="1"/>
  <c r="G255" i="2"/>
  <c r="Y255" i="1"/>
  <c r="Z255" i="1" s="1"/>
  <c r="S255" i="1"/>
  <c r="W255" i="1" s="1"/>
  <c r="N255" i="1"/>
  <c r="O255" i="1"/>
  <c r="R255" i="1"/>
  <c r="G256" i="3" l="1"/>
  <c r="I257" i="1"/>
  <c r="J256" i="1"/>
  <c r="V256" i="1"/>
  <c r="G256" i="2"/>
  <c r="Y256" i="1"/>
  <c r="Z256" i="1" s="1"/>
  <c r="R256" i="1"/>
  <c r="O256" i="1"/>
  <c r="S256" i="1"/>
  <c r="W256" i="1" s="1"/>
  <c r="N256" i="1"/>
  <c r="H255" i="3"/>
  <c r="AR255" i="3"/>
  <c r="AN255" i="3"/>
  <c r="AM255" i="3"/>
  <c r="AQ255" i="3"/>
  <c r="AL255" i="3"/>
  <c r="AI255" i="3"/>
  <c r="AK255" i="3"/>
  <c r="AJ255" i="3"/>
  <c r="AH255" i="3"/>
  <c r="AD255" i="3"/>
  <c r="AG255" i="3"/>
  <c r="AF255" i="3"/>
  <c r="AA255" i="3"/>
  <c r="AE255" i="3"/>
  <c r="AC255" i="3"/>
  <c r="AB255" i="3"/>
  <c r="X255" i="3"/>
  <c r="Z255" i="3"/>
  <c r="Y255" i="3"/>
  <c r="U255" i="3"/>
  <c r="W255" i="3"/>
  <c r="R255" i="3"/>
  <c r="T255" i="3"/>
  <c r="V255" i="3"/>
  <c r="Q255" i="3"/>
  <c r="S255" i="3"/>
  <c r="P255" i="3"/>
  <c r="O255" i="3"/>
  <c r="K255" i="3"/>
  <c r="N255" i="3"/>
  <c r="M255" i="3"/>
  <c r="L255" i="3"/>
  <c r="J255" i="3"/>
  <c r="AO255" i="3"/>
  <c r="I255" i="3"/>
  <c r="AP255" i="3"/>
  <c r="H255" i="2"/>
  <c r="AR255" i="2"/>
  <c r="AN255" i="2"/>
  <c r="AQ255" i="2"/>
  <c r="AM255" i="2"/>
  <c r="AK255" i="2"/>
  <c r="AL255" i="2"/>
  <c r="AJ255" i="2"/>
  <c r="AI255" i="2"/>
  <c r="AH255" i="2"/>
  <c r="AF255" i="2"/>
  <c r="AE255" i="2"/>
  <c r="AG255" i="2"/>
  <c r="AD255" i="2"/>
  <c r="AC255" i="2"/>
  <c r="AB255" i="2"/>
  <c r="AA255" i="2"/>
  <c r="Z255" i="2"/>
  <c r="X255" i="2"/>
  <c r="V255" i="2"/>
  <c r="Y255" i="2"/>
  <c r="W255" i="2"/>
  <c r="U255" i="2"/>
  <c r="S255" i="2"/>
  <c r="T255" i="2"/>
  <c r="R255" i="2"/>
  <c r="P255" i="2"/>
  <c r="Q255" i="2"/>
  <c r="N255" i="2"/>
  <c r="M255" i="2"/>
  <c r="O255" i="2"/>
  <c r="L255" i="2"/>
  <c r="I255" i="2"/>
  <c r="AO255" i="2"/>
  <c r="K255" i="2"/>
  <c r="J255" i="2"/>
  <c r="AP255" i="2"/>
  <c r="L255" i="1"/>
  <c r="P255" i="1" s="1"/>
  <c r="AA255" i="1"/>
  <c r="L256" i="1" l="1"/>
  <c r="P256" i="1" s="1"/>
  <c r="AA256" i="1"/>
  <c r="G257" i="3"/>
  <c r="I258" i="1"/>
  <c r="V257" i="1"/>
  <c r="J257" i="1"/>
  <c r="G257" i="2"/>
  <c r="Y257" i="1"/>
  <c r="Z257" i="1" s="1"/>
  <c r="S257" i="1"/>
  <c r="N257" i="1"/>
  <c r="O257" i="1"/>
  <c r="R257" i="1"/>
  <c r="H256" i="2"/>
  <c r="AQ256" i="2"/>
  <c r="AR256" i="2"/>
  <c r="AN256" i="2"/>
  <c r="AM256" i="2"/>
  <c r="AJ256" i="2"/>
  <c r="AK256" i="2"/>
  <c r="AL256" i="2"/>
  <c r="AH256" i="2"/>
  <c r="AF256" i="2"/>
  <c r="AI256" i="2"/>
  <c r="AE256" i="2"/>
  <c r="AG256" i="2"/>
  <c r="AD256" i="2"/>
  <c r="AB256" i="2"/>
  <c r="AC256" i="2"/>
  <c r="AA256" i="2"/>
  <c r="Z256" i="2"/>
  <c r="Y256" i="2"/>
  <c r="V256" i="2"/>
  <c r="X256" i="2"/>
  <c r="W256" i="2"/>
  <c r="S256" i="2"/>
  <c r="U256" i="2"/>
  <c r="R256" i="2"/>
  <c r="T256" i="2"/>
  <c r="Q256" i="2"/>
  <c r="N256" i="2"/>
  <c r="P256" i="2"/>
  <c r="L256" i="2"/>
  <c r="M256" i="2"/>
  <c r="O256" i="2"/>
  <c r="I256" i="2"/>
  <c r="AO256" i="2"/>
  <c r="K256" i="2"/>
  <c r="J256" i="2"/>
  <c r="AP256" i="2"/>
  <c r="H256" i="3"/>
  <c r="AR256" i="3"/>
  <c r="AN256" i="3"/>
  <c r="AM256" i="3"/>
  <c r="AQ256" i="3"/>
  <c r="AL256" i="3"/>
  <c r="AI256" i="3"/>
  <c r="AK256" i="3"/>
  <c r="AJ256" i="3"/>
  <c r="AG256" i="3"/>
  <c r="AH256" i="3"/>
  <c r="AF256" i="3"/>
  <c r="AE256" i="3"/>
  <c r="AD256" i="3"/>
  <c r="AC256" i="3"/>
  <c r="Z256" i="3"/>
  <c r="AA256" i="3"/>
  <c r="AB256" i="3"/>
  <c r="X256" i="3"/>
  <c r="Y256" i="3"/>
  <c r="W256" i="3"/>
  <c r="V256" i="3"/>
  <c r="U256" i="3"/>
  <c r="R256" i="3"/>
  <c r="T256" i="3"/>
  <c r="O256" i="3"/>
  <c r="Q256" i="3"/>
  <c r="S256" i="3"/>
  <c r="M256" i="3"/>
  <c r="P256" i="3"/>
  <c r="K256" i="3"/>
  <c r="N256" i="3"/>
  <c r="L256" i="3"/>
  <c r="I256" i="3"/>
  <c r="J256" i="3"/>
  <c r="AO256" i="3"/>
  <c r="AP256" i="3"/>
  <c r="G258" i="3" l="1"/>
  <c r="I259" i="1"/>
  <c r="J258" i="1"/>
  <c r="V258" i="1"/>
  <c r="Y258" i="1"/>
  <c r="Z258" i="1" s="1"/>
  <c r="G258" i="2"/>
  <c r="R258" i="1"/>
  <c r="N258" i="1"/>
  <c r="O258" i="1"/>
  <c r="S258" i="1"/>
  <c r="H257" i="3"/>
  <c r="AR257" i="3"/>
  <c r="AN257" i="3"/>
  <c r="AQ257" i="3"/>
  <c r="AJ257" i="3"/>
  <c r="AM257" i="3"/>
  <c r="AL257" i="3"/>
  <c r="AK257" i="3"/>
  <c r="AG257" i="3"/>
  <c r="AI257" i="3"/>
  <c r="AH257" i="3"/>
  <c r="AF257" i="3"/>
  <c r="AE257" i="3"/>
  <c r="AD257" i="3"/>
  <c r="AA257" i="3"/>
  <c r="AC257" i="3"/>
  <c r="AB257" i="3"/>
  <c r="X257" i="3"/>
  <c r="Z257" i="3"/>
  <c r="Y257" i="3"/>
  <c r="V257" i="3"/>
  <c r="W257" i="3"/>
  <c r="U257" i="3"/>
  <c r="T257" i="3"/>
  <c r="S257" i="3"/>
  <c r="R257" i="3"/>
  <c r="Q257" i="3"/>
  <c r="P257" i="3"/>
  <c r="O257" i="3"/>
  <c r="N257" i="3"/>
  <c r="I257" i="3"/>
  <c r="K257" i="3"/>
  <c r="M257" i="3"/>
  <c r="L257" i="3"/>
  <c r="AP257" i="3"/>
  <c r="J257" i="3"/>
  <c r="AO257" i="3"/>
  <c r="H257" i="2"/>
  <c r="AR257" i="2"/>
  <c r="AN257" i="2"/>
  <c r="AQ257" i="2"/>
  <c r="AM257" i="2"/>
  <c r="AL257" i="2"/>
  <c r="AJ257" i="2"/>
  <c r="AK257" i="2"/>
  <c r="AH257" i="2"/>
  <c r="AF257" i="2"/>
  <c r="AI257" i="2"/>
  <c r="AE257" i="2"/>
  <c r="AG257" i="2"/>
  <c r="AB257" i="2"/>
  <c r="AD257" i="2"/>
  <c r="AA257" i="2"/>
  <c r="AC257" i="2"/>
  <c r="Y257" i="2"/>
  <c r="Z257" i="2"/>
  <c r="V257" i="2"/>
  <c r="X257" i="2"/>
  <c r="W257" i="2"/>
  <c r="S257" i="2"/>
  <c r="U257" i="2"/>
  <c r="R257" i="2"/>
  <c r="T257" i="2"/>
  <c r="P257" i="2"/>
  <c r="Q257" i="2"/>
  <c r="N257" i="2"/>
  <c r="O257" i="2"/>
  <c r="L257" i="2"/>
  <c r="I257" i="2"/>
  <c r="M257" i="2"/>
  <c r="J257" i="2"/>
  <c r="AO257" i="2"/>
  <c r="K257" i="2"/>
  <c r="AP257" i="2"/>
  <c r="L257" i="1"/>
  <c r="P257" i="1" s="1"/>
  <c r="AA257" i="1"/>
  <c r="W257" i="1"/>
  <c r="H258" i="2" l="1"/>
  <c r="AR258" i="2"/>
  <c r="AN258" i="2"/>
  <c r="AQ258" i="2"/>
  <c r="AL258" i="2"/>
  <c r="AM258" i="2"/>
  <c r="AJ258" i="2"/>
  <c r="AK258" i="2"/>
  <c r="AH258" i="2"/>
  <c r="AF258" i="2"/>
  <c r="AI258" i="2"/>
  <c r="AG258" i="2"/>
  <c r="AB258" i="2"/>
  <c r="AD258" i="2"/>
  <c r="AE258" i="2"/>
  <c r="AA258" i="2"/>
  <c r="AC258" i="2"/>
  <c r="Y258" i="2"/>
  <c r="Z258" i="2"/>
  <c r="X258" i="2"/>
  <c r="W258" i="2"/>
  <c r="V258" i="2"/>
  <c r="S258" i="2"/>
  <c r="U258" i="2"/>
  <c r="P258" i="2"/>
  <c r="R258" i="2"/>
  <c r="T258" i="2"/>
  <c r="Q258" i="2"/>
  <c r="N258" i="2"/>
  <c r="O258" i="2"/>
  <c r="J258" i="2"/>
  <c r="L258" i="2"/>
  <c r="K258" i="2"/>
  <c r="M258" i="2"/>
  <c r="I258" i="2"/>
  <c r="AO258" i="2"/>
  <c r="AP258" i="2"/>
  <c r="L258" i="1"/>
  <c r="P258" i="1" s="1"/>
  <c r="AA258" i="1"/>
  <c r="G259" i="3"/>
  <c r="I260" i="1"/>
  <c r="V259" i="1"/>
  <c r="J259" i="1"/>
  <c r="G259" i="2"/>
  <c r="Y259" i="1"/>
  <c r="Z259" i="1" s="1"/>
  <c r="N259" i="1"/>
  <c r="O259" i="1"/>
  <c r="R259" i="1"/>
  <c r="S259" i="1"/>
  <c r="H258" i="3"/>
  <c r="AR258" i="3"/>
  <c r="AQ258" i="3"/>
  <c r="AN258" i="3"/>
  <c r="AM258" i="3"/>
  <c r="AL258" i="3"/>
  <c r="AK258" i="3"/>
  <c r="AI258" i="3"/>
  <c r="AG258" i="3"/>
  <c r="AJ258" i="3"/>
  <c r="AF258" i="3"/>
  <c r="AH258" i="3"/>
  <c r="AE258" i="3"/>
  <c r="AD258" i="3"/>
  <c r="AC258" i="3"/>
  <c r="AB258" i="3"/>
  <c r="AA258" i="3"/>
  <c r="Z258" i="3"/>
  <c r="Y258" i="3"/>
  <c r="V258" i="3"/>
  <c r="X258" i="3"/>
  <c r="S258" i="3"/>
  <c r="W258" i="3"/>
  <c r="U258" i="3"/>
  <c r="T258" i="3"/>
  <c r="R258" i="3"/>
  <c r="O258" i="3"/>
  <c r="N258" i="3"/>
  <c r="Q258" i="3"/>
  <c r="P258" i="3"/>
  <c r="M258" i="3"/>
  <c r="L258" i="3"/>
  <c r="K258" i="3"/>
  <c r="AP258" i="3"/>
  <c r="J258" i="3"/>
  <c r="I258" i="3"/>
  <c r="AO258" i="3"/>
  <c r="W258" i="1"/>
  <c r="I261" i="1" l="1"/>
  <c r="G260" i="3"/>
  <c r="J260" i="1"/>
  <c r="V260" i="1"/>
  <c r="G260" i="2"/>
  <c r="Y260" i="1"/>
  <c r="Z260" i="1" s="1"/>
  <c r="S260" i="1"/>
  <c r="W260" i="1" s="1"/>
  <c r="R260" i="1"/>
  <c r="O260" i="1"/>
  <c r="N260" i="1"/>
  <c r="H259" i="2"/>
  <c r="AR259" i="2"/>
  <c r="AQ259" i="2"/>
  <c r="AN259" i="2"/>
  <c r="AM259" i="2"/>
  <c r="AK259" i="2"/>
  <c r="AL259" i="2"/>
  <c r="AH259" i="2"/>
  <c r="AJ259" i="2"/>
  <c r="AI259" i="2"/>
  <c r="AG259" i="2"/>
  <c r="AF259" i="2"/>
  <c r="AB259" i="2"/>
  <c r="AE259" i="2"/>
  <c r="AA259" i="2"/>
  <c r="AD259" i="2"/>
  <c r="AC259" i="2"/>
  <c r="Y259" i="2"/>
  <c r="W259" i="2"/>
  <c r="X259" i="2"/>
  <c r="Z259" i="2"/>
  <c r="V259" i="2"/>
  <c r="U259" i="2"/>
  <c r="T259" i="2"/>
  <c r="R259" i="2"/>
  <c r="S259" i="2"/>
  <c r="Q259" i="2"/>
  <c r="P259" i="2"/>
  <c r="O259" i="2"/>
  <c r="N259" i="2"/>
  <c r="L259" i="2"/>
  <c r="M259" i="2"/>
  <c r="I259" i="2"/>
  <c r="AO259" i="2"/>
  <c r="K259" i="2"/>
  <c r="J259" i="2"/>
  <c r="AP259" i="2"/>
  <c r="W259" i="1"/>
  <c r="H259" i="3"/>
  <c r="AR259" i="3"/>
  <c r="AQ259" i="3"/>
  <c r="AN259" i="3"/>
  <c r="AL259" i="3"/>
  <c r="AM259" i="3"/>
  <c r="AK259" i="3"/>
  <c r="AI259" i="3"/>
  <c r="AG259" i="3"/>
  <c r="AJ259" i="3"/>
  <c r="AF259" i="3"/>
  <c r="AH259" i="3"/>
  <c r="AE259" i="3"/>
  <c r="AB259" i="3"/>
  <c r="AD259" i="3"/>
  <c r="AC259" i="3"/>
  <c r="AA259" i="3"/>
  <c r="Y259" i="3"/>
  <c r="Z259" i="3"/>
  <c r="V259" i="3"/>
  <c r="X259" i="3"/>
  <c r="W259" i="3"/>
  <c r="S259" i="3"/>
  <c r="U259" i="3"/>
  <c r="R259" i="3"/>
  <c r="Q259" i="3"/>
  <c r="T259" i="3"/>
  <c r="P259" i="3"/>
  <c r="O259" i="3"/>
  <c r="N259" i="3"/>
  <c r="L259" i="3"/>
  <c r="I259" i="3"/>
  <c r="K259" i="3"/>
  <c r="M259" i="3"/>
  <c r="J259" i="3"/>
  <c r="AO259" i="3"/>
  <c r="AP259" i="3"/>
  <c r="L259" i="1"/>
  <c r="P259" i="1" s="1"/>
  <c r="AA259" i="1"/>
  <c r="H260" i="2" l="1"/>
  <c r="AR260" i="2"/>
  <c r="AQ260" i="2"/>
  <c r="AM260" i="2"/>
  <c r="AL260" i="2"/>
  <c r="AK260" i="2"/>
  <c r="AN260" i="2"/>
  <c r="AI260" i="2"/>
  <c r="AH260" i="2"/>
  <c r="AJ260" i="2"/>
  <c r="AG260" i="2"/>
  <c r="AF260" i="2"/>
  <c r="AE260" i="2"/>
  <c r="AD260" i="2"/>
  <c r="AC260" i="2"/>
  <c r="AB260" i="2"/>
  <c r="AA260" i="2"/>
  <c r="Y260" i="2"/>
  <c r="Z260" i="2"/>
  <c r="W260" i="2"/>
  <c r="X260" i="2"/>
  <c r="U260" i="2"/>
  <c r="T260" i="2"/>
  <c r="V260" i="2"/>
  <c r="P260" i="2"/>
  <c r="R260" i="2"/>
  <c r="S260" i="2"/>
  <c r="O260" i="2"/>
  <c r="Q260" i="2"/>
  <c r="N260" i="2"/>
  <c r="J260" i="2"/>
  <c r="M260" i="2"/>
  <c r="L260" i="2"/>
  <c r="I260" i="2"/>
  <c r="AO260" i="2"/>
  <c r="K260" i="2"/>
  <c r="AP260" i="2"/>
  <c r="H260" i="3"/>
  <c r="AQ260" i="3"/>
  <c r="AR260" i="3"/>
  <c r="AN260" i="3"/>
  <c r="AL260" i="3"/>
  <c r="AM260" i="3"/>
  <c r="AK260" i="3"/>
  <c r="AI260" i="3"/>
  <c r="AJ260" i="3"/>
  <c r="AH260" i="3"/>
  <c r="AF260" i="3"/>
  <c r="AG260" i="3"/>
  <c r="AB260" i="3"/>
  <c r="AE260" i="3"/>
  <c r="AD260" i="3"/>
  <c r="AC260" i="3"/>
  <c r="Y260" i="3"/>
  <c r="AA260" i="3"/>
  <c r="Z260" i="3"/>
  <c r="W260" i="3"/>
  <c r="V260" i="3"/>
  <c r="X260" i="3"/>
  <c r="S260" i="3"/>
  <c r="U260" i="3"/>
  <c r="P260" i="3"/>
  <c r="R260" i="3"/>
  <c r="Q260" i="3"/>
  <c r="T260" i="3"/>
  <c r="L260" i="3"/>
  <c r="O260" i="3"/>
  <c r="N260" i="3"/>
  <c r="J260" i="3"/>
  <c r="K260" i="3"/>
  <c r="M260" i="3"/>
  <c r="I260" i="3"/>
  <c r="AO260" i="3"/>
  <c r="AP260" i="3"/>
  <c r="I262" i="1"/>
  <c r="G261" i="3"/>
  <c r="J261" i="1"/>
  <c r="V261" i="1"/>
  <c r="Y261" i="1"/>
  <c r="Z261" i="1" s="1"/>
  <c r="G261" i="2"/>
  <c r="R261" i="1"/>
  <c r="S261" i="1"/>
  <c r="N261" i="1"/>
  <c r="O261" i="1"/>
  <c r="L260" i="1"/>
  <c r="P260" i="1" s="1"/>
  <c r="AA260" i="1"/>
  <c r="L261" i="1" l="1"/>
  <c r="P261" i="1" s="1"/>
  <c r="AA261" i="1"/>
  <c r="H261" i="3"/>
  <c r="AQ261" i="3"/>
  <c r="AR261" i="3"/>
  <c r="AN261" i="3"/>
  <c r="AL261" i="3"/>
  <c r="AK261" i="3"/>
  <c r="AM261" i="3"/>
  <c r="AH261" i="3"/>
  <c r="AJ261" i="3"/>
  <c r="AI261" i="3"/>
  <c r="AF261" i="3"/>
  <c r="AG261" i="3"/>
  <c r="AB261" i="3"/>
  <c r="AE261" i="3"/>
  <c r="AD261" i="3"/>
  <c r="AC261" i="3"/>
  <c r="W261" i="3"/>
  <c r="Y261" i="3"/>
  <c r="AA261" i="3"/>
  <c r="Z261" i="3"/>
  <c r="X261" i="3"/>
  <c r="V261" i="3"/>
  <c r="U261" i="3"/>
  <c r="T261" i="3"/>
  <c r="S261" i="3"/>
  <c r="P261" i="3"/>
  <c r="R261" i="3"/>
  <c r="O261" i="3"/>
  <c r="Q261" i="3"/>
  <c r="J261" i="3"/>
  <c r="N261" i="3"/>
  <c r="K261" i="3"/>
  <c r="M261" i="3"/>
  <c r="L261" i="3"/>
  <c r="AO261" i="3"/>
  <c r="I261" i="3"/>
  <c r="AP261" i="3"/>
  <c r="W261" i="1"/>
  <c r="G262" i="3"/>
  <c r="I263" i="1"/>
  <c r="J262" i="1"/>
  <c r="V262" i="1"/>
  <c r="G262" i="2"/>
  <c r="Y262" i="1"/>
  <c r="Z262" i="1" s="1"/>
  <c r="S262" i="1"/>
  <c r="N262" i="1"/>
  <c r="R262" i="1"/>
  <c r="O262" i="1"/>
  <c r="H261" i="2"/>
  <c r="AQ261" i="2"/>
  <c r="AR261" i="2"/>
  <c r="AM261" i="2"/>
  <c r="AL261" i="2"/>
  <c r="AK261" i="2"/>
  <c r="AN261" i="2"/>
  <c r="AI261" i="2"/>
  <c r="AH261" i="2"/>
  <c r="AJ261" i="2"/>
  <c r="AG261" i="2"/>
  <c r="AD261" i="2"/>
  <c r="AF261" i="2"/>
  <c r="AC261" i="2"/>
  <c r="AE261" i="2"/>
  <c r="AB261" i="2"/>
  <c r="AA261" i="2"/>
  <c r="Z261" i="2"/>
  <c r="U261" i="2"/>
  <c r="W261" i="2"/>
  <c r="Y261" i="2"/>
  <c r="X261" i="2"/>
  <c r="T261" i="2"/>
  <c r="V261" i="2"/>
  <c r="R261" i="2"/>
  <c r="S261" i="2"/>
  <c r="Q261" i="2"/>
  <c r="O261" i="2"/>
  <c r="P261" i="2"/>
  <c r="M261" i="2"/>
  <c r="N261" i="2"/>
  <c r="L261" i="2"/>
  <c r="K261" i="2"/>
  <c r="I261" i="2"/>
  <c r="J261" i="2"/>
  <c r="AP261" i="2"/>
  <c r="AO261" i="2"/>
  <c r="W262" i="1" l="1"/>
  <c r="H262" i="3"/>
  <c r="AR262" i="3"/>
  <c r="AQ262" i="3"/>
  <c r="AN262" i="3"/>
  <c r="AL262" i="3"/>
  <c r="AM262" i="3"/>
  <c r="AK262" i="3"/>
  <c r="AJ262" i="3"/>
  <c r="AH262" i="3"/>
  <c r="AI262" i="3"/>
  <c r="AF262" i="3"/>
  <c r="AG262" i="3"/>
  <c r="AD262" i="3"/>
  <c r="AE262" i="3"/>
  <c r="AC262" i="3"/>
  <c r="AB262" i="3"/>
  <c r="Y262" i="3"/>
  <c r="AA262" i="3"/>
  <c r="Z262" i="3"/>
  <c r="V262" i="3"/>
  <c r="X262" i="3"/>
  <c r="W262" i="3"/>
  <c r="U262" i="3"/>
  <c r="T262" i="3"/>
  <c r="S262" i="3"/>
  <c r="P262" i="3"/>
  <c r="R262" i="3"/>
  <c r="O262" i="3"/>
  <c r="Q262" i="3"/>
  <c r="M262" i="3"/>
  <c r="L262" i="3"/>
  <c r="J262" i="3"/>
  <c r="N262" i="3"/>
  <c r="K262" i="3"/>
  <c r="I262" i="3"/>
  <c r="AO262" i="3"/>
  <c r="AP262" i="3"/>
  <c r="H262" i="2"/>
  <c r="AQ262" i="2"/>
  <c r="AR262" i="2"/>
  <c r="AN262" i="2"/>
  <c r="AM262" i="2"/>
  <c r="AL262" i="2"/>
  <c r="AI262" i="2"/>
  <c r="AK262" i="2"/>
  <c r="AJ262" i="2"/>
  <c r="AH262" i="2"/>
  <c r="AG262" i="2"/>
  <c r="AF262" i="2"/>
  <c r="AC262" i="2"/>
  <c r="AE262" i="2"/>
  <c r="AD262" i="2"/>
  <c r="AB262" i="2"/>
  <c r="Z262" i="2"/>
  <c r="AA262" i="2"/>
  <c r="Y262" i="2"/>
  <c r="X262" i="2"/>
  <c r="U262" i="2"/>
  <c r="W262" i="2"/>
  <c r="T262" i="2"/>
  <c r="V262" i="2"/>
  <c r="Q262" i="2"/>
  <c r="R262" i="2"/>
  <c r="S262" i="2"/>
  <c r="M262" i="2"/>
  <c r="O262" i="2"/>
  <c r="P262" i="2"/>
  <c r="K262" i="2"/>
  <c r="N262" i="2"/>
  <c r="L262" i="2"/>
  <c r="J262" i="2"/>
  <c r="AP262" i="2"/>
  <c r="I262" i="2"/>
  <c r="AO262" i="2"/>
  <c r="L262" i="1"/>
  <c r="P262" i="1" s="1"/>
  <c r="AA262" i="1"/>
  <c r="G263" i="3"/>
  <c r="I264" i="1"/>
  <c r="V263" i="1"/>
  <c r="J263" i="1"/>
  <c r="G263" i="2"/>
  <c r="Y263" i="1"/>
  <c r="Z263" i="1" s="1"/>
  <c r="N263" i="1"/>
  <c r="O263" i="1"/>
  <c r="R263" i="1"/>
  <c r="S263" i="1"/>
  <c r="W263" i="1" s="1"/>
  <c r="H263" i="3" l="1"/>
  <c r="AQ263" i="3"/>
  <c r="AR263" i="3"/>
  <c r="AN263" i="3"/>
  <c r="AM263" i="3"/>
  <c r="AL263" i="3"/>
  <c r="AK263" i="3"/>
  <c r="AJ263" i="3"/>
  <c r="AI263" i="3"/>
  <c r="AH263" i="3"/>
  <c r="AG263" i="3"/>
  <c r="AD263" i="3"/>
  <c r="AF263" i="3"/>
  <c r="AC263" i="3"/>
  <c r="AE263" i="3"/>
  <c r="AB263" i="3"/>
  <c r="Z263" i="3"/>
  <c r="W263" i="3"/>
  <c r="AA263" i="3"/>
  <c r="U263" i="3"/>
  <c r="Y263" i="3"/>
  <c r="X263" i="3"/>
  <c r="T263" i="3"/>
  <c r="V263" i="3"/>
  <c r="S263" i="3"/>
  <c r="R263" i="3"/>
  <c r="Q263" i="3"/>
  <c r="O263" i="3"/>
  <c r="P263" i="3"/>
  <c r="M263" i="3"/>
  <c r="L263" i="3"/>
  <c r="N263" i="3"/>
  <c r="K263" i="3"/>
  <c r="I263" i="3"/>
  <c r="AO263" i="3"/>
  <c r="AP263" i="3"/>
  <c r="J263" i="3"/>
  <c r="H263" i="2"/>
  <c r="AR263" i="2"/>
  <c r="AN263" i="2"/>
  <c r="AQ263" i="2"/>
  <c r="AM263" i="2"/>
  <c r="AL263" i="2"/>
  <c r="AK263" i="2"/>
  <c r="AJ263" i="2"/>
  <c r="AI263" i="2"/>
  <c r="AH263" i="2"/>
  <c r="AD263" i="2"/>
  <c r="AG263" i="2"/>
  <c r="AF263" i="2"/>
  <c r="AC263" i="2"/>
  <c r="AE263" i="2"/>
  <c r="AB263" i="2"/>
  <c r="X263" i="2"/>
  <c r="AA263" i="2"/>
  <c r="Y263" i="2"/>
  <c r="Z263" i="2"/>
  <c r="W263" i="2"/>
  <c r="T263" i="2"/>
  <c r="V263" i="2"/>
  <c r="U263" i="2"/>
  <c r="Q263" i="2"/>
  <c r="R263" i="2"/>
  <c r="S263" i="2"/>
  <c r="O263" i="2"/>
  <c r="P263" i="2"/>
  <c r="M263" i="2"/>
  <c r="K263" i="2"/>
  <c r="N263" i="2"/>
  <c r="L263" i="2"/>
  <c r="J263" i="2"/>
  <c r="AP263" i="2"/>
  <c r="I263" i="2"/>
  <c r="AO263" i="2"/>
  <c r="L263" i="1"/>
  <c r="P263" i="1" s="1"/>
  <c r="AA263" i="1"/>
  <c r="I265" i="1"/>
  <c r="G264" i="3"/>
  <c r="V264" i="1"/>
  <c r="J264" i="1"/>
  <c r="G264" i="2"/>
  <c r="Y264" i="1"/>
  <c r="Z264" i="1" s="1"/>
  <c r="S264" i="1"/>
  <c r="W264" i="1" s="1"/>
  <c r="R264" i="1"/>
  <c r="O264" i="1"/>
  <c r="N264" i="1"/>
  <c r="G265" i="3" l="1"/>
  <c r="I266" i="1"/>
  <c r="V265" i="1"/>
  <c r="J265" i="1"/>
  <c r="G265" i="2"/>
  <c r="Y265" i="1"/>
  <c r="Z265" i="1" s="1"/>
  <c r="S265" i="1"/>
  <c r="W265" i="1" s="1"/>
  <c r="N265" i="1"/>
  <c r="R265" i="1"/>
  <c r="O265" i="1"/>
  <c r="H264" i="3"/>
  <c r="AR264" i="3"/>
  <c r="AQ264" i="3"/>
  <c r="AN264" i="3"/>
  <c r="AM264" i="3"/>
  <c r="AL264" i="3"/>
  <c r="AI264" i="3"/>
  <c r="AJ264" i="3"/>
  <c r="AK264" i="3"/>
  <c r="AH264" i="3"/>
  <c r="AG264" i="3"/>
  <c r="AE264" i="3"/>
  <c r="AF264" i="3"/>
  <c r="AC264" i="3"/>
  <c r="AD264" i="3"/>
  <c r="AA264" i="3"/>
  <c r="AB264" i="3"/>
  <c r="Z264" i="3"/>
  <c r="Y264" i="3"/>
  <c r="X264" i="3"/>
  <c r="U264" i="3"/>
  <c r="W264" i="3"/>
  <c r="R264" i="3"/>
  <c r="T264" i="3"/>
  <c r="V264" i="3"/>
  <c r="Q264" i="3"/>
  <c r="S264" i="3"/>
  <c r="M264" i="3"/>
  <c r="O264" i="3"/>
  <c r="P264" i="3"/>
  <c r="K264" i="3"/>
  <c r="L264" i="3"/>
  <c r="N264" i="3"/>
  <c r="I264" i="3"/>
  <c r="AO264" i="3"/>
  <c r="AP264" i="3"/>
  <c r="J264" i="3"/>
  <c r="H264" i="2"/>
  <c r="AN264" i="2"/>
  <c r="AR264" i="2"/>
  <c r="AM264" i="2"/>
  <c r="AQ264" i="2"/>
  <c r="AI264" i="2"/>
  <c r="AL264" i="2"/>
  <c r="AK264" i="2"/>
  <c r="AJ264" i="2"/>
  <c r="AH264" i="2"/>
  <c r="AF264" i="2"/>
  <c r="AG264" i="2"/>
  <c r="AE264" i="2"/>
  <c r="AD264" i="2"/>
  <c r="Z264" i="2"/>
  <c r="AC264" i="2"/>
  <c r="AB264" i="2"/>
  <c r="X264" i="2"/>
  <c r="AA264" i="2"/>
  <c r="Y264" i="2"/>
  <c r="W264" i="2"/>
  <c r="V264" i="2"/>
  <c r="U264" i="2"/>
  <c r="S264" i="2"/>
  <c r="Q264" i="2"/>
  <c r="T264" i="2"/>
  <c r="R264" i="2"/>
  <c r="P264" i="2"/>
  <c r="M264" i="2"/>
  <c r="K264" i="2"/>
  <c r="N264" i="2"/>
  <c r="O264" i="2"/>
  <c r="L264" i="2"/>
  <c r="I264" i="2"/>
  <c r="AO264" i="2"/>
  <c r="J264" i="2"/>
  <c r="AP264" i="2"/>
  <c r="L264" i="1"/>
  <c r="P264" i="1" s="1"/>
  <c r="AA264" i="1"/>
  <c r="L265" i="1" l="1"/>
  <c r="P265" i="1" s="1"/>
  <c r="AA265" i="1"/>
  <c r="H265" i="2"/>
  <c r="AR265" i="2"/>
  <c r="AN265" i="2"/>
  <c r="AQ265" i="2"/>
  <c r="AM265" i="2"/>
  <c r="AK265" i="2"/>
  <c r="AL265" i="2"/>
  <c r="AJ265" i="2"/>
  <c r="AI265" i="2"/>
  <c r="AH265" i="2"/>
  <c r="AF265" i="2"/>
  <c r="AG265" i="2"/>
  <c r="AE265" i="2"/>
  <c r="AD265" i="2"/>
  <c r="AC265" i="2"/>
  <c r="AB265" i="2"/>
  <c r="X265" i="2"/>
  <c r="AA265" i="2"/>
  <c r="Z265" i="2"/>
  <c r="V265" i="2"/>
  <c r="Y265" i="2"/>
  <c r="W265" i="2"/>
  <c r="U265" i="2"/>
  <c r="S265" i="2"/>
  <c r="T265" i="2"/>
  <c r="R265" i="2"/>
  <c r="P265" i="2"/>
  <c r="Q265" i="2"/>
  <c r="N265" i="2"/>
  <c r="M265" i="2"/>
  <c r="O265" i="2"/>
  <c r="L265" i="2"/>
  <c r="AO265" i="2"/>
  <c r="J265" i="2"/>
  <c r="K265" i="2"/>
  <c r="I265" i="2"/>
  <c r="AP265" i="2"/>
  <c r="I267" i="1"/>
  <c r="G266" i="3"/>
  <c r="V266" i="1"/>
  <c r="J266" i="1"/>
  <c r="G266" i="2"/>
  <c r="Y266" i="1"/>
  <c r="Z266" i="1" s="1"/>
  <c r="R266" i="1"/>
  <c r="O266" i="1"/>
  <c r="S266" i="1"/>
  <c r="W266" i="1" s="1"/>
  <c r="N266" i="1"/>
  <c r="H265" i="3"/>
  <c r="AR265" i="3"/>
  <c r="AN265" i="3"/>
  <c r="AQ265" i="3"/>
  <c r="AM265" i="3"/>
  <c r="AL265" i="3"/>
  <c r="AI265" i="3"/>
  <c r="AJ265" i="3"/>
  <c r="AK265" i="3"/>
  <c r="AH265" i="3"/>
  <c r="AG265" i="3"/>
  <c r="AD265" i="3"/>
  <c r="AF265" i="3"/>
  <c r="AA265" i="3"/>
  <c r="AC265" i="3"/>
  <c r="AE265" i="3"/>
  <c r="AB265" i="3"/>
  <c r="X265" i="3"/>
  <c r="Z265" i="3"/>
  <c r="Y265" i="3"/>
  <c r="W265" i="3"/>
  <c r="U265" i="3"/>
  <c r="R265" i="3"/>
  <c r="T265" i="3"/>
  <c r="V265" i="3"/>
  <c r="Q265" i="3"/>
  <c r="S265" i="3"/>
  <c r="O265" i="3"/>
  <c r="P265" i="3"/>
  <c r="M265" i="3"/>
  <c r="K265" i="3"/>
  <c r="L265" i="3"/>
  <c r="N265" i="3"/>
  <c r="I265" i="3"/>
  <c r="AO265" i="3"/>
  <c r="AP265" i="3"/>
  <c r="J265" i="3"/>
  <c r="L266" i="1" l="1"/>
  <c r="P266" i="1" s="1"/>
  <c r="AA266" i="1"/>
  <c r="G267" i="3"/>
  <c r="I268" i="1"/>
  <c r="V267" i="1"/>
  <c r="J267" i="1"/>
  <c r="G267" i="2"/>
  <c r="Y267" i="1"/>
  <c r="Z267" i="1" s="1"/>
  <c r="S267" i="1"/>
  <c r="N267" i="1"/>
  <c r="O267" i="1"/>
  <c r="R267" i="1"/>
  <c r="H266" i="2"/>
  <c r="AQ266" i="2"/>
  <c r="AR266" i="2"/>
  <c r="AN266" i="2"/>
  <c r="AM266" i="2"/>
  <c r="AL266" i="2"/>
  <c r="AJ266" i="2"/>
  <c r="AK266" i="2"/>
  <c r="AF266" i="2"/>
  <c r="AH266" i="2"/>
  <c r="AI266" i="2"/>
  <c r="AG266" i="2"/>
  <c r="AE266" i="2"/>
  <c r="AD266" i="2"/>
  <c r="AB266" i="2"/>
  <c r="AC266" i="2"/>
  <c r="AA266" i="2"/>
  <c r="Z266" i="2"/>
  <c r="Y266" i="2"/>
  <c r="X266" i="2"/>
  <c r="V266" i="2"/>
  <c r="W266" i="2"/>
  <c r="S266" i="2"/>
  <c r="U266" i="2"/>
  <c r="R266" i="2"/>
  <c r="T266" i="2"/>
  <c r="N266" i="2"/>
  <c r="P266" i="2"/>
  <c r="Q266" i="2"/>
  <c r="O266" i="2"/>
  <c r="L266" i="2"/>
  <c r="M266" i="2"/>
  <c r="I266" i="2"/>
  <c r="AO266" i="2"/>
  <c r="J266" i="2"/>
  <c r="K266" i="2"/>
  <c r="AP266" i="2"/>
  <c r="H266" i="3"/>
  <c r="AR266" i="3"/>
  <c r="AN266" i="3"/>
  <c r="AM266" i="3"/>
  <c r="AQ266" i="3"/>
  <c r="AL266" i="3"/>
  <c r="AI266" i="3"/>
  <c r="AK266" i="3"/>
  <c r="AJ266" i="3"/>
  <c r="AG266" i="3"/>
  <c r="AH266" i="3"/>
  <c r="AF266" i="3"/>
  <c r="AC266" i="3"/>
  <c r="AD266" i="3"/>
  <c r="AE266" i="3"/>
  <c r="AB266" i="3"/>
  <c r="Z266" i="3"/>
  <c r="AA266" i="3"/>
  <c r="X266" i="3"/>
  <c r="Y266" i="3"/>
  <c r="W266" i="3"/>
  <c r="V266" i="3"/>
  <c r="R266" i="3"/>
  <c r="T266" i="3"/>
  <c r="U266" i="3"/>
  <c r="O266" i="3"/>
  <c r="Q266" i="3"/>
  <c r="S266" i="3"/>
  <c r="P266" i="3"/>
  <c r="M266" i="3"/>
  <c r="N266" i="3"/>
  <c r="K266" i="3"/>
  <c r="L266" i="3"/>
  <c r="I266" i="3"/>
  <c r="J266" i="3"/>
  <c r="AO266" i="3"/>
  <c r="AP266" i="3"/>
  <c r="H267" i="2" l="1"/>
  <c r="AR267" i="2"/>
  <c r="AQ267" i="2"/>
  <c r="AN267" i="2"/>
  <c r="AM267" i="2"/>
  <c r="AL267" i="2"/>
  <c r="AJ267" i="2"/>
  <c r="AK267" i="2"/>
  <c r="AF267" i="2"/>
  <c r="AI267" i="2"/>
  <c r="AG267" i="2"/>
  <c r="AE267" i="2"/>
  <c r="AH267" i="2"/>
  <c r="AB267" i="2"/>
  <c r="AD267" i="2"/>
  <c r="AA267" i="2"/>
  <c r="AC267" i="2"/>
  <c r="Z267" i="2"/>
  <c r="Y267" i="2"/>
  <c r="X267" i="2"/>
  <c r="V267" i="2"/>
  <c r="W267" i="2"/>
  <c r="S267" i="2"/>
  <c r="U267" i="2"/>
  <c r="R267" i="2"/>
  <c r="T267" i="2"/>
  <c r="P267" i="2"/>
  <c r="N267" i="2"/>
  <c r="Q267" i="2"/>
  <c r="O267" i="2"/>
  <c r="L267" i="2"/>
  <c r="I267" i="2"/>
  <c r="M267" i="2"/>
  <c r="J267" i="2"/>
  <c r="K267" i="2"/>
  <c r="AO267" i="2"/>
  <c r="AP267" i="2"/>
  <c r="L267" i="1"/>
  <c r="P267" i="1" s="1"/>
  <c r="AA267" i="1"/>
  <c r="G268" i="3"/>
  <c r="I269" i="1"/>
  <c r="J268" i="1"/>
  <c r="V268" i="1"/>
  <c r="Y268" i="1"/>
  <c r="Z268" i="1" s="1"/>
  <c r="G268" i="2"/>
  <c r="N268" i="1"/>
  <c r="R268" i="1"/>
  <c r="O268" i="1"/>
  <c r="S268" i="1"/>
  <c r="H267" i="3"/>
  <c r="AN267" i="3"/>
  <c r="AR267" i="3"/>
  <c r="AQ267" i="3"/>
  <c r="AM267" i="3"/>
  <c r="AJ267" i="3"/>
  <c r="AL267" i="3"/>
  <c r="AK267" i="3"/>
  <c r="AG267" i="3"/>
  <c r="AI267" i="3"/>
  <c r="AH267" i="3"/>
  <c r="AF267" i="3"/>
  <c r="AE267" i="3"/>
  <c r="AA267" i="3"/>
  <c r="AC267" i="3"/>
  <c r="AD267" i="3"/>
  <c r="AB267" i="3"/>
  <c r="Z267" i="3"/>
  <c r="X267" i="3"/>
  <c r="Y267" i="3"/>
  <c r="V267" i="3"/>
  <c r="W267" i="3"/>
  <c r="U267" i="3"/>
  <c r="S267" i="3"/>
  <c r="R267" i="3"/>
  <c r="T267" i="3"/>
  <c r="P267" i="3"/>
  <c r="Q267" i="3"/>
  <c r="O267" i="3"/>
  <c r="N267" i="3"/>
  <c r="I267" i="3"/>
  <c r="M267" i="3"/>
  <c r="K267" i="3"/>
  <c r="L267" i="3"/>
  <c r="AP267" i="3"/>
  <c r="J267" i="3"/>
  <c r="AO267" i="3"/>
  <c r="W267" i="1"/>
  <c r="H268" i="2" l="1"/>
  <c r="AR268" i="2"/>
  <c r="AQ268" i="2"/>
  <c r="AN268" i="2"/>
  <c r="AM268" i="2"/>
  <c r="AL268" i="2"/>
  <c r="AJ268" i="2"/>
  <c r="AK268" i="2"/>
  <c r="AH268" i="2"/>
  <c r="AI268" i="2"/>
  <c r="AF268" i="2"/>
  <c r="AG268" i="2"/>
  <c r="AB268" i="2"/>
  <c r="AE268" i="2"/>
  <c r="AD268" i="2"/>
  <c r="AA268" i="2"/>
  <c r="AC268" i="2"/>
  <c r="Z268" i="2"/>
  <c r="Y268" i="2"/>
  <c r="X268" i="2"/>
  <c r="W268" i="2"/>
  <c r="U268" i="2"/>
  <c r="S268" i="2"/>
  <c r="V268" i="2"/>
  <c r="T268" i="2"/>
  <c r="P268" i="2"/>
  <c r="R268" i="2"/>
  <c r="N268" i="2"/>
  <c r="Q268" i="2"/>
  <c r="O268" i="2"/>
  <c r="J268" i="2"/>
  <c r="L268" i="2"/>
  <c r="M268" i="2"/>
  <c r="K268" i="2"/>
  <c r="I268" i="2"/>
  <c r="AP268" i="2"/>
  <c r="AO268" i="2"/>
  <c r="L268" i="1"/>
  <c r="P268" i="1" s="1"/>
  <c r="AA268" i="1"/>
  <c r="G269" i="3"/>
  <c r="I270" i="1"/>
  <c r="V269" i="1"/>
  <c r="J269" i="1"/>
  <c r="G269" i="2"/>
  <c r="Y269" i="1"/>
  <c r="Z269" i="1" s="1"/>
  <c r="S269" i="1"/>
  <c r="W269" i="1" s="1"/>
  <c r="O269" i="1"/>
  <c r="N269" i="1"/>
  <c r="R269" i="1"/>
  <c r="W268" i="1"/>
  <c r="H268" i="3"/>
  <c r="AR268" i="3"/>
  <c r="AQ268" i="3"/>
  <c r="AN268" i="3"/>
  <c r="AM268" i="3"/>
  <c r="AL268" i="3"/>
  <c r="AK268" i="3"/>
  <c r="AJ268" i="3"/>
  <c r="AG268" i="3"/>
  <c r="AI268" i="3"/>
  <c r="AF268" i="3"/>
  <c r="AH268" i="3"/>
  <c r="AE268" i="3"/>
  <c r="AC268" i="3"/>
  <c r="AD268" i="3"/>
  <c r="AB268" i="3"/>
  <c r="AA268" i="3"/>
  <c r="Z268" i="3"/>
  <c r="Y268" i="3"/>
  <c r="V268" i="3"/>
  <c r="W268" i="3"/>
  <c r="X268" i="3"/>
  <c r="U268" i="3"/>
  <c r="S268" i="3"/>
  <c r="T268" i="3"/>
  <c r="R268" i="3"/>
  <c r="N268" i="3"/>
  <c r="P268" i="3"/>
  <c r="Q268" i="3"/>
  <c r="O268" i="3"/>
  <c r="M268" i="3"/>
  <c r="L268" i="3"/>
  <c r="AP268" i="3"/>
  <c r="J268" i="3"/>
  <c r="K268" i="3"/>
  <c r="I268" i="3"/>
  <c r="AO268" i="3"/>
  <c r="H269" i="2" l="1"/>
  <c r="AQ269" i="2"/>
  <c r="AR269" i="2"/>
  <c r="AN269" i="2"/>
  <c r="AK269" i="2"/>
  <c r="AM269" i="2"/>
  <c r="AL269" i="2"/>
  <c r="AH269" i="2"/>
  <c r="AJ269" i="2"/>
  <c r="AI269" i="2"/>
  <c r="AG269" i="2"/>
  <c r="AF269" i="2"/>
  <c r="AB269" i="2"/>
  <c r="AE269" i="2"/>
  <c r="AD269" i="2"/>
  <c r="AC269" i="2"/>
  <c r="AA269" i="2"/>
  <c r="Z269" i="2"/>
  <c r="Y269" i="2"/>
  <c r="W269" i="2"/>
  <c r="X269" i="2"/>
  <c r="U269" i="2"/>
  <c r="V269" i="2"/>
  <c r="T269" i="2"/>
  <c r="S269" i="2"/>
  <c r="R269" i="2"/>
  <c r="P269" i="2"/>
  <c r="Q269" i="2"/>
  <c r="O269" i="2"/>
  <c r="L269" i="2"/>
  <c r="M269" i="2"/>
  <c r="N269" i="2"/>
  <c r="K269" i="2"/>
  <c r="I269" i="2"/>
  <c r="J269" i="2"/>
  <c r="AO269" i="2"/>
  <c r="AP269" i="2"/>
  <c r="L269" i="1"/>
  <c r="P269" i="1" s="1"/>
  <c r="AA269" i="1"/>
  <c r="G270" i="3"/>
  <c r="I271" i="1"/>
  <c r="J270" i="1"/>
  <c r="V270" i="1"/>
  <c r="G270" i="2"/>
  <c r="Y270" i="1"/>
  <c r="Z270" i="1" s="1"/>
  <c r="S270" i="1"/>
  <c r="W270" i="1" s="1"/>
  <c r="N270" i="1"/>
  <c r="O270" i="1"/>
  <c r="R270" i="1"/>
  <c r="H269" i="3"/>
  <c r="AR269" i="3"/>
  <c r="AQ269" i="3"/>
  <c r="AN269" i="3"/>
  <c r="AM269" i="3"/>
  <c r="AL269" i="3"/>
  <c r="AK269" i="3"/>
  <c r="AJ269" i="3"/>
  <c r="AG269" i="3"/>
  <c r="AI269" i="3"/>
  <c r="AF269" i="3"/>
  <c r="AH269" i="3"/>
  <c r="AE269" i="3"/>
  <c r="AD269" i="3"/>
  <c r="AB269" i="3"/>
  <c r="AC269" i="3"/>
  <c r="AA269" i="3"/>
  <c r="Y269" i="3"/>
  <c r="Z269" i="3"/>
  <c r="V269" i="3"/>
  <c r="W269" i="3"/>
  <c r="X269" i="3"/>
  <c r="U269" i="3"/>
  <c r="S269" i="3"/>
  <c r="T269" i="3"/>
  <c r="Q269" i="3"/>
  <c r="R269" i="3"/>
  <c r="P269" i="3"/>
  <c r="N269" i="3"/>
  <c r="O269" i="3"/>
  <c r="L269" i="3"/>
  <c r="I269" i="3"/>
  <c r="M269" i="3"/>
  <c r="K269" i="3"/>
  <c r="J269" i="3"/>
  <c r="AP269" i="3"/>
  <c r="AO269" i="3"/>
  <c r="H270" i="2" l="1"/>
  <c r="AR270" i="2"/>
  <c r="AQ270" i="2"/>
  <c r="AN270" i="2"/>
  <c r="AL270" i="2"/>
  <c r="AK270" i="2"/>
  <c r="AM270" i="2"/>
  <c r="AH270" i="2"/>
  <c r="AG270" i="2"/>
  <c r="AI270" i="2"/>
  <c r="AJ270" i="2"/>
  <c r="AF270" i="2"/>
  <c r="AE270" i="2"/>
  <c r="AD270" i="2"/>
  <c r="AC270" i="2"/>
  <c r="AA270" i="2"/>
  <c r="AB270" i="2"/>
  <c r="Z270" i="2"/>
  <c r="Y270" i="2"/>
  <c r="W270" i="2"/>
  <c r="X270" i="2"/>
  <c r="U270" i="2"/>
  <c r="T270" i="2"/>
  <c r="V270" i="2"/>
  <c r="S270" i="2"/>
  <c r="P270" i="2"/>
  <c r="R270" i="2"/>
  <c r="Q270" i="2"/>
  <c r="O270" i="2"/>
  <c r="J270" i="2"/>
  <c r="M270" i="2"/>
  <c r="N270" i="2"/>
  <c r="L270" i="2"/>
  <c r="K270" i="2"/>
  <c r="I270" i="2"/>
  <c r="AO270" i="2"/>
  <c r="AP270" i="2"/>
  <c r="L270" i="1"/>
  <c r="P270" i="1" s="1"/>
  <c r="AA270" i="1"/>
  <c r="I272" i="1"/>
  <c r="G271" i="3"/>
  <c r="J271" i="1"/>
  <c r="V271" i="1"/>
  <c r="Y271" i="1"/>
  <c r="Z271" i="1" s="1"/>
  <c r="G271" i="2"/>
  <c r="R271" i="1"/>
  <c r="S271" i="1"/>
  <c r="W271" i="1" s="1"/>
  <c r="O271" i="1"/>
  <c r="N271" i="1"/>
  <c r="H270" i="3"/>
  <c r="AQ270" i="3"/>
  <c r="AR270" i="3"/>
  <c r="AN270" i="3"/>
  <c r="AM270" i="3"/>
  <c r="AK270" i="3"/>
  <c r="AL270" i="3"/>
  <c r="AJ270" i="3"/>
  <c r="AI270" i="3"/>
  <c r="AH270" i="3"/>
  <c r="AG270" i="3"/>
  <c r="AF270" i="3"/>
  <c r="AE270" i="3"/>
  <c r="AD270" i="3"/>
  <c r="AB270" i="3"/>
  <c r="AC270" i="3"/>
  <c r="AA270" i="3"/>
  <c r="Y270" i="3"/>
  <c r="Z270" i="3"/>
  <c r="W270" i="3"/>
  <c r="X270" i="3"/>
  <c r="V270" i="3"/>
  <c r="U270" i="3"/>
  <c r="S270" i="3"/>
  <c r="P270" i="3"/>
  <c r="T270" i="3"/>
  <c r="Q270" i="3"/>
  <c r="R270" i="3"/>
  <c r="O270" i="3"/>
  <c r="L270" i="3"/>
  <c r="N270" i="3"/>
  <c r="J270" i="3"/>
  <c r="M270" i="3"/>
  <c r="K270" i="3"/>
  <c r="AO270" i="3"/>
  <c r="AP270" i="3"/>
  <c r="I270" i="3"/>
  <c r="H271" i="2" l="1"/>
  <c r="AR271" i="2"/>
  <c r="AN271" i="2"/>
  <c r="AQ271" i="2"/>
  <c r="AM271" i="2"/>
  <c r="AL271" i="2"/>
  <c r="AK271" i="2"/>
  <c r="AI271" i="2"/>
  <c r="AH271" i="2"/>
  <c r="AJ271" i="2"/>
  <c r="AG271" i="2"/>
  <c r="AD271" i="2"/>
  <c r="AF271" i="2"/>
  <c r="AC271" i="2"/>
  <c r="AE271" i="2"/>
  <c r="AA271" i="2"/>
  <c r="AB271" i="2"/>
  <c r="U271" i="2"/>
  <c r="W271" i="2"/>
  <c r="X271" i="2"/>
  <c r="Y271" i="2"/>
  <c r="Z271" i="2"/>
  <c r="T271" i="2"/>
  <c r="V271" i="2"/>
  <c r="S271" i="2"/>
  <c r="R271" i="2"/>
  <c r="Q271" i="2"/>
  <c r="O271" i="2"/>
  <c r="P271" i="2"/>
  <c r="M271" i="2"/>
  <c r="L271" i="2"/>
  <c r="N271" i="2"/>
  <c r="K271" i="2"/>
  <c r="I271" i="2"/>
  <c r="J271" i="2"/>
  <c r="AP271" i="2"/>
  <c r="AO271" i="2"/>
  <c r="L271" i="1"/>
  <c r="P271" i="1" s="1"/>
  <c r="AA271" i="1"/>
  <c r="H271" i="3"/>
  <c r="AR271" i="3"/>
  <c r="AQ271" i="3"/>
  <c r="AN271" i="3"/>
  <c r="AL271" i="3"/>
  <c r="AK271" i="3"/>
  <c r="AM271" i="3"/>
  <c r="AH271" i="3"/>
  <c r="AJ271" i="3"/>
  <c r="AI271" i="3"/>
  <c r="AG271" i="3"/>
  <c r="AF271" i="3"/>
  <c r="AD271" i="3"/>
  <c r="AB271" i="3"/>
  <c r="AC271" i="3"/>
  <c r="AE271" i="3"/>
  <c r="AA271" i="3"/>
  <c r="W271" i="3"/>
  <c r="Y271" i="3"/>
  <c r="Z271" i="3"/>
  <c r="X271" i="3"/>
  <c r="V271" i="3"/>
  <c r="U271" i="3"/>
  <c r="T271" i="3"/>
  <c r="R271" i="3"/>
  <c r="P271" i="3"/>
  <c r="S271" i="3"/>
  <c r="O271" i="3"/>
  <c r="Q271" i="3"/>
  <c r="N271" i="3"/>
  <c r="J271" i="3"/>
  <c r="M271" i="3"/>
  <c r="L271" i="3"/>
  <c r="K271" i="3"/>
  <c r="AO271" i="3"/>
  <c r="AP271" i="3"/>
  <c r="I271" i="3"/>
  <c r="G272" i="3"/>
  <c r="I273" i="1"/>
  <c r="V272" i="1"/>
  <c r="J272" i="1"/>
  <c r="G272" i="2"/>
  <c r="Y272" i="1"/>
  <c r="Z272" i="1" s="1"/>
  <c r="S272" i="1"/>
  <c r="W272" i="1" s="1"/>
  <c r="N272" i="1"/>
  <c r="R272" i="1"/>
  <c r="O272" i="1"/>
  <c r="G273" i="3" l="1"/>
  <c r="I274" i="1"/>
  <c r="V273" i="1"/>
  <c r="J273" i="1"/>
  <c r="G273" i="2"/>
  <c r="Y273" i="1"/>
  <c r="Z273" i="1" s="1"/>
  <c r="N273" i="1"/>
  <c r="O273" i="1"/>
  <c r="R273" i="1"/>
  <c r="S273" i="1"/>
  <c r="H272" i="2"/>
  <c r="AR272" i="2"/>
  <c r="AQ272" i="2"/>
  <c r="AN272" i="2"/>
  <c r="AM272" i="2"/>
  <c r="AL272" i="2"/>
  <c r="AI272" i="2"/>
  <c r="AK272" i="2"/>
  <c r="AJ272" i="2"/>
  <c r="AG272" i="2"/>
  <c r="AH272" i="2"/>
  <c r="AF272" i="2"/>
  <c r="AC272" i="2"/>
  <c r="AE272" i="2"/>
  <c r="AD272" i="2"/>
  <c r="AB272" i="2"/>
  <c r="Z272" i="2"/>
  <c r="AA272" i="2"/>
  <c r="Y272" i="2"/>
  <c r="X272" i="2"/>
  <c r="U272" i="2"/>
  <c r="W272" i="2"/>
  <c r="V272" i="2"/>
  <c r="T272" i="2"/>
  <c r="Q272" i="2"/>
  <c r="S272" i="2"/>
  <c r="R272" i="2"/>
  <c r="M272" i="2"/>
  <c r="O272" i="2"/>
  <c r="P272" i="2"/>
  <c r="K272" i="2"/>
  <c r="L272" i="2"/>
  <c r="N272" i="2"/>
  <c r="AP272" i="2"/>
  <c r="I272" i="2"/>
  <c r="J272" i="2"/>
  <c r="AO272" i="2"/>
  <c r="H272" i="3"/>
  <c r="AR272" i="3"/>
  <c r="AQ272" i="3"/>
  <c r="AN272" i="3"/>
  <c r="AL272" i="3"/>
  <c r="AM272" i="3"/>
  <c r="AK272" i="3"/>
  <c r="AI272" i="3"/>
  <c r="AH272" i="3"/>
  <c r="AJ272" i="3"/>
  <c r="AG272" i="3"/>
  <c r="AF272" i="3"/>
  <c r="AD272" i="3"/>
  <c r="AE272" i="3"/>
  <c r="AC272" i="3"/>
  <c r="AB272" i="3"/>
  <c r="AA272" i="3"/>
  <c r="Y272" i="3"/>
  <c r="Z272" i="3"/>
  <c r="X272" i="3"/>
  <c r="W272" i="3"/>
  <c r="V272" i="3"/>
  <c r="U272" i="3"/>
  <c r="T272" i="3"/>
  <c r="R272" i="3"/>
  <c r="P272" i="3"/>
  <c r="S272" i="3"/>
  <c r="O272" i="3"/>
  <c r="Q272" i="3"/>
  <c r="N272" i="3"/>
  <c r="J272" i="3"/>
  <c r="M272" i="3"/>
  <c r="L272" i="3"/>
  <c r="AO272" i="3"/>
  <c r="K272" i="3"/>
  <c r="AP272" i="3"/>
  <c r="I272" i="3"/>
  <c r="L272" i="1"/>
  <c r="P272" i="1" s="1"/>
  <c r="AA272" i="1"/>
  <c r="H273" i="2" l="1"/>
  <c r="AR273" i="2"/>
  <c r="AQ273" i="2"/>
  <c r="AN273" i="2"/>
  <c r="AL273" i="2"/>
  <c r="AM273" i="2"/>
  <c r="AK273" i="2"/>
  <c r="AJ273" i="2"/>
  <c r="AI273" i="2"/>
  <c r="AH273" i="2"/>
  <c r="AG273" i="2"/>
  <c r="AF273" i="2"/>
  <c r="AC273" i="2"/>
  <c r="AD273" i="2"/>
  <c r="AE273" i="2"/>
  <c r="AB273" i="2"/>
  <c r="X273" i="2"/>
  <c r="Z273" i="2"/>
  <c r="AA273" i="2"/>
  <c r="Y273" i="2"/>
  <c r="V273" i="2"/>
  <c r="U273" i="2"/>
  <c r="W273" i="2"/>
  <c r="T273" i="2"/>
  <c r="Q273" i="2"/>
  <c r="S273" i="2"/>
  <c r="R273" i="2"/>
  <c r="O273" i="2"/>
  <c r="P273" i="2"/>
  <c r="N273" i="2"/>
  <c r="K273" i="2"/>
  <c r="M273" i="2"/>
  <c r="L273" i="2"/>
  <c r="AP273" i="2"/>
  <c r="I273" i="2"/>
  <c r="J273" i="2"/>
  <c r="AO273" i="2"/>
  <c r="L273" i="1"/>
  <c r="P273" i="1" s="1"/>
  <c r="AA273" i="1"/>
  <c r="G274" i="3"/>
  <c r="I275" i="1"/>
  <c r="J274" i="1"/>
  <c r="V274" i="1"/>
  <c r="G274" i="2"/>
  <c r="Y274" i="1"/>
  <c r="Z274" i="1" s="1"/>
  <c r="R274" i="1"/>
  <c r="O274" i="1"/>
  <c r="S274" i="1"/>
  <c r="W274" i="1" s="1"/>
  <c r="N274" i="1"/>
  <c r="W273" i="1"/>
  <c r="H273" i="3"/>
  <c r="AR273" i="3"/>
  <c r="AQ273" i="3"/>
  <c r="AM273" i="3"/>
  <c r="AN273" i="3"/>
  <c r="AL273" i="3"/>
  <c r="AK273" i="3"/>
  <c r="AJ273" i="3"/>
  <c r="AI273" i="3"/>
  <c r="AH273" i="3"/>
  <c r="AD273" i="3"/>
  <c r="AG273" i="3"/>
  <c r="AF273" i="3"/>
  <c r="AC273" i="3"/>
  <c r="AE273" i="3"/>
  <c r="AB273" i="3"/>
  <c r="AA273" i="3"/>
  <c r="W273" i="3"/>
  <c r="Z273" i="3"/>
  <c r="U273" i="3"/>
  <c r="X273" i="3"/>
  <c r="Y273" i="3"/>
  <c r="V273" i="3"/>
  <c r="T273" i="3"/>
  <c r="R273" i="3"/>
  <c r="S273" i="3"/>
  <c r="Q273" i="3"/>
  <c r="P273" i="3"/>
  <c r="O273" i="3"/>
  <c r="M273" i="3"/>
  <c r="N273" i="3"/>
  <c r="L273" i="3"/>
  <c r="K273" i="3"/>
  <c r="I273" i="3"/>
  <c r="AO273" i="3"/>
  <c r="J273" i="3"/>
  <c r="AP273" i="3"/>
  <c r="L274" i="1" l="1"/>
  <c r="P274" i="1" s="1"/>
  <c r="AA274" i="1"/>
  <c r="G275" i="3"/>
  <c r="I276" i="1"/>
  <c r="V275" i="1"/>
  <c r="J275" i="1"/>
  <c r="G275" i="2"/>
  <c r="Y275" i="1"/>
  <c r="Z275" i="1" s="1"/>
  <c r="S275" i="1"/>
  <c r="N275" i="1"/>
  <c r="R275" i="1"/>
  <c r="O275" i="1"/>
  <c r="H274" i="2"/>
  <c r="AQ274" i="2"/>
  <c r="AN274" i="2"/>
  <c r="AR274" i="2"/>
  <c r="AM274" i="2"/>
  <c r="AL274" i="2"/>
  <c r="AI274" i="2"/>
  <c r="AK274" i="2"/>
  <c r="AJ274" i="2"/>
  <c r="AH274" i="2"/>
  <c r="AG274" i="2"/>
  <c r="AF274" i="2"/>
  <c r="AE274" i="2"/>
  <c r="AD274" i="2"/>
  <c r="AC274" i="2"/>
  <c r="AB274" i="2"/>
  <c r="Z274" i="2"/>
  <c r="X274" i="2"/>
  <c r="AA274" i="2"/>
  <c r="W274" i="2"/>
  <c r="Y274" i="2"/>
  <c r="V274" i="2"/>
  <c r="U274" i="2"/>
  <c r="T274" i="2"/>
  <c r="Q274" i="2"/>
  <c r="S274" i="2"/>
  <c r="R274" i="2"/>
  <c r="M274" i="2"/>
  <c r="P274" i="2"/>
  <c r="O274" i="2"/>
  <c r="N274" i="2"/>
  <c r="K274" i="2"/>
  <c r="L274" i="2"/>
  <c r="I274" i="2"/>
  <c r="AO274" i="2"/>
  <c r="AP274" i="2"/>
  <c r="J274" i="2"/>
  <c r="H274" i="3"/>
  <c r="AR274" i="3"/>
  <c r="AN274" i="3"/>
  <c r="AM274" i="3"/>
  <c r="AQ274" i="3"/>
  <c r="AL274" i="3"/>
  <c r="AJ274" i="3"/>
  <c r="AI274" i="3"/>
  <c r="AK274" i="3"/>
  <c r="AE274" i="3"/>
  <c r="AH274" i="3"/>
  <c r="AG274" i="3"/>
  <c r="AF274" i="3"/>
  <c r="AC274" i="3"/>
  <c r="AD274" i="3"/>
  <c r="AA274" i="3"/>
  <c r="AB274" i="3"/>
  <c r="Z274" i="3"/>
  <c r="Y274" i="3"/>
  <c r="X274" i="3"/>
  <c r="U274" i="3"/>
  <c r="R274" i="3"/>
  <c r="V274" i="3"/>
  <c r="T274" i="3"/>
  <c r="W274" i="3"/>
  <c r="Q274" i="3"/>
  <c r="S274" i="3"/>
  <c r="M274" i="3"/>
  <c r="P274" i="3"/>
  <c r="O274" i="3"/>
  <c r="L274" i="3"/>
  <c r="K274" i="3"/>
  <c r="N274" i="3"/>
  <c r="I274" i="3"/>
  <c r="AO274" i="3"/>
  <c r="J274" i="3"/>
  <c r="AP274" i="3"/>
  <c r="H275" i="2" l="1"/>
  <c r="AR275" i="2"/>
  <c r="AQ275" i="2"/>
  <c r="AN275" i="2"/>
  <c r="AM275" i="2"/>
  <c r="AL275" i="2"/>
  <c r="AK275" i="2"/>
  <c r="AJ275" i="2"/>
  <c r="AI275" i="2"/>
  <c r="AH275" i="2"/>
  <c r="AF275" i="2"/>
  <c r="AE275" i="2"/>
  <c r="AG275" i="2"/>
  <c r="AD275" i="2"/>
  <c r="AC275" i="2"/>
  <c r="AB275" i="2"/>
  <c r="X275" i="2"/>
  <c r="Z275" i="2"/>
  <c r="AA275" i="2"/>
  <c r="V275" i="2"/>
  <c r="Y275" i="2"/>
  <c r="W275" i="2"/>
  <c r="U275" i="2"/>
  <c r="S275" i="2"/>
  <c r="T275" i="2"/>
  <c r="R275" i="2"/>
  <c r="Q275" i="2"/>
  <c r="P275" i="2"/>
  <c r="N275" i="2"/>
  <c r="O275" i="2"/>
  <c r="M275" i="2"/>
  <c r="L275" i="2"/>
  <c r="J275" i="2"/>
  <c r="AO275" i="2"/>
  <c r="K275" i="2"/>
  <c r="I275" i="2"/>
  <c r="AP275" i="2"/>
  <c r="L275" i="1"/>
  <c r="P275" i="1" s="1"/>
  <c r="AA275" i="1"/>
  <c r="G276" i="3"/>
  <c r="I277" i="1"/>
  <c r="V276" i="1"/>
  <c r="J276" i="1"/>
  <c r="G276" i="2"/>
  <c r="Y276" i="1"/>
  <c r="Z276" i="1" s="1"/>
  <c r="N276" i="1"/>
  <c r="O276" i="1"/>
  <c r="S276" i="1"/>
  <c r="W276" i="1" s="1"/>
  <c r="R276" i="1"/>
  <c r="H275" i="3"/>
  <c r="AR275" i="3"/>
  <c r="AN275" i="3"/>
  <c r="AQ275" i="3"/>
  <c r="AM275" i="3"/>
  <c r="AL275" i="3"/>
  <c r="AJ275" i="3"/>
  <c r="AI275" i="3"/>
  <c r="AK275" i="3"/>
  <c r="AH275" i="3"/>
  <c r="AF275" i="3"/>
  <c r="AD275" i="3"/>
  <c r="AG275" i="3"/>
  <c r="AA275" i="3"/>
  <c r="AE275" i="3"/>
  <c r="AC275" i="3"/>
  <c r="AB275" i="3"/>
  <c r="X275" i="3"/>
  <c r="Y275" i="3"/>
  <c r="Z275" i="3"/>
  <c r="U275" i="3"/>
  <c r="W275" i="3"/>
  <c r="R275" i="3"/>
  <c r="V275" i="3"/>
  <c r="T275" i="3"/>
  <c r="S275" i="3"/>
  <c r="Q275" i="3"/>
  <c r="P275" i="3"/>
  <c r="O275" i="3"/>
  <c r="L275" i="3"/>
  <c r="K275" i="3"/>
  <c r="N275" i="3"/>
  <c r="M275" i="3"/>
  <c r="I275" i="3"/>
  <c r="AO275" i="3"/>
  <c r="J275" i="3"/>
  <c r="AP275" i="3"/>
  <c r="W275" i="1"/>
  <c r="H276" i="2" l="1"/>
  <c r="AQ276" i="2"/>
  <c r="AR276" i="2"/>
  <c r="AN276" i="2"/>
  <c r="AM276" i="2"/>
  <c r="AJ276" i="2"/>
  <c r="AL276" i="2"/>
  <c r="AK276" i="2"/>
  <c r="AI276" i="2"/>
  <c r="AF276" i="2"/>
  <c r="AH276" i="2"/>
  <c r="AE276" i="2"/>
  <c r="AG276" i="2"/>
  <c r="AD276" i="2"/>
  <c r="AB276" i="2"/>
  <c r="AC276" i="2"/>
  <c r="AA276" i="2"/>
  <c r="Z276" i="2"/>
  <c r="Y276" i="2"/>
  <c r="V276" i="2"/>
  <c r="X276" i="2"/>
  <c r="W276" i="2"/>
  <c r="S276" i="2"/>
  <c r="U276" i="2"/>
  <c r="R276" i="2"/>
  <c r="T276" i="2"/>
  <c r="N276" i="2"/>
  <c r="Q276" i="2"/>
  <c r="P276" i="2"/>
  <c r="L276" i="2"/>
  <c r="O276" i="2"/>
  <c r="M276" i="2"/>
  <c r="J276" i="2"/>
  <c r="AO276" i="2"/>
  <c r="K276" i="2"/>
  <c r="I276" i="2"/>
  <c r="AP276" i="2"/>
  <c r="L276" i="1"/>
  <c r="P276" i="1" s="1"/>
  <c r="AA276" i="1"/>
  <c r="I278" i="1"/>
  <c r="G277" i="3"/>
  <c r="V277" i="1"/>
  <c r="J277" i="1"/>
  <c r="G277" i="2"/>
  <c r="Y277" i="1"/>
  <c r="Z277" i="1" s="1"/>
  <c r="S277" i="1"/>
  <c r="W277" i="1" s="1"/>
  <c r="N277" i="1"/>
  <c r="O277" i="1"/>
  <c r="R277" i="1"/>
  <c r="H276" i="3"/>
  <c r="AR276" i="3"/>
  <c r="AQ276" i="3"/>
  <c r="AN276" i="3"/>
  <c r="AM276" i="3"/>
  <c r="AL276" i="3"/>
  <c r="AK276" i="3"/>
  <c r="AJ276" i="3"/>
  <c r="AI276" i="3"/>
  <c r="AG276" i="3"/>
  <c r="AH276" i="3"/>
  <c r="AF276" i="3"/>
  <c r="AE276" i="3"/>
  <c r="AC276" i="3"/>
  <c r="AD276" i="3"/>
  <c r="Z276" i="3"/>
  <c r="AB276" i="3"/>
  <c r="AA276" i="3"/>
  <c r="X276" i="3"/>
  <c r="Y276" i="3"/>
  <c r="W276" i="3"/>
  <c r="V276" i="3"/>
  <c r="R276" i="3"/>
  <c r="U276" i="3"/>
  <c r="T276" i="3"/>
  <c r="O276" i="3"/>
  <c r="S276" i="3"/>
  <c r="Q276" i="3"/>
  <c r="M276" i="3"/>
  <c r="P276" i="3"/>
  <c r="L276" i="3"/>
  <c r="K276" i="3"/>
  <c r="N276" i="3"/>
  <c r="I276" i="3"/>
  <c r="AO276" i="3"/>
  <c r="J276" i="3"/>
  <c r="AP276" i="3"/>
  <c r="H277" i="2" l="1"/>
  <c r="AR277" i="2"/>
  <c r="AQ277" i="2"/>
  <c r="AM277" i="2"/>
  <c r="AN277" i="2"/>
  <c r="AJ277" i="2"/>
  <c r="AL277" i="2"/>
  <c r="AK277" i="2"/>
  <c r="AI277" i="2"/>
  <c r="AF277" i="2"/>
  <c r="AH277" i="2"/>
  <c r="AE277" i="2"/>
  <c r="AG277" i="2"/>
  <c r="AB277" i="2"/>
  <c r="AD277" i="2"/>
  <c r="AA277" i="2"/>
  <c r="AC277" i="2"/>
  <c r="Y277" i="2"/>
  <c r="Z277" i="2"/>
  <c r="V277" i="2"/>
  <c r="X277" i="2"/>
  <c r="W277" i="2"/>
  <c r="S277" i="2"/>
  <c r="U277" i="2"/>
  <c r="R277" i="2"/>
  <c r="T277" i="2"/>
  <c r="P277" i="2"/>
  <c r="N277" i="2"/>
  <c r="Q277" i="2"/>
  <c r="O277" i="2"/>
  <c r="M277" i="2"/>
  <c r="L277" i="2"/>
  <c r="I277" i="2"/>
  <c r="J277" i="2"/>
  <c r="AO277" i="2"/>
  <c r="K277" i="2"/>
  <c r="AP277" i="2"/>
  <c r="L277" i="1"/>
  <c r="P277" i="1" s="1"/>
  <c r="AA277" i="1"/>
  <c r="H277" i="3"/>
  <c r="AR277" i="3"/>
  <c r="AQ277" i="3"/>
  <c r="AN277" i="3"/>
  <c r="AL277" i="3"/>
  <c r="AJ277" i="3"/>
  <c r="AM277" i="3"/>
  <c r="AK277" i="3"/>
  <c r="AG277" i="3"/>
  <c r="AI277" i="3"/>
  <c r="AH277" i="3"/>
  <c r="AF277" i="3"/>
  <c r="AA277" i="3"/>
  <c r="AE277" i="3"/>
  <c r="AC277" i="3"/>
  <c r="AD277" i="3"/>
  <c r="AB277" i="3"/>
  <c r="Z277" i="3"/>
  <c r="X277" i="3"/>
  <c r="Y277" i="3"/>
  <c r="V277" i="3"/>
  <c r="W277" i="3"/>
  <c r="U277" i="3"/>
  <c r="S277" i="3"/>
  <c r="T277" i="3"/>
  <c r="R277" i="3"/>
  <c r="O277" i="3"/>
  <c r="P277" i="3"/>
  <c r="Q277" i="3"/>
  <c r="N277" i="3"/>
  <c r="I277" i="3"/>
  <c r="L277" i="3"/>
  <c r="K277" i="3"/>
  <c r="M277" i="3"/>
  <c r="AP277" i="3"/>
  <c r="AO277" i="3"/>
  <c r="J277" i="3"/>
  <c r="G278" i="3"/>
  <c r="I279" i="1"/>
  <c r="J278" i="1"/>
  <c r="V278" i="1"/>
  <c r="Y278" i="1"/>
  <c r="Z278" i="1" s="1"/>
  <c r="G278" i="2"/>
  <c r="N278" i="1"/>
  <c r="R278" i="1"/>
  <c r="O278" i="1"/>
  <c r="S278" i="1"/>
  <c r="W278" i="1" s="1"/>
  <c r="G279" i="3" l="1"/>
  <c r="I280" i="1"/>
  <c r="V279" i="1"/>
  <c r="J279" i="1"/>
  <c r="G279" i="2"/>
  <c r="Y279" i="1"/>
  <c r="Z279" i="1" s="1"/>
  <c r="N279" i="1"/>
  <c r="O279" i="1"/>
  <c r="S279" i="1"/>
  <c r="W279" i="1" s="1"/>
  <c r="R279" i="1"/>
  <c r="H278" i="3"/>
  <c r="AQ278" i="3"/>
  <c r="AR278" i="3"/>
  <c r="AN278" i="3"/>
  <c r="AL278" i="3"/>
  <c r="AM278" i="3"/>
  <c r="AK278" i="3"/>
  <c r="AG278" i="3"/>
  <c r="AI278" i="3"/>
  <c r="AJ278" i="3"/>
  <c r="AH278" i="3"/>
  <c r="AF278" i="3"/>
  <c r="AE278" i="3"/>
  <c r="AC278" i="3"/>
  <c r="AD278" i="3"/>
  <c r="AB278" i="3"/>
  <c r="Z278" i="3"/>
  <c r="AA278" i="3"/>
  <c r="Y278" i="3"/>
  <c r="W278" i="3"/>
  <c r="V278" i="3"/>
  <c r="X278" i="3"/>
  <c r="S278" i="3"/>
  <c r="U278" i="3"/>
  <c r="T278" i="3"/>
  <c r="R278" i="3"/>
  <c r="Q278" i="3"/>
  <c r="N278" i="3"/>
  <c r="O278" i="3"/>
  <c r="P278" i="3"/>
  <c r="M278" i="3"/>
  <c r="L278" i="3"/>
  <c r="AP278" i="3"/>
  <c r="I278" i="3"/>
  <c r="K278" i="3"/>
  <c r="AO278" i="3"/>
  <c r="J278" i="3"/>
  <c r="H278" i="2"/>
  <c r="AR278" i="2"/>
  <c r="AQ278" i="2"/>
  <c r="AM278" i="2"/>
  <c r="AN278" i="2"/>
  <c r="AK278" i="2"/>
  <c r="AJ278" i="2"/>
  <c r="AL278" i="2"/>
  <c r="AI278" i="2"/>
  <c r="AH278" i="2"/>
  <c r="AF278" i="2"/>
  <c r="AG278" i="2"/>
  <c r="AE278" i="2"/>
  <c r="AB278" i="2"/>
  <c r="AD278" i="2"/>
  <c r="AA278" i="2"/>
  <c r="AC278" i="2"/>
  <c r="Y278" i="2"/>
  <c r="Z278" i="2"/>
  <c r="X278" i="2"/>
  <c r="W278" i="2"/>
  <c r="V278" i="2"/>
  <c r="S278" i="2"/>
  <c r="U278" i="2"/>
  <c r="P278" i="2"/>
  <c r="R278" i="2"/>
  <c r="T278" i="2"/>
  <c r="N278" i="2"/>
  <c r="Q278" i="2"/>
  <c r="O278" i="2"/>
  <c r="J278" i="2"/>
  <c r="M278" i="2"/>
  <c r="L278" i="2"/>
  <c r="K278" i="2"/>
  <c r="I278" i="2"/>
  <c r="AO278" i="2"/>
  <c r="AP278" i="2"/>
  <c r="L278" i="1"/>
  <c r="P278" i="1" s="1"/>
  <c r="AA278" i="1"/>
  <c r="L279" i="1" l="1"/>
  <c r="P279" i="1" s="1"/>
  <c r="AA279" i="1"/>
  <c r="G280" i="3"/>
  <c r="I281" i="1"/>
  <c r="J280" i="1"/>
  <c r="V280" i="1"/>
  <c r="G280" i="2"/>
  <c r="Y280" i="1"/>
  <c r="Z280" i="1" s="1"/>
  <c r="S280" i="1"/>
  <c r="N280" i="1"/>
  <c r="O280" i="1"/>
  <c r="R280" i="1"/>
  <c r="H279" i="2"/>
  <c r="AQ279" i="2"/>
  <c r="AR279" i="2"/>
  <c r="AK279" i="2"/>
  <c r="AM279" i="2"/>
  <c r="AN279" i="2"/>
  <c r="AL279" i="2"/>
  <c r="AH279" i="2"/>
  <c r="AJ279" i="2"/>
  <c r="AI279" i="2"/>
  <c r="AG279" i="2"/>
  <c r="AF279" i="2"/>
  <c r="AE279" i="2"/>
  <c r="AB279" i="2"/>
  <c r="AD279" i="2"/>
  <c r="AA279" i="2"/>
  <c r="AC279" i="2"/>
  <c r="Z279" i="2"/>
  <c r="Y279" i="2"/>
  <c r="W279" i="2"/>
  <c r="X279" i="2"/>
  <c r="V279" i="2"/>
  <c r="U279" i="2"/>
  <c r="T279" i="2"/>
  <c r="R279" i="2"/>
  <c r="S279" i="2"/>
  <c r="P279" i="2"/>
  <c r="Q279" i="2"/>
  <c r="O279" i="2"/>
  <c r="N279" i="2"/>
  <c r="M279" i="2"/>
  <c r="L279" i="2"/>
  <c r="I279" i="2"/>
  <c r="J279" i="2"/>
  <c r="AO279" i="2"/>
  <c r="K279" i="2"/>
  <c r="AP279" i="2"/>
  <c r="H279" i="3"/>
  <c r="AQ279" i="3"/>
  <c r="AR279" i="3"/>
  <c r="AN279" i="3"/>
  <c r="AL279" i="3"/>
  <c r="AM279" i="3"/>
  <c r="AK279" i="3"/>
  <c r="AG279" i="3"/>
  <c r="AJ279" i="3"/>
  <c r="AH279" i="3"/>
  <c r="AF279" i="3"/>
  <c r="AI279" i="3"/>
  <c r="AE279" i="3"/>
  <c r="AB279" i="3"/>
  <c r="AC279" i="3"/>
  <c r="AD279" i="3"/>
  <c r="Y279" i="3"/>
  <c r="Z279" i="3"/>
  <c r="AA279" i="3"/>
  <c r="W279" i="3"/>
  <c r="V279" i="3"/>
  <c r="X279" i="3"/>
  <c r="S279" i="3"/>
  <c r="U279" i="3"/>
  <c r="T279" i="3"/>
  <c r="R279" i="3"/>
  <c r="Q279" i="3"/>
  <c r="P279" i="3"/>
  <c r="N279" i="3"/>
  <c r="O279" i="3"/>
  <c r="L279" i="3"/>
  <c r="M279" i="3"/>
  <c r="I279" i="3"/>
  <c r="K279" i="3"/>
  <c r="J279" i="3"/>
  <c r="AP279" i="3"/>
  <c r="AO279" i="3"/>
  <c r="H280" i="2" l="1"/>
  <c r="AR280" i="2"/>
  <c r="AQ280" i="2"/>
  <c r="AL280" i="2"/>
  <c r="AN280" i="2"/>
  <c r="AK280" i="2"/>
  <c r="AM280" i="2"/>
  <c r="AH280" i="2"/>
  <c r="AJ280" i="2"/>
  <c r="AG280" i="2"/>
  <c r="AI280" i="2"/>
  <c r="AF280" i="2"/>
  <c r="AE280" i="2"/>
  <c r="AD280" i="2"/>
  <c r="AC280" i="2"/>
  <c r="AB280" i="2"/>
  <c r="AA280" i="2"/>
  <c r="Z280" i="2"/>
  <c r="Y280" i="2"/>
  <c r="X280" i="2"/>
  <c r="W280" i="2"/>
  <c r="U280" i="2"/>
  <c r="T280" i="2"/>
  <c r="V280" i="2"/>
  <c r="P280" i="2"/>
  <c r="R280" i="2"/>
  <c r="S280" i="2"/>
  <c r="O280" i="2"/>
  <c r="Q280" i="2"/>
  <c r="J280" i="2"/>
  <c r="N280" i="2"/>
  <c r="M280" i="2"/>
  <c r="I280" i="2"/>
  <c r="L280" i="2"/>
  <c r="AO280" i="2"/>
  <c r="K280" i="2"/>
  <c r="AP280" i="2"/>
  <c r="L280" i="1"/>
  <c r="P280" i="1" s="1"/>
  <c r="AA280" i="1"/>
  <c r="H280" i="3"/>
  <c r="AQ280" i="3"/>
  <c r="AR280" i="3"/>
  <c r="AN280" i="3"/>
  <c r="AM280" i="3"/>
  <c r="AL280" i="3"/>
  <c r="AK280" i="3"/>
  <c r="AI280" i="3"/>
  <c r="AJ280" i="3"/>
  <c r="AH280" i="3"/>
  <c r="AF280" i="3"/>
  <c r="AE280" i="3"/>
  <c r="AG280" i="3"/>
  <c r="AB280" i="3"/>
  <c r="AD280" i="3"/>
  <c r="AC280" i="3"/>
  <c r="AA280" i="3"/>
  <c r="Y280" i="3"/>
  <c r="Z280" i="3"/>
  <c r="W280" i="3"/>
  <c r="V280" i="3"/>
  <c r="X280" i="3"/>
  <c r="S280" i="3"/>
  <c r="U280" i="3"/>
  <c r="P280" i="3"/>
  <c r="T280" i="3"/>
  <c r="R280" i="3"/>
  <c r="Q280" i="3"/>
  <c r="L280" i="3"/>
  <c r="N280" i="3"/>
  <c r="O280" i="3"/>
  <c r="J280" i="3"/>
  <c r="M280" i="3"/>
  <c r="K280" i="3"/>
  <c r="AP280" i="3"/>
  <c r="I280" i="3"/>
  <c r="AO280" i="3"/>
  <c r="G281" i="3"/>
  <c r="I282" i="1"/>
  <c r="J281" i="1"/>
  <c r="V281" i="1"/>
  <c r="Y281" i="1"/>
  <c r="Z281" i="1" s="1"/>
  <c r="G281" i="2"/>
  <c r="O281" i="1"/>
  <c r="R281" i="1"/>
  <c r="S281" i="1"/>
  <c r="W281" i="1" s="1"/>
  <c r="N281" i="1"/>
  <c r="W280" i="1"/>
  <c r="I283" i="1" l="1"/>
  <c r="G282" i="3"/>
  <c r="V282" i="1"/>
  <c r="J282" i="1"/>
  <c r="G282" i="2"/>
  <c r="Y282" i="1"/>
  <c r="Z282" i="1" s="1"/>
  <c r="S282" i="1"/>
  <c r="W282" i="1" s="1"/>
  <c r="N282" i="1"/>
  <c r="R282" i="1"/>
  <c r="O282" i="1"/>
  <c r="H281" i="3"/>
  <c r="AR281" i="3"/>
  <c r="AQ281" i="3"/>
  <c r="AN281" i="3"/>
  <c r="AM281" i="3"/>
  <c r="AL281" i="3"/>
  <c r="AK281" i="3"/>
  <c r="AH281" i="3"/>
  <c r="AI281" i="3"/>
  <c r="AJ281" i="3"/>
  <c r="AG281" i="3"/>
  <c r="AF281" i="3"/>
  <c r="AE281" i="3"/>
  <c r="AB281" i="3"/>
  <c r="AC281" i="3"/>
  <c r="AD281" i="3"/>
  <c r="AA281" i="3"/>
  <c r="W281" i="3"/>
  <c r="Y281" i="3"/>
  <c r="Z281" i="3"/>
  <c r="X281" i="3"/>
  <c r="V281" i="3"/>
  <c r="U281" i="3"/>
  <c r="T281" i="3"/>
  <c r="P281" i="3"/>
  <c r="S281" i="3"/>
  <c r="R281" i="3"/>
  <c r="O281" i="3"/>
  <c r="Q281" i="3"/>
  <c r="J281" i="3"/>
  <c r="M281" i="3"/>
  <c r="L281" i="3"/>
  <c r="N281" i="3"/>
  <c r="K281" i="3"/>
  <c r="AO281" i="3"/>
  <c r="AP281" i="3"/>
  <c r="I281" i="3"/>
  <c r="H281" i="2"/>
  <c r="AR281" i="2"/>
  <c r="AQ281" i="2"/>
  <c r="AM281" i="2"/>
  <c r="AL281" i="2"/>
  <c r="AN281" i="2"/>
  <c r="AK281" i="2"/>
  <c r="AI281" i="2"/>
  <c r="AJ281" i="2"/>
  <c r="AH281" i="2"/>
  <c r="AG281" i="2"/>
  <c r="AD281" i="2"/>
  <c r="AF281" i="2"/>
  <c r="AC281" i="2"/>
  <c r="AE281" i="2"/>
  <c r="AB281" i="2"/>
  <c r="AA281" i="2"/>
  <c r="Z281" i="2"/>
  <c r="U281" i="2"/>
  <c r="X281" i="2"/>
  <c r="W281" i="2"/>
  <c r="Y281" i="2"/>
  <c r="T281" i="2"/>
  <c r="V281" i="2"/>
  <c r="R281" i="2"/>
  <c r="S281" i="2"/>
  <c r="Q281" i="2"/>
  <c r="P281" i="2"/>
  <c r="O281" i="2"/>
  <c r="M281" i="2"/>
  <c r="N281" i="2"/>
  <c r="L281" i="2"/>
  <c r="K281" i="2"/>
  <c r="I281" i="2"/>
  <c r="J281" i="2"/>
  <c r="AP281" i="2"/>
  <c r="AO281" i="2"/>
  <c r="L281" i="1"/>
  <c r="P281" i="1" s="1"/>
  <c r="AA281" i="1"/>
  <c r="L282" i="1" l="1"/>
  <c r="P282" i="1" s="1"/>
  <c r="AA282" i="1"/>
  <c r="H282" i="3"/>
  <c r="AR282" i="3"/>
  <c r="AQ282" i="3"/>
  <c r="AL282" i="3"/>
  <c r="AM282" i="3"/>
  <c r="AN282" i="3"/>
  <c r="AK282" i="3"/>
  <c r="AH282" i="3"/>
  <c r="AI282" i="3"/>
  <c r="AJ282" i="3"/>
  <c r="AG282" i="3"/>
  <c r="AF282" i="3"/>
  <c r="AD282" i="3"/>
  <c r="AE282" i="3"/>
  <c r="AC282" i="3"/>
  <c r="AA282" i="3"/>
  <c r="AB282" i="3"/>
  <c r="Y282" i="3"/>
  <c r="Z282" i="3"/>
  <c r="W282" i="3"/>
  <c r="V282" i="3"/>
  <c r="X282" i="3"/>
  <c r="U282" i="3"/>
  <c r="T282" i="3"/>
  <c r="P282" i="3"/>
  <c r="S282" i="3"/>
  <c r="R282" i="3"/>
  <c r="O282" i="3"/>
  <c r="Q282" i="3"/>
  <c r="J282" i="3"/>
  <c r="M282" i="3"/>
  <c r="L282" i="3"/>
  <c r="N282" i="3"/>
  <c r="AO282" i="3"/>
  <c r="AP282" i="3"/>
  <c r="K282" i="3"/>
  <c r="I282" i="3"/>
  <c r="H282" i="2"/>
  <c r="AR282" i="2"/>
  <c r="AM282" i="2"/>
  <c r="AQ282" i="2"/>
  <c r="AN282" i="2"/>
  <c r="AI282" i="2"/>
  <c r="AK282" i="2"/>
  <c r="AL282" i="2"/>
  <c r="AJ282" i="2"/>
  <c r="AG282" i="2"/>
  <c r="AH282" i="2"/>
  <c r="AF282" i="2"/>
  <c r="AC282" i="2"/>
  <c r="AE282" i="2"/>
  <c r="AD282" i="2"/>
  <c r="AB282" i="2"/>
  <c r="Z282" i="2"/>
  <c r="Y282" i="2"/>
  <c r="AA282" i="2"/>
  <c r="X282" i="2"/>
  <c r="U282" i="2"/>
  <c r="W282" i="2"/>
  <c r="T282" i="2"/>
  <c r="V282" i="2"/>
  <c r="S282" i="2"/>
  <c r="Q282" i="2"/>
  <c r="R282" i="2"/>
  <c r="M282" i="2"/>
  <c r="P282" i="2"/>
  <c r="O282" i="2"/>
  <c r="K282" i="2"/>
  <c r="N282" i="2"/>
  <c r="L282" i="2"/>
  <c r="AP282" i="2"/>
  <c r="I282" i="2"/>
  <c r="J282" i="2"/>
  <c r="AO282" i="2"/>
  <c r="G283" i="3"/>
  <c r="I284" i="1"/>
  <c r="V283" i="1"/>
  <c r="J283" i="1"/>
  <c r="G283" i="2"/>
  <c r="Y283" i="1"/>
  <c r="Z283" i="1" s="1"/>
  <c r="N283" i="1"/>
  <c r="O283" i="1"/>
  <c r="R283" i="1"/>
  <c r="S283" i="1"/>
  <c r="W283" i="1" s="1"/>
  <c r="G284" i="3" l="1"/>
  <c r="I285" i="1"/>
  <c r="V284" i="1"/>
  <c r="J284" i="1"/>
  <c r="G284" i="2"/>
  <c r="Y284" i="1"/>
  <c r="Z284" i="1" s="1"/>
  <c r="S284" i="1"/>
  <c r="W284" i="1" s="1"/>
  <c r="N284" i="1"/>
  <c r="O284" i="1"/>
  <c r="R284" i="1"/>
  <c r="H283" i="3"/>
  <c r="AR283" i="3"/>
  <c r="AQ283" i="3"/>
  <c r="AM283" i="3"/>
  <c r="AL283" i="3"/>
  <c r="AN283" i="3"/>
  <c r="AK283" i="3"/>
  <c r="AI283" i="3"/>
  <c r="AJ283" i="3"/>
  <c r="AH283" i="3"/>
  <c r="AG283" i="3"/>
  <c r="AD283" i="3"/>
  <c r="AF283" i="3"/>
  <c r="AC283" i="3"/>
  <c r="AE283" i="3"/>
  <c r="AB283" i="3"/>
  <c r="AA283" i="3"/>
  <c r="W283" i="3"/>
  <c r="Z283" i="3"/>
  <c r="U283" i="3"/>
  <c r="Y283" i="3"/>
  <c r="X283" i="3"/>
  <c r="T283" i="3"/>
  <c r="V283" i="3"/>
  <c r="S283" i="3"/>
  <c r="R283" i="3"/>
  <c r="Q283" i="3"/>
  <c r="O283" i="3"/>
  <c r="P283" i="3"/>
  <c r="M283" i="3"/>
  <c r="L283" i="3"/>
  <c r="N283" i="3"/>
  <c r="K283" i="3"/>
  <c r="AO283" i="3"/>
  <c r="AP283" i="3"/>
  <c r="I283" i="3"/>
  <c r="J283" i="3"/>
  <c r="H283" i="2"/>
  <c r="AR283" i="2"/>
  <c r="AQ283" i="2"/>
  <c r="AN283" i="2"/>
  <c r="AM283" i="2"/>
  <c r="AL283" i="2"/>
  <c r="AK283" i="2"/>
  <c r="AJ283" i="2"/>
  <c r="AH283" i="2"/>
  <c r="AI283" i="2"/>
  <c r="AG283" i="2"/>
  <c r="AF283" i="2"/>
  <c r="AC283" i="2"/>
  <c r="AE283" i="2"/>
  <c r="AD283" i="2"/>
  <c r="AB283" i="2"/>
  <c r="AA283" i="2"/>
  <c r="X283" i="2"/>
  <c r="Z283" i="2"/>
  <c r="Y283" i="2"/>
  <c r="T283" i="2"/>
  <c r="W283" i="2"/>
  <c r="V283" i="2"/>
  <c r="U283" i="2"/>
  <c r="S283" i="2"/>
  <c r="Q283" i="2"/>
  <c r="R283" i="2"/>
  <c r="P283" i="2"/>
  <c r="O283" i="2"/>
  <c r="K283" i="2"/>
  <c r="M283" i="2"/>
  <c r="N283" i="2"/>
  <c r="L283" i="2"/>
  <c r="AP283" i="2"/>
  <c r="I283" i="2"/>
  <c r="J283" i="2"/>
  <c r="AO283" i="2"/>
  <c r="L283" i="1"/>
  <c r="P283" i="1" s="1"/>
  <c r="AA283" i="1"/>
  <c r="H284" i="2" l="1"/>
  <c r="AR284" i="2"/>
  <c r="AQ284" i="2"/>
  <c r="AN284" i="2"/>
  <c r="AM284" i="2"/>
  <c r="AL284" i="2"/>
  <c r="AI284" i="2"/>
  <c r="AK284" i="2"/>
  <c r="AH284" i="2"/>
  <c r="AJ284" i="2"/>
  <c r="AG284" i="2"/>
  <c r="AF284" i="2"/>
  <c r="AE284" i="2"/>
  <c r="AD284" i="2"/>
  <c r="Z284" i="2"/>
  <c r="AC284" i="2"/>
  <c r="AB284" i="2"/>
  <c r="AA284" i="2"/>
  <c r="X284" i="2"/>
  <c r="Y284" i="2"/>
  <c r="W284" i="2"/>
  <c r="V284" i="2"/>
  <c r="U284" i="2"/>
  <c r="S284" i="2"/>
  <c r="Q284" i="2"/>
  <c r="T284" i="2"/>
  <c r="R284" i="2"/>
  <c r="M284" i="2"/>
  <c r="P284" i="2"/>
  <c r="K284" i="2"/>
  <c r="O284" i="2"/>
  <c r="N284" i="2"/>
  <c r="L284" i="2"/>
  <c r="I284" i="2"/>
  <c r="AO284" i="2"/>
  <c r="AP284" i="2"/>
  <c r="J284" i="2"/>
  <c r="L284" i="1"/>
  <c r="P284" i="1" s="1"/>
  <c r="AA284" i="1"/>
  <c r="I286" i="1"/>
  <c r="G285" i="3"/>
  <c r="V285" i="1"/>
  <c r="J285" i="1"/>
  <c r="G285" i="2"/>
  <c r="Y285" i="1"/>
  <c r="Z285" i="1" s="1"/>
  <c r="S285" i="1"/>
  <c r="W285" i="1" s="1"/>
  <c r="O285" i="1"/>
  <c r="R285" i="1"/>
  <c r="N285" i="1"/>
  <c r="H284" i="3"/>
  <c r="AR284" i="3"/>
  <c r="AN284" i="3"/>
  <c r="AM284" i="3"/>
  <c r="AQ284" i="3"/>
  <c r="AL284" i="3"/>
  <c r="AI284" i="3"/>
  <c r="AK284" i="3"/>
  <c r="AJ284" i="3"/>
  <c r="AE284" i="3"/>
  <c r="AH284" i="3"/>
  <c r="AG284" i="3"/>
  <c r="AF284" i="3"/>
  <c r="AD284" i="3"/>
  <c r="AC284" i="3"/>
  <c r="AA284" i="3"/>
  <c r="AB284" i="3"/>
  <c r="Z284" i="3"/>
  <c r="Y284" i="3"/>
  <c r="X284" i="3"/>
  <c r="U284" i="3"/>
  <c r="W284" i="3"/>
  <c r="R284" i="3"/>
  <c r="T284" i="3"/>
  <c r="V284" i="3"/>
  <c r="Q284" i="3"/>
  <c r="S284" i="3"/>
  <c r="P284" i="3"/>
  <c r="M284" i="3"/>
  <c r="O284" i="3"/>
  <c r="N284" i="3"/>
  <c r="K284" i="3"/>
  <c r="L284" i="3"/>
  <c r="J284" i="3"/>
  <c r="AO284" i="3"/>
  <c r="AP284" i="3"/>
  <c r="I284" i="3"/>
  <c r="H285" i="2" l="1"/>
  <c r="AR285" i="2"/>
  <c r="AQ285" i="2"/>
  <c r="AN285" i="2"/>
  <c r="AM285" i="2"/>
  <c r="AL285" i="2"/>
  <c r="AK285" i="2"/>
  <c r="AJ285" i="2"/>
  <c r="AI285" i="2"/>
  <c r="AF285" i="2"/>
  <c r="AE285" i="2"/>
  <c r="AG285" i="2"/>
  <c r="AH285" i="2"/>
  <c r="AD285" i="2"/>
  <c r="AC285" i="2"/>
  <c r="AB285" i="2"/>
  <c r="AA285" i="2"/>
  <c r="X285" i="2"/>
  <c r="Z285" i="2"/>
  <c r="V285" i="2"/>
  <c r="Y285" i="2"/>
  <c r="U285" i="2"/>
  <c r="W285" i="2"/>
  <c r="S285" i="2"/>
  <c r="T285" i="2"/>
  <c r="R285" i="2"/>
  <c r="P285" i="2"/>
  <c r="Q285" i="2"/>
  <c r="N285" i="2"/>
  <c r="O285" i="2"/>
  <c r="M285" i="2"/>
  <c r="L285" i="2"/>
  <c r="AO285" i="2"/>
  <c r="I285" i="2"/>
  <c r="J285" i="2"/>
  <c r="K285" i="2"/>
  <c r="AP285" i="2"/>
  <c r="L285" i="1"/>
  <c r="P285" i="1" s="1"/>
  <c r="AA285" i="1"/>
  <c r="H285" i="3"/>
  <c r="AR285" i="3"/>
  <c r="AN285" i="3"/>
  <c r="AM285" i="3"/>
  <c r="AQ285" i="3"/>
  <c r="AL285" i="3"/>
  <c r="AJ285" i="3"/>
  <c r="AI285" i="3"/>
  <c r="AK285" i="3"/>
  <c r="AH285" i="3"/>
  <c r="AD285" i="3"/>
  <c r="AG285" i="3"/>
  <c r="AF285" i="3"/>
  <c r="AA285" i="3"/>
  <c r="AC285" i="3"/>
  <c r="AE285" i="3"/>
  <c r="AB285" i="3"/>
  <c r="X285" i="3"/>
  <c r="Y285" i="3"/>
  <c r="Z285" i="3"/>
  <c r="U285" i="3"/>
  <c r="W285" i="3"/>
  <c r="R285" i="3"/>
  <c r="T285" i="3"/>
  <c r="V285" i="3"/>
  <c r="Q285" i="3"/>
  <c r="S285" i="3"/>
  <c r="P285" i="3"/>
  <c r="O285" i="3"/>
  <c r="N285" i="3"/>
  <c r="K285" i="3"/>
  <c r="M285" i="3"/>
  <c r="L285" i="3"/>
  <c r="J285" i="3"/>
  <c r="AO285" i="3"/>
  <c r="AP285" i="3"/>
  <c r="I285" i="3"/>
  <c r="I287" i="1"/>
  <c r="G286" i="3"/>
  <c r="J286" i="1"/>
  <c r="V286" i="1"/>
  <c r="G286" i="2"/>
  <c r="Y286" i="1"/>
  <c r="Z286" i="1" s="1"/>
  <c r="O286" i="1"/>
  <c r="N286" i="1"/>
  <c r="S286" i="1"/>
  <c r="W286" i="1" s="1"/>
  <c r="R286" i="1"/>
  <c r="H286" i="3" l="1"/>
  <c r="AR286" i="3"/>
  <c r="AN286" i="3"/>
  <c r="AM286" i="3"/>
  <c r="AQ286" i="3"/>
  <c r="AJ286" i="3"/>
  <c r="AI286" i="3"/>
  <c r="AK286" i="3"/>
  <c r="AL286" i="3"/>
  <c r="AG286" i="3"/>
  <c r="AH286" i="3"/>
  <c r="AF286" i="3"/>
  <c r="AD286" i="3"/>
  <c r="AC286" i="3"/>
  <c r="AE286" i="3"/>
  <c r="Z286" i="3"/>
  <c r="AB286" i="3"/>
  <c r="AA286" i="3"/>
  <c r="X286" i="3"/>
  <c r="Y286" i="3"/>
  <c r="W286" i="3"/>
  <c r="V286" i="3"/>
  <c r="U286" i="3"/>
  <c r="R286" i="3"/>
  <c r="T286" i="3"/>
  <c r="O286" i="3"/>
  <c r="Q286" i="3"/>
  <c r="S286" i="3"/>
  <c r="P286" i="3"/>
  <c r="M286" i="3"/>
  <c r="L286" i="3"/>
  <c r="N286" i="3"/>
  <c r="K286" i="3"/>
  <c r="I286" i="3"/>
  <c r="J286" i="3"/>
  <c r="AO286" i="3"/>
  <c r="AP286" i="3"/>
  <c r="I288" i="1"/>
  <c r="G287" i="3"/>
  <c r="V287" i="1"/>
  <c r="J287" i="1"/>
  <c r="G287" i="2"/>
  <c r="Y287" i="1"/>
  <c r="Z287" i="1" s="1"/>
  <c r="S287" i="1"/>
  <c r="W287" i="1" s="1"/>
  <c r="N287" i="1"/>
  <c r="O287" i="1"/>
  <c r="R287" i="1"/>
  <c r="L286" i="1"/>
  <c r="P286" i="1" s="1"/>
  <c r="AA286" i="1"/>
  <c r="H286" i="2"/>
  <c r="AR286" i="2"/>
  <c r="AQ286" i="2"/>
  <c r="AN286" i="2"/>
  <c r="AM286" i="2"/>
  <c r="AL286" i="2"/>
  <c r="AJ286" i="2"/>
  <c r="AK286" i="2"/>
  <c r="AF286" i="2"/>
  <c r="AI286" i="2"/>
  <c r="AH286" i="2"/>
  <c r="AE286" i="2"/>
  <c r="AG286" i="2"/>
  <c r="AD286" i="2"/>
  <c r="AB286" i="2"/>
  <c r="AC286" i="2"/>
  <c r="AA286" i="2"/>
  <c r="Z286" i="2"/>
  <c r="Y286" i="2"/>
  <c r="V286" i="2"/>
  <c r="X286" i="2"/>
  <c r="W286" i="2"/>
  <c r="S286" i="2"/>
  <c r="U286" i="2"/>
  <c r="R286" i="2"/>
  <c r="T286" i="2"/>
  <c r="N286" i="2"/>
  <c r="P286" i="2"/>
  <c r="Q286" i="2"/>
  <c r="L286" i="2"/>
  <c r="O286" i="2"/>
  <c r="M286" i="2"/>
  <c r="AO286" i="2"/>
  <c r="I286" i="2"/>
  <c r="J286" i="2"/>
  <c r="K286" i="2"/>
  <c r="AP286" i="2"/>
  <c r="L287" i="1" l="1"/>
  <c r="P287" i="1" s="1"/>
  <c r="AA287" i="1"/>
  <c r="H287" i="3"/>
  <c r="AR287" i="3"/>
  <c r="AN287" i="3"/>
  <c r="AQ287" i="3"/>
  <c r="AM287" i="3"/>
  <c r="AJ287" i="3"/>
  <c r="AL287" i="3"/>
  <c r="AK287" i="3"/>
  <c r="AG287" i="3"/>
  <c r="AI287" i="3"/>
  <c r="AH287" i="3"/>
  <c r="AF287" i="3"/>
  <c r="AD287" i="3"/>
  <c r="AA287" i="3"/>
  <c r="AC287" i="3"/>
  <c r="AE287" i="3"/>
  <c r="AB287" i="3"/>
  <c r="X287" i="3"/>
  <c r="Z287" i="3"/>
  <c r="Y287" i="3"/>
  <c r="V287" i="3"/>
  <c r="U287" i="3"/>
  <c r="W287" i="3"/>
  <c r="S287" i="3"/>
  <c r="R287" i="3"/>
  <c r="T287" i="3"/>
  <c r="Q287" i="3"/>
  <c r="P287" i="3"/>
  <c r="O287" i="3"/>
  <c r="N287" i="3"/>
  <c r="I287" i="3"/>
  <c r="L287" i="3"/>
  <c r="K287" i="3"/>
  <c r="M287" i="3"/>
  <c r="AP287" i="3"/>
  <c r="J287" i="3"/>
  <c r="AO287" i="3"/>
  <c r="I289" i="1"/>
  <c r="G288" i="3"/>
  <c r="J288" i="1"/>
  <c r="V288" i="1"/>
  <c r="Y288" i="1"/>
  <c r="Z288" i="1" s="1"/>
  <c r="G288" i="2"/>
  <c r="N288" i="1"/>
  <c r="R288" i="1"/>
  <c r="O288" i="1"/>
  <c r="S288" i="1"/>
  <c r="W288" i="1" s="1"/>
  <c r="H287" i="2"/>
  <c r="AQ287" i="2"/>
  <c r="AR287" i="2"/>
  <c r="AN287" i="2"/>
  <c r="AM287" i="2"/>
  <c r="AL287" i="2"/>
  <c r="AJ287" i="2"/>
  <c r="AK287" i="2"/>
  <c r="AI287" i="2"/>
  <c r="AH287" i="2"/>
  <c r="AE287" i="2"/>
  <c r="AF287" i="2"/>
  <c r="AG287" i="2"/>
  <c r="AB287" i="2"/>
  <c r="AD287" i="2"/>
  <c r="AC287" i="2"/>
  <c r="AA287" i="2"/>
  <c r="Y287" i="2"/>
  <c r="Z287" i="2"/>
  <c r="V287" i="2"/>
  <c r="X287" i="2"/>
  <c r="W287" i="2"/>
  <c r="S287" i="2"/>
  <c r="U287" i="2"/>
  <c r="R287" i="2"/>
  <c r="T287" i="2"/>
  <c r="P287" i="2"/>
  <c r="N287" i="2"/>
  <c r="O287" i="2"/>
  <c r="Q287" i="2"/>
  <c r="L287" i="2"/>
  <c r="I287" i="2"/>
  <c r="M287" i="2"/>
  <c r="J287" i="2"/>
  <c r="K287" i="2"/>
  <c r="AO287" i="2"/>
  <c r="AP287" i="2"/>
  <c r="G289" i="3" l="1"/>
  <c r="I290" i="1"/>
  <c r="J289" i="1"/>
  <c r="V289" i="1"/>
  <c r="G289" i="2"/>
  <c r="Y289" i="1"/>
  <c r="Z289" i="1" s="1"/>
  <c r="S289" i="1"/>
  <c r="W289" i="1" s="1"/>
  <c r="N289" i="1"/>
  <c r="O289" i="1"/>
  <c r="R289" i="1"/>
  <c r="L288" i="1"/>
  <c r="P288" i="1" s="1"/>
  <c r="AA288" i="1"/>
  <c r="H288" i="2"/>
  <c r="AQ288" i="2"/>
  <c r="AR288" i="2"/>
  <c r="AN288" i="2"/>
  <c r="AM288" i="2"/>
  <c r="AJ288" i="2"/>
  <c r="AK288" i="2"/>
  <c r="AL288" i="2"/>
  <c r="AI288" i="2"/>
  <c r="AH288" i="2"/>
  <c r="AF288" i="2"/>
  <c r="AG288" i="2"/>
  <c r="AB288" i="2"/>
  <c r="AD288" i="2"/>
  <c r="AE288" i="2"/>
  <c r="AC288" i="2"/>
  <c r="AA288" i="2"/>
  <c r="Y288" i="2"/>
  <c r="Z288" i="2"/>
  <c r="X288" i="2"/>
  <c r="W288" i="2"/>
  <c r="S288" i="2"/>
  <c r="U288" i="2"/>
  <c r="V288" i="2"/>
  <c r="T288" i="2"/>
  <c r="P288" i="2"/>
  <c r="R288" i="2"/>
  <c r="Q288" i="2"/>
  <c r="N288" i="2"/>
  <c r="O288" i="2"/>
  <c r="J288" i="2"/>
  <c r="L288" i="2"/>
  <c r="K288" i="2"/>
  <c r="M288" i="2"/>
  <c r="I288" i="2"/>
  <c r="AO288" i="2"/>
  <c r="AP288" i="2"/>
  <c r="H288" i="3"/>
  <c r="AR288" i="3"/>
  <c r="AQ288" i="3"/>
  <c r="AN288" i="3"/>
  <c r="AM288" i="3"/>
  <c r="AJ288" i="3"/>
  <c r="AL288" i="3"/>
  <c r="AK288" i="3"/>
  <c r="AG288" i="3"/>
  <c r="AI288" i="3"/>
  <c r="AF288" i="3"/>
  <c r="AH288" i="3"/>
  <c r="AE288" i="3"/>
  <c r="AD288" i="3"/>
  <c r="AC288" i="3"/>
  <c r="AB288" i="3"/>
  <c r="AA288" i="3"/>
  <c r="Z288" i="3"/>
  <c r="Y288" i="3"/>
  <c r="X288" i="3"/>
  <c r="V288" i="3"/>
  <c r="W288" i="3"/>
  <c r="S288" i="3"/>
  <c r="U288" i="3"/>
  <c r="T288" i="3"/>
  <c r="R288" i="3"/>
  <c r="N288" i="3"/>
  <c r="Q288" i="3"/>
  <c r="P288" i="3"/>
  <c r="O288" i="3"/>
  <c r="L288" i="3"/>
  <c r="M288" i="3"/>
  <c r="I288" i="3"/>
  <c r="AP288" i="3"/>
  <c r="J288" i="3"/>
  <c r="AO288" i="3"/>
  <c r="K288" i="3"/>
  <c r="L289" i="1" l="1"/>
  <c r="P289" i="1" s="1"/>
  <c r="AA289" i="1"/>
  <c r="G290" i="3"/>
  <c r="I291" i="1"/>
  <c r="V290" i="1"/>
  <c r="J290" i="1"/>
  <c r="G290" i="2"/>
  <c r="Y290" i="1"/>
  <c r="Z290" i="1" s="1"/>
  <c r="S290" i="1"/>
  <c r="R290" i="1"/>
  <c r="O290" i="1"/>
  <c r="N290" i="1"/>
  <c r="H289" i="2"/>
  <c r="AQ289" i="2"/>
  <c r="AR289" i="2"/>
  <c r="AN289" i="2"/>
  <c r="AM289" i="2"/>
  <c r="AK289" i="2"/>
  <c r="AL289" i="2"/>
  <c r="AI289" i="2"/>
  <c r="AH289" i="2"/>
  <c r="AJ289" i="2"/>
  <c r="AG289" i="2"/>
  <c r="AF289" i="2"/>
  <c r="AB289" i="2"/>
  <c r="AD289" i="2"/>
  <c r="AE289" i="2"/>
  <c r="AC289" i="2"/>
  <c r="AA289" i="2"/>
  <c r="Y289" i="2"/>
  <c r="Z289" i="2"/>
  <c r="W289" i="2"/>
  <c r="X289" i="2"/>
  <c r="U289" i="2"/>
  <c r="V289" i="2"/>
  <c r="T289" i="2"/>
  <c r="S289" i="2"/>
  <c r="R289" i="2"/>
  <c r="Q289" i="2"/>
  <c r="P289" i="2"/>
  <c r="O289" i="2"/>
  <c r="L289" i="2"/>
  <c r="N289" i="2"/>
  <c r="M289" i="2"/>
  <c r="K289" i="2"/>
  <c r="AO289" i="2"/>
  <c r="I289" i="2"/>
  <c r="J289" i="2"/>
  <c r="AP289" i="2"/>
  <c r="H289" i="3"/>
  <c r="AQ289" i="3"/>
  <c r="AR289" i="3"/>
  <c r="AN289" i="3"/>
  <c r="AM289" i="3"/>
  <c r="AL289" i="3"/>
  <c r="AK289" i="3"/>
  <c r="AJ289" i="3"/>
  <c r="AG289" i="3"/>
  <c r="AI289" i="3"/>
  <c r="AF289" i="3"/>
  <c r="AH289" i="3"/>
  <c r="AE289" i="3"/>
  <c r="AB289" i="3"/>
  <c r="AD289" i="3"/>
  <c r="AC289" i="3"/>
  <c r="Z289" i="3"/>
  <c r="Y289" i="3"/>
  <c r="AA289" i="3"/>
  <c r="X289" i="3"/>
  <c r="V289" i="3"/>
  <c r="W289" i="3"/>
  <c r="S289" i="3"/>
  <c r="U289" i="3"/>
  <c r="R289" i="3"/>
  <c r="Q289" i="3"/>
  <c r="T289" i="3"/>
  <c r="P289" i="3"/>
  <c r="N289" i="3"/>
  <c r="O289" i="3"/>
  <c r="L289" i="3"/>
  <c r="I289" i="3"/>
  <c r="K289" i="3"/>
  <c r="M289" i="3"/>
  <c r="J289" i="3"/>
  <c r="AP289" i="3"/>
  <c r="AO289" i="3"/>
  <c r="W290" i="1" l="1"/>
  <c r="H290" i="2"/>
  <c r="AR290" i="2"/>
  <c r="AQ290" i="2"/>
  <c r="AL290" i="2"/>
  <c r="AN290" i="2"/>
  <c r="AM290" i="2"/>
  <c r="AK290" i="2"/>
  <c r="AI290" i="2"/>
  <c r="AH290" i="2"/>
  <c r="AJ290" i="2"/>
  <c r="AG290" i="2"/>
  <c r="AF290" i="2"/>
  <c r="AD290" i="2"/>
  <c r="AE290" i="2"/>
  <c r="AC290" i="2"/>
  <c r="AA290" i="2"/>
  <c r="AB290" i="2"/>
  <c r="Y290" i="2"/>
  <c r="Z290" i="2"/>
  <c r="W290" i="2"/>
  <c r="X290" i="2"/>
  <c r="U290" i="2"/>
  <c r="V290" i="2"/>
  <c r="T290" i="2"/>
  <c r="P290" i="2"/>
  <c r="S290" i="2"/>
  <c r="R290" i="2"/>
  <c r="O290" i="2"/>
  <c r="Q290" i="2"/>
  <c r="M290" i="2"/>
  <c r="J290" i="2"/>
  <c r="N290" i="2"/>
  <c r="K290" i="2"/>
  <c r="L290" i="2"/>
  <c r="AO290" i="2"/>
  <c r="I290" i="2"/>
  <c r="AP290" i="2"/>
  <c r="L290" i="1"/>
  <c r="P290" i="1" s="1"/>
  <c r="AA290" i="1"/>
  <c r="G291" i="3"/>
  <c r="I292" i="1"/>
  <c r="V291" i="1"/>
  <c r="J291" i="1"/>
  <c r="Y291" i="1"/>
  <c r="Z291" i="1" s="1"/>
  <c r="G291" i="2"/>
  <c r="R291" i="1"/>
  <c r="S291" i="1"/>
  <c r="O291" i="1"/>
  <c r="N291" i="1"/>
  <c r="H290" i="3"/>
  <c r="AQ290" i="3"/>
  <c r="AR290" i="3"/>
  <c r="AN290" i="3"/>
  <c r="AM290" i="3"/>
  <c r="AL290" i="3"/>
  <c r="AK290" i="3"/>
  <c r="AI290" i="3"/>
  <c r="AJ290" i="3"/>
  <c r="AH290" i="3"/>
  <c r="AF290" i="3"/>
  <c r="AE290" i="3"/>
  <c r="AG290" i="3"/>
  <c r="AB290" i="3"/>
  <c r="AD290" i="3"/>
  <c r="AC290" i="3"/>
  <c r="Z290" i="3"/>
  <c r="Y290" i="3"/>
  <c r="AA290" i="3"/>
  <c r="W290" i="3"/>
  <c r="X290" i="3"/>
  <c r="V290" i="3"/>
  <c r="S290" i="3"/>
  <c r="U290" i="3"/>
  <c r="P290" i="3"/>
  <c r="R290" i="3"/>
  <c r="Q290" i="3"/>
  <c r="T290" i="3"/>
  <c r="L290" i="3"/>
  <c r="N290" i="3"/>
  <c r="O290" i="3"/>
  <c r="J290" i="3"/>
  <c r="K290" i="3"/>
  <c r="M290" i="3"/>
  <c r="I290" i="3"/>
  <c r="AP290" i="3"/>
  <c r="AO290" i="3"/>
  <c r="W291" i="1" l="1"/>
  <c r="G292" i="3"/>
  <c r="I293" i="1"/>
  <c r="V292" i="1"/>
  <c r="J292" i="1"/>
  <c r="G292" i="2"/>
  <c r="Y292" i="1"/>
  <c r="Z292" i="1" s="1"/>
  <c r="S292" i="1"/>
  <c r="R292" i="1"/>
  <c r="N292" i="1"/>
  <c r="O292" i="1"/>
  <c r="H291" i="3"/>
  <c r="AQ291" i="3"/>
  <c r="AR291" i="3"/>
  <c r="AN291" i="3"/>
  <c r="AL291" i="3"/>
  <c r="AK291" i="3"/>
  <c r="AM291" i="3"/>
  <c r="AH291" i="3"/>
  <c r="AI291" i="3"/>
  <c r="AJ291" i="3"/>
  <c r="AE291" i="3"/>
  <c r="AG291" i="3"/>
  <c r="AF291" i="3"/>
  <c r="AB291" i="3"/>
  <c r="AD291" i="3"/>
  <c r="AC291" i="3"/>
  <c r="W291" i="3"/>
  <c r="Z291" i="3"/>
  <c r="Y291" i="3"/>
  <c r="AA291" i="3"/>
  <c r="X291" i="3"/>
  <c r="U291" i="3"/>
  <c r="V291" i="3"/>
  <c r="T291" i="3"/>
  <c r="P291" i="3"/>
  <c r="R291" i="3"/>
  <c r="S291" i="3"/>
  <c r="Q291" i="3"/>
  <c r="O291" i="3"/>
  <c r="M291" i="3"/>
  <c r="J291" i="3"/>
  <c r="N291" i="3"/>
  <c r="L291" i="3"/>
  <c r="K291" i="3"/>
  <c r="AO291" i="3"/>
  <c r="I291" i="3"/>
  <c r="AP291" i="3"/>
  <c r="H291" i="2"/>
  <c r="AR291" i="2"/>
  <c r="AQ291" i="2"/>
  <c r="AL291" i="2"/>
  <c r="AN291" i="2"/>
  <c r="AM291" i="2"/>
  <c r="AK291" i="2"/>
  <c r="AI291" i="2"/>
  <c r="AH291" i="2"/>
  <c r="AJ291" i="2"/>
  <c r="AG291" i="2"/>
  <c r="AD291" i="2"/>
  <c r="AF291" i="2"/>
  <c r="AC291" i="2"/>
  <c r="AE291" i="2"/>
  <c r="AB291" i="2"/>
  <c r="AA291" i="2"/>
  <c r="Z291" i="2"/>
  <c r="U291" i="2"/>
  <c r="Y291" i="2"/>
  <c r="W291" i="2"/>
  <c r="X291" i="2"/>
  <c r="V291" i="2"/>
  <c r="T291" i="2"/>
  <c r="S291" i="2"/>
  <c r="R291" i="2"/>
  <c r="Q291" i="2"/>
  <c r="O291" i="2"/>
  <c r="P291" i="2"/>
  <c r="M291" i="2"/>
  <c r="N291" i="2"/>
  <c r="L291" i="2"/>
  <c r="K291" i="2"/>
  <c r="J291" i="2"/>
  <c r="I291" i="2"/>
  <c r="AP291" i="2"/>
  <c r="AO291" i="2"/>
  <c r="L291" i="1"/>
  <c r="P291" i="1" s="1"/>
  <c r="AA291" i="1"/>
  <c r="W292" i="1" l="1"/>
  <c r="G293" i="3"/>
  <c r="I294" i="1"/>
  <c r="V293" i="1"/>
  <c r="J293" i="1"/>
  <c r="G293" i="2"/>
  <c r="Y293" i="1"/>
  <c r="Z293" i="1" s="1"/>
  <c r="N293" i="1"/>
  <c r="O293" i="1"/>
  <c r="R293" i="1"/>
  <c r="S293" i="1"/>
  <c r="H292" i="2"/>
  <c r="AR292" i="2"/>
  <c r="AM292" i="2"/>
  <c r="AQ292" i="2"/>
  <c r="AN292" i="2"/>
  <c r="AL292" i="2"/>
  <c r="AI292" i="2"/>
  <c r="AK292" i="2"/>
  <c r="AJ292" i="2"/>
  <c r="AH292" i="2"/>
  <c r="AG292" i="2"/>
  <c r="AF292" i="2"/>
  <c r="AE292" i="2"/>
  <c r="AC292" i="2"/>
  <c r="AD292" i="2"/>
  <c r="AB292" i="2"/>
  <c r="Z292" i="2"/>
  <c r="AA292" i="2"/>
  <c r="Y292" i="2"/>
  <c r="X292" i="2"/>
  <c r="U292" i="2"/>
  <c r="W292" i="2"/>
  <c r="V292" i="2"/>
  <c r="T292" i="2"/>
  <c r="Q292" i="2"/>
  <c r="S292" i="2"/>
  <c r="R292" i="2"/>
  <c r="M292" i="2"/>
  <c r="O292" i="2"/>
  <c r="P292" i="2"/>
  <c r="K292" i="2"/>
  <c r="N292" i="2"/>
  <c r="L292" i="2"/>
  <c r="AP292" i="2"/>
  <c r="J292" i="2"/>
  <c r="I292" i="2"/>
  <c r="AO292" i="2"/>
  <c r="L292" i="1"/>
  <c r="P292" i="1" s="1"/>
  <c r="AA292" i="1"/>
  <c r="H292" i="3"/>
  <c r="AR292" i="3"/>
  <c r="AQ292" i="3"/>
  <c r="AN292" i="3"/>
  <c r="AL292" i="3"/>
  <c r="AK292" i="3"/>
  <c r="AM292" i="3"/>
  <c r="AH292" i="3"/>
  <c r="AI292" i="3"/>
  <c r="AJ292" i="3"/>
  <c r="AE292" i="3"/>
  <c r="AG292" i="3"/>
  <c r="AF292" i="3"/>
  <c r="AD292" i="3"/>
  <c r="AC292" i="3"/>
  <c r="AB292" i="3"/>
  <c r="Z292" i="3"/>
  <c r="Y292" i="3"/>
  <c r="AA292" i="3"/>
  <c r="X292" i="3"/>
  <c r="V292" i="3"/>
  <c r="W292" i="3"/>
  <c r="U292" i="3"/>
  <c r="T292" i="3"/>
  <c r="P292" i="3"/>
  <c r="R292" i="3"/>
  <c r="S292" i="3"/>
  <c r="O292" i="3"/>
  <c r="Q292" i="3"/>
  <c r="M292" i="3"/>
  <c r="J292" i="3"/>
  <c r="N292" i="3"/>
  <c r="L292" i="3"/>
  <c r="I292" i="3"/>
  <c r="AP292" i="3"/>
  <c r="K292" i="3"/>
  <c r="AO292" i="3"/>
  <c r="H293" i="2" l="1"/>
  <c r="AR293" i="2"/>
  <c r="AQ293" i="2"/>
  <c r="AN293" i="2"/>
  <c r="AM293" i="2"/>
  <c r="AL293" i="2"/>
  <c r="AK293" i="2"/>
  <c r="AI293" i="2"/>
  <c r="AJ293" i="2"/>
  <c r="AH293" i="2"/>
  <c r="AG293" i="2"/>
  <c r="AF293" i="2"/>
  <c r="AE293" i="2"/>
  <c r="AC293" i="2"/>
  <c r="AD293" i="2"/>
  <c r="AB293" i="2"/>
  <c r="X293" i="2"/>
  <c r="Z293" i="2"/>
  <c r="AA293" i="2"/>
  <c r="Y293" i="2"/>
  <c r="V293" i="2"/>
  <c r="T293" i="2"/>
  <c r="U293" i="2"/>
  <c r="W293" i="2"/>
  <c r="Q293" i="2"/>
  <c r="S293" i="2"/>
  <c r="R293" i="2"/>
  <c r="P293" i="2"/>
  <c r="O293" i="2"/>
  <c r="M293" i="2"/>
  <c r="K293" i="2"/>
  <c r="N293" i="2"/>
  <c r="L293" i="2"/>
  <c r="AP293" i="2"/>
  <c r="J293" i="2"/>
  <c r="I293" i="2"/>
  <c r="AO293" i="2"/>
  <c r="G294" i="3"/>
  <c r="I295" i="1"/>
  <c r="V294" i="1"/>
  <c r="J294" i="1"/>
  <c r="G294" i="2"/>
  <c r="Y294" i="1"/>
  <c r="Z294" i="1" s="1"/>
  <c r="N294" i="1"/>
  <c r="O294" i="1"/>
  <c r="S294" i="1"/>
  <c r="W294" i="1" s="1"/>
  <c r="R294" i="1"/>
  <c r="W293" i="1"/>
  <c r="H293" i="3"/>
  <c r="AR293" i="3"/>
  <c r="AQ293" i="3"/>
  <c r="AN293" i="3"/>
  <c r="AM293" i="3"/>
  <c r="AL293" i="3"/>
  <c r="AK293" i="3"/>
  <c r="AI293" i="3"/>
  <c r="AH293" i="3"/>
  <c r="AJ293" i="3"/>
  <c r="AG293" i="3"/>
  <c r="AF293" i="3"/>
  <c r="AD293" i="3"/>
  <c r="AC293" i="3"/>
  <c r="AE293" i="3"/>
  <c r="AB293" i="3"/>
  <c r="AA293" i="3"/>
  <c r="W293" i="3"/>
  <c r="Z293" i="3"/>
  <c r="U293" i="3"/>
  <c r="X293" i="3"/>
  <c r="Y293" i="3"/>
  <c r="T293" i="3"/>
  <c r="V293" i="3"/>
  <c r="S293" i="3"/>
  <c r="R293" i="3"/>
  <c r="Q293" i="3"/>
  <c r="O293" i="3"/>
  <c r="P293" i="3"/>
  <c r="M293" i="3"/>
  <c r="N293" i="3"/>
  <c r="L293" i="3"/>
  <c r="K293" i="3"/>
  <c r="AO293" i="3"/>
  <c r="I293" i="3"/>
  <c r="J293" i="3"/>
  <c r="AP293" i="3"/>
  <c r="L293" i="1"/>
  <c r="P293" i="1" s="1"/>
  <c r="AA293" i="1"/>
  <c r="H294" i="3" l="1"/>
  <c r="AR294" i="3"/>
  <c r="AQ294" i="3"/>
  <c r="AN294" i="3"/>
  <c r="AM294" i="3"/>
  <c r="AL294" i="3"/>
  <c r="AK294" i="3"/>
  <c r="AI294" i="3"/>
  <c r="AJ294" i="3"/>
  <c r="AE294" i="3"/>
  <c r="AH294" i="3"/>
  <c r="AG294" i="3"/>
  <c r="AF294" i="3"/>
  <c r="AC294" i="3"/>
  <c r="AD294" i="3"/>
  <c r="AA294" i="3"/>
  <c r="AB294" i="3"/>
  <c r="Z294" i="3"/>
  <c r="Y294" i="3"/>
  <c r="X294" i="3"/>
  <c r="W294" i="3"/>
  <c r="U294" i="3"/>
  <c r="V294" i="3"/>
  <c r="R294" i="3"/>
  <c r="T294" i="3"/>
  <c r="Q294" i="3"/>
  <c r="S294" i="3"/>
  <c r="M294" i="3"/>
  <c r="O294" i="3"/>
  <c r="P294" i="3"/>
  <c r="K294" i="3"/>
  <c r="N294" i="3"/>
  <c r="L294" i="3"/>
  <c r="AO294" i="3"/>
  <c r="I294" i="3"/>
  <c r="J294" i="3"/>
  <c r="AP294" i="3"/>
  <c r="H294" i="2"/>
  <c r="AR294" i="2"/>
  <c r="AM294" i="2"/>
  <c r="AQ294" i="2"/>
  <c r="AN294" i="2"/>
  <c r="AK294" i="2"/>
  <c r="AL294" i="2"/>
  <c r="AI294" i="2"/>
  <c r="AJ294" i="2"/>
  <c r="AH294" i="2"/>
  <c r="AG294" i="2"/>
  <c r="AF294" i="2"/>
  <c r="AE294" i="2"/>
  <c r="Z294" i="2"/>
  <c r="AC294" i="2"/>
  <c r="AB294" i="2"/>
  <c r="AD294" i="2"/>
  <c r="X294" i="2"/>
  <c r="AA294" i="2"/>
  <c r="Y294" i="2"/>
  <c r="W294" i="2"/>
  <c r="V294" i="2"/>
  <c r="U294" i="2"/>
  <c r="T294" i="2"/>
  <c r="Q294" i="2"/>
  <c r="S294" i="2"/>
  <c r="R294" i="2"/>
  <c r="P294" i="2"/>
  <c r="M294" i="2"/>
  <c r="K294" i="2"/>
  <c r="N294" i="2"/>
  <c r="O294" i="2"/>
  <c r="L294" i="2"/>
  <c r="I294" i="2"/>
  <c r="AO294" i="2"/>
  <c r="AP294" i="2"/>
  <c r="J294" i="2"/>
  <c r="L294" i="1"/>
  <c r="P294" i="1" s="1"/>
  <c r="AA294" i="1"/>
  <c r="I296" i="1"/>
  <c r="G295" i="3"/>
  <c r="V295" i="1"/>
  <c r="J295" i="1"/>
  <c r="G295" i="2"/>
  <c r="Y295" i="1"/>
  <c r="Z295" i="1" s="1"/>
  <c r="S295" i="1"/>
  <c r="W295" i="1" s="1"/>
  <c r="N295" i="1"/>
  <c r="R295" i="1"/>
  <c r="O295" i="1"/>
  <c r="H295" i="3" l="1"/>
  <c r="AR295" i="3"/>
  <c r="AN295" i="3"/>
  <c r="AQ295" i="3"/>
  <c r="AM295" i="3"/>
  <c r="AL295" i="3"/>
  <c r="AK295" i="3"/>
  <c r="AI295" i="3"/>
  <c r="AJ295" i="3"/>
  <c r="AH295" i="3"/>
  <c r="AG295" i="3"/>
  <c r="AF295" i="3"/>
  <c r="AD295" i="3"/>
  <c r="AA295" i="3"/>
  <c r="AE295" i="3"/>
  <c r="AC295" i="3"/>
  <c r="AB295" i="3"/>
  <c r="X295" i="3"/>
  <c r="Z295" i="3"/>
  <c r="Y295" i="3"/>
  <c r="W295" i="3"/>
  <c r="U295" i="3"/>
  <c r="V295" i="3"/>
  <c r="R295" i="3"/>
  <c r="T295" i="3"/>
  <c r="Q295" i="3"/>
  <c r="S295" i="3"/>
  <c r="O295" i="3"/>
  <c r="P295" i="3"/>
  <c r="K295" i="3"/>
  <c r="M295" i="3"/>
  <c r="N295" i="3"/>
  <c r="L295" i="3"/>
  <c r="AO295" i="3"/>
  <c r="I295" i="3"/>
  <c r="J295" i="3"/>
  <c r="AP295" i="3"/>
  <c r="I297" i="1"/>
  <c r="G296" i="3"/>
  <c r="V296" i="1"/>
  <c r="J296" i="1"/>
  <c r="G296" i="2"/>
  <c r="Y296" i="1"/>
  <c r="Z296" i="1" s="1"/>
  <c r="O296" i="1"/>
  <c r="S296" i="1"/>
  <c r="N296" i="1"/>
  <c r="R296" i="1"/>
  <c r="H295" i="2"/>
  <c r="AR295" i="2"/>
  <c r="AN295" i="2"/>
  <c r="AQ295" i="2"/>
  <c r="AM295" i="2"/>
  <c r="AL295" i="2"/>
  <c r="AK295" i="2"/>
  <c r="AJ295" i="2"/>
  <c r="AI295" i="2"/>
  <c r="AH295" i="2"/>
  <c r="AF295" i="2"/>
  <c r="AE295" i="2"/>
  <c r="AG295" i="2"/>
  <c r="AD295" i="2"/>
  <c r="AC295" i="2"/>
  <c r="AB295" i="2"/>
  <c r="Z295" i="2"/>
  <c r="X295" i="2"/>
  <c r="AA295" i="2"/>
  <c r="V295" i="2"/>
  <c r="Y295" i="2"/>
  <c r="W295" i="2"/>
  <c r="U295" i="2"/>
  <c r="S295" i="2"/>
  <c r="T295" i="2"/>
  <c r="R295" i="2"/>
  <c r="P295" i="2"/>
  <c r="Q295" i="2"/>
  <c r="N295" i="2"/>
  <c r="M295" i="2"/>
  <c r="O295" i="2"/>
  <c r="L295" i="2"/>
  <c r="AO295" i="2"/>
  <c r="K295" i="2"/>
  <c r="I295" i="2"/>
  <c r="J295" i="2"/>
  <c r="AP295" i="2"/>
  <c r="L295" i="1"/>
  <c r="P295" i="1" s="1"/>
  <c r="AA295" i="1"/>
  <c r="H296" i="3" l="1"/>
  <c r="AN296" i="3"/>
  <c r="AQ296" i="3"/>
  <c r="AR296" i="3"/>
  <c r="AM296" i="3"/>
  <c r="AL296" i="3"/>
  <c r="AJ296" i="3"/>
  <c r="AK296" i="3"/>
  <c r="AI296" i="3"/>
  <c r="AG296" i="3"/>
  <c r="AH296" i="3"/>
  <c r="AF296" i="3"/>
  <c r="AE296" i="3"/>
  <c r="AC296" i="3"/>
  <c r="AD296" i="3"/>
  <c r="AA296" i="3"/>
  <c r="Z296" i="3"/>
  <c r="AB296" i="3"/>
  <c r="X296" i="3"/>
  <c r="Y296" i="3"/>
  <c r="W296" i="3"/>
  <c r="V296" i="3"/>
  <c r="R296" i="3"/>
  <c r="T296" i="3"/>
  <c r="U296" i="3"/>
  <c r="O296" i="3"/>
  <c r="Q296" i="3"/>
  <c r="S296" i="3"/>
  <c r="M296" i="3"/>
  <c r="P296" i="3"/>
  <c r="K296" i="3"/>
  <c r="N296" i="3"/>
  <c r="L296" i="3"/>
  <c r="I296" i="3"/>
  <c r="AO296" i="3"/>
  <c r="J296" i="3"/>
  <c r="AP296" i="3"/>
  <c r="L296" i="1"/>
  <c r="P296" i="1" s="1"/>
  <c r="AA296" i="1"/>
  <c r="W296" i="1"/>
  <c r="I298" i="1"/>
  <c r="G297" i="3"/>
  <c r="J297" i="1"/>
  <c r="V297" i="1"/>
  <c r="G297" i="2"/>
  <c r="Y297" i="1"/>
  <c r="Z297" i="1" s="1"/>
  <c r="S297" i="1"/>
  <c r="W297" i="1" s="1"/>
  <c r="O297" i="1"/>
  <c r="R297" i="1"/>
  <c r="N297" i="1"/>
  <c r="H296" i="2"/>
  <c r="AR296" i="2"/>
  <c r="AQ296" i="2"/>
  <c r="AN296" i="2"/>
  <c r="AL296" i="2"/>
  <c r="AM296" i="2"/>
  <c r="AJ296" i="2"/>
  <c r="AK296" i="2"/>
  <c r="AF296" i="2"/>
  <c r="AI296" i="2"/>
  <c r="AH296" i="2"/>
  <c r="AE296" i="2"/>
  <c r="AG296" i="2"/>
  <c r="AD296" i="2"/>
  <c r="AB296" i="2"/>
  <c r="AC296" i="2"/>
  <c r="AA296" i="2"/>
  <c r="Z296" i="2"/>
  <c r="Y296" i="2"/>
  <c r="V296" i="2"/>
  <c r="W296" i="2"/>
  <c r="X296" i="2"/>
  <c r="S296" i="2"/>
  <c r="U296" i="2"/>
  <c r="R296" i="2"/>
  <c r="T296" i="2"/>
  <c r="N296" i="2"/>
  <c r="P296" i="2"/>
  <c r="Q296" i="2"/>
  <c r="L296" i="2"/>
  <c r="M296" i="2"/>
  <c r="O296" i="2"/>
  <c r="AO296" i="2"/>
  <c r="K296" i="2"/>
  <c r="I296" i="2"/>
  <c r="J296" i="2"/>
  <c r="AP296" i="2"/>
  <c r="L297" i="1" l="1"/>
  <c r="P297" i="1" s="1"/>
  <c r="AA297" i="1"/>
  <c r="H297" i="2"/>
  <c r="AR297" i="2"/>
  <c r="AQ297" i="2"/>
  <c r="AN297" i="2"/>
  <c r="AL297" i="2"/>
  <c r="AM297" i="2"/>
  <c r="AJ297" i="2"/>
  <c r="AK297" i="2"/>
  <c r="AI297" i="2"/>
  <c r="AH297" i="2"/>
  <c r="AG297" i="2"/>
  <c r="AF297" i="2"/>
  <c r="AE297" i="2"/>
  <c r="AD297" i="2"/>
  <c r="AB297" i="2"/>
  <c r="AA297" i="2"/>
  <c r="AC297" i="2"/>
  <c r="Y297" i="2"/>
  <c r="Z297" i="2"/>
  <c r="V297" i="2"/>
  <c r="W297" i="2"/>
  <c r="X297" i="2"/>
  <c r="U297" i="2"/>
  <c r="S297" i="2"/>
  <c r="R297" i="2"/>
  <c r="T297" i="2"/>
  <c r="P297" i="2"/>
  <c r="N297" i="2"/>
  <c r="Q297" i="2"/>
  <c r="O297" i="2"/>
  <c r="L297" i="2"/>
  <c r="I297" i="2"/>
  <c r="M297" i="2"/>
  <c r="J297" i="2"/>
  <c r="AO297" i="2"/>
  <c r="K297" i="2"/>
  <c r="AP297" i="2"/>
  <c r="H297" i="3"/>
  <c r="AR297" i="3"/>
  <c r="AN297" i="3"/>
  <c r="AQ297" i="3"/>
  <c r="AJ297" i="3"/>
  <c r="AL297" i="3"/>
  <c r="AM297" i="3"/>
  <c r="AK297" i="3"/>
  <c r="AG297" i="3"/>
  <c r="AH297" i="3"/>
  <c r="AI297" i="3"/>
  <c r="AF297" i="3"/>
  <c r="AA297" i="3"/>
  <c r="AE297" i="3"/>
  <c r="AC297" i="3"/>
  <c r="AD297" i="3"/>
  <c r="AB297" i="3"/>
  <c r="X297" i="3"/>
  <c r="Z297" i="3"/>
  <c r="Y297" i="3"/>
  <c r="V297" i="3"/>
  <c r="W297" i="3"/>
  <c r="U297" i="3"/>
  <c r="S297" i="3"/>
  <c r="R297" i="3"/>
  <c r="T297" i="3"/>
  <c r="O297" i="3"/>
  <c r="Q297" i="3"/>
  <c r="P297" i="3"/>
  <c r="N297" i="3"/>
  <c r="I297" i="3"/>
  <c r="M297" i="3"/>
  <c r="K297" i="3"/>
  <c r="L297" i="3"/>
  <c r="AP297" i="3"/>
  <c r="AO297" i="3"/>
  <c r="J297" i="3"/>
  <c r="G298" i="3"/>
  <c r="I299" i="1"/>
  <c r="J298" i="1"/>
  <c r="V298" i="1"/>
  <c r="G298" i="2"/>
  <c r="Y298" i="1"/>
  <c r="Z298" i="1" s="1"/>
  <c r="N298" i="1"/>
  <c r="R298" i="1"/>
  <c r="O298" i="1"/>
  <c r="S298" i="1"/>
  <c r="W298" i="1" s="1"/>
  <c r="G299" i="3" l="1"/>
  <c r="I300" i="1"/>
  <c r="V299" i="1"/>
  <c r="J299" i="1"/>
  <c r="G299" i="2"/>
  <c r="Y299" i="1"/>
  <c r="Z299" i="1" s="1"/>
  <c r="S299" i="1"/>
  <c r="W299" i="1" s="1"/>
  <c r="N299" i="1"/>
  <c r="R299" i="1"/>
  <c r="O299" i="1"/>
  <c r="H298" i="3"/>
  <c r="AQ298" i="3"/>
  <c r="AR298" i="3"/>
  <c r="AN298" i="3"/>
  <c r="AM298" i="3"/>
  <c r="AL298" i="3"/>
  <c r="AJ298" i="3"/>
  <c r="AK298" i="3"/>
  <c r="AG298" i="3"/>
  <c r="AI298" i="3"/>
  <c r="AF298" i="3"/>
  <c r="AH298" i="3"/>
  <c r="AD298" i="3"/>
  <c r="AE298" i="3"/>
  <c r="AC298" i="3"/>
  <c r="AB298" i="3"/>
  <c r="AA298" i="3"/>
  <c r="Z298" i="3"/>
  <c r="Y298" i="3"/>
  <c r="V298" i="3"/>
  <c r="W298" i="3"/>
  <c r="X298" i="3"/>
  <c r="S298" i="3"/>
  <c r="T298" i="3"/>
  <c r="U298" i="3"/>
  <c r="R298" i="3"/>
  <c r="P298" i="3"/>
  <c r="N298" i="3"/>
  <c r="O298" i="3"/>
  <c r="Q298" i="3"/>
  <c r="L298" i="3"/>
  <c r="M298" i="3"/>
  <c r="J298" i="3"/>
  <c r="AP298" i="3"/>
  <c r="AO298" i="3"/>
  <c r="I298" i="3"/>
  <c r="K298" i="3"/>
  <c r="H298" i="2"/>
  <c r="AR298" i="2"/>
  <c r="AQ298" i="2"/>
  <c r="AN298" i="2"/>
  <c r="AL298" i="2"/>
  <c r="AM298" i="2"/>
  <c r="AJ298" i="2"/>
  <c r="AK298" i="2"/>
  <c r="AH298" i="2"/>
  <c r="AF298" i="2"/>
  <c r="AI298" i="2"/>
  <c r="AG298" i="2"/>
  <c r="AD298" i="2"/>
  <c r="AB298" i="2"/>
  <c r="AE298" i="2"/>
  <c r="AA298" i="2"/>
  <c r="AC298" i="2"/>
  <c r="Y298" i="2"/>
  <c r="Z298" i="2"/>
  <c r="X298" i="2"/>
  <c r="W298" i="2"/>
  <c r="U298" i="2"/>
  <c r="S298" i="2"/>
  <c r="V298" i="2"/>
  <c r="P298" i="2"/>
  <c r="R298" i="2"/>
  <c r="T298" i="2"/>
  <c r="N298" i="2"/>
  <c r="Q298" i="2"/>
  <c r="O298" i="2"/>
  <c r="J298" i="2"/>
  <c r="L298" i="2"/>
  <c r="M298" i="2"/>
  <c r="I298" i="2"/>
  <c r="K298" i="2"/>
  <c r="AP298" i="2"/>
  <c r="AO298" i="2"/>
  <c r="L298" i="1"/>
  <c r="P298" i="1" s="1"/>
  <c r="AA298" i="1"/>
  <c r="H299" i="2" l="1"/>
  <c r="AQ299" i="2"/>
  <c r="AR299" i="2"/>
  <c r="AK299" i="2"/>
  <c r="AL299" i="2"/>
  <c r="AN299" i="2"/>
  <c r="AM299" i="2"/>
  <c r="AJ299" i="2"/>
  <c r="AH299" i="2"/>
  <c r="AI299" i="2"/>
  <c r="AG299" i="2"/>
  <c r="AF299" i="2"/>
  <c r="AD299" i="2"/>
  <c r="AB299" i="2"/>
  <c r="AE299" i="2"/>
  <c r="AA299" i="2"/>
  <c r="AC299" i="2"/>
  <c r="Y299" i="2"/>
  <c r="Z299" i="2"/>
  <c r="W299" i="2"/>
  <c r="X299" i="2"/>
  <c r="U299" i="2"/>
  <c r="V299" i="2"/>
  <c r="T299" i="2"/>
  <c r="R299" i="2"/>
  <c r="S299" i="2"/>
  <c r="P299" i="2"/>
  <c r="Q299" i="2"/>
  <c r="O299" i="2"/>
  <c r="L299" i="2"/>
  <c r="N299" i="2"/>
  <c r="M299" i="2"/>
  <c r="AO299" i="2"/>
  <c r="J299" i="2"/>
  <c r="I299" i="2"/>
  <c r="K299" i="2"/>
  <c r="AP299" i="2"/>
  <c r="L299" i="1"/>
  <c r="P299" i="1" s="1"/>
  <c r="AA299" i="1"/>
  <c r="G300" i="3"/>
  <c r="I301" i="1"/>
  <c r="J300" i="1"/>
  <c r="V300" i="1"/>
  <c r="G300" i="2"/>
  <c r="Y300" i="1"/>
  <c r="Z300" i="1" s="1"/>
  <c r="S300" i="1"/>
  <c r="W300" i="1" s="1"/>
  <c r="N300" i="1"/>
  <c r="R300" i="1"/>
  <c r="O300" i="1"/>
  <c r="H299" i="3"/>
  <c r="AQ299" i="3"/>
  <c r="AR299" i="3"/>
  <c r="AN299" i="3"/>
  <c r="AM299" i="3"/>
  <c r="AL299" i="3"/>
  <c r="AJ299" i="3"/>
  <c r="AK299" i="3"/>
  <c r="AG299" i="3"/>
  <c r="AI299" i="3"/>
  <c r="AF299" i="3"/>
  <c r="AH299" i="3"/>
  <c r="AB299" i="3"/>
  <c r="AD299" i="3"/>
  <c r="AE299" i="3"/>
  <c r="AC299" i="3"/>
  <c r="AA299" i="3"/>
  <c r="Y299" i="3"/>
  <c r="Z299" i="3"/>
  <c r="V299" i="3"/>
  <c r="W299" i="3"/>
  <c r="X299" i="3"/>
  <c r="S299" i="3"/>
  <c r="U299" i="3"/>
  <c r="Q299" i="3"/>
  <c r="T299" i="3"/>
  <c r="R299" i="3"/>
  <c r="P299" i="3"/>
  <c r="N299" i="3"/>
  <c r="O299" i="3"/>
  <c r="L299" i="3"/>
  <c r="I299" i="3"/>
  <c r="M299" i="3"/>
  <c r="K299" i="3"/>
  <c r="J299" i="3"/>
  <c r="AP299" i="3"/>
  <c r="AO299" i="3"/>
  <c r="L300" i="1" l="1"/>
  <c r="P300" i="1" s="1"/>
  <c r="AA300" i="1"/>
  <c r="G301" i="3"/>
  <c r="I302" i="1"/>
  <c r="V301" i="1"/>
  <c r="J301" i="1"/>
  <c r="Y301" i="1"/>
  <c r="Z301" i="1" s="1"/>
  <c r="G301" i="2"/>
  <c r="R301" i="1"/>
  <c r="S301" i="1"/>
  <c r="N301" i="1"/>
  <c r="O301" i="1"/>
  <c r="H300" i="3"/>
  <c r="AQ300" i="3"/>
  <c r="AR300" i="3"/>
  <c r="AM300" i="3"/>
  <c r="AN300" i="3"/>
  <c r="AK300" i="3"/>
  <c r="AL300" i="3"/>
  <c r="AI300" i="3"/>
  <c r="AJ300" i="3"/>
  <c r="AH300" i="3"/>
  <c r="AG300" i="3"/>
  <c r="AF300" i="3"/>
  <c r="AE300" i="3"/>
  <c r="AB300" i="3"/>
  <c r="AD300" i="3"/>
  <c r="AC300" i="3"/>
  <c r="AA300" i="3"/>
  <c r="Y300" i="3"/>
  <c r="Z300" i="3"/>
  <c r="W300" i="3"/>
  <c r="V300" i="3"/>
  <c r="X300" i="3"/>
  <c r="U300" i="3"/>
  <c r="S300" i="3"/>
  <c r="T300" i="3"/>
  <c r="R300" i="3"/>
  <c r="P300" i="3"/>
  <c r="Q300" i="3"/>
  <c r="L300" i="3"/>
  <c r="N300" i="3"/>
  <c r="O300" i="3"/>
  <c r="J300" i="3"/>
  <c r="M300" i="3"/>
  <c r="K300" i="3"/>
  <c r="AP300" i="3"/>
  <c r="AO300" i="3"/>
  <c r="I300" i="3"/>
  <c r="H300" i="2"/>
  <c r="AR300" i="2"/>
  <c r="AQ300" i="2"/>
  <c r="AL300" i="2"/>
  <c r="AM300" i="2"/>
  <c r="AK300" i="2"/>
  <c r="AN300" i="2"/>
  <c r="AJ300" i="2"/>
  <c r="AH300" i="2"/>
  <c r="AG300" i="2"/>
  <c r="AI300" i="2"/>
  <c r="AF300" i="2"/>
  <c r="AD300" i="2"/>
  <c r="AE300" i="2"/>
  <c r="AC300" i="2"/>
  <c r="AA300" i="2"/>
  <c r="AB300" i="2"/>
  <c r="Y300" i="2"/>
  <c r="Z300" i="2"/>
  <c r="W300" i="2"/>
  <c r="X300" i="2"/>
  <c r="U300" i="2"/>
  <c r="T300" i="2"/>
  <c r="V300" i="2"/>
  <c r="S300" i="2"/>
  <c r="P300" i="2"/>
  <c r="R300" i="2"/>
  <c r="O300" i="2"/>
  <c r="Q300" i="2"/>
  <c r="J300" i="2"/>
  <c r="N300" i="2"/>
  <c r="M300" i="2"/>
  <c r="L300" i="2"/>
  <c r="AO300" i="2"/>
  <c r="I300" i="2"/>
  <c r="K300" i="2"/>
  <c r="AP300" i="2"/>
  <c r="W301" i="1" l="1"/>
  <c r="H301" i="2"/>
  <c r="AR301" i="2"/>
  <c r="AQ301" i="2"/>
  <c r="AM301" i="2"/>
  <c r="AL301" i="2"/>
  <c r="AK301" i="2"/>
  <c r="AN301" i="2"/>
  <c r="AI301" i="2"/>
  <c r="AJ301" i="2"/>
  <c r="AH301" i="2"/>
  <c r="AG301" i="2"/>
  <c r="AD301" i="2"/>
  <c r="AF301" i="2"/>
  <c r="AC301" i="2"/>
  <c r="AE301" i="2"/>
  <c r="AA301" i="2"/>
  <c r="AB301" i="2"/>
  <c r="Z301" i="2"/>
  <c r="U301" i="2"/>
  <c r="W301" i="2"/>
  <c r="X301" i="2"/>
  <c r="Y301" i="2"/>
  <c r="T301" i="2"/>
  <c r="V301" i="2"/>
  <c r="S301" i="2"/>
  <c r="R301" i="2"/>
  <c r="Q301" i="2"/>
  <c r="O301" i="2"/>
  <c r="P301" i="2"/>
  <c r="M301" i="2"/>
  <c r="L301" i="2"/>
  <c r="N301" i="2"/>
  <c r="K301" i="2"/>
  <c r="J301" i="2"/>
  <c r="I301" i="2"/>
  <c r="AP301" i="2"/>
  <c r="AO301" i="2"/>
  <c r="G302" i="3"/>
  <c r="I303" i="1"/>
  <c r="V302" i="1"/>
  <c r="J302" i="1"/>
  <c r="G302" i="2"/>
  <c r="Y302" i="1"/>
  <c r="Z302" i="1" s="1"/>
  <c r="S302" i="1"/>
  <c r="W302" i="1" s="1"/>
  <c r="R302" i="1"/>
  <c r="O302" i="1"/>
  <c r="N302" i="1"/>
  <c r="L301" i="1"/>
  <c r="P301" i="1" s="1"/>
  <c r="AA301" i="1"/>
  <c r="H301" i="3"/>
  <c r="AQ301" i="3"/>
  <c r="AR301" i="3"/>
  <c r="AM301" i="3"/>
  <c r="AN301" i="3"/>
  <c r="AL301" i="3"/>
  <c r="AK301" i="3"/>
  <c r="AH301" i="3"/>
  <c r="AI301" i="3"/>
  <c r="AJ301" i="3"/>
  <c r="AG301" i="3"/>
  <c r="AE301" i="3"/>
  <c r="AF301" i="3"/>
  <c r="AB301" i="3"/>
  <c r="AD301" i="3"/>
  <c r="AC301" i="3"/>
  <c r="AA301" i="3"/>
  <c r="Z301" i="3"/>
  <c r="W301" i="3"/>
  <c r="Y301" i="3"/>
  <c r="X301" i="3"/>
  <c r="U301" i="3"/>
  <c r="V301" i="3"/>
  <c r="T301" i="3"/>
  <c r="R301" i="3"/>
  <c r="P301" i="3"/>
  <c r="S301" i="3"/>
  <c r="O301" i="3"/>
  <c r="Q301" i="3"/>
  <c r="L301" i="3"/>
  <c r="J301" i="3"/>
  <c r="M301" i="3"/>
  <c r="K301" i="3"/>
  <c r="N301" i="3"/>
  <c r="AO301" i="3"/>
  <c r="AP301" i="3"/>
  <c r="I301" i="3"/>
  <c r="H302" i="2" l="1"/>
  <c r="AR302" i="2"/>
  <c r="AM302" i="2"/>
  <c r="AQ302" i="2"/>
  <c r="AN302" i="2"/>
  <c r="AI302" i="2"/>
  <c r="AL302" i="2"/>
  <c r="AK302" i="2"/>
  <c r="AG302" i="2"/>
  <c r="AH302" i="2"/>
  <c r="AJ302" i="2"/>
  <c r="AF302" i="2"/>
  <c r="AC302" i="2"/>
  <c r="AD302" i="2"/>
  <c r="AE302" i="2"/>
  <c r="AB302" i="2"/>
  <c r="Z302" i="2"/>
  <c r="Y302" i="2"/>
  <c r="AA302" i="2"/>
  <c r="X302" i="2"/>
  <c r="U302" i="2"/>
  <c r="W302" i="2"/>
  <c r="T302" i="2"/>
  <c r="V302" i="2"/>
  <c r="Q302" i="2"/>
  <c r="S302" i="2"/>
  <c r="R302" i="2"/>
  <c r="M302" i="2"/>
  <c r="O302" i="2"/>
  <c r="P302" i="2"/>
  <c r="K302" i="2"/>
  <c r="L302" i="2"/>
  <c r="N302" i="2"/>
  <c r="AP302" i="2"/>
  <c r="J302" i="2"/>
  <c r="I302" i="2"/>
  <c r="AO302" i="2"/>
  <c r="L302" i="1"/>
  <c r="P302" i="1" s="1"/>
  <c r="AA302" i="1"/>
  <c r="G303" i="3"/>
  <c r="I304" i="1"/>
  <c r="V303" i="1"/>
  <c r="J303" i="1"/>
  <c r="G303" i="2"/>
  <c r="Y303" i="1"/>
  <c r="Z303" i="1" s="1"/>
  <c r="N303" i="1"/>
  <c r="O303" i="1"/>
  <c r="R303" i="1"/>
  <c r="S303" i="1"/>
  <c r="H302" i="3"/>
  <c r="AR302" i="3"/>
  <c r="AQ302" i="3"/>
  <c r="AL302" i="3"/>
  <c r="AN302" i="3"/>
  <c r="AM302" i="3"/>
  <c r="AK302" i="3"/>
  <c r="AH302" i="3"/>
  <c r="AI302" i="3"/>
  <c r="AJ302" i="3"/>
  <c r="AG302" i="3"/>
  <c r="AE302" i="3"/>
  <c r="AF302" i="3"/>
  <c r="AD302" i="3"/>
  <c r="AC302" i="3"/>
  <c r="AB302" i="3"/>
  <c r="Z302" i="3"/>
  <c r="Y302" i="3"/>
  <c r="AA302" i="3"/>
  <c r="X302" i="3"/>
  <c r="V302" i="3"/>
  <c r="U302" i="3"/>
  <c r="T302" i="3"/>
  <c r="W302" i="3"/>
  <c r="R302" i="3"/>
  <c r="P302" i="3"/>
  <c r="S302" i="3"/>
  <c r="Q302" i="3"/>
  <c r="O302" i="3"/>
  <c r="N302" i="3"/>
  <c r="L302" i="3"/>
  <c r="J302" i="3"/>
  <c r="M302" i="3"/>
  <c r="K302" i="3"/>
  <c r="I302" i="3"/>
  <c r="AP302" i="3"/>
  <c r="AO302" i="3"/>
  <c r="L303" i="1" l="1"/>
  <c r="P303" i="1" s="1"/>
  <c r="AA303" i="1"/>
  <c r="G304" i="3"/>
  <c r="I305" i="1"/>
  <c r="V304" i="1"/>
  <c r="J304" i="1"/>
  <c r="G304" i="2"/>
  <c r="Y304" i="1"/>
  <c r="Z304" i="1" s="1"/>
  <c r="N304" i="1"/>
  <c r="R304" i="1"/>
  <c r="S304" i="1"/>
  <c r="O304" i="1"/>
  <c r="H303" i="2"/>
  <c r="AR303" i="2"/>
  <c r="AQ303" i="2"/>
  <c r="AM303" i="2"/>
  <c r="AN303" i="2"/>
  <c r="AL303" i="2"/>
  <c r="AK303" i="2"/>
  <c r="AJ303" i="2"/>
  <c r="AI303" i="2"/>
  <c r="AG303" i="2"/>
  <c r="AF303" i="2"/>
  <c r="AH303" i="2"/>
  <c r="AC303" i="2"/>
  <c r="AD303" i="2"/>
  <c r="AE303" i="2"/>
  <c r="AB303" i="2"/>
  <c r="X303" i="2"/>
  <c r="Y303" i="2"/>
  <c r="AA303" i="2"/>
  <c r="Z303" i="2"/>
  <c r="U303" i="2"/>
  <c r="T303" i="2"/>
  <c r="W303" i="2"/>
  <c r="V303" i="2"/>
  <c r="Q303" i="2"/>
  <c r="S303" i="2"/>
  <c r="R303" i="2"/>
  <c r="O303" i="2"/>
  <c r="P303" i="2"/>
  <c r="K303" i="2"/>
  <c r="L303" i="2"/>
  <c r="N303" i="2"/>
  <c r="M303" i="2"/>
  <c r="I303" i="2"/>
  <c r="AP303" i="2"/>
  <c r="J303" i="2"/>
  <c r="AO303" i="2"/>
  <c r="H303" i="3"/>
  <c r="AR303" i="3"/>
  <c r="AQ303" i="3"/>
  <c r="AM303" i="3"/>
  <c r="AN303" i="3"/>
  <c r="AL303" i="3"/>
  <c r="AK303" i="3"/>
  <c r="AI303" i="3"/>
  <c r="AJ303" i="3"/>
  <c r="AH303" i="3"/>
  <c r="AD303" i="3"/>
  <c r="AG303" i="3"/>
  <c r="AE303" i="3"/>
  <c r="AF303" i="3"/>
  <c r="AC303" i="3"/>
  <c r="AB303" i="3"/>
  <c r="Z303" i="3"/>
  <c r="W303" i="3"/>
  <c r="AA303" i="3"/>
  <c r="U303" i="3"/>
  <c r="X303" i="3"/>
  <c r="Y303" i="3"/>
  <c r="T303" i="3"/>
  <c r="V303" i="3"/>
  <c r="R303" i="3"/>
  <c r="S303" i="3"/>
  <c r="Q303" i="3"/>
  <c r="O303" i="3"/>
  <c r="P303" i="3"/>
  <c r="M303" i="3"/>
  <c r="N303" i="3"/>
  <c r="L303" i="3"/>
  <c r="K303" i="3"/>
  <c r="J303" i="3"/>
  <c r="I303" i="3"/>
  <c r="AP303" i="3"/>
  <c r="AO303" i="3"/>
  <c r="W303" i="1"/>
  <c r="H304" i="2" l="1"/>
  <c r="AR304" i="2"/>
  <c r="AM304" i="2"/>
  <c r="AQ304" i="2"/>
  <c r="AN304" i="2"/>
  <c r="AI304" i="2"/>
  <c r="AL304" i="2"/>
  <c r="AK304" i="2"/>
  <c r="AJ304" i="2"/>
  <c r="AH304" i="2"/>
  <c r="AG304" i="2"/>
  <c r="AF304" i="2"/>
  <c r="AE304" i="2"/>
  <c r="AD304" i="2"/>
  <c r="Z304" i="2"/>
  <c r="AC304" i="2"/>
  <c r="AB304" i="2"/>
  <c r="X304" i="2"/>
  <c r="AA304" i="2"/>
  <c r="W304" i="2"/>
  <c r="Y304" i="2"/>
  <c r="V304" i="2"/>
  <c r="U304" i="2"/>
  <c r="Q304" i="2"/>
  <c r="S304" i="2"/>
  <c r="T304" i="2"/>
  <c r="R304" i="2"/>
  <c r="M304" i="2"/>
  <c r="P304" i="2"/>
  <c r="O304" i="2"/>
  <c r="K304" i="2"/>
  <c r="L304" i="2"/>
  <c r="N304" i="2"/>
  <c r="I304" i="2"/>
  <c r="J304" i="2"/>
  <c r="AO304" i="2"/>
  <c r="AP304" i="2"/>
  <c r="I306" i="1"/>
  <c r="G305" i="3"/>
  <c r="V305" i="1"/>
  <c r="J305" i="1"/>
  <c r="G305" i="2"/>
  <c r="Y305" i="1"/>
  <c r="Z305" i="1" s="1"/>
  <c r="S305" i="1"/>
  <c r="W305" i="1" s="1"/>
  <c r="N305" i="1"/>
  <c r="O305" i="1"/>
  <c r="R305" i="1"/>
  <c r="L304" i="1"/>
  <c r="P304" i="1" s="1"/>
  <c r="AA304" i="1"/>
  <c r="H304" i="3"/>
  <c r="AR304" i="3"/>
  <c r="AN304" i="3"/>
  <c r="AM304" i="3"/>
  <c r="AQ304" i="3"/>
  <c r="AL304" i="3"/>
  <c r="AI304" i="3"/>
  <c r="AK304" i="3"/>
  <c r="AJ304" i="3"/>
  <c r="AE304" i="3"/>
  <c r="AH304" i="3"/>
  <c r="AG304" i="3"/>
  <c r="AF304" i="3"/>
  <c r="AC304" i="3"/>
  <c r="AD304" i="3"/>
  <c r="AA304" i="3"/>
  <c r="AB304" i="3"/>
  <c r="Z304" i="3"/>
  <c r="Y304" i="3"/>
  <c r="X304" i="3"/>
  <c r="U304" i="3"/>
  <c r="W304" i="3"/>
  <c r="R304" i="3"/>
  <c r="T304" i="3"/>
  <c r="V304" i="3"/>
  <c r="Q304" i="3"/>
  <c r="S304" i="3"/>
  <c r="M304" i="3"/>
  <c r="O304" i="3"/>
  <c r="P304" i="3"/>
  <c r="K304" i="3"/>
  <c r="N304" i="3"/>
  <c r="L304" i="3"/>
  <c r="AO304" i="3"/>
  <c r="J304" i="3"/>
  <c r="I304" i="3"/>
  <c r="AP304" i="3"/>
  <c r="W304" i="1"/>
  <c r="H305" i="3" l="1"/>
  <c r="AR305" i="3"/>
  <c r="AN305" i="3"/>
  <c r="AQ305" i="3"/>
  <c r="AM305" i="3"/>
  <c r="AL305" i="3"/>
  <c r="AI305" i="3"/>
  <c r="AK305" i="3"/>
  <c r="AJ305" i="3"/>
  <c r="AH305" i="3"/>
  <c r="AD305" i="3"/>
  <c r="AG305" i="3"/>
  <c r="AF305" i="3"/>
  <c r="AA305" i="3"/>
  <c r="AC305" i="3"/>
  <c r="AE305" i="3"/>
  <c r="AB305" i="3"/>
  <c r="X305" i="3"/>
  <c r="Z305" i="3"/>
  <c r="Y305" i="3"/>
  <c r="U305" i="3"/>
  <c r="W305" i="3"/>
  <c r="R305" i="3"/>
  <c r="T305" i="3"/>
  <c r="V305" i="3"/>
  <c r="Q305" i="3"/>
  <c r="S305" i="3"/>
  <c r="O305" i="3"/>
  <c r="P305" i="3"/>
  <c r="K305" i="3"/>
  <c r="N305" i="3"/>
  <c r="L305" i="3"/>
  <c r="M305" i="3"/>
  <c r="AO305" i="3"/>
  <c r="J305" i="3"/>
  <c r="I305" i="3"/>
  <c r="AP305" i="3"/>
  <c r="I307" i="1"/>
  <c r="G306" i="3"/>
  <c r="J306" i="1"/>
  <c r="V306" i="1"/>
  <c r="G306" i="2"/>
  <c r="Y306" i="1"/>
  <c r="Z306" i="1" s="1"/>
  <c r="N306" i="1"/>
  <c r="O306" i="1"/>
  <c r="S306" i="1"/>
  <c r="W306" i="1" s="1"/>
  <c r="R306" i="1"/>
  <c r="H305" i="2"/>
  <c r="AR305" i="2"/>
  <c r="AQ305" i="2"/>
  <c r="AN305" i="2"/>
  <c r="AM305" i="2"/>
  <c r="AL305" i="2"/>
  <c r="AK305" i="2"/>
  <c r="AJ305" i="2"/>
  <c r="AI305" i="2"/>
  <c r="AH305" i="2"/>
  <c r="AF305" i="2"/>
  <c r="AE305" i="2"/>
  <c r="AG305" i="2"/>
  <c r="AC305" i="2"/>
  <c r="AB305" i="2"/>
  <c r="AD305" i="2"/>
  <c r="AA305" i="2"/>
  <c r="Z305" i="2"/>
  <c r="X305" i="2"/>
  <c r="V305" i="2"/>
  <c r="Y305" i="2"/>
  <c r="W305" i="2"/>
  <c r="U305" i="2"/>
  <c r="S305" i="2"/>
  <c r="T305" i="2"/>
  <c r="R305" i="2"/>
  <c r="Q305" i="2"/>
  <c r="P305" i="2"/>
  <c r="N305" i="2"/>
  <c r="O305" i="2"/>
  <c r="M305" i="2"/>
  <c r="L305" i="2"/>
  <c r="J305" i="2"/>
  <c r="I305" i="2"/>
  <c r="AO305" i="2"/>
  <c r="K305" i="2"/>
  <c r="AP305" i="2"/>
  <c r="L305" i="1"/>
  <c r="P305" i="1" s="1"/>
  <c r="AA305" i="1"/>
  <c r="H306" i="3" l="1"/>
  <c r="AR306" i="3"/>
  <c r="AN306" i="3"/>
  <c r="AQ306" i="3"/>
  <c r="AM306" i="3"/>
  <c r="AL306" i="3"/>
  <c r="AI306" i="3"/>
  <c r="AK306" i="3"/>
  <c r="AJ306" i="3"/>
  <c r="AG306" i="3"/>
  <c r="AH306" i="3"/>
  <c r="AF306" i="3"/>
  <c r="AC306" i="3"/>
  <c r="AD306" i="3"/>
  <c r="AE306" i="3"/>
  <c r="Z306" i="3"/>
  <c r="AB306" i="3"/>
  <c r="AA306" i="3"/>
  <c r="X306" i="3"/>
  <c r="Y306" i="3"/>
  <c r="W306" i="3"/>
  <c r="V306" i="3"/>
  <c r="U306" i="3"/>
  <c r="R306" i="3"/>
  <c r="T306" i="3"/>
  <c r="O306" i="3"/>
  <c r="Q306" i="3"/>
  <c r="S306" i="3"/>
  <c r="M306" i="3"/>
  <c r="P306" i="3"/>
  <c r="K306" i="3"/>
  <c r="N306" i="3"/>
  <c r="L306" i="3"/>
  <c r="I306" i="3"/>
  <c r="AO306" i="3"/>
  <c r="J306" i="3"/>
  <c r="AP306" i="3"/>
  <c r="I308" i="1"/>
  <c r="G307" i="3"/>
  <c r="V307" i="1"/>
  <c r="J307" i="1"/>
  <c r="G307" i="2"/>
  <c r="Y307" i="1"/>
  <c r="Z307" i="1" s="1"/>
  <c r="S307" i="1"/>
  <c r="W307" i="1" s="1"/>
  <c r="O307" i="1"/>
  <c r="R307" i="1"/>
  <c r="N307" i="1"/>
  <c r="H306" i="2"/>
  <c r="AQ306" i="2"/>
  <c r="AR306" i="2"/>
  <c r="AN306" i="2"/>
  <c r="AM306" i="2"/>
  <c r="AJ306" i="2"/>
  <c r="AL306" i="2"/>
  <c r="AK306" i="2"/>
  <c r="AI306" i="2"/>
  <c r="AH306" i="2"/>
  <c r="AF306" i="2"/>
  <c r="AE306" i="2"/>
  <c r="AG306" i="2"/>
  <c r="AD306" i="2"/>
  <c r="AB306" i="2"/>
  <c r="AC306" i="2"/>
  <c r="AA306" i="2"/>
  <c r="Z306" i="2"/>
  <c r="Y306" i="2"/>
  <c r="V306" i="2"/>
  <c r="X306" i="2"/>
  <c r="W306" i="2"/>
  <c r="S306" i="2"/>
  <c r="U306" i="2"/>
  <c r="R306" i="2"/>
  <c r="T306" i="2"/>
  <c r="Q306" i="2"/>
  <c r="P306" i="2"/>
  <c r="N306" i="2"/>
  <c r="M306" i="2"/>
  <c r="L306" i="2"/>
  <c r="O306" i="2"/>
  <c r="K306" i="2"/>
  <c r="J306" i="2"/>
  <c r="I306" i="2"/>
  <c r="AO306" i="2"/>
  <c r="AP306" i="2"/>
  <c r="L306" i="1"/>
  <c r="P306" i="1" s="1"/>
  <c r="AA306" i="1"/>
  <c r="H307" i="3" l="1"/>
  <c r="AR307" i="3"/>
  <c r="AN307" i="3"/>
  <c r="AQ307" i="3"/>
  <c r="AJ307" i="3"/>
  <c r="AM307" i="3"/>
  <c r="AL307" i="3"/>
  <c r="AK307" i="3"/>
  <c r="AG307" i="3"/>
  <c r="AI307" i="3"/>
  <c r="AH307" i="3"/>
  <c r="AF307" i="3"/>
  <c r="AA307" i="3"/>
  <c r="AC307" i="3"/>
  <c r="AD307" i="3"/>
  <c r="AE307" i="3"/>
  <c r="AB307" i="3"/>
  <c r="X307" i="3"/>
  <c r="Z307" i="3"/>
  <c r="Y307" i="3"/>
  <c r="W307" i="3"/>
  <c r="V307" i="3"/>
  <c r="U307" i="3"/>
  <c r="S307" i="3"/>
  <c r="T307" i="3"/>
  <c r="R307" i="3"/>
  <c r="Q307" i="3"/>
  <c r="O307" i="3"/>
  <c r="P307" i="3"/>
  <c r="N307" i="3"/>
  <c r="M307" i="3"/>
  <c r="I307" i="3"/>
  <c r="K307" i="3"/>
  <c r="L307" i="3"/>
  <c r="AP307" i="3"/>
  <c r="AO307" i="3"/>
  <c r="J307" i="3"/>
  <c r="I309" i="1"/>
  <c r="G308" i="3"/>
  <c r="J308" i="1"/>
  <c r="V308" i="1"/>
  <c r="Y308" i="1"/>
  <c r="Z308" i="1" s="1"/>
  <c r="G308" i="2"/>
  <c r="R308" i="1"/>
  <c r="N308" i="1"/>
  <c r="O308" i="1"/>
  <c r="S308" i="1"/>
  <c r="W308" i="1" s="1"/>
  <c r="H307" i="2"/>
  <c r="AR307" i="2"/>
  <c r="AN307" i="2"/>
  <c r="AQ307" i="2"/>
  <c r="AM307" i="2"/>
  <c r="AL307" i="2"/>
  <c r="AK307" i="2"/>
  <c r="AJ307" i="2"/>
  <c r="AI307" i="2"/>
  <c r="AH307" i="2"/>
  <c r="AE307" i="2"/>
  <c r="AG307" i="2"/>
  <c r="AF307" i="2"/>
  <c r="AB307" i="2"/>
  <c r="AD307" i="2"/>
  <c r="AA307" i="2"/>
  <c r="AC307" i="2"/>
  <c r="Y307" i="2"/>
  <c r="Z307" i="2"/>
  <c r="V307" i="2"/>
  <c r="X307" i="2"/>
  <c r="W307" i="2"/>
  <c r="S307" i="2"/>
  <c r="U307" i="2"/>
  <c r="R307" i="2"/>
  <c r="T307" i="2"/>
  <c r="P307" i="2"/>
  <c r="Q307" i="2"/>
  <c r="N307" i="2"/>
  <c r="O307" i="2"/>
  <c r="M307" i="2"/>
  <c r="L307" i="2"/>
  <c r="I307" i="2"/>
  <c r="J307" i="2"/>
  <c r="K307" i="2"/>
  <c r="AO307" i="2"/>
  <c r="AP307" i="2"/>
  <c r="L307" i="1"/>
  <c r="P307" i="1" s="1"/>
  <c r="AA307" i="1"/>
  <c r="H308" i="3" l="1"/>
  <c r="AQ308" i="3"/>
  <c r="AR308" i="3"/>
  <c r="AN308" i="3"/>
  <c r="AM308" i="3"/>
  <c r="AL308" i="3"/>
  <c r="AK308" i="3"/>
  <c r="AJ308" i="3"/>
  <c r="AI308" i="3"/>
  <c r="AG308" i="3"/>
  <c r="AF308" i="3"/>
  <c r="AH308" i="3"/>
  <c r="AE308" i="3"/>
  <c r="AC308" i="3"/>
  <c r="AD308" i="3"/>
  <c r="AB308" i="3"/>
  <c r="AA308" i="3"/>
  <c r="Z308" i="3"/>
  <c r="Y308" i="3"/>
  <c r="W308" i="3"/>
  <c r="V308" i="3"/>
  <c r="X308" i="3"/>
  <c r="S308" i="3"/>
  <c r="U308" i="3"/>
  <c r="T308" i="3"/>
  <c r="R308" i="3"/>
  <c r="N308" i="3"/>
  <c r="Q308" i="3"/>
  <c r="O308" i="3"/>
  <c r="P308" i="3"/>
  <c r="M308" i="3"/>
  <c r="L308" i="3"/>
  <c r="K308" i="3"/>
  <c r="AP308" i="3"/>
  <c r="I308" i="3"/>
  <c r="AO308" i="3"/>
  <c r="J308" i="3"/>
  <c r="G309" i="3"/>
  <c r="I310" i="1"/>
  <c r="V309" i="1"/>
  <c r="J309" i="1"/>
  <c r="G309" i="2"/>
  <c r="Y309" i="1"/>
  <c r="Z309" i="1" s="1"/>
  <c r="N309" i="1"/>
  <c r="R309" i="1"/>
  <c r="O309" i="1"/>
  <c r="S309" i="1"/>
  <c r="W309" i="1" s="1"/>
  <c r="H308" i="2"/>
  <c r="AR308" i="2"/>
  <c r="AQ308" i="2"/>
  <c r="AN308" i="2"/>
  <c r="AL308" i="2"/>
  <c r="AM308" i="2"/>
  <c r="AK308" i="2"/>
  <c r="AJ308" i="2"/>
  <c r="AH308" i="2"/>
  <c r="AF308" i="2"/>
  <c r="AI308" i="2"/>
  <c r="AG308" i="2"/>
  <c r="AD308" i="2"/>
  <c r="AB308" i="2"/>
  <c r="AE308" i="2"/>
  <c r="AA308" i="2"/>
  <c r="AC308" i="2"/>
  <c r="Y308" i="2"/>
  <c r="Z308" i="2"/>
  <c r="X308" i="2"/>
  <c r="W308" i="2"/>
  <c r="V308" i="2"/>
  <c r="S308" i="2"/>
  <c r="U308" i="2"/>
  <c r="T308" i="2"/>
  <c r="P308" i="2"/>
  <c r="R308" i="2"/>
  <c r="Q308" i="2"/>
  <c r="N308" i="2"/>
  <c r="O308" i="2"/>
  <c r="J308" i="2"/>
  <c r="M308" i="2"/>
  <c r="L308" i="2"/>
  <c r="K308" i="2"/>
  <c r="I308" i="2"/>
  <c r="AP308" i="2"/>
  <c r="AO308" i="2"/>
  <c r="L308" i="1"/>
  <c r="P308" i="1" s="1"/>
  <c r="AA308" i="1"/>
  <c r="G310" i="3" l="1"/>
  <c r="I311" i="1"/>
  <c r="J310" i="1"/>
  <c r="V310" i="1"/>
  <c r="G310" i="2"/>
  <c r="Y310" i="1"/>
  <c r="Z310" i="1" s="1"/>
  <c r="S310" i="1"/>
  <c r="W310" i="1" s="1"/>
  <c r="N310" i="1"/>
  <c r="O310" i="1"/>
  <c r="R310" i="1"/>
  <c r="H309" i="3"/>
  <c r="AR309" i="3"/>
  <c r="AQ309" i="3"/>
  <c r="AN309" i="3"/>
  <c r="AL309" i="3"/>
  <c r="AM309" i="3"/>
  <c r="AK309" i="3"/>
  <c r="AJ309" i="3"/>
  <c r="AI309" i="3"/>
  <c r="AG309" i="3"/>
  <c r="AF309" i="3"/>
  <c r="AH309" i="3"/>
  <c r="AB309" i="3"/>
  <c r="AE309" i="3"/>
  <c r="AC309" i="3"/>
  <c r="AD309" i="3"/>
  <c r="AA309" i="3"/>
  <c r="Y309" i="3"/>
  <c r="Z309" i="3"/>
  <c r="W309" i="3"/>
  <c r="V309" i="3"/>
  <c r="X309" i="3"/>
  <c r="S309" i="3"/>
  <c r="U309" i="3"/>
  <c r="T309" i="3"/>
  <c r="Q309" i="3"/>
  <c r="R309" i="3"/>
  <c r="P309" i="3"/>
  <c r="N309" i="3"/>
  <c r="O309" i="3"/>
  <c r="L309" i="3"/>
  <c r="M309" i="3"/>
  <c r="I309" i="3"/>
  <c r="K309" i="3"/>
  <c r="J309" i="3"/>
  <c r="AP309" i="3"/>
  <c r="AO309" i="3"/>
  <c r="H309" i="2"/>
  <c r="AR309" i="2"/>
  <c r="AQ309" i="2"/>
  <c r="AN309" i="2"/>
  <c r="AK309" i="2"/>
  <c r="AL309" i="2"/>
  <c r="AM309" i="2"/>
  <c r="AH309" i="2"/>
  <c r="AJ309" i="2"/>
  <c r="AI309" i="2"/>
  <c r="AG309" i="2"/>
  <c r="AF309" i="2"/>
  <c r="AD309" i="2"/>
  <c r="AB309" i="2"/>
  <c r="AE309" i="2"/>
  <c r="AA309" i="2"/>
  <c r="AC309" i="2"/>
  <c r="Y309" i="2"/>
  <c r="W309" i="2"/>
  <c r="Z309" i="2"/>
  <c r="X309" i="2"/>
  <c r="V309" i="2"/>
  <c r="U309" i="2"/>
  <c r="T309" i="2"/>
  <c r="R309" i="2"/>
  <c r="S309" i="2"/>
  <c r="P309" i="2"/>
  <c r="Q309" i="2"/>
  <c r="O309" i="2"/>
  <c r="N309" i="2"/>
  <c r="M309" i="2"/>
  <c r="L309" i="2"/>
  <c r="K309" i="2"/>
  <c r="J309" i="2"/>
  <c r="I309" i="2"/>
  <c r="AO309" i="2"/>
  <c r="AP309" i="2"/>
  <c r="L309" i="1"/>
  <c r="P309" i="1" s="1"/>
  <c r="AA309" i="1"/>
  <c r="H310" i="2" l="1"/>
  <c r="AR310" i="2"/>
  <c r="AQ310" i="2"/>
  <c r="AL310" i="2"/>
  <c r="AN310" i="2"/>
  <c r="AK310" i="2"/>
  <c r="AM310" i="2"/>
  <c r="AH310" i="2"/>
  <c r="AJ310" i="2"/>
  <c r="AG310" i="2"/>
  <c r="AI310" i="2"/>
  <c r="AF310" i="2"/>
  <c r="AE310" i="2"/>
  <c r="AD310" i="2"/>
  <c r="AC310" i="2"/>
  <c r="AB310" i="2"/>
  <c r="AA310" i="2"/>
  <c r="Y310" i="2"/>
  <c r="Z310" i="2"/>
  <c r="W310" i="2"/>
  <c r="X310" i="2"/>
  <c r="U310" i="2"/>
  <c r="T310" i="2"/>
  <c r="V310" i="2"/>
  <c r="P310" i="2"/>
  <c r="R310" i="2"/>
  <c r="S310" i="2"/>
  <c r="O310" i="2"/>
  <c r="Q310" i="2"/>
  <c r="N310" i="2"/>
  <c r="J310" i="2"/>
  <c r="M310" i="2"/>
  <c r="K310" i="2"/>
  <c r="L310" i="2"/>
  <c r="I310" i="2"/>
  <c r="AO310" i="2"/>
  <c r="AP310" i="2"/>
  <c r="L310" i="1"/>
  <c r="P310" i="1" s="1"/>
  <c r="AA310" i="1"/>
  <c r="G311" i="3"/>
  <c r="I312" i="1"/>
  <c r="J311" i="1"/>
  <c r="V311" i="1"/>
  <c r="Y311" i="1"/>
  <c r="Z311" i="1" s="1"/>
  <c r="G311" i="2"/>
  <c r="O311" i="1"/>
  <c r="R311" i="1"/>
  <c r="S311" i="1"/>
  <c r="W311" i="1" s="1"/>
  <c r="N311" i="1"/>
  <c r="H310" i="3"/>
  <c r="AQ310" i="3"/>
  <c r="AR310" i="3"/>
  <c r="AN310" i="3"/>
  <c r="AL310" i="3"/>
  <c r="AM310" i="3"/>
  <c r="AK310" i="3"/>
  <c r="AJ310" i="3"/>
  <c r="AI310" i="3"/>
  <c r="AH310" i="3"/>
  <c r="AF310" i="3"/>
  <c r="AG310" i="3"/>
  <c r="AB310" i="3"/>
  <c r="AE310" i="3"/>
  <c r="AD310" i="3"/>
  <c r="AA310" i="3"/>
  <c r="AC310" i="3"/>
  <c r="Y310" i="3"/>
  <c r="Z310" i="3"/>
  <c r="W310" i="3"/>
  <c r="V310" i="3"/>
  <c r="X310" i="3"/>
  <c r="S310" i="3"/>
  <c r="U310" i="3"/>
  <c r="P310" i="3"/>
  <c r="T310" i="3"/>
  <c r="Q310" i="3"/>
  <c r="R310" i="3"/>
  <c r="L310" i="3"/>
  <c r="N310" i="3"/>
  <c r="O310" i="3"/>
  <c r="J310" i="3"/>
  <c r="M310" i="3"/>
  <c r="K310" i="3"/>
  <c r="AP310" i="3"/>
  <c r="I310" i="3"/>
  <c r="AO310" i="3"/>
  <c r="L311" i="1" l="1"/>
  <c r="P311" i="1" s="1"/>
  <c r="AA311" i="1"/>
  <c r="G312" i="3"/>
  <c r="I313" i="1"/>
  <c r="J312" i="1"/>
  <c r="V312" i="1"/>
  <c r="G312" i="2"/>
  <c r="Y312" i="1"/>
  <c r="Z312" i="1" s="1"/>
  <c r="S312" i="1"/>
  <c r="R312" i="1"/>
  <c r="O312" i="1"/>
  <c r="N312" i="1"/>
  <c r="H311" i="2"/>
  <c r="AQ311" i="2"/>
  <c r="AR311" i="2"/>
  <c r="AL311" i="2"/>
  <c r="AK311" i="2"/>
  <c r="AM311" i="2"/>
  <c r="AN311" i="2"/>
  <c r="AI311" i="2"/>
  <c r="AH311" i="2"/>
  <c r="AJ311" i="2"/>
  <c r="AG311" i="2"/>
  <c r="AF311" i="2"/>
  <c r="AD311" i="2"/>
  <c r="AC311" i="2"/>
  <c r="AE311" i="2"/>
  <c r="AB311" i="2"/>
  <c r="AA311" i="2"/>
  <c r="Z311" i="2"/>
  <c r="U311" i="2"/>
  <c r="W311" i="2"/>
  <c r="Y311" i="2"/>
  <c r="X311" i="2"/>
  <c r="T311" i="2"/>
  <c r="V311" i="2"/>
  <c r="R311" i="2"/>
  <c r="S311" i="2"/>
  <c r="Q311" i="2"/>
  <c r="O311" i="2"/>
  <c r="P311" i="2"/>
  <c r="M311" i="2"/>
  <c r="N311" i="2"/>
  <c r="L311" i="2"/>
  <c r="K311" i="2"/>
  <c r="J311" i="2"/>
  <c r="I311" i="2"/>
  <c r="AP311" i="2"/>
  <c r="AO311" i="2"/>
  <c r="H311" i="3"/>
  <c r="AQ311" i="3"/>
  <c r="AR311" i="3"/>
  <c r="AN311" i="3"/>
  <c r="AL311" i="3"/>
  <c r="AK311" i="3"/>
  <c r="AM311" i="3"/>
  <c r="AH311" i="3"/>
  <c r="AJ311" i="3"/>
  <c r="AI311" i="3"/>
  <c r="AF311" i="3"/>
  <c r="AG311" i="3"/>
  <c r="AE311" i="3"/>
  <c r="AD311" i="3"/>
  <c r="AB311" i="3"/>
  <c r="AC311" i="3"/>
  <c r="AA311" i="3"/>
  <c r="W311" i="3"/>
  <c r="Y311" i="3"/>
  <c r="Z311" i="3"/>
  <c r="X311" i="3"/>
  <c r="V311" i="3"/>
  <c r="U311" i="3"/>
  <c r="T311" i="3"/>
  <c r="S311" i="3"/>
  <c r="P311" i="3"/>
  <c r="R311" i="3"/>
  <c r="Q311" i="3"/>
  <c r="O311" i="3"/>
  <c r="J311" i="3"/>
  <c r="M311" i="3"/>
  <c r="N311" i="3"/>
  <c r="K311" i="3"/>
  <c r="L311" i="3"/>
  <c r="AO311" i="3"/>
  <c r="AP311" i="3"/>
  <c r="I311" i="3"/>
  <c r="W312" i="1" l="1"/>
  <c r="H312" i="2"/>
  <c r="AQ312" i="2"/>
  <c r="AR312" i="2"/>
  <c r="AM312" i="2"/>
  <c r="AL312" i="2"/>
  <c r="AN312" i="2"/>
  <c r="AI312" i="2"/>
  <c r="AK312" i="2"/>
  <c r="AJ312" i="2"/>
  <c r="AH312" i="2"/>
  <c r="AG312" i="2"/>
  <c r="AF312" i="2"/>
  <c r="AC312" i="2"/>
  <c r="AE312" i="2"/>
  <c r="AD312" i="2"/>
  <c r="AB312" i="2"/>
  <c r="Z312" i="2"/>
  <c r="AA312" i="2"/>
  <c r="Y312" i="2"/>
  <c r="X312" i="2"/>
  <c r="U312" i="2"/>
  <c r="W312" i="2"/>
  <c r="T312" i="2"/>
  <c r="V312" i="2"/>
  <c r="Q312" i="2"/>
  <c r="R312" i="2"/>
  <c r="S312" i="2"/>
  <c r="M312" i="2"/>
  <c r="O312" i="2"/>
  <c r="P312" i="2"/>
  <c r="K312" i="2"/>
  <c r="N312" i="2"/>
  <c r="L312" i="2"/>
  <c r="AP312" i="2"/>
  <c r="J312" i="2"/>
  <c r="I312" i="2"/>
  <c r="AO312" i="2"/>
  <c r="G313" i="3"/>
  <c r="I314" i="1"/>
  <c r="V313" i="1"/>
  <c r="J313" i="1"/>
  <c r="G313" i="2"/>
  <c r="Y313" i="1"/>
  <c r="Z313" i="1" s="1"/>
  <c r="N313" i="1"/>
  <c r="O313" i="1"/>
  <c r="R313" i="1"/>
  <c r="S313" i="1"/>
  <c r="W313" i="1" s="1"/>
  <c r="H312" i="3"/>
  <c r="AR312" i="3"/>
  <c r="AQ312" i="3"/>
  <c r="AN312" i="3"/>
  <c r="AL312" i="3"/>
  <c r="AM312" i="3"/>
  <c r="AK312" i="3"/>
  <c r="AH312" i="3"/>
  <c r="AJ312" i="3"/>
  <c r="AI312" i="3"/>
  <c r="AE312" i="3"/>
  <c r="AF312" i="3"/>
  <c r="AG312" i="3"/>
  <c r="AD312" i="3"/>
  <c r="AC312" i="3"/>
  <c r="AA312" i="3"/>
  <c r="AB312" i="3"/>
  <c r="Y312" i="3"/>
  <c r="Z312" i="3"/>
  <c r="W312" i="3"/>
  <c r="V312" i="3"/>
  <c r="X312" i="3"/>
  <c r="U312" i="3"/>
  <c r="T312" i="3"/>
  <c r="S312" i="3"/>
  <c r="P312" i="3"/>
  <c r="R312" i="3"/>
  <c r="Q312" i="3"/>
  <c r="O312" i="3"/>
  <c r="L312" i="3"/>
  <c r="J312" i="3"/>
  <c r="M312" i="3"/>
  <c r="N312" i="3"/>
  <c r="K312" i="3"/>
  <c r="AP312" i="3"/>
  <c r="I312" i="3"/>
  <c r="AO312" i="3"/>
  <c r="L312" i="1"/>
  <c r="P312" i="1" s="1"/>
  <c r="AA312" i="1"/>
  <c r="H313" i="3" l="1"/>
  <c r="AQ313" i="3"/>
  <c r="AR313" i="3"/>
  <c r="AN313" i="3"/>
  <c r="AM313" i="3"/>
  <c r="AL313" i="3"/>
  <c r="AK313" i="3"/>
  <c r="AI313" i="3"/>
  <c r="AH313" i="3"/>
  <c r="AJ313" i="3"/>
  <c r="AG313" i="3"/>
  <c r="AD313" i="3"/>
  <c r="AE313" i="3"/>
  <c r="AF313" i="3"/>
  <c r="AC313" i="3"/>
  <c r="AA313" i="3"/>
  <c r="AB313" i="3"/>
  <c r="Z313" i="3"/>
  <c r="W313" i="3"/>
  <c r="U313" i="3"/>
  <c r="X313" i="3"/>
  <c r="Y313" i="3"/>
  <c r="T313" i="3"/>
  <c r="V313" i="3"/>
  <c r="R313" i="3"/>
  <c r="S313" i="3"/>
  <c r="Q313" i="3"/>
  <c r="P313" i="3"/>
  <c r="O313" i="3"/>
  <c r="M313" i="3"/>
  <c r="L313" i="3"/>
  <c r="N313" i="3"/>
  <c r="K313" i="3"/>
  <c r="AP313" i="3"/>
  <c r="J313" i="3"/>
  <c r="I313" i="3"/>
  <c r="AO313" i="3"/>
  <c r="H313" i="2"/>
  <c r="AR313" i="2"/>
  <c r="AQ313" i="2"/>
  <c r="AM313" i="2"/>
  <c r="AN313" i="2"/>
  <c r="AK313" i="2"/>
  <c r="AL313" i="2"/>
  <c r="AJ313" i="2"/>
  <c r="AH313" i="2"/>
  <c r="AI313" i="2"/>
  <c r="AF313" i="2"/>
  <c r="AG313" i="2"/>
  <c r="AC313" i="2"/>
  <c r="AE313" i="2"/>
  <c r="AD313" i="2"/>
  <c r="AB313" i="2"/>
  <c r="X313" i="2"/>
  <c r="AA313" i="2"/>
  <c r="Y313" i="2"/>
  <c r="Z313" i="2"/>
  <c r="U313" i="2"/>
  <c r="W313" i="2"/>
  <c r="T313" i="2"/>
  <c r="V313" i="2"/>
  <c r="Q313" i="2"/>
  <c r="R313" i="2"/>
  <c r="S313" i="2"/>
  <c r="O313" i="2"/>
  <c r="P313" i="2"/>
  <c r="K313" i="2"/>
  <c r="N313" i="2"/>
  <c r="M313" i="2"/>
  <c r="L313" i="2"/>
  <c r="AP313" i="2"/>
  <c r="J313" i="2"/>
  <c r="I313" i="2"/>
  <c r="AO313" i="2"/>
  <c r="L313" i="1"/>
  <c r="P313" i="1" s="1"/>
  <c r="AA313" i="1"/>
  <c r="G314" i="3"/>
  <c r="I315" i="1"/>
  <c r="V314" i="1"/>
  <c r="J314" i="1"/>
  <c r="G314" i="2"/>
  <c r="Y314" i="1"/>
  <c r="Z314" i="1" s="1"/>
  <c r="N314" i="1"/>
  <c r="S314" i="1"/>
  <c r="W314" i="1" s="1"/>
  <c r="R314" i="1"/>
  <c r="O314" i="1"/>
  <c r="I316" i="1" l="1"/>
  <c r="G315" i="3"/>
  <c r="V315" i="1"/>
  <c r="J315" i="1"/>
  <c r="G315" i="2"/>
  <c r="Y315" i="1"/>
  <c r="Z315" i="1" s="1"/>
  <c r="S315" i="1"/>
  <c r="W315" i="1" s="1"/>
  <c r="N315" i="1"/>
  <c r="O315" i="1"/>
  <c r="R315" i="1"/>
  <c r="H314" i="3"/>
  <c r="AQ314" i="3"/>
  <c r="AR314" i="3"/>
  <c r="AN314" i="3"/>
  <c r="AM314" i="3"/>
  <c r="AL314" i="3"/>
  <c r="AI314" i="3"/>
  <c r="AK314" i="3"/>
  <c r="AJ314" i="3"/>
  <c r="AH314" i="3"/>
  <c r="AG314" i="3"/>
  <c r="AE314" i="3"/>
  <c r="AF314" i="3"/>
  <c r="AD314" i="3"/>
  <c r="AC314" i="3"/>
  <c r="AA314" i="3"/>
  <c r="AB314" i="3"/>
  <c r="Z314" i="3"/>
  <c r="Y314" i="3"/>
  <c r="X314" i="3"/>
  <c r="U314" i="3"/>
  <c r="W314" i="3"/>
  <c r="R314" i="3"/>
  <c r="T314" i="3"/>
  <c r="V314" i="3"/>
  <c r="Q314" i="3"/>
  <c r="S314" i="3"/>
  <c r="O314" i="3"/>
  <c r="M314" i="3"/>
  <c r="P314" i="3"/>
  <c r="K314" i="3"/>
  <c r="L314" i="3"/>
  <c r="N314" i="3"/>
  <c r="AP314" i="3"/>
  <c r="J314" i="3"/>
  <c r="I314" i="3"/>
  <c r="AO314" i="3"/>
  <c r="H314" i="2"/>
  <c r="AR314" i="2"/>
  <c r="AQ314" i="2"/>
  <c r="AM314" i="2"/>
  <c r="AN314" i="2"/>
  <c r="AI314" i="2"/>
  <c r="AK314" i="2"/>
  <c r="AL314" i="2"/>
  <c r="AJ314" i="2"/>
  <c r="AH314" i="2"/>
  <c r="AF314" i="2"/>
  <c r="AG314" i="2"/>
  <c r="AE314" i="2"/>
  <c r="AD314" i="2"/>
  <c r="Z314" i="2"/>
  <c r="AC314" i="2"/>
  <c r="AB314" i="2"/>
  <c r="X314" i="2"/>
  <c r="AA314" i="2"/>
  <c r="W314" i="2"/>
  <c r="Y314" i="2"/>
  <c r="V314" i="2"/>
  <c r="U314" i="2"/>
  <c r="S314" i="2"/>
  <c r="T314" i="2"/>
  <c r="Q314" i="2"/>
  <c r="R314" i="2"/>
  <c r="M314" i="2"/>
  <c r="P314" i="2"/>
  <c r="K314" i="2"/>
  <c r="O314" i="2"/>
  <c r="N314" i="2"/>
  <c r="L314" i="2"/>
  <c r="I314" i="2"/>
  <c r="AO314" i="2"/>
  <c r="AP314" i="2"/>
  <c r="J314" i="2"/>
  <c r="L314" i="1"/>
  <c r="P314" i="1" s="1"/>
  <c r="AA314" i="1"/>
  <c r="H315" i="2" l="1"/>
  <c r="AR315" i="2"/>
  <c r="AQ315" i="2"/>
  <c r="AN315" i="2"/>
  <c r="AM315" i="2"/>
  <c r="AL315" i="2"/>
  <c r="AJ315" i="2"/>
  <c r="AK315" i="2"/>
  <c r="AI315" i="2"/>
  <c r="AH315" i="2"/>
  <c r="AF315" i="2"/>
  <c r="AG315" i="2"/>
  <c r="AE315" i="2"/>
  <c r="AD315" i="2"/>
  <c r="AC315" i="2"/>
  <c r="AB315" i="2"/>
  <c r="X315" i="2"/>
  <c r="AA315" i="2"/>
  <c r="Z315" i="2"/>
  <c r="Y315" i="2"/>
  <c r="V315" i="2"/>
  <c r="W315" i="2"/>
  <c r="U315" i="2"/>
  <c r="S315" i="2"/>
  <c r="T315" i="2"/>
  <c r="R315" i="2"/>
  <c r="Q315" i="2"/>
  <c r="P315" i="2"/>
  <c r="N315" i="2"/>
  <c r="O315" i="2"/>
  <c r="M315" i="2"/>
  <c r="L315" i="2"/>
  <c r="AO315" i="2"/>
  <c r="K315" i="2"/>
  <c r="J315" i="2"/>
  <c r="I315" i="2"/>
  <c r="AP315" i="2"/>
  <c r="L315" i="1"/>
  <c r="P315" i="1" s="1"/>
  <c r="AA315" i="1"/>
  <c r="H315" i="3"/>
  <c r="AN315" i="3"/>
  <c r="AQ315" i="3"/>
  <c r="AR315" i="3"/>
  <c r="AM315" i="3"/>
  <c r="AL315" i="3"/>
  <c r="AI315" i="3"/>
  <c r="AK315" i="3"/>
  <c r="AJ315" i="3"/>
  <c r="AH315" i="3"/>
  <c r="AG315" i="3"/>
  <c r="AE315" i="3"/>
  <c r="AD315" i="3"/>
  <c r="AF315" i="3"/>
  <c r="AA315" i="3"/>
  <c r="AC315" i="3"/>
  <c r="AB315" i="3"/>
  <c r="X315" i="3"/>
  <c r="Z315" i="3"/>
  <c r="Y315" i="3"/>
  <c r="U315" i="3"/>
  <c r="W315" i="3"/>
  <c r="R315" i="3"/>
  <c r="T315" i="3"/>
  <c r="V315" i="3"/>
  <c r="Q315" i="3"/>
  <c r="S315" i="3"/>
  <c r="O315" i="3"/>
  <c r="P315" i="3"/>
  <c r="K315" i="3"/>
  <c r="L315" i="3"/>
  <c r="M315" i="3"/>
  <c r="N315" i="3"/>
  <c r="I315" i="3"/>
  <c r="AO315" i="3"/>
  <c r="AP315" i="3"/>
  <c r="J315" i="3"/>
  <c r="I317" i="1"/>
  <c r="G316" i="3"/>
  <c r="V316" i="1"/>
  <c r="J316" i="1"/>
  <c r="G316" i="2"/>
  <c r="Y316" i="1"/>
  <c r="Z316" i="1" s="1"/>
  <c r="R316" i="1"/>
  <c r="O316" i="1"/>
  <c r="S316" i="1"/>
  <c r="W316" i="1" s="1"/>
  <c r="N316" i="1"/>
  <c r="I318" i="1" l="1"/>
  <c r="G317" i="3"/>
  <c r="V317" i="1"/>
  <c r="J317" i="1"/>
  <c r="G317" i="2"/>
  <c r="Y317" i="1"/>
  <c r="Z317" i="1" s="1"/>
  <c r="S317" i="1"/>
  <c r="W317" i="1" s="1"/>
  <c r="N317" i="1"/>
  <c r="O317" i="1"/>
  <c r="R317" i="1"/>
  <c r="H316" i="3"/>
  <c r="AR316" i="3"/>
  <c r="AN316" i="3"/>
  <c r="AQ316" i="3"/>
  <c r="AM316" i="3"/>
  <c r="AL316" i="3"/>
  <c r="AI316" i="3"/>
  <c r="AK316" i="3"/>
  <c r="AJ316" i="3"/>
  <c r="AG316" i="3"/>
  <c r="AH316" i="3"/>
  <c r="AF316" i="3"/>
  <c r="AD316" i="3"/>
  <c r="AE316" i="3"/>
  <c r="AC316" i="3"/>
  <c r="AB316" i="3"/>
  <c r="Z316" i="3"/>
  <c r="AA316" i="3"/>
  <c r="X316" i="3"/>
  <c r="Y316" i="3"/>
  <c r="V316" i="3"/>
  <c r="R316" i="3"/>
  <c r="T316" i="3"/>
  <c r="W316" i="3"/>
  <c r="U316" i="3"/>
  <c r="O316" i="3"/>
  <c r="Q316" i="3"/>
  <c r="S316" i="3"/>
  <c r="P316" i="3"/>
  <c r="M316" i="3"/>
  <c r="N316" i="3"/>
  <c r="K316" i="3"/>
  <c r="L316" i="3"/>
  <c r="I316" i="3"/>
  <c r="J316" i="3"/>
  <c r="AO316" i="3"/>
  <c r="AP316" i="3"/>
  <c r="H316" i="2"/>
  <c r="AQ316" i="2"/>
  <c r="AR316" i="2"/>
  <c r="AN316" i="2"/>
  <c r="AM316" i="2"/>
  <c r="AJ316" i="2"/>
  <c r="AL316" i="2"/>
  <c r="AK316" i="2"/>
  <c r="AF316" i="2"/>
  <c r="AI316" i="2"/>
  <c r="AH316" i="2"/>
  <c r="AG316" i="2"/>
  <c r="AE316" i="2"/>
  <c r="AB316" i="2"/>
  <c r="AC316" i="2"/>
  <c r="AD316" i="2"/>
  <c r="AA316" i="2"/>
  <c r="Z316" i="2"/>
  <c r="Y316" i="2"/>
  <c r="X316" i="2"/>
  <c r="V316" i="2"/>
  <c r="W316" i="2"/>
  <c r="S316" i="2"/>
  <c r="U316" i="2"/>
  <c r="R316" i="2"/>
  <c r="T316" i="2"/>
  <c r="N316" i="2"/>
  <c r="Q316" i="2"/>
  <c r="P316" i="2"/>
  <c r="L316" i="2"/>
  <c r="O316" i="2"/>
  <c r="M316" i="2"/>
  <c r="I316" i="2"/>
  <c r="AO316" i="2"/>
  <c r="K316" i="2"/>
  <c r="J316" i="2"/>
  <c r="AP316" i="2"/>
  <c r="L316" i="1"/>
  <c r="P316" i="1" s="1"/>
  <c r="AA316" i="1"/>
  <c r="H317" i="2" l="1"/>
  <c r="AR317" i="2"/>
  <c r="AN317" i="2"/>
  <c r="AQ317" i="2"/>
  <c r="AM317" i="2"/>
  <c r="AJ317" i="2"/>
  <c r="AL317" i="2"/>
  <c r="AK317" i="2"/>
  <c r="AI317" i="2"/>
  <c r="AH317" i="2"/>
  <c r="AG317" i="2"/>
  <c r="AE317" i="2"/>
  <c r="AF317" i="2"/>
  <c r="AB317" i="2"/>
  <c r="AD317" i="2"/>
  <c r="AA317" i="2"/>
  <c r="AC317" i="2"/>
  <c r="Z317" i="2"/>
  <c r="Y317" i="2"/>
  <c r="X317" i="2"/>
  <c r="V317" i="2"/>
  <c r="W317" i="2"/>
  <c r="S317" i="2"/>
  <c r="U317" i="2"/>
  <c r="R317" i="2"/>
  <c r="T317" i="2"/>
  <c r="P317" i="2"/>
  <c r="N317" i="2"/>
  <c r="Q317" i="2"/>
  <c r="O317" i="2"/>
  <c r="L317" i="2"/>
  <c r="I317" i="2"/>
  <c r="M317" i="2"/>
  <c r="J317" i="2"/>
  <c r="AO317" i="2"/>
  <c r="K317" i="2"/>
  <c r="AP317" i="2"/>
  <c r="L317" i="1"/>
  <c r="P317" i="1" s="1"/>
  <c r="AA317" i="1"/>
  <c r="H317" i="3"/>
  <c r="AR317" i="3"/>
  <c r="AN317" i="3"/>
  <c r="AQ317" i="3"/>
  <c r="AM317" i="3"/>
  <c r="AJ317" i="3"/>
  <c r="AL317" i="3"/>
  <c r="AK317" i="3"/>
  <c r="AG317" i="3"/>
  <c r="AI317" i="3"/>
  <c r="AH317" i="3"/>
  <c r="AF317" i="3"/>
  <c r="AA317" i="3"/>
  <c r="AD317" i="3"/>
  <c r="AE317" i="3"/>
  <c r="AC317" i="3"/>
  <c r="AB317" i="3"/>
  <c r="Z317" i="3"/>
  <c r="X317" i="3"/>
  <c r="Y317" i="3"/>
  <c r="V317" i="3"/>
  <c r="W317" i="3"/>
  <c r="U317" i="3"/>
  <c r="S317" i="3"/>
  <c r="R317" i="3"/>
  <c r="T317" i="3"/>
  <c r="P317" i="3"/>
  <c r="O317" i="3"/>
  <c r="Q317" i="3"/>
  <c r="N317" i="3"/>
  <c r="I317" i="3"/>
  <c r="K317" i="3"/>
  <c r="L317" i="3"/>
  <c r="M317" i="3"/>
  <c r="AP317" i="3"/>
  <c r="J317" i="3"/>
  <c r="AO317" i="3"/>
  <c r="G318" i="3"/>
  <c r="I319" i="1"/>
  <c r="J318" i="1"/>
  <c r="V318" i="1"/>
  <c r="Y318" i="1"/>
  <c r="Z318" i="1" s="1"/>
  <c r="G318" i="2"/>
  <c r="R318" i="1"/>
  <c r="O318" i="1"/>
  <c r="N318" i="1"/>
  <c r="S318" i="1"/>
  <c r="W318" i="1" s="1"/>
  <c r="H318" i="3" l="1"/>
  <c r="AR318" i="3"/>
  <c r="AQ318" i="3"/>
  <c r="AM318" i="3"/>
  <c r="AN318" i="3"/>
  <c r="AL318" i="3"/>
  <c r="AK318" i="3"/>
  <c r="AJ318" i="3"/>
  <c r="AG318" i="3"/>
  <c r="AI318" i="3"/>
  <c r="AF318" i="3"/>
  <c r="AH318" i="3"/>
  <c r="AD318" i="3"/>
  <c r="AE318" i="3"/>
  <c r="AC318" i="3"/>
  <c r="AB318" i="3"/>
  <c r="AA318" i="3"/>
  <c r="Z318" i="3"/>
  <c r="Y318" i="3"/>
  <c r="V318" i="3"/>
  <c r="X318" i="3"/>
  <c r="W318" i="3"/>
  <c r="U318" i="3"/>
  <c r="S318" i="3"/>
  <c r="T318" i="3"/>
  <c r="R318" i="3"/>
  <c r="N318" i="3"/>
  <c r="P318" i="3"/>
  <c r="O318" i="3"/>
  <c r="Q318" i="3"/>
  <c r="L318" i="3"/>
  <c r="M318" i="3"/>
  <c r="I318" i="3"/>
  <c r="AP318" i="3"/>
  <c r="J318" i="3"/>
  <c r="K318" i="3"/>
  <c r="AO318" i="3"/>
  <c r="G319" i="3"/>
  <c r="I320" i="1"/>
  <c r="V319" i="1"/>
  <c r="J319" i="1"/>
  <c r="G319" i="2"/>
  <c r="Y319" i="1"/>
  <c r="Z319" i="1" s="1"/>
  <c r="R319" i="1"/>
  <c r="S319" i="1"/>
  <c r="W319" i="1" s="1"/>
  <c r="N319" i="1"/>
  <c r="O319" i="1"/>
  <c r="L318" i="1"/>
  <c r="P318" i="1" s="1"/>
  <c r="AA318" i="1"/>
  <c r="H318" i="2"/>
  <c r="AR318" i="2"/>
  <c r="AN318" i="2"/>
  <c r="AQ318" i="2"/>
  <c r="AM318" i="2"/>
  <c r="AJ318" i="2"/>
  <c r="AL318" i="2"/>
  <c r="AK318" i="2"/>
  <c r="AI318" i="2"/>
  <c r="AH318" i="2"/>
  <c r="AF318" i="2"/>
  <c r="AG318" i="2"/>
  <c r="AB318" i="2"/>
  <c r="AE318" i="2"/>
  <c r="AD318" i="2"/>
  <c r="AA318" i="2"/>
  <c r="AC318" i="2"/>
  <c r="Z318" i="2"/>
  <c r="Y318" i="2"/>
  <c r="X318" i="2"/>
  <c r="W318" i="2"/>
  <c r="S318" i="2"/>
  <c r="U318" i="2"/>
  <c r="V318" i="2"/>
  <c r="P318" i="2"/>
  <c r="R318" i="2"/>
  <c r="T318" i="2"/>
  <c r="N318" i="2"/>
  <c r="Q318" i="2"/>
  <c r="O318" i="2"/>
  <c r="J318" i="2"/>
  <c r="L318" i="2"/>
  <c r="M318" i="2"/>
  <c r="I318" i="2"/>
  <c r="K318" i="2"/>
  <c r="AO318" i="2"/>
  <c r="AP318" i="2"/>
  <c r="G320" i="3" l="1"/>
  <c r="I321" i="1"/>
  <c r="V320" i="1"/>
  <c r="J320" i="1"/>
  <c r="G320" i="2"/>
  <c r="Y320" i="1"/>
  <c r="Z320" i="1" s="1"/>
  <c r="S320" i="1"/>
  <c r="W320" i="1" s="1"/>
  <c r="N320" i="1"/>
  <c r="O320" i="1"/>
  <c r="R320" i="1"/>
  <c r="L319" i="1"/>
  <c r="P319" i="1" s="1"/>
  <c r="AA319" i="1"/>
  <c r="H319" i="3"/>
  <c r="AQ319" i="3"/>
  <c r="AR319" i="3"/>
  <c r="AM319" i="3"/>
  <c r="AN319" i="3"/>
  <c r="AL319" i="3"/>
  <c r="AJ319" i="3"/>
  <c r="AK319" i="3"/>
  <c r="AG319" i="3"/>
  <c r="AI319" i="3"/>
  <c r="AF319" i="3"/>
  <c r="AH319" i="3"/>
  <c r="AB319" i="3"/>
  <c r="AD319" i="3"/>
  <c r="AE319" i="3"/>
  <c r="AC319" i="3"/>
  <c r="Y319" i="3"/>
  <c r="AA319" i="3"/>
  <c r="Z319" i="3"/>
  <c r="V319" i="3"/>
  <c r="X319" i="3"/>
  <c r="W319" i="3"/>
  <c r="U319" i="3"/>
  <c r="S319" i="3"/>
  <c r="R319" i="3"/>
  <c r="T319" i="3"/>
  <c r="Q319" i="3"/>
  <c r="P319" i="3"/>
  <c r="N319" i="3"/>
  <c r="O319" i="3"/>
  <c r="L319" i="3"/>
  <c r="I319" i="3"/>
  <c r="K319" i="3"/>
  <c r="M319" i="3"/>
  <c r="J319" i="3"/>
  <c r="AP319" i="3"/>
  <c r="AO319" i="3"/>
  <c r="H319" i="2"/>
  <c r="AQ319" i="2"/>
  <c r="AR319" i="2"/>
  <c r="AK319" i="2"/>
  <c r="AN319" i="2"/>
  <c r="AM319" i="2"/>
  <c r="AL319" i="2"/>
  <c r="AH319" i="2"/>
  <c r="AI319" i="2"/>
  <c r="AJ319" i="2"/>
  <c r="AG319" i="2"/>
  <c r="AF319" i="2"/>
  <c r="AD319" i="2"/>
  <c r="AB319" i="2"/>
  <c r="AE319" i="2"/>
  <c r="AC319" i="2"/>
  <c r="AA319" i="2"/>
  <c r="Z319" i="2"/>
  <c r="Y319" i="2"/>
  <c r="W319" i="2"/>
  <c r="X319" i="2"/>
  <c r="U319" i="2"/>
  <c r="V319" i="2"/>
  <c r="T319" i="2"/>
  <c r="S319" i="2"/>
  <c r="R319" i="2"/>
  <c r="P319" i="2"/>
  <c r="Q319" i="2"/>
  <c r="O319" i="2"/>
  <c r="M319" i="2"/>
  <c r="L319" i="2"/>
  <c r="N319" i="2"/>
  <c r="J319" i="2"/>
  <c r="I319" i="2"/>
  <c r="AO319" i="2"/>
  <c r="K319" i="2"/>
  <c r="AP319" i="2"/>
  <c r="H320" i="2" l="1"/>
  <c r="AR320" i="2"/>
  <c r="AQ320" i="2"/>
  <c r="AL320" i="2"/>
  <c r="AK320" i="2"/>
  <c r="AN320" i="2"/>
  <c r="AM320" i="2"/>
  <c r="AH320" i="2"/>
  <c r="AI320" i="2"/>
  <c r="AJ320" i="2"/>
  <c r="AG320" i="2"/>
  <c r="AF320" i="2"/>
  <c r="AD320" i="2"/>
  <c r="AE320" i="2"/>
  <c r="AC320" i="2"/>
  <c r="AA320" i="2"/>
  <c r="AB320" i="2"/>
  <c r="Z320" i="2"/>
  <c r="Y320" i="2"/>
  <c r="W320" i="2"/>
  <c r="X320" i="2"/>
  <c r="U320" i="2"/>
  <c r="T320" i="2"/>
  <c r="V320" i="2"/>
  <c r="S320" i="2"/>
  <c r="P320" i="2"/>
  <c r="R320" i="2"/>
  <c r="Q320" i="2"/>
  <c r="O320" i="2"/>
  <c r="M320" i="2"/>
  <c r="J320" i="2"/>
  <c r="N320" i="2"/>
  <c r="K320" i="2"/>
  <c r="I320" i="2"/>
  <c r="L320" i="2"/>
  <c r="AO320" i="2"/>
  <c r="AP320" i="2"/>
  <c r="L320" i="1"/>
  <c r="P320" i="1" s="1"/>
  <c r="AA320" i="1"/>
  <c r="G321" i="3"/>
  <c r="I322" i="1"/>
  <c r="V321" i="1"/>
  <c r="J321" i="1"/>
  <c r="Y321" i="1"/>
  <c r="Z321" i="1" s="1"/>
  <c r="G321" i="2"/>
  <c r="O321" i="1"/>
  <c r="R321" i="1"/>
  <c r="N321" i="1"/>
  <c r="S321" i="1"/>
  <c r="H320" i="3"/>
  <c r="AR320" i="3"/>
  <c r="AQ320" i="3"/>
  <c r="AN320" i="3"/>
  <c r="AM320" i="3"/>
  <c r="AJ320" i="3"/>
  <c r="AL320" i="3"/>
  <c r="AK320" i="3"/>
  <c r="AI320" i="3"/>
  <c r="AH320" i="3"/>
  <c r="AG320" i="3"/>
  <c r="AF320" i="3"/>
  <c r="AB320" i="3"/>
  <c r="AD320" i="3"/>
  <c r="AE320" i="3"/>
  <c r="AC320" i="3"/>
  <c r="Y320" i="3"/>
  <c r="AA320" i="3"/>
  <c r="Z320" i="3"/>
  <c r="W320" i="3"/>
  <c r="X320" i="3"/>
  <c r="V320" i="3"/>
  <c r="U320" i="3"/>
  <c r="S320" i="3"/>
  <c r="P320" i="3"/>
  <c r="R320" i="3"/>
  <c r="T320" i="3"/>
  <c r="Q320" i="3"/>
  <c r="L320" i="3"/>
  <c r="N320" i="3"/>
  <c r="O320" i="3"/>
  <c r="M320" i="3"/>
  <c r="J320" i="3"/>
  <c r="K320" i="3"/>
  <c r="I320" i="3"/>
  <c r="AP320" i="3"/>
  <c r="AO320" i="3"/>
  <c r="H321" i="2" l="1"/>
  <c r="AR321" i="2"/>
  <c r="AQ321" i="2"/>
  <c r="AL321" i="2"/>
  <c r="AN321" i="2"/>
  <c r="AK321" i="2"/>
  <c r="AM321" i="2"/>
  <c r="AI321" i="2"/>
  <c r="AH321" i="2"/>
  <c r="AJ321" i="2"/>
  <c r="AG321" i="2"/>
  <c r="AD321" i="2"/>
  <c r="AF321" i="2"/>
  <c r="AC321" i="2"/>
  <c r="AE321" i="2"/>
  <c r="AB321" i="2"/>
  <c r="AA321" i="2"/>
  <c r="U321" i="2"/>
  <c r="Y321" i="2"/>
  <c r="W321" i="2"/>
  <c r="Z321" i="2"/>
  <c r="X321" i="2"/>
  <c r="T321" i="2"/>
  <c r="V321" i="2"/>
  <c r="S321" i="2"/>
  <c r="R321" i="2"/>
  <c r="Q321" i="2"/>
  <c r="O321" i="2"/>
  <c r="P321" i="2"/>
  <c r="M321" i="2"/>
  <c r="L321" i="2"/>
  <c r="N321" i="2"/>
  <c r="K321" i="2"/>
  <c r="J321" i="2"/>
  <c r="I321" i="2"/>
  <c r="AP321" i="2"/>
  <c r="AO321" i="2"/>
  <c r="L321" i="1"/>
  <c r="P321" i="1" s="1"/>
  <c r="AA321" i="1"/>
  <c r="G322" i="3"/>
  <c r="I323" i="1"/>
  <c r="V322" i="1"/>
  <c r="J322" i="1"/>
  <c r="G322" i="2"/>
  <c r="Y322" i="1"/>
  <c r="Z322" i="1" s="1"/>
  <c r="S322" i="1"/>
  <c r="W322" i="1" s="1"/>
  <c r="R322" i="1"/>
  <c r="O322" i="1"/>
  <c r="N322" i="1"/>
  <c r="W321" i="1"/>
  <c r="H321" i="3"/>
  <c r="AR321" i="3"/>
  <c r="AQ321" i="3"/>
  <c r="AN321" i="3"/>
  <c r="AL321" i="3"/>
  <c r="AK321" i="3"/>
  <c r="AM321" i="3"/>
  <c r="AJ321" i="3"/>
  <c r="AH321" i="3"/>
  <c r="AI321" i="3"/>
  <c r="AF321" i="3"/>
  <c r="AG321" i="3"/>
  <c r="AB321" i="3"/>
  <c r="AD321" i="3"/>
  <c r="AE321" i="3"/>
  <c r="AC321" i="3"/>
  <c r="W321" i="3"/>
  <c r="Y321" i="3"/>
  <c r="AA321" i="3"/>
  <c r="Z321" i="3"/>
  <c r="X321" i="3"/>
  <c r="V321" i="3"/>
  <c r="U321" i="3"/>
  <c r="T321" i="3"/>
  <c r="P321" i="3"/>
  <c r="R321" i="3"/>
  <c r="S321" i="3"/>
  <c r="O321" i="3"/>
  <c r="Q321" i="3"/>
  <c r="N321" i="3"/>
  <c r="M321" i="3"/>
  <c r="J321" i="3"/>
  <c r="L321" i="3"/>
  <c r="K321" i="3"/>
  <c r="AO321" i="3"/>
  <c r="I321" i="3"/>
  <c r="AP321" i="3"/>
  <c r="L322" i="1" l="1"/>
  <c r="P322" i="1" s="1"/>
  <c r="AA322" i="1"/>
  <c r="H322" i="2"/>
  <c r="AR322" i="2"/>
  <c r="AQ322" i="2"/>
  <c r="AM322" i="2"/>
  <c r="AN322" i="2"/>
  <c r="AL322" i="2"/>
  <c r="AI322" i="2"/>
  <c r="AK322" i="2"/>
  <c r="AJ322" i="2"/>
  <c r="AG322" i="2"/>
  <c r="AH322" i="2"/>
  <c r="AF322" i="2"/>
  <c r="AC322" i="2"/>
  <c r="AD322" i="2"/>
  <c r="AE322" i="2"/>
  <c r="AB322" i="2"/>
  <c r="Z322" i="2"/>
  <c r="Y322" i="2"/>
  <c r="AA322" i="2"/>
  <c r="X322" i="2"/>
  <c r="U322" i="2"/>
  <c r="W322" i="2"/>
  <c r="V322" i="2"/>
  <c r="T322" i="2"/>
  <c r="Q322" i="2"/>
  <c r="S322" i="2"/>
  <c r="R322" i="2"/>
  <c r="P322" i="2"/>
  <c r="M322" i="2"/>
  <c r="O322" i="2"/>
  <c r="K322" i="2"/>
  <c r="L322" i="2"/>
  <c r="N322" i="2"/>
  <c r="AP322" i="2"/>
  <c r="J322" i="2"/>
  <c r="I322" i="2"/>
  <c r="AO322" i="2"/>
  <c r="G323" i="3"/>
  <c r="I324" i="1"/>
  <c r="J323" i="1"/>
  <c r="V323" i="1"/>
  <c r="G323" i="2"/>
  <c r="Y323" i="1"/>
  <c r="Z323" i="1" s="1"/>
  <c r="N323" i="1"/>
  <c r="O323" i="1"/>
  <c r="R323" i="1"/>
  <c r="S323" i="1"/>
  <c r="H322" i="3"/>
  <c r="AR322" i="3"/>
  <c r="AQ322" i="3"/>
  <c r="AL322" i="3"/>
  <c r="AN322" i="3"/>
  <c r="AK322" i="3"/>
  <c r="AM322" i="3"/>
  <c r="AI322" i="3"/>
  <c r="AH322" i="3"/>
  <c r="AJ322" i="3"/>
  <c r="AF322" i="3"/>
  <c r="AG322" i="3"/>
  <c r="AE322" i="3"/>
  <c r="AD322" i="3"/>
  <c r="AC322" i="3"/>
  <c r="AB322" i="3"/>
  <c r="AA322" i="3"/>
  <c r="Y322" i="3"/>
  <c r="Z322" i="3"/>
  <c r="W322" i="3"/>
  <c r="X322" i="3"/>
  <c r="V322" i="3"/>
  <c r="U322" i="3"/>
  <c r="T322" i="3"/>
  <c r="P322" i="3"/>
  <c r="R322" i="3"/>
  <c r="S322" i="3"/>
  <c r="O322" i="3"/>
  <c r="Q322" i="3"/>
  <c r="N322" i="3"/>
  <c r="M322" i="3"/>
  <c r="J322" i="3"/>
  <c r="L322" i="3"/>
  <c r="K322" i="3"/>
  <c r="I322" i="3"/>
  <c r="AP322" i="3"/>
  <c r="AO322" i="3"/>
  <c r="L323" i="1" l="1"/>
  <c r="P323" i="1" s="1"/>
  <c r="AA323" i="1"/>
  <c r="H323" i="2"/>
  <c r="AR323" i="2"/>
  <c r="AQ323" i="2"/>
  <c r="AN323" i="2"/>
  <c r="AM323" i="2"/>
  <c r="AL323" i="2"/>
  <c r="AK323" i="2"/>
  <c r="AJ323" i="2"/>
  <c r="AI323" i="2"/>
  <c r="AH323" i="2"/>
  <c r="AG323" i="2"/>
  <c r="AF323" i="2"/>
  <c r="AC323" i="2"/>
  <c r="AD323" i="2"/>
  <c r="AE323" i="2"/>
  <c r="AB323" i="2"/>
  <c r="X323" i="2"/>
  <c r="Z323" i="2"/>
  <c r="Y323" i="2"/>
  <c r="AA323" i="2"/>
  <c r="V323" i="2"/>
  <c r="W323" i="2"/>
  <c r="T323" i="2"/>
  <c r="U323" i="2"/>
  <c r="Q323" i="2"/>
  <c r="S323" i="2"/>
  <c r="R323" i="2"/>
  <c r="P323" i="2"/>
  <c r="O323" i="2"/>
  <c r="N323" i="2"/>
  <c r="K323" i="2"/>
  <c r="M323" i="2"/>
  <c r="L323" i="2"/>
  <c r="AP323" i="2"/>
  <c r="J323" i="2"/>
  <c r="I323" i="2"/>
  <c r="AO323" i="2"/>
  <c r="G324" i="3"/>
  <c r="I325" i="1"/>
  <c r="V324" i="1"/>
  <c r="J324" i="1"/>
  <c r="G324" i="2"/>
  <c r="Y324" i="1"/>
  <c r="Z324" i="1" s="1"/>
  <c r="S324" i="1"/>
  <c r="W324" i="1" s="1"/>
  <c r="O324" i="1"/>
  <c r="R324" i="1"/>
  <c r="N324" i="1"/>
  <c r="W323" i="1"/>
  <c r="H323" i="3"/>
  <c r="AR323" i="3"/>
  <c r="AQ323" i="3"/>
  <c r="AM323" i="3"/>
  <c r="AL323" i="3"/>
  <c r="AN323" i="3"/>
  <c r="AK323" i="3"/>
  <c r="AI323" i="3"/>
  <c r="AJ323" i="3"/>
  <c r="AH323" i="3"/>
  <c r="AG323" i="3"/>
  <c r="AE323" i="3"/>
  <c r="AD323" i="3"/>
  <c r="AF323" i="3"/>
  <c r="AC323" i="3"/>
  <c r="AA323" i="3"/>
  <c r="AB323" i="3"/>
  <c r="W323" i="3"/>
  <c r="Z323" i="3"/>
  <c r="Y323" i="3"/>
  <c r="U323" i="3"/>
  <c r="X323" i="3"/>
  <c r="V323" i="3"/>
  <c r="T323" i="3"/>
  <c r="R323" i="3"/>
  <c r="S323" i="3"/>
  <c r="Q323" i="3"/>
  <c r="P323" i="3"/>
  <c r="O323" i="3"/>
  <c r="M323" i="3"/>
  <c r="N323" i="3"/>
  <c r="L323" i="3"/>
  <c r="K323" i="3"/>
  <c r="J323" i="3"/>
  <c r="I323" i="3"/>
  <c r="AP323" i="3"/>
  <c r="AO323" i="3"/>
  <c r="H324" i="2" l="1"/>
  <c r="AQ324" i="2"/>
  <c r="AR324" i="2"/>
  <c r="AM324" i="2"/>
  <c r="AN324" i="2"/>
  <c r="AL324" i="2"/>
  <c r="AK324" i="2"/>
  <c r="AI324" i="2"/>
  <c r="AJ324" i="2"/>
  <c r="AH324" i="2"/>
  <c r="AF324" i="2"/>
  <c r="AG324" i="2"/>
  <c r="AE324" i="2"/>
  <c r="AD324" i="2"/>
  <c r="AC324" i="2"/>
  <c r="AB324" i="2"/>
  <c r="Z324" i="2"/>
  <c r="X324" i="2"/>
  <c r="AA324" i="2"/>
  <c r="Y324" i="2"/>
  <c r="W324" i="2"/>
  <c r="V324" i="2"/>
  <c r="U324" i="2"/>
  <c r="Q324" i="2"/>
  <c r="T324" i="2"/>
  <c r="S324" i="2"/>
  <c r="R324" i="2"/>
  <c r="P324" i="2"/>
  <c r="M324" i="2"/>
  <c r="N324" i="2"/>
  <c r="K324" i="2"/>
  <c r="O324" i="2"/>
  <c r="L324" i="2"/>
  <c r="I324" i="2"/>
  <c r="AO324" i="2"/>
  <c r="AP324" i="2"/>
  <c r="J324" i="2"/>
  <c r="L324" i="1"/>
  <c r="P324" i="1" s="1"/>
  <c r="AA324" i="1"/>
  <c r="I326" i="1"/>
  <c r="G325" i="3"/>
  <c r="V325" i="1"/>
  <c r="J325" i="1"/>
  <c r="G325" i="2"/>
  <c r="Y325" i="1"/>
  <c r="Z325" i="1" s="1"/>
  <c r="S325" i="1"/>
  <c r="W325" i="1" s="1"/>
  <c r="N325" i="1"/>
  <c r="R325" i="1"/>
  <c r="O325" i="1"/>
  <c r="H324" i="3"/>
  <c r="AR324" i="3"/>
  <c r="AN324" i="3"/>
  <c r="AM324" i="3"/>
  <c r="AQ324" i="3"/>
  <c r="AL324" i="3"/>
  <c r="AK324" i="3"/>
  <c r="AI324" i="3"/>
  <c r="AJ324" i="3"/>
  <c r="AE324" i="3"/>
  <c r="AH324" i="3"/>
  <c r="AG324" i="3"/>
  <c r="AF324" i="3"/>
  <c r="AC324" i="3"/>
  <c r="AD324" i="3"/>
  <c r="AA324" i="3"/>
  <c r="AB324" i="3"/>
  <c r="Z324" i="3"/>
  <c r="Y324" i="3"/>
  <c r="X324" i="3"/>
  <c r="W324" i="3"/>
  <c r="U324" i="3"/>
  <c r="R324" i="3"/>
  <c r="V324" i="3"/>
  <c r="T324" i="3"/>
  <c r="Q324" i="3"/>
  <c r="S324" i="3"/>
  <c r="M324" i="3"/>
  <c r="P324" i="3"/>
  <c r="O324" i="3"/>
  <c r="L324" i="3"/>
  <c r="K324" i="3"/>
  <c r="N324" i="3"/>
  <c r="J324" i="3"/>
  <c r="I324" i="3"/>
  <c r="AP324" i="3"/>
  <c r="AO324" i="3"/>
  <c r="H325" i="2" l="1"/>
  <c r="AR325" i="2"/>
  <c r="AQ325" i="2"/>
  <c r="AN325" i="2"/>
  <c r="AM325" i="2"/>
  <c r="AK325" i="2"/>
  <c r="AL325" i="2"/>
  <c r="AJ325" i="2"/>
  <c r="AH325" i="2"/>
  <c r="AI325" i="2"/>
  <c r="AF325" i="2"/>
  <c r="AE325" i="2"/>
  <c r="AG325" i="2"/>
  <c r="AD325" i="2"/>
  <c r="AC325" i="2"/>
  <c r="AB325" i="2"/>
  <c r="X325" i="2"/>
  <c r="Z325" i="2"/>
  <c r="AA325" i="2"/>
  <c r="V325" i="2"/>
  <c r="Y325" i="2"/>
  <c r="W325" i="2"/>
  <c r="U325" i="2"/>
  <c r="S325" i="2"/>
  <c r="T325" i="2"/>
  <c r="R325" i="2"/>
  <c r="Q325" i="2"/>
  <c r="P325" i="2"/>
  <c r="N325" i="2"/>
  <c r="M325" i="2"/>
  <c r="O325" i="2"/>
  <c r="L325" i="2"/>
  <c r="K325" i="2"/>
  <c r="AO325" i="2"/>
  <c r="J325" i="2"/>
  <c r="I325" i="2"/>
  <c r="AP325" i="2"/>
  <c r="L325" i="1"/>
  <c r="P325" i="1" s="1"/>
  <c r="AA325" i="1"/>
  <c r="H325" i="3"/>
  <c r="AN325" i="3"/>
  <c r="AR325" i="3"/>
  <c r="AQ325" i="3"/>
  <c r="AM325" i="3"/>
  <c r="AK325" i="3"/>
  <c r="AI325" i="3"/>
  <c r="AL325" i="3"/>
  <c r="AJ325" i="3"/>
  <c r="AH325" i="3"/>
  <c r="AF325" i="3"/>
  <c r="AE325" i="3"/>
  <c r="AG325" i="3"/>
  <c r="AD325" i="3"/>
  <c r="AA325" i="3"/>
  <c r="AC325" i="3"/>
  <c r="AB325" i="3"/>
  <c r="X325" i="3"/>
  <c r="Y325" i="3"/>
  <c r="Z325" i="3"/>
  <c r="W325" i="3"/>
  <c r="U325" i="3"/>
  <c r="R325" i="3"/>
  <c r="V325" i="3"/>
  <c r="T325" i="3"/>
  <c r="S325" i="3"/>
  <c r="Q325" i="3"/>
  <c r="O325" i="3"/>
  <c r="P325" i="3"/>
  <c r="L325" i="3"/>
  <c r="K325" i="3"/>
  <c r="M325" i="3"/>
  <c r="N325" i="3"/>
  <c r="J325" i="3"/>
  <c r="I325" i="3"/>
  <c r="AP325" i="3"/>
  <c r="AO325" i="3"/>
  <c r="I327" i="1"/>
  <c r="G326" i="3"/>
  <c r="J326" i="1"/>
  <c r="V326" i="1"/>
  <c r="G326" i="2"/>
  <c r="Y326" i="1"/>
  <c r="Z326" i="1" s="1"/>
  <c r="R326" i="1"/>
  <c r="O326" i="1"/>
  <c r="S326" i="1"/>
  <c r="W326" i="1" s="1"/>
  <c r="N326" i="1"/>
  <c r="H326" i="3" l="1"/>
  <c r="AQ326" i="3"/>
  <c r="AN326" i="3"/>
  <c r="AR326" i="3"/>
  <c r="AM326" i="3"/>
  <c r="AL326" i="3"/>
  <c r="AK326" i="3"/>
  <c r="AI326" i="3"/>
  <c r="AJ326" i="3"/>
  <c r="AG326" i="3"/>
  <c r="AH326" i="3"/>
  <c r="AF326" i="3"/>
  <c r="AE326" i="3"/>
  <c r="AC326" i="3"/>
  <c r="AD326" i="3"/>
  <c r="AA326" i="3"/>
  <c r="Z326" i="3"/>
  <c r="AB326" i="3"/>
  <c r="X326" i="3"/>
  <c r="Y326" i="3"/>
  <c r="W326" i="3"/>
  <c r="V326" i="3"/>
  <c r="R326" i="3"/>
  <c r="U326" i="3"/>
  <c r="T326" i="3"/>
  <c r="O326" i="3"/>
  <c r="S326" i="3"/>
  <c r="Q326" i="3"/>
  <c r="M326" i="3"/>
  <c r="P326" i="3"/>
  <c r="L326" i="3"/>
  <c r="K326" i="3"/>
  <c r="N326" i="3"/>
  <c r="I326" i="3"/>
  <c r="AO326" i="3"/>
  <c r="J326" i="3"/>
  <c r="AP326" i="3"/>
  <c r="I328" i="1"/>
  <c r="G327" i="3"/>
  <c r="V327" i="1"/>
  <c r="J327" i="1"/>
  <c r="G327" i="2"/>
  <c r="Y327" i="1"/>
  <c r="Z327" i="1" s="1"/>
  <c r="S327" i="1"/>
  <c r="N327" i="1"/>
  <c r="O327" i="1"/>
  <c r="R327" i="1"/>
  <c r="H326" i="2"/>
  <c r="AQ326" i="2"/>
  <c r="AR326" i="2"/>
  <c r="AN326" i="2"/>
  <c r="AM326" i="2"/>
  <c r="AJ326" i="2"/>
  <c r="AK326" i="2"/>
  <c r="AL326" i="2"/>
  <c r="AF326" i="2"/>
  <c r="AH326" i="2"/>
  <c r="AI326" i="2"/>
  <c r="AE326" i="2"/>
  <c r="AG326" i="2"/>
  <c r="AD326" i="2"/>
  <c r="AB326" i="2"/>
  <c r="AC326" i="2"/>
  <c r="AA326" i="2"/>
  <c r="Z326" i="2"/>
  <c r="Y326" i="2"/>
  <c r="V326" i="2"/>
  <c r="X326" i="2"/>
  <c r="W326" i="2"/>
  <c r="U326" i="2"/>
  <c r="S326" i="2"/>
  <c r="R326" i="2"/>
  <c r="T326" i="2"/>
  <c r="N326" i="2"/>
  <c r="Q326" i="2"/>
  <c r="P326" i="2"/>
  <c r="L326" i="2"/>
  <c r="M326" i="2"/>
  <c r="O326" i="2"/>
  <c r="K326" i="2"/>
  <c r="AO326" i="2"/>
  <c r="J326" i="2"/>
  <c r="I326" i="2"/>
  <c r="AP326" i="2"/>
  <c r="L326" i="1"/>
  <c r="P326" i="1" s="1"/>
  <c r="AA326" i="1"/>
  <c r="L327" i="1" l="1"/>
  <c r="P327" i="1" s="1"/>
  <c r="AA327" i="1"/>
  <c r="H327" i="3"/>
  <c r="AQ327" i="3"/>
  <c r="AN327" i="3"/>
  <c r="AR327" i="3"/>
  <c r="AL327" i="3"/>
  <c r="AJ327" i="3"/>
  <c r="AM327" i="3"/>
  <c r="AK327" i="3"/>
  <c r="AG327" i="3"/>
  <c r="AI327" i="3"/>
  <c r="AH327" i="3"/>
  <c r="AF327" i="3"/>
  <c r="AD327" i="3"/>
  <c r="AA327" i="3"/>
  <c r="AC327" i="3"/>
  <c r="AE327" i="3"/>
  <c r="AB327" i="3"/>
  <c r="Z327" i="3"/>
  <c r="X327" i="3"/>
  <c r="Y327" i="3"/>
  <c r="V327" i="3"/>
  <c r="W327" i="3"/>
  <c r="U327" i="3"/>
  <c r="S327" i="3"/>
  <c r="T327" i="3"/>
  <c r="R327" i="3"/>
  <c r="O327" i="3"/>
  <c r="P327" i="3"/>
  <c r="Q327" i="3"/>
  <c r="N327" i="3"/>
  <c r="I327" i="3"/>
  <c r="L327" i="3"/>
  <c r="K327" i="3"/>
  <c r="M327" i="3"/>
  <c r="AP327" i="3"/>
  <c r="AO327" i="3"/>
  <c r="J327" i="3"/>
  <c r="G328" i="3"/>
  <c r="I329" i="1"/>
  <c r="J328" i="1"/>
  <c r="V328" i="1"/>
  <c r="Y328" i="1"/>
  <c r="Z328" i="1" s="1"/>
  <c r="G328" i="2"/>
  <c r="R328" i="1"/>
  <c r="O328" i="1"/>
  <c r="N328" i="1"/>
  <c r="S328" i="1"/>
  <c r="W328" i="1" s="1"/>
  <c r="W327" i="1"/>
  <c r="H327" i="2"/>
  <c r="AR327" i="2"/>
  <c r="AN327" i="2"/>
  <c r="AQ327" i="2"/>
  <c r="AM327" i="2"/>
  <c r="AJ327" i="2"/>
  <c r="AK327" i="2"/>
  <c r="AL327" i="2"/>
  <c r="AH327" i="2"/>
  <c r="AI327" i="2"/>
  <c r="AF327" i="2"/>
  <c r="AE327" i="2"/>
  <c r="AG327" i="2"/>
  <c r="AB327" i="2"/>
  <c r="AD327" i="2"/>
  <c r="AA327" i="2"/>
  <c r="AC327" i="2"/>
  <c r="Y327" i="2"/>
  <c r="Z327" i="2"/>
  <c r="V327" i="2"/>
  <c r="X327" i="2"/>
  <c r="W327" i="2"/>
  <c r="U327" i="2"/>
  <c r="S327" i="2"/>
  <c r="R327" i="2"/>
  <c r="T327" i="2"/>
  <c r="P327" i="2"/>
  <c r="N327" i="2"/>
  <c r="Q327" i="2"/>
  <c r="O327" i="2"/>
  <c r="L327" i="2"/>
  <c r="I327" i="2"/>
  <c r="M327" i="2"/>
  <c r="J327" i="2"/>
  <c r="K327" i="2"/>
  <c r="AO327" i="2"/>
  <c r="AP327" i="2"/>
  <c r="H328" i="3" l="1"/>
  <c r="AQ328" i="3"/>
  <c r="AR328" i="3"/>
  <c r="AN328" i="3"/>
  <c r="AM328" i="3"/>
  <c r="AL328" i="3"/>
  <c r="AK328" i="3"/>
  <c r="AG328" i="3"/>
  <c r="AI328" i="3"/>
  <c r="AJ328" i="3"/>
  <c r="AH328" i="3"/>
  <c r="AF328" i="3"/>
  <c r="AE328" i="3"/>
  <c r="AD328" i="3"/>
  <c r="AC328" i="3"/>
  <c r="AB328" i="3"/>
  <c r="AA328" i="3"/>
  <c r="Z328" i="3"/>
  <c r="Y328" i="3"/>
  <c r="V328" i="3"/>
  <c r="X328" i="3"/>
  <c r="W328" i="3"/>
  <c r="S328" i="3"/>
  <c r="U328" i="3"/>
  <c r="T328" i="3"/>
  <c r="R328" i="3"/>
  <c r="Q328" i="3"/>
  <c r="N328" i="3"/>
  <c r="O328" i="3"/>
  <c r="P328" i="3"/>
  <c r="L328" i="3"/>
  <c r="M328" i="3"/>
  <c r="AP328" i="3"/>
  <c r="AO328" i="3"/>
  <c r="K328" i="3"/>
  <c r="J328" i="3"/>
  <c r="I328" i="3"/>
  <c r="H328" i="2"/>
  <c r="AR328" i="2"/>
  <c r="AN328" i="2"/>
  <c r="AQ328" i="2"/>
  <c r="AM328" i="2"/>
  <c r="AJ328" i="2"/>
  <c r="AL328" i="2"/>
  <c r="AK328" i="2"/>
  <c r="AH328" i="2"/>
  <c r="AF328" i="2"/>
  <c r="AI328" i="2"/>
  <c r="AG328" i="2"/>
  <c r="AE328" i="2"/>
  <c r="AB328" i="2"/>
  <c r="AD328" i="2"/>
  <c r="AA328" i="2"/>
  <c r="AC328" i="2"/>
  <c r="Y328" i="2"/>
  <c r="Z328" i="2"/>
  <c r="X328" i="2"/>
  <c r="W328" i="2"/>
  <c r="V328" i="2"/>
  <c r="U328" i="2"/>
  <c r="S328" i="2"/>
  <c r="T328" i="2"/>
  <c r="P328" i="2"/>
  <c r="R328" i="2"/>
  <c r="N328" i="2"/>
  <c r="Q328" i="2"/>
  <c r="O328" i="2"/>
  <c r="J328" i="2"/>
  <c r="L328" i="2"/>
  <c r="M328" i="2"/>
  <c r="K328" i="2"/>
  <c r="I328" i="2"/>
  <c r="AO328" i="2"/>
  <c r="AP328" i="2"/>
  <c r="L328" i="1"/>
  <c r="P328" i="1" s="1"/>
  <c r="AA328" i="1"/>
  <c r="G329" i="3"/>
  <c r="I330" i="1"/>
  <c r="V329" i="1"/>
  <c r="J329" i="1"/>
  <c r="G329" i="2"/>
  <c r="Y329" i="1"/>
  <c r="Z329" i="1" s="1"/>
  <c r="S329" i="1"/>
  <c r="W329" i="1" s="1"/>
  <c r="N329" i="1"/>
  <c r="O329" i="1"/>
  <c r="R329" i="1"/>
  <c r="H329" i="3" l="1"/>
  <c r="AR329" i="3"/>
  <c r="AQ329" i="3"/>
  <c r="AN329" i="3"/>
  <c r="AM329" i="3"/>
  <c r="AL329" i="3"/>
  <c r="AK329" i="3"/>
  <c r="AJ329" i="3"/>
  <c r="AG329" i="3"/>
  <c r="AH329" i="3"/>
  <c r="AF329" i="3"/>
  <c r="AI329" i="3"/>
  <c r="AB329" i="3"/>
  <c r="AE329" i="3"/>
  <c r="AD329" i="3"/>
  <c r="AC329" i="3"/>
  <c r="AA329" i="3"/>
  <c r="Y329" i="3"/>
  <c r="Z329" i="3"/>
  <c r="V329" i="3"/>
  <c r="X329" i="3"/>
  <c r="S329" i="3"/>
  <c r="W329" i="3"/>
  <c r="U329" i="3"/>
  <c r="R329" i="3"/>
  <c r="Q329" i="3"/>
  <c r="T329" i="3"/>
  <c r="P329" i="3"/>
  <c r="N329" i="3"/>
  <c r="O329" i="3"/>
  <c r="L329" i="3"/>
  <c r="I329" i="3"/>
  <c r="K329" i="3"/>
  <c r="M329" i="3"/>
  <c r="J329" i="3"/>
  <c r="AP329" i="3"/>
  <c r="AO329" i="3"/>
  <c r="H329" i="2"/>
  <c r="AQ329" i="2"/>
  <c r="AR329" i="2"/>
  <c r="AM329" i="2"/>
  <c r="AK329" i="2"/>
  <c r="AN329" i="2"/>
  <c r="AL329" i="2"/>
  <c r="AH329" i="2"/>
  <c r="AJ329" i="2"/>
  <c r="AI329" i="2"/>
  <c r="AG329" i="2"/>
  <c r="AF329" i="2"/>
  <c r="AE329" i="2"/>
  <c r="AB329" i="2"/>
  <c r="AD329" i="2"/>
  <c r="AA329" i="2"/>
  <c r="AC329" i="2"/>
  <c r="Z329" i="2"/>
  <c r="Y329" i="2"/>
  <c r="W329" i="2"/>
  <c r="X329" i="2"/>
  <c r="V329" i="2"/>
  <c r="U329" i="2"/>
  <c r="T329" i="2"/>
  <c r="R329" i="2"/>
  <c r="S329" i="2"/>
  <c r="Q329" i="2"/>
  <c r="P329" i="2"/>
  <c r="O329" i="2"/>
  <c r="N329" i="2"/>
  <c r="L329" i="2"/>
  <c r="M329" i="2"/>
  <c r="I329" i="2"/>
  <c r="K329" i="2"/>
  <c r="AO329" i="2"/>
  <c r="J329" i="2"/>
  <c r="AP329" i="2"/>
  <c r="G330" i="3"/>
  <c r="I331" i="1"/>
  <c r="V330" i="1"/>
  <c r="J330" i="1"/>
  <c r="G330" i="2"/>
  <c r="Y330" i="1"/>
  <c r="Z330" i="1" s="1"/>
  <c r="S330" i="1"/>
  <c r="N330" i="1"/>
  <c r="R330" i="1"/>
  <c r="O330" i="1"/>
  <c r="L329" i="1"/>
  <c r="P329" i="1" s="1"/>
  <c r="AA329" i="1"/>
  <c r="H330" i="2" l="1"/>
  <c r="AR330" i="2"/>
  <c r="AQ330" i="2"/>
  <c r="AL330" i="2"/>
  <c r="AK330" i="2"/>
  <c r="AM330" i="2"/>
  <c r="AN330" i="2"/>
  <c r="AH330" i="2"/>
  <c r="AJ330" i="2"/>
  <c r="AI330" i="2"/>
  <c r="AG330" i="2"/>
  <c r="AF330" i="2"/>
  <c r="AD330" i="2"/>
  <c r="AE330" i="2"/>
  <c r="AC330" i="2"/>
  <c r="AB330" i="2"/>
  <c r="AA330" i="2"/>
  <c r="Z330" i="2"/>
  <c r="Y330" i="2"/>
  <c r="X330" i="2"/>
  <c r="W330" i="2"/>
  <c r="U330" i="2"/>
  <c r="T330" i="2"/>
  <c r="V330" i="2"/>
  <c r="P330" i="2"/>
  <c r="R330" i="2"/>
  <c r="S330" i="2"/>
  <c r="O330" i="2"/>
  <c r="Q330" i="2"/>
  <c r="J330" i="2"/>
  <c r="N330" i="2"/>
  <c r="M330" i="2"/>
  <c r="I330" i="2"/>
  <c r="K330" i="2"/>
  <c r="AO330" i="2"/>
  <c r="L330" i="2"/>
  <c r="AP330" i="2"/>
  <c r="L330" i="1"/>
  <c r="P330" i="1" s="1"/>
  <c r="AA330" i="1"/>
  <c r="I332" i="1"/>
  <c r="G331" i="3"/>
  <c r="V331" i="1"/>
  <c r="J331" i="1"/>
  <c r="Y331" i="1"/>
  <c r="Z331" i="1" s="1"/>
  <c r="G331" i="2"/>
  <c r="O331" i="1"/>
  <c r="R331" i="1"/>
  <c r="S331" i="1"/>
  <c r="W331" i="1" s="1"/>
  <c r="N331" i="1"/>
  <c r="H330" i="3"/>
  <c r="AQ330" i="3"/>
  <c r="AR330" i="3"/>
  <c r="AN330" i="3"/>
  <c r="AM330" i="3"/>
  <c r="AL330" i="3"/>
  <c r="AJ330" i="3"/>
  <c r="AK330" i="3"/>
  <c r="AI330" i="3"/>
  <c r="AH330" i="3"/>
  <c r="AF330" i="3"/>
  <c r="AG330" i="3"/>
  <c r="AB330" i="3"/>
  <c r="AE330" i="3"/>
  <c r="AD330" i="3"/>
  <c r="AA330" i="3"/>
  <c r="AC330" i="3"/>
  <c r="Y330" i="3"/>
  <c r="Z330" i="3"/>
  <c r="W330" i="3"/>
  <c r="V330" i="3"/>
  <c r="X330" i="3"/>
  <c r="S330" i="3"/>
  <c r="U330" i="3"/>
  <c r="P330" i="3"/>
  <c r="R330" i="3"/>
  <c r="Q330" i="3"/>
  <c r="T330" i="3"/>
  <c r="L330" i="3"/>
  <c r="N330" i="3"/>
  <c r="O330" i="3"/>
  <c r="J330" i="3"/>
  <c r="K330" i="3"/>
  <c r="M330" i="3"/>
  <c r="AP330" i="3"/>
  <c r="AO330" i="3"/>
  <c r="I330" i="3"/>
  <c r="W330" i="1"/>
  <c r="H331" i="2" l="1"/>
  <c r="AR331" i="2"/>
  <c r="AQ331" i="2"/>
  <c r="AL331" i="2"/>
  <c r="AK331" i="2"/>
  <c r="AM331" i="2"/>
  <c r="AN331" i="2"/>
  <c r="AI331" i="2"/>
  <c r="AJ331" i="2"/>
  <c r="AH331" i="2"/>
  <c r="AG331" i="2"/>
  <c r="AD331" i="2"/>
  <c r="AF331" i="2"/>
  <c r="AC331" i="2"/>
  <c r="AE331" i="2"/>
  <c r="AB331" i="2"/>
  <c r="AA331" i="2"/>
  <c r="Z331" i="2"/>
  <c r="U331" i="2"/>
  <c r="X331" i="2"/>
  <c r="W331" i="2"/>
  <c r="Y331" i="2"/>
  <c r="T331" i="2"/>
  <c r="V331" i="2"/>
  <c r="R331" i="2"/>
  <c r="S331" i="2"/>
  <c r="Q331" i="2"/>
  <c r="O331" i="2"/>
  <c r="P331" i="2"/>
  <c r="M331" i="2"/>
  <c r="N331" i="2"/>
  <c r="L331" i="2"/>
  <c r="K331" i="2"/>
  <c r="I331" i="2"/>
  <c r="J331" i="2"/>
  <c r="AP331" i="2"/>
  <c r="AO331" i="2"/>
  <c r="L331" i="1"/>
  <c r="P331" i="1" s="1"/>
  <c r="AA331" i="1"/>
  <c r="H331" i="3"/>
  <c r="AR331" i="3"/>
  <c r="AQ331" i="3"/>
  <c r="AN331" i="3"/>
  <c r="AM331" i="3"/>
  <c r="AL331" i="3"/>
  <c r="AK331" i="3"/>
  <c r="AJ331" i="3"/>
  <c r="AH331" i="3"/>
  <c r="AI331" i="3"/>
  <c r="AG331" i="3"/>
  <c r="AF331" i="3"/>
  <c r="AB331" i="3"/>
  <c r="AE331" i="3"/>
  <c r="AD331" i="3"/>
  <c r="AC331" i="3"/>
  <c r="W331" i="3"/>
  <c r="Y331" i="3"/>
  <c r="Z331" i="3"/>
  <c r="AA331" i="3"/>
  <c r="X331" i="3"/>
  <c r="V331" i="3"/>
  <c r="U331" i="3"/>
  <c r="T331" i="3"/>
  <c r="P331" i="3"/>
  <c r="S331" i="3"/>
  <c r="R331" i="3"/>
  <c r="Q331" i="3"/>
  <c r="O331" i="3"/>
  <c r="J331" i="3"/>
  <c r="L331" i="3"/>
  <c r="N331" i="3"/>
  <c r="K331" i="3"/>
  <c r="M331" i="3"/>
  <c r="AO331" i="3"/>
  <c r="I331" i="3"/>
  <c r="AP331" i="3"/>
  <c r="G332" i="3"/>
  <c r="I333" i="1"/>
  <c r="V332" i="1"/>
  <c r="J332" i="1"/>
  <c r="G332" i="2"/>
  <c r="Y332" i="1"/>
  <c r="Z332" i="1" s="1"/>
  <c r="S332" i="1"/>
  <c r="W332" i="1" s="1"/>
  <c r="N332" i="1"/>
  <c r="R332" i="1"/>
  <c r="O332" i="1"/>
  <c r="H332" i="3" l="1"/>
  <c r="AR332" i="3"/>
  <c r="AQ332" i="3"/>
  <c r="AL332" i="3"/>
  <c r="AM332" i="3"/>
  <c r="AN332" i="3"/>
  <c r="AK332" i="3"/>
  <c r="AJ332" i="3"/>
  <c r="AH332" i="3"/>
  <c r="AI332" i="3"/>
  <c r="AG332" i="3"/>
  <c r="AF332" i="3"/>
  <c r="AD332" i="3"/>
  <c r="AE332" i="3"/>
  <c r="AC332" i="3"/>
  <c r="AB332" i="3"/>
  <c r="Y332" i="3"/>
  <c r="Z332" i="3"/>
  <c r="AA332" i="3"/>
  <c r="V332" i="3"/>
  <c r="W332" i="3"/>
  <c r="X332" i="3"/>
  <c r="U332" i="3"/>
  <c r="T332" i="3"/>
  <c r="P332" i="3"/>
  <c r="S332" i="3"/>
  <c r="R332" i="3"/>
  <c r="Q332" i="3"/>
  <c r="O332" i="3"/>
  <c r="J332" i="3"/>
  <c r="L332" i="3"/>
  <c r="N332" i="3"/>
  <c r="M332" i="3"/>
  <c r="I332" i="3"/>
  <c r="AO332" i="3"/>
  <c r="AP332" i="3"/>
  <c r="K332" i="3"/>
  <c r="G333" i="3"/>
  <c r="I334" i="1"/>
  <c r="V333" i="1"/>
  <c r="J333" i="1"/>
  <c r="G333" i="2"/>
  <c r="Y333" i="1"/>
  <c r="Z333" i="1" s="1"/>
  <c r="N333" i="1"/>
  <c r="O333" i="1"/>
  <c r="R333" i="1"/>
  <c r="S333" i="1"/>
  <c r="W333" i="1" s="1"/>
  <c r="H332" i="2"/>
  <c r="AR332" i="2"/>
  <c r="AM332" i="2"/>
  <c r="AQ332" i="2"/>
  <c r="AN332" i="2"/>
  <c r="AI332" i="2"/>
  <c r="AK332" i="2"/>
  <c r="AL332" i="2"/>
  <c r="AJ332" i="2"/>
  <c r="AG332" i="2"/>
  <c r="AH332" i="2"/>
  <c r="AF332" i="2"/>
  <c r="AD332" i="2"/>
  <c r="AC332" i="2"/>
  <c r="AE332" i="2"/>
  <c r="AB332" i="2"/>
  <c r="Z332" i="2"/>
  <c r="AA332" i="2"/>
  <c r="Y332" i="2"/>
  <c r="X332" i="2"/>
  <c r="U332" i="2"/>
  <c r="W332" i="2"/>
  <c r="T332" i="2"/>
  <c r="V332" i="2"/>
  <c r="S332" i="2"/>
  <c r="Q332" i="2"/>
  <c r="R332" i="2"/>
  <c r="M332" i="2"/>
  <c r="O332" i="2"/>
  <c r="P332" i="2"/>
  <c r="K332" i="2"/>
  <c r="N332" i="2"/>
  <c r="L332" i="2"/>
  <c r="AP332" i="2"/>
  <c r="I332" i="2"/>
  <c r="J332" i="2"/>
  <c r="AO332" i="2"/>
  <c r="L332" i="1"/>
  <c r="P332" i="1" s="1"/>
  <c r="AA332" i="1"/>
  <c r="L333" i="1" l="1"/>
  <c r="P333" i="1" s="1"/>
  <c r="AA333" i="1"/>
  <c r="G334" i="3"/>
  <c r="I335" i="1"/>
  <c r="J334" i="1"/>
  <c r="V334" i="1"/>
  <c r="G334" i="2"/>
  <c r="Y334" i="1"/>
  <c r="Z334" i="1" s="1"/>
  <c r="O334" i="1"/>
  <c r="S334" i="1"/>
  <c r="R334" i="1"/>
  <c r="N334" i="1"/>
  <c r="H333" i="3"/>
  <c r="AR333" i="3"/>
  <c r="AQ333" i="3"/>
  <c r="AM333" i="3"/>
  <c r="AN333" i="3"/>
  <c r="AL333" i="3"/>
  <c r="AK333" i="3"/>
  <c r="AI333" i="3"/>
  <c r="AH333" i="3"/>
  <c r="AJ333" i="3"/>
  <c r="AG333" i="3"/>
  <c r="AD333" i="3"/>
  <c r="AF333" i="3"/>
  <c r="AE333" i="3"/>
  <c r="AC333" i="3"/>
  <c r="AB333" i="3"/>
  <c r="W333" i="3"/>
  <c r="Z333" i="3"/>
  <c r="AA333" i="3"/>
  <c r="U333" i="3"/>
  <c r="Y333" i="3"/>
  <c r="X333" i="3"/>
  <c r="T333" i="3"/>
  <c r="V333" i="3"/>
  <c r="S333" i="3"/>
  <c r="R333" i="3"/>
  <c r="Q333" i="3"/>
  <c r="O333" i="3"/>
  <c r="P333" i="3"/>
  <c r="M333" i="3"/>
  <c r="L333" i="3"/>
  <c r="N333" i="3"/>
  <c r="K333" i="3"/>
  <c r="I333" i="3"/>
  <c r="AO333" i="3"/>
  <c r="AP333" i="3"/>
  <c r="J333" i="3"/>
  <c r="H333" i="2"/>
  <c r="AR333" i="2"/>
  <c r="AQ333" i="2"/>
  <c r="AM333" i="2"/>
  <c r="AN333" i="2"/>
  <c r="AL333" i="2"/>
  <c r="AK333" i="2"/>
  <c r="AI333" i="2"/>
  <c r="AJ333" i="2"/>
  <c r="AH333" i="2"/>
  <c r="AG333" i="2"/>
  <c r="AF333" i="2"/>
  <c r="AD333" i="2"/>
  <c r="AC333" i="2"/>
  <c r="AE333" i="2"/>
  <c r="AB333" i="2"/>
  <c r="X333" i="2"/>
  <c r="AA333" i="2"/>
  <c r="Z333" i="2"/>
  <c r="Y333" i="2"/>
  <c r="T333" i="2"/>
  <c r="U333" i="2"/>
  <c r="W333" i="2"/>
  <c r="V333" i="2"/>
  <c r="S333" i="2"/>
  <c r="Q333" i="2"/>
  <c r="R333" i="2"/>
  <c r="O333" i="2"/>
  <c r="P333" i="2"/>
  <c r="K333" i="2"/>
  <c r="N333" i="2"/>
  <c r="L333" i="2"/>
  <c r="M333" i="2"/>
  <c r="J333" i="2"/>
  <c r="AP333" i="2"/>
  <c r="I333" i="2"/>
  <c r="AO333" i="2"/>
  <c r="H334" i="2" l="1"/>
  <c r="AR334" i="2"/>
  <c r="AQ334" i="2"/>
  <c r="AM334" i="2"/>
  <c r="AL334" i="2"/>
  <c r="AN334" i="2"/>
  <c r="AI334" i="2"/>
  <c r="AK334" i="2"/>
  <c r="AJ334" i="2"/>
  <c r="AH334" i="2"/>
  <c r="AG334" i="2"/>
  <c r="AF334" i="2"/>
  <c r="AE334" i="2"/>
  <c r="AD334" i="2"/>
  <c r="Z334" i="2"/>
  <c r="AC334" i="2"/>
  <c r="AB334" i="2"/>
  <c r="X334" i="2"/>
  <c r="AA334" i="2"/>
  <c r="Y334" i="2"/>
  <c r="W334" i="2"/>
  <c r="V334" i="2"/>
  <c r="U334" i="2"/>
  <c r="T334" i="2"/>
  <c r="S334" i="2"/>
  <c r="Q334" i="2"/>
  <c r="R334" i="2"/>
  <c r="M334" i="2"/>
  <c r="P334" i="2"/>
  <c r="K334" i="2"/>
  <c r="N334" i="2"/>
  <c r="L334" i="2"/>
  <c r="O334" i="2"/>
  <c r="I334" i="2"/>
  <c r="AO334" i="2"/>
  <c r="J334" i="2"/>
  <c r="AP334" i="2"/>
  <c r="L334" i="1"/>
  <c r="P334" i="1" s="1"/>
  <c r="AA334" i="1"/>
  <c r="I336" i="1"/>
  <c r="G335" i="3"/>
  <c r="V335" i="1"/>
  <c r="J335" i="1"/>
  <c r="G335" i="2"/>
  <c r="Y335" i="1"/>
  <c r="Z335" i="1" s="1"/>
  <c r="S335" i="1"/>
  <c r="W335" i="1" s="1"/>
  <c r="N335" i="1"/>
  <c r="R335" i="1"/>
  <c r="O335" i="1"/>
  <c r="H334" i="3"/>
  <c r="AR334" i="3"/>
  <c r="AN334" i="3"/>
  <c r="AM334" i="3"/>
  <c r="AQ334" i="3"/>
  <c r="AL334" i="3"/>
  <c r="AI334" i="3"/>
  <c r="AK334" i="3"/>
  <c r="AJ334" i="3"/>
  <c r="AE334" i="3"/>
  <c r="AH334" i="3"/>
  <c r="AG334" i="3"/>
  <c r="AF334" i="3"/>
  <c r="AC334" i="3"/>
  <c r="AD334" i="3"/>
  <c r="AA334" i="3"/>
  <c r="AB334" i="3"/>
  <c r="Z334" i="3"/>
  <c r="Y334" i="3"/>
  <c r="X334" i="3"/>
  <c r="U334" i="3"/>
  <c r="W334" i="3"/>
  <c r="R334" i="3"/>
  <c r="T334" i="3"/>
  <c r="V334" i="3"/>
  <c r="Q334" i="3"/>
  <c r="S334" i="3"/>
  <c r="P334" i="3"/>
  <c r="M334" i="3"/>
  <c r="O334" i="3"/>
  <c r="N334" i="3"/>
  <c r="K334" i="3"/>
  <c r="L334" i="3"/>
  <c r="J334" i="3"/>
  <c r="I334" i="3"/>
  <c r="AO334" i="3"/>
  <c r="AP334" i="3"/>
  <c r="W334" i="1"/>
  <c r="L335" i="1" l="1"/>
  <c r="P335" i="1" s="1"/>
  <c r="AA335" i="1"/>
  <c r="H335" i="3"/>
  <c r="AR335" i="3"/>
  <c r="AN335" i="3"/>
  <c r="AM335" i="3"/>
  <c r="AQ335" i="3"/>
  <c r="AL335" i="3"/>
  <c r="AI335" i="3"/>
  <c r="AK335" i="3"/>
  <c r="AJ335" i="3"/>
  <c r="AH335" i="3"/>
  <c r="AE335" i="3"/>
  <c r="AD335" i="3"/>
  <c r="AG335" i="3"/>
  <c r="AF335" i="3"/>
  <c r="AA335" i="3"/>
  <c r="AC335" i="3"/>
  <c r="AB335" i="3"/>
  <c r="X335" i="3"/>
  <c r="Y335" i="3"/>
  <c r="Z335" i="3"/>
  <c r="U335" i="3"/>
  <c r="W335" i="3"/>
  <c r="R335" i="3"/>
  <c r="T335" i="3"/>
  <c r="V335" i="3"/>
  <c r="Q335" i="3"/>
  <c r="S335" i="3"/>
  <c r="P335" i="3"/>
  <c r="O335" i="3"/>
  <c r="M335" i="3"/>
  <c r="N335" i="3"/>
  <c r="K335" i="3"/>
  <c r="L335" i="3"/>
  <c r="J335" i="3"/>
  <c r="I335" i="3"/>
  <c r="AO335" i="3"/>
  <c r="AP335" i="3"/>
  <c r="I337" i="1"/>
  <c r="G336" i="3"/>
  <c r="V336" i="1"/>
  <c r="J336" i="1"/>
  <c r="G336" i="2"/>
  <c r="Y336" i="1"/>
  <c r="Z336" i="1" s="1"/>
  <c r="R336" i="1"/>
  <c r="O336" i="1"/>
  <c r="N336" i="1"/>
  <c r="S336" i="1"/>
  <c r="W336" i="1" s="1"/>
  <c r="H335" i="2"/>
  <c r="AR335" i="2"/>
  <c r="AQ335" i="2"/>
  <c r="AN335" i="2"/>
  <c r="AL335" i="2"/>
  <c r="AM335" i="2"/>
  <c r="AK335" i="2"/>
  <c r="AJ335" i="2"/>
  <c r="AI335" i="2"/>
  <c r="AF335" i="2"/>
  <c r="AE335" i="2"/>
  <c r="AH335" i="2"/>
  <c r="AG335" i="2"/>
  <c r="AD335" i="2"/>
  <c r="AC335" i="2"/>
  <c r="AB335" i="2"/>
  <c r="X335" i="2"/>
  <c r="AA335" i="2"/>
  <c r="V335" i="2"/>
  <c r="Z335" i="2"/>
  <c r="Y335" i="2"/>
  <c r="W335" i="2"/>
  <c r="U335" i="2"/>
  <c r="S335" i="2"/>
  <c r="T335" i="2"/>
  <c r="R335" i="2"/>
  <c r="P335" i="2"/>
  <c r="Q335" i="2"/>
  <c r="N335" i="2"/>
  <c r="O335" i="2"/>
  <c r="M335" i="2"/>
  <c r="L335" i="2"/>
  <c r="AO335" i="2"/>
  <c r="J335" i="2"/>
  <c r="I335" i="2"/>
  <c r="K335" i="2"/>
  <c r="AP335" i="2"/>
  <c r="H336" i="2" l="1"/>
  <c r="AR336" i="2"/>
  <c r="AQ336" i="2"/>
  <c r="AN336" i="2"/>
  <c r="AL336" i="2"/>
  <c r="AM336" i="2"/>
  <c r="AK336" i="2"/>
  <c r="AJ336" i="2"/>
  <c r="AI336" i="2"/>
  <c r="AF336" i="2"/>
  <c r="AH336" i="2"/>
  <c r="AE336" i="2"/>
  <c r="AG336" i="2"/>
  <c r="AD336" i="2"/>
  <c r="AB336" i="2"/>
  <c r="AC336" i="2"/>
  <c r="AA336" i="2"/>
  <c r="Z336" i="2"/>
  <c r="Y336" i="2"/>
  <c r="V336" i="2"/>
  <c r="X336" i="2"/>
  <c r="W336" i="2"/>
  <c r="S336" i="2"/>
  <c r="U336" i="2"/>
  <c r="R336" i="2"/>
  <c r="T336" i="2"/>
  <c r="N336" i="2"/>
  <c r="P336" i="2"/>
  <c r="Q336" i="2"/>
  <c r="L336" i="2"/>
  <c r="O336" i="2"/>
  <c r="M336" i="2"/>
  <c r="AO336" i="2"/>
  <c r="J336" i="2"/>
  <c r="I336" i="2"/>
  <c r="K336" i="2"/>
  <c r="AP336" i="2"/>
  <c r="L336" i="1"/>
  <c r="P336" i="1" s="1"/>
  <c r="AA336" i="1"/>
  <c r="H336" i="3"/>
  <c r="AR336" i="3"/>
  <c r="AN336" i="3"/>
  <c r="AM336" i="3"/>
  <c r="AQ336" i="3"/>
  <c r="AI336" i="3"/>
  <c r="AL336" i="3"/>
  <c r="AK336" i="3"/>
  <c r="AJ336" i="3"/>
  <c r="AG336" i="3"/>
  <c r="AH336" i="3"/>
  <c r="AE336" i="3"/>
  <c r="AF336" i="3"/>
  <c r="AC336" i="3"/>
  <c r="AD336" i="3"/>
  <c r="Z336" i="3"/>
  <c r="AB336" i="3"/>
  <c r="X336" i="3"/>
  <c r="Y336" i="3"/>
  <c r="AA336" i="3"/>
  <c r="W336" i="3"/>
  <c r="V336" i="3"/>
  <c r="U336" i="3"/>
  <c r="R336" i="3"/>
  <c r="T336" i="3"/>
  <c r="O336" i="3"/>
  <c r="Q336" i="3"/>
  <c r="S336" i="3"/>
  <c r="P336" i="3"/>
  <c r="M336" i="3"/>
  <c r="L336" i="3"/>
  <c r="N336" i="3"/>
  <c r="K336" i="3"/>
  <c r="I336" i="3"/>
  <c r="J336" i="3"/>
  <c r="AO336" i="3"/>
  <c r="AP336" i="3"/>
  <c r="G337" i="3"/>
  <c r="I338" i="1"/>
  <c r="J337" i="1"/>
  <c r="V337" i="1"/>
  <c r="G337" i="2"/>
  <c r="Y337" i="1"/>
  <c r="Z337" i="1" s="1"/>
  <c r="S337" i="1"/>
  <c r="W337" i="1" s="1"/>
  <c r="N337" i="1"/>
  <c r="O337" i="1"/>
  <c r="R337" i="1"/>
  <c r="I339" i="1" l="1"/>
  <c r="G338" i="3"/>
  <c r="J338" i="1"/>
  <c r="V338" i="1"/>
  <c r="Y338" i="1"/>
  <c r="Z338" i="1" s="1"/>
  <c r="G338" i="2"/>
  <c r="R338" i="1"/>
  <c r="O338" i="1"/>
  <c r="N338" i="1"/>
  <c r="S338" i="1"/>
  <c r="H337" i="3"/>
  <c r="AR337" i="3"/>
  <c r="AN337" i="3"/>
  <c r="AQ337" i="3"/>
  <c r="AM337" i="3"/>
  <c r="AJ337" i="3"/>
  <c r="AL337" i="3"/>
  <c r="AK337" i="3"/>
  <c r="AG337" i="3"/>
  <c r="AI337" i="3"/>
  <c r="AH337" i="3"/>
  <c r="AF337" i="3"/>
  <c r="AE337" i="3"/>
  <c r="AA337" i="3"/>
  <c r="AC337" i="3"/>
  <c r="AD337" i="3"/>
  <c r="AB337" i="3"/>
  <c r="X337" i="3"/>
  <c r="Z337" i="3"/>
  <c r="Y337" i="3"/>
  <c r="V337" i="3"/>
  <c r="W337" i="3"/>
  <c r="U337" i="3"/>
  <c r="S337" i="3"/>
  <c r="T337" i="3"/>
  <c r="R337" i="3"/>
  <c r="O337" i="3"/>
  <c r="Q337" i="3"/>
  <c r="P337" i="3"/>
  <c r="N337" i="3"/>
  <c r="I337" i="3"/>
  <c r="M337" i="3"/>
  <c r="L337" i="3"/>
  <c r="K337" i="3"/>
  <c r="AO337" i="3"/>
  <c r="AP337" i="3"/>
  <c r="J337" i="3"/>
  <c r="H337" i="2"/>
  <c r="AQ337" i="2"/>
  <c r="AR337" i="2"/>
  <c r="AN337" i="2"/>
  <c r="AM337" i="2"/>
  <c r="AL337" i="2"/>
  <c r="AK337" i="2"/>
  <c r="AJ337" i="2"/>
  <c r="AI337" i="2"/>
  <c r="AH337" i="2"/>
  <c r="AE337" i="2"/>
  <c r="AG337" i="2"/>
  <c r="AF337" i="2"/>
  <c r="AB337" i="2"/>
  <c r="AD337" i="2"/>
  <c r="AC337" i="2"/>
  <c r="AA337" i="2"/>
  <c r="Y337" i="2"/>
  <c r="Z337" i="2"/>
  <c r="V337" i="2"/>
  <c r="X337" i="2"/>
  <c r="W337" i="2"/>
  <c r="S337" i="2"/>
  <c r="U337" i="2"/>
  <c r="R337" i="2"/>
  <c r="T337" i="2"/>
  <c r="P337" i="2"/>
  <c r="N337" i="2"/>
  <c r="O337" i="2"/>
  <c r="Q337" i="2"/>
  <c r="L337" i="2"/>
  <c r="M337" i="2"/>
  <c r="I337" i="2"/>
  <c r="J337" i="2"/>
  <c r="AO337" i="2"/>
  <c r="K337" i="2"/>
  <c r="AP337" i="2"/>
  <c r="L337" i="1"/>
  <c r="P337" i="1" s="1"/>
  <c r="AA337" i="1"/>
  <c r="H338" i="2" l="1"/>
  <c r="AQ338" i="2"/>
  <c r="AR338" i="2"/>
  <c r="AN338" i="2"/>
  <c r="AM338" i="2"/>
  <c r="AL338" i="2"/>
  <c r="AK338" i="2"/>
  <c r="AJ338" i="2"/>
  <c r="AH338" i="2"/>
  <c r="AF338" i="2"/>
  <c r="AI338" i="2"/>
  <c r="AG338" i="2"/>
  <c r="AE338" i="2"/>
  <c r="AD338" i="2"/>
  <c r="AC338" i="2"/>
  <c r="AA338" i="2"/>
  <c r="AB338" i="2"/>
  <c r="Y338" i="2"/>
  <c r="Z338" i="2"/>
  <c r="X338" i="2"/>
  <c r="W338" i="2"/>
  <c r="S338" i="2"/>
  <c r="V338" i="2"/>
  <c r="U338" i="2"/>
  <c r="P338" i="2"/>
  <c r="R338" i="2"/>
  <c r="T338" i="2"/>
  <c r="Q338" i="2"/>
  <c r="N338" i="2"/>
  <c r="O338" i="2"/>
  <c r="J338" i="2"/>
  <c r="L338" i="2"/>
  <c r="M338" i="2"/>
  <c r="K338" i="2"/>
  <c r="I338" i="2"/>
  <c r="AP338" i="2"/>
  <c r="AO338" i="2"/>
  <c r="L338" i="1"/>
  <c r="P338" i="1" s="1"/>
  <c r="AA338" i="1"/>
  <c r="H338" i="3"/>
  <c r="AQ338" i="3"/>
  <c r="AR338" i="3"/>
  <c r="AN338" i="3"/>
  <c r="AM338" i="3"/>
  <c r="AK338" i="3"/>
  <c r="AL338" i="3"/>
  <c r="AG338" i="3"/>
  <c r="AI338" i="3"/>
  <c r="AJ338" i="3"/>
  <c r="AF338" i="3"/>
  <c r="AH338" i="3"/>
  <c r="AE338" i="3"/>
  <c r="AC338" i="3"/>
  <c r="AD338" i="3"/>
  <c r="AB338" i="3"/>
  <c r="AA338" i="3"/>
  <c r="Z338" i="3"/>
  <c r="Y338" i="3"/>
  <c r="X338" i="3"/>
  <c r="V338" i="3"/>
  <c r="W338" i="3"/>
  <c r="S338" i="3"/>
  <c r="U338" i="3"/>
  <c r="T338" i="3"/>
  <c r="R338" i="3"/>
  <c r="N338" i="3"/>
  <c r="O338" i="3"/>
  <c r="Q338" i="3"/>
  <c r="P338" i="3"/>
  <c r="M338" i="3"/>
  <c r="L338" i="3"/>
  <c r="AO338" i="3"/>
  <c r="AP338" i="3"/>
  <c r="J338" i="3"/>
  <c r="I338" i="3"/>
  <c r="K338" i="3"/>
  <c r="W338" i="1"/>
  <c r="G339" i="3"/>
  <c r="I340" i="1"/>
  <c r="V339" i="1"/>
  <c r="J339" i="1"/>
  <c r="G339" i="2"/>
  <c r="Y339" i="1"/>
  <c r="Z339" i="1" s="1"/>
  <c r="R339" i="1"/>
  <c r="S339" i="1"/>
  <c r="W339" i="1" s="1"/>
  <c r="N339" i="1"/>
  <c r="O339" i="1"/>
  <c r="H339" i="3" l="1"/>
  <c r="AQ339" i="3"/>
  <c r="AR339" i="3"/>
  <c r="AN339" i="3"/>
  <c r="AM339" i="3"/>
  <c r="AK339" i="3"/>
  <c r="AL339" i="3"/>
  <c r="AJ339" i="3"/>
  <c r="AG339" i="3"/>
  <c r="AI339" i="3"/>
  <c r="AF339" i="3"/>
  <c r="AH339" i="3"/>
  <c r="AB339" i="3"/>
  <c r="AE339" i="3"/>
  <c r="AC339" i="3"/>
  <c r="AD339" i="3"/>
  <c r="AA339" i="3"/>
  <c r="Z339" i="3"/>
  <c r="Y339" i="3"/>
  <c r="X339" i="3"/>
  <c r="V339" i="3"/>
  <c r="W339" i="3"/>
  <c r="S339" i="3"/>
  <c r="U339" i="3"/>
  <c r="T339" i="3"/>
  <c r="Q339" i="3"/>
  <c r="R339" i="3"/>
  <c r="P339" i="3"/>
  <c r="N339" i="3"/>
  <c r="O339" i="3"/>
  <c r="L339" i="3"/>
  <c r="I339" i="3"/>
  <c r="M339" i="3"/>
  <c r="K339" i="3"/>
  <c r="J339" i="3"/>
  <c r="AO339" i="3"/>
  <c r="AP339" i="3"/>
  <c r="H339" i="2"/>
  <c r="AQ339" i="2"/>
  <c r="AR339" i="2"/>
  <c r="AM339" i="2"/>
  <c r="AN339" i="2"/>
  <c r="AK339" i="2"/>
  <c r="AL339" i="2"/>
  <c r="AH339" i="2"/>
  <c r="AJ339" i="2"/>
  <c r="AI339" i="2"/>
  <c r="AG339" i="2"/>
  <c r="AF339" i="2"/>
  <c r="AB339" i="2"/>
  <c r="AE339" i="2"/>
  <c r="AD339" i="2"/>
  <c r="AC339" i="2"/>
  <c r="AA339" i="2"/>
  <c r="Y339" i="2"/>
  <c r="Z339" i="2"/>
  <c r="W339" i="2"/>
  <c r="X339" i="2"/>
  <c r="U339" i="2"/>
  <c r="V339" i="2"/>
  <c r="T339" i="2"/>
  <c r="S339" i="2"/>
  <c r="R339" i="2"/>
  <c r="Q339" i="2"/>
  <c r="P339" i="2"/>
  <c r="O339" i="2"/>
  <c r="L339" i="2"/>
  <c r="M339" i="2"/>
  <c r="N339" i="2"/>
  <c r="K339" i="2"/>
  <c r="J339" i="2"/>
  <c r="AO339" i="2"/>
  <c r="I339" i="2"/>
  <c r="AP339" i="2"/>
  <c r="L339" i="1"/>
  <c r="P339" i="1" s="1"/>
  <c r="AA339" i="1"/>
  <c r="G340" i="3"/>
  <c r="I341" i="1"/>
  <c r="V340" i="1"/>
  <c r="J340" i="1"/>
  <c r="G340" i="2"/>
  <c r="Y340" i="1"/>
  <c r="Z340" i="1" s="1"/>
  <c r="S340" i="1"/>
  <c r="W340" i="1" s="1"/>
  <c r="R340" i="1"/>
  <c r="O340" i="1"/>
  <c r="N340" i="1"/>
  <c r="I342" i="1" l="1"/>
  <c r="G341" i="3"/>
  <c r="V341" i="1"/>
  <c r="J341" i="1"/>
  <c r="Y341" i="1"/>
  <c r="Z341" i="1" s="1"/>
  <c r="G341" i="2"/>
  <c r="O341" i="1"/>
  <c r="R341" i="1"/>
  <c r="S341" i="1"/>
  <c r="W341" i="1" s="1"/>
  <c r="N341" i="1"/>
  <c r="H340" i="2"/>
  <c r="AR340" i="2"/>
  <c r="AQ340" i="2"/>
  <c r="AN340" i="2"/>
  <c r="AL340" i="2"/>
  <c r="AM340" i="2"/>
  <c r="AK340" i="2"/>
  <c r="AH340" i="2"/>
  <c r="AJ340" i="2"/>
  <c r="AG340" i="2"/>
  <c r="AI340" i="2"/>
  <c r="AF340" i="2"/>
  <c r="AE340" i="2"/>
  <c r="AD340" i="2"/>
  <c r="AC340" i="2"/>
  <c r="AB340" i="2"/>
  <c r="AA340" i="2"/>
  <c r="Y340" i="2"/>
  <c r="Z340" i="2"/>
  <c r="W340" i="2"/>
  <c r="X340" i="2"/>
  <c r="U340" i="2"/>
  <c r="V340" i="2"/>
  <c r="T340" i="2"/>
  <c r="P340" i="2"/>
  <c r="S340" i="2"/>
  <c r="R340" i="2"/>
  <c r="O340" i="2"/>
  <c r="Q340" i="2"/>
  <c r="J340" i="2"/>
  <c r="M340" i="2"/>
  <c r="N340" i="2"/>
  <c r="K340" i="2"/>
  <c r="AO340" i="2"/>
  <c r="L340" i="2"/>
  <c r="I340" i="2"/>
  <c r="AP340" i="2"/>
  <c r="H340" i="3"/>
  <c r="AR340" i="3"/>
  <c r="AQ340" i="3"/>
  <c r="AN340" i="3"/>
  <c r="AM340" i="3"/>
  <c r="AL340" i="3"/>
  <c r="AK340" i="3"/>
  <c r="AJ340" i="3"/>
  <c r="AI340" i="3"/>
  <c r="AH340" i="3"/>
  <c r="AF340" i="3"/>
  <c r="AG340" i="3"/>
  <c r="AD340" i="3"/>
  <c r="AB340" i="3"/>
  <c r="AE340" i="3"/>
  <c r="AA340" i="3"/>
  <c r="AC340" i="3"/>
  <c r="Z340" i="3"/>
  <c r="Y340" i="3"/>
  <c r="W340" i="3"/>
  <c r="X340" i="3"/>
  <c r="V340" i="3"/>
  <c r="S340" i="3"/>
  <c r="U340" i="3"/>
  <c r="P340" i="3"/>
  <c r="T340" i="3"/>
  <c r="Q340" i="3"/>
  <c r="R340" i="3"/>
  <c r="L340" i="3"/>
  <c r="N340" i="3"/>
  <c r="O340" i="3"/>
  <c r="J340" i="3"/>
  <c r="M340" i="3"/>
  <c r="K340" i="3"/>
  <c r="AO340" i="3"/>
  <c r="AP340" i="3"/>
  <c r="I340" i="3"/>
  <c r="L340" i="1"/>
  <c r="P340" i="1" s="1"/>
  <c r="AA340" i="1"/>
  <c r="H341" i="2" l="1"/>
  <c r="AR341" i="2"/>
  <c r="AQ341" i="2"/>
  <c r="AN341" i="2"/>
  <c r="AL341" i="2"/>
  <c r="AM341" i="2"/>
  <c r="AK341" i="2"/>
  <c r="AI341" i="2"/>
  <c r="AH341" i="2"/>
  <c r="AJ341" i="2"/>
  <c r="AG341" i="2"/>
  <c r="AD341" i="2"/>
  <c r="AF341" i="2"/>
  <c r="AC341" i="2"/>
  <c r="AE341" i="2"/>
  <c r="AB341" i="2"/>
  <c r="Z341" i="2"/>
  <c r="AA341" i="2"/>
  <c r="U341" i="2"/>
  <c r="W341" i="2"/>
  <c r="Y341" i="2"/>
  <c r="X341" i="2"/>
  <c r="V341" i="2"/>
  <c r="T341" i="2"/>
  <c r="S341" i="2"/>
  <c r="R341" i="2"/>
  <c r="Q341" i="2"/>
  <c r="O341" i="2"/>
  <c r="P341" i="2"/>
  <c r="M341" i="2"/>
  <c r="N341" i="2"/>
  <c r="L341" i="2"/>
  <c r="K341" i="2"/>
  <c r="I341" i="2"/>
  <c r="J341" i="2"/>
  <c r="AP341" i="2"/>
  <c r="AO341" i="2"/>
  <c r="L341" i="1"/>
  <c r="P341" i="1" s="1"/>
  <c r="AA341" i="1"/>
  <c r="H341" i="3"/>
  <c r="AQ341" i="3"/>
  <c r="AR341" i="3"/>
  <c r="AN341" i="3"/>
  <c r="AL341" i="3"/>
  <c r="AK341" i="3"/>
  <c r="AM341" i="3"/>
  <c r="AJ341" i="3"/>
  <c r="AH341" i="3"/>
  <c r="AI341" i="3"/>
  <c r="AG341" i="3"/>
  <c r="AF341" i="3"/>
  <c r="AD341" i="3"/>
  <c r="AB341" i="3"/>
  <c r="AE341" i="3"/>
  <c r="AC341" i="3"/>
  <c r="AA341" i="3"/>
  <c r="W341" i="3"/>
  <c r="Z341" i="3"/>
  <c r="Y341" i="3"/>
  <c r="X341" i="3"/>
  <c r="U341" i="3"/>
  <c r="V341" i="3"/>
  <c r="T341" i="3"/>
  <c r="P341" i="3"/>
  <c r="S341" i="3"/>
  <c r="R341" i="3"/>
  <c r="Q341" i="3"/>
  <c r="J341" i="3"/>
  <c r="N341" i="3"/>
  <c r="L341" i="3"/>
  <c r="M341" i="3"/>
  <c r="K341" i="3"/>
  <c r="O341" i="3"/>
  <c r="AO341" i="3"/>
  <c r="AP341" i="3"/>
  <c r="I341" i="3"/>
  <c r="G342" i="3"/>
  <c r="I343" i="1"/>
  <c r="V342" i="1"/>
  <c r="J342" i="1"/>
  <c r="G342" i="2"/>
  <c r="Y342" i="1"/>
  <c r="Z342" i="1" s="1"/>
  <c r="S342" i="1"/>
  <c r="W342" i="1" s="1"/>
  <c r="N342" i="1"/>
  <c r="R342" i="1"/>
  <c r="O342" i="1"/>
  <c r="G343" i="3" l="1"/>
  <c r="I344" i="1"/>
  <c r="J343" i="1"/>
  <c r="V343" i="1"/>
  <c r="G343" i="2"/>
  <c r="Y343" i="1"/>
  <c r="Z343" i="1" s="1"/>
  <c r="N343" i="1"/>
  <c r="O343" i="1"/>
  <c r="R343" i="1"/>
  <c r="S343" i="1"/>
  <c r="H342" i="3"/>
  <c r="AR342" i="3"/>
  <c r="AQ342" i="3"/>
  <c r="AN342" i="3"/>
  <c r="AL342" i="3"/>
  <c r="AK342" i="3"/>
  <c r="AM342" i="3"/>
  <c r="AJ342" i="3"/>
  <c r="AH342" i="3"/>
  <c r="AI342" i="3"/>
  <c r="AG342" i="3"/>
  <c r="AF342" i="3"/>
  <c r="AD342" i="3"/>
  <c r="AE342" i="3"/>
  <c r="AC342" i="3"/>
  <c r="AA342" i="3"/>
  <c r="AB342" i="3"/>
  <c r="Z342" i="3"/>
  <c r="Y342" i="3"/>
  <c r="X342" i="3"/>
  <c r="W342" i="3"/>
  <c r="V342" i="3"/>
  <c r="U342" i="3"/>
  <c r="T342" i="3"/>
  <c r="R342" i="3"/>
  <c r="P342" i="3"/>
  <c r="S342" i="3"/>
  <c r="O342" i="3"/>
  <c r="Q342" i="3"/>
  <c r="J342" i="3"/>
  <c r="N342" i="3"/>
  <c r="L342" i="3"/>
  <c r="M342" i="3"/>
  <c r="AO342" i="3"/>
  <c r="AP342" i="3"/>
  <c r="K342" i="3"/>
  <c r="I342" i="3"/>
  <c r="H342" i="2"/>
  <c r="AR342" i="2"/>
  <c r="AM342" i="2"/>
  <c r="AQ342" i="2"/>
  <c r="AN342" i="2"/>
  <c r="AI342" i="2"/>
  <c r="AL342" i="2"/>
  <c r="AK342" i="2"/>
  <c r="AJ342" i="2"/>
  <c r="AH342" i="2"/>
  <c r="AG342" i="2"/>
  <c r="AF342" i="2"/>
  <c r="AE342" i="2"/>
  <c r="AD342" i="2"/>
  <c r="AC342" i="2"/>
  <c r="AB342" i="2"/>
  <c r="Z342" i="2"/>
  <c r="Y342" i="2"/>
  <c r="AA342" i="2"/>
  <c r="X342" i="2"/>
  <c r="U342" i="2"/>
  <c r="W342" i="2"/>
  <c r="V342" i="2"/>
  <c r="T342" i="2"/>
  <c r="Q342" i="2"/>
  <c r="S342" i="2"/>
  <c r="R342" i="2"/>
  <c r="M342" i="2"/>
  <c r="O342" i="2"/>
  <c r="P342" i="2"/>
  <c r="K342" i="2"/>
  <c r="N342" i="2"/>
  <c r="L342" i="2"/>
  <c r="AP342" i="2"/>
  <c r="I342" i="2"/>
  <c r="J342" i="2"/>
  <c r="AO342" i="2"/>
  <c r="L342" i="1"/>
  <c r="P342" i="1" s="1"/>
  <c r="AA342" i="1"/>
  <c r="H343" i="2" l="1"/>
  <c r="AR343" i="2"/>
  <c r="AQ343" i="2"/>
  <c r="AN343" i="2"/>
  <c r="AM343" i="2"/>
  <c r="AL343" i="2"/>
  <c r="AK343" i="2"/>
  <c r="AJ343" i="2"/>
  <c r="AH343" i="2"/>
  <c r="AI343" i="2"/>
  <c r="AF343" i="2"/>
  <c r="AG343" i="2"/>
  <c r="AE343" i="2"/>
  <c r="AD343" i="2"/>
  <c r="AC343" i="2"/>
  <c r="AB343" i="2"/>
  <c r="X343" i="2"/>
  <c r="Z343" i="2"/>
  <c r="Y343" i="2"/>
  <c r="AA343" i="2"/>
  <c r="U343" i="2"/>
  <c r="V343" i="2"/>
  <c r="T343" i="2"/>
  <c r="W343" i="2"/>
  <c r="Q343" i="2"/>
  <c r="S343" i="2"/>
  <c r="R343" i="2"/>
  <c r="O343" i="2"/>
  <c r="P343" i="2"/>
  <c r="K343" i="2"/>
  <c r="N343" i="2"/>
  <c r="M343" i="2"/>
  <c r="L343" i="2"/>
  <c r="AP343" i="2"/>
  <c r="I343" i="2"/>
  <c r="J343" i="2"/>
  <c r="AO343" i="2"/>
  <c r="L343" i="1"/>
  <c r="P343" i="1" s="1"/>
  <c r="AA343" i="1"/>
  <c r="G344" i="3"/>
  <c r="I345" i="1"/>
  <c r="V344" i="1"/>
  <c r="J344" i="1"/>
  <c r="G344" i="2"/>
  <c r="Y344" i="1"/>
  <c r="Z344" i="1" s="1"/>
  <c r="R344" i="1"/>
  <c r="N344" i="1"/>
  <c r="O344" i="1"/>
  <c r="S344" i="1"/>
  <c r="W343" i="1"/>
  <c r="H343" i="3"/>
  <c r="AR343" i="3"/>
  <c r="AQ343" i="3"/>
  <c r="AN343" i="3"/>
  <c r="AM343" i="3"/>
  <c r="AL343" i="3"/>
  <c r="AK343" i="3"/>
  <c r="AJ343" i="3"/>
  <c r="AI343" i="3"/>
  <c r="AH343" i="3"/>
  <c r="AF343" i="3"/>
  <c r="AD343" i="3"/>
  <c r="AG343" i="3"/>
  <c r="AE343" i="3"/>
  <c r="AC343" i="3"/>
  <c r="AA343" i="3"/>
  <c r="AB343" i="3"/>
  <c r="W343" i="3"/>
  <c r="Z343" i="3"/>
  <c r="U343" i="3"/>
  <c r="Y343" i="3"/>
  <c r="X343" i="3"/>
  <c r="T343" i="3"/>
  <c r="V343" i="3"/>
  <c r="S343" i="3"/>
  <c r="R343" i="3"/>
  <c r="Q343" i="3"/>
  <c r="P343" i="3"/>
  <c r="O343" i="3"/>
  <c r="M343" i="3"/>
  <c r="N343" i="3"/>
  <c r="L343" i="3"/>
  <c r="K343" i="3"/>
  <c r="J343" i="3"/>
  <c r="AO343" i="3"/>
  <c r="AP343" i="3"/>
  <c r="I343" i="3"/>
  <c r="H344" i="2" l="1"/>
  <c r="AR344" i="2"/>
  <c r="AM344" i="2"/>
  <c r="AQ344" i="2"/>
  <c r="AN344" i="2"/>
  <c r="AI344" i="2"/>
  <c r="AL344" i="2"/>
  <c r="AK344" i="2"/>
  <c r="AJ344" i="2"/>
  <c r="AH344" i="2"/>
  <c r="AF344" i="2"/>
  <c r="AG344" i="2"/>
  <c r="AE344" i="2"/>
  <c r="AD344" i="2"/>
  <c r="Z344" i="2"/>
  <c r="AC344" i="2"/>
  <c r="AB344" i="2"/>
  <c r="X344" i="2"/>
  <c r="AA344" i="2"/>
  <c r="W344" i="2"/>
  <c r="Y344" i="2"/>
  <c r="V344" i="2"/>
  <c r="U344" i="2"/>
  <c r="Q344" i="2"/>
  <c r="T344" i="2"/>
  <c r="S344" i="2"/>
  <c r="R344" i="2"/>
  <c r="M344" i="2"/>
  <c r="P344" i="2"/>
  <c r="O344" i="2"/>
  <c r="K344" i="2"/>
  <c r="N344" i="2"/>
  <c r="L344" i="2"/>
  <c r="I344" i="2"/>
  <c r="AO344" i="2"/>
  <c r="AP344" i="2"/>
  <c r="J344" i="2"/>
  <c r="L344" i="1"/>
  <c r="P344" i="1" s="1"/>
  <c r="AA344" i="1"/>
  <c r="I346" i="1"/>
  <c r="G345" i="3"/>
  <c r="V345" i="1"/>
  <c r="J345" i="1"/>
  <c r="G345" i="2"/>
  <c r="Y345" i="1"/>
  <c r="Z345" i="1" s="1"/>
  <c r="S345" i="1"/>
  <c r="W345" i="1" s="1"/>
  <c r="O345" i="1"/>
  <c r="N345" i="1"/>
  <c r="R345" i="1"/>
  <c r="W344" i="1"/>
  <c r="H344" i="3"/>
  <c r="AQ344" i="3"/>
  <c r="AR344" i="3"/>
  <c r="AN344" i="3"/>
  <c r="AM344" i="3"/>
  <c r="AL344" i="3"/>
  <c r="AI344" i="3"/>
  <c r="AK344" i="3"/>
  <c r="AJ344" i="3"/>
  <c r="AE344" i="3"/>
  <c r="AH344" i="3"/>
  <c r="AF344" i="3"/>
  <c r="AG344" i="3"/>
  <c r="AC344" i="3"/>
  <c r="AD344" i="3"/>
  <c r="AA344" i="3"/>
  <c r="AB344" i="3"/>
  <c r="Z344" i="3"/>
  <c r="Y344" i="3"/>
  <c r="X344" i="3"/>
  <c r="U344" i="3"/>
  <c r="W344" i="3"/>
  <c r="V344" i="3"/>
  <c r="R344" i="3"/>
  <c r="T344" i="3"/>
  <c r="Q344" i="3"/>
  <c r="S344" i="3"/>
  <c r="M344" i="3"/>
  <c r="P344" i="3"/>
  <c r="O344" i="3"/>
  <c r="K344" i="3"/>
  <c r="N344" i="3"/>
  <c r="L344" i="3"/>
  <c r="I344" i="3"/>
  <c r="J344" i="3"/>
  <c r="AO344" i="3"/>
  <c r="AP344" i="3"/>
  <c r="H345" i="2" l="1"/>
  <c r="AR345" i="2"/>
  <c r="AQ345" i="2"/>
  <c r="AN345" i="2"/>
  <c r="AM345" i="2"/>
  <c r="AL345" i="2"/>
  <c r="AK345" i="2"/>
  <c r="AJ345" i="2"/>
  <c r="AI345" i="2"/>
  <c r="AH345" i="2"/>
  <c r="AF345" i="2"/>
  <c r="AE345" i="2"/>
  <c r="AG345" i="2"/>
  <c r="AD345" i="2"/>
  <c r="AC345" i="2"/>
  <c r="AB345" i="2"/>
  <c r="Z345" i="2"/>
  <c r="X345" i="2"/>
  <c r="AA345" i="2"/>
  <c r="V345" i="2"/>
  <c r="Y345" i="2"/>
  <c r="U345" i="2"/>
  <c r="W345" i="2"/>
  <c r="S345" i="2"/>
  <c r="T345" i="2"/>
  <c r="R345" i="2"/>
  <c r="Q345" i="2"/>
  <c r="P345" i="2"/>
  <c r="N345" i="2"/>
  <c r="O345" i="2"/>
  <c r="M345" i="2"/>
  <c r="L345" i="2"/>
  <c r="AO345" i="2"/>
  <c r="K345" i="2"/>
  <c r="I345" i="2"/>
  <c r="J345" i="2"/>
  <c r="AP345" i="2"/>
  <c r="H345" i="3"/>
  <c r="AR345" i="3"/>
  <c r="AN345" i="3"/>
  <c r="AQ345" i="3"/>
  <c r="AM345" i="3"/>
  <c r="AL345" i="3"/>
  <c r="AI345" i="3"/>
  <c r="AK345" i="3"/>
  <c r="AJ345" i="3"/>
  <c r="AH345" i="3"/>
  <c r="AG345" i="3"/>
  <c r="AF345" i="3"/>
  <c r="AD345" i="3"/>
  <c r="AE345" i="3"/>
  <c r="AA345" i="3"/>
  <c r="AC345" i="3"/>
  <c r="AB345" i="3"/>
  <c r="X345" i="3"/>
  <c r="Z345" i="3"/>
  <c r="Y345" i="3"/>
  <c r="U345" i="3"/>
  <c r="V345" i="3"/>
  <c r="R345" i="3"/>
  <c r="T345" i="3"/>
  <c r="W345" i="3"/>
  <c r="Q345" i="3"/>
  <c r="S345" i="3"/>
  <c r="P345" i="3"/>
  <c r="O345" i="3"/>
  <c r="K345" i="3"/>
  <c r="N345" i="3"/>
  <c r="M345" i="3"/>
  <c r="L345" i="3"/>
  <c r="I345" i="3"/>
  <c r="J345" i="3"/>
  <c r="AO345" i="3"/>
  <c r="AP345" i="3"/>
  <c r="L345" i="1"/>
  <c r="P345" i="1" s="1"/>
  <c r="AA345" i="1"/>
  <c r="G346" i="3"/>
  <c r="I347" i="1"/>
  <c r="V346" i="1"/>
  <c r="J346" i="1"/>
  <c r="G346" i="2"/>
  <c r="Y346" i="1"/>
  <c r="Z346" i="1" s="1"/>
  <c r="R346" i="1"/>
  <c r="O346" i="1"/>
  <c r="S346" i="1"/>
  <c r="W346" i="1" s="1"/>
  <c r="N346" i="1"/>
  <c r="G347" i="3" l="1"/>
  <c r="I348" i="1"/>
  <c r="V347" i="1"/>
  <c r="J347" i="1"/>
  <c r="G347" i="2"/>
  <c r="Y347" i="1"/>
  <c r="Z347" i="1" s="1"/>
  <c r="S347" i="1"/>
  <c r="W347" i="1" s="1"/>
  <c r="O347" i="1"/>
  <c r="R347" i="1"/>
  <c r="N347" i="1"/>
  <c r="H346" i="3"/>
  <c r="AR346" i="3"/>
  <c r="AN346" i="3"/>
  <c r="AQ346" i="3"/>
  <c r="AM346" i="3"/>
  <c r="AL346" i="3"/>
  <c r="AI346" i="3"/>
  <c r="AK346" i="3"/>
  <c r="AJ346" i="3"/>
  <c r="AG346" i="3"/>
  <c r="AH346" i="3"/>
  <c r="AE346" i="3"/>
  <c r="AF346" i="3"/>
  <c r="AD346" i="3"/>
  <c r="AC346" i="3"/>
  <c r="Z346" i="3"/>
  <c r="AB346" i="3"/>
  <c r="AA346" i="3"/>
  <c r="X346" i="3"/>
  <c r="Y346" i="3"/>
  <c r="W346" i="3"/>
  <c r="V346" i="3"/>
  <c r="R346" i="3"/>
  <c r="T346" i="3"/>
  <c r="U346" i="3"/>
  <c r="O346" i="3"/>
  <c r="Q346" i="3"/>
  <c r="S346" i="3"/>
  <c r="M346" i="3"/>
  <c r="P346" i="3"/>
  <c r="K346" i="3"/>
  <c r="N346" i="3"/>
  <c r="L346" i="3"/>
  <c r="I346" i="3"/>
  <c r="J346" i="3"/>
  <c r="AO346" i="3"/>
  <c r="AP346" i="3"/>
  <c r="H346" i="2"/>
  <c r="AR346" i="2"/>
  <c r="AQ346" i="2"/>
  <c r="AN346" i="2"/>
  <c r="AM346" i="2"/>
  <c r="AL346" i="2"/>
  <c r="AJ346" i="2"/>
  <c r="AK346" i="2"/>
  <c r="AI346" i="2"/>
  <c r="AF346" i="2"/>
  <c r="AH346" i="2"/>
  <c r="AE346" i="2"/>
  <c r="AG346" i="2"/>
  <c r="AD346" i="2"/>
  <c r="AB346" i="2"/>
  <c r="AC346" i="2"/>
  <c r="AA346" i="2"/>
  <c r="Z346" i="2"/>
  <c r="Y346" i="2"/>
  <c r="V346" i="2"/>
  <c r="W346" i="2"/>
  <c r="X346" i="2"/>
  <c r="S346" i="2"/>
  <c r="U346" i="2"/>
  <c r="R346" i="2"/>
  <c r="T346" i="2"/>
  <c r="N346" i="2"/>
  <c r="Q346" i="2"/>
  <c r="P346" i="2"/>
  <c r="L346" i="2"/>
  <c r="O346" i="2"/>
  <c r="M346" i="2"/>
  <c r="J346" i="2"/>
  <c r="AO346" i="2"/>
  <c r="K346" i="2"/>
  <c r="I346" i="2"/>
  <c r="AP346" i="2"/>
  <c r="L346" i="1"/>
  <c r="P346" i="1" s="1"/>
  <c r="AA346" i="1"/>
  <c r="H347" i="2" l="1"/>
  <c r="AR347" i="2"/>
  <c r="AQ347" i="2"/>
  <c r="AN347" i="2"/>
  <c r="AM347" i="2"/>
  <c r="AL347" i="2"/>
  <c r="AJ347" i="2"/>
  <c r="AK347" i="2"/>
  <c r="AI347" i="2"/>
  <c r="AH347" i="2"/>
  <c r="AG347" i="2"/>
  <c r="AE347" i="2"/>
  <c r="AF347" i="2"/>
  <c r="AB347" i="2"/>
  <c r="AD347" i="2"/>
  <c r="AA347" i="2"/>
  <c r="AC347" i="2"/>
  <c r="Y347" i="2"/>
  <c r="V347" i="2"/>
  <c r="Z347" i="2"/>
  <c r="W347" i="2"/>
  <c r="X347" i="2"/>
  <c r="S347" i="2"/>
  <c r="U347" i="2"/>
  <c r="R347" i="2"/>
  <c r="T347" i="2"/>
  <c r="P347" i="2"/>
  <c r="N347" i="2"/>
  <c r="Q347" i="2"/>
  <c r="O347" i="2"/>
  <c r="L347" i="2"/>
  <c r="I347" i="2"/>
  <c r="M347" i="2"/>
  <c r="J347" i="2"/>
  <c r="K347" i="2"/>
  <c r="AP347" i="2"/>
  <c r="AO347" i="2"/>
  <c r="L347" i="1"/>
  <c r="P347" i="1" s="1"/>
  <c r="AA347" i="1"/>
  <c r="G348" i="3"/>
  <c r="I349" i="1"/>
  <c r="J348" i="1"/>
  <c r="V348" i="1"/>
  <c r="G348" i="2"/>
  <c r="Y348" i="1"/>
  <c r="Z348" i="1" s="1"/>
  <c r="N348" i="1"/>
  <c r="O348" i="1"/>
  <c r="R348" i="1"/>
  <c r="S348" i="1"/>
  <c r="H347" i="3"/>
  <c r="AR347" i="3"/>
  <c r="AN347" i="3"/>
  <c r="AQ347" i="3"/>
  <c r="AJ347" i="3"/>
  <c r="AL347" i="3"/>
  <c r="AM347" i="3"/>
  <c r="AK347" i="3"/>
  <c r="AG347" i="3"/>
  <c r="AH347" i="3"/>
  <c r="AI347" i="3"/>
  <c r="AF347" i="3"/>
  <c r="AE347" i="3"/>
  <c r="AA347" i="3"/>
  <c r="AD347" i="3"/>
  <c r="AC347" i="3"/>
  <c r="AB347" i="3"/>
  <c r="X347" i="3"/>
  <c r="Z347" i="3"/>
  <c r="Y347" i="3"/>
  <c r="V347" i="3"/>
  <c r="W347" i="3"/>
  <c r="U347" i="3"/>
  <c r="S347" i="3"/>
  <c r="R347" i="3"/>
  <c r="T347" i="3"/>
  <c r="Q347" i="3"/>
  <c r="P347" i="3"/>
  <c r="O347" i="3"/>
  <c r="N347" i="3"/>
  <c r="I347" i="3"/>
  <c r="K347" i="3"/>
  <c r="M347" i="3"/>
  <c r="L347" i="3"/>
  <c r="AP347" i="3"/>
  <c r="J347" i="3"/>
  <c r="AO347" i="3"/>
  <c r="L348" i="1" l="1"/>
  <c r="P348" i="1" s="1"/>
  <c r="AA348" i="1"/>
  <c r="H348" i="2"/>
  <c r="AR348" i="2"/>
  <c r="AQ348" i="2"/>
  <c r="AN348" i="2"/>
  <c r="AM348" i="2"/>
  <c r="AL348" i="2"/>
  <c r="AJ348" i="2"/>
  <c r="AK348" i="2"/>
  <c r="AI348" i="2"/>
  <c r="AH348" i="2"/>
  <c r="AF348" i="2"/>
  <c r="AG348" i="2"/>
  <c r="AE348" i="2"/>
  <c r="AD348" i="2"/>
  <c r="AA348" i="2"/>
  <c r="AB348" i="2"/>
  <c r="AC348" i="2"/>
  <c r="Y348" i="2"/>
  <c r="Z348" i="2"/>
  <c r="X348" i="2"/>
  <c r="W348" i="2"/>
  <c r="S348" i="2"/>
  <c r="V348" i="2"/>
  <c r="U348" i="2"/>
  <c r="T348" i="2"/>
  <c r="P348" i="2"/>
  <c r="R348" i="2"/>
  <c r="N348" i="2"/>
  <c r="Q348" i="2"/>
  <c r="O348" i="2"/>
  <c r="M348" i="2"/>
  <c r="J348" i="2"/>
  <c r="L348" i="2"/>
  <c r="I348" i="2"/>
  <c r="K348" i="2"/>
  <c r="AP348" i="2"/>
  <c r="AO348" i="2"/>
  <c r="G349" i="3"/>
  <c r="I350" i="1"/>
  <c r="J349" i="1"/>
  <c r="V349" i="1"/>
  <c r="G349" i="2"/>
  <c r="Y349" i="1"/>
  <c r="Z349" i="1" s="1"/>
  <c r="S349" i="1"/>
  <c r="W349" i="1" s="1"/>
  <c r="N349" i="1"/>
  <c r="R349" i="1"/>
  <c r="O349" i="1"/>
  <c r="W348" i="1"/>
  <c r="H348" i="3"/>
  <c r="AR348" i="3"/>
  <c r="AQ348" i="3"/>
  <c r="AN348" i="3"/>
  <c r="AM348" i="3"/>
  <c r="AL348" i="3"/>
  <c r="AK348" i="3"/>
  <c r="AG348" i="3"/>
  <c r="AJ348" i="3"/>
  <c r="AF348" i="3"/>
  <c r="AH348" i="3"/>
  <c r="AI348" i="3"/>
  <c r="AE348" i="3"/>
  <c r="AD348" i="3"/>
  <c r="AC348" i="3"/>
  <c r="AB348" i="3"/>
  <c r="AA348" i="3"/>
  <c r="Z348" i="3"/>
  <c r="Y348" i="3"/>
  <c r="V348" i="3"/>
  <c r="X348" i="3"/>
  <c r="W348" i="3"/>
  <c r="S348" i="3"/>
  <c r="T348" i="3"/>
  <c r="U348" i="3"/>
  <c r="R348" i="3"/>
  <c r="P348" i="3"/>
  <c r="O348" i="3"/>
  <c r="N348" i="3"/>
  <c r="Q348" i="3"/>
  <c r="L348" i="3"/>
  <c r="M348" i="3"/>
  <c r="J348" i="3"/>
  <c r="AO348" i="3"/>
  <c r="AP348" i="3"/>
  <c r="I348" i="3"/>
  <c r="K348" i="3"/>
  <c r="H349" i="2" l="1"/>
  <c r="AQ349" i="2"/>
  <c r="AR349" i="2"/>
  <c r="AK349" i="2"/>
  <c r="AN349" i="2"/>
  <c r="AM349" i="2"/>
  <c r="AL349" i="2"/>
  <c r="AJ349" i="2"/>
  <c r="AH349" i="2"/>
  <c r="AI349" i="2"/>
  <c r="AG349" i="2"/>
  <c r="AF349" i="2"/>
  <c r="AB349" i="2"/>
  <c r="AE349" i="2"/>
  <c r="AD349" i="2"/>
  <c r="AA349" i="2"/>
  <c r="AC349" i="2"/>
  <c r="Y349" i="2"/>
  <c r="Z349" i="2"/>
  <c r="W349" i="2"/>
  <c r="X349" i="2"/>
  <c r="V349" i="2"/>
  <c r="U349" i="2"/>
  <c r="T349" i="2"/>
  <c r="R349" i="2"/>
  <c r="S349" i="2"/>
  <c r="Q349" i="2"/>
  <c r="P349" i="2"/>
  <c r="O349" i="2"/>
  <c r="M349" i="2"/>
  <c r="L349" i="2"/>
  <c r="N349" i="2"/>
  <c r="J349" i="2"/>
  <c r="AO349" i="2"/>
  <c r="I349" i="2"/>
  <c r="K349" i="2"/>
  <c r="AP349" i="2"/>
  <c r="G350" i="3"/>
  <c r="I351" i="1"/>
  <c r="V350" i="1"/>
  <c r="J350" i="1"/>
  <c r="G350" i="2"/>
  <c r="Y350" i="1"/>
  <c r="Z350" i="1" s="1"/>
  <c r="S350" i="1"/>
  <c r="N350" i="1"/>
  <c r="R350" i="1"/>
  <c r="O350" i="1"/>
  <c r="H349" i="3"/>
  <c r="AQ349" i="3"/>
  <c r="AR349" i="3"/>
  <c r="AN349" i="3"/>
  <c r="AM349" i="3"/>
  <c r="AL349" i="3"/>
  <c r="AK349" i="3"/>
  <c r="AG349" i="3"/>
  <c r="AJ349" i="3"/>
  <c r="AI349" i="3"/>
  <c r="AF349" i="3"/>
  <c r="AH349" i="3"/>
  <c r="AB349" i="3"/>
  <c r="AE349" i="3"/>
  <c r="AD349" i="3"/>
  <c r="AC349" i="3"/>
  <c r="Y349" i="3"/>
  <c r="AA349" i="3"/>
  <c r="Z349" i="3"/>
  <c r="W349" i="3"/>
  <c r="V349" i="3"/>
  <c r="X349" i="3"/>
  <c r="S349" i="3"/>
  <c r="U349" i="3"/>
  <c r="T349" i="3"/>
  <c r="R349" i="3"/>
  <c r="Q349" i="3"/>
  <c r="P349" i="3"/>
  <c r="O349" i="3"/>
  <c r="N349" i="3"/>
  <c r="L349" i="3"/>
  <c r="M349" i="3"/>
  <c r="I349" i="3"/>
  <c r="K349" i="3"/>
  <c r="J349" i="3"/>
  <c r="AO349" i="3"/>
  <c r="AP349" i="3"/>
  <c r="L349" i="1"/>
  <c r="P349" i="1" s="1"/>
  <c r="AA349" i="1"/>
  <c r="L350" i="1" l="1"/>
  <c r="P350" i="1" s="1"/>
  <c r="AA350" i="1"/>
  <c r="I352" i="1"/>
  <c r="G351" i="3"/>
  <c r="V351" i="1"/>
  <c r="J351" i="1"/>
  <c r="Y351" i="1"/>
  <c r="Z351" i="1" s="1"/>
  <c r="G351" i="2"/>
  <c r="R351" i="1"/>
  <c r="O351" i="1"/>
  <c r="S351" i="1"/>
  <c r="N351" i="1"/>
  <c r="H350" i="3"/>
  <c r="AQ350" i="3"/>
  <c r="AR350" i="3"/>
  <c r="AM350" i="3"/>
  <c r="AN350" i="3"/>
  <c r="AK350" i="3"/>
  <c r="AL350" i="3"/>
  <c r="AJ350" i="3"/>
  <c r="AI350" i="3"/>
  <c r="AH350" i="3"/>
  <c r="AG350" i="3"/>
  <c r="AF350" i="3"/>
  <c r="AB350" i="3"/>
  <c r="AE350" i="3"/>
  <c r="AD350" i="3"/>
  <c r="AC350" i="3"/>
  <c r="Y350" i="3"/>
  <c r="AA350" i="3"/>
  <c r="Z350" i="3"/>
  <c r="W350" i="3"/>
  <c r="V350" i="3"/>
  <c r="X350" i="3"/>
  <c r="U350" i="3"/>
  <c r="S350" i="3"/>
  <c r="P350" i="3"/>
  <c r="T350" i="3"/>
  <c r="R350" i="3"/>
  <c r="Q350" i="3"/>
  <c r="L350" i="3"/>
  <c r="O350" i="3"/>
  <c r="N350" i="3"/>
  <c r="J350" i="3"/>
  <c r="M350" i="3"/>
  <c r="K350" i="3"/>
  <c r="AO350" i="3"/>
  <c r="I350" i="3"/>
  <c r="AP350" i="3"/>
  <c r="H350" i="2"/>
  <c r="AQ350" i="2"/>
  <c r="AR350" i="2"/>
  <c r="AL350" i="2"/>
  <c r="AM350" i="2"/>
  <c r="AK350" i="2"/>
  <c r="AN350" i="2"/>
  <c r="AJ350" i="2"/>
  <c r="AH350" i="2"/>
  <c r="AG350" i="2"/>
  <c r="AI350" i="2"/>
  <c r="AF350" i="2"/>
  <c r="AE350" i="2"/>
  <c r="AD350" i="2"/>
  <c r="AC350" i="2"/>
  <c r="AA350" i="2"/>
  <c r="AB350" i="2"/>
  <c r="Z350" i="2"/>
  <c r="Y350" i="2"/>
  <c r="W350" i="2"/>
  <c r="X350" i="2"/>
  <c r="U350" i="2"/>
  <c r="T350" i="2"/>
  <c r="V350" i="2"/>
  <c r="S350" i="2"/>
  <c r="P350" i="2"/>
  <c r="R350" i="2"/>
  <c r="O350" i="2"/>
  <c r="Q350" i="2"/>
  <c r="M350" i="2"/>
  <c r="J350" i="2"/>
  <c r="N350" i="2"/>
  <c r="AO350" i="2"/>
  <c r="I350" i="2"/>
  <c r="K350" i="2"/>
  <c r="L350" i="2"/>
  <c r="AP350" i="2"/>
  <c r="W350" i="1"/>
  <c r="H351" i="2" l="1"/>
  <c r="AQ351" i="2"/>
  <c r="AR351" i="2"/>
  <c r="AM351" i="2"/>
  <c r="AL351" i="2"/>
  <c r="AK351" i="2"/>
  <c r="AN351" i="2"/>
  <c r="AI351" i="2"/>
  <c r="AJ351" i="2"/>
  <c r="AH351" i="2"/>
  <c r="AG351" i="2"/>
  <c r="AD351" i="2"/>
  <c r="AF351" i="2"/>
  <c r="AC351" i="2"/>
  <c r="AE351" i="2"/>
  <c r="AB351" i="2"/>
  <c r="AA351" i="2"/>
  <c r="Z351" i="2"/>
  <c r="U351" i="2"/>
  <c r="Y351" i="2"/>
  <c r="W351" i="2"/>
  <c r="X351" i="2"/>
  <c r="T351" i="2"/>
  <c r="V351" i="2"/>
  <c r="S351" i="2"/>
  <c r="R351" i="2"/>
  <c r="Q351" i="2"/>
  <c r="P351" i="2"/>
  <c r="O351" i="2"/>
  <c r="M351" i="2"/>
  <c r="L351" i="2"/>
  <c r="N351" i="2"/>
  <c r="K351" i="2"/>
  <c r="J351" i="2"/>
  <c r="I351" i="2"/>
  <c r="AP351" i="2"/>
  <c r="AO351" i="2"/>
  <c r="G352" i="3"/>
  <c r="I353" i="1"/>
  <c r="J352" i="1"/>
  <c r="V352" i="1"/>
  <c r="G352" i="2"/>
  <c r="Y352" i="1"/>
  <c r="Z352" i="1" s="1"/>
  <c r="S352" i="1"/>
  <c r="W352" i="1" s="1"/>
  <c r="N352" i="1"/>
  <c r="R352" i="1"/>
  <c r="O352" i="1"/>
  <c r="W351" i="1"/>
  <c r="L351" i="1"/>
  <c r="P351" i="1" s="1"/>
  <c r="AA351" i="1"/>
  <c r="H351" i="3"/>
  <c r="AR351" i="3"/>
  <c r="AQ351" i="3"/>
  <c r="AM351" i="3"/>
  <c r="AN351" i="3"/>
  <c r="AL351" i="3"/>
  <c r="AK351" i="3"/>
  <c r="AJ351" i="3"/>
  <c r="AH351" i="3"/>
  <c r="AI351" i="3"/>
  <c r="AG351" i="3"/>
  <c r="AF351" i="3"/>
  <c r="AB351" i="3"/>
  <c r="AE351" i="3"/>
  <c r="AD351" i="3"/>
  <c r="AC351" i="3"/>
  <c r="AA351" i="3"/>
  <c r="Z351" i="3"/>
  <c r="W351" i="3"/>
  <c r="Y351" i="3"/>
  <c r="X351" i="3"/>
  <c r="U351" i="3"/>
  <c r="V351" i="3"/>
  <c r="T351" i="3"/>
  <c r="P351" i="3"/>
  <c r="S351" i="3"/>
  <c r="R351" i="3"/>
  <c r="O351" i="3"/>
  <c r="Q351" i="3"/>
  <c r="L351" i="3"/>
  <c r="J351" i="3"/>
  <c r="M351" i="3"/>
  <c r="K351" i="3"/>
  <c r="N351" i="3"/>
  <c r="AO351" i="3"/>
  <c r="I351" i="3"/>
  <c r="AP351" i="3"/>
  <c r="H352" i="3" l="1"/>
  <c r="AR352" i="3"/>
  <c r="AQ352" i="3"/>
  <c r="AL352" i="3"/>
  <c r="AN352" i="3"/>
  <c r="AK352" i="3"/>
  <c r="AM352" i="3"/>
  <c r="AJ352" i="3"/>
  <c r="AH352" i="3"/>
  <c r="AI352" i="3"/>
  <c r="AG352" i="3"/>
  <c r="AF352" i="3"/>
  <c r="AD352" i="3"/>
  <c r="AE352" i="3"/>
  <c r="AC352" i="3"/>
  <c r="AA352" i="3"/>
  <c r="AB352" i="3"/>
  <c r="Z352" i="3"/>
  <c r="Y352" i="3"/>
  <c r="X352" i="3"/>
  <c r="W352" i="3"/>
  <c r="V352" i="3"/>
  <c r="U352" i="3"/>
  <c r="T352" i="3"/>
  <c r="P352" i="3"/>
  <c r="S352" i="3"/>
  <c r="R352" i="3"/>
  <c r="Q352" i="3"/>
  <c r="N352" i="3"/>
  <c r="L352" i="3"/>
  <c r="J352" i="3"/>
  <c r="M352" i="3"/>
  <c r="O352" i="3"/>
  <c r="K352" i="3"/>
  <c r="AO352" i="3"/>
  <c r="I352" i="3"/>
  <c r="AP352" i="3"/>
  <c r="L352" i="1"/>
  <c r="P352" i="1" s="1"/>
  <c r="AA352" i="1"/>
  <c r="H352" i="2"/>
  <c r="AR352" i="2"/>
  <c r="AM352" i="2"/>
  <c r="AQ352" i="2"/>
  <c r="AN352" i="2"/>
  <c r="AK352" i="2"/>
  <c r="AI352" i="2"/>
  <c r="AL352" i="2"/>
  <c r="AJ352" i="2"/>
  <c r="AG352" i="2"/>
  <c r="AH352" i="2"/>
  <c r="AF352" i="2"/>
  <c r="AC352" i="2"/>
  <c r="AE352" i="2"/>
  <c r="AD352" i="2"/>
  <c r="AB352" i="2"/>
  <c r="Z352" i="2"/>
  <c r="AA352" i="2"/>
  <c r="Y352" i="2"/>
  <c r="X352" i="2"/>
  <c r="U352" i="2"/>
  <c r="W352" i="2"/>
  <c r="T352" i="2"/>
  <c r="V352" i="2"/>
  <c r="Q352" i="2"/>
  <c r="S352" i="2"/>
  <c r="R352" i="2"/>
  <c r="M352" i="2"/>
  <c r="P352" i="2"/>
  <c r="O352" i="2"/>
  <c r="K352" i="2"/>
  <c r="L352" i="2"/>
  <c r="N352" i="2"/>
  <c r="AP352" i="2"/>
  <c r="J352" i="2"/>
  <c r="I352" i="2"/>
  <c r="AO352" i="2"/>
  <c r="G353" i="3"/>
  <c r="I354" i="1"/>
  <c r="V353" i="1"/>
  <c r="J353" i="1"/>
  <c r="G353" i="2"/>
  <c r="Y353" i="1"/>
  <c r="Z353" i="1" s="1"/>
  <c r="N353" i="1"/>
  <c r="O353" i="1"/>
  <c r="R353" i="1"/>
  <c r="S353" i="1"/>
  <c r="W353" i="1" s="1"/>
  <c r="G354" i="3" l="1"/>
  <c r="I355" i="1"/>
  <c r="V354" i="1"/>
  <c r="J354" i="1"/>
  <c r="G354" i="2"/>
  <c r="Y354" i="1"/>
  <c r="Z354" i="1" s="1"/>
  <c r="N354" i="1"/>
  <c r="S354" i="1"/>
  <c r="W354" i="1" s="1"/>
  <c r="O354" i="1"/>
  <c r="R354" i="1"/>
  <c r="H353" i="3"/>
  <c r="AR353" i="3"/>
  <c r="AQ353" i="3"/>
  <c r="AM353" i="3"/>
  <c r="AL353" i="3"/>
  <c r="AN353" i="3"/>
  <c r="AK353" i="3"/>
  <c r="AJ353" i="3"/>
  <c r="AI353" i="3"/>
  <c r="AH353" i="3"/>
  <c r="AG353" i="3"/>
  <c r="AD353" i="3"/>
  <c r="AF353" i="3"/>
  <c r="AC353" i="3"/>
  <c r="AE353" i="3"/>
  <c r="AA353" i="3"/>
  <c r="AB353" i="3"/>
  <c r="Z353" i="3"/>
  <c r="W353" i="3"/>
  <c r="U353" i="3"/>
  <c r="X353" i="3"/>
  <c r="Y353" i="3"/>
  <c r="T353" i="3"/>
  <c r="V353" i="3"/>
  <c r="S353" i="3"/>
  <c r="R353" i="3"/>
  <c r="Q353" i="3"/>
  <c r="P353" i="3"/>
  <c r="O353" i="3"/>
  <c r="M353" i="3"/>
  <c r="N353" i="3"/>
  <c r="L353" i="3"/>
  <c r="K353" i="3"/>
  <c r="J353" i="3"/>
  <c r="AO353" i="3"/>
  <c r="I353" i="3"/>
  <c r="AP353" i="3"/>
  <c r="H353" i="2"/>
  <c r="AR353" i="2"/>
  <c r="AQ353" i="2"/>
  <c r="AM353" i="2"/>
  <c r="AN353" i="2"/>
  <c r="AK353" i="2"/>
  <c r="AL353" i="2"/>
  <c r="AJ353" i="2"/>
  <c r="AI353" i="2"/>
  <c r="AF353" i="2"/>
  <c r="AH353" i="2"/>
  <c r="AG353" i="2"/>
  <c r="AD353" i="2"/>
  <c r="AC353" i="2"/>
  <c r="AE353" i="2"/>
  <c r="AB353" i="2"/>
  <c r="X353" i="2"/>
  <c r="AA353" i="2"/>
  <c r="Y353" i="2"/>
  <c r="Z353" i="2"/>
  <c r="T353" i="2"/>
  <c r="U353" i="2"/>
  <c r="W353" i="2"/>
  <c r="V353" i="2"/>
  <c r="Q353" i="2"/>
  <c r="S353" i="2"/>
  <c r="R353" i="2"/>
  <c r="P353" i="2"/>
  <c r="O353" i="2"/>
  <c r="K353" i="2"/>
  <c r="M353" i="2"/>
  <c r="L353" i="2"/>
  <c r="N353" i="2"/>
  <c r="I353" i="2"/>
  <c r="AP353" i="2"/>
  <c r="J353" i="2"/>
  <c r="AO353" i="2"/>
  <c r="L353" i="1"/>
  <c r="P353" i="1" s="1"/>
  <c r="AA353" i="1"/>
  <c r="L354" i="1" l="1"/>
  <c r="P354" i="1" s="1"/>
  <c r="AA354" i="1"/>
  <c r="H354" i="2"/>
  <c r="AR354" i="2"/>
  <c r="AQ354" i="2"/>
  <c r="AM354" i="2"/>
  <c r="AN354" i="2"/>
  <c r="AK354" i="2"/>
  <c r="AI354" i="2"/>
  <c r="AL354" i="2"/>
  <c r="AJ354" i="2"/>
  <c r="AH354" i="2"/>
  <c r="AF354" i="2"/>
  <c r="AG354" i="2"/>
  <c r="AE354" i="2"/>
  <c r="AD354" i="2"/>
  <c r="AB354" i="2"/>
  <c r="Z354" i="2"/>
  <c r="AC354" i="2"/>
  <c r="X354" i="2"/>
  <c r="AA354" i="2"/>
  <c r="Y354" i="2"/>
  <c r="W354" i="2"/>
  <c r="V354" i="2"/>
  <c r="U354" i="2"/>
  <c r="T354" i="2"/>
  <c r="Q354" i="2"/>
  <c r="S354" i="2"/>
  <c r="R354" i="2"/>
  <c r="M354" i="2"/>
  <c r="P354" i="2"/>
  <c r="K354" i="2"/>
  <c r="O354" i="2"/>
  <c r="L354" i="2"/>
  <c r="N354" i="2"/>
  <c r="I354" i="2"/>
  <c r="AO354" i="2"/>
  <c r="AP354" i="2"/>
  <c r="J354" i="2"/>
  <c r="I356" i="1"/>
  <c r="G355" i="3"/>
  <c r="V355" i="1"/>
  <c r="J355" i="1"/>
  <c r="G355" i="2"/>
  <c r="Y355" i="1"/>
  <c r="Z355" i="1" s="1"/>
  <c r="S355" i="1"/>
  <c r="W355" i="1" s="1"/>
  <c r="N355" i="1"/>
  <c r="O355" i="1"/>
  <c r="R355" i="1"/>
  <c r="H354" i="3"/>
  <c r="AR354" i="3"/>
  <c r="AN354" i="3"/>
  <c r="AM354" i="3"/>
  <c r="AQ354" i="3"/>
  <c r="AL354" i="3"/>
  <c r="AI354" i="3"/>
  <c r="AK354" i="3"/>
  <c r="AJ354" i="3"/>
  <c r="AE354" i="3"/>
  <c r="AH354" i="3"/>
  <c r="AG354" i="3"/>
  <c r="AF354" i="3"/>
  <c r="AC354" i="3"/>
  <c r="AD354" i="3"/>
  <c r="AA354" i="3"/>
  <c r="AB354" i="3"/>
  <c r="Z354" i="3"/>
  <c r="Y354" i="3"/>
  <c r="X354" i="3"/>
  <c r="U354" i="3"/>
  <c r="W354" i="3"/>
  <c r="R354" i="3"/>
  <c r="T354" i="3"/>
  <c r="V354" i="3"/>
  <c r="Q354" i="3"/>
  <c r="S354" i="3"/>
  <c r="M354" i="3"/>
  <c r="P354" i="3"/>
  <c r="O354" i="3"/>
  <c r="K354" i="3"/>
  <c r="N354" i="3"/>
  <c r="L354" i="3"/>
  <c r="J354" i="3"/>
  <c r="AO354" i="3"/>
  <c r="I354" i="3"/>
  <c r="AP354" i="3"/>
  <c r="H355" i="2" l="1"/>
  <c r="AR355" i="2"/>
  <c r="AQ355" i="2"/>
  <c r="AN355" i="2"/>
  <c r="AM355" i="2"/>
  <c r="AL355" i="2"/>
  <c r="AK355" i="2"/>
  <c r="AJ355" i="2"/>
  <c r="AI355" i="2"/>
  <c r="AH355" i="2"/>
  <c r="AF355" i="2"/>
  <c r="AE355" i="2"/>
  <c r="AG355" i="2"/>
  <c r="AD355" i="2"/>
  <c r="AC355" i="2"/>
  <c r="AB355" i="2"/>
  <c r="Z355" i="2"/>
  <c r="X355" i="2"/>
  <c r="AA355" i="2"/>
  <c r="V355" i="2"/>
  <c r="Y355" i="2"/>
  <c r="W355" i="2"/>
  <c r="U355" i="2"/>
  <c r="S355" i="2"/>
  <c r="T355" i="2"/>
  <c r="R355" i="2"/>
  <c r="P355" i="2"/>
  <c r="Q355" i="2"/>
  <c r="N355" i="2"/>
  <c r="M355" i="2"/>
  <c r="O355" i="2"/>
  <c r="L355" i="2"/>
  <c r="I355" i="2"/>
  <c r="AO355" i="2"/>
  <c r="J355" i="2"/>
  <c r="K355" i="2"/>
  <c r="AP355" i="2"/>
  <c r="L355" i="1"/>
  <c r="P355" i="1" s="1"/>
  <c r="AA355" i="1"/>
  <c r="H355" i="3"/>
  <c r="AR355" i="3"/>
  <c r="AN355" i="3"/>
  <c r="AM355" i="3"/>
  <c r="AQ355" i="3"/>
  <c r="AL355" i="3"/>
  <c r="AI355" i="3"/>
  <c r="AK355" i="3"/>
  <c r="AJ355" i="3"/>
  <c r="AH355" i="3"/>
  <c r="AG355" i="3"/>
  <c r="AD355" i="3"/>
  <c r="AF355" i="3"/>
  <c r="AA355" i="3"/>
  <c r="AC355" i="3"/>
  <c r="AE355" i="3"/>
  <c r="AB355" i="3"/>
  <c r="X355" i="3"/>
  <c r="Z355" i="3"/>
  <c r="Y355" i="3"/>
  <c r="U355" i="3"/>
  <c r="W355" i="3"/>
  <c r="R355" i="3"/>
  <c r="T355" i="3"/>
  <c r="V355" i="3"/>
  <c r="Q355" i="3"/>
  <c r="S355" i="3"/>
  <c r="P355" i="3"/>
  <c r="O355" i="3"/>
  <c r="K355" i="3"/>
  <c r="N355" i="3"/>
  <c r="M355" i="3"/>
  <c r="L355" i="3"/>
  <c r="J355" i="3"/>
  <c r="AO355" i="3"/>
  <c r="I355" i="3"/>
  <c r="AP355" i="3"/>
  <c r="G356" i="3"/>
  <c r="I357" i="1"/>
  <c r="V356" i="1"/>
  <c r="J356" i="1"/>
  <c r="G356" i="2"/>
  <c r="Y356" i="1"/>
  <c r="Z356" i="1" s="1"/>
  <c r="O356" i="1"/>
  <c r="R356" i="1"/>
  <c r="S356" i="1"/>
  <c r="W356" i="1" s="1"/>
  <c r="N356" i="1"/>
  <c r="H356" i="3" l="1"/>
  <c r="AR356" i="3"/>
  <c r="AN356" i="3"/>
  <c r="AM356" i="3"/>
  <c r="AQ356" i="3"/>
  <c r="AI356" i="3"/>
  <c r="AK356" i="3"/>
  <c r="AL356" i="3"/>
  <c r="AJ356" i="3"/>
  <c r="AG356" i="3"/>
  <c r="AH356" i="3"/>
  <c r="AF356" i="3"/>
  <c r="AE356" i="3"/>
  <c r="AD356" i="3"/>
  <c r="AC356" i="3"/>
  <c r="Z356" i="3"/>
  <c r="AA356" i="3"/>
  <c r="AB356" i="3"/>
  <c r="X356" i="3"/>
  <c r="Y356" i="3"/>
  <c r="W356" i="3"/>
  <c r="V356" i="3"/>
  <c r="U356" i="3"/>
  <c r="R356" i="3"/>
  <c r="T356" i="3"/>
  <c r="O356" i="3"/>
  <c r="Q356" i="3"/>
  <c r="S356" i="3"/>
  <c r="M356" i="3"/>
  <c r="P356" i="3"/>
  <c r="K356" i="3"/>
  <c r="N356" i="3"/>
  <c r="L356" i="3"/>
  <c r="I356" i="3"/>
  <c r="J356" i="3"/>
  <c r="AO356" i="3"/>
  <c r="AP356" i="3"/>
  <c r="I358" i="1"/>
  <c r="G357" i="3"/>
  <c r="V357" i="1"/>
  <c r="J357" i="1"/>
  <c r="G357" i="2"/>
  <c r="Y357" i="1"/>
  <c r="Z357" i="1" s="1"/>
  <c r="S357" i="1"/>
  <c r="W357" i="1" s="1"/>
  <c r="N357" i="1"/>
  <c r="O357" i="1"/>
  <c r="R357" i="1"/>
  <c r="H356" i="2"/>
  <c r="AQ356" i="2"/>
  <c r="AR356" i="2"/>
  <c r="AN356" i="2"/>
  <c r="AM356" i="2"/>
  <c r="AJ356" i="2"/>
  <c r="AL356" i="2"/>
  <c r="AK356" i="2"/>
  <c r="AH356" i="2"/>
  <c r="AF356" i="2"/>
  <c r="AI356" i="2"/>
  <c r="AE356" i="2"/>
  <c r="AG356" i="2"/>
  <c r="AD356" i="2"/>
  <c r="AB356" i="2"/>
  <c r="AC356" i="2"/>
  <c r="AA356" i="2"/>
  <c r="Z356" i="2"/>
  <c r="Y356" i="2"/>
  <c r="V356" i="2"/>
  <c r="X356" i="2"/>
  <c r="W356" i="2"/>
  <c r="S356" i="2"/>
  <c r="U356" i="2"/>
  <c r="R356" i="2"/>
  <c r="T356" i="2"/>
  <c r="Q356" i="2"/>
  <c r="N356" i="2"/>
  <c r="P356" i="2"/>
  <c r="L356" i="2"/>
  <c r="M356" i="2"/>
  <c r="O356" i="2"/>
  <c r="K356" i="2"/>
  <c r="I356" i="2"/>
  <c r="AO356" i="2"/>
  <c r="J356" i="2"/>
  <c r="AP356" i="2"/>
  <c r="L356" i="1"/>
  <c r="P356" i="1" s="1"/>
  <c r="AA356" i="1"/>
  <c r="L357" i="1" l="1"/>
  <c r="P357" i="1" s="1"/>
  <c r="AA357" i="1"/>
  <c r="H357" i="3"/>
  <c r="AR357" i="3"/>
  <c r="AN357" i="3"/>
  <c r="AQ357" i="3"/>
  <c r="AJ357" i="3"/>
  <c r="AM357" i="3"/>
  <c r="AK357" i="3"/>
  <c r="AL357" i="3"/>
  <c r="AG357" i="3"/>
  <c r="AI357" i="3"/>
  <c r="AH357" i="3"/>
  <c r="AF357" i="3"/>
  <c r="AE357" i="3"/>
  <c r="AD357" i="3"/>
  <c r="AA357" i="3"/>
  <c r="AC357" i="3"/>
  <c r="AB357" i="3"/>
  <c r="X357" i="3"/>
  <c r="Z357" i="3"/>
  <c r="Y357" i="3"/>
  <c r="V357" i="3"/>
  <c r="W357" i="3"/>
  <c r="U357" i="3"/>
  <c r="S357" i="3"/>
  <c r="T357" i="3"/>
  <c r="R357" i="3"/>
  <c r="Q357" i="3"/>
  <c r="P357" i="3"/>
  <c r="O357" i="3"/>
  <c r="N357" i="3"/>
  <c r="I357" i="3"/>
  <c r="K357" i="3"/>
  <c r="M357" i="3"/>
  <c r="L357" i="3"/>
  <c r="AP357" i="3"/>
  <c r="J357" i="3"/>
  <c r="AO357" i="3"/>
  <c r="G358" i="3"/>
  <c r="I359" i="1"/>
  <c r="J358" i="1"/>
  <c r="V358" i="1"/>
  <c r="Y358" i="1"/>
  <c r="Z358" i="1" s="1"/>
  <c r="G358" i="2"/>
  <c r="N358" i="1"/>
  <c r="O358" i="1"/>
  <c r="R358" i="1"/>
  <c r="S358" i="1"/>
  <c r="W358" i="1" s="1"/>
  <c r="H357" i="2"/>
  <c r="AR357" i="2"/>
  <c r="AN357" i="2"/>
  <c r="AQ357" i="2"/>
  <c r="AM357" i="2"/>
  <c r="AL357" i="2"/>
  <c r="AJ357" i="2"/>
  <c r="AK357" i="2"/>
  <c r="AH357" i="2"/>
  <c r="AI357" i="2"/>
  <c r="AF357" i="2"/>
  <c r="AE357" i="2"/>
  <c r="AG357" i="2"/>
  <c r="AB357" i="2"/>
  <c r="AD357" i="2"/>
  <c r="AA357" i="2"/>
  <c r="AC357" i="2"/>
  <c r="Y357" i="2"/>
  <c r="Z357" i="2"/>
  <c r="V357" i="2"/>
  <c r="X357" i="2"/>
  <c r="W357" i="2"/>
  <c r="S357" i="2"/>
  <c r="U357" i="2"/>
  <c r="R357" i="2"/>
  <c r="T357" i="2"/>
  <c r="P357" i="2"/>
  <c r="Q357" i="2"/>
  <c r="N357" i="2"/>
  <c r="O357" i="2"/>
  <c r="L357" i="2"/>
  <c r="I357" i="2"/>
  <c r="M357" i="2"/>
  <c r="J357" i="2"/>
  <c r="K357" i="2"/>
  <c r="AO357" i="2"/>
  <c r="AP357" i="2"/>
  <c r="H358" i="3" l="1"/>
  <c r="AR358" i="3"/>
  <c r="AQ358" i="3"/>
  <c r="AN358" i="3"/>
  <c r="AM358" i="3"/>
  <c r="AL358" i="3"/>
  <c r="AK358" i="3"/>
  <c r="AI358" i="3"/>
  <c r="AG358" i="3"/>
  <c r="AJ358" i="3"/>
  <c r="AF358" i="3"/>
  <c r="AH358" i="3"/>
  <c r="AE358" i="3"/>
  <c r="AD358" i="3"/>
  <c r="AC358" i="3"/>
  <c r="AB358" i="3"/>
  <c r="AA358" i="3"/>
  <c r="Z358" i="3"/>
  <c r="Y358" i="3"/>
  <c r="V358" i="3"/>
  <c r="X358" i="3"/>
  <c r="S358" i="3"/>
  <c r="U358" i="3"/>
  <c r="T358" i="3"/>
  <c r="W358" i="3"/>
  <c r="R358" i="3"/>
  <c r="N358" i="3"/>
  <c r="Q358" i="3"/>
  <c r="P358" i="3"/>
  <c r="O358" i="3"/>
  <c r="M358" i="3"/>
  <c r="L358" i="3"/>
  <c r="K358" i="3"/>
  <c r="AP358" i="3"/>
  <c r="J358" i="3"/>
  <c r="I358" i="3"/>
  <c r="AO358" i="3"/>
  <c r="H358" i="2"/>
  <c r="AR358" i="2"/>
  <c r="AN358" i="2"/>
  <c r="AQ358" i="2"/>
  <c r="AL358" i="2"/>
  <c r="AM358" i="2"/>
  <c r="AJ358" i="2"/>
  <c r="AK358" i="2"/>
  <c r="AH358" i="2"/>
  <c r="AF358" i="2"/>
  <c r="AI358" i="2"/>
  <c r="AG358" i="2"/>
  <c r="AD358" i="2"/>
  <c r="AE358" i="2"/>
  <c r="AA358" i="2"/>
  <c r="AC358" i="2"/>
  <c r="AB358" i="2"/>
  <c r="Y358" i="2"/>
  <c r="Z358" i="2"/>
  <c r="X358" i="2"/>
  <c r="W358" i="2"/>
  <c r="V358" i="2"/>
  <c r="S358" i="2"/>
  <c r="U358" i="2"/>
  <c r="P358" i="2"/>
  <c r="R358" i="2"/>
  <c r="T358" i="2"/>
  <c r="Q358" i="2"/>
  <c r="N358" i="2"/>
  <c r="O358" i="2"/>
  <c r="J358" i="2"/>
  <c r="L358" i="2"/>
  <c r="M358" i="2"/>
  <c r="K358" i="2"/>
  <c r="I358" i="2"/>
  <c r="AO358" i="2"/>
  <c r="AP358" i="2"/>
  <c r="L358" i="1"/>
  <c r="P358" i="1" s="1"/>
  <c r="AA358" i="1"/>
  <c r="G359" i="3"/>
  <c r="I360" i="1"/>
  <c r="V359" i="1"/>
  <c r="J359" i="1"/>
  <c r="G359" i="2"/>
  <c r="Y359" i="1"/>
  <c r="Z359" i="1" s="1"/>
  <c r="R359" i="1"/>
  <c r="S359" i="1"/>
  <c r="W359" i="1" s="1"/>
  <c r="N359" i="1"/>
  <c r="O359" i="1"/>
  <c r="H359" i="3" l="1"/>
  <c r="AR359" i="3"/>
  <c r="AQ359" i="3"/>
  <c r="AN359" i="3"/>
  <c r="AL359" i="3"/>
  <c r="AM359" i="3"/>
  <c r="AK359" i="3"/>
  <c r="AJ359" i="3"/>
  <c r="AI359" i="3"/>
  <c r="AG359" i="3"/>
  <c r="AF359" i="3"/>
  <c r="AH359" i="3"/>
  <c r="AE359" i="3"/>
  <c r="AB359" i="3"/>
  <c r="AD359" i="3"/>
  <c r="AC359" i="3"/>
  <c r="AA359" i="3"/>
  <c r="Y359" i="3"/>
  <c r="Z359" i="3"/>
  <c r="V359" i="3"/>
  <c r="X359" i="3"/>
  <c r="W359" i="3"/>
  <c r="S359" i="3"/>
  <c r="U359" i="3"/>
  <c r="R359" i="3"/>
  <c r="Q359" i="3"/>
  <c r="T359" i="3"/>
  <c r="P359" i="3"/>
  <c r="O359" i="3"/>
  <c r="N359" i="3"/>
  <c r="L359" i="3"/>
  <c r="I359" i="3"/>
  <c r="K359" i="3"/>
  <c r="M359" i="3"/>
  <c r="J359" i="3"/>
  <c r="AO359" i="3"/>
  <c r="AP359" i="3"/>
  <c r="G360" i="3"/>
  <c r="I361" i="1"/>
  <c r="J360" i="1"/>
  <c r="V360" i="1"/>
  <c r="G360" i="2"/>
  <c r="Y360" i="1"/>
  <c r="Z360" i="1" s="1"/>
  <c r="S360" i="1"/>
  <c r="W360" i="1" s="1"/>
  <c r="R360" i="1"/>
  <c r="O360" i="1"/>
  <c r="N360" i="1"/>
  <c r="H359" i="2"/>
  <c r="AR359" i="2"/>
  <c r="AQ359" i="2"/>
  <c r="AN359" i="2"/>
  <c r="AK359" i="2"/>
  <c r="AL359" i="2"/>
  <c r="AM359" i="2"/>
  <c r="AH359" i="2"/>
  <c r="AJ359" i="2"/>
  <c r="AI359" i="2"/>
  <c r="AG359" i="2"/>
  <c r="AF359" i="2"/>
  <c r="AB359" i="2"/>
  <c r="AD359" i="2"/>
  <c r="AE359" i="2"/>
  <c r="AA359" i="2"/>
  <c r="AC359" i="2"/>
  <c r="Y359" i="2"/>
  <c r="W359" i="2"/>
  <c r="Z359" i="2"/>
  <c r="X359" i="2"/>
  <c r="V359" i="2"/>
  <c r="U359" i="2"/>
  <c r="T359" i="2"/>
  <c r="R359" i="2"/>
  <c r="S359" i="2"/>
  <c r="Q359" i="2"/>
  <c r="P359" i="2"/>
  <c r="O359" i="2"/>
  <c r="N359" i="2"/>
  <c r="L359" i="2"/>
  <c r="M359" i="2"/>
  <c r="K359" i="2"/>
  <c r="I359" i="2"/>
  <c r="AO359" i="2"/>
  <c r="J359" i="2"/>
  <c r="AP359" i="2"/>
  <c r="L359" i="1"/>
  <c r="P359" i="1" s="1"/>
  <c r="AA359" i="1"/>
  <c r="H360" i="3" l="1"/>
  <c r="AR360" i="3"/>
  <c r="AQ360" i="3"/>
  <c r="AN360" i="3"/>
  <c r="AL360" i="3"/>
  <c r="AM360" i="3"/>
  <c r="AK360" i="3"/>
  <c r="AJ360" i="3"/>
  <c r="AI360" i="3"/>
  <c r="AH360" i="3"/>
  <c r="AF360" i="3"/>
  <c r="AG360" i="3"/>
  <c r="AB360" i="3"/>
  <c r="AD360" i="3"/>
  <c r="AE360" i="3"/>
  <c r="AC360" i="3"/>
  <c r="Y360" i="3"/>
  <c r="AA360" i="3"/>
  <c r="Z360" i="3"/>
  <c r="W360" i="3"/>
  <c r="V360" i="3"/>
  <c r="X360" i="3"/>
  <c r="S360" i="3"/>
  <c r="U360" i="3"/>
  <c r="P360" i="3"/>
  <c r="R360" i="3"/>
  <c r="Q360" i="3"/>
  <c r="T360" i="3"/>
  <c r="L360" i="3"/>
  <c r="O360" i="3"/>
  <c r="N360" i="3"/>
  <c r="J360" i="3"/>
  <c r="K360" i="3"/>
  <c r="M360" i="3"/>
  <c r="I360" i="3"/>
  <c r="AO360" i="3"/>
  <c r="AP360" i="3"/>
  <c r="I362" i="1"/>
  <c r="G361" i="3"/>
  <c r="V361" i="1"/>
  <c r="J361" i="1"/>
  <c r="Y361" i="1"/>
  <c r="Z361" i="1" s="1"/>
  <c r="G361" i="2"/>
  <c r="R361" i="1"/>
  <c r="N361" i="1"/>
  <c r="O361" i="1"/>
  <c r="S361" i="1"/>
  <c r="W361" i="1" s="1"/>
  <c r="H360" i="2"/>
  <c r="AR360" i="2"/>
  <c r="AQ360" i="2"/>
  <c r="AL360" i="2"/>
  <c r="AN360" i="2"/>
  <c r="AK360" i="2"/>
  <c r="AM360" i="2"/>
  <c r="AI360" i="2"/>
  <c r="AH360" i="2"/>
  <c r="AJ360" i="2"/>
  <c r="AG360" i="2"/>
  <c r="AF360" i="2"/>
  <c r="AE360" i="2"/>
  <c r="AC360" i="2"/>
  <c r="AD360" i="2"/>
  <c r="AA360" i="2"/>
  <c r="AB360" i="2"/>
  <c r="Z360" i="2"/>
  <c r="W360" i="2"/>
  <c r="Y360" i="2"/>
  <c r="X360" i="2"/>
  <c r="U360" i="2"/>
  <c r="T360" i="2"/>
  <c r="V360" i="2"/>
  <c r="P360" i="2"/>
  <c r="R360" i="2"/>
  <c r="S360" i="2"/>
  <c r="O360" i="2"/>
  <c r="Q360" i="2"/>
  <c r="N360" i="2"/>
  <c r="J360" i="2"/>
  <c r="M360" i="2"/>
  <c r="L360" i="2"/>
  <c r="K360" i="2"/>
  <c r="I360" i="2"/>
  <c r="AO360" i="2"/>
  <c r="AP360" i="2"/>
  <c r="L360" i="1"/>
  <c r="P360" i="1" s="1"/>
  <c r="AA360" i="1"/>
  <c r="H361" i="3" l="1"/>
  <c r="AR361" i="3"/>
  <c r="AQ361" i="3"/>
  <c r="AN361" i="3"/>
  <c r="AL361" i="3"/>
  <c r="AK361" i="3"/>
  <c r="AM361" i="3"/>
  <c r="AH361" i="3"/>
  <c r="AJ361" i="3"/>
  <c r="AI361" i="3"/>
  <c r="AF361" i="3"/>
  <c r="AG361" i="3"/>
  <c r="AB361" i="3"/>
  <c r="AD361" i="3"/>
  <c r="AE361" i="3"/>
  <c r="AC361" i="3"/>
  <c r="W361" i="3"/>
  <c r="Y361" i="3"/>
  <c r="AA361" i="3"/>
  <c r="Z361" i="3"/>
  <c r="X361" i="3"/>
  <c r="V361" i="3"/>
  <c r="U361" i="3"/>
  <c r="T361" i="3"/>
  <c r="S361" i="3"/>
  <c r="R361" i="3"/>
  <c r="O361" i="3"/>
  <c r="Q361" i="3"/>
  <c r="P361" i="3"/>
  <c r="J361" i="3"/>
  <c r="N361" i="3"/>
  <c r="K361" i="3"/>
  <c r="M361" i="3"/>
  <c r="L361" i="3"/>
  <c r="AO361" i="3"/>
  <c r="I361" i="3"/>
  <c r="AP361" i="3"/>
  <c r="G362" i="3"/>
  <c r="I363" i="1"/>
  <c r="J362" i="1"/>
  <c r="V362" i="1"/>
  <c r="G362" i="2"/>
  <c r="Y362" i="1"/>
  <c r="Z362" i="1" s="1"/>
  <c r="S362" i="1"/>
  <c r="W362" i="1" s="1"/>
  <c r="N362" i="1"/>
  <c r="O362" i="1"/>
  <c r="R362" i="1"/>
  <c r="H361" i="2"/>
  <c r="AR361" i="2"/>
  <c r="AQ361" i="2"/>
  <c r="AL361" i="2"/>
  <c r="AK361" i="2"/>
  <c r="AN361" i="2"/>
  <c r="AM361" i="2"/>
  <c r="AI361" i="2"/>
  <c r="AH361" i="2"/>
  <c r="AJ361" i="2"/>
  <c r="AG361" i="2"/>
  <c r="AD361" i="2"/>
  <c r="AF361" i="2"/>
  <c r="AC361" i="2"/>
  <c r="AE361" i="2"/>
  <c r="AB361" i="2"/>
  <c r="AA361" i="2"/>
  <c r="Z361" i="2"/>
  <c r="U361" i="2"/>
  <c r="W361" i="2"/>
  <c r="Y361" i="2"/>
  <c r="X361" i="2"/>
  <c r="T361" i="2"/>
  <c r="V361" i="2"/>
  <c r="R361" i="2"/>
  <c r="S361" i="2"/>
  <c r="Q361" i="2"/>
  <c r="O361" i="2"/>
  <c r="P361" i="2"/>
  <c r="M361" i="2"/>
  <c r="N361" i="2"/>
  <c r="L361" i="2"/>
  <c r="K361" i="2"/>
  <c r="I361" i="2"/>
  <c r="J361" i="2"/>
  <c r="AP361" i="2"/>
  <c r="AO361" i="2"/>
  <c r="L361" i="1"/>
  <c r="P361" i="1" s="1"/>
  <c r="AA361" i="1"/>
  <c r="H362" i="3" l="1"/>
  <c r="AR362" i="3"/>
  <c r="AQ362" i="3"/>
  <c r="AN362" i="3"/>
  <c r="AL362" i="3"/>
  <c r="AM362" i="3"/>
  <c r="AK362" i="3"/>
  <c r="AJ362" i="3"/>
  <c r="AH362" i="3"/>
  <c r="AI362" i="3"/>
  <c r="AF362" i="3"/>
  <c r="AG362" i="3"/>
  <c r="AD362" i="3"/>
  <c r="AE362" i="3"/>
  <c r="AC362" i="3"/>
  <c r="AB362" i="3"/>
  <c r="Y362" i="3"/>
  <c r="AA362" i="3"/>
  <c r="Z362" i="3"/>
  <c r="V362" i="3"/>
  <c r="X362" i="3"/>
  <c r="W362" i="3"/>
  <c r="U362" i="3"/>
  <c r="T362" i="3"/>
  <c r="S362" i="3"/>
  <c r="P362" i="3"/>
  <c r="R362" i="3"/>
  <c r="O362" i="3"/>
  <c r="Q362" i="3"/>
  <c r="M362" i="3"/>
  <c r="L362" i="3"/>
  <c r="J362" i="3"/>
  <c r="N362" i="3"/>
  <c r="K362" i="3"/>
  <c r="I362" i="3"/>
  <c r="AO362" i="3"/>
  <c r="AP362" i="3"/>
  <c r="G363" i="3"/>
  <c r="I364" i="1"/>
  <c r="J363" i="1"/>
  <c r="V363" i="1"/>
  <c r="G363" i="2"/>
  <c r="Y363" i="1"/>
  <c r="Z363" i="1" s="1"/>
  <c r="N363" i="1"/>
  <c r="O363" i="1"/>
  <c r="R363" i="1"/>
  <c r="S363" i="1"/>
  <c r="W363" i="1" s="1"/>
  <c r="H362" i="2"/>
  <c r="AR362" i="2"/>
  <c r="AQ362" i="2"/>
  <c r="AM362" i="2"/>
  <c r="AL362" i="2"/>
  <c r="AN362" i="2"/>
  <c r="AI362" i="2"/>
  <c r="AK362" i="2"/>
  <c r="AJ362" i="2"/>
  <c r="AH362" i="2"/>
  <c r="AG362" i="2"/>
  <c r="AF362" i="2"/>
  <c r="AC362" i="2"/>
  <c r="AE362" i="2"/>
  <c r="AD362" i="2"/>
  <c r="AB362" i="2"/>
  <c r="Z362" i="2"/>
  <c r="Y362" i="2"/>
  <c r="AA362" i="2"/>
  <c r="X362" i="2"/>
  <c r="U362" i="2"/>
  <c r="W362" i="2"/>
  <c r="T362" i="2"/>
  <c r="V362" i="2"/>
  <c r="Q362" i="2"/>
  <c r="R362" i="2"/>
  <c r="S362" i="2"/>
  <c r="M362" i="2"/>
  <c r="O362" i="2"/>
  <c r="P362" i="2"/>
  <c r="K362" i="2"/>
  <c r="N362" i="2"/>
  <c r="L362" i="2"/>
  <c r="J362" i="2"/>
  <c r="AP362" i="2"/>
  <c r="I362" i="2"/>
  <c r="AO362" i="2"/>
  <c r="L362" i="1"/>
  <c r="P362" i="1" s="1"/>
  <c r="AA362" i="1"/>
  <c r="G364" i="3" l="1"/>
  <c r="I365" i="1"/>
  <c r="V364" i="1"/>
  <c r="J364" i="1"/>
  <c r="G364" i="2"/>
  <c r="Y364" i="1"/>
  <c r="Z364" i="1" s="1"/>
  <c r="R364" i="1"/>
  <c r="S364" i="1"/>
  <c r="W364" i="1" s="1"/>
  <c r="N364" i="1"/>
  <c r="O364" i="1"/>
  <c r="H363" i="3"/>
  <c r="AR363" i="3"/>
  <c r="AQ363" i="3"/>
  <c r="AN363" i="3"/>
  <c r="AM363" i="3"/>
  <c r="AL363" i="3"/>
  <c r="AK363" i="3"/>
  <c r="AJ363" i="3"/>
  <c r="AI363" i="3"/>
  <c r="AH363" i="3"/>
  <c r="AG363" i="3"/>
  <c r="AD363" i="3"/>
  <c r="AF363" i="3"/>
  <c r="AE363" i="3"/>
  <c r="AC363" i="3"/>
  <c r="AB363" i="3"/>
  <c r="Z363" i="3"/>
  <c r="W363" i="3"/>
  <c r="AA363" i="3"/>
  <c r="U363" i="3"/>
  <c r="Y363" i="3"/>
  <c r="X363" i="3"/>
  <c r="T363" i="3"/>
  <c r="V363" i="3"/>
  <c r="S363" i="3"/>
  <c r="R363" i="3"/>
  <c r="Q363" i="3"/>
  <c r="P363" i="3"/>
  <c r="M363" i="3"/>
  <c r="O363" i="3"/>
  <c r="L363" i="3"/>
  <c r="N363" i="3"/>
  <c r="K363" i="3"/>
  <c r="I363" i="3"/>
  <c r="AO363" i="3"/>
  <c r="AP363" i="3"/>
  <c r="J363" i="3"/>
  <c r="H363" i="2"/>
  <c r="AR363" i="2"/>
  <c r="AQ363" i="2"/>
  <c r="AM363" i="2"/>
  <c r="AN363" i="2"/>
  <c r="AL363" i="2"/>
  <c r="AK363" i="2"/>
  <c r="AJ363" i="2"/>
  <c r="AI363" i="2"/>
  <c r="AH363" i="2"/>
  <c r="AF363" i="2"/>
  <c r="AG363" i="2"/>
  <c r="AC363" i="2"/>
  <c r="AE363" i="2"/>
  <c r="AD363" i="2"/>
  <c r="AB363" i="2"/>
  <c r="X363" i="2"/>
  <c r="Y363" i="2"/>
  <c r="AA363" i="2"/>
  <c r="Z363" i="2"/>
  <c r="W363" i="2"/>
  <c r="T363" i="2"/>
  <c r="V363" i="2"/>
  <c r="U363" i="2"/>
  <c r="Q363" i="2"/>
  <c r="R363" i="2"/>
  <c r="S363" i="2"/>
  <c r="O363" i="2"/>
  <c r="P363" i="2"/>
  <c r="M363" i="2"/>
  <c r="K363" i="2"/>
  <c r="N363" i="2"/>
  <c r="L363" i="2"/>
  <c r="J363" i="2"/>
  <c r="AP363" i="2"/>
  <c r="I363" i="2"/>
  <c r="AO363" i="2"/>
  <c r="L363" i="1"/>
  <c r="P363" i="1" s="1"/>
  <c r="AA363" i="1"/>
  <c r="L364" i="1" l="1"/>
  <c r="P364" i="1" s="1"/>
  <c r="AA364" i="1"/>
  <c r="G365" i="3"/>
  <c r="I366" i="1"/>
  <c r="V365" i="1"/>
  <c r="J365" i="1"/>
  <c r="G365" i="2"/>
  <c r="Y365" i="1"/>
  <c r="Z365" i="1" s="1"/>
  <c r="S365" i="1"/>
  <c r="N365" i="1"/>
  <c r="R365" i="1"/>
  <c r="O365" i="1"/>
  <c r="H364" i="2"/>
  <c r="AR364" i="2"/>
  <c r="AM364" i="2"/>
  <c r="AQ364" i="2"/>
  <c r="AN364" i="2"/>
  <c r="AI364" i="2"/>
  <c r="AL364" i="2"/>
  <c r="AK364" i="2"/>
  <c r="AJ364" i="2"/>
  <c r="AH364" i="2"/>
  <c r="AF364" i="2"/>
  <c r="AG364" i="2"/>
  <c r="AE364" i="2"/>
  <c r="AD364" i="2"/>
  <c r="Z364" i="2"/>
  <c r="AC364" i="2"/>
  <c r="AB364" i="2"/>
  <c r="X364" i="2"/>
  <c r="AA364" i="2"/>
  <c r="W364" i="2"/>
  <c r="Y364" i="2"/>
  <c r="V364" i="2"/>
  <c r="U364" i="2"/>
  <c r="S364" i="2"/>
  <c r="Q364" i="2"/>
  <c r="T364" i="2"/>
  <c r="R364" i="2"/>
  <c r="P364" i="2"/>
  <c r="M364" i="2"/>
  <c r="K364" i="2"/>
  <c r="N364" i="2"/>
  <c r="O364" i="2"/>
  <c r="L364" i="2"/>
  <c r="I364" i="2"/>
  <c r="AO364" i="2"/>
  <c r="J364" i="2"/>
  <c r="AP364" i="2"/>
  <c r="H364" i="3"/>
  <c r="AQ364" i="3"/>
  <c r="AR364" i="3"/>
  <c r="AN364" i="3"/>
  <c r="AM364" i="3"/>
  <c r="AL364" i="3"/>
  <c r="AI364" i="3"/>
  <c r="AJ364" i="3"/>
  <c r="AK364" i="3"/>
  <c r="AH364" i="3"/>
  <c r="AG364" i="3"/>
  <c r="AE364" i="3"/>
  <c r="AF364" i="3"/>
  <c r="AC364" i="3"/>
  <c r="AD364" i="3"/>
  <c r="AA364" i="3"/>
  <c r="AB364" i="3"/>
  <c r="Z364" i="3"/>
  <c r="Y364" i="3"/>
  <c r="X364" i="3"/>
  <c r="U364" i="3"/>
  <c r="W364" i="3"/>
  <c r="R364" i="3"/>
  <c r="T364" i="3"/>
  <c r="V364" i="3"/>
  <c r="Q364" i="3"/>
  <c r="S364" i="3"/>
  <c r="M364" i="3"/>
  <c r="O364" i="3"/>
  <c r="P364" i="3"/>
  <c r="K364" i="3"/>
  <c r="L364" i="3"/>
  <c r="N364" i="3"/>
  <c r="I364" i="3"/>
  <c r="AO364" i="3"/>
  <c r="AP364" i="3"/>
  <c r="J364" i="3"/>
  <c r="W365" i="1" l="1"/>
  <c r="H365" i="2"/>
  <c r="AR365" i="2"/>
  <c r="AQ365" i="2"/>
  <c r="AN365" i="2"/>
  <c r="AM365" i="2"/>
  <c r="AK365" i="2"/>
  <c r="AL365" i="2"/>
  <c r="AJ365" i="2"/>
  <c r="AI365" i="2"/>
  <c r="AH365" i="2"/>
  <c r="AF365" i="2"/>
  <c r="AG365" i="2"/>
  <c r="AE365" i="2"/>
  <c r="AD365" i="2"/>
  <c r="AC365" i="2"/>
  <c r="AB365" i="2"/>
  <c r="X365" i="2"/>
  <c r="Z365" i="2"/>
  <c r="AA365" i="2"/>
  <c r="V365" i="2"/>
  <c r="Y365" i="2"/>
  <c r="W365" i="2"/>
  <c r="U365" i="2"/>
  <c r="S365" i="2"/>
  <c r="T365" i="2"/>
  <c r="R365" i="2"/>
  <c r="P365" i="2"/>
  <c r="Q365" i="2"/>
  <c r="N365" i="2"/>
  <c r="M365" i="2"/>
  <c r="O365" i="2"/>
  <c r="L365" i="2"/>
  <c r="AO365" i="2"/>
  <c r="J365" i="2"/>
  <c r="K365" i="2"/>
  <c r="I365" i="2"/>
  <c r="AP365" i="2"/>
  <c r="L365" i="1"/>
  <c r="P365" i="1" s="1"/>
  <c r="AA365" i="1"/>
  <c r="G366" i="3"/>
  <c r="I367" i="1"/>
  <c r="V366" i="1"/>
  <c r="J366" i="1"/>
  <c r="G366" i="2"/>
  <c r="Y366" i="1"/>
  <c r="Z366" i="1" s="1"/>
  <c r="O366" i="1"/>
  <c r="R366" i="1"/>
  <c r="S366" i="1"/>
  <c r="N366" i="1"/>
  <c r="H365" i="3"/>
  <c r="AR365" i="3"/>
  <c r="AN365" i="3"/>
  <c r="AQ365" i="3"/>
  <c r="AM365" i="3"/>
  <c r="AL365" i="3"/>
  <c r="AI365" i="3"/>
  <c r="AJ365" i="3"/>
  <c r="AK365" i="3"/>
  <c r="AH365" i="3"/>
  <c r="AG365" i="3"/>
  <c r="AD365" i="3"/>
  <c r="AF365" i="3"/>
  <c r="AA365" i="3"/>
  <c r="AE365" i="3"/>
  <c r="AC365" i="3"/>
  <c r="AB365" i="3"/>
  <c r="X365" i="3"/>
  <c r="Z365" i="3"/>
  <c r="Y365" i="3"/>
  <c r="W365" i="3"/>
  <c r="U365" i="3"/>
  <c r="R365" i="3"/>
  <c r="T365" i="3"/>
  <c r="V365" i="3"/>
  <c r="Q365" i="3"/>
  <c r="S365" i="3"/>
  <c r="P365" i="3"/>
  <c r="O365" i="3"/>
  <c r="M365" i="3"/>
  <c r="K365" i="3"/>
  <c r="L365" i="3"/>
  <c r="N365" i="3"/>
  <c r="I365" i="3"/>
  <c r="AO365" i="3"/>
  <c r="AP365" i="3"/>
  <c r="J365" i="3"/>
  <c r="H366" i="2" l="1"/>
  <c r="AQ366" i="2"/>
  <c r="AR366" i="2"/>
  <c r="AN366" i="2"/>
  <c r="AM366" i="2"/>
  <c r="AJ366" i="2"/>
  <c r="AK366" i="2"/>
  <c r="AL366" i="2"/>
  <c r="AI366" i="2"/>
  <c r="AF366" i="2"/>
  <c r="AH366" i="2"/>
  <c r="AG366" i="2"/>
  <c r="AE366" i="2"/>
  <c r="AD366" i="2"/>
  <c r="AB366" i="2"/>
  <c r="AC366" i="2"/>
  <c r="AA366" i="2"/>
  <c r="Z366" i="2"/>
  <c r="Y366" i="2"/>
  <c r="X366" i="2"/>
  <c r="V366" i="2"/>
  <c r="W366" i="2"/>
  <c r="S366" i="2"/>
  <c r="U366" i="2"/>
  <c r="R366" i="2"/>
  <c r="T366" i="2"/>
  <c r="N366" i="2"/>
  <c r="P366" i="2"/>
  <c r="Q366" i="2"/>
  <c r="O366" i="2"/>
  <c r="L366" i="2"/>
  <c r="M366" i="2"/>
  <c r="I366" i="2"/>
  <c r="AO366" i="2"/>
  <c r="J366" i="2"/>
  <c r="K366" i="2"/>
  <c r="AP366" i="2"/>
  <c r="G367" i="3"/>
  <c r="I368" i="1"/>
  <c r="J367" i="1"/>
  <c r="V367" i="1"/>
  <c r="G367" i="2"/>
  <c r="Y367" i="1"/>
  <c r="Z367" i="1" s="1"/>
  <c r="S367" i="1"/>
  <c r="W367" i="1" s="1"/>
  <c r="N367" i="1"/>
  <c r="O367" i="1"/>
  <c r="R367" i="1"/>
  <c r="H366" i="3"/>
  <c r="AN366" i="3"/>
  <c r="AR366" i="3"/>
  <c r="AM366" i="3"/>
  <c r="AQ366" i="3"/>
  <c r="AL366" i="3"/>
  <c r="AK366" i="3"/>
  <c r="AI366" i="3"/>
  <c r="AJ366" i="3"/>
  <c r="AG366" i="3"/>
  <c r="AH366" i="3"/>
  <c r="AF366" i="3"/>
  <c r="AE366" i="3"/>
  <c r="AC366" i="3"/>
  <c r="AD366" i="3"/>
  <c r="AB366" i="3"/>
  <c r="Z366" i="3"/>
  <c r="AA366" i="3"/>
  <c r="X366" i="3"/>
  <c r="Y366" i="3"/>
  <c r="W366" i="3"/>
  <c r="V366" i="3"/>
  <c r="R366" i="3"/>
  <c r="T366" i="3"/>
  <c r="U366" i="3"/>
  <c r="O366" i="3"/>
  <c r="Q366" i="3"/>
  <c r="S366" i="3"/>
  <c r="P366" i="3"/>
  <c r="M366" i="3"/>
  <c r="N366" i="3"/>
  <c r="K366" i="3"/>
  <c r="L366" i="3"/>
  <c r="I366" i="3"/>
  <c r="J366" i="3"/>
  <c r="AO366" i="3"/>
  <c r="AP366" i="3"/>
  <c r="L366" i="1"/>
  <c r="P366" i="1" s="1"/>
  <c r="AA366" i="1"/>
  <c r="W366" i="1"/>
  <c r="H367" i="3" l="1"/>
  <c r="AN367" i="3"/>
  <c r="AR367" i="3"/>
  <c r="AQ367" i="3"/>
  <c r="AM367" i="3"/>
  <c r="AJ367" i="3"/>
  <c r="AL367" i="3"/>
  <c r="AK367" i="3"/>
  <c r="AG367" i="3"/>
  <c r="AI367" i="3"/>
  <c r="AH367" i="3"/>
  <c r="AF367" i="3"/>
  <c r="AE367" i="3"/>
  <c r="AA367" i="3"/>
  <c r="AC367" i="3"/>
  <c r="AD367" i="3"/>
  <c r="AB367" i="3"/>
  <c r="Z367" i="3"/>
  <c r="X367" i="3"/>
  <c r="Y367" i="3"/>
  <c r="V367" i="3"/>
  <c r="W367" i="3"/>
  <c r="U367" i="3"/>
  <c r="S367" i="3"/>
  <c r="R367" i="3"/>
  <c r="T367" i="3"/>
  <c r="P367" i="3"/>
  <c r="Q367" i="3"/>
  <c r="O367" i="3"/>
  <c r="N367" i="3"/>
  <c r="I367" i="3"/>
  <c r="M367" i="3"/>
  <c r="K367" i="3"/>
  <c r="L367" i="3"/>
  <c r="AP367" i="3"/>
  <c r="J367" i="3"/>
  <c r="AO367" i="3"/>
  <c r="H367" i="2"/>
  <c r="AR367" i="2"/>
  <c r="AN367" i="2"/>
  <c r="AQ367" i="2"/>
  <c r="AM367" i="2"/>
  <c r="AJ367" i="2"/>
  <c r="AK367" i="2"/>
  <c r="AL367" i="2"/>
  <c r="AI367" i="2"/>
  <c r="AG367" i="2"/>
  <c r="AE367" i="2"/>
  <c r="AH367" i="2"/>
  <c r="AF367" i="2"/>
  <c r="AB367" i="2"/>
  <c r="AD367" i="2"/>
  <c r="AA367" i="2"/>
  <c r="AC367" i="2"/>
  <c r="Z367" i="2"/>
  <c r="Y367" i="2"/>
  <c r="X367" i="2"/>
  <c r="V367" i="2"/>
  <c r="W367" i="2"/>
  <c r="S367" i="2"/>
  <c r="U367" i="2"/>
  <c r="R367" i="2"/>
  <c r="T367" i="2"/>
  <c r="P367" i="2"/>
  <c r="N367" i="2"/>
  <c r="Q367" i="2"/>
  <c r="O367" i="2"/>
  <c r="L367" i="2"/>
  <c r="I367" i="2"/>
  <c r="M367" i="2"/>
  <c r="J367" i="2"/>
  <c r="K367" i="2"/>
  <c r="AP367" i="2"/>
  <c r="AO367" i="2"/>
  <c r="L367" i="1"/>
  <c r="P367" i="1" s="1"/>
  <c r="AA367" i="1"/>
  <c r="G368" i="3"/>
  <c r="I369" i="1"/>
  <c r="J368" i="1"/>
  <c r="V368" i="1"/>
  <c r="Y368" i="1"/>
  <c r="Z368" i="1" s="1"/>
  <c r="G368" i="2"/>
  <c r="N368" i="1"/>
  <c r="R368" i="1"/>
  <c r="O368" i="1"/>
  <c r="S368" i="1"/>
  <c r="I370" i="1" l="1"/>
  <c r="G369" i="3"/>
  <c r="V369" i="1"/>
  <c r="J369" i="1"/>
  <c r="G369" i="2"/>
  <c r="Y369" i="1"/>
  <c r="Z369" i="1" s="1"/>
  <c r="N369" i="1"/>
  <c r="S369" i="1"/>
  <c r="W369" i="1" s="1"/>
  <c r="O369" i="1"/>
  <c r="R369" i="1"/>
  <c r="H368" i="3"/>
  <c r="AQ368" i="3"/>
  <c r="AR368" i="3"/>
  <c r="AN368" i="3"/>
  <c r="AM368" i="3"/>
  <c r="AL368" i="3"/>
  <c r="AK368" i="3"/>
  <c r="AG368" i="3"/>
  <c r="AJ368" i="3"/>
  <c r="AI368" i="3"/>
  <c r="AF368" i="3"/>
  <c r="AH368" i="3"/>
  <c r="AE368" i="3"/>
  <c r="AC368" i="3"/>
  <c r="AD368" i="3"/>
  <c r="AB368" i="3"/>
  <c r="AA368" i="3"/>
  <c r="Z368" i="3"/>
  <c r="Y368" i="3"/>
  <c r="V368" i="3"/>
  <c r="W368" i="3"/>
  <c r="X368" i="3"/>
  <c r="U368" i="3"/>
  <c r="S368" i="3"/>
  <c r="T368" i="3"/>
  <c r="R368" i="3"/>
  <c r="N368" i="3"/>
  <c r="P368" i="3"/>
  <c r="Q368" i="3"/>
  <c r="O368" i="3"/>
  <c r="M368" i="3"/>
  <c r="L368" i="3"/>
  <c r="AP368" i="3"/>
  <c r="J368" i="3"/>
  <c r="K368" i="3"/>
  <c r="I368" i="3"/>
  <c r="AO368" i="3"/>
  <c r="W368" i="1"/>
  <c r="L368" i="1"/>
  <c r="P368" i="1" s="1"/>
  <c r="AA368" i="1"/>
  <c r="H368" i="2"/>
  <c r="AR368" i="2"/>
  <c r="AN368" i="2"/>
  <c r="AQ368" i="2"/>
  <c r="AM368" i="2"/>
  <c r="AJ368" i="2"/>
  <c r="AK368" i="2"/>
  <c r="AL368" i="2"/>
  <c r="AH368" i="2"/>
  <c r="AI368" i="2"/>
  <c r="AF368" i="2"/>
  <c r="AG368" i="2"/>
  <c r="AE368" i="2"/>
  <c r="AD368" i="2"/>
  <c r="AB368" i="2"/>
  <c r="AA368" i="2"/>
  <c r="AC368" i="2"/>
  <c r="Z368" i="2"/>
  <c r="Y368" i="2"/>
  <c r="X368" i="2"/>
  <c r="W368" i="2"/>
  <c r="U368" i="2"/>
  <c r="S368" i="2"/>
  <c r="V368" i="2"/>
  <c r="T368" i="2"/>
  <c r="P368" i="2"/>
  <c r="R368" i="2"/>
  <c r="N368" i="2"/>
  <c r="Q368" i="2"/>
  <c r="O368" i="2"/>
  <c r="J368" i="2"/>
  <c r="L368" i="2"/>
  <c r="M368" i="2"/>
  <c r="I368" i="2"/>
  <c r="K368" i="2"/>
  <c r="AO368" i="2"/>
  <c r="AP368" i="2"/>
  <c r="L369" i="1" l="1"/>
  <c r="P369" i="1" s="1"/>
  <c r="AA369" i="1"/>
  <c r="H369" i="3"/>
  <c r="AQ369" i="3"/>
  <c r="AR369" i="3"/>
  <c r="AN369" i="3"/>
  <c r="AM369" i="3"/>
  <c r="AL369" i="3"/>
  <c r="AK369" i="3"/>
  <c r="AG369" i="3"/>
  <c r="AJ369" i="3"/>
  <c r="AI369" i="3"/>
  <c r="AF369" i="3"/>
  <c r="AH369" i="3"/>
  <c r="AE369" i="3"/>
  <c r="AD369" i="3"/>
  <c r="AB369" i="3"/>
  <c r="AC369" i="3"/>
  <c r="AA369" i="3"/>
  <c r="Y369" i="3"/>
  <c r="Z369" i="3"/>
  <c r="V369" i="3"/>
  <c r="W369" i="3"/>
  <c r="X369" i="3"/>
  <c r="U369" i="3"/>
  <c r="S369" i="3"/>
  <c r="T369" i="3"/>
  <c r="Q369" i="3"/>
  <c r="R369" i="3"/>
  <c r="P369" i="3"/>
  <c r="N369" i="3"/>
  <c r="O369" i="3"/>
  <c r="L369" i="3"/>
  <c r="I369" i="3"/>
  <c r="M369" i="3"/>
  <c r="K369" i="3"/>
  <c r="J369" i="3"/>
  <c r="AP369" i="3"/>
  <c r="AO369" i="3"/>
  <c r="G370" i="3"/>
  <c r="I371" i="1"/>
  <c r="V370" i="1"/>
  <c r="J370" i="1"/>
  <c r="G370" i="2"/>
  <c r="Y370" i="1"/>
  <c r="Z370" i="1" s="1"/>
  <c r="S370" i="1"/>
  <c r="W370" i="1" s="1"/>
  <c r="N370" i="1"/>
  <c r="O370" i="1"/>
  <c r="R370" i="1"/>
  <c r="H369" i="2"/>
  <c r="AQ369" i="2"/>
  <c r="AR369" i="2"/>
  <c r="AN369" i="2"/>
  <c r="AK369" i="2"/>
  <c r="AM369" i="2"/>
  <c r="AL369" i="2"/>
  <c r="AH369" i="2"/>
  <c r="AJ369" i="2"/>
  <c r="AI369" i="2"/>
  <c r="AG369" i="2"/>
  <c r="AF369" i="2"/>
  <c r="AB369" i="2"/>
  <c r="AE369" i="2"/>
  <c r="AD369" i="2"/>
  <c r="AC369" i="2"/>
  <c r="AA369" i="2"/>
  <c r="Z369" i="2"/>
  <c r="Y369" i="2"/>
  <c r="W369" i="2"/>
  <c r="X369" i="2"/>
  <c r="U369" i="2"/>
  <c r="V369" i="2"/>
  <c r="T369" i="2"/>
  <c r="S369" i="2"/>
  <c r="R369" i="2"/>
  <c r="P369" i="2"/>
  <c r="Q369" i="2"/>
  <c r="O369" i="2"/>
  <c r="L369" i="2"/>
  <c r="M369" i="2"/>
  <c r="N369" i="2"/>
  <c r="I369" i="2"/>
  <c r="J369" i="2"/>
  <c r="AO369" i="2"/>
  <c r="K369" i="2"/>
  <c r="AP369" i="2"/>
  <c r="L370" i="1" l="1"/>
  <c r="P370" i="1" s="1"/>
  <c r="AA370" i="1"/>
  <c r="I372" i="1"/>
  <c r="G371" i="3"/>
  <c r="J371" i="1"/>
  <c r="V371" i="1"/>
  <c r="Y371" i="1"/>
  <c r="Z371" i="1" s="1"/>
  <c r="G371" i="2"/>
  <c r="O371" i="1"/>
  <c r="R371" i="1"/>
  <c r="N371" i="1"/>
  <c r="S371" i="1"/>
  <c r="H370" i="2"/>
  <c r="AR370" i="2"/>
  <c r="AQ370" i="2"/>
  <c r="AL370" i="2"/>
  <c r="AN370" i="2"/>
  <c r="AK370" i="2"/>
  <c r="AM370" i="2"/>
  <c r="AH370" i="2"/>
  <c r="AG370" i="2"/>
  <c r="AJ370" i="2"/>
  <c r="AI370" i="2"/>
  <c r="AF370" i="2"/>
  <c r="AE370" i="2"/>
  <c r="AD370" i="2"/>
  <c r="AC370" i="2"/>
  <c r="AB370" i="2"/>
  <c r="AA370" i="2"/>
  <c r="Z370" i="2"/>
  <c r="W370" i="2"/>
  <c r="X370" i="2"/>
  <c r="Y370" i="2"/>
  <c r="U370" i="2"/>
  <c r="T370" i="2"/>
  <c r="V370" i="2"/>
  <c r="S370" i="2"/>
  <c r="P370" i="2"/>
  <c r="R370" i="2"/>
  <c r="Q370" i="2"/>
  <c r="O370" i="2"/>
  <c r="J370" i="2"/>
  <c r="M370" i="2"/>
  <c r="N370" i="2"/>
  <c r="K370" i="2"/>
  <c r="L370" i="2"/>
  <c r="I370" i="2"/>
  <c r="AO370" i="2"/>
  <c r="AP370" i="2"/>
  <c r="H370" i="3"/>
  <c r="AQ370" i="3"/>
  <c r="AR370" i="3"/>
  <c r="AN370" i="3"/>
  <c r="AM370" i="3"/>
  <c r="AL370" i="3"/>
  <c r="AK370" i="3"/>
  <c r="AJ370" i="3"/>
  <c r="AI370" i="3"/>
  <c r="AH370" i="3"/>
  <c r="AG370" i="3"/>
  <c r="AF370" i="3"/>
  <c r="AE370" i="3"/>
  <c r="AD370" i="3"/>
  <c r="AB370" i="3"/>
  <c r="AC370" i="3"/>
  <c r="AA370" i="3"/>
  <c r="Y370" i="3"/>
  <c r="Z370" i="3"/>
  <c r="W370" i="3"/>
  <c r="X370" i="3"/>
  <c r="V370" i="3"/>
  <c r="U370" i="3"/>
  <c r="S370" i="3"/>
  <c r="P370" i="3"/>
  <c r="T370" i="3"/>
  <c r="Q370" i="3"/>
  <c r="R370" i="3"/>
  <c r="O370" i="3"/>
  <c r="L370" i="3"/>
  <c r="N370" i="3"/>
  <c r="J370" i="3"/>
  <c r="M370" i="3"/>
  <c r="K370" i="3"/>
  <c r="AO370" i="3"/>
  <c r="AP370" i="3"/>
  <c r="I370" i="3"/>
  <c r="H371" i="3" l="1"/>
  <c r="AQ371" i="3"/>
  <c r="AR371" i="3"/>
  <c r="AN371" i="3"/>
  <c r="AL371" i="3"/>
  <c r="AK371" i="3"/>
  <c r="AM371" i="3"/>
  <c r="AH371" i="3"/>
  <c r="AJ371" i="3"/>
  <c r="AI371" i="3"/>
  <c r="AG371" i="3"/>
  <c r="AF371" i="3"/>
  <c r="AD371" i="3"/>
  <c r="AB371" i="3"/>
  <c r="AE371" i="3"/>
  <c r="AC371" i="3"/>
  <c r="AA371" i="3"/>
  <c r="W371" i="3"/>
  <c r="Y371" i="3"/>
  <c r="Z371" i="3"/>
  <c r="X371" i="3"/>
  <c r="V371" i="3"/>
  <c r="U371" i="3"/>
  <c r="T371" i="3"/>
  <c r="R371" i="3"/>
  <c r="S371" i="3"/>
  <c r="O371" i="3"/>
  <c r="P371" i="3"/>
  <c r="Q371" i="3"/>
  <c r="N371" i="3"/>
  <c r="J371" i="3"/>
  <c r="M371" i="3"/>
  <c r="L371" i="3"/>
  <c r="K371" i="3"/>
  <c r="AO371" i="3"/>
  <c r="AP371" i="3"/>
  <c r="I371" i="3"/>
  <c r="H371" i="2"/>
  <c r="AR371" i="2"/>
  <c r="AQ371" i="2"/>
  <c r="AL371" i="2"/>
  <c r="AN371" i="2"/>
  <c r="AK371" i="2"/>
  <c r="AM371" i="2"/>
  <c r="AI371" i="2"/>
  <c r="AH371" i="2"/>
  <c r="AJ371" i="2"/>
  <c r="AG371" i="2"/>
  <c r="AD371" i="2"/>
  <c r="AF371" i="2"/>
  <c r="AC371" i="2"/>
  <c r="AE371" i="2"/>
  <c r="AB371" i="2"/>
  <c r="AA371" i="2"/>
  <c r="U371" i="2"/>
  <c r="W371" i="2"/>
  <c r="X371" i="2"/>
  <c r="Z371" i="2"/>
  <c r="Y371" i="2"/>
  <c r="T371" i="2"/>
  <c r="V371" i="2"/>
  <c r="S371" i="2"/>
  <c r="R371" i="2"/>
  <c r="Q371" i="2"/>
  <c r="O371" i="2"/>
  <c r="P371" i="2"/>
  <c r="M371" i="2"/>
  <c r="L371" i="2"/>
  <c r="N371" i="2"/>
  <c r="K371" i="2"/>
  <c r="I371" i="2"/>
  <c r="J371" i="2"/>
  <c r="AP371" i="2"/>
  <c r="AO371" i="2"/>
  <c r="L371" i="1"/>
  <c r="P371" i="1" s="1"/>
  <c r="AA371" i="1"/>
  <c r="G372" i="3"/>
  <c r="I373" i="1"/>
  <c r="V372" i="1"/>
  <c r="J372" i="1"/>
  <c r="G372" i="2"/>
  <c r="Y372" i="1"/>
  <c r="Z372" i="1" s="1"/>
  <c r="S372" i="1"/>
  <c r="W372" i="1" s="1"/>
  <c r="N372" i="1"/>
  <c r="O372" i="1"/>
  <c r="R372" i="1"/>
  <c r="W371" i="1"/>
  <c r="L372" i="1" l="1"/>
  <c r="P372" i="1" s="1"/>
  <c r="AA372" i="1"/>
  <c r="H372" i="3"/>
  <c r="AR372" i="3"/>
  <c r="AQ372" i="3"/>
  <c r="AL372" i="3"/>
  <c r="AN372" i="3"/>
  <c r="AK372" i="3"/>
  <c r="AM372" i="3"/>
  <c r="AI372" i="3"/>
  <c r="AH372" i="3"/>
  <c r="AJ372" i="3"/>
  <c r="AG372" i="3"/>
  <c r="AF372" i="3"/>
  <c r="AD372" i="3"/>
  <c r="AE372" i="3"/>
  <c r="AC372" i="3"/>
  <c r="AB372" i="3"/>
  <c r="AA372" i="3"/>
  <c r="Y372" i="3"/>
  <c r="Z372" i="3"/>
  <c r="X372" i="3"/>
  <c r="W372" i="3"/>
  <c r="V372" i="3"/>
  <c r="U372" i="3"/>
  <c r="T372" i="3"/>
  <c r="R372" i="3"/>
  <c r="P372" i="3"/>
  <c r="S372" i="3"/>
  <c r="O372" i="3"/>
  <c r="Q372" i="3"/>
  <c r="N372" i="3"/>
  <c r="J372" i="3"/>
  <c r="M372" i="3"/>
  <c r="L372" i="3"/>
  <c r="AO372" i="3"/>
  <c r="K372" i="3"/>
  <c r="AP372" i="3"/>
  <c r="I372" i="3"/>
  <c r="G373" i="3"/>
  <c r="I374" i="1"/>
  <c r="J373" i="1"/>
  <c r="V373" i="1"/>
  <c r="G373" i="2"/>
  <c r="Y373" i="1"/>
  <c r="Z373" i="1" s="1"/>
  <c r="N373" i="1"/>
  <c r="O373" i="1"/>
  <c r="R373" i="1"/>
  <c r="S373" i="1"/>
  <c r="W373" i="1" s="1"/>
  <c r="H372" i="2"/>
  <c r="AR372" i="2"/>
  <c r="AQ372" i="2"/>
  <c r="AN372" i="2"/>
  <c r="AL372" i="2"/>
  <c r="AM372" i="2"/>
  <c r="AI372" i="2"/>
  <c r="AK372" i="2"/>
  <c r="AJ372" i="2"/>
  <c r="AG372" i="2"/>
  <c r="AH372" i="2"/>
  <c r="AF372" i="2"/>
  <c r="AC372" i="2"/>
  <c r="AE372" i="2"/>
  <c r="AB372" i="2"/>
  <c r="AD372" i="2"/>
  <c r="Z372" i="2"/>
  <c r="AA372" i="2"/>
  <c r="Y372" i="2"/>
  <c r="X372" i="2"/>
  <c r="U372" i="2"/>
  <c r="W372" i="2"/>
  <c r="V372" i="2"/>
  <c r="T372" i="2"/>
  <c r="Q372" i="2"/>
  <c r="S372" i="2"/>
  <c r="R372" i="2"/>
  <c r="M372" i="2"/>
  <c r="O372" i="2"/>
  <c r="P372" i="2"/>
  <c r="K372" i="2"/>
  <c r="L372" i="2"/>
  <c r="N372" i="2"/>
  <c r="AP372" i="2"/>
  <c r="I372" i="2"/>
  <c r="J372" i="2"/>
  <c r="AO372" i="2"/>
  <c r="H373" i="3" l="1"/>
  <c r="AR373" i="3"/>
  <c r="AQ373" i="3"/>
  <c r="AM373" i="3"/>
  <c r="AL373" i="3"/>
  <c r="AN373" i="3"/>
  <c r="AK373" i="3"/>
  <c r="AJ373" i="3"/>
  <c r="AI373" i="3"/>
  <c r="AH373" i="3"/>
  <c r="AD373" i="3"/>
  <c r="AG373" i="3"/>
  <c r="AF373" i="3"/>
  <c r="AC373" i="3"/>
  <c r="AE373" i="3"/>
  <c r="AB373" i="3"/>
  <c r="W373" i="3"/>
  <c r="AA373" i="3"/>
  <c r="Z373" i="3"/>
  <c r="U373" i="3"/>
  <c r="X373" i="3"/>
  <c r="Y373" i="3"/>
  <c r="V373" i="3"/>
  <c r="T373" i="3"/>
  <c r="R373" i="3"/>
  <c r="S373" i="3"/>
  <c r="Q373" i="3"/>
  <c r="O373" i="3"/>
  <c r="P373" i="3"/>
  <c r="M373" i="3"/>
  <c r="N373" i="3"/>
  <c r="L373" i="3"/>
  <c r="K373" i="3"/>
  <c r="I373" i="3"/>
  <c r="AO373" i="3"/>
  <c r="J373" i="3"/>
  <c r="AP373" i="3"/>
  <c r="H373" i="2"/>
  <c r="AR373" i="2"/>
  <c r="AQ373" i="2"/>
  <c r="AN373" i="2"/>
  <c r="AM373" i="2"/>
  <c r="AL373" i="2"/>
  <c r="AK373" i="2"/>
  <c r="AJ373" i="2"/>
  <c r="AI373" i="2"/>
  <c r="AH373" i="2"/>
  <c r="AG373" i="2"/>
  <c r="AF373" i="2"/>
  <c r="AC373" i="2"/>
  <c r="AD373" i="2"/>
  <c r="AE373" i="2"/>
  <c r="AB373" i="2"/>
  <c r="X373" i="2"/>
  <c r="AA373" i="2"/>
  <c r="Z373" i="2"/>
  <c r="Y373" i="2"/>
  <c r="V373" i="2"/>
  <c r="U373" i="2"/>
  <c r="W373" i="2"/>
  <c r="T373" i="2"/>
  <c r="Q373" i="2"/>
  <c r="S373" i="2"/>
  <c r="R373" i="2"/>
  <c r="O373" i="2"/>
  <c r="P373" i="2"/>
  <c r="N373" i="2"/>
  <c r="K373" i="2"/>
  <c r="M373" i="2"/>
  <c r="L373" i="2"/>
  <c r="AP373" i="2"/>
  <c r="I373" i="2"/>
  <c r="J373" i="2"/>
  <c r="AO373" i="2"/>
  <c r="L373" i="1"/>
  <c r="P373" i="1" s="1"/>
  <c r="AA373" i="1"/>
  <c r="G374" i="3"/>
  <c r="I375" i="1"/>
  <c r="V374" i="1"/>
  <c r="J374" i="1"/>
  <c r="G374" i="2"/>
  <c r="Y374" i="1"/>
  <c r="Z374" i="1" s="1"/>
  <c r="S374" i="1"/>
  <c r="W374" i="1" s="1"/>
  <c r="R374" i="1"/>
  <c r="N374" i="1"/>
  <c r="O374" i="1"/>
  <c r="G375" i="3" l="1"/>
  <c r="I376" i="1"/>
  <c r="V375" i="1"/>
  <c r="J375" i="1"/>
  <c r="G375" i="2"/>
  <c r="Y375" i="1"/>
  <c r="Z375" i="1" s="1"/>
  <c r="S375" i="1"/>
  <c r="W375" i="1" s="1"/>
  <c r="N375" i="1"/>
  <c r="R375" i="1"/>
  <c r="O375" i="1"/>
  <c r="H374" i="3"/>
  <c r="AR374" i="3"/>
  <c r="AN374" i="3"/>
  <c r="AM374" i="3"/>
  <c r="AQ374" i="3"/>
  <c r="AL374" i="3"/>
  <c r="AJ374" i="3"/>
  <c r="AI374" i="3"/>
  <c r="AK374" i="3"/>
  <c r="AE374" i="3"/>
  <c r="AH374" i="3"/>
  <c r="AG374" i="3"/>
  <c r="AF374" i="3"/>
  <c r="AC374" i="3"/>
  <c r="AD374" i="3"/>
  <c r="AA374" i="3"/>
  <c r="AB374" i="3"/>
  <c r="Z374" i="3"/>
  <c r="Y374" i="3"/>
  <c r="X374" i="3"/>
  <c r="U374" i="3"/>
  <c r="W374" i="3"/>
  <c r="R374" i="3"/>
  <c r="V374" i="3"/>
  <c r="T374" i="3"/>
  <c r="Q374" i="3"/>
  <c r="S374" i="3"/>
  <c r="M374" i="3"/>
  <c r="P374" i="3"/>
  <c r="L374" i="3"/>
  <c r="K374" i="3"/>
  <c r="O374" i="3"/>
  <c r="N374" i="3"/>
  <c r="I374" i="3"/>
  <c r="AO374" i="3"/>
  <c r="J374" i="3"/>
  <c r="AP374" i="3"/>
  <c r="H374" i="2"/>
  <c r="AQ374" i="2"/>
  <c r="AR374" i="2"/>
  <c r="AM374" i="2"/>
  <c r="AN374" i="2"/>
  <c r="AL374" i="2"/>
  <c r="AI374" i="2"/>
  <c r="AK374" i="2"/>
  <c r="AJ374" i="2"/>
  <c r="AH374" i="2"/>
  <c r="AG374" i="2"/>
  <c r="AF374" i="2"/>
  <c r="AE374" i="2"/>
  <c r="AD374" i="2"/>
  <c r="AC374" i="2"/>
  <c r="Z374" i="2"/>
  <c r="AB374" i="2"/>
  <c r="X374" i="2"/>
  <c r="AA374" i="2"/>
  <c r="Y374" i="2"/>
  <c r="W374" i="2"/>
  <c r="V374" i="2"/>
  <c r="U374" i="2"/>
  <c r="T374" i="2"/>
  <c r="Q374" i="2"/>
  <c r="S374" i="2"/>
  <c r="R374" i="2"/>
  <c r="M374" i="2"/>
  <c r="P374" i="2"/>
  <c r="O374" i="2"/>
  <c r="N374" i="2"/>
  <c r="K374" i="2"/>
  <c r="L374" i="2"/>
  <c r="I374" i="2"/>
  <c r="AO374" i="2"/>
  <c r="AP374" i="2"/>
  <c r="J374" i="2"/>
  <c r="L374" i="1"/>
  <c r="P374" i="1" s="1"/>
  <c r="AA374" i="1"/>
  <c r="H375" i="2" l="1"/>
  <c r="AR375" i="2"/>
  <c r="AQ375" i="2"/>
  <c r="AN375" i="2"/>
  <c r="AM375" i="2"/>
  <c r="AK375" i="2"/>
  <c r="AL375" i="2"/>
  <c r="AJ375" i="2"/>
  <c r="AI375" i="2"/>
  <c r="AH375" i="2"/>
  <c r="AF375" i="2"/>
  <c r="AE375" i="2"/>
  <c r="AG375" i="2"/>
  <c r="AD375" i="2"/>
  <c r="AC375" i="2"/>
  <c r="AB375" i="2"/>
  <c r="X375" i="2"/>
  <c r="AA375" i="2"/>
  <c r="Z375" i="2"/>
  <c r="V375" i="2"/>
  <c r="Y375" i="2"/>
  <c r="W375" i="2"/>
  <c r="U375" i="2"/>
  <c r="S375" i="2"/>
  <c r="T375" i="2"/>
  <c r="R375" i="2"/>
  <c r="Q375" i="2"/>
  <c r="P375" i="2"/>
  <c r="N375" i="2"/>
  <c r="O375" i="2"/>
  <c r="M375" i="2"/>
  <c r="L375" i="2"/>
  <c r="J375" i="2"/>
  <c r="K375" i="2"/>
  <c r="AO375" i="2"/>
  <c r="I375" i="2"/>
  <c r="AP375" i="2"/>
  <c r="L375" i="1"/>
  <c r="P375" i="1" s="1"/>
  <c r="AA375" i="1"/>
  <c r="I377" i="1"/>
  <c r="G376" i="3"/>
  <c r="V376" i="1"/>
  <c r="J376" i="1"/>
  <c r="G376" i="2"/>
  <c r="Y376" i="1"/>
  <c r="Z376" i="1" s="1"/>
  <c r="O376" i="1"/>
  <c r="R376" i="1"/>
  <c r="S376" i="1"/>
  <c r="W376" i="1" s="1"/>
  <c r="N376" i="1"/>
  <c r="H375" i="3"/>
  <c r="AR375" i="3"/>
  <c r="AN375" i="3"/>
  <c r="AQ375" i="3"/>
  <c r="AM375" i="3"/>
  <c r="AJ375" i="3"/>
  <c r="AI375" i="3"/>
  <c r="AL375" i="3"/>
  <c r="AK375" i="3"/>
  <c r="AH375" i="3"/>
  <c r="AG375" i="3"/>
  <c r="AF375" i="3"/>
  <c r="AD375" i="3"/>
  <c r="AA375" i="3"/>
  <c r="AC375" i="3"/>
  <c r="AE375" i="3"/>
  <c r="AB375" i="3"/>
  <c r="X375" i="3"/>
  <c r="Y375" i="3"/>
  <c r="Z375" i="3"/>
  <c r="U375" i="3"/>
  <c r="W375" i="3"/>
  <c r="R375" i="3"/>
  <c r="V375" i="3"/>
  <c r="T375" i="3"/>
  <c r="S375" i="3"/>
  <c r="Q375" i="3"/>
  <c r="O375" i="3"/>
  <c r="P375" i="3"/>
  <c r="L375" i="3"/>
  <c r="K375" i="3"/>
  <c r="N375" i="3"/>
  <c r="M375" i="3"/>
  <c r="I375" i="3"/>
  <c r="AO375" i="3"/>
  <c r="J375" i="3"/>
  <c r="AP375" i="3"/>
  <c r="H376" i="2" l="1"/>
  <c r="AQ376" i="2"/>
  <c r="AR376" i="2"/>
  <c r="AN376" i="2"/>
  <c r="AM376" i="2"/>
  <c r="AJ376" i="2"/>
  <c r="AK376" i="2"/>
  <c r="AL376" i="2"/>
  <c r="AI376" i="2"/>
  <c r="AF376" i="2"/>
  <c r="AH376" i="2"/>
  <c r="AE376" i="2"/>
  <c r="AG376" i="2"/>
  <c r="AD376" i="2"/>
  <c r="AB376" i="2"/>
  <c r="AC376" i="2"/>
  <c r="AA376" i="2"/>
  <c r="Z376" i="2"/>
  <c r="Y376" i="2"/>
  <c r="V376" i="2"/>
  <c r="X376" i="2"/>
  <c r="W376" i="2"/>
  <c r="S376" i="2"/>
  <c r="U376" i="2"/>
  <c r="R376" i="2"/>
  <c r="T376" i="2"/>
  <c r="N376" i="2"/>
  <c r="Q376" i="2"/>
  <c r="P376" i="2"/>
  <c r="L376" i="2"/>
  <c r="O376" i="2"/>
  <c r="M376" i="2"/>
  <c r="J376" i="2"/>
  <c r="K376" i="2"/>
  <c r="AO376" i="2"/>
  <c r="I376" i="2"/>
  <c r="AP376" i="2"/>
  <c r="L376" i="1"/>
  <c r="P376" i="1" s="1"/>
  <c r="AA376" i="1"/>
  <c r="H376" i="3"/>
  <c r="AR376" i="3"/>
  <c r="AQ376" i="3"/>
  <c r="AN376" i="3"/>
  <c r="AM376" i="3"/>
  <c r="AL376" i="3"/>
  <c r="AJ376" i="3"/>
  <c r="AI376" i="3"/>
  <c r="AK376" i="3"/>
  <c r="AG376" i="3"/>
  <c r="AH376" i="3"/>
  <c r="AF376" i="3"/>
  <c r="AC376" i="3"/>
  <c r="AD376" i="3"/>
  <c r="AE376" i="3"/>
  <c r="Z376" i="3"/>
  <c r="AB376" i="3"/>
  <c r="X376" i="3"/>
  <c r="Y376" i="3"/>
  <c r="AA376" i="3"/>
  <c r="W376" i="3"/>
  <c r="V376" i="3"/>
  <c r="R376" i="3"/>
  <c r="U376" i="3"/>
  <c r="T376" i="3"/>
  <c r="O376" i="3"/>
  <c r="S376" i="3"/>
  <c r="Q376" i="3"/>
  <c r="M376" i="3"/>
  <c r="P376" i="3"/>
  <c r="L376" i="3"/>
  <c r="K376" i="3"/>
  <c r="N376" i="3"/>
  <c r="I376" i="3"/>
  <c r="AO376" i="3"/>
  <c r="J376" i="3"/>
  <c r="AP376" i="3"/>
  <c r="G377" i="3"/>
  <c r="I378" i="1"/>
  <c r="V377" i="1"/>
  <c r="J377" i="1"/>
  <c r="G377" i="2"/>
  <c r="Y377" i="1"/>
  <c r="Z377" i="1" s="1"/>
  <c r="S377" i="1"/>
  <c r="N377" i="1"/>
  <c r="O377" i="1"/>
  <c r="R377" i="1"/>
  <c r="G378" i="3" l="1"/>
  <c r="I379" i="1"/>
  <c r="J378" i="1"/>
  <c r="V378" i="1"/>
  <c r="Y378" i="1"/>
  <c r="Z378" i="1" s="1"/>
  <c r="G378" i="2"/>
  <c r="N378" i="1"/>
  <c r="R378" i="1"/>
  <c r="O378" i="1"/>
  <c r="S378" i="1"/>
  <c r="W377" i="1"/>
  <c r="H377" i="2"/>
  <c r="AR377" i="2"/>
  <c r="AQ377" i="2"/>
  <c r="AN377" i="2"/>
  <c r="AM377" i="2"/>
  <c r="AL377" i="2"/>
  <c r="AJ377" i="2"/>
  <c r="AK377" i="2"/>
  <c r="AI377" i="2"/>
  <c r="AH377" i="2"/>
  <c r="AE377" i="2"/>
  <c r="AF377" i="2"/>
  <c r="AG377" i="2"/>
  <c r="AB377" i="2"/>
  <c r="AD377" i="2"/>
  <c r="AA377" i="2"/>
  <c r="AC377" i="2"/>
  <c r="Y377" i="2"/>
  <c r="Z377" i="2"/>
  <c r="V377" i="2"/>
  <c r="X377" i="2"/>
  <c r="W377" i="2"/>
  <c r="S377" i="2"/>
  <c r="U377" i="2"/>
  <c r="R377" i="2"/>
  <c r="T377" i="2"/>
  <c r="P377" i="2"/>
  <c r="N377" i="2"/>
  <c r="Q377" i="2"/>
  <c r="O377" i="2"/>
  <c r="M377" i="2"/>
  <c r="L377" i="2"/>
  <c r="I377" i="2"/>
  <c r="J377" i="2"/>
  <c r="K377" i="2"/>
  <c r="AO377" i="2"/>
  <c r="AP377" i="2"/>
  <c r="H377" i="3"/>
  <c r="AR377" i="3"/>
  <c r="AQ377" i="3"/>
  <c r="AN377" i="3"/>
  <c r="AL377" i="3"/>
  <c r="AJ377" i="3"/>
  <c r="AM377" i="3"/>
  <c r="AK377" i="3"/>
  <c r="AG377" i="3"/>
  <c r="AI377" i="3"/>
  <c r="AH377" i="3"/>
  <c r="AF377" i="3"/>
  <c r="AA377" i="3"/>
  <c r="AC377" i="3"/>
  <c r="AD377" i="3"/>
  <c r="AE377" i="3"/>
  <c r="AB377" i="3"/>
  <c r="Z377" i="3"/>
  <c r="X377" i="3"/>
  <c r="Y377" i="3"/>
  <c r="V377" i="3"/>
  <c r="W377" i="3"/>
  <c r="U377" i="3"/>
  <c r="S377" i="3"/>
  <c r="T377" i="3"/>
  <c r="R377" i="3"/>
  <c r="O377" i="3"/>
  <c r="Q377" i="3"/>
  <c r="P377" i="3"/>
  <c r="N377" i="3"/>
  <c r="I377" i="3"/>
  <c r="L377" i="3"/>
  <c r="K377" i="3"/>
  <c r="M377" i="3"/>
  <c r="AP377" i="3"/>
  <c r="AO377" i="3"/>
  <c r="J377" i="3"/>
  <c r="L377" i="1"/>
  <c r="P377" i="1" s="1"/>
  <c r="AA377" i="1"/>
  <c r="H378" i="2" l="1"/>
  <c r="AR378" i="2"/>
  <c r="AQ378" i="2"/>
  <c r="AN378" i="2"/>
  <c r="AM378" i="2"/>
  <c r="AK378" i="2"/>
  <c r="AL378" i="2"/>
  <c r="AJ378" i="2"/>
  <c r="AI378" i="2"/>
  <c r="AH378" i="2"/>
  <c r="AF378" i="2"/>
  <c r="AG378" i="2"/>
  <c r="AE378" i="2"/>
  <c r="AD378" i="2"/>
  <c r="AA378" i="2"/>
  <c r="AC378" i="2"/>
  <c r="AB378" i="2"/>
  <c r="Y378" i="2"/>
  <c r="Z378" i="2"/>
  <c r="X378" i="2"/>
  <c r="W378" i="2"/>
  <c r="V378" i="2"/>
  <c r="S378" i="2"/>
  <c r="U378" i="2"/>
  <c r="P378" i="2"/>
  <c r="R378" i="2"/>
  <c r="T378" i="2"/>
  <c r="N378" i="2"/>
  <c r="Q378" i="2"/>
  <c r="O378" i="2"/>
  <c r="J378" i="2"/>
  <c r="M378" i="2"/>
  <c r="L378" i="2"/>
  <c r="K378" i="2"/>
  <c r="I378" i="2"/>
  <c r="AO378" i="2"/>
  <c r="AP378" i="2"/>
  <c r="L378" i="1"/>
  <c r="P378" i="1" s="1"/>
  <c r="AA378" i="1"/>
  <c r="G379" i="3"/>
  <c r="I380" i="1"/>
  <c r="V379" i="1"/>
  <c r="J379" i="1"/>
  <c r="G379" i="2"/>
  <c r="Y379" i="1"/>
  <c r="Z379" i="1" s="1"/>
  <c r="S379" i="1"/>
  <c r="W379" i="1" s="1"/>
  <c r="N379" i="1"/>
  <c r="O379" i="1"/>
  <c r="R379" i="1"/>
  <c r="W378" i="1"/>
  <c r="H378" i="3"/>
  <c r="AQ378" i="3"/>
  <c r="AR378" i="3"/>
  <c r="AN378" i="3"/>
  <c r="AL378" i="3"/>
  <c r="AM378" i="3"/>
  <c r="AK378" i="3"/>
  <c r="AG378" i="3"/>
  <c r="AI378" i="3"/>
  <c r="AJ378" i="3"/>
  <c r="AH378" i="3"/>
  <c r="AF378" i="3"/>
  <c r="AE378" i="3"/>
  <c r="AC378" i="3"/>
  <c r="AD378" i="3"/>
  <c r="AB378" i="3"/>
  <c r="AA378" i="3"/>
  <c r="Z378" i="3"/>
  <c r="Y378" i="3"/>
  <c r="W378" i="3"/>
  <c r="V378" i="3"/>
  <c r="X378" i="3"/>
  <c r="S378" i="3"/>
  <c r="U378" i="3"/>
  <c r="T378" i="3"/>
  <c r="R378" i="3"/>
  <c r="Q378" i="3"/>
  <c r="P378" i="3"/>
  <c r="N378" i="3"/>
  <c r="O378" i="3"/>
  <c r="M378" i="3"/>
  <c r="L378" i="3"/>
  <c r="AP378" i="3"/>
  <c r="I378" i="3"/>
  <c r="K378" i="3"/>
  <c r="AO378" i="3"/>
  <c r="J378" i="3"/>
  <c r="H379" i="2" l="1"/>
  <c r="AQ379" i="2"/>
  <c r="AR379" i="2"/>
  <c r="AK379" i="2"/>
  <c r="AN379" i="2"/>
  <c r="AM379" i="2"/>
  <c r="AL379" i="2"/>
  <c r="AH379" i="2"/>
  <c r="AJ379" i="2"/>
  <c r="AI379" i="2"/>
  <c r="AG379" i="2"/>
  <c r="AF379" i="2"/>
  <c r="AE379" i="2"/>
  <c r="AB379" i="2"/>
  <c r="AD379" i="2"/>
  <c r="AA379" i="2"/>
  <c r="AC379" i="2"/>
  <c r="Z379" i="2"/>
  <c r="Y379" i="2"/>
  <c r="W379" i="2"/>
  <c r="X379" i="2"/>
  <c r="V379" i="2"/>
  <c r="U379" i="2"/>
  <c r="T379" i="2"/>
  <c r="R379" i="2"/>
  <c r="S379" i="2"/>
  <c r="P379" i="2"/>
  <c r="Q379" i="2"/>
  <c r="O379" i="2"/>
  <c r="N379" i="2"/>
  <c r="M379" i="2"/>
  <c r="L379" i="2"/>
  <c r="I379" i="2"/>
  <c r="J379" i="2"/>
  <c r="K379" i="2"/>
  <c r="AO379" i="2"/>
  <c r="AP379" i="2"/>
  <c r="L379" i="1"/>
  <c r="P379" i="1" s="1"/>
  <c r="AA379" i="1"/>
  <c r="I381" i="1"/>
  <c r="G380" i="3"/>
  <c r="V380" i="1"/>
  <c r="J380" i="1"/>
  <c r="G380" i="2"/>
  <c r="Y380" i="1"/>
  <c r="Z380" i="1" s="1"/>
  <c r="S380" i="1"/>
  <c r="W380" i="1" s="1"/>
  <c r="N380" i="1"/>
  <c r="O380" i="1"/>
  <c r="R380" i="1"/>
  <c r="H379" i="3"/>
  <c r="AQ379" i="3"/>
  <c r="AR379" i="3"/>
  <c r="AN379" i="3"/>
  <c r="AL379" i="3"/>
  <c r="AM379" i="3"/>
  <c r="AK379" i="3"/>
  <c r="AJ379" i="3"/>
  <c r="AG379" i="3"/>
  <c r="AH379" i="3"/>
  <c r="AF379" i="3"/>
  <c r="AI379" i="3"/>
  <c r="AE379" i="3"/>
  <c r="AB379" i="3"/>
  <c r="AC379" i="3"/>
  <c r="AD379" i="3"/>
  <c r="Y379" i="3"/>
  <c r="AA379" i="3"/>
  <c r="Z379" i="3"/>
  <c r="W379" i="3"/>
  <c r="V379" i="3"/>
  <c r="X379" i="3"/>
  <c r="S379" i="3"/>
  <c r="U379" i="3"/>
  <c r="T379" i="3"/>
  <c r="R379" i="3"/>
  <c r="Q379" i="3"/>
  <c r="P379" i="3"/>
  <c r="N379" i="3"/>
  <c r="O379" i="3"/>
  <c r="L379" i="3"/>
  <c r="M379" i="3"/>
  <c r="I379" i="3"/>
  <c r="K379" i="3"/>
  <c r="J379" i="3"/>
  <c r="AP379" i="3"/>
  <c r="AO379" i="3"/>
  <c r="H380" i="2" l="1"/>
  <c r="AR380" i="2"/>
  <c r="AQ380" i="2"/>
  <c r="AL380" i="2"/>
  <c r="AK380" i="2"/>
  <c r="AN380" i="2"/>
  <c r="AM380" i="2"/>
  <c r="AH380" i="2"/>
  <c r="AJ380" i="2"/>
  <c r="AG380" i="2"/>
  <c r="AI380" i="2"/>
  <c r="AF380" i="2"/>
  <c r="AE380" i="2"/>
  <c r="AD380" i="2"/>
  <c r="AC380" i="2"/>
  <c r="AA380" i="2"/>
  <c r="AB380" i="2"/>
  <c r="Z380" i="2"/>
  <c r="X380" i="2"/>
  <c r="W380" i="2"/>
  <c r="Y380" i="2"/>
  <c r="U380" i="2"/>
  <c r="T380" i="2"/>
  <c r="V380" i="2"/>
  <c r="P380" i="2"/>
  <c r="R380" i="2"/>
  <c r="S380" i="2"/>
  <c r="O380" i="2"/>
  <c r="Q380" i="2"/>
  <c r="J380" i="2"/>
  <c r="N380" i="2"/>
  <c r="M380" i="2"/>
  <c r="I380" i="2"/>
  <c r="L380" i="2"/>
  <c r="K380" i="2"/>
  <c r="AO380" i="2"/>
  <c r="AP380" i="2"/>
  <c r="L380" i="1"/>
  <c r="P380" i="1" s="1"/>
  <c r="AA380" i="1"/>
  <c r="H380" i="3"/>
  <c r="AQ380" i="3"/>
  <c r="AR380" i="3"/>
  <c r="AN380" i="3"/>
  <c r="AM380" i="3"/>
  <c r="AL380" i="3"/>
  <c r="AK380" i="3"/>
  <c r="AJ380" i="3"/>
  <c r="AH380" i="3"/>
  <c r="AF380" i="3"/>
  <c r="AI380" i="3"/>
  <c r="AG380" i="3"/>
  <c r="AE380" i="3"/>
  <c r="AB380" i="3"/>
  <c r="AD380" i="3"/>
  <c r="AC380" i="3"/>
  <c r="AA380" i="3"/>
  <c r="Y380" i="3"/>
  <c r="Z380" i="3"/>
  <c r="W380" i="3"/>
  <c r="V380" i="3"/>
  <c r="X380" i="3"/>
  <c r="S380" i="3"/>
  <c r="U380" i="3"/>
  <c r="P380" i="3"/>
  <c r="T380" i="3"/>
  <c r="R380" i="3"/>
  <c r="Q380" i="3"/>
  <c r="L380" i="3"/>
  <c r="N380" i="3"/>
  <c r="O380" i="3"/>
  <c r="J380" i="3"/>
  <c r="M380" i="3"/>
  <c r="K380" i="3"/>
  <c r="AP380" i="3"/>
  <c r="I380" i="3"/>
  <c r="AO380" i="3"/>
  <c r="I382" i="1"/>
  <c r="G381" i="3"/>
  <c r="J381" i="1"/>
  <c r="V381" i="1"/>
  <c r="Y381" i="1"/>
  <c r="Z381" i="1" s="1"/>
  <c r="G381" i="2"/>
  <c r="R381" i="1"/>
  <c r="N381" i="1"/>
  <c r="S381" i="1"/>
  <c r="W381" i="1" s="1"/>
  <c r="O381" i="1"/>
  <c r="H381" i="3" l="1"/>
  <c r="AQ381" i="3"/>
  <c r="AR381" i="3"/>
  <c r="AN381" i="3"/>
  <c r="AM381" i="3"/>
  <c r="AL381" i="3"/>
  <c r="AK381" i="3"/>
  <c r="AH381" i="3"/>
  <c r="AJ381" i="3"/>
  <c r="AI381" i="3"/>
  <c r="AG381" i="3"/>
  <c r="AF381" i="3"/>
  <c r="AE381" i="3"/>
  <c r="AB381" i="3"/>
  <c r="AC381" i="3"/>
  <c r="AD381" i="3"/>
  <c r="AA381" i="3"/>
  <c r="W381" i="3"/>
  <c r="Y381" i="3"/>
  <c r="Z381" i="3"/>
  <c r="X381" i="3"/>
  <c r="V381" i="3"/>
  <c r="U381" i="3"/>
  <c r="T381" i="3"/>
  <c r="S381" i="3"/>
  <c r="R381" i="3"/>
  <c r="O381" i="3"/>
  <c r="Q381" i="3"/>
  <c r="P381" i="3"/>
  <c r="J381" i="3"/>
  <c r="M381" i="3"/>
  <c r="L381" i="3"/>
  <c r="N381" i="3"/>
  <c r="K381" i="3"/>
  <c r="AO381" i="3"/>
  <c r="AP381" i="3"/>
  <c r="I381" i="3"/>
  <c r="G382" i="3"/>
  <c r="I383" i="1"/>
  <c r="J382" i="1"/>
  <c r="V382" i="1"/>
  <c r="G382" i="2"/>
  <c r="Y382" i="1"/>
  <c r="Z382" i="1" s="1"/>
  <c r="S382" i="1"/>
  <c r="W382" i="1" s="1"/>
  <c r="N382" i="1"/>
  <c r="O382" i="1"/>
  <c r="R382" i="1"/>
  <c r="L381" i="1"/>
  <c r="P381" i="1" s="1"/>
  <c r="AA381" i="1"/>
  <c r="H381" i="2"/>
  <c r="AR381" i="2"/>
  <c r="AQ381" i="2"/>
  <c r="AL381" i="2"/>
  <c r="AM381" i="2"/>
  <c r="AK381" i="2"/>
  <c r="AN381" i="2"/>
  <c r="AI381" i="2"/>
  <c r="AJ381" i="2"/>
  <c r="AH381" i="2"/>
  <c r="AG381" i="2"/>
  <c r="AD381" i="2"/>
  <c r="AF381" i="2"/>
  <c r="AC381" i="2"/>
  <c r="AE381" i="2"/>
  <c r="AB381" i="2"/>
  <c r="Z381" i="2"/>
  <c r="AA381" i="2"/>
  <c r="U381" i="2"/>
  <c r="X381" i="2"/>
  <c r="W381" i="2"/>
  <c r="Y381" i="2"/>
  <c r="T381" i="2"/>
  <c r="V381" i="2"/>
  <c r="R381" i="2"/>
  <c r="S381" i="2"/>
  <c r="Q381" i="2"/>
  <c r="P381" i="2"/>
  <c r="O381" i="2"/>
  <c r="M381" i="2"/>
  <c r="N381" i="2"/>
  <c r="L381" i="2"/>
  <c r="K381" i="2"/>
  <c r="I381" i="2"/>
  <c r="J381" i="2"/>
  <c r="AP381" i="2"/>
  <c r="AO381" i="2"/>
  <c r="H382" i="3" l="1"/>
  <c r="AR382" i="3"/>
  <c r="AQ382" i="3"/>
  <c r="AL382" i="3"/>
  <c r="AM382" i="3"/>
  <c r="AN382" i="3"/>
  <c r="AK382" i="3"/>
  <c r="AH382" i="3"/>
  <c r="AJ382" i="3"/>
  <c r="AI382" i="3"/>
  <c r="AG382" i="3"/>
  <c r="AF382" i="3"/>
  <c r="AD382" i="3"/>
  <c r="AE382" i="3"/>
  <c r="AC382" i="3"/>
  <c r="AA382" i="3"/>
  <c r="AB382" i="3"/>
  <c r="Y382" i="3"/>
  <c r="Z382" i="3"/>
  <c r="W382" i="3"/>
  <c r="V382" i="3"/>
  <c r="X382" i="3"/>
  <c r="U382" i="3"/>
  <c r="T382" i="3"/>
  <c r="P382" i="3"/>
  <c r="S382" i="3"/>
  <c r="R382" i="3"/>
  <c r="O382" i="3"/>
  <c r="Q382" i="3"/>
  <c r="J382" i="3"/>
  <c r="M382" i="3"/>
  <c r="L382" i="3"/>
  <c r="N382" i="3"/>
  <c r="AO382" i="3"/>
  <c r="AP382" i="3"/>
  <c r="K382" i="3"/>
  <c r="I382" i="3"/>
  <c r="G383" i="3"/>
  <c r="I384" i="1"/>
  <c r="V383" i="1"/>
  <c r="J383" i="1"/>
  <c r="G383" i="2"/>
  <c r="Y383" i="1"/>
  <c r="Z383" i="1" s="1"/>
  <c r="N383" i="1"/>
  <c r="O383" i="1"/>
  <c r="R383" i="1"/>
  <c r="S383" i="1"/>
  <c r="W383" i="1" s="1"/>
  <c r="H382" i="2"/>
  <c r="AR382" i="2"/>
  <c r="AQ382" i="2"/>
  <c r="AM382" i="2"/>
  <c r="AN382" i="2"/>
  <c r="AI382" i="2"/>
  <c r="AK382" i="2"/>
  <c r="AL382" i="2"/>
  <c r="AJ382" i="2"/>
  <c r="AG382" i="2"/>
  <c r="AH382" i="2"/>
  <c r="AF382" i="2"/>
  <c r="AC382" i="2"/>
  <c r="AE382" i="2"/>
  <c r="AD382" i="2"/>
  <c r="AB382" i="2"/>
  <c r="Z382" i="2"/>
  <c r="Y382" i="2"/>
  <c r="AA382" i="2"/>
  <c r="X382" i="2"/>
  <c r="U382" i="2"/>
  <c r="W382" i="2"/>
  <c r="T382" i="2"/>
  <c r="V382" i="2"/>
  <c r="S382" i="2"/>
  <c r="Q382" i="2"/>
  <c r="R382" i="2"/>
  <c r="M382" i="2"/>
  <c r="P382" i="2"/>
  <c r="O382" i="2"/>
  <c r="K382" i="2"/>
  <c r="N382" i="2"/>
  <c r="L382" i="2"/>
  <c r="AP382" i="2"/>
  <c r="I382" i="2"/>
  <c r="J382" i="2"/>
  <c r="AO382" i="2"/>
  <c r="L382" i="1"/>
  <c r="P382" i="1" s="1"/>
  <c r="AA382" i="1"/>
  <c r="G384" i="3" l="1"/>
  <c r="I385" i="1"/>
  <c r="V384" i="1"/>
  <c r="J384" i="1"/>
  <c r="G384" i="2"/>
  <c r="Y384" i="1"/>
  <c r="Z384" i="1" s="1"/>
  <c r="R384" i="1"/>
  <c r="S384" i="1"/>
  <c r="W384" i="1" s="1"/>
  <c r="N384" i="1"/>
  <c r="O384" i="1"/>
  <c r="H383" i="3"/>
  <c r="AR383" i="3"/>
  <c r="AQ383" i="3"/>
  <c r="AM383" i="3"/>
  <c r="AL383" i="3"/>
  <c r="AN383" i="3"/>
  <c r="AK383" i="3"/>
  <c r="AI383" i="3"/>
  <c r="AH383" i="3"/>
  <c r="AJ383" i="3"/>
  <c r="AG383" i="3"/>
  <c r="AD383" i="3"/>
  <c r="AF383" i="3"/>
  <c r="AE383" i="3"/>
  <c r="AC383" i="3"/>
  <c r="AB383" i="3"/>
  <c r="AA383" i="3"/>
  <c r="W383" i="3"/>
  <c r="Z383" i="3"/>
  <c r="U383" i="3"/>
  <c r="Y383" i="3"/>
  <c r="X383" i="3"/>
  <c r="T383" i="3"/>
  <c r="V383" i="3"/>
  <c r="S383" i="3"/>
  <c r="R383" i="3"/>
  <c r="Q383" i="3"/>
  <c r="P383" i="3"/>
  <c r="O383" i="3"/>
  <c r="M383" i="3"/>
  <c r="L383" i="3"/>
  <c r="N383" i="3"/>
  <c r="K383" i="3"/>
  <c r="AO383" i="3"/>
  <c r="AP383" i="3"/>
  <c r="I383" i="3"/>
  <c r="J383" i="3"/>
  <c r="H383" i="2"/>
  <c r="AR383" i="2"/>
  <c r="AQ383" i="2"/>
  <c r="AM383" i="2"/>
  <c r="AN383" i="2"/>
  <c r="AL383" i="2"/>
  <c r="AK383" i="2"/>
  <c r="AJ383" i="2"/>
  <c r="AH383" i="2"/>
  <c r="AI383" i="2"/>
  <c r="AG383" i="2"/>
  <c r="AF383" i="2"/>
  <c r="AC383" i="2"/>
  <c r="AE383" i="2"/>
  <c r="AB383" i="2"/>
  <c r="AD383" i="2"/>
  <c r="X383" i="2"/>
  <c r="Z383" i="2"/>
  <c r="Y383" i="2"/>
  <c r="AA383" i="2"/>
  <c r="T383" i="2"/>
  <c r="W383" i="2"/>
  <c r="V383" i="2"/>
  <c r="U383" i="2"/>
  <c r="S383" i="2"/>
  <c r="Q383" i="2"/>
  <c r="R383" i="2"/>
  <c r="P383" i="2"/>
  <c r="O383" i="2"/>
  <c r="K383" i="2"/>
  <c r="M383" i="2"/>
  <c r="N383" i="2"/>
  <c r="L383" i="2"/>
  <c r="AP383" i="2"/>
  <c r="I383" i="2"/>
  <c r="J383" i="2"/>
  <c r="AO383" i="2"/>
  <c r="L383" i="1"/>
  <c r="P383" i="1" s="1"/>
  <c r="AA383" i="1"/>
  <c r="H384" i="2" l="1"/>
  <c r="AR384" i="2"/>
  <c r="AQ384" i="2"/>
  <c r="AM384" i="2"/>
  <c r="AL384" i="2"/>
  <c r="AN384" i="2"/>
  <c r="AI384" i="2"/>
  <c r="AK384" i="2"/>
  <c r="AJ384" i="2"/>
  <c r="AH384" i="2"/>
  <c r="AG384" i="2"/>
  <c r="AF384" i="2"/>
  <c r="AE384" i="2"/>
  <c r="AD384" i="2"/>
  <c r="Z384" i="2"/>
  <c r="AB384" i="2"/>
  <c r="AC384" i="2"/>
  <c r="X384" i="2"/>
  <c r="AA384" i="2"/>
  <c r="Y384" i="2"/>
  <c r="W384" i="2"/>
  <c r="V384" i="2"/>
  <c r="U384" i="2"/>
  <c r="S384" i="2"/>
  <c r="Q384" i="2"/>
  <c r="T384" i="2"/>
  <c r="R384" i="2"/>
  <c r="M384" i="2"/>
  <c r="P384" i="2"/>
  <c r="K384" i="2"/>
  <c r="O384" i="2"/>
  <c r="N384" i="2"/>
  <c r="L384" i="2"/>
  <c r="I384" i="2"/>
  <c r="AO384" i="2"/>
  <c r="AP384" i="2"/>
  <c r="J384" i="2"/>
  <c r="L384" i="1"/>
  <c r="P384" i="1" s="1"/>
  <c r="AA384" i="1"/>
  <c r="G385" i="3"/>
  <c r="I386" i="1"/>
  <c r="V385" i="1"/>
  <c r="J385" i="1"/>
  <c r="G385" i="2"/>
  <c r="Y385" i="1"/>
  <c r="Z385" i="1" s="1"/>
  <c r="S385" i="1"/>
  <c r="W385" i="1" s="1"/>
  <c r="N385" i="1"/>
  <c r="O385" i="1"/>
  <c r="R385" i="1"/>
  <c r="H384" i="3"/>
  <c r="AR384" i="3"/>
  <c r="AN384" i="3"/>
  <c r="AM384" i="3"/>
  <c r="AQ384" i="3"/>
  <c r="AL384" i="3"/>
  <c r="AI384" i="3"/>
  <c r="AK384" i="3"/>
  <c r="AJ384" i="3"/>
  <c r="AE384" i="3"/>
  <c r="AH384" i="3"/>
  <c r="AG384" i="3"/>
  <c r="AF384" i="3"/>
  <c r="AD384" i="3"/>
  <c r="AC384" i="3"/>
  <c r="AA384" i="3"/>
  <c r="AB384" i="3"/>
  <c r="Z384" i="3"/>
  <c r="Y384" i="3"/>
  <c r="X384" i="3"/>
  <c r="U384" i="3"/>
  <c r="W384" i="3"/>
  <c r="R384" i="3"/>
  <c r="T384" i="3"/>
  <c r="V384" i="3"/>
  <c r="Q384" i="3"/>
  <c r="S384" i="3"/>
  <c r="M384" i="3"/>
  <c r="P384" i="3"/>
  <c r="O384" i="3"/>
  <c r="N384" i="3"/>
  <c r="K384" i="3"/>
  <c r="L384" i="3"/>
  <c r="J384" i="3"/>
  <c r="AO384" i="3"/>
  <c r="AP384" i="3"/>
  <c r="I384" i="3"/>
  <c r="H385" i="2" l="1"/>
  <c r="AR385" i="2"/>
  <c r="AQ385" i="2"/>
  <c r="AN385" i="2"/>
  <c r="AM385" i="2"/>
  <c r="AL385" i="2"/>
  <c r="AK385" i="2"/>
  <c r="AJ385" i="2"/>
  <c r="AI385" i="2"/>
  <c r="AF385" i="2"/>
  <c r="AE385" i="2"/>
  <c r="AG385" i="2"/>
  <c r="AH385" i="2"/>
  <c r="AD385" i="2"/>
  <c r="AB385" i="2"/>
  <c r="AC385" i="2"/>
  <c r="X385" i="2"/>
  <c r="AA385" i="2"/>
  <c r="V385" i="2"/>
  <c r="Y385" i="2"/>
  <c r="Z385" i="2"/>
  <c r="U385" i="2"/>
  <c r="W385" i="2"/>
  <c r="S385" i="2"/>
  <c r="T385" i="2"/>
  <c r="R385" i="2"/>
  <c r="P385" i="2"/>
  <c r="Q385" i="2"/>
  <c r="N385" i="2"/>
  <c r="O385" i="2"/>
  <c r="M385" i="2"/>
  <c r="L385" i="2"/>
  <c r="AO385" i="2"/>
  <c r="I385" i="2"/>
  <c r="K385" i="2"/>
  <c r="J385" i="2"/>
  <c r="AP385" i="2"/>
  <c r="G386" i="3"/>
  <c r="I387" i="1"/>
  <c r="J386" i="1"/>
  <c r="V386" i="1"/>
  <c r="G386" i="2"/>
  <c r="Y386" i="1"/>
  <c r="Z386" i="1" s="1"/>
  <c r="O386" i="1"/>
  <c r="R386" i="1"/>
  <c r="S386" i="1"/>
  <c r="W386" i="1" s="1"/>
  <c r="N386" i="1"/>
  <c r="H385" i="3"/>
  <c r="AR385" i="3"/>
  <c r="AN385" i="3"/>
  <c r="AM385" i="3"/>
  <c r="AQ385" i="3"/>
  <c r="AL385" i="3"/>
  <c r="AJ385" i="3"/>
  <c r="AI385" i="3"/>
  <c r="AK385" i="3"/>
  <c r="AH385" i="3"/>
  <c r="AG385" i="3"/>
  <c r="AD385" i="3"/>
  <c r="AF385" i="3"/>
  <c r="AE385" i="3"/>
  <c r="AC385" i="3"/>
  <c r="AB385" i="3"/>
  <c r="AA385" i="3"/>
  <c r="X385" i="3"/>
  <c r="Y385" i="3"/>
  <c r="Z385" i="3"/>
  <c r="U385" i="3"/>
  <c r="W385" i="3"/>
  <c r="R385" i="3"/>
  <c r="T385" i="3"/>
  <c r="V385" i="3"/>
  <c r="Q385" i="3"/>
  <c r="S385" i="3"/>
  <c r="P385" i="3"/>
  <c r="N385" i="3"/>
  <c r="K385" i="3"/>
  <c r="O385" i="3"/>
  <c r="M385" i="3"/>
  <c r="L385" i="3"/>
  <c r="J385" i="3"/>
  <c r="AO385" i="3"/>
  <c r="AP385" i="3"/>
  <c r="I385" i="3"/>
  <c r="L385" i="1"/>
  <c r="P385" i="1" s="1"/>
  <c r="AA385" i="1"/>
  <c r="I388" i="1" l="1"/>
  <c r="G387" i="3"/>
  <c r="V387" i="1"/>
  <c r="J387" i="1"/>
  <c r="G387" i="2"/>
  <c r="Y387" i="1"/>
  <c r="Z387" i="1" s="1"/>
  <c r="S387" i="1"/>
  <c r="W387" i="1" s="1"/>
  <c r="N387" i="1"/>
  <c r="O387" i="1"/>
  <c r="R387" i="1"/>
  <c r="H386" i="3"/>
  <c r="AR386" i="3"/>
  <c r="AN386" i="3"/>
  <c r="AM386" i="3"/>
  <c r="AQ386" i="3"/>
  <c r="AJ386" i="3"/>
  <c r="AI386" i="3"/>
  <c r="AL386" i="3"/>
  <c r="AK386" i="3"/>
  <c r="AG386" i="3"/>
  <c r="AH386" i="3"/>
  <c r="AF386" i="3"/>
  <c r="AD386" i="3"/>
  <c r="AE386" i="3"/>
  <c r="AC386" i="3"/>
  <c r="Z386" i="3"/>
  <c r="AB386" i="3"/>
  <c r="AA386" i="3"/>
  <c r="X386" i="3"/>
  <c r="Y386" i="3"/>
  <c r="W386" i="3"/>
  <c r="V386" i="3"/>
  <c r="U386" i="3"/>
  <c r="R386" i="3"/>
  <c r="T386" i="3"/>
  <c r="O386" i="3"/>
  <c r="Q386" i="3"/>
  <c r="S386" i="3"/>
  <c r="M386" i="3"/>
  <c r="P386" i="3"/>
  <c r="L386" i="3"/>
  <c r="N386" i="3"/>
  <c r="K386" i="3"/>
  <c r="I386" i="3"/>
  <c r="J386" i="3"/>
  <c r="AO386" i="3"/>
  <c r="AP386" i="3"/>
  <c r="H386" i="2"/>
  <c r="AR386" i="2"/>
  <c r="AQ386" i="2"/>
  <c r="AN386" i="2"/>
  <c r="AM386" i="2"/>
  <c r="AL386" i="2"/>
  <c r="AJ386" i="2"/>
  <c r="AK386" i="2"/>
  <c r="AI386" i="2"/>
  <c r="AF386" i="2"/>
  <c r="AH386" i="2"/>
  <c r="AE386" i="2"/>
  <c r="AG386" i="2"/>
  <c r="AD386" i="2"/>
  <c r="AB386" i="2"/>
  <c r="AC386" i="2"/>
  <c r="AA386" i="2"/>
  <c r="Z386" i="2"/>
  <c r="Y386" i="2"/>
  <c r="V386" i="2"/>
  <c r="X386" i="2"/>
  <c r="W386" i="2"/>
  <c r="S386" i="2"/>
  <c r="U386" i="2"/>
  <c r="R386" i="2"/>
  <c r="T386" i="2"/>
  <c r="N386" i="2"/>
  <c r="P386" i="2"/>
  <c r="Q386" i="2"/>
  <c r="L386" i="2"/>
  <c r="O386" i="2"/>
  <c r="M386" i="2"/>
  <c r="AO386" i="2"/>
  <c r="I386" i="2"/>
  <c r="K386" i="2"/>
  <c r="J386" i="2"/>
  <c r="AP386" i="2"/>
  <c r="L386" i="1"/>
  <c r="P386" i="1" s="1"/>
  <c r="AA386" i="1"/>
  <c r="L387" i="1" l="1"/>
  <c r="P387" i="1" s="1"/>
  <c r="AA387" i="1"/>
  <c r="H387" i="2"/>
  <c r="AQ387" i="2"/>
  <c r="AR387" i="2"/>
  <c r="AN387" i="2"/>
  <c r="AM387" i="2"/>
  <c r="AJ387" i="2"/>
  <c r="AL387" i="2"/>
  <c r="AK387" i="2"/>
  <c r="AI387" i="2"/>
  <c r="AH387" i="2"/>
  <c r="AE387" i="2"/>
  <c r="AF387" i="2"/>
  <c r="AG387" i="2"/>
  <c r="AB387" i="2"/>
  <c r="AD387" i="2"/>
  <c r="AC387" i="2"/>
  <c r="AA387" i="2"/>
  <c r="Y387" i="2"/>
  <c r="Z387" i="2"/>
  <c r="V387" i="2"/>
  <c r="X387" i="2"/>
  <c r="W387" i="2"/>
  <c r="S387" i="2"/>
  <c r="U387" i="2"/>
  <c r="R387" i="2"/>
  <c r="T387" i="2"/>
  <c r="P387" i="2"/>
  <c r="N387" i="2"/>
  <c r="O387" i="2"/>
  <c r="Q387" i="2"/>
  <c r="L387" i="2"/>
  <c r="I387" i="2"/>
  <c r="M387" i="2"/>
  <c r="J387" i="2"/>
  <c r="K387" i="2"/>
  <c r="AP387" i="2"/>
  <c r="AO387" i="2"/>
  <c r="H387" i="3"/>
  <c r="AR387" i="3"/>
  <c r="AN387" i="3"/>
  <c r="AQ387" i="3"/>
  <c r="AM387" i="3"/>
  <c r="AJ387" i="3"/>
  <c r="AL387" i="3"/>
  <c r="AK387" i="3"/>
  <c r="AG387" i="3"/>
  <c r="AI387" i="3"/>
  <c r="AH387" i="3"/>
  <c r="AF387" i="3"/>
  <c r="AD387" i="3"/>
  <c r="AA387" i="3"/>
  <c r="AE387" i="3"/>
  <c r="AC387" i="3"/>
  <c r="AB387" i="3"/>
  <c r="X387" i="3"/>
  <c r="Z387" i="3"/>
  <c r="Y387" i="3"/>
  <c r="V387" i="3"/>
  <c r="W387" i="3"/>
  <c r="U387" i="3"/>
  <c r="S387" i="3"/>
  <c r="R387" i="3"/>
  <c r="T387" i="3"/>
  <c r="Q387" i="3"/>
  <c r="O387" i="3"/>
  <c r="P387" i="3"/>
  <c r="N387" i="3"/>
  <c r="I387" i="3"/>
  <c r="L387" i="3"/>
  <c r="K387" i="3"/>
  <c r="M387" i="3"/>
  <c r="AP387" i="3"/>
  <c r="J387" i="3"/>
  <c r="AO387" i="3"/>
  <c r="G388" i="3"/>
  <c r="I389" i="1"/>
  <c r="J388" i="1"/>
  <c r="V388" i="1"/>
  <c r="Y388" i="1"/>
  <c r="Z388" i="1" s="1"/>
  <c r="G388" i="2"/>
  <c r="N388" i="1"/>
  <c r="O388" i="1"/>
  <c r="R388" i="1"/>
  <c r="S388" i="1"/>
  <c r="W388" i="1" s="1"/>
  <c r="H388" i="3" l="1"/>
  <c r="AR388" i="3"/>
  <c r="AQ388" i="3"/>
  <c r="AN388" i="3"/>
  <c r="AM388" i="3"/>
  <c r="AJ388" i="3"/>
  <c r="AL388" i="3"/>
  <c r="AK388" i="3"/>
  <c r="AG388" i="3"/>
  <c r="AI388" i="3"/>
  <c r="AF388" i="3"/>
  <c r="AH388" i="3"/>
  <c r="AD388" i="3"/>
  <c r="AE388" i="3"/>
  <c r="AC388" i="3"/>
  <c r="AB388" i="3"/>
  <c r="AA388" i="3"/>
  <c r="Z388" i="3"/>
  <c r="Y388" i="3"/>
  <c r="X388" i="3"/>
  <c r="V388" i="3"/>
  <c r="W388" i="3"/>
  <c r="S388" i="3"/>
  <c r="U388" i="3"/>
  <c r="T388" i="3"/>
  <c r="R388" i="3"/>
  <c r="N388" i="3"/>
  <c r="Q388" i="3"/>
  <c r="O388" i="3"/>
  <c r="P388" i="3"/>
  <c r="L388" i="3"/>
  <c r="M388" i="3"/>
  <c r="I388" i="3"/>
  <c r="AP388" i="3"/>
  <c r="J388" i="3"/>
  <c r="AO388" i="3"/>
  <c r="K388" i="3"/>
  <c r="G389" i="3"/>
  <c r="I390" i="1"/>
  <c r="V389" i="1"/>
  <c r="J389" i="1"/>
  <c r="G389" i="2"/>
  <c r="Y389" i="1"/>
  <c r="Z389" i="1" s="1"/>
  <c r="S389" i="1"/>
  <c r="N389" i="1"/>
  <c r="R389" i="1"/>
  <c r="O389" i="1"/>
  <c r="H388" i="2"/>
  <c r="AQ388" i="2"/>
  <c r="AR388" i="2"/>
  <c r="AN388" i="2"/>
  <c r="AM388" i="2"/>
  <c r="AJ388" i="2"/>
  <c r="AL388" i="2"/>
  <c r="AK388" i="2"/>
  <c r="AI388" i="2"/>
  <c r="AH388" i="2"/>
  <c r="AF388" i="2"/>
  <c r="AG388" i="2"/>
  <c r="AD388" i="2"/>
  <c r="AE388" i="2"/>
  <c r="AC388" i="2"/>
  <c r="AA388" i="2"/>
  <c r="AB388" i="2"/>
  <c r="Y388" i="2"/>
  <c r="Z388" i="2"/>
  <c r="X388" i="2"/>
  <c r="W388" i="2"/>
  <c r="S388" i="2"/>
  <c r="U388" i="2"/>
  <c r="V388" i="2"/>
  <c r="T388" i="2"/>
  <c r="P388" i="2"/>
  <c r="R388" i="2"/>
  <c r="Q388" i="2"/>
  <c r="N388" i="2"/>
  <c r="O388" i="2"/>
  <c r="J388" i="2"/>
  <c r="L388" i="2"/>
  <c r="M388" i="2"/>
  <c r="K388" i="2"/>
  <c r="I388" i="2"/>
  <c r="AP388" i="2"/>
  <c r="AO388" i="2"/>
  <c r="L388" i="1"/>
  <c r="P388" i="1" s="1"/>
  <c r="AA388" i="1"/>
  <c r="G390" i="3" l="1"/>
  <c r="I391" i="1"/>
  <c r="V390" i="1"/>
  <c r="J390" i="1"/>
  <c r="G390" i="2"/>
  <c r="Y390" i="1"/>
  <c r="Z390" i="1" s="1"/>
  <c r="S390" i="1"/>
  <c r="W390" i="1" s="1"/>
  <c r="N390" i="1"/>
  <c r="R390" i="1"/>
  <c r="O390" i="1"/>
  <c r="L389" i="1"/>
  <c r="P389" i="1" s="1"/>
  <c r="AA389" i="1"/>
  <c r="H389" i="3"/>
  <c r="AQ389" i="3"/>
  <c r="AR389" i="3"/>
  <c r="AN389" i="3"/>
  <c r="AM389" i="3"/>
  <c r="AL389" i="3"/>
  <c r="AK389" i="3"/>
  <c r="AG389" i="3"/>
  <c r="AJ389" i="3"/>
  <c r="AI389" i="3"/>
  <c r="AF389" i="3"/>
  <c r="AH389" i="3"/>
  <c r="AE389" i="3"/>
  <c r="AB389" i="3"/>
  <c r="AD389" i="3"/>
  <c r="AC389" i="3"/>
  <c r="Z389" i="3"/>
  <c r="Y389" i="3"/>
  <c r="AA389" i="3"/>
  <c r="X389" i="3"/>
  <c r="V389" i="3"/>
  <c r="W389" i="3"/>
  <c r="S389" i="3"/>
  <c r="U389" i="3"/>
  <c r="R389" i="3"/>
  <c r="Q389" i="3"/>
  <c r="T389" i="3"/>
  <c r="P389" i="3"/>
  <c r="N389" i="3"/>
  <c r="O389" i="3"/>
  <c r="L389" i="3"/>
  <c r="I389" i="3"/>
  <c r="K389" i="3"/>
  <c r="M389" i="3"/>
  <c r="J389" i="3"/>
  <c r="AP389" i="3"/>
  <c r="AO389" i="3"/>
  <c r="W389" i="1"/>
  <c r="H389" i="2"/>
  <c r="AQ389" i="2"/>
  <c r="AR389" i="2"/>
  <c r="AN389" i="2"/>
  <c r="AK389" i="2"/>
  <c r="AM389" i="2"/>
  <c r="AL389" i="2"/>
  <c r="AI389" i="2"/>
  <c r="AH389" i="2"/>
  <c r="AJ389" i="2"/>
  <c r="AG389" i="2"/>
  <c r="AF389" i="2"/>
  <c r="AB389" i="2"/>
  <c r="AD389" i="2"/>
  <c r="AE389" i="2"/>
  <c r="AC389" i="2"/>
  <c r="AA389" i="2"/>
  <c r="Y389" i="2"/>
  <c r="Z389" i="2"/>
  <c r="W389" i="2"/>
  <c r="X389" i="2"/>
  <c r="U389" i="2"/>
  <c r="V389" i="2"/>
  <c r="T389" i="2"/>
  <c r="S389" i="2"/>
  <c r="R389" i="2"/>
  <c r="Q389" i="2"/>
  <c r="P389" i="2"/>
  <c r="O389" i="2"/>
  <c r="L389" i="2"/>
  <c r="N389" i="2"/>
  <c r="M389" i="2"/>
  <c r="K389" i="2"/>
  <c r="AO389" i="2"/>
  <c r="I389" i="2"/>
  <c r="J389" i="2"/>
  <c r="AP389" i="2"/>
  <c r="L390" i="1" l="1"/>
  <c r="P390" i="1" s="1"/>
  <c r="AA390" i="1"/>
  <c r="I392" i="1"/>
  <c r="G391" i="3"/>
  <c r="V391" i="1"/>
  <c r="J391" i="1"/>
  <c r="Y391" i="1"/>
  <c r="Z391" i="1" s="1"/>
  <c r="G391" i="2"/>
  <c r="O391" i="1"/>
  <c r="R391" i="1"/>
  <c r="N391" i="1"/>
  <c r="S391" i="1"/>
  <c r="H390" i="2"/>
  <c r="AR390" i="2"/>
  <c r="AQ390" i="2"/>
  <c r="AN390" i="2"/>
  <c r="AL390" i="2"/>
  <c r="AK390" i="2"/>
  <c r="AM390" i="2"/>
  <c r="AI390" i="2"/>
  <c r="AH390" i="2"/>
  <c r="AJ390" i="2"/>
  <c r="AG390" i="2"/>
  <c r="AF390" i="2"/>
  <c r="AD390" i="2"/>
  <c r="AE390" i="2"/>
  <c r="AC390" i="2"/>
  <c r="AA390" i="2"/>
  <c r="AB390" i="2"/>
  <c r="Z390" i="2"/>
  <c r="W390" i="2"/>
  <c r="Y390" i="2"/>
  <c r="X390" i="2"/>
  <c r="U390" i="2"/>
  <c r="V390" i="2"/>
  <c r="T390" i="2"/>
  <c r="P390" i="2"/>
  <c r="S390" i="2"/>
  <c r="R390" i="2"/>
  <c r="O390" i="2"/>
  <c r="Q390" i="2"/>
  <c r="M390" i="2"/>
  <c r="J390" i="2"/>
  <c r="N390" i="2"/>
  <c r="K390" i="2"/>
  <c r="L390" i="2"/>
  <c r="AO390" i="2"/>
  <c r="I390" i="2"/>
  <c r="AP390" i="2"/>
  <c r="H390" i="3"/>
  <c r="AQ390" i="3"/>
  <c r="AR390" i="3"/>
  <c r="AN390" i="3"/>
  <c r="AM390" i="3"/>
  <c r="AL390" i="3"/>
  <c r="AK390" i="3"/>
  <c r="AI390" i="3"/>
  <c r="AJ390" i="3"/>
  <c r="AH390" i="3"/>
  <c r="AF390" i="3"/>
  <c r="AE390" i="3"/>
  <c r="AG390" i="3"/>
  <c r="AB390" i="3"/>
  <c r="AD390" i="3"/>
  <c r="AC390" i="3"/>
  <c r="Z390" i="3"/>
  <c r="Y390" i="3"/>
  <c r="AA390" i="3"/>
  <c r="W390" i="3"/>
  <c r="X390" i="3"/>
  <c r="V390" i="3"/>
  <c r="S390" i="3"/>
  <c r="U390" i="3"/>
  <c r="P390" i="3"/>
  <c r="R390" i="3"/>
  <c r="Q390" i="3"/>
  <c r="T390" i="3"/>
  <c r="L390" i="3"/>
  <c r="N390" i="3"/>
  <c r="O390" i="3"/>
  <c r="J390" i="3"/>
  <c r="K390" i="3"/>
  <c r="M390" i="3"/>
  <c r="I390" i="3"/>
  <c r="AP390" i="3"/>
  <c r="AO390" i="3"/>
  <c r="H391" i="2" l="1"/>
  <c r="AR391" i="2"/>
  <c r="AQ391" i="2"/>
  <c r="AN391" i="2"/>
  <c r="AL391" i="2"/>
  <c r="AK391" i="2"/>
  <c r="AM391" i="2"/>
  <c r="AI391" i="2"/>
  <c r="AH391" i="2"/>
  <c r="AJ391" i="2"/>
  <c r="AG391" i="2"/>
  <c r="AD391" i="2"/>
  <c r="AF391" i="2"/>
  <c r="AC391" i="2"/>
  <c r="AE391" i="2"/>
  <c r="AB391" i="2"/>
  <c r="AA391" i="2"/>
  <c r="Z391" i="2"/>
  <c r="U391" i="2"/>
  <c r="W391" i="2"/>
  <c r="Y391" i="2"/>
  <c r="X391" i="2"/>
  <c r="V391" i="2"/>
  <c r="T391" i="2"/>
  <c r="S391" i="2"/>
  <c r="R391" i="2"/>
  <c r="Q391" i="2"/>
  <c r="O391" i="2"/>
  <c r="P391" i="2"/>
  <c r="M391" i="2"/>
  <c r="N391" i="2"/>
  <c r="L391" i="2"/>
  <c r="K391" i="2"/>
  <c r="J391" i="2"/>
  <c r="I391" i="2"/>
  <c r="AP391" i="2"/>
  <c r="AO391" i="2"/>
  <c r="L391" i="1"/>
  <c r="P391" i="1" s="1"/>
  <c r="AA391" i="1"/>
  <c r="H391" i="3"/>
  <c r="AQ391" i="3"/>
  <c r="AR391" i="3"/>
  <c r="AN391" i="3"/>
  <c r="AL391" i="3"/>
  <c r="AK391" i="3"/>
  <c r="AM391" i="3"/>
  <c r="AH391" i="3"/>
  <c r="AI391" i="3"/>
  <c r="AJ391" i="3"/>
  <c r="AE391" i="3"/>
  <c r="AG391" i="3"/>
  <c r="AF391" i="3"/>
  <c r="AB391" i="3"/>
  <c r="AD391" i="3"/>
  <c r="AC391" i="3"/>
  <c r="W391" i="3"/>
  <c r="Z391" i="3"/>
  <c r="Y391" i="3"/>
  <c r="AA391" i="3"/>
  <c r="X391" i="3"/>
  <c r="U391" i="3"/>
  <c r="V391" i="3"/>
  <c r="T391" i="3"/>
  <c r="R391" i="3"/>
  <c r="S391" i="3"/>
  <c r="Q391" i="3"/>
  <c r="P391" i="3"/>
  <c r="O391" i="3"/>
  <c r="M391" i="3"/>
  <c r="J391" i="3"/>
  <c r="N391" i="3"/>
  <c r="L391" i="3"/>
  <c r="K391" i="3"/>
  <c r="AO391" i="3"/>
  <c r="I391" i="3"/>
  <c r="AP391" i="3"/>
  <c r="G392" i="3"/>
  <c r="I393" i="1"/>
  <c r="V392" i="1"/>
  <c r="J392" i="1"/>
  <c r="G392" i="2"/>
  <c r="Y392" i="1"/>
  <c r="Z392" i="1" s="1"/>
  <c r="S392" i="1"/>
  <c r="W392" i="1" s="1"/>
  <c r="N392" i="1"/>
  <c r="O392" i="1"/>
  <c r="R392" i="1"/>
  <c r="W391" i="1"/>
  <c r="G393" i="3" l="1"/>
  <c r="I394" i="1"/>
  <c r="J393" i="1"/>
  <c r="V393" i="1"/>
  <c r="G393" i="2"/>
  <c r="Y393" i="1"/>
  <c r="Z393" i="1" s="1"/>
  <c r="N393" i="1"/>
  <c r="O393" i="1"/>
  <c r="R393" i="1"/>
  <c r="S393" i="1"/>
  <c r="H392" i="3"/>
  <c r="AR392" i="3"/>
  <c r="AQ392" i="3"/>
  <c r="AN392" i="3"/>
  <c r="AL392" i="3"/>
  <c r="AK392" i="3"/>
  <c r="AM392" i="3"/>
  <c r="AH392" i="3"/>
  <c r="AI392" i="3"/>
  <c r="AJ392" i="3"/>
  <c r="AE392" i="3"/>
  <c r="AG392" i="3"/>
  <c r="AF392" i="3"/>
  <c r="AD392" i="3"/>
  <c r="AC392" i="3"/>
  <c r="AB392" i="3"/>
  <c r="AA392" i="3"/>
  <c r="Z392" i="3"/>
  <c r="Y392" i="3"/>
  <c r="X392" i="3"/>
  <c r="V392" i="3"/>
  <c r="W392" i="3"/>
  <c r="U392" i="3"/>
  <c r="T392" i="3"/>
  <c r="P392" i="3"/>
  <c r="R392" i="3"/>
  <c r="S392" i="3"/>
  <c r="O392" i="3"/>
  <c r="Q392" i="3"/>
  <c r="M392" i="3"/>
  <c r="J392" i="3"/>
  <c r="N392" i="3"/>
  <c r="L392" i="3"/>
  <c r="I392" i="3"/>
  <c r="AP392" i="3"/>
  <c r="K392" i="3"/>
  <c r="AO392" i="3"/>
  <c r="H392" i="2"/>
  <c r="AR392" i="2"/>
  <c r="AQ392" i="2"/>
  <c r="AN392" i="2"/>
  <c r="AM392" i="2"/>
  <c r="AI392" i="2"/>
  <c r="AL392" i="2"/>
  <c r="AK392" i="2"/>
  <c r="AJ392" i="2"/>
  <c r="AH392" i="2"/>
  <c r="AG392" i="2"/>
  <c r="AF392" i="2"/>
  <c r="AE392" i="2"/>
  <c r="AC392" i="2"/>
  <c r="AD392" i="2"/>
  <c r="AB392" i="2"/>
  <c r="Z392" i="2"/>
  <c r="AA392" i="2"/>
  <c r="X392" i="2"/>
  <c r="U392" i="2"/>
  <c r="W392" i="2"/>
  <c r="Y392" i="2"/>
  <c r="V392" i="2"/>
  <c r="T392" i="2"/>
  <c r="Q392" i="2"/>
  <c r="S392" i="2"/>
  <c r="R392" i="2"/>
  <c r="M392" i="2"/>
  <c r="O392" i="2"/>
  <c r="P392" i="2"/>
  <c r="K392" i="2"/>
  <c r="N392" i="2"/>
  <c r="L392" i="2"/>
  <c r="AP392" i="2"/>
  <c r="J392" i="2"/>
  <c r="I392" i="2"/>
  <c r="AO392" i="2"/>
  <c r="L392" i="1"/>
  <c r="P392" i="1" s="1"/>
  <c r="AA392" i="1"/>
  <c r="H393" i="2" l="1"/>
  <c r="AR393" i="2"/>
  <c r="AQ393" i="2"/>
  <c r="AM393" i="2"/>
  <c r="AN393" i="2"/>
  <c r="AL393" i="2"/>
  <c r="AK393" i="2"/>
  <c r="AJ393" i="2"/>
  <c r="AH393" i="2"/>
  <c r="AI393" i="2"/>
  <c r="AG393" i="2"/>
  <c r="AF393" i="2"/>
  <c r="AE393" i="2"/>
  <c r="AC393" i="2"/>
  <c r="AD393" i="2"/>
  <c r="AB393" i="2"/>
  <c r="X393" i="2"/>
  <c r="Z393" i="2"/>
  <c r="AA393" i="2"/>
  <c r="Y393" i="2"/>
  <c r="V393" i="2"/>
  <c r="T393" i="2"/>
  <c r="U393" i="2"/>
  <c r="W393" i="2"/>
  <c r="Q393" i="2"/>
  <c r="S393" i="2"/>
  <c r="R393" i="2"/>
  <c r="P393" i="2"/>
  <c r="O393" i="2"/>
  <c r="M393" i="2"/>
  <c r="K393" i="2"/>
  <c r="N393" i="2"/>
  <c r="L393" i="2"/>
  <c r="AP393" i="2"/>
  <c r="J393" i="2"/>
  <c r="I393" i="2"/>
  <c r="AO393" i="2"/>
  <c r="L393" i="1"/>
  <c r="P393" i="1" s="1"/>
  <c r="AA393" i="1"/>
  <c r="G394" i="3"/>
  <c r="I395" i="1"/>
  <c r="V394" i="1"/>
  <c r="J394" i="1"/>
  <c r="G394" i="2"/>
  <c r="Y394" i="1"/>
  <c r="Z394" i="1" s="1"/>
  <c r="O394" i="1"/>
  <c r="N394" i="1"/>
  <c r="R394" i="1"/>
  <c r="S394" i="1"/>
  <c r="W393" i="1"/>
  <c r="H393" i="3"/>
  <c r="AR393" i="3"/>
  <c r="AQ393" i="3"/>
  <c r="AN393" i="3"/>
  <c r="AM393" i="3"/>
  <c r="AL393" i="3"/>
  <c r="AK393" i="3"/>
  <c r="AI393" i="3"/>
  <c r="AH393" i="3"/>
  <c r="AJ393" i="3"/>
  <c r="AF393" i="3"/>
  <c r="AD393" i="3"/>
  <c r="AG393" i="3"/>
  <c r="AC393" i="3"/>
  <c r="AE393" i="3"/>
  <c r="AA393" i="3"/>
  <c r="AB393" i="3"/>
  <c r="W393" i="3"/>
  <c r="Z393" i="3"/>
  <c r="U393" i="3"/>
  <c r="X393" i="3"/>
  <c r="Y393" i="3"/>
  <c r="T393" i="3"/>
  <c r="V393" i="3"/>
  <c r="S393" i="3"/>
  <c r="R393" i="3"/>
  <c r="Q393" i="3"/>
  <c r="O393" i="3"/>
  <c r="P393" i="3"/>
  <c r="M393" i="3"/>
  <c r="N393" i="3"/>
  <c r="L393" i="3"/>
  <c r="K393" i="3"/>
  <c r="AO393" i="3"/>
  <c r="I393" i="3"/>
  <c r="J393" i="3"/>
  <c r="AP393" i="3"/>
  <c r="H394" i="2" l="1"/>
  <c r="AR394" i="2"/>
  <c r="AQ394" i="2"/>
  <c r="AM394" i="2"/>
  <c r="AN394" i="2"/>
  <c r="AK394" i="2"/>
  <c r="AI394" i="2"/>
  <c r="AL394" i="2"/>
  <c r="AJ394" i="2"/>
  <c r="AH394" i="2"/>
  <c r="AG394" i="2"/>
  <c r="AF394" i="2"/>
  <c r="AE394" i="2"/>
  <c r="Z394" i="2"/>
  <c r="AC394" i="2"/>
  <c r="AD394" i="2"/>
  <c r="AB394" i="2"/>
  <c r="X394" i="2"/>
  <c r="AA394" i="2"/>
  <c r="W394" i="2"/>
  <c r="Y394" i="2"/>
  <c r="V394" i="2"/>
  <c r="U394" i="2"/>
  <c r="T394" i="2"/>
  <c r="Q394" i="2"/>
  <c r="S394" i="2"/>
  <c r="R394" i="2"/>
  <c r="P394" i="2"/>
  <c r="M394" i="2"/>
  <c r="K394" i="2"/>
  <c r="N394" i="2"/>
  <c r="O394" i="2"/>
  <c r="L394" i="2"/>
  <c r="I394" i="2"/>
  <c r="AO394" i="2"/>
  <c r="AP394" i="2"/>
  <c r="J394" i="2"/>
  <c r="L394" i="1"/>
  <c r="P394" i="1" s="1"/>
  <c r="AA394" i="1"/>
  <c r="G395" i="3"/>
  <c r="I396" i="1"/>
  <c r="V395" i="1"/>
  <c r="J395" i="1"/>
  <c r="G395" i="2"/>
  <c r="Y395" i="1"/>
  <c r="Z395" i="1" s="1"/>
  <c r="S395" i="1"/>
  <c r="W395" i="1" s="1"/>
  <c r="N395" i="1"/>
  <c r="R395" i="1"/>
  <c r="O395" i="1"/>
  <c r="W394" i="1"/>
  <c r="H394" i="3"/>
  <c r="AQ394" i="3"/>
  <c r="AR394" i="3"/>
  <c r="AN394" i="3"/>
  <c r="AM394" i="3"/>
  <c r="AL394" i="3"/>
  <c r="AI394" i="3"/>
  <c r="AK394" i="3"/>
  <c r="AJ394" i="3"/>
  <c r="AE394" i="3"/>
  <c r="AH394" i="3"/>
  <c r="AF394" i="3"/>
  <c r="AG394" i="3"/>
  <c r="AC394" i="3"/>
  <c r="AD394" i="3"/>
  <c r="AA394" i="3"/>
  <c r="AB394" i="3"/>
  <c r="Z394" i="3"/>
  <c r="Y394" i="3"/>
  <c r="X394" i="3"/>
  <c r="W394" i="3"/>
  <c r="U394" i="3"/>
  <c r="V394" i="3"/>
  <c r="R394" i="3"/>
  <c r="T394" i="3"/>
  <c r="Q394" i="3"/>
  <c r="S394" i="3"/>
  <c r="P394" i="3"/>
  <c r="M394" i="3"/>
  <c r="O394" i="3"/>
  <c r="K394" i="3"/>
  <c r="N394" i="3"/>
  <c r="L394" i="3"/>
  <c r="AO394" i="3"/>
  <c r="I394" i="3"/>
  <c r="J394" i="3"/>
  <c r="AP394" i="3"/>
  <c r="H395" i="2" l="1"/>
  <c r="AR395" i="2"/>
  <c r="AQ395" i="2"/>
  <c r="AN395" i="2"/>
  <c r="AM395" i="2"/>
  <c r="AL395" i="2"/>
  <c r="AK395" i="2"/>
  <c r="AJ395" i="2"/>
  <c r="AI395" i="2"/>
  <c r="AH395" i="2"/>
  <c r="AF395" i="2"/>
  <c r="AE395" i="2"/>
  <c r="AG395" i="2"/>
  <c r="AD395" i="2"/>
  <c r="AB395" i="2"/>
  <c r="AC395" i="2"/>
  <c r="Z395" i="2"/>
  <c r="X395" i="2"/>
  <c r="AA395" i="2"/>
  <c r="Y395" i="2"/>
  <c r="V395" i="2"/>
  <c r="W395" i="2"/>
  <c r="U395" i="2"/>
  <c r="S395" i="2"/>
  <c r="T395" i="2"/>
  <c r="R395" i="2"/>
  <c r="P395" i="2"/>
  <c r="Q395" i="2"/>
  <c r="N395" i="2"/>
  <c r="M395" i="2"/>
  <c r="O395" i="2"/>
  <c r="L395" i="2"/>
  <c r="AO395" i="2"/>
  <c r="K395" i="2"/>
  <c r="I395" i="2"/>
  <c r="J395" i="2"/>
  <c r="AP395" i="2"/>
  <c r="L395" i="1"/>
  <c r="P395" i="1" s="1"/>
  <c r="AA395" i="1"/>
  <c r="G396" i="3"/>
  <c r="I397" i="1"/>
  <c r="V396" i="1"/>
  <c r="J396" i="1"/>
  <c r="G396" i="2"/>
  <c r="Y396" i="1"/>
  <c r="Z396" i="1" s="1"/>
  <c r="R396" i="1"/>
  <c r="O396" i="1"/>
  <c r="S396" i="1"/>
  <c r="W396" i="1" s="1"/>
  <c r="N396" i="1"/>
  <c r="H395" i="3"/>
  <c r="AN395" i="3"/>
  <c r="AQ395" i="3"/>
  <c r="AR395" i="3"/>
  <c r="AM395" i="3"/>
  <c r="AL395" i="3"/>
  <c r="AK395" i="3"/>
  <c r="AI395" i="3"/>
  <c r="AJ395" i="3"/>
  <c r="AH395" i="3"/>
  <c r="AG395" i="3"/>
  <c r="AF395" i="3"/>
  <c r="AD395" i="3"/>
  <c r="AC395" i="3"/>
  <c r="AE395" i="3"/>
  <c r="AA395" i="3"/>
  <c r="AB395" i="3"/>
  <c r="X395" i="3"/>
  <c r="Z395" i="3"/>
  <c r="Y395" i="3"/>
  <c r="W395" i="3"/>
  <c r="U395" i="3"/>
  <c r="V395" i="3"/>
  <c r="R395" i="3"/>
  <c r="T395" i="3"/>
  <c r="Q395" i="3"/>
  <c r="S395" i="3"/>
  <c r="P395" i="3"/>
  <c r="O395" i="3"/>
  <c r="K395" i="3"/>
  <c r="M395" i="3"/>
  <c r="N395" i="3"/>
  <c r="L395" i="3"/>
  <c r="AO395" i="3"/>
  <c r="I395" i="3"/>
  <c r="J395" i="3"/>
  <c r="AP395" i="3"/>
  <c r="H396" i="2" l="1"/>
  <c r="AR396" i="2"/>
  <c r="AQ396" i="2"/>
  <c r="AN396" i="2"/>
  <c r="AM396" i="2"/>
  <c r="AL396" i="2"/>
  <c r="AJ396" i="2"/>
  <c r="AK396" i="2"/>
  <c r="AF396" i="2"/>
  <c r="AI396" i="2"/>
  <c r="AH396" i="2"/>
  <c r="AE396" i="2"/>
  <c r="AG396" i="2"/>
  <c r="AD396" i="2"/>
  <c r="AB396" i="2"/>
  <c r="AC396" i="2"/>
  <c r="AA396" i="2"/>
  <c r="Z396" i="2"/>
  <c r="Y396" i="2"/>
  <c r="V396" i="2"/>
  <c r="W396" i="2"/>
  <c r="X396" i="2"/>
  <c r="S396" i="2"/>
  <c r="U396" i="2"/>
  <c r="R396" i="2"/>
  <c r="T396" i="2"/>
  <c r="N396" i="2"/>
  <c r="P396" i="2"/>
  <c r="Q396" i="2"/>
  <c r="L396" i="2"/>
  <c r="M396" i="2"/>
  <c r="O396" i="2"/>
  <c r="AO396" i="2"/>
  <c r="K396" i="2"/>
  <c r="I396" i="2"/>
  <c r="J396" i="2"/>
  <c r="AP396" i="2"/>
  <c r="L396" i="1"/>
  <c r="P396" i="1" s="1"/>
  <c r="AA396" i="1"/>
  <c r="G397" i="3"/>
  <c r="I398" i="1"/>
  <c r="V397" i="1"/>
  <c r="J397" i="1"/>
  <c r="G397" i="2"/>
  <c r="Y397" i="1"/>
  <c r="Z397" i="1" s="1"/>
  <c r="S397" i="1"/>
  <c r="N397" i="1"/>
  <c r="O397" i="1"/>
  <c r="R397" i="1"/>
  <c r="H396" i="3"/>
  <c r="AR396" i="3"/>
  <c r="AN396" i="3"/>
  <c r="AQ396" i="3"/>
  <c r="AM396" i="3"/>
  <c r="AL396" i="3"/>
  <c r="AJ396" i="3"/>
  <c r="AK396" i="3"/>
  <c r="AI396" i="3"/>
  <c r="AG396" i="3"/>
  <c r="AH396" i="3"/>
  <c r="AF396" i="3"/>
  <c r="AC396" i="3"/>
  <c r="AE396" i="3"/>
  <c r="AD396" i="3"/>
  <c r="Z396" i="3"/>
  <c r="AA396" i="3"/>
  <c r="AB396" i="3"/>
  <c r="X396" i="3"/>
  <c r="Y396" i="3"/>
  <c r="W396" i="3"/>
  <c r="V396" i="3"/>
  <c r="R396" i="3"/>
  <c r="T396" i="3"/>
  <c r="U396" i="3"/>
  <c r="O396" i="3"/>
  <c r="Q396" i="3"/>
  <c r="S396" i="3"/>
  <c r="P396" i="3"/>
  <c r="M396" i="3"/>
  <c r="K396" i="3"/>
  <c r="N396" i="3"/>
  <c r="L396" i="3"/>
  <c r="I396" i="3"/>
  <c r="AO396" i="3"/>
  <c r="J396" i="3"/>
  <c r="AP396" i="3"/>
  <c r="W397" i="1" l="1"/>
  <c r="I399" i="1"/>
  <c r="G398" i="3"/>
  <c r="V398" i="1"/>
  <c r="J398" i="1"/>
  <c r="G398" i="2"/>
  <c r="Y398" i="1"/>
  <c r="Z398" i="1" s="1"/>
  <c r="N398" i="1"/>
  <c r="R398" i="1"/>
  <c r="O398" i="1"/>
  <c r="S398" i="1"/>
  <c r="L397" i="1"/>
  <c r="P397" i="1" s="1"/>
  <c r="AA397" i="1"/>
  <c r="H397" i="3"/>
  <c r="AN397" i="3"/>
  <c r="AQ397" i="3"/>
  <c r="AR397" i="3"/>
  <c r="AJ397" i="3"/>
  <c r="AL397" i="3"/>
  <c r="AM397" i="3"/>
  <c r="AK397" i="3"/>
  <c r="AG397" i="3"/>
  <c r="AH397" i="3"/>
  <c r="AI397" i="3"/>
  <c r="AF397" i="3"/>
  <c r="AA397" i="3"/>
  <c r="AC397" i="3"/>
  <c r="AE397" i="3"/>
  <c r="AD397" i="3"/>
  <c r="AB397" i="3"/>
  <c r="X397" i="3"/>
  <c r="Z397" i="3"/>
  <c r="Y397" i="3"/>
  <c r="V397" i="3"/>
  <c r="W397" i="3"/>
  <c r="U397" i="3"/>
  <c r="S397" i="3"/>
  <c r="R397" i="3"/>
  <c r="T397" i="3"/>
  <c r="P397" i="3"/>
  <c r="Q397" i="3"/>
  <c r="N397" i="3"/>
  <c r="I397" i="3"/>
  <c r="O397" i="3"/>
  <c r="M397" i="3"/>
  <c r="K397" i="3"/>
  <c r="L397" i="3"/>
  <c r="AP397" i="3"/>
  <c r="AO397" i="3"/>
  <c r="J397" i="3"/>
  <c r="H397" i="2"/>
  <c r="AR397" i="2"/>
  <c r="AQ397" i="2"/>
  <c r="AN397" i="2"/>
  <c r="AL397" i="2"/>
  <c r="AM397" i="2"/>
  <c r="AJ397" i="2"/>
  <c r="AK397" i="2"/>
  <c r="AI397" i="2"/>
  <c r="AH397" i="2"/>
  <c r="AG397" i="2"/>
  <c r="AF397" i="2"/>
  <c r="AE397" i="2"/>
  <c r="AD397" i="2"/>
  <c r="AB397" i="2"/>
  <c r="AA397" i="2"/>
  <c r="AC397" i="2"/>
  <c r="Y397" i="2"/>
  <c r="V397" i="2"/>
  <c r="W397" i="2"/>
  <c r="Z397" i="2"/>
  <c r="X397" i="2"/>
  <c r="U397" i="2"/>
  <c r="S397" i="2"/>
  <c r="R397" i="2"/>
  <c r="T397" i="2"/>
  <c r="P397" i="2"/>
  <c r="N397" i="2"/>
  <c r="Q397" i="2"/>
  <c r="O397" i="2"/>
  <c r="L397" i="2"/>
  <c r="I397" i="2"/>
  <c r="M397" i="2"/>
  <c r="J397" i="2"/>
  <c r="K397" i="2"/>
  <c r="AP397" i="2"/>
  <c r="AO397" i="2"/>
  <c r="L398" i="1" l="1"/>
  <c r="P398" i="1" s="1"/>
  <c r="AA398" i="1"/>
  <c r="H398" i="3"/>
  <c r="AR398" i="3"/>
  <c r="AQ398" i="3"/>
  <c r="AN398" i="3"/>
  <c r="AM398" i="3"/>
  <c r="AL398" i="3"/>
  <c r="AJ398" i="3"/>
  <c r="AK398" i="3"/>
  <c r="AG398" i="3"/>
  <c r="AF398" i="3"/>
  <c r="AH398" i="3"/>
  <c r="AI398" i="3"/>
  <c r="AD398" i="3"/>
  <c r="AC398" i="3"/>
  <c r="AE398" i="3"/>
  <c r="AB398" i="3"/>
  <c r="AA398" i="3"/>
  <c r="Z398" i="3"/>
  <c r="Y398" i="3"/>
  <c r="V398" i="3"/>
  <c r="W398" i="3"/>
  <c r="X398" i="3"/>
  <c r="S398" i="3"/>
  <c r="T398" i="3"/>
  <c r="U398" i="3"/>
  <c r="R398" i="3"/>
  <c r="N398" i="3"/>
  <c r="P398" i="3"/>
  <c r="O398" i="3"/>
  <c r="Q398" i="3"/>
  <c r="L398" i="3"/>
  <c r="M398" i="3"/>
  <c r="J398" i="3"/>
  <c r="AP398" i="3"/>
  <c r="AO398" i="3"/>
  <c r="I398" i="3"/>
  <c r="K398" i="3"/>
  <c r="W398" i="1"/>
  <c r="G399" i="3"/>
  <c r="I400" i="1"/>
  <c r="V399" i="1"/>
  <c r="J399" i="1"/>
  <c r="G399" i="2"/>
  <c r="Y399" i="1"/>
  <c r="Z399" i="1" s="1"/>
  <c r="R399" i="1"/>
  <c r="O399" i="1"/>
  <c r="S399" i="1"/>
  <c r="N399" i="1"/>
  <c r="H398" i="2"/>
  <c r="AR398" i="2"/>
  <c r="AQ398" i="2"/>
  <c r="AN398" i="2"/>
  <c r="AL398" i="2"/>
  <c r="AM398" i="2"/>
  <c r="AJ398" i="2"/>
  <c r="AK398" i="2"/>
  <c r="AH398" i="2"/>
  <c r="AF398" i="2"/>
  <c r="AI398" i="2"/>
  <c r="AG398" i="2"/>
  <c r="AD398" i="2"/>
  <c r="AE398" i="2"/>
  <c r="AB398" i="2"/>
  <c r="AA398" i="2"/>
  <c r="AC398" i="2"/>
  <c r="Y398" i="2"/>
  <c r="Z398" i="2"/>
  <c r="X398" i="2"/>
  <c r="W398" i="2"/>
  <c r="U398" i="2"/>
  <c r="S398" i="2"/>
  <c r="V398" i="2"/>
  <c r="P398" i="2"/>
  <c r="R398" i="2"/>
  <c r="T398" i="2"/>
  <c r="N398" i="2"/>
  <c r="Q398" i="2"/>
  <c r="O398" i="2"/>
  <c r="J398" i="2"/>
  <c r="L398" i="2"/>
  <c r="M398" i="2"/>
  <c r="I398" i="2"/>
  <c r="K398" i="2"/>
  <c r="AP398" i="2"/>
  <c r="AO398" i="2"/>
  <c r="H399" i="2" l="1"/>
  <c r="AQ399" i="2"/>
  <c r="AR399" i="2"/>
  <c r="AN399" i="2"/>
  <c r="AM399" i="2"/>
  <c r="AK399" i="2"/>
  <c r="AL399" i="2"/>
  <c r="AJ399" i="2"/>
  <c r="AH399" i="2"/>
  <c r="AI399" i="2"/>
  <c r="AG399" i="2"/>
  <c r="AF399" i="2"/>
  <c r="AD399" i="2"/>
  <c r="AB399" i="2"/>
  <c r="AE399" i="2"/>
  <c r="AA399" i="2"/>
  <c r="AC399" i="2"/>
  <c r="Y399" i="2"/>
  <c r="Z399" i="2"/>
  <c r="W399" i="2"/>
  <c r="X399" i="2"/>
  <c r="U399" i="2"/>
  <c r="V399" i="2"/>
  <c r="T399" i="2"/>
  <c r="R399" i="2"/>
  <c r="S399" i="2"/>
  <c r="P399" i="2"/>
  <c r="Q399" i="2"/>
  <c r="O399" i="2"/>
  <c r="L399" i="2"/>
  <c r="N399" i="2"/>
  <c r="M399" i="2"/>
  <c r="AO399" i="2"/>
  <c r="J399" i="2"/>
  <c r="I399" i="2"/>
  <c r="K399" i="2"/>
  <c r="AP399" i="2"/>
  <c r="L399" i="1"/>
  <c r="P399" i="1" s="1"/>
  <c r="AA399" i="1"/>
  <c r="H399" i="3"/>
  <c r="AQ399" i="3"/>
  <c r="AR399" i="3"/>
  <c r="AN399" i="3"/>
  <c r="AM399" i="3"/>
  <c r="AL399" i="3"/>
  <c r="AJ399" i="3"/>
  <c r="AK399" i="3"/>
  <c r="AG399" i="3"/>
  <c r="AI399" i="3"/>
  <c r="AF399" i="3"/>
  <c r="AH399" i="3"/>
  <c r="AE399" i="3"/>
  <c r="AB399" i="3"/>
  <c r="AD399" i="3"/>
  <c r="AC399" i="3"/>
  <c r="AA399" i="3"/>
  <c r="Y399" i="3"/>
  <c r="Z399" i="3"/>
  <c r="V399" i="3"/>
  <c r="W399" i="3"/>
  <c r="X399" i="3"/>
  <c r="S399" i="3"/>
  <c r="U399" i="3"/>
  <c r="Q399" i="3"/>
  <c r="T399" i="3"/>
  <c r="R399" i="3"/>
  <c r="P399" i="3"/>
  <c r="N399" i="3"/>
  <c r="O399" i="3"/>
  <c r="L399" i="3"/>
  <c r="I399" i="3"/>
  <c r="M399" i="3"/>
  <c r="K399" i="3"/>
  <c r="J399" i="3"/>
  <c r="AP399" i="3"/>
  <c r="AO399" i="3"/>
  <c r="G400" i="3"/>
  <c r="I401" i="1"/>
  <c r="J400" i="1"/>
  <c r="V400" i="1"/>
  <c r="G400" i="2"/>
  <c r="Y400" i="1"/>
  <c r="Z400" i="1" s="1"/>
  <c r="S400" i="1"/>
  <c r="W400" i="1" s="1"/>
  <c r="N400" i="1"/>
  <c r="O400" i="1"/>
  <c r="R400" i="1"/>
  <c r="W399" i="1"/>
  <c r="I402" i="1" l="1"/>
  <c r="G401" i="3"/>
  <c r="V401" i="1"/>
  <c r="J401" i="1"/>
  <c r="Y401" i="1"/>
  <c r="Z401" i="1" s="1"/>
  <c r="G401" i="2"/>
  <c r="R401" i="1"/>
  <c r="S401" i="1"/>
  <c r="W401" i="1" s="1"/>
  <c r="O401" i="1"/>
  <c r="N401" i="1"/>
  <c r="H400" i="3"/>
  <c r="AQ400" i="3"/>
  <c r="AR400" i="3"/>
  <c r="AM400" i="3"/>
  <c r="AN400" i="3"/>
  <c r="AK400" i="3"/>
  <c r="AL400" i="3"/>
  <c r="AJ400" i="3"/>
  <c r="AI400" i="3"/>
  <c r="AH400" i="3"/>
  <c r="AG400" i="3"/>
  <c r="AF400" i="3"/>
  <c r="AE400" i="3"/>
  <c r="AB400" i="3"/>
  <c r="AD400" i="3"/>
  <c r="AC400" i="3"/>
  <c r="Y400" i="3"/>
  <c r="AA400" i="3"/>
  <c r="Z400" i="3"/>
  <c r="W400" i="3"/>
  <c r="V400" i="3"/>
  <c r="X400" i="3"/>
  <c r="U400" i="3"/>
  <c r="S400" i="3"/>
  <c r="T400" i="3"/>
  <c r="R400" i="3"/>
  <c r="P400" i="3"/>
  <c r="Q400" i="3"/>
  <c r="L400" i="3"/>
  <c r="N400" i="3"/>
  <c r="O400" i="3"/>
  <c r="J400" i="3"/>
  <c r="M400" i="3"/>
  <c r="K400" i="3"/>
  <c r="AP400" i="3"/>
  <c r="AO400" i="3"/>
  <c r="I400" i="3"/>
  <c r="L400" i="1"/>
  <c r="P400" i="1" s="1"/>
  <c r="AA400" i="1"/>
  <c r="H400" i="2"/>
  <c r="AQ400" i="2"/>
  <c r="AR400" i="2"/>
  <c r="AL400" i="2"/>
  <c r="AN400" i="2"/>
  <c r="AM400" i="2"/>
  <c r="AK400" i="2"/>
  <c r="AJ400" i="2"/>
  <c r="AH400" i="2"/>
  <c r="AI400" i="2"/>
  <c r="AG400" i="2"/>
  <c r="AF400" i="2"/>
  <c r="AD400" i="2"/>
  <c r="AE400" i="2"/>
  <c r="AC400" i="2"/>
  <c r="AB400" i="2"/>
  <c r="AA400" i="2"/>
  <c r="Z400" i="2"/>
  <c r="Y400" i="2"/>
  <c r="W400" i="2"/>
  <c r="X400" i="2"/>
  <c r="U400" i="2"/>
  <c r="T400" i="2"/>
  <c r="V400" i="2"/>
  <c r="S400" i="2"/>
  <c r="P400" i="2"/>
  <c r="R400" i="2"/>
  <c r="O400" i="2"/>
  <c r="Q400" i="2"/>
  <c r="J400" i="2"/>
  <c r="N400" i="2"/>
  <c r="M400" i="2"/>
  <c r="L400" i="2"/>
  <c r="AO400" i="2"/>
  <c r="I400" i="2"/>
  <c r="K400" i="2"/>
  <c r="AP400" i="2"/>
  <c r="H401" i="2" l="1"/>
  <c r="AR401" i="2"/>
  <c r="AQ401" i="2"/>
  <c r="AL401" i="2"/>
  <c r="AN401" i="2"/>
  <c r="AM401" i="2"/>
  <c r="AK401" i="2"/>
  <c r="AI401" i="2"/>
  <c r="AJ401" i="2"/>
  <c r="AH401" i="2"/>
  <c r="AG401" i="2"/>
  <c r="AD401" i="2"/>
  <c r="AF401" i="2"/>
  <c r="AC401" i="2"/>
  <c r="AE401" i="2"/>
  <c r="AB401" i="2"/>
  <c r="AA401" i="2"/>
  <c r="Z401" i="2"/>
  <c r="U401" i="2"/>
  <c r="Y401" i="2"/>
  <c r="W401" i="2"/>
  <c r="X401" i="2"/>
  <c r="T401" i="2"/>
  <c r="V401" i="2"/>
  <c r="S401" i="2"/>
  <c r="R401" i="2"/>
  <c r="Q401" i="2"/>
  <c r="O401" i="2"/>
  <c r="P401" i="2"/>
  <c r="M401" i="2"/>
  <c r="L401" i="2"/>
  <c r="N401" i="2"/>
  <c r="K401" i="2"/>
  <c r="J401" i="2"/>
  <c r="I401" i="2"/>
  <c r="AP401" i="2"/>
  <c r="AO401" i="2"/>
  <c r="L401" i="1"/>
  <c r="P401" i="1" s="1"/>
  <c r="AA401" i="1"/>
  <c r="H401" i="3"/>
  <c r="AR401" i="3"/>
  <c r="AQ401" i="3"/>
  <c r="AM401" i="3"/>
  <c r="AN401" i="3"/>
  <c r="AL401" i="3"/>
  <c r="AK401" i="3"/>
  <c r="AH401" i="3"/>
  <c r="AJ401" i="3"/>
  <c r="AI401" i="3"/>
  <c r="AG401" i="3"/>
  <c r="AE401" i="3"/>
  <c r="AF401" i="3"/>
  <c r="AB401" i="3"/>
  <c r="AD401" i="3"/>
  <c r="AC401" i="3"/>
  <c r="Z401" i="3"/>
  <c r="W401" i="3"/>
  <c r="Y401" i="3"/>
  <c r="AA401" i="3"/>
  <c r="X401" i="3"/>
  <c r="U401" i="3"/>
  <c r="V401" i="3"/>
  <c r="T401" i="3"/>
  <c r="R401" i="3"/>
  <c r="S401" i="3"/>
  <c r="P401" i="3"/>
  <c r="O401" i="3"/>
  <c r="Q401" i="3"/>
  <c r="L401" i="3"/>
  <c r="J401" i="3"/>
  <c r="M401" i="3"/>
  <c r="K401" i="3"/>
  <c r="N401" i="3"/>
  <c r="AO401" i="3"/>
  <c r="AP401" i="3"/>
  <c r="I401" i="3"/>
  <c r="G402" i="3"/>
  <c r="I403" i="1"/>
  <c r="V402" i="1"/>
  <c r="J402" i="1"/>
  <c r="G402" i="2"/>
  <c r="Y402" i="1"/>
  <c r="Z402" i="1" s="1"/>
  <c r="S402" i="1"/>
  <c r="W402" i="1" s="1"/>
  <c r="N402" i="1"/>
  <c r="R402" i="1"/>
  <c r="O402" i="1"/>
  <c r="H402" i="3" l="1"/>
  <c r="AR402" i="3"/>
  <c r="AQ402" i="3"/>
  <c r="AL402" i="3"/>
  <c r="AN402" i="3"/>
  <c r="AK402" i="3"/>
  <c r="AM402" i="3"/>
  <c r="AH402" i="3"/>
  <c r="AJ402" i="3"/>
  <c r="AI402" i="3"/>
  <c r="AG402" i="3"/>
  <c r="AE402" i="3"/>
  <c r="AF402" i="3"/>
  <c r="AD402" i="3"/>
  <c r="AC402" i="3"/>
  <c r="AB402" i="3"/>
  <c r="Z402" i="3"/>
  <c r="Y402" i="3"/>
  <c r="AA402" i="3"/>
  <c r="X402" i="3"/>
  <c r="V402" i="3"/>
  <c r="U402" i="3"/>
  <c r="T402" i="3"/>
  <c r="W402" i="3"/>
  <c r="R402" i="3"/>
  <c r="P402" i="3"/>
  <c r="S402" i="3"/>
  <c r="Q402" i="3"/>
  <c r="O402" i="3"/>
  <c r="N402" i="3"/>
  <c r="L402" i="3"/>
  <c r="J402" i="3"/>
  <c r="M402" i="3"/>
  <c r="K402" i="3"/>
  <c r="I402" i="3"/>
  <c r="AP402" i="3"/>
  <c r="AO402" i="3"/>
  <c r="G403" i="3"/>
  <c r="I404" i="1"/>
  <c r="J403" i="1"/>
  <c r="V403" i="1"/>
  <c r="G403" i="2"/>
  <c r="Y403" i="1"/>
  <c r="Z403" i="1" s="1"/>
  <c r="N403" i="1"/>
  <c r="O403" i="1"/>
  <c r="R403" i="1"/>
  <c r="S403" i="1"/>
  <c r="W403" i="1" s="1"/>
  <c r="H402" i="2"/>
  <c r="AR402" i="2"/>
  <c r="AQ402" i="2"/>
  <c r="AN402" i="2"/>
  <c r="AM402" i="2"/>
  <c r="AI402" i="2"/>
  <c r="AL402" i="2"/>
  <c r="AK402" i="2"/>
  <c r="AG402" i="2"/>
  <c r="AJ402" i="2"/>
  <c r="AH402" i="2"/>
  <c r="AF402" i="2"/>
  <c r="AC402" i="2"/>
  <c r="AD402" i="2"/>
  <c r="AE402" i="2"/>
  <c r="AB402" i="2"/>
  <c r="Z402" i="2"/>
  <c r="AA402" i="2"/>
  <c r="X402" i="2"/>
  <c r="U402" i="2"/>
  <c r="Y402" i="2"/>
  <c r="W402" i="2"/>
  <c r="T402" i="2"/>
  <c r="V402" i="2"/>
  <c r="Q402" i="2"/>
  <c r="S402" i="2"/>
  <c r="R402" i="2"/>
  <c r="M402" i="2"/>
  <c r="O402" i="2"/>
  <c r="P402" i="2"/>
  <c r="K402" i="2"/>
  <c r="L402" i="2"/>
  <c r="N402" i="2"/>
  <c r="AP402" i="2"/>
  <c r="J402" i="2"/>
  <c r="I402" i="2"/>
  <c r="AO402" i="2"/>
  <c r="L402" i="1"/>
  <c r="P402" i="1" s="1"/>
  <c r="AA402" i="1"/>
  <c r="G404" i="3" l="1"/>
  <c r="I405" i="1"/>
  <c r="V404" i="1"/>
  <c r="J404" i="1"/>
  <c r="G404" i="2"/>
  <c r="Y404" i="1"/>
  <c r="Z404" i="1" s="1"/>
  <c r="O404" i="1"/>
  <c r="S404" i="1"/>
  <c r="W404" i="1" s="1"/>
  <c r="R404" i="1"/>
  <c r="N404" i="1"/>
  <c r="H403" i="3"/>
  <c r="AR403" i="3"/>
  <c r="AQ403" i="3"/>
  <c r="AM403" i="3"/>
  <c r="AL403" i="3"/>
  <c r="AN403" i="3"/>
  <c r="AK403" i="3"/>
  <c r="AI403" i="3"/>
  <c r="AH403" i="3"/>
  <c r="AJ403" i="3"/>
  <c r="AD403" i="3"/>
  <c r="AE403" i="3"/>
  <c r="AF403" i="3"/>
  <c r="AG403" i="3"/>
  <c r="AC403" i="3"/>
  <c r="AB403" i="3"/>
  <c r="Z403" i="3"/>
  <c r="W403" i="3"/>
  <c r="AA403" i="3"/>
  <c r="U403" i="3"/>
  <c r="X403" i="3"/>
  <c r="Y403" i="3"/>
  <c r="T403" i="3"/>
  <c r="V403" i="3"/>
  <c r="R403" i="3"/>
  <c r="S403" i="3"/>
  <c r="Q403" i="3"/>
  <c r="O403" i="3"/>
  <c r="P403" i="3"/>
  <c r="M403" i="3"/>
  <c r="N403" i="3"/>
  <c r="L403" i="3"/>
  <c r="K403" i="3"/>
  <c r="J403" i="3"/>
  <c r="I403" i="3"/>
  <c r="AP403" i="3"/>
  <c r="AO403" i="3"/>
  <c r="H403" i="2"/>
  <c r="AR403" i="2"/>
  <c r="AQ403" i="2"/>
  <c r="AN403" i="2"/>
  <c r="AM403" i="2"/>
  <c r="AL403" i="2"/>
  <c r="AK403" i="2"/>
  <c r="AI403" i="2"/>
  <c r="AJ403" i="2"/>
  <c r="AG403" i="2"/>
  <c r="AH403" i="2"/>
  <c r="AF403" i="2"/>
  <c r="AC403" i="2"/>
  <c r="AD403" i="2"/>
  <c r="AE403" i="2"/>
  <c r="AB403" i="2"/>
  <c r="X403" i="2"/>
  <c r="Y403" i="2"/>
  <c r="AA403" i="2"/>
  <c r="Z403" i="2"/>
  <c r="U403" i="2"/>
  <c r="T403" i="2"/>
  <c r="W403" i="2"/>
  <c r="V403" i="2"/>
  <c r="Q403" i="2"/>
  <c r="S403" i="2"/>
  <c r="R403" i="2"/>
  <c r="O403" i="2"/>
  <c r="P403" i="2"/>
  <c r="K403" i="2"/>
  <c r="L403" i="2"/>
  <c r="N403" i="2"/>
  <c r="M403" i="2"/>
  <c r="I403" i="2"/>
  <c r="AP403" i="2"/>
  <c r="J403" i="2"/>
  <c r="AO403" i="2"/>
  <c r="L403" i="1"/>
  <c r="P403" i="1" s="1"/>
  <c r="AA403" i="1"/>
  <c r="H404" i="2" l="1"/>
  <c r="AR404" i="2"/>
  <c r="AQ404" i="2"/>
  <c r="AN404" i="2"/>
  <c r="AM404" i="2"/>
  <c r="AI404" i="2"/>
  <c r="AL404" i="2"/>
  <c r="AK404" i="2"/>
  <c r="AJ404" i="2"/>
  <c r="AH404" i="2"/>
  <c r="AG404" i="2"/>
  <c r="AF404" i="2"/>
  <c r="AE404" i="2"/>
  <c r="AD404" i="2"/>
  <c r="Z404" i="2"/>
  <c r="AB404" i="2"/>
  <c r="AC404" i="2"/>
  <c r="X404" i="2"/>
  <c r="AA404" i="2"/>
  <c r="Y404" i="2"/>
  <c r="W404" i="2"/>
  <c r="V404" i="2"/>
  <c r="U404" i="2"/>
  <c r="Q404" i="2"/>
  <c r="S404" i="2"/>
  <c r="T404" i="2"/>
  <c r="R404" i="2"/>
  <c r="M404" i="2"/>
  <c r="P404" i="2"/>
  <c r="O404" i="2"/>
  <c r="K404" i="2"/>
  <c r="L404" i="2"/>
  <c r="N404" i="2"/>
  <c r="I404" i="2"/>
  <c r="J404" i="2"/>
  <c r="AO404" i="2"/>
  <c r="AP404" i="2"/>
  <c r="L404" i="1"/>
  <c r="P404" i="1" s="1"/>
  <c r="AA404" i="1"/>
  <c r="G405" i="3"/>
  <c r="I406" i="1"/>
  <c r="V405" i="1"/>
  <c r="J405" i="1"/>
  <c r="G405" i="2"/>
  <c r="Y405" i="1"/>
  <c r="Z405" i="1" s="1"/>
  <c r="S405" i="1"/>
  <c r="W405" i="1" s="1"/>
  <c r="O405" i="1"/>
  <c r="N405" i="1"/>
  <c r="R405" i="1"/>
  <c r="H404" i="3"/>
  <c r="AR404" i="3"/>
  <c r="AN404" i="3"/>
  <c r="AM404" i="3"/>
  <c r="AQ404" i="3"/>
  <c r="AL404" i="3"/>
  <c r="AI404" i="3"/>
  <c r="AK404" i="3"/>
  <c r="AJ404" i="3"/>
  <c r="AE404" i="3"/>
  <c r="AH404" i="3"/>
  <c r="AF404" i="3"/>
  <c r="AG404" i="3"/>
  <c r="AC404" i="3"/>
  <c r="AD404" i="3"/>
  <c r="AA404" i="3"/>
  <c r="AB404" i="3"/>
  <c r="Z404" i="3"/>
  <c r="Y404" i="3"/>
  <c r="X404" i="3"/>
  <c r="U404" i="3"/>
  <c r="W404" i="3"/>
  <c r="R404" i="3"/>
  <c r="T404" i="3"/>
  <c r="V404" i="3"/>
  <c r="Q404" i="3"/>
  <c r="S404" i="3"/>
  <c r="M404" i="3"/>
  <c r="O404" i="3"/>
  <c r="P404" i="3"/>
  <c r="K404" i="3"/>
  <c r="N404" i="3"/>
  <c r="L404" i="3"/>
  <c r="AO404" i="3"/>
  <c r="J404" i="3"/>
  <c r="I404" i="3"/>
  <c r="AP404" i="3"/>
  <c r="H405" i="2" l="1"/>
  <c r="AR405" i="2"/>
  <c r="AQ405" i="2"/>
  <c r="AN405" i="2"/>
  <c r="AM405" i="2"/>
  <c r="AL405" i="2"/>
  <c r="AK405" i="2"/>
  <c r="AJ405" i="2"/>
  <c r="AI405" i="2"/>
  <c r="AH405" i="2"/>
  <c r="AF405" i="2"/>
  <c r="AE405" i="2"/>
  <c r="AG405" i="2"/>
  <c r="AC405" i="2"/>
  <c r="AD405" i="2"/>
  <c r="AB405" i="2"/>
  <c r="Z405" i="2"/>
  <c r="X405" i="2"/>
  <c r="AA405" i="2"/>
  <c r="V405" i="2"/>
  <c r="Y405" i="2"/>
  <c r="W405" i="2"/>
  <c r="U405" i="2"/>
  <c r="S405" i="2"/>
  <c r="T405" i="2"/>
  <c r="R405" i="2"/>
  <c r="Q405" i="2"/>
  <c r="P405" i="2"/>
  <c r="N405" i="2"/>
  <c r="O405" i="2"/>
  <c r="M405" i="2"/>
  <c r="L405" i="2"/>
  <c r="J405" i="2"/>
  <c r="I405" i="2"/>
  <c r="AO405" i="2"/>
  <c r="K405" i="2"/>
  <c r="AP405" i="2"/>
  <c r="L405" i="1"/>
  <c r="P405" i="1" s="1"/>
  <c r="AA405" i="1"/>
  <c r="G406" i="3"/>
  <c r="I407" i="1"/>
  <c r="J406" i="1"/>
  <c r="V406" i="1"/>
  <c r="G406" i="2"/>
  <c r="Y406" i="1"/>
  <c r="Z406" i="1" s="1"/>
  <c r="R406" i="1"/>
  <c r="O406" i="1"/>
  <c r="S406" i="1"/>
  <c r="W406" i="1" s="1"/>
  <c r="N406" i="1"/>
  <c r="H405" i="3"/>
  <c r="AN405" i="3"/>
  <c r="AR405" i="3"/>
  <c r="AQ405" i="3"/>
  <c r="AM405" i="3"/>
  <c r="AL405" i="3"/>
  <c r="AI405" i="3"/>
  <c r="AK405" i="3"/>
  <c r="AJ405" i="3"/>
  <c r="AH405" i="3"/>
  <c r="AG405" i="3"/>
  <c r="AD405" i="3"/>
  <c r="AF405" i="3"/>
  <c r="AE405" i="3"/>
  <c r="AC405" i="3"/>
  <c r="AB405" i="3"/>
  <c r="AA405" i="3"/>
  <c r="X405" i="3"/>
  <c r="Z405" i="3"/>
  <c r="Y405" i="3"/>
  <c r="U405" i="3"/>
  <c r="W405" i="3"/>
  <c r="R405" i="3"/>
  <c r="T405" i="3"/>
  <c r="V405" i="3"/>
  <c r="Q405" i="3"/>
  <c r="S405" i="3"/>
  <c r="O405" i="3"/>
  <c r="P405" i="3"/>
  <c r="K405" i="3"/>
  <c r="N405" i="3"/>
  <c r="L405" i="3"/>
  <c r="M405" i="3"/>
  <c r="AO405" i="3"/>
  <c r="J405" i="3"/>
  <c r="I405" i="3"/>
  <c r="AP405" i="3"/>
  <c r="L406" i="1" l="1"/>
  <c r="P406" i="1" s="1"/>
  <c r="AA406" i="1"/>
  <c r="G407" i="3"/>
  <c r="I408" i="1"/>
  <c r="J407" i="1"/>
  <c r="V407" i="1"/>
  <c r="G407" i="2"/>
  <c r="Y407" i="1"/>
  <c r="Z407" i="1" s="1"/>
  <c r="S407" i="1"/>
  <c r="N407" i="1"/>
  <c r="O407" i="1"/>
  <c r="R407" i="1"/>
  <c r="H406" i="3"/>
  <c r="AN406" i="3"/>
  <c r="AR406" i="3"/>
  <c r="AQ406" i="3"/>
  <c r="AM406" i="3"/>
  <c r="AI406" i="3"/>
  <c r="AL406" i="3"/>
  <c r="AK406" i="3"/>
  <c r="AJ406" i="3"/>
  <c r="AG406" i="3"/>
  <c r="AH406" i="3"/>
  <c r="AF406" i="3"/>
  <c r="AE406" i="3"/>
  <c r="AC406" i="3"/>
  <c r="AD406" i="3"/>
  <c r="AA406" i="3"/>
  <c r="Z406" i="3"/>
  <c r="AB406" i="3"/>
  <c r="X406" i="3"/>
  <c r="Y406" i="3"/>
  <c r="W406" i="3"/>
  <c r="V406" i="3"/>
  <c r="U406" i="3"/>
  <c r="R406" i="3"/>
  <c r="T406" i="3"/>
  <c r="O406" i="3"/>
  <c r="Q406" i="3"/>
  <c r="S406" i="3"/>
  <c r="M406" i="3"/>
  <c r="P406" i="3"/>
  <c r="K406" i="3"/>
  <c r="N406" i="3"/>
  <c r="L406" i="3"/>
  <c r="I406" i="3"/>
  <c r="AO406" i="3"/>
  <c r="J406" i="3"/>
  <c r="AP406" i="3"/>
  <c r="H406" i="2"/>
  <c r="AQ406" i="2"/>
  <c r="AR406" i="2"/>
  <c r="AN406" i="2"/>
  <c r="AM406" i="2"/>
  <c r="AJ406" i="2"/>
  <c r="AL406" i="2"/>
  <c r="AK406" i="2"/>
  <c r="AH406" i="2"/>
  <c r="AF406" i="2"/>
  <c r="AI406" i="2"/>
  <c r="AE406" i="2"/>
  <c r="AG406" i="2"/>
  <c r="AD406" i="2"/>
  <c r="AB406" i="2"/>
  <c r="AC406" i="2"/>
  <c r="AA406" i="2"/>
  <c r="Z406" i="2"/>
  <c r="Y406" i="2"/>
  <c r="V406" i="2"/>
  <c r="X406" i="2"/>
  <c r="W406" i="2"/>
  <c r="S406" i="2"/>
  <c r="U406" i="2"/>
  <c r="R406" i="2"/>
  <c r="T406" i="2"/>
  <c r="Q406" i="2"/>
  <c r="P406" i="2"/>
  <c r="N406" i="2"/>
  <c r="M406" i="2"/>
  <c r="L406" i="2"/>
  <c r="O406" i="2"/>
  <c r="K406" i="2"/>
  <c r="J406" i="2"/>
  <c r="I406" i="2"/>
  <c r="AO406" i="2"/>
  <c r="AP406" i="2"/>
  <c r="H407" i="3" l="1"/>
  <c r="AR407" i="3"/>
  <c r="AN407" i="3"/>
  <c r="AQ407" i="3"/>
  <c r="AJ407" i="3"/>
  <c r="AM407" i="3"/>
  <c r="AL407" i="3"/>
  <c r="AK407" i="3"/>
  <c r="AG407" i="3"/>
  <c r="AI407" i="3"/>
  <c r="AH407" i="3"/>
  <c r="AF407" i="3"/>
  <c r="AA407" i="3"/>
  <c r="AE407" i="3"/>
  <c r="AC407" i="3"/>
  <c r="AD407" i="3"/>
  <c r="AB407" i="3"/>
  <c r="X407" i="3"/>
  <c r="Z407" i="3"/>
  <c r="Y407" i="3"/>
  <c r="W407" i="3"/>
  <c r="V407" i="3"/>
  <c r="U407" i="3"/>
  <c r="S407" i="3"/>
  <c r="T407" i="3"/>
  <c r="R407" i="3"/>
  <c r="P407" i="3"/>
  <c r="Q407" i="3"/>
  <c r="O407" i="3"/>
  <c r="N407" i="3"/>
  <c r="M407" i="3"/>
  <c r="I407" i="3"/>
  <c r="K407" i="3"/>
  <c r="L407" i="3"/>
  <c r="AP407" i="3"/>
  <c r="AO407" i="3"/>
  <c r="J407" i="3"/>
  <c r="H407" i="2"/>
  <c r="AR407" i="2"/>
  <c r="AN407" i="2"/>
  <c r="AQ407" i="2"/>
  <c r="AM407" i="2"/>
  <c r="AL407" i="2"/>
  <c r="AK407" i="2"/>
  <c r="AJ407" i="2"/>
  <c r="AH407" i="2"/>
  <c r="AI407" i="2"/>
  <c r="AE407" i="2"/>
  <c r="AG407" i="2"/>
  <c r="AF407" i="2"/>
  <c r="AB407" i="2"/>
  <c r="AD407" i="2"/>
  <c r="AA407" i="2"/>
  <c r="AC407" i="2"/>
  <c r="Y407" i="2"/>
  <c r="Z407" i="2"/>
  <c r="V407" i="2"/>
  <c r="X407" i="2"/>
  <c r="W407" i="2"/>
  <c r="S407" i="2"/>
  <c r="U407" i="2"/>
  <c r="R407" i="2"/>
  <c r="T407" i="2"/>
  <c r="P407" i="2"/>
  <c r="Q407" i="2"/>
  <c r="N407" i="2"/>
  <c r="O407" i="2"/>
  <c r="M407" i="2"/>
  <c r="L407" i="2"/>
  <c r="I407" i="2"/>
  <c r="J407" i="2"/>
  <c r="K407" i="2"/>
  <c r="AO407" i="2"/>
  <c r="AP407" i="2"/>
  <c r="L407" i="1"/>
  <c r="P407" i="1" s="1"/>
  <c r="AA407" i="1"/>
  <c r="W407" i="1"/>
  <c r="I409" i="1"/>
  <c r="G408" i="3"/>
  <c r="V408" i="1"/>
  <c r="J408" i="1"/>
  <c r="Y408" i="1"/>
  <c r="Z408" i="1" s="1"/>
  <c r="G408" i="2"/>
  <c r="N408" i="1"/>
  <c r="R408" i="1"/>
  <c r="O408" i="1"/>
  <c r="S408" i="1"/>
  <c r="W408" i="1" s="1"/>
  <c r="G409" i="3" l="1"/>
  <c r="I410" i="1"/>
  <c r="V409" i="1"/>
  <c r="J409" i="1"/>
  <c r="G409" i="2"/>
  <c r="Y409" i="1"/>
  <c r="Z409" i="1" s="1"/>
  <c r="N409" i="1"/>
  <c r="S409" i="1"/>
  <c r="W409" i="1" s="1"/>
  <c r="O409" i="1"/>
  <c r="R409" i="1"/>
  <c r="H408" i="2"/>
  <c r="AR408" i="2"/>
  <c r="AN408" i="2"/>
  <c r="AQ408" i="2"/>
  <c r="AL408" i="2"/>
  <c r="AM408" i="2"/>
  <c r="AK408" i="2"/>
  <c r="AJ408" i="2"/>
  <c r="AH408" i="2"/>
  <c r="AI408" i="2"/>
  <c r="AF408" i="2"/>
  <c r="AG408" i="2"/>
  <c r="AD408" i="2"/>
  <c r="AE408" i="2"/>
  <c r="AA408" i="2"/>
  <c r="AC408" i="2"/>
  <c r="AB408" i="2"/>
  <c r="Y408" i="2"/>
  <c r="Z408" i="2"/>
  <c r="X408" i="2"/>
  <c r="W408" i="2"/>
  <c r="V408" i="2"/>
  <c r="S408" i="2"/>
  <c r="U408" i="2"/>
  <c r="T408" i="2"/>
  <c r="P408" i="2"/>
  <c r="R408" i="2"/>
  <c r="Q408" i="2"/>
  <c r="N408" i="2"/>
  <c r="O408" i="2"/>
  <c r="J408" i="2"/>
  <c r="M408" i="2"/>
  <c r="L408" i="2"/>
  <c r="K408" i="2"/>
  <c r="I408" i="2"/>
  <c r="AO408" i="2"/>
  <c r="AP408" i="2"/>
  <c r="L408" i="1"/>
  <c r="P408" i="1" s="1"/>
  <c r="AA408" i="1"/>
  <c r="H408" i="3"/>
  <c r="AQ408" i="3"/>
  <c r="AR408" i="3"/>
  <c r="AN408" i="3"/>
  <c r="AM408" i="3"/>
  <c r="AL408" i="3"/>
  <c r="AK408" i="3"/>
  <c r="AJ408" i="3"/>
  <c r="AI408" i="3"/>
  <c r="AG408" i="3"/>
  <c r="AF408" i="3"/>
  <c r="AH408" i="3"/>
  <c r="AE408" i="3"/>
  <c r="AC408" i="3"/>
  <c r="AD408" i="3"/>
  <c r="AB408" i="3"/>
  <c r="AA408" i="3"/>
  <c r="Z408" i="3"/>
  <c r="Y408" i="3"/>
  <c r="W408" i="3"/>
  <c r="V408" i="3"/>
  <c r="X408" i="3"/>
  <c r="S408" i="3"/>
  <c r="U408" i="3"/>
  <c r="T408" i="3"/>
  <c r="R408" i="3"/>
  <c r="N408" i="3"/>
  <c r="P408" i="3"/>
  <c r="Q408" i="3"/>
  <c r="M408" i="3"/>
  <c r="O408" i="3"/>
  <c r="L408" i="3"/>
  <c r="K408" i="3"/>
  <c r="AP408" i="3"/>
  <c r="I408" i="3"/>
  <c r="AO408" i="3"/>
  <c r="J408" i="3"/>
  <c r="H409" i="2" l="1"/>
  <c r="AR409" i="2"/>
  <c r="AQ409" i="2"/>
  <c r="AN409" i="2"/>
  <c r="AK409" i="2"/>
  <c r="AL409" i="2"/>
  <c r="AM409" i="2"/>
  <c r="AH409" i="2"/>
  <c r="AJ409" i="2"/>
  <c r="AI409" i="2"/>
  <c r="AG409" i="2"/>
  <c r="AF409" i="2"/>
  <c r="AD409" i="2"/>
  <c r="AB409" i="2"/>
  <c r="AE409" i="2"/>
  <c r="AA409" i="2"/>
  <c r="AC409" i="2"/>
  <c r="Y409" i="2"/>
  <c r="Z409" i="2"/>
  <c r="W409" i="2"/>
  <c r="X409" i="2"/>
  <c r="V409" i="2"/>
  <c r="U409" i="2"/>
  <c r="T409" i="2"/>
  <c r="R409" i="2"/>
  <c r="S409" i="2"/>
  <c r="P409" i="2"/>
  <c r="Q409" i="2"/>
  <c r="O409" i="2"/>
  <c r="N409" i="2"/>
  <c r="M409" i="2"/>
  <c r="L409" i="2"/>
  <c r="K409" i="2"/>
  <c r="J409" i="2"/>
  <c r="I409" i="2"/>
  <c r="AO409" i="2"/>
  <c r="AP409" i="2"/>
  <c r="L409" i="1"/>
  <c r="P409" i="1" s="1"/>
  <c r="AA409" i="1"/>
  <c r="G410" i="3"/>
  <c r="I411" i="1"/>
  <c r="J410" i="1"/>
  <c r="V410" i="1"/>
  <c r="G410" i="2"/>
  <c r="Y410" i="1"/>
  <c r="Z410" i="1" s="1"/>
  <c r="S410" i="1"/>
  <c r="W410" i="1" s="1"/>
  <c r="N410" i="1"/>
  <c r="O410" i="1"/>
  <c r="R410" i="1"/>
  <c r="H409" i="3"/>
  <c r="AR409" i="3"/>
  <c r="AQ409" i="3"/>
  <c r="AN409" i="3"/>
  <c r="AL409" i="3"/>
  <c r="AM409" i="3"/>
  <c r="AK409" i="3"/>
  <c r="AJ409" i="3"/>
  <c r="AI409" i="3"/>
  <c r="AG409" i="3"/>
  <c r="AF409" i="3"/>
  <c r="AH409" i="3"/>
  <c r="AB409" i="3"/>
  <c r="AE409" i="3"/>
  <c r="AC409" i="3"/>
  <c r="AD409" i="3"/>
  <c r="AA409" i="3"/>
  <c r="Y409" i="3"/>
  <c r="Z409" i="3"/>
  <c r="W409" i="3"/>
  <c r="V409" i="3"/>
  <c r="X409" i="3"/>
  <c r="S409" i="3"/>
  <c r="U409" i="3"/>
  <c r="T409" i="3"/>
  <c r="R409" i="3"/>
  <c r="P409" i="3"/>
  <c r="N409" i="3"/>
  <c r="Q409" i="3"/>
  <c r="O409" i="3"/>
  <c r="L409" i="3"/>
  <c r="M409" i="3"/>
  <c r="I409" i="3"/>
  <c r="K409" i="3"/>
  <c r="J409" i="3"/>
  <c r="AP409" i="3"/>
  <c r="AO409" i="3"/>
  <c r="H410" i="2" l="1"/>
  <c r="AR410" i="2"/>
  <c r="AQ410" i="2"/>
  <c r="AL410" i="2"/>
  <c r="AN410" i="2"/>
  <c r="AK410" i="2"/>
  <c r="AM410" i="2"/>
  <c r="AH410" i="2"/>
  <c r="AJ410" i="2"/>
  <c r="AG410" i="2"/>
  <c r="AI410" i="2"/>
  <c r="AF410" i="2"/>
  <c r="AE410" i="2"/>
  <c r="AD410" i="2"/>
  <c r="AC410" i="2"/>
  <c r="AA410" i="2"/>
  <c r="AB410" i="2"/>
  <c r="Z410" i="2"/>
  <c r="W410" i="2"/>
  <c r="Y410" i="2"/>
  <c r="X410" i="2"/>
  <c r="U410" i="2"/>
  <c r="T410" i="2"/>
  <c r="V410" i="2"/>
  <c r="P410" i="2"/>
  <c r="R410" i="2"/>
  <c r="S410" i="2"/>
  <c r="O410" i="2"/>
  <c r="Q410" i="2"/>
  <c r="N410" i="2"/>
  <c r="J410" i="2"/>
  <c r="M410" i="2"/>
  <c r="K410" i="2"/>
  <c r="L410" i="2"/>
  <c r="I410" i="2"/>
  <c r="AO410" i="2"/>
  <c r="AP410" i="2"/>
  <c r="L410" i="1"/>
  <c r="P410" i="1" s="1"/>
  <c r="AA410" i="1"/>
  <c r="I412" i="1"/>
  <c r="G411" i="3"/>
  <c r="V411" i="1"/>
  <c r="J411" i="1"/>
  <c r="Y411" i="1"/>
  <c r="Z411" i="1" s="1"/>
  <c r="G411" i="2"/>
  <c r="O411" i="1"/>
  <c r="R411" i="1"/>
  <c r="S411" i="1"/>
  <c r="W411" i="1" s="1"/>
  <c r="N411" i="1"/>
  <c r="H410" i="3"/>
  <c r="AQ410" i="3"/>
  <c r="AR410" i="3"/>
  <c r="AN410" i="3"/>
  <c r="AM410" i="3"/>
  <c r="AL410" i="3"/>
  <c r="AK410" i="3"/>
  <c r="AJ410" i="3"/>
  <c r="AI410" i="3"/>
  <c r="AH410" i="3"/>
  <c r="AF410" i="3"/>
  <c r="AG410" i="3"/>
  <c r="AB410" i="3"/>
  <c r="AE410" i="3"/>
  <c r="AD410" i="3"/>
  <c r="AA410" i="3"/>
  <c r="AC410" i="3"/>
  <c r="Y410" i="3"/>
  <c r="Z410" i="3"/>
  <c r="W410" i="3"/>
  <c r="V410" i="3"/>
  <c r="X410" i="3"/>
  <c r="S410" i="3"/>
  <c r="U410" i="3"/>
  <c r="P410" i="3"/>
  <c r="T410" i="3"/>
  <c r="Q410" i="3"/>
  <c r="R410" i="3"/>
  <c r="L410" i="3"/>
  <c r="N410" i="3"/>
  <c r="O410" i="3"/>
  <c r="J410" i="3"/>
  <c r="M410" i="3"/>
  <c r="K410" i="3"/>
  <c r="AP410" i="3"/>
  <c r="I410" i="3"/>
  <c r="AO410" i="3"/>
  <c r="H411" i="2" l="1"/>
  <c r="AQ411" i="2"/>
  <c r="AR411" i="2"/>
  <c r="AL411" i="2"/>
  <c r="AK411" i="2"/>
  <c r="AN411" i="2"/>
  <c r="AM411" i="2"/>
  <c r="AH411" i="2"/>
  <c r="AJ411" i="2"/>
  <c r="AG411" i="2"/>
  <c r="AI411" i="2"/>
  <c r="AF411" i="2"/>
  <c r="AD411" i="2"/>
  <c r="AC411" i="2"/>
  <c r="AE411" i="2"/>
  <c r="AB411" i="2"/>
  <c r="AA411" i="2"/>
  <c r="Z411" i="2"/>
  <c r="U411" i="2"/>
  <c r="W411" i="2"/>
  <c r="Y411" i="2"/>
  <c r="X411" i="2"/>
  <c r="T411" i="2"/>
  <c r="V411" i="2"/>
  <c r="R411" i="2"/>
  <c r="S411" i="2"/>
  <c r="Q411" i="2"/>
  <c r="O411" i="2"/>
  <c r="P411" i="2"/>
  <c r="M411" i="2"/>
  <c r="N411" i="2"/>
  <c r="L411" i="2"/>
  <c r="K411" i="2"/>
  <c r="J411" i="2"/>
  <c r="I411" i="2"/>
  <c r="AP411" i="2"/>
  <c r="AO411" i="2"/>
  <c r="L411" i="1"/>
  <c r="P411" i="1" s="1"/>
  <c r="AA411" i="1"/>
  <c r="H411" i="3"/>
  <c r="AQ411" i="3"/>
  <c r="AR411" i="3"/>
  <c r="AN411" i="3"/>
  <c r="AL411" i="3"/>
  <c r="AK411" i="3"/>
  <c r="AM411" i="3"/>
  <c r="AH411" i="3"/>
  <c r="AJ411" i="3"/>
  <c r="AI411" i="3"/>
  <c r="AF411" i="3"/>
  <c r="AG411" i="3"/>
  <c r="AE411" i="3"/>
  <c r="AD411" i="3"/>
  <c r="AB411" i="3"/>
  <c r="AC411" i="3"/>
  <c r="AA411" i="3"/>
  <c r="W411" i="3"/>
  <c r="Y411" i="3"/>
  <c r="Z411" i="3"/>
  <c r="X411" i="3"/>
  <c r="V411" i="3"/>
  <c r="U411" i="3"/>
  <c r="T411" i="3"/>
  <c r="S411" i="3"/>
  <c r="R411" i="3"/>
  <c r="P411" i="3"/>
  <c r="Q411" i="3"/>
  <c r="O411" i="3"/>
  <c r="J411" i="3"/>
  <c r="M411" i="3"/>
  <c r="N411" i="3"/>
  <c r="K411" i="3"/>
  <c r="L411" i="3"/>
  <c r="AO411" i="3"/>
  <c r="AP411" i="3"/>
  <c r="I411" i="3"/>
  <c r="G412" i="3"/>
  <c r="I413" i="1"/>
  <c r="V412" i="1"/>
  <c r="J412" i="1"/>
  <c r="G412" i="2"/>
  <c r="Y412" i="1"/>
  <c r="Z412" i="1" s="1"/>
  <c r="S412" i="1"/>
  <c r="W412" i="1" s="1"/>
  <c r="R412" i="1"/>
  <c r="O412" i="1"/>
  <c r="N412" i="1"/>
  <c r="G413" i="3" l="1"/>
  <c r="I414" i="1"/>
  <c r="V413" i="1"/>
  <c r="J413" i="1"/>
  <c r="G413" i="2"/>
  <c r="Y413" i="1"/>
  <c r="Z413" i="1" s="1"/>
  <c r="N413" i="1"/>
  <c r="O413" i="1"/>
  <c r="R413" i="1"/>
  <c r="S413" i="1"/>
  <c r="H412" i="3"/>
  <c r="AR412" i="3"/>
  <c r="AQ412" i="3"/>
  <c r="AN412" i="3"/>
  <c r="AL412" i="3"/>
  <c r="AM412" i="3"/>
  <c r="AK412" i="3"/>
  <c r="AH412" i="3"/>
  <c r="AJ412" i="3"/>
  <c r="AI412" i="3"/>
  <c r="AE412" i="3"/>
  <c r="AF412" i="3"/>
  <c r="AG412" i="3"/>
  <c r="AD412" i="3"/>
  <c r="AC412" i="3"/>
  <c r="AB412" i="3"/>
  <c r="AA412" i="3"/>
  <c r="Y412" i="3"/>
  <c r="Z412" i="3"/>
  <c r="W412" i="3"/>
  <c r="V412" i="3"/>
  <c r="X412" i="3"/>
  <c r="U412" i="3"/>
  <c r="T412" i="3"/>
  <c r="S412" i="3"/>
  <c r="P412" i="3"/>
  <c r="R412" i="3"/>
  <c r="Q412" i="3"/>
  <c r="O412" i="3"/>
  <c r="L412" i="3"/>
  <c r="J412" i="3"/>
  <c r="M412" i="3"/>
  <c r="N412" i="3"/>
  <c r="K412" i="3"/>
  <c r="AP412" i="3"/>
  <c r="I412" i="3"/>
  <c r="AO412" i="3"/>
  <c r="H412" i="2"/>
  <c r="AQ412" i="2"/>
  <c r="AR412" i="2"/>
  <c r="AL412" i="2"/>
  <c r="AN412" i="2"/>
  <c r="AM412" i="2"/>
  <c r="AI412" i="2"/>
  <c r="AK412" i="2"/>
  <c r="AJ412" i="2"/>
  <c r="AH412" i="2"/>
  <c r="AG412" i="2"/>
  <c r="AF412" i="2"/>
  <c r="AC412" i="2"/>
  <c r="AE412" i="2"/>
  <c r="AD412" i="2"/>
  <c r="AB412" i="2"/>
  <c r="Z412" i="2"/>
  <c r="AA412" i="2"/>
  <c r="X412" i="2"/>
  <c r="U412" i="2"/>
  <c r="W412" i="2"/>
  <c r="Y412" i="2"/>
  <c r="T412" i="2"/>
  <c r="V412" i="2"/>
  <c r="Q412" i="2"/>
  <c r="R412" i="2"/>
  <c r="S412" i="2"/>
  <c r="M412" i="2"/>
  <c r="O412" i="2"/>
  <c r="P412" i="2"/>
  <c r="K412" i="2"/>
  <c r="N412" i="2"/>
  <c r="L412" i="2"/>
  <c r="AP412" i="2"/>
  <c r="J412" i="2"/>
  <c r="I412" i="2"/>
  <c r="AO412" i="2"/>
  <c r="L412" i="1"/>
  <c r="P412" i="1" s="1"/>
  <c r="AA412" i="1"/>
  <c r="L413" i="1" l="1"/>
  <c r="P413" i="1" s="1"/>
  <c r="AA413" i="1"/>
  <c r="G414" i="3"/>
  <c r="I415" i="1"/>
  <c r="V414" i="1"/>
  <c r="J414" i="1"/>
  <c r="G414" i="2"/>
  <c r="Y414" i="1"/>
  <c r="Z414" i="1" s="1"/>
  <c r="S414" i="1"/>
  <c r="O414" i="1"/>
  <c r="N414" i="1"/>
  <c r="R414" i="1"/>
  <c r="H413" i="2"/>
  <c r="AR413" i="2"/>
  <c r="AQ413" i="2"/>
  <c r="AM413" i="2"/>
  <c r="AN413" i="2"/>
  <c r="AK413" i="2"/>
  <c r="AL413" i="2"/>
  <c r="AJ413" i="2"/>
  <c r="AI413" i="2"/>
  <c r="AH413" i="2"/>
  <c r="AF413" i="2"/>
  <c r="AG413" i="2"/>
  <c r="AC413" i="2"/>
  <c r="AE413" i="2"/>
  <c r="AD413" i="2"/>
  <c r="AB413" i="2"/>
  <c r="X413" i="2"/>
  <c r="AA413" i="2"/>
  <c r="Y413" i="2"/>
  <c r="Z413" i="2"/>
  <c r="U413" i="2"/>
  <c r="W413" i="2"/>
  <c r="T413" i="2"/>
  <c r="V413" i="2"/>
  <c r="Q413" i="2"/>
  <c r="R413" i="2"/>
  <c r="S413" i="2"/>
  <c r="O413" i="2"/>
  <c r="P413" i="2"/>
  <c r="K413" i="2"/>
  <c r="N413" i="2"/>
  <c r="M413" i="2"/>
  <c r="L413" i="2"/>
  <c r="AP413" i="2"/>
  <c r="J413" i="2"/>
  <c r="I413" i="2"/>
  <c r="AO413" i="2"/>
  <c r="W413" i="1"/>
  <c r="H413" i="3"/>
  <c r="AQ413" i="3"/>
  <c r="AR413" i="3"/>
  <c r="AN413" i="3"/>
  <c r="AM413" i="3"/>
  <c r="AL413" i="3"/>
  <c r="AK413" i="3"/>
  <c r="AI413" i="3"/>
  <c r="AH413" i="3"/>
  <c r="AJ413" i="3"/>
  <c r="AG413" i="3"/>
  <c r="AD413" i="3"/>
  <c r="AE413" i="3"/>
  <c r="AF413" i="3"/>
  <c r="AC413" i="3"/>
  <c r="AB413" i="3"/>
  <c r="Z413" i="3"/>
  <c r="AA413" i="3"/>
  <c r="W413" i="3"/>
  <c r="U413" i="3"/>
  <c r="X413" i="3"/>
  <c r="Y413" i="3"/>
  <c r="T413" i="3"/>
  <c r="V413" i="3"/>
  <c r="R413" i="3"/>
  <c r="S413" i="3"/>
  <c r="Q413" i="3"/>
  <c r="P413" i="3"/>
  <c r="O413" i="3"/>
  <c r="M413" i="3"/>
  <c r="L413" i="3"/>
  <c r="N413" i="3"/>
  <c r="K413" i="3"/>
  <c r="AP413" i="3"/>
  <c r="J413" i="3"/>
  <c r="I413" i="3"/>
  <c r="AO413" i="3"/>
  <c r="H414" i="2" l="1"/>
  <c r="AR414" i="2"/>
  <c r="AQ414" i="2"/>
  <c r="AM414" i="2"/>
  <c r="AN414" i="2"/>
  <c r="AI414" i="2"/>
  <c r="AK414" i="2"/>
  <c r="AL414" i="2"/>
  <c r="AJ414" i="2"/>
  <c r="AH414" i="2"/>
  <c r="AF414" i="2"/>
  <c r="AG414" i="2"/>
  <c r="AE414" i="2"/>
  <c r="AD414" i="2"/>
  <c r="Z414" i="2"/>
  <c r="AB414" i="2"/>
  <c r="AC414" i="2"/>
  <c r="X414" i="2"/>
  <c r="AA414" i="2"/>
  <c r="W414" i="2"/>
  <c r="Y414" i="2"/>
  <c r="V414" i="2"/>
  <c r="U414" i="2"/>
  <c r="S414" i="2"/>
  <c r="T414" i="2"/>
  <c r="Q414" i="2"/>
  <c r="R414" i="2"/>
  <c r="M414" i="2"/>
  <c r="P414" i="2"/>
  <c r="K414" i="2"/>
  <c r="O414" i="2"/>
  <c r="N414" i="2"/>
  <c r="L414" i="2"/>
  <c r="I414" i="2"/>
  <c r="AO414" i="2"/>
  <c r="AP414" i="2"/>
  <c r="J414" i="2"/>
  <c r="L414" i="1"/>
  <c r="P414" i="1" s="1"/>
  <c r="AA414" i="1"/>
  <c r="G415" i="3"/>
  <c r="I416" i="1"/>
  <c r="V415" i="1"/>
  <c r="J415" i="1"/>
  <c r="G415" i="2"/>
  <c r="Y415" i="1"/>
  <c r="Z415" i="1" s="1"/>
  <c r="S415" i="1"/>
  <c r="W415" i="1" s="1"/>
  <c r="N415" i="1"/>
  <c r="R415" i="1"/>
  <c r="O415" i="1"/>
  <c r="H414" i="3"/>
  <c r="AR414" i="3"/>
  <c r="AQ414" i="3"/>
  <c r="AN414" i="3"/>
  <c r="AM414" i="3"/>
  <c r="AL414" i="3"/>
  <c r="AI414" i="3"/>
  <c r="AK414" i="3"/>
  <c r="AJ414" i="3"/>
  <c r="AH414" i="3"/>
  <c r="AG414" i="3"/>
  <c r="AE414" i="3"/>
  <c r="AF414" i="3"/>
  <c r="AD414" i="3"/>
  <c r="AC414" i="3"/>
  <c r="AA414" i="3"/>
  <c r="AB414" i="3"/>
  <c r="Z414" i="3"/>
  <c r="Y414" i="3"/>
  <c r="X414" i="3"/>
  <c r="U414" i="3"/>
  <c r="W414" i="3"/>
  <c r="R414" i="3"/>
  <c r="T414" i="3"/>
  <c r="V414" i="3"/>
  <c r="Q414" i="3"/>
  <c r="S414" i="3"/>
  <c r="O414" i="3"/>
  <c r="M414" i="3"/>
  <c r="P414" i="3"/>
  <c r="K414" i="3"/>
  <c r="L414" i="3"/>
  <c r="N414" i="3"/>
  <c r="AP414" i="3"/>
  <c r="J414" i="3"/>
  <c r="I414" i="3"/>
  <c r="AO414" i="3"/>
  <c r="W414" i="1"/>
  <c r="H415" i="2" l="1"/>
  <c r="AR415" i="2"/>
  <c r="AQ415" i="2"/>
  <c r="AN415" i="2"/>
  <c r="AM415" i="2"/>
  <c r="AL415" i="2"/>
  <c r="AJ415" i="2"/>
  <c r="AI415" i="2"/>
  <c r="AK415" i="2"/>
  <c r="AH415" i="2"/>
  <c r="AF415" i="2"/>
  <c r="AG415" i="2"/>
  <c r="AE415" i="2"/>
  <c r="AD415" i="2"/>
  <c r="AB415" i="2"/>
  <c r="AC415" i="2"/>
  <c r="X415" i="2"/>
  <c r="AA415" i="2"/>
  <c r="Z415" i="2"/>
  <c r="Y415" i="2"/>
  <c r="V415" i="2"/>
  <c r="W415" i="2"/>
  <c r="U415" i="2"/>
  <c r="S415" i="2"/>
  <c r="T415" i="2"/>
  <c r="R415" i="2"/>
  <c r="Q415" i="2"/>
  <c r="P415" i="2"/>
  <c r="N415" i="2"/>
  <c r="O415" i="2"/>
  <c r="M415" i="2"/>
  <c r="L415" i="2"/>
  <c r="AO415" i="2"/>
  <c r="K415" i="2"/>
  <c r="J415" i="2"/>
  <c r="I415" i="2"/>
  <c r="AP415" i="2"/>
  <c r="L415" i="1"/>
  <c r="P415" i="1" s="1"/>
  <c r="AA415" i="1"/>
  <c r="G416" i="3"/>
  <c r="I417" i="1"/>
  <c r="V416" i="1"/>
  <c r="J416" i="1"/>
  <c r="G416" i="2"/>
  <c r="Y416" i="1"/>
  <c r="Z416" i="1" s="1"/>
  <c r="N416" i="1"/>
  <c r="O416" i="1"/>
  <c r="S416" i="1"/>
  <c r="W416" i="1" s="1"/>
  <c r="R416" i="1"/>
  <c r="H415" i="3"/>
  <c r="AR415" i="3"/>
  <c r="AN415" i="3"/>
  <c r="AQ415" i="3"/>
  <c r="AM415" i="3"/>
  <c r="AL415" i="3"/>
  <c r="AI415" i="3"/>
  <c r="AK415" i="3"/>
  <c r="AJ415" i="3"/>
  <c r="AH415" i="3"/>
  <c r="AG415" i="3"/>
  <c r="AE415" i="3"/>
  <c r="AD415" i="3"/>
  <c r="AF415" i="3"/>
  <c r="AC415" i="3"/>
  <c r="AB415" i="3"/>
  <c r="X415" i="3"/>
  <c r="Z415" i="3"/>
  <c r="AA415" i="3"/>
  <c r="Y415" i="3"/>
  <c r="U415" i="3"/>
  <c r="W415" i="3"/>
  <c r="R415" i="3"/>
  <c r="T415" i="3"/>
  <c r="V415" i="3"/>
  <c r="Q415" i="3"/>
  <c r="S415" i="3"/>
  <c r="O415" i="3"/>
  <c r="P415" i="3"/>
  <c r="K415" i="3"/>
  <c r="L415" i="3"/>
  <c r="M415" i="3"/>
  <c r="N415" i="3"/>
  <c r="I415" i="3"/>
  <c r="AO415" i="3"/>
  <c r="AP415" i="3"/>
  <c r="J415" i="3"/>
  <c r="H416" i="2" l="1"/>
  <c r="AQ416" i="2"/>
  <c r="AR416" i="2"/>
  <c r="AN416" i="2"/>
  <c r="AM416" i="2"/>
  <c r="AJ416" i="2"/>
  <c r="AK416" i="2"/>
  <c r="AL416" i="2"/>
  <c r="AI416" i="2"/>
  <c r="AF416" i="2"/>
  <c r="AH416" i="2"/>
  <c r="AG416" i="2"/>
  <c r="AE416" i="2"/>
  <c r="AB416" i="2"/>
  <c r="AC416" i="2"/>
  <c r="AD416" i="2"/>
  <c r="AA416" i="2"/>
  <c r="Z416" i="2"/>
  <c r="Y416" i="2"/>
  <c r="X416" i="2"/>
  <c r="V416" i="2"/>
  <c r="W416" i="2"/>
  <c r="S416" i="2"/>
  <c r="U416" i="2"/>
  <c r="R416" i="2"/>
  <c r="T416" i="2"/>
  <c r="N416" i="2"/>
  <c r="Q416" i="2"/>
  <c r="P416" i="2"/>
  <c r="L416" i="2"/>
  <c r="O416" i="2"/>
  <c r="M416" i="2"/>
  <c r="I416" i="2"/>
  <c r="AO416" i="2"/>
  <c r="K416" i="2"/>
  <c r="J416" i="2"/>
  <c r="AP416" i="2"/>
  <c r="G417" i="3"/>
  <c r="I418" i="1"/>
  <c r="J417" i="1"/>
  <c r="V417" i="1"/>
  <c r="G417" i="2"/>
  <c r="Y417" i="1"/>
  <c r="Z417" i="1" s="1"/>
  <c r="S417" i="1"/>
  <c r="W417" i="1" s="1"/>
  <c r="N417" i="1"/>
  <c r="R417" i="1"/>
  <c r="O417" i="1"/>
  <c r="H416" i="3"/>
  <c r="AR416" i="3"/>
  <c r="AN416" i="3"/>
  <c r="AQ416" i="3"/>
  <c r="AM416" i="3"/>
  <c r="AL416" i="3"/>
  <c r="AI416" i="3"/>
  <c r="AK416" i="3"/>
  <c r="AJ416" i="3"/>
  <c r="AG416" i="3"/>
  <c r="AH416" i="3"/>
  <c r="AF416" i="3"/>
  <c r="AD416" i="3"/>
  <c r="AC416" i="3"/>
  <c r="AE416" i="3"/>
  <c r="AB416" i="3"/>
  <c r="Z416" i="3"/>
  <c r="X416" i="3"/>
  <c r="AA416" i="3"/>
  <c r="Y416" i="3"/>
  <c r="V416" i="3"/>
  <c r="R416" i="3"/>
  <c r="W416" i="3"/>
  <c r="T416" i="3"/>
  <c r="U416" i="3"/>
  <c r="O416" i="3"/>
  <c r="Q416" i="3"/>
  <c r="S416" i="3"/>
  <c r="M416" i="3"/>
  <c r="P416" i="3"/>
  <c r="N416" i="3"/>
  <c r="K416" i="3"/>
  <c r="L416" i="3"/>
  <c r="I416" i="3"/>
  <c r="J416" i="3"/>
  <c r="AO416" i="3"/>
  <c r="AP416" i="3"/>
  <c r="L416" i="1"/>
  <c r="P416" i="1" s="1"/>
  <c r="AA416" i="1"/>
  <c r="H417" i="3" l="1"/>
  <c r="AR417" i="3"/>
  <c r="AN417" i="3"/>
  <c r="AQ417" i="3"/>
  <c r="AM417" i="3"/>
  <c r="AJ417" i="3"/>
  <c r="AL417" i="3"/>
  <c r="AK417" i="3"/>
  <c r="AG417" i="3"/>
  <c r="AI417" i="3"/>
  <c r="AH417" i="3"/>
  <c r="AF417" i="3"/>
  <c r="AD417" i="3"/>
  <c r="AC417" i="3"/>
  <c r="AE417" i="3"/>
  <c r="AB417" i="3"/>
  <c r="AA417" i="3"/>
  <c r="Z417" i="3"/>
  <c r="X417" i="3"/>
  <c r="Y417" i="3"/>
  <c r="V417" i="3"/>
  <c r="W417" i="3"/>
  <c r="U417" i="3"/>
  <c r="S417" i="3"/>
  <c r="R417" i="3"/>
  <c r="T417" i="3"/>
  <c r="O417" i="3"/>
  <c r="Q417" i="3"/>
  <c r="P417" i="3"/>
  <c r="N417" i="3"/>
  <c r="I417" i="3"/>
  <c r="K417" i="3"/>
  <c r="L417" i="3"/>
  <c r="M417" i="3"/>
  <c r="AP417" i="3"/>
  <c r="J417" i="3"/>
  <c r="AO417" i="3"/>
  <c r="L417" i="1"/>
  <c r="P417" i="1" s="1"/>
  <c r="AA417" i="1"/>
  <c r="H417" i="2"/>
  <c r="AR417" i="2"/>
  <c r="AQ417" i="2"/>
  <c r="AN417" i="2"/>
  <c r="AM417" i="2"/>
  <c r="AL417" i="2"/>
  <c r="AJ417" i="2"/>
  <c r="AK417" i="2"/>
  <c r="AI417" i="2"/>
  <c r="AG417" i="2"/>
  <c r="AE417" i="2"/>
  <c r="AF417" i="2"/>
  <c r="AH417" i="2"/>
  <c r="AB417" i="2"/>
  <c r="AD417" i="2"/>
  <c r="AA417" i="2"/>
  <c r="AC417" i="2"/>
  <c r="Z417" i="2"/>
  <c r="Y417" i="2"/>
  <c r="X417" i="2"/>
  <c r="V417" i="2"/>
  <c r="W417" i="2"/>
  <c r="S417" i="2"/>
  <c r="U417" i="2"/>
  <c r="R417" i="2"/>
  <c r="T417" i="2"/>
  <c r="P417" i="2"/>
  <c r="N417" i="2"/>
  <c r="Q417" i="2"/>
  <c r="O417" i="2"/>
  <c r="L417" i="2"/>
  <c r="I417" i="2"/>
  <c r="M417" i="2"/>
  <c r="J417" i="2"/>
  <c r="K417" i="2"/>
  <c r="AP417" i="2"/>
  <c r="AO417" i="2"/>
  <c r="I419" i="1"/>
  <c r="G418" i="3"/>
  <c r="J418" i="1"/>
  <c r="V418" i="1"/>
  <c r="Y418" i="1"/>
  <c r="Z418" i="1" s="1"/>
  <c r="G418" i="2"/>
  <c r="N418" i="1"/>
  <c r="R418" i="1"/>
  <c r="O418" i="1"/>
  <c r="S418" i="1"/>
  <c r="W418" i="1" s="1"/>
  <c r="H418" i="3" l="1"/>
  <c r="AR418" i="3"/>
  <c r="AQ418" i="3"/>
  <c r="AM418" i="3"/>
  <c r="AN418" i="3"/>
  <c r="AK418" i="3"/>
  <c r="AL418" i="3"/>
  <c r="AJ418" i="3"/>
  <c r="AG418" i="3"/>
  <c r="AI418" i="3"/>
  <c r="AF418" i="3"/>
  <c r="AH418" i="3"/>
  <c r="AD418" i="3"/>
  <c r="AC418" i="3"/>
  <c r="AE418" i="3"/>
  <c r="AB418" i="3"/>
  <c r="AA418" i="3"/>
  <c r="Z418" i="3"/>
  <c r="Y418" i="3"/>
  <c r="V418" i="3"/>
  <c r="X418" i="3"/>
  <c r="W418" i="3"/>
  <c r="U418" i="3"/>
  <c r="S418" i="3"/>
  <c r="T418" i="3"/>
  <c r="R418" i="3"/>
  <c r="N418" i="3"/>
  <c r="O418" i="3"/>
  <c r="Q418" i="3"/>
  <c r="P418" i="3"/>
  <c r="L418" i="3"/>
  <c r="M418" i="3"/>
  <c r="I418" i="3"/>
  <c r="AP418" i="3"/>
  <c r="J418" i="3"/>
  <c r="K418" i="3"/>
  <c r="AO418" i="3"/>
  <c r="G419" i="3"/>
  <c r="I420" i="1"/>
  <c r="V419" i="1"/>
  <c r="J419" i="1"/>
  <c r="G419" i="2"/>
  <c r="Y419" i="1"/>
  <c r="Z419" i="1" s="1"/>
  <c r="R419" i="1"/>
  <c r="S419" i="1"/>
  <c r="W419" i="1" s="1"/>
  <c r="N419" i="1"/>
  <c r="O419" i="1"/>
  <c r="H418" i="2"/>
  <c r="AR418" i="2"/>
  <c r="AQ418" i="2"/>
  <c r="AN418" i="2"/>
  <c r="AM418" i="2"/>
  <c r="AL418" i="2"/>
  <c r="AJ418" i="2"/>
  <c r="AK418" i="2"/>
  <c r="AH418" i="2"/>
  <c r="AF418" i="2"/>
  <c r="AI418" i="2"/>
  <c r="AG418" i="2"/>
  <c r="AE418" i="2"/>
  <c r="AD418" i="2"/>
  <c r="AA418" i="2"/>
  <c r="AB418" i="2"/>
  <c r="AC418" i="2"/>
  <c r="Z418" i="2"/>
  <c r="Y418" i="2"/>
  <c r="X418" i="2"/>
  <c r="W418" i="2"/>
  <c r="S418" i="2"/>
  <c r="U418" i="2"/>
  <c r="V418" i="2"/>
  <c r="P418" i="2"/>
  <c r="R418" i="2"/>
  <c r="T418" i="2"/>
  <c r="N418" i="2"/>
  <c r="Q418" i="2"/>
  <c r="O418" i="2"/>
  <c r="J418" i="2"/>
  <c r="L418" i="2"/>
  <c r="M418" i="2"/>
  <c r="I418" i="2"/>
  <c r="K418" i="2"/>
  <c r="AO418" i="2"/>
  <c r="AP418" i="2"/>
  <c r="L418" i="1"/>
  <c r="P418" i="1" s="1"/>
  <c r="AA418" i="1"/>
  <c r="L419" i="1" l="1"/>
  <c r="P419" i="1" s="1"/>
  <c r="AA419" i="1"/>
  <c r="H419" i="3"/>
  <c r="AQ419" i="3"/>
  <c r="AR419" i="3"/>
  <c r="AN419" i="3"/>
  <c r="AM419" i="3"/>
  <c r="AL419" i="3"/>
  <c r="AJ419" i="3"/>
  <c r="AK419" i="3"/>
  <c r="AG419" i="3"/>
  <c r="AI419" i="3"/>
  <c r="AF419" i="3"/>
  <c r="AH419" i="3"/>
  <c r="AE419" i="3"/>
  <c r="AB419" i="3"/>
  <c r="AD419" i="3"/>
  <c r="AC419" i="3"/>
  <c r="AA419" i="3"/>
  <c r="Y419" i="3"/>
  <c r="Z419" i="3"/>
  <c r="V419" i="3"/>
  <c r="X419" i="3"/>
  <c r="W419" i="3"/>
  <c r="U419" i="3"/>
  <c r="S419" i="3"/>
  <c r="R419" i="3"/>
  <c r="T419" i="3"/>
  <c r="P419" i="3"/>
  <c r="N419" i="3"/>
  <c r="Q419" i="3"/>
  <c r="L419" i="3"/>
  <c r="I419" i="3"/>
  <c r="O419" i="3"/>
  <c r="K419" i="3"/>
  <c r="M419" i="3"/>
  <c r="J419" i="3"/>
  <c r="AP419" i="3"/>
  <c r="AO419" i="3"/>
  <c r="H419" i="2"/>
  <c r="AQ419" i="2"/>
  <c r="AR419" i="2"/>
  <c r="AK419" i="2"/>
  <c r="AM419" i="2"/>
  <c r="AN419" i="2"/>
  <c r="AL419" i="2"/>
  <c r="AH419" i="2"/>
  <c r="AJ419" i="2"/>
  <c r="AI419" i="2"/>
  <c r="AG419" i="2"/>
  <c r="AF419" i="2"/>
  <c r="AD419" i="2"/>
  <c r="AB419" i="2"/>
  <c r="AE419" i="2"/>
  <c r="AC419" i="2"/>
  <c r="AA419" i="2"/>
  <c r="Z419" i="2"/>
  <c r="Y419" i="2"/>
  <c r="W419" i="2"/>
  <c r="X419" i="2"/>
  <c r="U419" i="2"/>
  <c r="V419" i="2"/>
  <c r="T419" i="2"/>
  <c r="S419" i="2"/>
  <c r="R419" i="2"/>
  <c r="P419" i="2"/>
  <c r="Q419" i="2"/>
  <c r="O419" i="2"/>
  <c r="M419" i="2"/>
  <c r="L419" i="2"/>
  <c r="N419" i="2"/>
  <c r="J419" i="2"/>
  <c r="I419" i="2"/>
  <c r="AO419" i="2"/>
  <c r="K419" i="2"/>
  <c r="AP419" i="2"/>
  <c r="G420" i="3"/>
  <c r="I421" i="1"/>
  <c r="V420" i="1"/>
  <c r="J420" i="1"/>
  <c r="G420" i="2"/>
  <c r="Y420" i="1"/>
  <c r="Z420" i="1" s="1"/>
  <c r="S420" i="1"/>
  <c r="N420" i="1"/>
  <c r="R420" i="1"/>
  <c r="O420" i="1"/>
  <c r="L420" i="1" l="1"/>
  <c r="P420" i="1" s="1"/>
  <c r="AA420" i="1"/>
  <c r="H420" i="3"/>
  <c r="AR420" i="3"/>
  <c r="AQ420" i="3"/>
  <c r="AN420" i="3"/>
  <c r="AM420" i="3"/>
  <c r="AL420" i="3"/>
  <c r="AJ420" i="3"/>
  <c r="AK420" i="3"/>
  <c r="AI420" i="3"/>
  <c r="AH420" i="3"/>
  <c r="AG420" i="3"/>
  <c r="AF420" i="3"/>
  <c r="AE420" i="3"/>
  <c r="AB420" i="3"/>
  <c r="AD420" i="3"/>
  <c r="AA420" i="3"/>
  <c r="AC420" i="3"/>
  <c r="Y420" i="3"/>
  <c r="Z420" i="3"/>
  <c r="W420" i="3"/>
  <c r="X420" i="3"/>
  <c r="V420" i="3"/>
  <c r="U420" i="3"/>
  <c r="S420" i="3"/>
  <c r="P420" i="3"/>
  <c r="R420" i="3"/>
  <c r="T420" i="3"/>
  <c r="Q420" i="3"/>
  <c r="L420" i="3"/>
  <c r="N420" i="3"/>
  <c r="O420" i="3"/>
  <c r="M420" i="3"/>
  <c r="J420" i="3"/>
  <c r="K420" i="3"/>
  <c r="I420" i="3"/>
  <c r="AP420" i="3"/>
  <c r="AO420" i="3"/>
  <c r="I422" i="1"/>
  <c r="G421" i="3"/>
  <c r="V421" i="1"/>
  <c r="J421" i="1"/>
  <c r="Y421" i="1"/>
  <c r="Z421" i="1" s="1"/>
  <c r="G421" i="2"/>
  <c r="R421" i="1"/>
  <c r="O421" i="1"/>
  <c r="S421" i="1"/>
  <c r="W421" i="1" s="1"/>
  <c r="N421" i="1"/>
  <c r="W420" i="1"/>
  <c r="H420" i="2"/>
  <c r="AR420" i="2"/>
  <c r="AQ420" i="2"/>
  <c r="AL420" i="2"/>
  <c r="AK420" i="2"/>
  <c r="AM420" i="2"/>
  <c r="AN420" i="2"/>
  <c r="AH420" i="2"/>
  <c r="AG420" i="2"/>
  <c r="AJ420" i="2"/>
  <c r="AI420" i="2"/>
  <c r="AF420" i="2"/>
  <c r="AD420" i="2"/>
  <c r="AE420" i="2"/>
  <c r="AC420" i="2"/>
  <c r="AA420" i="2"/>
  <c r="AB420" i="2"/>
  <c r="Z420" i="2"/>
  <c r="Y420" i="2"/>
  <c r="W420" i="2"/>
  <c r="X420" i="2"/>
  <c r="U420" i="2"/>
  <c r="T420" i="2"/>
  <c r="V420" i="2"/>
  <c r="S420" i="2"/>
  <c r="P420" i="2"/>
  <c r="R420" i="2"/>
  <c r="Q420" i="2"/>
  <c r="O420" i="2"/>
  <c r="M420" i="2"/>
  <c r="J420" i="2"/>
  <c r="N420" i="2"/>
  <c r="K420" i="2"/>
  <c r="I420" i="2"/>
  <c r="L420" i="2"/>
  <c r="AO420" i="2"/>
  <c r="AP420" i="2"/>
  <c r="G422" i="3" l="1"/>
  <c r="I423" i="1"/>
  <c r="V422" i="1"/>
  <c r="J422" i="1"/>
  <c r="G422" i="2"/>
  <c r="Y422" i="1"/>
  <c r="Z422" i="1" s="1"/>
  <c r="S422" i="1"/>
  <c r="W422" i="1" s="1"/>
  <c r="N422" i="1"/>
  <c r="R422" i="1"/>
  <c r="O422" i="1"/>
  <c r="H421" i="2"/>
  <c r="AR421" i="2"/>
  <c r="AQ421" i="2"/>
  <c r="AL421" i="2"/>
  <c r="AN421" i="2"/>
  <c r="AK421" i="2"/>
  <c r="AM421" i="2"/>
  <c r="AH421" i="2"/>
  <c r="AJ421" i="2"/>
  <c r="AG421" i="2"/>
  <c r="AI421" i="2"/>
  <c r="AD421" i="2"/>
  <c r="AF421" i="2"/>
  <c r="AC421" i="2"/>
  <c r="AE421" i="2"/>
  <c r="AB421" i="2"/>
  <c r="AA421" i="2"/>
  <c r="U421" i="2"/>
  <c r="Z421" i="2"/>
  <c r="Y421" i="2"/>
  <c r="W421" i="2"/>
  <c r="X421" i="2"/>
  <c r="T421" i="2"/>
  <c r="V421" i="2"/>
  <c r="S421" i="2"/>
  <c r="R421" i="2"/>
  <c r="Q421" i="2"/>
  <c r="O421" i="2"/>
  <c r="P421" i="2"/>
  <c r="M421" i="2"/>
  <c r="L421" i="2"/>
  <c r="N421" i="2"/>
  <c r="K421" i="2"/>
  <c r="J421" i="2"/>
  <c r="I421" i="2"/>
  <c r="AP421" i="2"/>
  <c r="AO421" i="2"/>
  <c r="L421" i="1"/>
  <c r="P421" i="1" s="1"/>
  <c r="AA421" i="1"/>
  <c r="H421" i="3"/>
  <c r="AQ421" i="3"/>
  <c r="AR421" i="3"/>
  <c r="AN421" i="3"/>
  <c r="AL421" i="3"/>
  <c r="AK421" i="3"/>
  <c r="AM421" i="3"/>
  <c r="AJ421" i="3"/>
  <c r="AH421" i="3"/>
  <c r="AI421" i="3"/>
  <c r="AG421" i="3"/>
  <c r="AF421" i="3"/>
  <c r="AE421" i="3"/>
  <c r="AB421" i="3"/>
  <c r="AD421" i="3"/>
  <c r="AC421" i="3"/>
  <c r="AA421" i="3"/>
  <c r="W421" i="3"/>
  <c r="Y421" i="3"/>
  <c r="Z421" i="3"/>
  <c r="X421" i="3"/>
  <c r="V421" i="3"/>
  <c r="U421" i="3"/>
  <c r="T421" i="3"/>
  <c r="R421" i="3"/>
  <c r="S421" i="3"/>
  <c r="O421" i="3"/>
  <c r="Q421" i="3"/>
  <c r="P421" i="3"/>
  <c r="N421" i="3"/>
  <c r="M421" i="3"/>
  <c r="J421" i="3"/>
  <c r="L421" i="3"/>
  <c r="K421" i="3"/>
  <c r="AO421" i="3"/>
  <c r="I421" i="3"/>
  <c r="AP421" i="3"/>
  <c r="H422" i="2" l="1"/>
  <c r="AR422" i="2"/>
  <c r="AQ422" i="2"/>
  <c r="AN422" i="2"/>
  <c r="AL422" i="2"/>
  <c r="AM422" i="2"/>
  <c r="AI422" i="2"/>
  <c r="AK422" i="2"/>
  <c r="AJ422" i="2"/>
  <c r="AG422" i="2"/>
  <c r="AH422" i="2"/>
  <c r="AF422" i="2"/>
  <c r="AC422" i="2"/>
  <c r="AD422" i="2"/>
  <c r="AE422" i="2"/>
  <c r="AB422" i="2"/>
  <c r="Z422" i="2"/>
  <c r="AA422" i="2"/>
  <c r="X422" i="2"/>
  <c r="U422" i="2"/>
  <c r="Y422" i="2"/>
  <c r="W422" i="2"/>
  <c r="V422" i="2"/>
  <c r="T422" i="2"/>
  <c r="Q422" i="2"/>
  <c r="S422" i="2"/>
  <c r="R422" i="2"/>
  <c r="P422" i="2"/>
  <c r="M422" i="2"/>
  <c r="O422" i="2"/>
  <c r="K422" i="2"/>
  <c r="L422" i="2"/>
  <c r="N422" i="2"/>
  <c r="AP422" i="2"/>
  <c r="J422" i="2"/>
  <c r="I422" i="2"/>
  <c r="AO422" i="2"/>
  <c r="L422" i="1"/>
  <c r="P422" i="1" s="1"/>
  <c r="AA422" i="1"/>
  <c r="G423" i="3"/>
  <c r="I424" i="1"/>
  <c r="V423" i="1"/>
  <c r="J423" i="1"/>
  <c r="G423" i="2"/>
  <c r="Y423" i="1"/>
  <c r="Z423" i="1" s="1"/>
  <c r="O423" i="1"/>
  <c r="R423" i="1"/>
  <c r="N423" i="1"/>
  <c r="S423" i="1"/>
  <c r="H422" i="3"/>
  <c r="AR422" i="3"/>
  <c r="AQ422" i="3"/>
  <c r="AL422" i="3"/>
  <c r="AN422" i="3"/>
  <c r="AK422" i="3"/>
  <c r="AM422" i="3"/>
  <c r="AI422" i="3"/>
  <c r="AH422" i="3"/>
  <c r="AJ422" i="3"/>
  <c r="AG422" i="3"/>
  <c r="AF422" i="3"/>
  <c r="AE422" i="3"/>
  <c r="AD422" i="3"/>
  <c r="AC422" i="3"/>
  <c r="AB422" i="3"/>
  <c r="AA422" i="3"/>
  <c r="Y422" i="3"/>
  <c r="Z422" i="3"/>
  <c r="W422" i="3"/>
  <c r="X422" i="3"/>
  <c r="V422" i="3"/>
  <c r="U422" i="3"/>
  <c r="T422" i="3"/>
  <c r="P422" i="3"/>
  <c r="R422" i="3"/>
  <c r="S422" i="3"/>
  <c r="Q422" i="3"/>
  <c r="O422" i="3"/>
  <c r="N422" i="3"/>
  <c r="M422" i="3"/>
  <c r="J422" i="3"/>
  <c r="L422" i="3"/>
  <c r="K422" i="3"/>
  <c r="I422" i="3"/>
  <c r="AP422" i="3"/>
  <c r="AO422" i="3"/>
  <c r="H423" i="2" l="1"/>
  <c r="AR423" i="2"/>
  <c r="AQ423" i="2"/>
  <c r="AN423" i="2"/>
  <c r="AM423" i="2"/>
  <c r="AL423" i="2"/>
  <c r="AK423" i="2"/>
  <c r="AJ423" i="2"/>
  <c r="AI423" i="2"/>
  <c r="AH423" i="2"/>
  <c r="AG423" i="2"/>
  <c r="AF423" i="2"/>
  <c r="AC423" i="2"/>
  <c r="AD423" i="2"/>
  <c r="AE423" i="2"/>
  <c r="AB423" i="2"/>
  <c r="X423" i="2"/>
  <c r="Z423" i="2"/>
  <c r="Y423" i="2"/>
  <c r="AA423" i="2"/>
  <c r="V423" i="2"/>
  <c r="W423" i="2"/>
  <c r="T423" i="2"/>
  <c r="U423" i="2"/>
  <c r="Q423" i="2"/>
  <c r="S423" i="2"/>
  <c r="R423" i="2"/>
  <c r="P423" i="2"/>
  <c r="O423" i="2"/>
  <c r="N423" i="2"/>
  <c r="K423" i="2"/>
  <c r="M423" i="2"/>
  <c r="L423" i="2"/>
  <c r="AP423" i="2"/>
  <c r="J423" i="2"/>
  <c r="I423" i="2"/>
  <c r="AO423" i="2"/>
  <c r="L423" i="1"/>
  <c r="P423" i="1" s="1"/>
  <c r="AA423" i="1"/>
  <c r="G424" i="3"/>
  <c r="I425" i="1"/>
  <c r="V424" i="1"/>
  <c r="J424" i="1"/>
  <c r="G424" i="2"/>
  <c r="Y424" i="1"/>
  <c r="Z424" i="1" s="1"/>
  <c r="N424" i="1"/>
  <c r="S424" i="1"/>
  <c r="W424" i="1" s="1"/>
  <c r="R424" i="1"/>
  <c r="O424" i="1"/>
  <c r="W423" i="1"/>
  <c r="H423" i="3"/>
  <c r="AR423" i="3"/>
  <c r="AQ423" i="3"/>
  <c r="AM423" i="3"/>
  <c r="AL423" i="3"/>
  <c r="AN423" i="3"/>
  <c r="AK423" i="3"/>
  <c r="AI423" i="3"/>
  <c r="AH423" i="3"/>
  <c r="AJ423" i="3"/>
  <c r="AE423" i="3"/>
  <c r="AD423" i="3"/>
  <c r="AG423" i="3"/>
  <c r="AF423" i="3"/>
  <c r="AC423" i="3"/>
  <c r="AB423" i="3"/>
  <c r="W423" i="3"/>
  <c r="AA423" i="3"/>
  <c r="Z423" i="3"/>
  <c r="Y423" i="3"/>
  <c r="U423" i="3"/>
  <c r="X423" i="3"/>
  <c r="V423" i="3"/>
  <c r="T423" i="3"/>
  <c r="R423" i="3"/>
  <c r="S423" i="3"/>
  <c r="Q423" i="3"/>
  <c r="P423" i="3"/>
  <c r="O423" i="3"/>
  <c r="M423" i="3"/>
  <c r="N423" i="3"/>
  <c r="L423" i="3"/>
  <c r="K423" i="3"/>
  <c r="J423" i="3"/>
  <c r="I423" i="3"/>
  <c r="AP423" i="3"/>
  <c r="AO423" i="3"/>
  <c r="H424" i="2" l="1"/>
  <c r="AR424" i="2"/>
  <c r="AQ424" i="2"/>
  <c r="AM424" i="2"/>
  <c r="AN424" i="2"/>
  <c r="AL424" i="2"/>
  <c r="AK424" i="2"/>
  <c r="AI424" i="2"/>
  <c r="AJ424" i="2"/>
  <c r="AH424" i="2"/>
  <c r="AF424" i="2"/>
  <c r="AG424" i="2"/>
  <c r="AE424" i="2"/>
  <c r="AD424" i="2"/>
  <c r="AB424" i="2"/>
  <c r="AC424" i="2"/>
  <c r="Z424" i="2"/>
  <c r="X424" i="2"/>
  <c r="AA424" i="2"/>
  <c r="Y424" i="2"/>
  <c r="W424" i="2"/>
  <c r="V424" i="2"/>
  <c r="U424" i="2"/>
  <c r="Q424" i="2"/>
  <c r="T424" i="2"/>
  <c r="S424" i="2"/>
  <c r="R424" i="2"/>
  <c r="P424" i="2"/>
  <c r="M424" i="2"/>
  <c r="N424" i="2"/>
  <c r="K424" i="2"/>
  <c r="O424" i="2"/>
  <c r="L424" i="2"/>
  <c r="I424" i="2"/>
  <c r="AO424" i="2"/>
  <c r="AP424" i="2"/>
  <c r="J424" i="2"/>
  <c r="L424" i="1"/>
  <c r="P424" i="1" s="1"/>
  <c r="AA424" i="1"/>
  <c r="G425" i="3"/>
  <c r="I426" i="1"/>
  <c r="J425" i="1"/>
  <c r="V425" i="1"/>
  <c r="G425" i="2"/>
  <c r="Y425" i="1"/>
  <c r="Z425" i="1" s="1"/>
  <c r="S425" i="1"/>
  <c r="W425" i="1" s="1"/>
  <c r="N425" i="1"/>
  <c r="R425" i="1"/>
  <c r="O425" i="1"/>
  <c r="H424" i="3"/>
  <c r="AR424" i="3"/>
  <c r="AN424" i="3"/>
  <c r="AM424" i="3"/>
  <c r="AQ424" i="3"/>
  <c r="AL424" i="3"/>
  <c r="AK424" i="3"/>
  <c r="AI424" i="3"/>
  <c r="AJ424" i="3"/>
  <c r="AE424" i="3"/>
  <c r="AH424" i="3"/>
  <c r="AG424" i="3"/>
  <c r="AF424" i="3"/>
  <c r="AC424" i="3"/>
  <c r="AD424" i="3"/>
  <c r="AA424" i="3"/>
  <c r="AB424" i="3"/>
  <c r="Z424" i="3"/>
  <c r="Y424" i="3"/>
  <c r="X424" i="3"/>
  <c r="W424" i="3"/>
  <c r="U424" i="3"/>
  <c r="R424" i="3"/>
  <c r="V424" i="3"/>
  <c r="T424" i="3"/>
  <c r="Q424" i="3"/>
  <c r="S424" i="3"/>
  <c r="M424" i="3"/>
  <c r="P424" i="3"/>
  <c r="O424" i="3"/>
  <c r="L424" i="3"/>
  <c r="K424" i="3"/>
  <c r="N424" i="3"/>
  <c r="J424" i="3"/>
  <c r="I424" i="3"/>
  <c r="AP424" i="3"/>
  <c r="AO424" i="3"/>
  <c r="H425" i="2" l="1"/>
  <c r="AR425" i="2"/>
  <c r="AQ425" i="2"/>
  <c r="AN425" i="2"/>
  <c r="AM425" i="2"/>
  <c r="AL425" i="2"/>
  <c r="AK425" i="2"/>
  <c r="AJ425" i="2"/>
  <c r="AH425" i="2"/>
  <c r="AI425" i="2"/>
  <c r="AF425" i="2"/>
  <c r="AE425" i="2"/>
  <c r="AG425" i="2"/>
  <c r="AD425" i="2"/>
  <c r="AB425" i="2"/>
  <c r="AC425" i="2"/>
  <c r="X425" i="2"/>
  <c r="Z425" i="2"/>
  <c r="AA425" i="2"/>
  <c r="V425" i="2"/>
  <c r="Y425" i="2"/>
  <c r="W425" i="2"/>
  <c r="U425" i="2"/>
  <c r="S425" i="2"/>
  <c r="T425" i="2"/>
  <c r="R425" i="2"/>
  <c r="Q425" i="2"/>
  <c r="P425" i="2"/>
  <c r="N425" i="2"/>
  <c r="M425" i="2"/>
  <c r="O425" i="2"/>
  <c r="L425" i="2"/>
  <c r="K425" i="2"/>
  <c r="AO425" i="2"/>
  <c r="J425" i="2"/>
  <c r="I425" i="2"/>
  <c r="AP425" i="2"/>
  <c r="L425" i="1"/>
  <c r="P425" i="1" s="1"/>
  <c r="AA425" i="1"/>
  <c r="G426" i="3"/>
  <c r="I427" i="1"/>
  <c r="V426" i="1"/>
  <c r="J426" i="1"/>
  <c r="G426" i="2"/>
  <c r="Y426" i="1"/>
  <c r="Z426" i="1" s="1"/>
  <c r="O426" i="1"/>
  <c r="S426" i="1"/>
  <c r="W426" i="1" s="1"/>
  <c r="R426" i="1"/>
  <c r="N426" i="1"/>
  <c r="H425" i="3"/>
  <c r="AN425" i="3"/>
  <c r="AR425" i="3"/>
  <c r="AQ425" i="3"/>
  <c r="AM425" i="3"/>
  <c r="AL425" i="3"/>
  <c r="AK425" i="3"/>
  <c r="AI425" i="3"/>
  <c r="AJ425" i="3"/>
  <c r="AH425" i="3"/>
  <c r="AF425" i="3"/>
  <c r="AE425" i="3"/>
  <c r="AD425" i="3"/>
  <c r="AG425" i="3"/>
  <c r="AC425" i="3"/>
  <c r="AB425" i="3"/>
  <c r="X425" i="3"/>
  <c r="AA425" i="3"/>
  <c r="Y425" i="3"/>
  <c r="Z425" i="3"/>
  <c r="W425" i="3"/>
  <c r="U425" i="3"/>
  <c r="R425" i="3"/>
  <c r="V425" i="3"/>
  <c r="T425" i="3"/>
  <c r="S425" i="3"/>
  <c r="Q425" i="3"/>
  <c r="O425" i="3"/>
  <c r="P425" i="3"/>
  <c r="L425" i="3"/>
  <c r="K425" i="3"/>
  <c r="M425" i="3"/>
  <c r="N425" i="3"/>
  <c r="J425" i="3"/>
  <c r="I425" i="3"/>
  <c r="AP425" i="3"/>
  <c r="AO425" i="3"/>
  <c r="H426" i="2" l="1"/>
  <c r="AQ426" i="2"/>
  <c r="AR426" i="2"/>
  <c r="AN426" i="2"/>
  <c r="AM426" i="2"/>
  <c r="AJ426" i="2"/>
  <c r="AL426" i="2"/>
  <c r="AK426" i="2"/>
  <c r="AI426" i="2"/>
  <c r="AF426" i="2"/>
  <c r="AH426" i="2"/>
  <c r="AE426" i="2"/>
  <c r="AG426" i="2"/>
  <c r="AD426" i="2"/>
  <c r="AB426" i="2"/>
  <c r="AC426" i="2"/>
  <c r="AA426" i="2"/>
  <c r="Z426" i="2"/>
  <c r="Y426" i="2"/>
  <c r="V426" i="2"/>
  <c r="X426" i="2"/>
  <c r="W426" i="2"/>
  <c r="U426" i="2"/>
  <c r="S426" i="2"/>
  <c r="R426" i="2"/>
  <c r="T426" i="2"/>
  <c r="N426" i="2"/>
  <c r="Q426" i="2"/>
  <c r="P426" i="2"/>
  <c r="L426" i="2"/>
  <c r="M426" i="2"/>
  <c r="O426" i="2"/>
  <c r="K426" i="2"/>
  <c r="AO426" i="2"/>
  <c r="J426" i="2"/>
  <c r="I426" i="2"/>
  <c r="AP426" i="2"/>
  <c r="I428" i="1"/>
  <c r="G427" i="3"/>
  <c r="J427" i="1"/>
  <c r="V427" i="1"/>
  <c r="G427" i="2"/>
  <c r="Y427" i="1"/>
  <c r="Z427" i="1" s="1"/>
  <c r="S427" i="1"/>
  <c r="W427" i="1" s="1"/>
  <c r="N427" i="1"/>
  <c r="O427" i="1"/>
  <c r="R427" i="1"/>
  <c r="L426" i="1"/>
  <c r="P426" i="1" s="1"/>
  <c r="AA426" i="1"/>
  <c r="H426" i="3"/>
  <c r="AQ426" i="3"/>
  <c r="AN426" i="3"/>
  <c r="AR426" i="3"/>
  <c r="AM426" i="3"/>
  <c r="AL426" i="3"/>
  <c r="AK426" i="3"/>
  <c r="AI426" i="3"/>
  <c r="AJ426" i="3"/>
  <c r="AG426" i="3"/>
  <c r="AH426" i="3"/>
  <c r="AF426" i="3"/>
  <c r="AE426" i="3"/>
  <c r="AC426" i="3"/>
  <c r="AD426" i="3"/>
  <c r="Z426" i="3"/>
  <c r="AB426" i="3"/>
  <c r="X426" i="3"/>
  <c r="AA426" i="3"/>
  <c r="Y426" i="3"/>
  <c r="W426" i="3"/>
  <c r="V426" i="3"/>
  <c r="R426" i="3"/>
  <c r="U426" i="3"/>
  <c r="T426" i="3"/>
  <c r="O426" i="3"/>
  <c r="S426" i="3"/>
  <c r="Q426" i="3"/>
  <c r="M426" i="3"/>
  <c r="P426" i="3"/>
  <c r="L426" i="3"/>
  <c r="K426" i="3"/>
  <c r="N426" i="3"/>
  <c r="I426" i="3"/>
  <c r="AO426" i="3"/>
  <c r="J426" i="3"/>
  <c r="AP426" i="3"/>
  <c r="H427" i="3" l="1"/>
  <c r="AR427" i="3"/>
  <c r="AQ427" i="3"/>
  <c r="AN427" i="3"/>
  <c r="AL427" i="3"/>
  <c r="AJ427" i="3"/>
  <c r="AM427" i="3"/>
  <c r="AK427" i="3"/>
  <c r="AG427" i="3"/>
  <c r="AI427" i="3"/>
  <c r="AH427" i="3"/>
  <c r="AF427" i="3"/>
  <c r="AD427" i="3"/>
  <c r="AE427" i="3"/>
  <c r="AC427" i="3"/>
  <c r="AB427" i="3"/>
  <c r="Z427" i="3"/>
  <c r="X427" i="3"/>
  <c r="AA427" i="3"/>
  <c r="Y427" i="3"/>
  <c r="V427" i="3"/>
  <c r="W427" i="3"/>
  <c r="U427" i="3"/>
  <c r="S427" i="3"/>
  <c r="T427" i="3"/>
  <c r="R427" i="3"/>
  <c r="Q427" i="3"/>
  <c r="O427" i="3"/>
  <c r="P427" i="3"/>
  <c r="N427" i="3"/>
  <c r="I427" i="3"/>
  <c r="L427" i="3"/>
  <c r="K427" i="3"/>
  <c r="M427" i="3"/>
  <c r="AP427" i="3"/>
  <c r="AO427" i="3"/>
  <c r="J427" i="3"/>
  <c r="I429" i="1"/>
  <c r="G428" i="3"/>
  <c r="V428" i="1"/>
  <c r="J428" i="1"/>
  <c r="Y428" i="1"/>
  <c r="Z428" i="1" s="1"/>
  <c r="G428" i="2"/>
  <c r="N428" i="1"/>
  <c r="R428" i="1"/>
  <c r="O428" i="1"/>
  <c r="S428" i="1"/>
  <c r="W428" i="1" s="1"/>
  <c r="H427" i="2"/>
  <c r="AR427" i="2"/>
  <c r="AN427" i="2"/>
  <c r="AQ427" i="2"/>
  <c r="AM427" i="2"/>
  <c r="AJ427" i="2"/>
  <c r="AL427" i="2"/>
  <c r="AK427" i="2"/>
  <c r="AI427" i="2"/>
  <c r="AH427" i="2"/>
  <c r="AF427" i="2"/>
  <c r="AE427" i="2"/>
  <c r="AG427" i="2"/>
  <c r="AB427" i="2"/>
  <c r="AA427" i="2"/>
  <c r="AC427" i="2"/>
  <c r="AD427" i="2"/>
  <c r="Y427" i="2"/>
  <c r="Z427" i="2"/>
  <c r="V427" i="2"/>
  <c r="X427" i="2"/>
  <c r="W427" i="2"/>
  <c r="U427" i="2"/>
  <c r="S427" i="2"/>
  <c r="R427" i="2"/>
  <c r="T427" i="2"/>
  <c r="P427" i="2"/>
  <c r="N427" i="2"/>
  <c r="Q427" i="2"/>
  <c r="O427" i="2"/>
  <c r="L427" i="2"/>
  <c r="I427" i="2"/>
  <c r="M427" i="2"/>
  <c r="J427" i="2"/>
  <c r="K427" i="2"/>
  <c r="AO427" i="2"/>
  <c r="AP427" i="2"/>
  <c r="L427" i="1"/>
  <c r="P427" i="1" s="1"/>
  <c r="AA427" i="1"/>
  <c r="L428" i="1" l="1"/>
  <c r="P428" i="1" s="1"/>
  <c r="AA428" i="1"/>
  <c r="G429" i="3"/>
  <c r="I430" i="1"/>
  <c r="J429" i="1"/>
  <c r="V429" i="1"/>
  <c r="G429" i="2"/>
  <c r="Y429" i="1"/>
  <c r="Z429" i="1" s="1"/>
  <c r="R429" i="1"/>
  <c r="S429" i="1"/>
  <c r="N429" i="1"/>
  <c r="O429" i="1"/>
  <c r="H428" i="3"/>
  <c r="AR428" i="3"/>
  <c r="AQ428" i="3"/>
  <c r="AN428" i="3"/>
  <c r="AL428" i="3"/>
  <c r="AM428" i="3"/>
  <c r="AK428" i="3"/>
  <c r="AG428" i="3"/>
  <c r="AI428" i="3"/>
  <c r="AJ428" i="3"/>
  <c r="AH428" i="3"/>
  <c r="AF428" i="3"/>
  <c r="AD428" i="3"/>
  <c r="AE428" i="3"/>
  <c r="AC428" i="3"/>
  <c r="AB428" i="3"/>
  <c r="AA428" i="3"/>
  <c r="Z428" i="3"/>
  <c r="Y428" i="3"/>
  <c r="V428" i="3"/>
  <c r="X428" i="3"/>
  <c r="W428" i="3"/>
  <c r="S428" i="3"/>
  <c r="U428" i="3"/>
  <c r="T428" i="3"/>
  <c r="R428" i="3"/>
  <c r="N428" i="3"/>
  <c r="Q428" i="3"/>
  <c r="O428" i="3"/>
  <c r="P428" i="3"/>
  <c r="L428" i="3"/>
  <c r="M428" i="3"/>
  <c r="AP428" i="3"/>
  <c r="AO428" i="3"/>
  <c r="K428" i="3"/>
  <c r="J428" i="3"/>
  <c r="I428" i="3"/>
  <c r="H428" i="2"/>
  <c r="AR428" i="2"/>
  <c r="AN428" i="2"/>
  <c r="AQ428" i="2"/>
  <c r="AM428" i="2"/>
  <c r="AJ428" i="2"/>
  <c r="AL428" i="2"/>
  <c r="AI428" i="2"/>
  <c r="AK428" i="2"/>
  <c r="AH428" i="2"/>
  <c r="AF428" i="2"/>
  <c r="AG428" i="2"/>
  <c r="AE428" i="2"/>
  <c r="AD428" i="2"/>
  <c r="AA428" i="2"/>
  <c r="AB428" i="2"/>
  <c r="AC428" i="2"/>
  <c r="Y428" i="2"/>
  <c r="Z428" i="2"/>
  <c r="X428" i="2"/>
  <c r="W428" i="2"/>
  <c r="V428" i="2"/>
  <c r="U428" i="2"/>
  <c r="S428" i="2"/>
  <c r="T428" i="2"/>
  <c r="P428" i="2"/>
  <c r="R428" i="2"/>
  <c r="N428" i="2"/>
  <c r="Q428" i="2"/>
  <c r="O428" i="2"/>
  <c r="J428" i="2"/>
  <c r="L428" i="2"/>
  <c r="M428" i="2"/>
  <c r="K428" i="2"/>
  <c r="I428" i="2"/>
  <c r="AO428" i="2"/>
  <c r="AP428" i="2"/>
  <c r="H429" i="2" l="1"/>
  <c r="AQ429" i="2"/>
  <c r="AR429" i="2"/>
  <c r="AN429" i="2"/>
  <c r="AK429" i="2"/>
  <c r="AM429" i="2"/>
  <c r="AL429" i="2"/>
  <c r="AH429" i="2"/>
  <c r="AI429" i="2"/>
  <c r="AJ429" i="2"/>
  <c r="AG429" i="2"/>
  <c r="AF429" i="2"/>
  <c r="AE429" i="2"/>
  <c r="AB429" i="2"/>
  <c r="AD429" i="2"/>
  <c r="AA429" i="2"/>
  <c r="AC429" i="2"/>
  <c r="Z429" i="2"/>
  <c r="Y429" i="2"/>
  <c r="W429" i="2"/>
  <c r="X429" i="2"/>
  <c r="V429" i="2"/>
  <c r="U429" i="2"/>
  <c r="T429" i="2"/>
  <c r="R429" i="2"/>
  <c r="S429" i="2"/>
  <c r="Q429" i="2"/>
  <c r="P429" i="2"/>
  <c r="O429" i="2"/>
  <c r="N429" i="2"/>
  <c r="L429" i="2"/>
  <c r="M429" i="2"/>
  <c r="I429" i="2"/>
  <c r="K429" i="2"/>
  <c r="AO429" i="2"/>
  <c r="J429" i="2"/>
  <c r="AP429" i="2"/>
  <c r="L429" i="1"/>
  <c r="P429" i="1" s="1"/>
  <c r="AA429" i="1"/>
  <c r="G430" i="3"/>
  <c r="I431" i="1"/>
  <c r="V430" i="1"/>
  <c r="J430" i="1"/>
  <c r="G430" i="2"/>
  <c r="Y430" i="1"/>
  <c r="Z430" i="1" s="1"/>
  <c r="S430" i="1"/>
  <c r="W430" i="1" s="1"/>
  <c r="N430" i="1"/>
  <c r="O430" i="1"/>
  <c r="R430" i="1"/>
  <c r="H429" i="3"/>
  <c r="AR429" i="3"/>
  <c r="AQ429" i="3"/>
  <c r="AN429" i="3"/>
  <c r="AL429" i="3"/>
  <c r="AM429" i="3"/>
  <c r="AJ429" i="3"/>
  <c r="AG429" i="3"/>
  <c r="AK429" i="3"/>
  <c r="AH429" i="3"/>
  <c r="AF429" i="3"/>
  <c r="AI429" i="3"/>
  <c r="AB429" i="3"/>
  <c r="AD429" i="3"/>
  <c r="AE429" i="3"/>
  <c r="AC429" i="3"/>
  <c r="AA429" i="3"/>
  <c r="Y429" i="3"/>
  <c r="Z429" i="3"/>
  <c r="V429" i="3"/>
  <c r="X429" i="3"/>
  <c r="S429" i="3"/>
  <c r="W429" i="3"/>
  <c r="U429" i="3"/>
  <c r="R429" i="3"/>
  <c r="T429" i="3"/>
  <c r="P429" i="3"/>
  <c r="N429" i="3"/>
  <c r="Q429" i="3"/>
  <c r="O429" i="3"/>
  <c r="I429" i="3"/>
  <c r="L429" i="3"/>
  <c r="K429" i="3"/>
  <c r="M429" i="3"/>
  <c r="J429" i="3"/>
  <c r="AP429" i="3"/>
  <c r="AO429" i="3"/>
  <c r="W429" i="1"/>
  <c r="H430" i="2" l="1"/>
  <c r="AR430" i="2"/>
  <c r="AQ430" i="2"/>
  <c r="AL430" i="2"/>
  <c r="AN430" i="2"/>
  <c r="AK430" i="2"/>
  <c r="AM430" i="2"/>
  <c r="AH430" i="2"/>
  <c r="AJ430" i="2"/>
  <c r="AI430" i="2"/>
  <c r="AG430" i="2"/>
  <c r="AF430" i="2"/>
  <c r="AD430" i="2"/>
  <c r="AE430" i="2"/>
  <c r="AC430" i="2"/>
  <c r="AB430" i="2"/>
  <c r="AA430" i="2"/>
  <c r="Z430" i="2"/>
  <c r="X430" i="2"/>
  <c r="W430" i="2"/>
  <c r="Y430" i="2"/>
  <c r="U430" i="2"/>
  <c r="T430" i="2"/>
  <c r="V430" i="2"/>
  <c r="P430" i="2"/>
  <c r="R430" i="2"/>
  <c r="S430" i="2"/>
  <c r="O430" i="2"/>
  <c r="Q430" i="2"/>
  <c r="J430" i="2"/>
  <c r="N430" i="2"/>
  <c r="M430" i="2"/>
  <c r="I430" i="2"/>
  <c r="K430" i="2"/>
  <c r="AO430" i="2"/>
  <c r="L430" i="2"/>
  <c r="AP430" i="2"/>
  <c r="I432" i="1"/>
  <c r="G431" i="3"/>
  <c r="V431" i="1"/>
  <c r="J431" i="1"/>
  <c r="Y431" i="1"/>
  <c r="Z431" i="1" s="1"/>
  <c r="G431" i="2"/>
  <c r="O431" i="1"/>
  <c r="R431" i="1"/>
  <c r="N431" i="1"/>
  <c r="S431" i="1"/>
  <c r="W431" i="1" s="1"/>
  <c r="H430" i="3"/>
  <c r="AR430" i="3"/>
  <c r="AQ430" i="3"/>
  <c r="AN430" i="3"/>
  <c r="AM430" i="3"/>
  <c r="AL430" i="3"/>
  <c r="AJ430" i="3"/>
  <c r="AK430" i="3"/>
  <c r="AH430" i="3"/>
  <c r="AF430" i="3"/>
  <c r="AI430" i="3"/>
  <c r="AG430" i="3"/>
  <c r="AB430" i="3"/>
  <c r="AD430" i="3"/>
  <c r="AE430" i="3"/>
  <c r="AA430" i="3"/>
  <c r="AC430" i="3"/>
  <c r="Y430" i="3"/>
  <c r="Z430" i="3"/>
  <c r="W430" i="3"/>
  <c r="V430" i="3"/>
  <c r="X430" i="3"/>
  <c r="S430" i="3"/>
  <c r="U430" i="3"/>
  <c r="P430" i="3"/>
  <c r="R430" i="3"/>
  <c r="Q430" i="3"/>
  <c r="T430" i="3"/>
  <c r="L430" i="3"/>
  <c r="N430" i="3"/>
  <c r="J430" i="3"/>
  <c r="O430" i="3"/>
  <c r="K430" i="3"/>
  <c r="M430" i="3"/>
  <c r="AP430" i="3"/>
  <c r="AO430" i="3"/>
  <c r="I430" i="3"/>
  <c r="L430" i="1"/>
  <c r="P430" i="1" s="1"/>
  <c r="AA430" i="1"/>
  <c r="G432" i="3" l="1"/>
  <c r="I433" i="1"/>
  <c r="J432" i="1"/>
  <c r="V432" i="1"/>
  <c r="G432" i="2"/>
  <c r="Y432" i="1"/>
  <c r="Z432" i="1" s="1"/>
  <c r="S432" i="1"/>
  <c r="W432" i="1" s="1"/>
  <c r="R432" i="1"/>
  <c r="O432" i="1"/>
  <c r="N432" i="1"/>
  <c r="L431" i="1"/>
  <c r="P431" i="1" s="1"/>
  <c r="AA431" i="1"/>
  <c r="H431" i="2"/>
  <c r="AR431" i="2"/>
  <c r="AQ431" i="2"/>
  <c r="AL431" i="2"/>
  <c r="AM431" i="2"/>
  <c r="AN431" i="2"/>
  <c r="AK431" i="2"/>
  <c r="AJ431" i="2"/>
  <c r="AH431" i="2"/>
  <c r="AI431" i="2"/>
  <c r="AG431" i="2"/>
  <c r="AD431" i="2"/>
  <c r="AF431" i="2"/>
  <c r="AC431" i="2"/>
  <c r="AE431" i="2"/>
  <c r="AB431" i="2"/>
  <c r="AA431" i="2"/>
  <c r="Z431" i="2"/>
  <c r="U431" i="2"/>
  <c r="X431" i="2"/>
  <c r="W431" i="2"/>
  <c r="Y431" i="2"/>
  <c r="T431" i="2"/>
  <c r="V431" i="2"/>
  <c r="R431" i="2"/>
  <c r="S431" i="2"/>
  <c r="Q431" i="2"/>
  <c r="O431" i="2"/>
  <c r="P431" i="2"/>
  <c r="M431" i="2"/>
  <c r="N431" i="2"/>
  <c r="L431" i="2"/>
  <c r="K431" i="2"/>
  <c r="I431" i="2"/>
  <c r="J431" i="2"/>
  <c r="AP431" i="2"/>
  <c r="AO431" i="2"/>
  <c r="H431" i="3"/>
  <c r="AR431" i="3"/>
  <c r="AQ431" i="3"/>
  <c r="AN431" i="3"/>
  <c r="AM431" i="3"/>
  <c r="AL431" i="3"/>
  <c r="AK431" i="3"/>
  <c r="AJ431" i="3"/>
  <c r="AH431" i="3"/>
  <c r="AI431" i="3"/>
  <c r="AG431" i="3"/>
  <c r="AF431" i="3"/>
  <c r="AB431" i="3"/>
  <c r="AD431" i="3"/>
  <c r="AE431" i="3"/>
  <c r="AC431" i="3"/>
  <c r="AA431" i="3"/>
  <c r="W431" i="3"/>
  <c r="Y431" i="3"/>
  <c r="Z431" i="3"/>
  <c r="X431" i="3"/>
  <c r="V431" i="3"/>
  <c r="U431" i="3"/>
  <c r="T431" i="3"/>
  <c r="S431" i="3"/>
  <c r="R431" i="3"/>
  <c r="Q431" i="3"/>
  <c r="O431" i="3"/>
  <c r="P431" i="3"/>
  <c r="J431" i="3"/>
  <c r="L431" i="3"/>
  <c r="N431" i="3"/>
  <c r="K431" i="3"/>
  <c r="M431" i="3"/>
  <c r="AO431" i="3"/>
  <c r="I431" i="3"/>
  <c r="AP431" i="3"/>
  <c r="H432" i="2" l="1"/>
  <c r="AR432" i="2"/>
  <c r="AQ432" i="2"/>
  <c r="AM432" i="2"/>
  <c r="AN432" i="2"/>
  <c r="AI432" i="2"/>
  <c r="AK432" i="2"/>
  <c r="AL432" i="2"/>
  <c r="AJ432" i="2"/>
  <c r="AG432" i="2"/>
  <c r="AH432" i="2"/>
  <c r="AF432" i="2"/>
  <c r="AD432" i="2"/>
  <c r="AC432" i="2"/>
  <c r="AE432" i="2"/>
  <c r="AB432" i="2"/>
  <c r="Z432" i="2"/>
  <c r="AA432" i="2"/>
  <c r="X432" i="2"/>
  <c r="U432" i="2"/>
  <c r="W432" i="2"/>
  <c r="Y432" i="2"/>
  <c r="T432" i="2"/>
  <c r="V432" i="2"/>
  <c r="S432" i="2"/>
  <c r="Q432" i="2"/>
  <c r="R432" i="2"/>
  <c r="M432" i="2"/>
  <c r="O432" i="2"/>
  <c r="P432" i="2"/>
  <c r="K432" i="2"/>
  <c r="N432" i="2"/>
  <c r="L432" i="2"/>
  <c r="AP432" i="2"/>
  <c r="I432" i="2"/>
  <c r="J432" i="2"/>
  <c r="AO432" i="2"/>
  <c r="L432" i="1"/>
  <c r="P432" i="1" s="1"/>
  <c r="AA432" i="1"/>
  <c r="G433" i="3"/>
  <c r="I434" i="1"/>
  <c r="V433" i="1"/>
  <c r="J433" i="1"/>
  <c r="G433" i="2"/>
  <c r="Y433" i="1"/>
  <c r="Z433" i="1" s="1"/>
  <c r="N433" i="1"/>
  <c r="O433" i="1"/>
  <c r="R433" i="1"/>
  <c r="S433" i="1"/>
  <c r="H432" i="3"/>
  <c r="AR432" i="3"/>
  <c r="AQ432" i="3"/>
  <c r="AL432" i="3"/>
  <c r="AM432" i="3"/>
  <c r="AN432" i="3"/>
  <c r="AK432" i="3"/>
  <c r="AJ432" i="3"/>
  <c r="AH432" i="3"/>
  <c r="AI432" i="3"/>
  <c r="AG432" i="3"/>
  <c r="AF432" i="3"/>
  <c r="AD432" i="3"/>
  <c r="AE432" i="3"/>
  <c r="AC432" i="3"/>
  <c r="AA432" i="3"/>
  <c r="AB432" i="3"/>
  <c r="Y432" i="3"/>
  <c r="Z432" i="3"/>
  <c r="V432" i="3"/>
  <c r="W432" i="3"/>
  <c r="X432" i="3"/>
  <c r="U432" i="3"/>
  <c r="T432" i="3"/>
  <c r="P432" i="3"/>
  <c r="S432" i="3"/>
  <c r="R432" i="3"/>
  <c r="Q432" i="3"/>
  <c r="O432" i="3"/>
  <c r="J432" i="3"/>
  <c r="L432" i="3"/>
  <c r="N432" i="3"/>
  <c r="M432" i="3"/>
  <c r="I432" i="3"/>
  <c r="AO432" i="3"/>
  <c r="AP432" i="3"/>
  <c r="K432" i="3"/>
  <c r="H433" i="2" l="1"/>
  <c r="AR433" i="2"/>
  <c r="AQ433" i="2"/>
  <c r="AM433" i="2"/>
  <c r="AN433" i="2"/>
  <c r="AL433" i="2"/>
  <c r="AK433" i="2"/>
  <c r="AJ433" i="2"/>
  <c r="AI433" i="2"/>
  <c r="AH433" i="2"/>
  <c r="AG433" i="2"/>
  <c r="AF433" i="2"/>
  <c r="AD433" i="2"/>
  <c r="AC433" i="2"/>
  <c r="AE433" i="2"/>
  <c r="AB433" i="2"/>
  <c r="X433" i="2"/>
  <c r="AA433" i="2"/>
  <c r="Z433" i="2"/>
  <c r="Y433" i="2"/>
  <c r="T433" i="2"/>
  <c r="U433" i="2"/>
  <c r="W433" i="2"/>
  <c r="V433" i="2"/>
  <c r="S433" i="2"/>
  <c r="Q433" i="2"/>
  <c r="R433" i="2"/>
  <c r="O433" i="2"/>
  <c r="P433" i="2"/>
  <c r="K433" i="2"/>
  <c r="N433" i="2"/>
  <c r="L433" i="2"/>
  <c r="M433" i="2"/>
  <c r="J433" i="2"/>
  <c r="AP433" i="2"/>
  <c r="I433" i="2"/>
  <c r="AO433" i="2"/>
  <c r="G434" i="3"/>
  <c r="I435" i="1"/>
  <c r="V434" i="1"/>
  <c r="J434" i="1"/>
  <c r="G434" i="2"/>
  <c r="Y434" i="1"/>
  <c r="Z434" i="1" s="1"/>
  <c r="S434" i="1"/>
  <c r="W434" i="1" s="1"/>
  <c r="O434" i="1"/>
  <c r="N434" i="1"/>
  <c r="R434" i="1"/>
  <c r="H433" i="3"/>
  <c r="AR433" i="3"/>
  <c r="AQ433" i="3"/>
  <c r="AM433" i="3"/>
  <c r="AL433" i="3"/>
  <c r="AN433" i="3"/>
  <c r="AK433" i="3"/>
  <c r="AI433" i="3"/>
  <c r="AH433" i="3"/>
  <c r="AJ433" i="3"/>
  <c r="AG433" i="3"/>
  <c r="AD433" i="3"/>
  <c r="AF433" i="3"/>
  <c r="AE433" i="3"/>
  <c r="AC433" i="3"/>
  <c r="AB433" i="3"/>
  <c r="AA433" i="3"/>
  <c r="W433" i="3"/>
  <c r="Z433" i="3"/>
  <c r="U433" i="3"/>
  <c r="Y433" i="3"/>
  <c r="X433" i="3"/>
  <c r="T433" i="3"/>
  <c r="V433" i="3"/>
  <c r="S433" i="3"/>
  <c r="R433" i="3"/>
  <c r="Q433" i="3"/>
  <c r="P433" i="3"/>
  <c r="O433" i="3"/>
  <c r="M433" i="3"/>
  <c r="L433" i="3"/>
  <c r="N433" i="3"/>
  <c r="K433" i="3"/>
  <c r="I433" i="3"/>
  <c r="AO433" i="3"/>
  <c r="AP433" i="3"/>
  <c r="J433" i="3"/>
  <c r="L433" i="1"/>
  <c r="P433" i="1" s="1"/>
  <c r="AA433" i="1"/>
  <c r="W433" i="1"/>
  <c r="H434" i="3" l="1"/>
  <c r="AR434" i="3"/>
  <c r="AN434" i="3"/>
  <c r="AM434" i="3"/>
  <c r="AQ434" i="3"/>
  <c r="AL434" i="3"/>
  <c r="AI434" i="3"/>
  <c r="AK434" i="3"/>
  <c r="AJ434" i="3"/>
  <c r="AE434" i="3"/>
  <c r="AH434" i="3"/>
  <c r="AG434" i="3"/>
  <c r="AF434" i="3"/>
  <c r="AC434" i="3"/>
  <c r="AD434" i="3"/>
  <c r="AB434" i="3"/>
  <c r="Z434" i="3"/>
  <c r="Y434" i="3"/>
  <c r="AA434" i="3"/>
  <c r="X434" i="3"/>
  <c r="U434" i="3"/>
  <c r="W434" i="3"/>
  <c r="R434" i="3"/>
  <c r="T434" i="3"/>
  <c r="V434" i="3"/>
  <c r="Q434" i="3"/>
  <c r="S434" i="3"/>
  <c r="M434" i="3"/>
  <c r="P434" i="3"/>
  <c r="O434" i="3"/>
  <c r="N434" i="3"/>
  <c r="K434" i="3"/>
  <c r="L434" i="3"/>
  <c r="J434" i="3"/>
  <c r="I434" i="3"/>
  <c r="AO434" i="3"/>
  <c r="AP434" i="3"/>
  <c r="H434" i="2"/>
  <c r="AR434" i="2"/>
  <c r="AQ434" i="2"/>
  <c r="AM434" i="2"/>
  <c r="AL434" i="2"/>
  <c r="AN434" i="2"/>
  <c r="AI434" i="2"/>
  <c r="AK434" i="2"/>
  <c r="AH434" i="2"/>
  <c r="AJ434" i="2"/>
  <c r="AG434" i="2"/>
  <c r="AF434" i="2"/>
  <c r="AE434" i="2"/>
  <c r="AD434" i="2"/>
  <c r="Z434" i="2"/>
  <c r="AC434" i="2"/>
  <c r="AB434" i="2"/>
  <c r="X434" i="2"/>
  <c r="AA434" i="2"/>
  <c r="W434" i="2"/>
  <c r="Y434" i="2"/>
  <c r="V434" i="2"/>
  <c r="U434" i="2"/>
  <c r="T434" i="2"/>
  <c r="S434" i="2"/>
  <c r="Q434" i="2"/>
  <c r="R434" i="2"/>
  <c r="M434" i="2"/>
  <c r="P434" i="2"/>
  <c r="K434" i="2"/>
  <c r="N434" i="2"/>
  <c r="L434" i="2"/>
  <c r="O434" i="2"/>
  <c r="I434" i="2"/>
  <c r="AO434" i="2"/>
  <c r="J434" i="2"/>
  <c r="AP434" i="2"/>
  <c r="L434" i="1"/>
  <c r="P434" i="1" s="1"/>
  <c r="AA434" i="1"/>
  <c r="G435" i="3"/>
  <c r="I436" i="1"/>
  <c r="J435" i="1"/>
  <c r="V435" i="1"/>
  <c r="G435" i="2"/>
  <c r="Y435" i="1"/>
  <c r="Z435" i="1" s="1"/>
  <c r="S435" i="1"/>
  <c r="N435" i="1"/>
  <c r="R435" i="1"/>
  <c r="O435" i="1"/>
  <c r="G436" i="3" l="1"/>
  <c r="I437" i="1"/>
  <c r="J436" i="1"/>
  <c r="V436" i="1"/>
  <c r="G436" i="2"/>
  <c r="Y436" i="1"/>
  <c r="Z436" i="1" s="1"/>
  <c r="N436" i="1"/>
  <c r="O436" i="1"/>
  <c r="R436" i="1"/>
  <c r="S436" i="1"/>
  <c r="H435" i="3"/>
  <c r="AN435" i="3"/>
  <c r="AR435" i="3"/>
  <c r="AM435" i="3"/>
  <c r="AQ435" i="3"/>
  <c r="AL435" i="3"/>
  <c r="AI435" i="3"/>
  <c r="AK435" i="3"/>
  <c r="AJ435" i="3"/>
  <c r="AH435" i="3"/>
  <c r="AG435" i="3"/>
  <c r="AE435" i="3"/>
  <c r="AD435" i="3"/>
  <c r="AF435" i="3"/>
  <c r="AC435" i="3"/>
  <c r="AB435" i="3"/>
  <c r="X435" i="3"/>
  <c r="Y435" i="3"/>
  <c r="Z435" i="3"/>
  <c r="AA435" i="3"/>
  <c r="U435" i="3"/>
  <c r="W435" i="3"/>
  <c r="R435" i="3"/>
  <c r="T435" i="3"/>
  <c r="V435" i="3"/>
  <c r="Q435" i="3"/>
  <c r="S435" i="3"/>
  <c r="P435" i="3"/>
  <c r="O435" i="3"/>
  <c r="M435" i="3"/>
  <c r="L435" i="3"/>
  <c r="N435" i="3"/>
  <c r="K435" i="3"/>
  <c r="J435" i="3"/>
  <c r="I435" i="3"/>
  <c r="AO435" i="3"/>
  <c r="AP435" i="3"/>
  <c r="H435" i="2"/>
  <c r="AR435" i="2"/>
  <c r="AQ435" i="2"/>
  <c r="AN435" i="2"/>
  <c r="AM435" i="2"/>
  <c r="AL435" i="2"/>
  <c r="AK435" i="2"/>
  <c r="AJ435" i="2"/>
  <c r="AI435" i="2"/>
  <c r="AF435" i="2"/>
  <c r="AE435" i="2"/>
  <c r="AG435" i="2"/>
  <c r="AH435" i="2"/>
  <c r="AD435" i="2"/>
  <c r="AC435" i="2"/>
  <c r="AB435" i="2"/>
  <c r="X435" i="2"/>
  <c r="AA435" i="2"/>
  <c r="Y435" i="2"/>
  <c r="V435" i="2"/>
  <c r="Z435" i="2"/>
  <c r="W435" i="2"/>
  <c r="U435" i="2"/>
  <c r="S435" i="2"/>
  <c r="T435" i="2"/>
  <c r="R435" i="2"/>
  <c r="P435" i="2"/>
  <c r="Q435" i="2"/>
  <c r="N435" i="2"/>
  <c r="O435" i="2"/>
  <c r="M435" i="2"/>
  <c r="L435" i="2"/>
  <c r="AO435" i="2"/>
  <c r="J435" i="2"/>
  <c r="I435" i="2"/>
  <c r="K435" i="2"/>
  <c r="AP435" i="2"/>
  <c r="L435" i="1"/>
  <c r="P435" i="1" s="1"/>
  <c r="AA435" i="1"/>
  <c r="W435" i="1"/>
  <c r="H436" i="2" l="1"/>
  <c r="AR436" i="2"/>
  <c r="AQ436" i="2"/>
  <c r="AN436" i="2"/>
  <c r="AM436" i="2"/>
  <c r="AL436" i="2"/>
  <c r="AK436" i="2"/>
  <c r="AJ436" i="2"/>
  <c r="AF436" i="2"/>
  <c r="AI436" i="2"/>
  <c r="AH436" i="2"/>
  <c r="AE436" i="2"/>
  <c r="AG436" i="2"/>
  <c r="AD436" i="2"/>
  <c r="AB436" i="2"/>
  <c r="AC436" i="2"/>
  <c r="AA436" i="2"/>
  <c r="Z436" i="2"/>
  <c r="Y436" i="2"/>
  <c r="V436" i="2"/>
  <c r="X436" i="2"/>
  <c r="W436" i="2"/>
  <c r="S436" i="2"/>
  <c r="U436" i="2"/>
  <c r="R436" i="2"/>
  <c r="T436" i="2"/>
  <c r="N436" i="2"/>
  <c r="P436" i="2"/>
  <c r="Q436" i="2"/>
  <c r="L436" i="2"/>
  <c r="O436" i="2"/>
  <c r="M436" i="2"/>
  <c r="AO436" i="2"/>
  <c r="J436" i="2"/>
  <c r="I436" i="2"/>
  <c r="K436" i="2"/>
  <c r="AP436" i="2"/>
  <c r="L436" i="1"/>
  <c r="P436" i="1" s="1"/>
  <c r="AA436" i="1"/>
  <c r="G437" i="3"/>
  <c r="I438" i="1"/>
  <c r="J437" i="1"/>
  <c r="V437" i="1"/>
  <c r="G437" i="2"/>
  <c r="Y437" i="1"/>
  <c r="Z437" i="1" s="1"/>
  <c r="S437" i="1"/>
  <c r="W437" i="1" s="1"/>
  <c r="O437" i="1"/>
  <c r="R437" i="1"/>
  <c r="N437" i="1"/>
  <c r="W436" i="1"/>
  <c r="H436" i="3"/>
  <c r="AN436" i="3"/>
  <c r="AR436" i="3"/>
  <c r="AM436" i="3"/>
  <c r="AQ436" i="3"/>
  <c r="AL436" i="3"/>
  <c r="AI436" i="3"/>
  <c r="AK436" i="3"/>
  <c r="AJ436" i="3"/>
  <c r="AG436" i="3"/>
  <c r="AH436" i="3"/>
  <c r="AE436" i="3"/>
  <c r="AF436" i="3"/>
  <c r="AC436" i="3"/>
  <c r="AD436" i="3"/>
  <c r="Z436" i="3"/>
  <c r="AB436" i="3"/>
  <c r="AA436" i="3"/>
  <c r="X436" i="3"/>
  <c r="Y436" i="3"/>
  <c r="W436" i="3"/>
  <c r="V436" i="3"/>
  <c r="U436" i="3"/>
  <c r="R436" i="3"/>
  <c r="T436" i="3"/>
  <c r="O436" i="3"/>
  <c r="Q436" i="3"/>
  <c r="S436" i="3"/>
  <c r="P436" i="3"/>
  <c r="M436" i="3"/>
  <c r="L436" i="3"/>
  <c r="N436" i="3"/>
  <c r="K436" i="3"/>
  <c r="I436" i="3"/>
  <c r="J436" i="3"/>
  <c r="AO436" i="3"/>
  <c r="AP436" i="3"/>
  <c r="I439" i="1" l="1"/>
  <c r="G438" i="3"/>
  <c r="V438" i="1"/>
  <c r="J438" i="1"/>
  <c r="Y438" i="1"/>
  <c r="Z438" i="1" s="1"/>
  <c r="G438" i="2"/>
  <c r="N438" i="1"/>
  <c r="R438" i="1"/>
  <c r="O438" i="1"/>
  <c r="S438" i="1"/>
  <c r="L437" i="1"/>
  <c r="P437" i="1" s="1"/>
  <c r="AA437" i="1"/>
  <c r="H437" i="3"/>
  <c r="AN437" i="3"/>
  <c r="AR437" i="3"/>
  <c r="AQ437" i="3"/>
  <c r="AM437" i="3"/>
  <c r="AJ437" i="3"/>
  <c r="AL437" i="3"/>
  <c r="AK437" i="3"/>
  <c r="AG437" i="3"/>
  <c r="AI437" i="3"/>
  <c r="AH437" i="3"/>
  <c r="AF437" i="3"/>
  <c r="AE437" i="3"/>
  <c r="AC437" i="3"/>
  <c r="AD437" i="3"/>
  <c r="AB437" i="3"/>
  <c r="AA437" i="3"/>
  <c r="X437" i="3"/>
  <c r="Z437" i="3"/>
  <c r="Y437" i="3"/>
  <c r="V437" i="3"/>
  <c r="W437" i="3"/>
  <c r="U437" i="3"/>
  <c r="S437" i="3"/>
  <c r="T437" i="3"/>
  <c r="R437" i="3"/>
  <c r="O437" i="3"/>
  <c r="P437" i="3"/>
  <c r="Q437" i="3"/>
  <c r="N437" i="3"/>
  <c r="I437" i="3"/>
  <c r="M437" i="3"/>
  <c r="L437" i="3"/>
  <c r="K437" i="3"/>
  <c r="AO437" i="3"/>
  <c r="AP437" i="3"/>
  <c r="J437" i="3"/>
  <c r="H437" i="2"/>
  <c r="AQ437" i="2"/>
  <c r="AR437" i="2"/>
  <c r="AN437" i="2"/>
  <c r="AM437" i="2"/>
  <c r="AK437" i="2"/>
  <c r="AJ437" i="2"/>
  <c r="AL437" i="2"/>
  <c r="AI437" i="2"/>
  <c r="AH437" i="2"/>
  <c r="AE437" i="2"/>
  <c r="AG437" i="2"/>
  <c r="AF437" i="2"/>
  <c r="AB437" i="2"/>
  <c r="AD437" i="2"/>
  <c r="AC437" i="2"/>
  <c r="AA437" i="2"/>
  <c r="Y437" i="2"/>
  <c r="Z437" i="2"/>
  <c r="V437" i="2"/>
  <c r="X437" i="2"/>
  <c r="W437" i="2"/>
  <c r="S437" i="2"/>
  <c r="U437" i="2"/>
  <c r="R437" i="2"/>
  <c r="T437" i="2"/>
  <c r="P437" i="2"/>
  <c r="N437" i="2"/>
  <c r="O437" i="2"/>
  <c r="Q437" i="2"/>
  <c r="L437" i="2"/>
  <c r="M437" i="2"/>
  <c r="I437" i="2"/>
  <c r="J437" i="2"/>
  <c r="K437" i="2"/>
  <c r="AP437" i="2"/>
  <c r="AO437" i="2"/>
  <c r="H438" i="2" l="1"/>
  <c r="AQ438" i="2"/>
  <c r="AR438" i="2"/>
  <c r="AN438" i="2"/>
  <c r="AM438" i="2"/>
  <c r="AK438" i="2"/>
  <c r="AJ438" i="2"/>
  <c r="AL438" i="2"/>
  <c r="AI438" i="2"/>
  <c r="AH438" i="2"/>
  <c r="AF438" i="2"/>
  <c r="AG438" i="2"/>
  <c r="AE438" i="2"/>
  <c r="AD438" i="2"/>
  <c r="AC438" i="2"/>
  <c r="AA438" i="2"/>
  <c r="AB438" i="2"/>
  <c r="Y438" i="2"/>
  <c r="Z438" i="2"/>
  <c r="X438" i="2"/>
  <c r="W438" i="2"/>
  <c r="S438" i="2"/>
  <c r="V438" i="2"/>
  <c r="U438" i="2"/>
  <c r="P438" i="2"/>
  <c r="R438" i="2"/>
  <c r="T438" i="2"/>
  <c r="Q438" i="2"/>
  <c r="N438" i="2"/>
  <c r="O438" i="2"/>
  <c r="J438" i="2"/>
  <c r="L438" i="2"/>
  <c r="M438" i="2"/>
  <c r="K438" i="2"/>
  <c r="I438" i="2"/>
  <c r="AP438" i="2"/>
  <c r="AO438" i="2"/>
  <c r="L438" i="1"/>
  <c r="P438" i="1" s="1"/>
  <c r="AA438" i="1"/>
  <c r="H438" i="3"/>
  <c r="AQ438" i="3"/>
  <c r="AR438" i="3"/>
  <c r="AN438" i="3"/>
  <c r="AM438" i="3"/>
  <c r="AK438" i="3"/>
  <c r="AL438" i="3"/>
  <c r="AG438" i="3"/>
  <c r="AJ438" i="3"/>
  <c r="AI438" i="3"/>
  <c r="AF438" i="3"/>
  <c r="AH438" i="3"/>
  <c r="AC438" i="3"/>
  <c r="AD438" i="3"/>
  <c r="AE438" i="3"/>
  <c r="AB438" i="3"/>
  <c r="AA438" i="3"/>
  <c r="Z438" i="3"/>
  <c r="Y438" i="3"/>
  <c r="X438" i="3"/>
  <c r="V438" i="3"/>
  <c r="W438" i="3"/>
  <c r="S438" i="3"/>
  <c r="U438" i="3"/>
  <c r="T438" i="3"/>
  <c r="R438" i="3"/>
  <c r="N438" i="3"/>
  <c r="O438" i="3"/>
  <c r="P438" i="3"/>
  <c r="Q438" i="3"/>
  <c r="M438" i="3"/>
  <c r="L438" i="3"/>
  <c r="AO438" i="3"/>
  <c r="AP438" i="3"/>
  <c r="J438" i="3"/>
  <c r="I438" i="3"/>
  <c r="K438" i="3"/>
  <c r="I440" i="1"/>
  <c r="G439" i="3"/>
  <c r="V439" i="1"/>
  <c r="J439" i="1"/>
  <c r="G439" i="2"/>
  <c r="Y439" i="1"/>
  <c r="Z439" i="1" s="1"/>
  <c r="R439" i="1"/>
  <c r="S439" i="1"/>
  <c r="W439" i="1" s="1"/>
  <c r="N439" i="1"/>
  <c r="O439" i="1"/>
  <c r="W438" i="1"/>
  <c r="H439" i="3" l="1"/>
  <c r="AQ439" i="3"/>
  <c r="AR439" i="3"/>
  <c r="AN439" i="3"/>
  <c r="AM439" i="3"/>
  <c r="AK439" i="3"/>
  <c r="AL439" i="3"/>
  <c r="AG439" i="3"/>
  <c r="AJ439" i="3"/>
  <c r="AI439" i="3"/>
  <c r="AF439" i="3"/>
  <c r="AH439" i="3"/>
  <c r="AE439" i="3"/>
  <c r="AB439" i="3"/>
  <c r="AC439" i="3"/>
  <c r="AD439" i="3"/>
  <c r="AA439" i="3"/>
  <c r="Z439" i="3"/>
  <c r="Y439" i="3"/>
  <c r="X439" i="3"/>
  <c r="V439" i="3"/>
  <c r="W439" i="3"/>
  <c r="S439" i="3"/>
  <c r="U439" i="3"/>
  <c r="T439" i="3"/>
  <c r="R439" i="3"/>
  <c r="P439" i="3"/>
  <c r="N439" i="3"/>
  <c r="O439" i="3"/>
  <c r="Q439" i="3"/>
  <c r="I439" i="3"/>
  <c r="M439" i="3"/>
  <c r="L439" i="3"/>
  <c r="K439" i="3"/>
  <c r="J439" i="3"/>
  <c r="AO439" i="3"/>
  <c r="AP439" i="3"/>
  <c r="G440" i="3"/>
  <c r="I441" i="1"/>
  <c r="J440" i="1"/>
  <c r="V440" i="1"/>
  <c r="G440" i="2"/>
  <c r="Y440" i="1"/>
  <c r="Z440" i="1" s="1"/>
  <c r="S440" i="1"/>
  <c r="W440" i="1" s="1"/>
  <c r="N440" i="1"/>
  <c r="O440" i="1"/>
  <c r="R440" i="1"/>
  <c r="H439" i="2"/>
  <c r="AQ439" i="2"/>
  <c r="AR439" i="2"/>
  <c r="AN439" i="2"/>
  <c r="AK439" i="2"/>
  <c r="AM439" i="2"/>
  <c r="AL439" i="2"/>
  <c r="AI439" i="2"/>
  <c r="AH439" i="2"/>
  <c r="AJ439" i="2"/>
  <c r="AG439" i="2"/>
  <c r="AF439" i="2"/>
  <c r="AB439" i="2"/>
  <c r="AE439" i="2"/>
  <c r="AD439" i="2"/>
  <c r="AC439" i="2"/>
  <c r="AA439" i="2"/>
  <c r="Y439" i="2"/>
  <c r="Z439" i="2"/>
  <c r="W439" i="2"/>
  <c r="X439" i="2"/>
  <c r="U439" i="2"/>
  <c r="V439" i="2"/>
  <c r="T439" i="2"/>
  <c r="S439" i="2"/>
  <c r="R439" i="2"/>
  <c r="Q439" i="2"/>
  <c r="P439" i="2"/>
  <c r="O439" i="2"/>
  <c r="L439" i="2"/>
  <c r="M439" i="2"/>
  <c r="N439" i="2"/>
  <c r="K439" i="2"/>
  <c r="J439" i="2"/>
  <c r="AO439" i="2"/>
  <c r="I439" i="2"/>
  <c r="AP439" i="2"/>
  <c r="L439" i="1"/>
  <c r="P439" i="1" s="1"/>
  <c r="AA439" i="1"/>
  <c r="I442" i="1" l="1"/>
  <c r="G441" i="3"/>
  <c r="V441" i="1"/>
  <c r="J441" i="1"/>
  <c r="Y441" i="1"/>
  <c r="Z441" i="1" s="1"/>
  <c r="G441" i="2"/>
  <c r="O441" i="1"/>
  <c r="R441" i="1"/>
  <c r="N441" i="1"/>
  <c r="S441" i="1"/>
  <c r="H440" i="3"/>
  <c r="AR440" i="3"/>
  <c r="AQ440" i="3"/>
  <c r="AN440" i="3"/>
  <c r="AM440" i="3"/>
  <c r="AL440" i="3"/>
  <c r="AK440" i="3"/>
  <c r="AJ440" i="3"/>
  <c r="AI440" i="3"/>
  <c r="AH440" i="3"/>
  <c r="AF440" i="3"/>
  <c r="AG440" i="3"/>
  <c r="AD440" i="3"/>
  <c r="AE440" i="3"/>
  <c r="AB440" i="3"/>
  <c r="AA440" i="3"/>
  <c r="AC440" i="3"/>
  <c r="Z440" i="3"/>
  <c r="Y440" i="3"/>
  <c r="W440" i="3"/>
  <c r="X440" i="3"/>
  <c r="V440" i="3"/>
  <c r="S440" i="3"/>
  <c r="U440" i="3"/>
  <c r="P440" i="3"/>
  <c r="T440" i="3"/>
  <c r="Q440" i="3"/>
  <c r="R440" i="3"/>
  <c r="L440" i="3"/>
  <c r="N440" i="3"/>
  <c r="O440" i="3"/>
  <c r="J440" i="3"/>
  <c r="M440" i="3"/>
  <c r="K440" i="3"/>
  <c r="AO440" i="3"/>
  <c r="AP440" i="3"/>
  <c r="I440" i="3"/>
  <c r="H440" i="2"/>
  <c r="AR440" i="2"/>
  <c r="AQ440" i="2"/>
  <c r="AN440" i="2"/>
  <c r="AL440" i="2"/>
  <c r="AK440" i="2"/>
  <c r="AM440" i="2"/>
  <c r="AI440" i="2"/>
  <c r="AH440" i="2"/>
  <c r="AJ440" i="2"/>
  <c r="AG440" i="2"/>
  <c r="AF440" i="2"/>
  <c r="AE440" i="2"/>
  <c r="AD440" i="2"/>
  <c r="AC440" i="2"/>
  <c r="AB440" i="2"/>
  <c r="AA440" i="2"/>
  <c r="Z440" i="2"/>
  <c r="Y440" i="2"/>
  <c r="W440" i="2"/>
  <c r="X440" i="2"/>
  <c r="U440" i="2"/>
  <c r="V440" i="2"/>
  <c r="T440" i="2"/>
  <c r="P440" i="2"/>
  <c r="S440" i="2"/>
  <c r="R440" i="2"/>
  <c r="O440" i="2"/>
  <c r="Q440" i="2"/>
  <c r="J440" i="2"/>
  <c r="M440" i="2"/>
  <c r="N440" i="2"/>
  <c r="K440" i="2"/>
  <c r="AO440" i="2"/>
  <c r="L440" i="2"/>
  <c r="I440" i="2"/>
  <c r="AP440" i="2"/>
  <c r="L440" i="1"/>
  <c r="P440" i="1" s="1"/>
  <c r="AA440" i="1"/>
  <c r="L441" i="1" l="1"/>
  <c r="P441" i="1" s="1"/>
  <c r="AA441" i="1"/>
  <c r="H441" i="2"/>
  <c r="AR441" i="2"/>
  <c r="AQ441" i="2"/>
  <c r="AN441" i="2"/>
  <c r="AL441" i="2"/>
  <c r="AK441" i="2"/>
  <c r="AM441" i="2"/>
  <c r="AI441" i="2"/>
  <c r="AH441" i="2"/>
  <c r="AJ441" i="2"/>
  <c r="AG441" i="2"/>
  <c r="AD441" i="2"/>
  <c r="AF441" i="2"/>
  <c r="AC441" i="2"/>
  <c r="AE441" i="2"/>
  <c r="AB441" i="2"/>
  <c r="Z441" i="2"/>
  <c r="AA441" i="2"/>
  <c r="U441" i="2"/>
  <c r="Y441" i="2"/>
  <c r="W441" i="2"/>
  <c r="X441" i="2"/>
  <c r="V441" i="2"/>
  <c r="T441" i="2"/>
  <c r="S441" i="2"/>
  <c r="R441" i="2"/>
  <c r="Q441" i="2"/>
  <c r="O441" i="2"/>
  <c r="P441" i="2"/>
  <c r="M441" i="2"/>
  <c r="N441" i="2"/>
  <c r="L441" i="2"/>
  <c r="K441" i="2"/>
  <c r="I441" i="2"/>
  <c r="J441" i="2"/>
  <c r="AP441" i="2"/>
  <c r="AO441" i="2"/>
  <c r="H441" i="3"/>
  <c r="AQ441" i="3"/>
  <c r="AR441" i="3"/>
  <c r="AN441" i="3"/>
  <c r="AL441" i="3"/>
  <c r="AK441" i="3"/>
  <c r="AM441" i="3"/>
  <c r="AJ441" i="3"/>
  <c r="AH441" i="3"/>
  <c r="AI441" i="3"/>
  <c r="AG441" i="3"/>
  <c r="AF441" i="3"/>
  <c r="AD441" i="3"/>
  <c r="AE441" i="3"/>
  <c r="AB441" i="3"/>
  <c r="AC441" i="3"/>
  <c r="AA441" i="3"/>
  <c r="W441" i="3"/>
  <c r="Z441" i="3"/>
  <c r="Y441" i="3"/>
  <c r="X441" i="3"/>
  <c r="U441" i="3"/>
  <c r="V441" i="3"/>
  <c r="T441" i="3"/>
  <c r="S441" i="3"/>
  <c r="R441" i="3"/>
  <c r="P441" i="3"/>
  <c r="Q441" i="3"/>
  <c r="J441" i="3"/>
  <c r="N441" i="3"/>
  <c r="M441" i="3"/>
  <c r="L441" i="3"/>
  <c r="O441" i="3"/>
  <c r="K441" i="3"/>
  <c r="AO441" i="3"/>
  <c r="AP441" i="3"/>
  <c r="I441" i="3"/>
  <c r="G442" i="3"/>
  <c r="I443" i="1"/>
  <c r="J442" i="1"/>
  <c r="V442" i="1"/>
  <c r="G442" i="2"/>
  <c r="Y442" i="1"/>
  <c r="Z442" i="1" s="1"/>
  <c r="S442" i="1"/>
  <c r="W442" i="1" s="1"/>
  <c r="N442" i="1"/>
  <c r="R442" i="1"/>
  <c r="O442" i="1"/>
  <c r="W441" i="1"/>
  <c r="G443" i="3" l="1"/>
  <c r="I444" i="1"/>
  <c r="V443" i="1"/>
  <c r="J443" i="1"/>
  <c r="G443" i="2"/>
  <c r="Y443" i="1"/>
  <c r="Z443" i="1" s="1"/>
  <c r="N443" i="1"/>
  <c r="O443" i="1"/>
  <c r="R443" i="1"/>
  <c r="S443" i="1"/>
  <c r="W443" i="1" s="1"/>
  <c r="H442" i="3"/>
  <c r="AR442" i="3"/>
  <c r="AQ442" i="3"/>
  <c r="AN442" i="3"/>
  <c r="AL442" i="3"/>
  <c r="AK442" i="3"/>
  <c r="AM442" i="3"/>
  <c r="AJ442" i="3"/>
  <c r="AH442" i="3"/>
  <c r="AI442" i="3"/>
  <c r="AG442" i="3"/>
  <c r="AF442" i="3"/>
  <c r="AD442" i="3"/>
  <c r="AE442" i="3"/>
  <c r="AC442" i="3"/>
  <c r="AA442" i="3"/>
  <c r="AB442" i="3"/>
  <c r="Z442" i="3"/>
  <c r="Y442" i="3"/>
  <c r="X442" i="3"/>
  <c r="W442" i="3"/>
  <c r="V442" i="3"/>
  <c r="U442" i="3"/>
  <c r="T442" i="3"/>
  <c r="R442" i="3"/>
  <c r="P442" i="3"/>
  <c r="S442" i="3"/>
  <c r="Q442" i="3"/>
  <c r="O442" i="3"/>
  <c r="J442" i="3"/>
  <c r="N442" i="3"/>
  <c r="M442" i="3"/>
  <c r="L442" i="3"/>
  <c r="AO442" i="3"/>
  <c r="AP442" i="3"/>
  <c r="K442" i="3"/>
  <c r="I442" i="3"/>
  <c r="H442" i="2"/>
  <c r="AR442" i="2"/>
  <c r="AQ442" i="2"/>
  <c r="AN442" i="2"/>
  <c r="AM442" i="2"/>
  <c r="AI442" i="2"/>
  <c r="AL442" i="2"/>
  <c r="AK442" i="2"/>
  <c r="AJ442" i="2"/>
  <c r="AH442" i="2"/>
  <c r="AG442" i="2"/>
  <c r="AF442" i="2"/>
  <c r="AE442" i="2"/>
  <c r="AD442" i="2"/>
  <c r="AC442" i="2"/>
  <c r="AB442" i="2"/>
  <c r="Z442" i="2"/>
  <c r="AA442" i="2"/>
  <c r="X442" i="2"/>
  <c r="U442" i="2"/>
  <c r="Y442" i="2"/>
  <c r="W442" i="2"/>
  <c r="V442" i="2"/>
  <c r="T442" i="2"/>
  <c r="Q442" i="2"/>
  <c r="S442" i="2"/>
  <c r="R442" i="2"/>
  <c r="M442" i="2"/>
  <c r="O442" i="2"/>
  <c r="P442" i="2"/>
  <c r="K442" i="2"/>
  <c r="N442" i="2"/>
  <c r="L442" i="2"/>
  <c r="AP442" i="2"/>
  <c r="I442" i="2"/>
  <c r="J442" i="2"/>
  <c r="AO442" i="2"/>
  <c r="L442" i="1"/>
  <c r="P442" i="1" s="1"/>
  <c r="AA442" i="1"/>
  <c r="H443" i="2" l="1"/>
  <c r="AR443" i="2"/>
  <c r="AQ443" i="2"/>
  <c r="AM443" i="2"/>
  <c r="AN443" i="2"/>
  <c r="AL443" i="2"/>
  <c r="AK443" i="2"/>
  <c r="AJ443" i="2"/>
  <c r="AH443" i="2"/>
  <c r="AI443" i="2"/>
  <c r="AF443" i="2"/>
  <c r="AG443" i="2"/>
  <c r="AE443" i="2"/>
  <c r="AD443" i="2"/>
  <c r="AC443" i="2"/>
  <c r="AB443" i="2"/>
  <c r="X443" i="2"/>
  <c r="Z443" i="2"/>
  <c r="Y443" i="2"/>
  <c r="AA443" i="2"/>
  <c r="U443" i="2"/>
  <c r="V443" i="2"/>
  <c r="T443" i="2"/>
  <c r="W443" i="2"/>
  <c r="Q443" i="2"/>
  <c r="S443" i="2"/>
  <c r="R443" i="2"/>
  <c r="O443" i="2"/>
  <c r="P443" i="2"/>
  <c r="K443" i="2"/>
  <c r="N443" i="2"/>
  <c r="M443" i="2"/>
  <c r="L443" i="2"/>
  <c r="AP443" i="2"/>
  <c r="I443" i="2"/>
  <c r="J443" i="2"/>
  <c r="AO443" i="2"/>
  <c r="L443" i="1"/>
  <c r="P443" i="1" s="1"/>
  <c r="AA443" i="1"/>
  <c r="G444" i="3"/>
  <c r="I445" i="1"/>
  <c r="V444" i="1"/>
  <c r="J444" i="1"/>
  <c r="G444" i="2"/>
  <c r="Y444" i="1"/>
  <c r="Z444" i="1" s="1"/>
  <c r="O444" i="1"/>
  <c r="S444" i="1"/>
  <c r="W444" i="1" s="1"/>
  <c r="N444" i="1"/>
  <c r="R444" i="1"/>
  <c r="H443" i="3"/>
  <c r="AR443" i="3"/>
  <c r="AQ443" i="3"/>
  <c r="AN443" i="3"/>
  <c r="AM443" i="3"/>
  <c r="AL443" i="3"/>
  <c r="AK443" i="3"/>
  <c r="AJ443" i="3"/>
  <c r="AI443" i="3"/>
  <c r="AH443" i="3"/>
  <c r="AF443" i="3"/>
  <c r="AD443" i="3"/>
  <c r="AG443" i="3"/>
  <c r="AC443" i="3"/>
  <c r="AE443" i="3"/>
  <c r="AA443" i="3"/>
  <c r="AB443" i="3"/>
  <c r="W443" i="3"/>
  <c r="Z443" i="3"/>
  <c r="U443" i="3"/>
  <c r="Y443" i="3"/>
  <c r="X443" i="3"/>
  <c r="T443" i="3"/>
  <c r="V443" i="3"/>
  <c r="S443" i="3"/>
  <c r="R443" i="3"/>
  <c r="Q443" i="3"/>
  <c r="P443" i="3"/>
  <c r="O443" i="3"/>
  <c r="M443" i="3"/>
  <c r="N443" i="3"/>
  <c r="L443" i="3"/>
  <c r="K443" i="3"/>
  <c r="J443" i="3"/>
  <c r="AO443" i="3"/>
  <c r="AP443" i="3"/>
  <c r="I443" i="3"/>
  <c r="H444" i="3" l="1"/>
  <c r="AR444" i="3"/>
  <c r="AQ444" i="3"/>
  <c r="AN444" i="3"/>
  <c r="AM444" i="3"/>
  <c r="AL444" i="3"/>
  <c r="AI444" i="3"/>
  <c r="AK444" i="3"/>
  <c r="AJ444" i="3"/>
  <c r="AE444" i="3"/>
  <c r="AH444" i="3"/>
  <c r="AF444" i="3"/>
  <c r="AG444" i="3"/>
  <c r="AC444" i="3"/>
  <c r="AD444" i="3"/>
  <c r="AB444" i="3"/>
  <c r="Z444" i="3"/>
  <c r="AA444" i="3"/>
  <c r="Y444" i="3"/>
  <c r="X444" i="3"/>
  <c r="U444" i="3"/>
  <c r="W444" i="3"/>
  <c r="V444" i="3"/>
  <c r="R444" i="3"/>
  <c r="T444" i="3"/>
  <c r="Q444" i="3"/>
  <c r="S444" i="3"/>
  <c r="M444" i="3"/>
  <c r="P444" i="3"/>
  <c r="O444" i="3"/>
  <c r="K444" i="3"/>
  <c r="N444" i="3"/>
  <c r="L444" i="3"/>
  <c r="I444" i="3"/>
  <c r="J444" i="3"/>
  <c r="AO444" i="3"/>
  <c r="AP444" i="3"/>
  <c r="H444" i="2"/>
  <c r="AR444" i="2"/>
  <c r="AQ444" i="2"/>
  <c r="AM444" i="2"/>
  <c r="AN444" i="2"/>
  <c r="AI444" i="2"/>
  <c r="AL444" i="2"/>
  <c r="AK444" i="2"/>
  <c r="AJ444" i="2"/>
  <c r="AH444" i="2"/>
  <c r="AF444" i="2"/>
  <c r="AG444" i="2"/>
  <c r="AE444" i="2"/>
  <c r="AD444" i="2"/>
  <c r="Z444" i="2"/>
  <c r="AC444" i="2"/>
  <c r="AB444" i="2"/>
  <c r="X444" i="2"/>
  <c r="AA444" i="2"/>
  <c r="Y444" i="2"/>
  <c r="W444" i="2"/>
  <c r="V444" i="2"/>
  <c r="U444" i="2"/>
  <c r="Q444" i="2"/>
  <c r="T444" i="2"/>
  <c r="S444" i="2"/>
  <c r="R444" i="2"/>
  <c r="M444" i="2"/>
  <c r="P444" i="2"/>
  <c r="O444" i="2"/>
  <c r="K444" i="2"/>
  <c r="N444" i="2"/>
  <c r="L444" i="2"/>
  <c r="I444" i="2"/>
  <c r="AO444" i="2"/>
  <c r="AP444" i="2"/>
  <c r="J444" i="2"/>
  <c r="L444" i="1"/>
  <c r="P444" i="1" s="1"/>
  <c r="AA444" i="1"/>
  <c r="G445" i="3"/>
  <c r="I446" i="1"/>
  <c r="V445" i="1"/>
  <c r="G445" i="2"/>
  <c r="J445" i="1"/>
  <c r="Y445" i="1"/>
  <c r="Z445" i="1" s="1"/>
  <c r="S445" i="1"/>
  <c r="W445" i="1" s="1"/>
  <c r="N445" i="1"/>
  <c r="R445" i="1"/>
  <c r="O445" i="1"/>
  <c r="G446" i="3" l="1"/>
  <c r="I447" i="1"/>
  <c r="V446" i="1"/>
  <c r="J446" i="1"/>
  <c r="G446" i="2"/>
  <c r="Y446" i="1"/>
  <c r="Z446" i="1" s="1"/>
  <c r="R446" i="1"/>
  <c r="O446" i="1"/>
  <c r="N446" i="1"/>
  <c r="S446" i="1"/>
  <c r="W446" i="1" s="1"/>
  <c r="H445" i="3"/>
  <c r="AR445" i="3"/>
  <c r="AN445" i="3"/>
  <c r="AQ445" i="3"/>
  <c r="AM445" i="3"/>
  <c r="AL445" i="3"/>
  <c r="AI445" i="3"/>
  <c r="AK445" i="3"/>
  <c r="AJ445" i="3"/>
  <c r="AH445" i="3"/>
  <c r="AG445" i="3"/>
  <c r="AF445" i="3"/>
  <c r="AD445" i="3"/>
  <c r="AE445" i="3"/>
  <c r="AC445" i="3"/>
  <c r="AB445" i="3"/>
  <c r="X445" i="3"/>
  <c r="AA445" i="3"/>
  <c r="Z445" i="3"/>
  <c r="Y445" i="3"/>
  <c r="U445" i="3"/>
  <c r="V445" i="3"/>
  <c r="R445" i="3"/>
  <c r="T445" i="3"/>
  <c r="W445" i="3"/>
  <c r="Q445" i="3"/>
  <c r="S445" i="3"/>
  <c r="P445" i="3"/>
  <c r="O445" i="3"/>
  <c r="K445" i="3"/>
  <c r="N445" i="3"/>
  <c r="M445" i="3"/>
  <c r="L445" i="3"/>
  <c r="I445" i="3"/>
  <c r="J445" i="3"/>
  <c r="AO445" i="3"/>
  <c r="AP445" i="3"/>
  <c r="H445" i="2"/>
  <c r="AR445" i="2"/>
  <c r="AQ445" i="2"/>
  <c r="AN445" i="2"/>
  <c r="AM445" i="2"/>
  <c r="AL445" i="2"/>
  <c r="AK445" i="2"/>
  <c r="AJ445" i="2"/>
  <c r="AH445" i="2"/>
  <c r="AI445" i="2"/>
  <c r="AF445" i="2"/>
  <c r="AE445" i="2"/>
  <c r="AG445" i="2"/>
  <c r="AD445" i="2"/>
  <c r="AC445" i="2"/>
  <c r="AB445" i="2"/>
  <c r="Z445" i="2"/>
  <c r="X445" i="2"/>
  <c r="AA445" i="2"/>
  <c r="V445" i="2"/>
  <c r="Y445" i="2"/>
  <c r="U445" i="2"/>
  <c r="W445" i="2"/>
  <c r="S445" i="2"/>
  <c r="T445" i="2"/>
  <c r="R445" i="2"/>
  <c r="Q445" i="2"/>
  <c r="P445" i="2"/>
  <c r="N445" i="2"/>
  <c r="O445" i="2"/>
  <c r="M445" i="2"/>
  <c r="L445" i="2"/>
  <c r="AO445" i="2"/>
  <c r="K445" i="2"/>
  <c r="I445" i="2"/>
  <c r="J445" i="2"/>
  <c r="AP445" i="2"/>
  <c r="L445" i="1"/>
  <c r="P445" i="1" s="1"/>
  <c r="AA445" i="1"/>
  <c r="L446" i="1" l="1"/>
  <c r="P446" i="1" s="1"/>
  <c r="AA446" i="1"/>
  <c r="I448" i="1"/>
  <c r="G447" i="3"/>
  <c r="J447" i="1"/>
  <c r="V447" i="1"/>
  <c r="G447" i="2"/>
  <c r="Y447" i="1"/>
  <c r="Z447" i="1" s="1"/>
  <c r="S447" i="1"/>
  <c r="N447" i="1"/>
  <c r="O447" i="1"/>
  <c r="R447" i="1"/>
  <c r="H446" i="2"/>
  <c r="AR446" i="2"/>
  <c r="AQ446" i="2"/>
  <c r="AN446" i="2"/>
  <c r="AM446" i="2"/>
  <c r="AL446" i="2"/>
  <c r="AJ446" i="2"/>
  <c r="AK446" i="2"/>
  <c r="AF446" i="2"/>
  <c r="AH446" i="2"/>
  <c r="AI446" i="2"/>
  <c r="AE446" i="2"/>
  <c r="AG446" i="2"/>
  <c r="AD446" i="2"/>
  <c r="AB446" i="2"/>
  <c r="AC446" i="2"/>
  <c r="AA446" i="2"/>
  <c r="Z446" i="2"/>
  <c r="Y446" i="2"/>
  <c r="V446" i="2"/>
  <c r="W446" i="2"/>
  <c r="X446" i="2"/>
  <c r="S446" i="2"/>
  <c r="U446" i="2"/>
  <c r="R446" i="2"/>
  <c r="T446" i="2"/>
  <c r="N446" i="2"/>
  <c r="Q446" i="2"/>
  <c r="P446" i="2"/>
  <c r="L446" i="2"/>
  <c r="O446" i="2"/>
  <c r="M446" i="2"/>
  <c r="J446" i="2"/>
  <c r="AO446" i="2"/>
  <c r="K446" i="2"/>
  <c r="I446" i="2"/>
  <c r="AP446" i="2"/>
  <c r="H446" i="3"/>
  <c r="AR446" i="3"/>
  <c r="AN446" i="3"/>
  <c r="AQ446" i="3"/>
  <c r="AM446" i="3"/>
  <c r="AL446" i="3"/>
  <c r="AI446" i="3"/>
  <c r="AK446" i="3"/>
  <c r="AJ446" i="3"/>
  <c r="AG446" i="3"/>
  <c r="AH446" i="3"/>
  <c r="AE446" i="3"/>
  <c r="AF446" i="3"/>
  <c r="AD446" i="3"/>
  <c r="AC446" i="3"/>
  <c r="Z446" i="3"/>
  <c r="AB446" i="3"/>
  <c r="X446" i="3"/>
  <c r="AA446" i="3"/>
  <c r="Y446" i="3"/>
  <c r="W446" i="3"/>
  <c r="V446" i="3"/>
  <c r="R446" i="3"/>
  <c r="T446" i="3"/>
  <c r="U446" i="3"/>
  <c r="O446" i="3"/>
  <c r="Q446" i="3"/>
  <c r="S446" i="3"/>
  <c r="M446" i="3"/>
  <c r="P446" i="3"/>
  <c r="L446" i="3"/>
  <c r="K446" i="3"/>
  <c r="N446" i="3"/>
  <c r="I446" i="3"/>
  <c r="J446" i="3"/>
  <c r="AO446" i="3"/>
  <c r="AP446" i="3"/>
  <c r="H447" i="2" l="1"/>
  <c r="AR447" i="2"/>
  <c r="AQ447" i="2"/>
  <c r="AN447" i="2"/>
  <c r="AL447" i="2"/>
  <c r="AM447" i="2"/>
  <c r="AJ447" i="2"/>
  <c r="AK447" i="2"/>
  <c r="AH447" i="2"/>
  <c r="AI447" i="2"/>
  <c r="AG447" i="2"/>
  <c r="AE447" i="2"/>
  <c r="AF447" i="2"/>
  <c r="AB447" i="2"/>
  <c r="AD447" i="2"/>
  <c r="AA447" i="2"/>
  <c r="AC447" i="2"/>
  <c r="Y447" i="2"/>
  <c r="V447" i="2"/>
  <c r="Z447" i="2"/>
  <c r="W447" i="2"/>
  <c r="X447" i="2"/>
  <c r="S447" i="2"/>
  <c r="U447" i="2"/>
  <c r="R447" i="2"/>
  <c r="T447" i="2"/>
  <c r="P447" i="2"/>
  <c r="N447" i="2"/>
  <c r="Q447" i="2"/>
  <c r="O447" i="2"/>
  <c r="L447" i="2"/>
  <c r="I447" i="2"/>
  <c r="M447" i="2"/>
  <c r="J447" i="2"/>
  <c r="K447" i="2"/>
  <c r="AP447" i="2"/>
  <c r="AO447" i="2"/>
  <c r="L447" i="1"/>
  <c r="P447" i="1" s="1"/>
  <c r="AA447" i="1"/>
  <c r="H447" i="3"/>
  <c r="AN447" i="3"/>
  <c r="AQ447" i="3"/>
  <c r="AR447" i="3"/>
  <c r="AJ447" i="3"/>
  <c r="AL447" i="3"/>
  <c r="AM447" i="3"/>
  <c r="AK447" i="3"/>
  <c r="AG447" i="3"/>
  <c r="AI447" i="3"/>
  <c r="AH447" i="3"/>
  <c r="AF447" i="3"/>
  <c r="AE447" i="3"/>
  <c r="AD447" i="3"/>
  <c r="AC447" i="3"/>
  <c r="AB447" i="3"/>
  <c r="X447" i="3"/>
  <c r="AA447" i="3"/>
  <c r="Z447" i="3"/>
  <c r="Y447" i="3"/>
  <c r="V447" i="3"/>
  <c r="W447" i="3"/>
  <c r="U447" i="3"/>
  <c r="S447" i="3"/>
  <c r="R447" i="3"/>
  <c r="T447" i="3"/>
  <c r="Q447" i="3"/>
  <c r="P447" i="3"/>
  <c r="O447" i="3"/>
  <c r="N447" i="3"/>
  <c r="I447" i="3"/>
  <c r="L447" i="3"/>
  <c r="K447" i="3"/>
  <c r="M447" i="3"/>
  <c r="AP447" i="3"/>
  <c r="J447" i="3"/>
  <c r="AO447" i="3"/>
  <c r="I449" i="1"/>
  <c r="G448" i="3"/>
  <c r="V448" i="1"/>
  <c r="J448" i="1"/>
  <c r="G448" i="2"/>
  <c r="Y448" i="1"/>
  <c r="Z448" i="1" s="1"/>
  <c r="R448" i="1"/>
  <c r="N448" i="1"/>
  <c r="O448" i="1"/>
  <c r="S448" i="1"/>
  <c r="W448" i="1" s="1"/>
  <c r="W447" i="1"/>
  <c r="H448" i="3" l="1"/>
  <c r="AQ448" i="3"/>
  <c r="AR448" i="3"/>
  <c r="AN448" i="3"/>
  <c r="AM448" i="3"/>
  <c r="AL448" i="3"/>
  <c r="AK448" i="3"/>
  <c r="AG448" i="3"/>
  <c r="AJ448" i="3"/>
  <c r="AF448" i="3"/>
  <c r="AI448" i="3"/>
  <c r="AH448" i="3"/>
  <c r="AE448" i="3"/>
  <c r="AD448" i="3"/>
  <c r="AC448" i="3"/>
  <c r="AB448" i="3"/>
  <c r="AA448" i="3"/>
  <c r="Z448" i="3"/>
  <c r="Y448" i="3"/>
  <c r="V448" i="3"/>
  <c r="X448" i="3"/>
  <c r="W448" i="3"/>
  <c r="S448" i="3"/>
  <c r="T448" i="3"/>
  <c r="U448" i="3"/>
  <c r="R448" i="3"/>
  <c r="O448" i="3"/>
  <c r="N448" i="3"/>
  <c r="Q448" i="3"/>
  <c r="P448" i="3"/>
  <c r="L448" i="3"/>
  <c r="M448" i="3"/>
  <c r="J448" i="3"/>
  <c r="AO448" i="3"/>
  <c r="AP448" i="3"/>
  <c r="I448" i="3"/>
  <c r="K448" i="3"/>
  <c r="H448" i="2"/>
  <c r="AQ448" i="2"/>
  <c r="AR448" i="2"/>
  <c r="AN448" i="2"/>
  <c r="AL448" i="2"/>
  <c r="AM448" i="2"/>
  <c r="AJ448" i="2"/>
  <c r="AK448" i="2"/>
  <c r="AH448" i="2"/>
  <c r="AI448" i="2"/>
  <c r="AF448" i="2"/>
  <c r="AG448" i="2"/>
  <c r="AE448" i="2"/>
  <c r="AD448" i="2"/>
  <c r="AA448" i="2"/>
  <c r="AB448" i="2"/>
  <c r="AC448" i="2"/>
  <c r="Y448" i="2"/>
  <c r="Z448" i="2"/>
  <c r="X448" i="2"/>
  <c r="W448" i="2"/>
  <c r="S448" i="2"/>
  <c r="V448" i="2"/>
  <c r="U448" i="2"/>
  <c r="T448" i="2"/>
  <c r="P448" i="2"/>
  <c r="R448" i="2"/>
  <c r="N448" i="2"/>
  <c r="Q448" i="2"/>
  <c r="O448" i="2"/>
  <c r="M448" i="2"/>
  <c r="J448" i="2"/>
  <c r="L448" i="2"/>
  <c r="I448" i="2"/>
  <c r="K448" i="2"/>
  <c r="AP448" i="2"/>
  <c r="AO448" i="2"/>
  <c r="I450" i="1"/>
  <c r="G449" i="3"/>
  <c r="V449" i="1"/>
  <c r="J449" i="1"/>
  <c r="G449" i="2"/>
  <c r="Y449" i="1"/>
  <c r="Z449" i="1" s="1"/>
  <c r="S449" i="1"/>
  <c r="N449" i="1"/>
  <c r="O449" i="1"/>
  <c r="R449" i="1"/>
  <c r="L448" i="1"/>
  <c r="P448" i="1" s="1"/>
  <c r="AA448" i="1"/>
  <c r="H449" i="2" l="1"/>
  <c r="AQ449" i="2"/>
  <c r="AR449" i="2"/>
  <c r="AM449" i="2"/>
  <c r="AK449" i="2"/>
  <c r="AN449" i="2"/>
  <c r="AL449" i="2"/>
  <c r="AJ449" i="2"/>
  <c r="AH449" i="2"/>
  <c r="AI449" i="2"/>
  <c r="AG449" i="2"/>
  <c r="AF449" i="2"/>
  <c r="AB449" i="2"/>
  <c r="AE449" i="2"/>
  <c r="AD449" i="2"/>
  <c r="AA449" i="2"/>
  <c r="AC449" i="2"/>
  <c r="Y449" i="2"/>
  <c r="Z449" i="2"/>
  <c r="W449" i="2"/>
  <c r="X449" i="2"/>
  <c r="V449" i="2"/>
  <c r="U449" i="2"/>
  <c r="T449" i="2"/>
  <c r="R449" i="2"/>
  <c r="S449" i="2"/>
  <c r="Q449" i="2"/>
  <c r="P449" i="2"/>
  <c r="O449" i="2"/>
  <c r="M449" i="2"/>
  <c r="L449" i="2"/>
  <c r="N449" i="2"/>
  <c r="J449" i="2"/>
  <c r="AO449" i="2"/>
  <c r="I449" i="2"/>
  <c r="K449" i="2"/>
  <c r="AP449" i="2"/>
  <c r="L449" i="1"/>
  <c r="P449" i="1" s="1"/>
  <c r="AA449" i="1"/>
  <c r="H449" i="3"/>
  <c r="AQ449" i="3"/>
  <c r="AR449" i="3"/>
  <c r="AN449" i="3"/>
  <c r="AM449" i="3"/>
  <c r="AL449" i="3"/>
  <c r="AK449" i="3"/>
  <c r="AG449" i="3"/>
  <c r="AI449" i="3"/>
  <c r="AJ449" i="3"/>
  <c r="AF449" i="3"/>
  <c r="AH449" i="3"/>
  <c r="AB449" i="3"/>
  <c r="AE449" i="3"/>
  <c r="AD449" i="3"/>
  <c r="AC449" i="3"/>
  <c r="AA449" i="3"/>
  <c r="Y449" i="3"/>
  <c r="Z449" i="3"/>
  <c r="W449" i="3"/>
  <c r="V449" i="3"/>
  <c r="X449" i="3"/>
  <c r="S449" i="3"/>
  <c r="U449" i="3"/>
  <c r="T449" i="3"/>
  <c r="R449" i="3"/>
  <c r="P449" i="3"/>
  <c r="O449" i="3"/>
  <c r="N449" i="3"/>
  <c r="Q449" i="3"/>
  <c r="M449" i="3"/>
  <c r="I449" i="3"/>
  <c r="L449" i="3"/>
  <c r="K449" i="3"/>
  <c r="J449" i="3"/>
  <c r="AO449" i="3"/>
  <c r="AP449" i="3"/>
  <c r="G450" i="3"/>
  <c r="I451" i="1"/>
  <c r="V450" i="1"/>
  <c r="G450" i="2"/>
  <c r="J450" i="1"/>
  <c r="Y450" i="1"/>
  <c r="Z450" i="1" s="1"/>
  <c r="S450" i="1"/>
  <c r="N450" i="1"/>
  <c r="R450" i="1"/>
  <c r="O450" i="1"/>
  <c r="W449" i="1"/>
  <c r="L450" i="1" l="1"/>
  <c r="P450" i="1" s="1"/>
  <c r="AA450" i="1"/>
  <c r="H450" i="3"/>
  <c r="AQ450" i="3"/>
  <c r="AR450" i="3"/>
  <c r="AN450" i="3"/>
  <c r="AM450" i="3"/>
  <c r="AK450" i="3"/>
  <c r="AL450" i="3"/>
  <c r="AJ450" i="3"/>
  <c r="AI450" i="3"/>
  <c r="AH450" i="3"/>
  <c r="AG450" i="3"/>
  <c r="AF450" i="3"/>
  <c r="AB450" i="3"/>
  <c r="AE450" i="3"/>
  <c r="AD450" i="3"/>
  <c r="AA450" i="3"/>
  <c r="AC450" i="3"/>
  <c r="Y450" i="3"/>
  <c r="Z450" i="3"/>
  <c r="W450" i="3"/>
  <c r="V450" i="3"/>
  <c r="X450" i="3"/>
  <c r="U450" i="3"/>
  <c r="S450" i="3"/>
  <c r="P450" i="3"/>
  <c r="T450" i="3"/>
  <c r="R450" i="3"/>
  <c r="L450" i="3"/>
  <c r="O450" i="3"/>
  <c r="N450" i="3"/>
  <c r="Q450" i="3"/>
  <c r="J450" i="3"/>
  <c r="M450" i="3"/>
  <c r="K450" i="3"/>
  <c r="AO450" i="3"/>
  <c r="I450" i="3"/>
  <c r="AP450" i="3"/>
  <c r="I452" i="1"/>
  <c r="G451" i="3"/>
  <c r="J451" i="1"/>
  <c r="V451" i="1"/>
  <c r="Y451" i="1"/>
  <c r="Z451" i="1" s="1"/>
  <c r="G451" i="2"/>
  <c r="O451" i="1"/>
  <c r="R451" i="1"/>
  <c r="N451" i="1"/>
  <c r="S451" i="1"/>
  <c r="W451" i="1" s="1"/>
  <c r="W450" i="1"/>
  <c r="H450" i="2"/>
  <c r="AQ450" i="2"/>
  <c r="AR450" i="2"/>
  <c r="AL450" i="2"/>
  <c r="AM450" i="2"/>
  <c r="AK450" i="2"/>
  <c r="AN450" i="2"/>
  <c r="AJ450" i="2"/>
  <c r="AH450" i="2"/>
  <c r="AI450" i="2"/>
  <c r="AG450" i="2"/>
  <c r="AF450" i="2"/>
  <c r="AE450" i="2"/>
  <c r="AD450" i="2"/>
  <c r="AC450" i="2"/>
  <c r="AA450" i="2"/>
  <c r="AB450" i="2"/>
  <c r="Z450" i="2"/>
  <c r="W450" i="2"/>
  <c r="X450" i="2"/>
  <c r="Y450" i="2"/>
  <c r="U450" i="2"/>
  <c r="T450" i="2"/>
  <c r="V450" i="2"/>
  <c r="S450" i="2"/>
  <c r="P450" i="2"/>
  <c r="R450" i="2"/>
  <c r="O450" i="2"/>
  <c r="Q450" i="2"/>
  <c r="M450" i="2"/>
  <c r="J450" i="2"/>
  <c r="N450" i="2"/>
  <c r="AO450" i="2"/>
  <c r="I450" i="2"/>
  <c r="K450" i="2"/>
  <c r="L450" i="2"/>
  <c r="AP450" i="2"/>
  <c r="G452" i="3" l="1"/>
  <c r="I453" i="1"/>
  <c r="V452" i="1"/>
  <c r="J452" i="1"/>
  <c r="G452" i="2"/>
  <c r="Y452" i="1"/>
  <c r="Z452" i="1" s="1"/>
  <c r="S452" i="1"/>
  <c r="W452" i="1" s="1"/>
  <c r="N452" i="1"/>
  <c r="R452" i="1"/>
  <c r="O452" i="1"/>
  <c r="L451" i="1"/>
  <c r="P451" i="1" s="1"/>
  <c r="AA451" i="1"/>
  <c r="H451" i="2"/>
  <c r="AQ451" i="2"/>
  <c r="AR451" i="2"/>
  <c r="AL451" i="2"/>
  <c r="AN451" i="2"/>
  <c r="AM451" i="2"/>
  <c r="AK451" i="2"/>
  <c r="AI451" i="2"/>
  <c r="AJ451" i="2"/>
  <c r="AH451" i="2"/>
  <c r="AG451" i="2"/>
  <c r="AD451" i="2"/>
  <c r="AF451" i="2"/>
  <c r="AC451" i="2"/>
  <c r="AE451" i="2"/>
  <c r="AB451" i="2"/>
  <c r="AA451" i="2"/>
  <c r="Z451" i="2"/>
  <c r="U451" i="2"/>
  <c r="W451" i="2"/>
  <c r="X451" i="2"/>
  <c r="Y451" i="2"/>
  <c r="T451" i="2"/>
  <c r="V451" i="2"/>
  <c r="S451" i="2"/>
  <c r="R451" i="2"/>
  <c r="Q451" i="2"/>
  <c r="P451" i="2"/>
  <c r="O451" i="2"/>
  <c r="M451" i="2"/>
  <c r="L451" i="2"/>
  <c r="N451" i="2"/>
  <c r="K451" i="2"/>
  <c r="J451" i="2"/>
  <c r="I451" i="2"/>
  <c r="AP451" i="2"/>
  <c r="AO451" i="2"/>
  <c r="H451" i="3"/>
  <c r="AR451" i="3"/>
  <c r="AQ451" i="3"/>
  <c r="AN451" i="3"/>
  <c r="AM451" i="3"/>
  <c r="AL451" i="3"/>
  <c r="AK451" i="3"/>
  <c r="AJ451" i="3"/>
  <c r="AH451" i="3"/>
  <c r="AI451" i="3"/>
  <c r="AG451" i="3"/>
  <c r="AF451" i="3"/>
  <c r="AB451" i="3"/>
  <c r="AE451" i="3"/>
  <c r="AD451" i="3"/>
  <c r="AC451" i="3"/>
  <c r="AA451" i="3"/>
  <c r="Z451" i="3"/>
  <c r="W451" i="3"/>
  <c r="Y451" i="3"/>
  <c r="X451" i="3"/>
  <c r="U451" i="3"/>
  <c r="V451" i="3"/>
  <c r="T451" i="3"/>
  <c r="S451" i="3"/>
  <c r="R451" i="3"/>
  <c r="P451" i="3"/>
  <c r="O451" i="3"/>
  <c r="Q451" i="3"/>
  <c r="J451" i="3"/>
  <c r="M451" i="3"/>
  <c r="L451" i="3"/>
  <c r="K451" i="3"/>
  <c r="N451" i="3"/>
  <c r="AO451" i="3"/>
  <c r="I451" i="3"/>
  <c r="AP451" i="3"/>
  <c r="H452" i="2" l="1"/>
  <c r="AR452" i="2"/>
  <c r="AQ452" i="2"/>
  <c r="AN452" i="2"/>
  <c r="AM452" i="2"/>
  <c r="AI452" i="2"/>
  <c r="AK452" i="2"/>
  <c r="AL452" i="2"/>
  <c r="AG452" i="2"/>
  <c r="AH452" i="2"/>
  <c r="AJ452" i="2"/>
  <c r="AF452" i="2"/>
  <c r="AC452" i="2"/>
  <c r="AE452" i="2"/>
  <c r="AD452" i="2"/>
  <c r="AB452" i="2"/>
  <c r="Z452" i="2"/>
  <c r="AA452" i="2"/>
  <c r="X452" i="2"/>
  <c r="U452" i="2"/>
  <c r="W452" i="2"/>
  <c r="Y452" i="2"/>
  <c r="T452" i="2"/>
  <c r="V452" i="2"/>
  <c r="Q452" i="2"/>
  <c r="S452" i="2"/>
  <c r="R452" i="2"/>
  <c r="M452" i="2"/>
  <c r="P452" i="2"/>
  <c r="O452" i="2"/>
  <c r="K452" i="2"/>
  <c r="L452" i="2"/>
  <c r="N452" i="2"/>
  <c r="AP452" i="2"/>
  <c r="J452" i="2"/>
  <c r="I452" i="2"/>
  <c r="AO452" i="2"/>
  <c r="L452" i="1"/>
  <c r="P452" i="1" s="1"/>
  <c r="AA452" i="1"/>
  <c r="G453" i="3"/>
  <c r="I454" i="1"/>
  <c r="V453" i="1"/>
  <c r="J453" i="1"/>
  <c r="G453" i="2"/>
  <c r="Y453" i="1"/>
  <c r="Z453" i="1" s="1"/>
  <c r="N453" i="1"/>
  <c r="O453" i="1"/>
  <c r="R453" i="1"/>
  <c r="S453" i="1"/>
  <c r="H452" i="3"/>
  <c r="AR452" i="3"/>
  <c r="AQ452" i="3"/>
  <c r="AL452" i="3"/>
  <c r="AN452" i="3"/>
  <c r="AK452" i="3"/>
  <c r="AM452" i="3"/>
  <c r="AJ452" i="3"/>
  <c r="AH452" i="3"/>
  <c r="AI452" i="3"/>
  <c r="AG452" i="3"/>
  <c r="AF452" i="3"/>
  <c r="AD452" i="3"/>
  <c r="AE452" i="3"/>
  <c r="AC452" i="3"/>
  <c r="AB452" i="3"/>
  <c r="AA452" i="3"/>
  <c r="Z452" i="3"/>
  <c r="Y452" i="3"/>
  <c r="X452" i="3"/>
  <c r="W452" i="3"/>
  <c r="V452" i="3"/>
  <c r="U452" i="3"/>
  <c r="T452" i="3"/>
  <c r="P452" i="3"/>
  <c r="S452" i="3"/>
  <c r="R452" i="3"/>
  <c r="Q452" i="3"/>
  <c r="N452" i="3"/>
  <c r="J452" i="3"/>
  <c r="M452" i="3"/>
  <c r="L452" i="3"/>
  <c r="O452" i="3"/>
  <c r="K452" i="3"/>
  <c r="AO452" i="3"/>
  <c r="I452" i="3"/>
  <c r="AP452" i="3"/>
  <c r="H453" i="2" l="1"/>
  <c r="AR453" i="2"/>
  <c r="AQ453" i="2"/>
  <c r="AN453" i="2"/>
  <c r="AM453" i="2"/>
  <c r="AK453" i="2"/>
  <c r="AL453" i="2"/>
  <c r="AI453" i="2"/>
  <c r="AJ453" i="2"/>
  <c r="AF453" i="2"/>
  <c r="AG453" i="2"/>
  <c r="AH453" i="2"/>
  <c r="AD453" i="2"/>
  <c r="AC453" i="2"/>
  <c r="AE453" i="2"/>
  <c r="AB453" i="2"/>
  <c r="X453" i="2"/>
  <c r="AA453" i="2"/>
  <c r="Y453" i="2"/>
  <c r="Z453" i="2"/>
  <c r="T453" i="2"/>
  <c r="U453" i="2"/>
  <c r="W453" i="2"/>
  <c r="V453" i="2"/>
  <c r="Q453" i="2"/>
  <c r="S453" i="2"/>
  <c r="R453" i="2"/>
  <c r="P453" i="2"/>
  <c r="O453" i="2"/>
  <c r="K453" i="2"/>
  <c r="M453" i="2"/>
  <c r="L453" i="2"/>
  <c r="N453" i="2"/>
  <c r="I453" i="2"/>
  <c r="AP453" i="2"/>
  <c r="J453" i="2"/>
  <c r="AO453" i="2"/>
  <c r="L453" i="1"/>
  <c r="P453" i="1" s="1"/>
  <c r="AA453" i="1"/>
  <c r="G454" i="3"/>
  <c r="I455" i="1"/>
  <c r="V454" i="1"/>
  <c r="J454" i="1"/>
  <c r="G454" i="2"/>
  <c r="Y454" i="1"/>
  <c r="Z454" i="1" s="1"/>
  <c r="O454" i="1"/>
  <c r="S454" i="1"/>
  <c r="W454" i="1" s="1"/>
  <c r="N454" i="1"/>
  <c r="R454" i="1"/>
  <c r="H453" i="3"/>
  <c r="AR453" i="3"/>
  <c r="AQ453" i="3"/>
  <c r="AM453" i="3"/>
  <c r="AL453" i="3"/>
  <c r="AN453" i="3"/>
  <c r="AK453" i="3"/>
  <c r="AJ453" i="3"/>
  <c r="AI453" i="3"/>
  <c r="AH453" i="3"/>
  <c r="AD453" i="3"/>
  <c r="AG453" i="3"/>
  <c r="AF453" i="3"/>
  <c r="AC453" i="3"/>
  <c r="AE453" i="3"/>
  <c r="AB453" i="3"/>
  <c r="AA453" i="3"/>
  <c r="Z453" i="3"/>
  <c r="W453" i="3"/>
  <c r="U453" i="3"/>
  <c r="X453" i="3"/>
  <c r="Y453" i="3"/>
  <c r="T453" i="3"/>
  <c r="V453" i="3"/>
  <c r="S453" i="3"/>
  <c r="R453" i="3"/>
  <c r="Q453" i="3"/>
  <c r="P453" i="3"/>
  <c r="O453" i="3"/>
  <c r="M453" i="3"/>
  <c r="N453" i="3"/>
  <c r="L453" i="3"/>
  <c r="K453" i="3"/>
  <c r="J453" i="3"/>
  <c r="AO453" i="3"/>
  <c r="I453" i="3"/>
  <c r="AP453" i="3"/>
  <c r="W453" i="1"/>
  <c r="H454" i="2" l="1"/>
  <c r="AR454" i="2"/>
  <c r="AQ454" i="2"/>
  <c r="AN454" i="2"/>
  <c r="AM454" i="2"/>
  <c r="AI454" i="2"/>
  <c r="AK454" i="2"/>
  <c r="AL454" i="2"/>
  <c r="AJ454" i="2"/>
  <c r="AH454" i="2"/>
  <c r="AF454" i="2"/>
  <c r="AG454" i="2"/>
  <c r="AE454" i="2"/>
  <c r="AD454" i="2"/>
  <c r="AB454" i="2"/>
  <c r="Z454" i="2"/>
  <c r="AC454" i="2"/>
  <c r="X454" i="2"/>
  <c r="AA454" i="2"/>
  <c r="W454" i="2"/>
  <c r="Y454" i="2"/>
  <c r="V454" i="2"/>
  <c r="U454" i="2"/>
  <c r="T454" i="2"/>
  <c r="Q454" i="2"/>
  <c r="S454" i="2"/>
  <c r="R454" i="2"/>
  <c r="M454" i="2"/>
  <c r="P454" i="2"/>
  <c r="K454" i="2"/>
  <c r="O454" i="2"/>
  <c r="L454" i="2"/>
  <c r="N454" i="2"/>
  <c r="I454" i="2"/>
  <c r="AO454" i="2"/>
  <c r="AP454" i="2"/>
  <c r="J454" i="2"/>
  <c r="G455" i="3"/>
  <c r="I456" i="1"/>
  <c r="J455" i="1"/>
  <c r="V455" i="1"/>
  <c r="G455" i="2"/>
  <c r="Y455" i="1"/>
  <c r="Z455" i="1" s="1"/>
  <c r="S455" i="1"/>
  <c r="W455" i="1" s="1"/>
  <c r="N455" i="1"/>
  <c r="R455" i="1"/>
  <c r="O455" i="1"/>
  <c r="H454" i="3"/>
  <c r="AR454" i="3"/>
  <c r="AN454" i="3"/>
  <c r="AM454" i="3"/>
  <c r="AQ454" i="3"/>
  <c r="AL454" i="3"/>
  <c r="AI454" i="3"/>
  <c r="AK454" i="3"/>
  <c r="AJ454" i="3"/>
  <c r="AE454" i="3"/>
  <c r="AH454" i="3"/>
  <c r="AG454" i="3"/>
  <c r="AF454" i="3"/>
  <c r="AC454" i="3"/>
  <c r="AD454" i="3"/>
  <c r="AB454" i="3"/>
  <c r="Z454" i="3"/>
  <c r="Y454" i="3"/>
  <c r="AA454" i="3"/>
  <c r="X454" i="3"/>
  <c r="U454" i="3"/>
  <c r="W454" i="3"/>
  <c r="R454" i="3"/>
  <c r="T454" i="3"/>
  <c r="V454" i="3"/>
  <c r="Q454" i="3"/>
  <c r="S454" i="3"/>
  <c r="M454" i="3"/>
  <c r="P454" i="3"/>
  <c r="O454" i="3"/>
  <c r="K454" i="3"/>
  <c r="N454" i="3"/>
  <c r="L454" i="3"/>
  <c r="J454" i="3"/>
  <c r="AO454" i="3"/>
  <c r="I454" i="3"/>
  <c r="AP454" i="3"/>
  <c r="L454" i="1"/>
  <c r="P454" i="1" s="1"/>
  <c r="AA454" i="1"/>
  <c r="H455" i="3" l="1"/>
  <c r="AN455" i="3"/>
  <c r="AR455" i="3"/>
  <c r="AM455" i="3"/>
  <c r="AQ455" i="3"/>
  <c r="AL455" i="3"/>
  <c r="AI455" i="3"/>
  <c r="AK455" i="3"/>
  <c r="AJ455" i="3"/>
  <c r="AH455" i="3"/>
  <c r="AD455" i="3"/>
  <c r="AG455" i="3"/>
  <c r="AF455" i="3"/>
  <c r="AE455" i="3"/>
  <c r="AC455" i="3"/>
  <c r="AB455" i="3"/>
  <c r="X455" i="3"/>
  <c r="Z455" i="3"/>
  <c r="Y455" i="3"/>
  <c r="AA455" i="3"/>
  <c r="U455" i="3"/>
  <c r="W455" i="3"/>
  <c r="R455" i="3"/>
  <c r="T455" i="3"/>
  <c r="V455" i="3"/>
  <c r="Q455" i="3"/>
  <c r="S455" i="3"/>
  <c r="P455" i="3"/>
  <c r="O455" i="3"/>
  <c r="K455" i="3"/>
  <c r="N455" i="3"/>
  <c r="M455" i="3"/>
  <c r="L455" i="3"/>
  <c r="J455" i="3"/>
  <c r="AO455" i="3"/>
  <c r="I455" i="3"/>
  <c r="AP455" i="3"/>
  <c r="I457" i="1"/>
  <c r="G456" i="3"/>
  <c r="V456" i="1"/>
  <c r="J456" i="1"/>
  <c r="G456" i="2"/>
  <c r="Y456" i="1"/>
  <c r="Z456" i="1" s="1"/>
  <c r="N456" i="1"/>
  <c r="O456" i="1"/>
  <c r="R456" i="1"/>
  <c r="S456" i="1"/>
  <c r="W456" i="1" s="1"/>
  <c r="H455" i="2"/>
  <c r="AR455" i="2"/>
  <c r="AQ455" i="2"/>
  <c r="AN455" i="2"/>
  <c r="AM455" i="2"/>
  <c r="AK455" i="2"/>
  <c r="AL455" i="2"/>
  <c r="AJ455" i="2"/>
  <c r="AI455" i="2"/>
  <c r="AH455" i="2"/>
  <c r="AF455" i="2"/>
  <c r="AE455" i="2"/>
  <c r="AG455" i="2"/>
  <c r="AD455" i="2"/>
  <c r="AC455" i="2"/>
  <c r="AB455" i="2"/>
  <c r="Z455" i="2"/>
  <c r="X455" i="2"/>
  <c r="AA455" i="2"/>
  <c r="Y455" i="2"/>
  <c r="V455" i="2"/>
  <c r="W455" i="2"/>
  <c r="U455" i="2"/>
  <c r="S455" i="2"/>
  <c r="T455" i="2"/>
  <c r="R455" i="2"/>
  <c r="P455" i="2"/>
  <c r="Q455" i="2"/>
  <c r="N455" i="2"/>
  <c r="M455" i="2"/>
  <c r="O455" i="2"/>
  <c r="L455" i="2"/>
  <c r="I455" i="2"/>
  <c r="AO455" i="2"/>
  <c r="J455" i="2"/>
  <c r="K455" i="2"/>
  <c r="AP455" i="2"/>
  <c r="L455" i="1"/>
  <c r="P455" i="1" s="1"/>
  <c r="AA455" i="1"/>
  <c r="L456" i="1" l="1"/>
  <c r="P456" i="1" s="1"/>
  <c r="AA456" i="1"/>
  <c r="G457" i="3"/>
  <c r="I458" i="1"/>
  <c r="J457" i="1"/>
  <c r="V457" i="1"/>
  <c r="G457" i="2"/>
  <c r="Y457" i="1"/>
  <c r="Z457" i="1" s="1"/>
  <c r="S457" i="1"/>
  <c r="W457" i="1" s="1"/>
  <c r="O457" i="1"/>
  <c r="R457" i="1"/>
  <c r="N457" i="1"/>
  <c r="H456" i="3"/>
  <c r="AR456" i="3"/>
  <c r="AN456" i="3"/>
  <c r="AM456" i="3"/>
  <c r="AQ456" i="3"/>
  <c r="AI456" i="3"/>
  <c r="AK456" i="3"/>
  <c r="AL456" i="3"/>
  <c r="AJ456" i="3"/>
  <c r="AG456" i="3"/>
  <c r="AH456" i="3"/>
  <c r="AF456" i="3"/>
  <c r="AE456" i="3"/>
  <c r="AD456" i="3"/>
  <c r="AC456" i="3"/>
  <c r="Z456" i="3"/>
  <c r="AB456" i="3"/>
  <c r="X456" i="3"/>
  <c r="Y456" i="3"/>
  <c r="AA456" i="3"/>
  <c r="W456" i="3"/>
  <c r="V456" i="3"/>
  <c r="U456" i="3"/>
  <c r="R456" i="3"/>
  <c r="T456" i="3"/>
  <c r="O456" i="3"/>
  <c r="Q456" i="3"/>
  <c r="S456" i="3"/>
  <c r="M456" i="3"/>
  <c r="P456" i="3"/>
  <c r="K456" i="3"/>
  <c r="N456" i="3"/>
  <c r="L456" i="3"/>
  <c r="I456" i="3"/>
  <c r="J456" i="3"/>
  <c r="AO456" i="3"/>
  <c r="AP456" i="3"/>
  <c r="H456" i="2"/>
  <c r="AR456" i="2"/>
  <c r="AQ456" i="2"/>
  <c r="AN456" i="2"/>
  <c r="AM456" i="2"/>
  <c r="AJ456" i="2"/>
  <c r="AL456" i="2"/>
  <c r="AK456" i="2"/>
  <c r="AH456" i="2"/>
  <c r="AF456" i="2"/>
  <c r="AI456" i="2"/>
  <c r="AE456" i="2"/>
  <c r="AG456" i="2"/>
  <c r="AD456" i="2"/>
  <c r="AB456" i="2"/>
  <c r="AC456" i="2"/>
  <c r="AA456" i="2"/>
  <c r="Z456" i="2"/>
  <c r="Y456" i="2"/>
  <c r="V456" i="2"/>
  <c r="X456" i="2"/>
  <c r="W456" i="2"/>
  <c r="S456" i="2"/>
  <c r="U456" i="2"/>
  <c r="R456" i="2"/>
  <c r="T456" i="2"/>
  <c r="Q456" i="2"/>
  <c r="N456" i="2"/>
  <c r="P456" i="2"/>
  <c r="L456" i="2"/>
  <c r="M456" i="2"/>
  <c r="O456" i="2"/>
  <c r="K456" i="2"/>
  <c r="I456" i="2"/>
  <c r="AO456" i="2"/>
  <c r="J456" i="2"/>
  <c r="AP456" i="2"/>
  <c r="L457" i="1" l="1"/>
  <c r="P457" i="1" s="1"/>
  <c r="AA457" i="1"/>
  <c r="I459" i="1"/>
  <c r="G458" i="3"/>
  <c r="V458" i="1"/>
  <c r="J458" i="1"/>
  <c r="Y458" i="1"/>
  <c r="Z458" i="1" s="1"/>
  <c r="G458" i="2"/>
  <c r="N458" i="1"/>
  <c r="R458" i="1"/>
  <c r="O458" i="1"/>
  <c r="S458" i="1"/>
  <c r="H457" i="3"/>
  <c r="AR457" i="3"/>
  <c r="AN457" i="3"/>
  <c r="AQ457" i="3"/>
  <c r="AJ457" i="3"/>
  <c r="AM457" i="3"/>
  <c r="AK457" i="3"/>
  <c r="AL457" i="3"/>
  <c r="AG457" i="3"/>
  <c r="AI457" i="3"/>
  <c r="AH457" i="3"/>
  <c r="AF457" i="3"/>
  <c r="AE457" i="3"/>
  <c r="AD457" i="3"/>
  <c r="AC457" i="3"/>
  <c r="AB457" i="3"/>
  <c r="X457" i="3"/>
  <c r="Z457" i="3"/>
  <c r="Y457" i="3"/>
  <c r="AA457" i="3"/>
  <c r="V457" i="3"/>
  <c r="W457" i="3"/>
  <c r="U457" i="3"/>
  <c r="S457" i="3"/>
  <c r="T457" i="3"/>
  <c r="R457" i="3"/>
  <c r="P457" i="3"/>
  <c r="Q457" i="3"/>
  <c r="O457" i="3"/>
  <c r="N457" i="3"/>
  <c r="L457" i="3"/>
  <c r="I457" i="3"/>
  <c r="K457" i="3"/>
  <c r="M457" i="3"/>
  <c r="AP457" i="3"/>
  <c r="J457" i="3"/>
  <c r="AO457" i="3"/>
  <c r="H457" i="2"/>
  <c r="AR457" i="2"/>
  <c r="AQ457" i="2"/>
  <c r="AN457" i="2"/>
  <c r="AM457" i="2"/>
  <c r="AL457" i="2"/>
  <c r="AJ457" i="2"/>
  <c r="AK457" i="2"/>
  <c r="AH457" i="2"/>
  <c r="AI457" i="2"/>
  <c r="AF457" i="2"/>
  <c r="AE457" i="2"/>
  <c r="AG457" i="2"/>
  <c r="AB457" i="2"/>
  <c r="AD457" i="2"/>
  <c r="AA457" i="2"/>
  <c r="AC457" i="2"/>
  <c r="Y457" i="2"/>
  <c r="Z457" i="2"/>
  <c r="V457" i="2"/>
  <c r="X457" i="2"/>
  <c r="W457" i="2"/>
  <c r="S457" i="2"/>
  <c r="U457" i="2"/>
  <c r="R457" i="2"/>
  <c r="T457" i="2"/>
  <c r="P457" i="2"/>
  <c r="Q457" i="2"/>
  <c r="N457" i="2"/>
  <c r="L457" i="2"/>
  <c r="I457" i="2"/>
  <c r="M457" i="2"/>
  <c r="O457" i="2"/>
  <c r="J457" i="2"/>
  <c r="K457" i="2"/>
  <c r="AO457" i="2"/>
  <c r="AP457" i="2"/>
  <c r="H458" i="2" l="1"/>
  <c r="AR458" i="2"/>
  <c r="AQ458" i="2"/>
  <c r="AN458" i="2"/>
  <c r="AL458" i="2"/>
  <c r="AM458" i="2"/>
  <c r="AJ458" i="2"/>
  <c r="AK458" i="2"/>
  <c r="AH458" i="2"/>
  <c r="AF458" i="2"/>
  <c r="AI458" i="2"/>
  <c r="AG458" i="2"/>
  <c r="AD458" i="2"/>
  <c r="AE458" i="2"/>
  <c r="AA458" i="2"/>
  <c r="AC458" i="2"/>
  <c r="AB458" i="2"/>
  <c r="Y458" i="2"/>
  <c r="Z458" i="2"/>
  <c r="X458" i="2"/>
  <c r="W458" i="2"/>
  <c r="V458" i="2"/>
  <c r="S458" i="2"/>
  <c r="U458" i="2"/>
  <c r="P458" i="2"/>
  <c r="R458" i="2"/>
  <c r="T458" i="2"/>
  <c r="Q458" i="2"/>
  <c r="N458" i="2"/>
  <c r="J458" i="2"/>
  <c r="L458" i="2"/>
  <c r="M458" i="2"/>
  <c r="O458" i="2"/>
  <c r="K458" i="2"/>
  <c r="I458" i="2"/>
  <c r="AO458" i="2"/>
  <c r="AP458" i="2"/>
  <c r="H458" i="3"/>
  <c r="AR458" i="3"/>
  <c r="AQ458" i="3"/>
  <c r="AN458" i="3"/>
  <c r="AM458" i="3"/>
  <c r="AL458" i="3"/>
  <c r="AI458" i="3"/>
  <c r="AG458" i="3"/>
  <c r="AJ458" i="3"/>
  <c r="AK458" i="3"/>
  <c r="AF458" i="3"/>
  <c r="AH458" i="3"/>
  <c r="AE458" i="3"/>
  <c r="AD458" i="3"/>
  <c r="AC458" i="3"/>
  <c r="AB458" i="3"/>
  <c r="AA458" i="3"/>
  <c r="Z458" i="3"/>
  <c r="Y458" i="3"/>
  <c r="V458" i="3"/>
  <c r="X458" i="3"/>
  <c r="S458" i="3"/>
  <c r="U458" i="3"/>
  <c r="W458" i="3"/>
  <c r="T458" i="3"/>
  <c r="R458" i="3"/>
  <c r="N458" i="3"/>
  <c r="P458" i="3"/>
  <c r="Q458" i="3"/>
  <c r="O458" i="3"/>
  <c r="L458" i="3"/>
  <c r="M458" i="3"/>
  <c r="K458" i="3"/>
  <c r="AP458" i="3"/>
  <c r="J458" i="3"/>
  <c r="I458" i="3"/>
  <c r="AO458" i="3"/>
  <c r="W458" i="1"/>
  <c r="I460" i="1"/>
  <c r="G459" i="3"/>
  <c r="V459" i="1"/>
  <c r="J459" i="1"/>
  <c r="G459" i="2"/>
  <c r="Y459" i="1"/>
  <c r="Z459" i="1" s="1"/>
  <c r="S459" i="1"/>
  <c r="W459" i="1" s="1"/>
  <c r="N459" i="1"/>
  <c r="O459" i="1"/>
  <c r="R459" i="1"/>
  <c r="L458" i="1"/>
  <c r="P458" i="1" s="1"/>
  <c r="AA458" i="1"/>
  <c r="L459" i="1" l="1"/>
  <c r="P459" i="1" s="1"/>
  <c r="AA459" i="1"/>
  <c r="H459" i="3"/>
  <c r="AQ459" i="3"/>
  <c r="AR459" i="3"/>
  <c r="AN459" i="3"/>
  <c r="AL459" i="3"/>
  <c r="AM459" i="3"/>
  <c r="AK459" i="3"/>
  <c r="AI459" i="3"/>
  <c r="AG459" i="3"/>
  <c r="AJ459" i="3"/>
  <c r="AF459" i="3"/>
  <c r="AH459" i="3"/>
  <c r="AE459" i="3"/>
  <c r="AB459" i="3"/>
  <c r="AD459" i="3"/>
  <c r="AC459" i="3"/>
  <c r="AA459" i="3"/>
  <c r="Y459" i="3"/>
  <c r="Z459" i="3"/>
  <c r="V459" i="3"/>
  <c r="X459" i="3"/>
  <c r="W459" i="3"/>
  <c r="S459" i="3"/>
  <c r="U459" i="3"/>
  <c r="R459" i="3"/>
  <c r="T459" i="3"/>
  <c r="P459" i="3"/>
  <c r="O459" i="3"/>
  <c r="N459" i="3"/>
  <c r="Q459" i="3"/>
  <c r="L459" i="3"/>
  <c r="I459" i="3"/>
  <c r="K459" i="3"/>
  <c r="M459" i="3"/>
  <c r="J459" i="3"/>
  <c r="AO459" i="3"/>
  <c r="AP459" i="3"/>
  <c r="G460" i="3"/>
  <c r="I461" i="1"/>
  <c r="J460" i="1"/>
  <c r="V460" i="1"/>
  <c r="G460" i="2"/>
  <c r="Y460" i="1"/>
  <c r="Z460" i="1" s="1"/>
  <c r="S460" i="1"/>
  <c r="W460" i="1" s="1"/>
  <c r="N460" i="1"/>
  <c r="O460" i="1"/>
  <c r="R460" i="1"/>
  <c r="H459" i="2"/>
  <c r="AQ459" i="2"/>
  <c r="AR459" i="2"/>
  <c r="AN459" i="2"/>
  <c r="AK459" i="2"/>
  <c r="AL459" i="2"/>
  <c r="AM459" i="2"/>
  <c r="AH459" i="2"/>
  <c r="AJ459" i="2"/>
  <c r="AI459" i="2"/>
  <c r="AG459" i="2"/>
  <c r="AF459" i="2"/>
  <c r="AB459" i="2"/>
  <c r="AD459" i="2"/>
  <c r="AE459" i="2"/>
  <c r="AA459" i="2"/>
  <c r="AC459" i="2"/>
  <c r="Y459" i="2"/>
  <c r="W459" i="2"/>
  <c r="Z459" i="2"/>
  <c r="X459" i="2"/>
  <c r="V459" i="2"/>
  <c r="U459" i="2"/>
  <c r="T459" i="2"/>
  <c r="R459" i="2"/>
  <c r="S459" i="2"/>
  <c r="Q459" i="2"/>
  <c r="P459" i="2"/>
  <c r="O459" i="2"/>
  <c r="N459" i="2"/>
  <c r="L459" i="2"/>
  <c r="M459" i="2"/>
  <c r="K459" i="2"/>
  <c r="I459" i="2"/>
  <c r="AO459" i="2"/>
  <c r="J459" i="2"/>
  <c r="AP459" i="2"/>
  <c r="H460" i="2" l="1"/>
  <c r="AR460" i="2"/>
  <c r="AQ460" i="2"/>
  <c r="AL460" i="2"/>
  <c r="AN460" i="2"/>
  <c r="AK460" i="2"/>
  <c r="AM460" i="2"/>
  <c r="AH460" i="2"/>
  <c r="AJ460" i="2"/>
  <c r="AG460" i="2"/>
  <c r="AI460" i="2"/>
  <c r="AF460" i="2"/>
  <c r="AE460" i="2"/>
  <c r="AC460" i="2"/>
  <c r="AD460" i="2"/>
  <c r="AA460" i="2"/>
  <c r="AB460" i="2"/>
  <c r="Z460" i="2"/>
  <c r="Y460" i="2"/>
  <c r="W460" i="2"/>
  <c r="X460" i="2"/>
  <c r="U460" i="2"/>
  <c r="T460" i="2"/>
  <c r="V460" i="2"/>
  <c r="P460" i="2"/>
  <c r="R460" i="2"/>
  <c r="S460" i="2"/>
  <c r="O460" i="2"/>
  <c r="Q460" i="2"/>
  <c r="N460" i="2"/>
  <c r="J460" i="2"/>
  <c r="M460" i="2"/>
  <c r="L460" i="2"/>
  <c r="K460" i="2"/>
  <c r="I460" i="2"/>
  <c r="AO460" i="2"/>
  <c r="AP460" i="2"/>
  <c r="L460" i="1"/>
  <c r="P460" i="1" s="1"/>
  <c r="AA460" i="1"/>
  <c r="I462" i="1"/>
  <c r="G461" i="3"/>
  <c r="V461" i="1"/>
  <c r="J461" i="1"/>
  <c r="Y461" i="1"/>
  <c r="Z461" i="1" s="1"/>
  <c r="G461" i="2"/>
  <c r="O461" i="1"/>
  <c r="R461" i="1"/>
  <c r="N461" i="1"/>
  <c r="S461" i="1"/>
  <c r="H460" i="3"/>
  <c r="AQ460" i="3"/>
  <c r="AR460" i="3"/>
  <c r="AN460" i="3"/>
  <c r="AL460" i="3"/>
  <c r="AM460" i="3"/>
  <c r="AK460" i="3"/>
  <c r="AI460" i="3"/>
  <c r="AJ460" i="3"/>
  <c r="AH460" i="3"/>
  <c r="AF460" i="3"/>
  <c r="AG460" i="3"/>
  <c r="AE460" i="3"/>
  <c r="AB460" i="3"/>
  <c r="AD460" i="3"/>
  <c r="AA460" i="3"/>
  <c r="AC460" i="3"/>
  <c r="Y460" i="3"/>
  <c r="Z460" i="3"/>
  <c r="W460" i="3"/>
  <c r="X460" i="3"/>
  <c r="S460" i="3"/>
  <c r="V460" i="3"/>
  <c r="U460" i="3"/>
  <c r="P460" i="3"/>
  <c r="R460" i="3"/>
  <c r="T460" i="3"/>
  <c r="Q460" i="3"/>
  <c r="L460" i="3"/>
  <c r="O460" i="3"/>
  <c r="N460" i="3"/>
  <c r="J460" i="3"/>
  <c r="K460" i="3"/>
  <c r="M460" i="3"/>
  <c r="I460" i="3"/>
  <c r="AO460" i="3"/>
  <c r="AP460" i="3"/>
  <c r="L461" i="1" l="1"/>
  <c r="P461" i="1" s="1"/>
  <c r="AA461" i="1"/>
  <c r="H461" i="2"/>
  <c r="AR461" i="2"/>
  <c r="AQ461" i="2"/>
  <c r="AL461" i="2"/>
  <c r="AN461" i="2"/>
  <c r="AM461" i="2"/>
  <c r="AK461" i="2"/>
  <c r="AH461" i="2"/>
  <c r="AJ461" i="2"/>
  <c r="AG461" i="2"/>
  <c r="AI461" i="2"/>
  <c r="AD461" i="2"/>
  <c r="AF461" i="2"/>
  <c r="AC461" i="2"/>
  <c r="AE461" i="2"/>
  <c r="AB461" i="2"/>
  <c r="AA461" i="2"/>
  <c r="Z461" i="2"/>
  <c r="U461" i="2"/>
  <c r="Y461" i="2"/>
  <c r="W461" i="2"/>
  <c r="X461" i="2"/>
  <c r="T461" i="2"/>
  <c r="V461" i="2"/>
  <c r="R461" i="2"/>
  <c r="S461" i="2"/>
  <c r="Q461" i="2"/>
  <c r="O461" i="2"/>
  <c r="P461" i="2"/>
  <c r="M461" i="2"/>
  <c r="N461" i="2"/>
  <c r="L461" i="2"/>
  <c r="K461" i="2"/>
  <c r="I461" i="2"/>
  <c r="J461" i="2"/>
  <c r="AP461" i="2"/>
  <c r="AO461" i="2"/>
  <c r="H461" i="3"/>
  <c r="AQ461" i="3"/>
  <c r="AR461" i="3"/>
  <c r="AN461" i="3"/>
  <c r="AL461" i="3"/>
  <c r="AK461" i="3"/>
  <c r="AM461" i="3"/>
  <c r="AH461" i="3"/>
  <c r="AJ461" i="3"/>
  <c r="AI461" i="3"/>
  <c r="AG461" i="3"/>
  <c r="AF461" i="3"/>
  <c r="AE461" i="3"/>
  <c r="AB461" i="3"/>
  <c r="AD461" i="3"/>
  <c r="AC461" i="3"/>
  <c r="AA461" i="3"/>
  <c r="W461" i="3"/>
  <c r="Y461" i="3"/>
  <c r="Z461" i="3"/>
  <c r="X461" i="3"/>
  <c r="V461" i="3"/>
  <c r="U461" i="3"/>
  <c r="T461" i="3"/>
  <c r="S461" i="3"/>
  <c r="R461" i="3"/>
  <c r="Q461" i="3"/>
  <c r="O461" i="3"/>
  <c r="P461" i="3"/>
  <c r="J461" i="3"/>
  <c r="L461" i="3"/>
  <c r="N461" i="3"/>
  <c r="K461" i="3"/>
  <c r="M461" i="3"/>
  <c r="AO461" i="3"/>
  <c r="I461" i="3"/>
  <c r="AP461" i="3"/>
  <c r="W461" i="1"/>
  <c r="G462" i="3"/>
  <c r="I463" i="1"/>
  <c r="J462" i="1"/>
  <c r="V462" i="1"/>
  <c r="G462" i="2"/>
  <c r="Y462" i="1"/>
  <c r="Z462" i="1" s="1"/>
  <c r="S462" i="1"/>
  <c r="W462" i="1" s="1"/>
  <c r="N462" i="1"/>
  <c r="R462" i="1"/>
  <c r="O462" i="1"/>
  <c r="H462" i="3" l="1"/>
  <c r="AR462" i="3"/>
  <c r="AQ462" i="3"/>
  <c r="AN462" i="3"/>
  <c r="AL462" i="3"/>
  <c r="AM462" i="3"/>
  <c r="AK462" i="3"/>
  <c r="AJ462" i="3"/>
  <c r="AH462" i="3"/>
  <c r="AI462" i="3"/>
  <c r="AG462" i="3"/>
  <c r="AF462" i="3"/>
  <c r="AD462" i="3"/>
  <c r="AE462" i="3"/>
  <c r="AC462" i="3"/>
  <c r="AA462" i="3"/>
  <c r="AB462" i="3"/>
  <c r="Y462" i="3"/>
  <c r="Z462" i="3"/>
  <c r="V462" i="3"/>
  <c r="X462" i="3"/>
  <c r="W462" i="3"/>
  <c r="U462" i="3"/>
  <c r="T462" i="3"/>
  <c r="S462" i="3"/>
  <c r="P462" i="3"/>
  <c r="R462" i="3"/>
  <c r="Q462" i="3"/>
  <c r="O462" i="3"/>
  <c r="M462" i="3"/>
  <c r="J462" i="3"/>
  <c r="L462" i="3"/>
  <c r="N462" i="3"/>
  <c r="K462" i="3"/>
  <c r="I462" i="3"/>
  <c r="AO462" i="3"/>
  <c r="AP462" i="3"/>
  <c r="H462" i="2"/>
  <c r="AR462" i="2"/>
  <c r="AQ462" i="2"/>
  <c r="AL462" i="2"/>
  <c r="AN462" i="2"/>
  <c r="AM462" i="2"/>
  <c r="AI462" i="2"/>
  <c r="AK462" i="2"/>
  <c r="AJ462" i="2"/>
  <c r="AH462" i="2"/>
  <c r="AG462" i="2"/>
  <c r="AF462" i="2"/>
  <c r="AC462" i="2"/>
  <c r="AE462" i="2"/>
  <c r="AD462" i="2"/>
  <c r="AB462" i="2"/>
  <c r="Z462" i="2"/>
  <c r="AA462" i="2"/>
  <c r="X462" i="2"/>
  <c r="U462" i="2"/>
  <c r="Y462" i="2"/>
  <c r="W462" i="2"/>
  <c r="T462" i="2"/>
  <c r="V462" i="2"/>
  <c r="Q462" i="2"/>
  <c r="R462" i="2"/>
  <c r="S462" i="2"/>
  <c r="M462" i="2"/>
  <c r="O462" i="2"/>
  <c r="P462" i="2"/>
  <c r="K462" i="2"/>
  <c r="N462" i="2"/>
  <c r="L462" i="2"/>
  <c r="J462" i="2"/>
  <c r="AP462" i="2"/>
  <c r="I462" i="2"/>
  <c r="AO462" i="2"/>
  <c r="L462" i="1"/>
  <c r="P462" i="1" s="1"/>
  <c r="AA462" i="1"/>
  <c r="G463" i="3"/>
  <c r="I464" i="1"/>
  <c r="V463" i="1"/>
  <c r="J463" i="1"/>
  <c r="G463" i="2"/>
  <c r="Y463" i="1"/>
  <c r="Z463" i="1" s="1"/>
  <c r="N463" i="1"/>
  <c r="O463" i="1"/>
  <c r="R463" i="1"/>
  <c r="S463" i="1"/>
  <c r="W463" i="1" s="1"/>
  <c r="G464" i="3" l="1"/>
  <c r="I465" i="1"/>
  <c r="V464" i="1"/>
  <c r="J464" i="1"/>
  <c r="G464" i="2"/>
  <c r="Y464" i="1"/>
  <c r="Z464" i="1" s="1"/>
  <c r="S464" i="1"/>
  <c r="W464" i="1" s="1"/>
  <c r="O464" i="1"/>
  <c r="N464" i="1"/>
  <c r="R464" i="1"/>
  <c r="H463" i="2"/>
  <c r="AR463" i="2"/>
  <c r="AQ463" i="2"/>
  <c r="AM463" i="2"/>
  <c r="AN463" i="2"/>
  <c r="AL463" i="2"/>
  <c r="AK463" i="2"/>
  <c r="AJ463" i="2"/>
  <c r="AI463" i="2"/>
  <c r="AH463" i="2"/>
  <c r="AG463" i="2"/>
  <c r="AC463" i="2"/>
  <c r="AE463" i="2"/>
  <c r="AF463" i="2"/>
  <c r="AD463" i="2"/>
  <c r="AB463" i="2"/>
  <c r="X463" i="2"/>
  <c r="Y463" i="2"/>
  <c r="AA463" i="2"/>
  <c r="Z463" i="2"/>
  <c r="W463" i="2"/>
  <c r="T463" i="2"/>
  <c r="V463" i="2"/>
  <c r="U463" i="2"/>
  <c r="Q463" i="2"/>
  <c r="R463" i="2"/>
  <c r="S463" i="2"/>
  <c r="O463" i="2"/>
  <c r="P463" i="2"/>
  <c r="M463" i="2"/>
  <c r="K463" i="2"/>
  <c r="N463" i="2"/>
  <c r="L463" i="2"/>
  <c r="J463" i="2"/>
  <c r="AP463" i="2"/>
  <c r="I463" i="2"/>
  <c r="AO463" i="2"/>
  <c r="H463" i="3"/>
  <c r="AR463" i="3"/>
  <c r="AQ463" i="3"/>
  <c r="AN463" i="3"/>
  <c r="AM463" i="3"/>
  <c r="AL463" i="3"/>
  <c r="AK463" i="3"/>
  <c r="AJ463" i="3"/>
  <c r="AI463" i="3"/>
  <c r="AH463" i="3"/>
  <c r="AG463" i="3"/>
  <c r="AD463" i="3"/>
  <c r="AF463" i="3"/>
  <c r="AC463" i="3"/>
  <c r="AE463" i="3"/>
  <c r="AA463" i="3"/>
  <c r="AB463" i="3"/>
  <c r="Z463" i="3"/>
  <c r="W463" i="3"/>
  <c r="U463" i="3"/>
  <c r="Y463" i="3"/>
  <c r="X463" i="3"/>
  <c r="T463" i="3"/>
  <c r="V463" i="3"/>
  <c r="S463" i="3"/>
  <c r="R463" i="3"/>
  <c r="Q463" i="3"/>
  <c r="P463" i="3"/>
  <c r="M463" i="3"/>
  <c r="L463" i="3"/>
  <c r="N463" i="3"/>
  <c r="O463" i="3"/>
  <c r="K463" i="3"/>
  <c r="I463" i="3"/>
  <c r="AO463" i="3"/>
  <c r="AP463" i="3"/>
  <c r="J463" i="3"/>
  <c r="L463" i="1"/>
  <c r="P463" i="1" s="1"/>
  <c r="AA463" i="1"/>
  <c r="H464" i="2" l="1"/>
  <c r="AR464" i="2"/>
  <c r="AQ464" i="2"/>
  <c r="AM464" i="2"/>
  <c r="AN464" i="2"/>
  <c r="AL464" i="2"/>
  <c r="AK464" i="2"/>
  <c r="AI464" i="2"/>
  <c r="AJ464" i="2"/>
  <c r="AH464" i="2"/>
  <c r="AF464" i="2"/>
  <c r="AG464" i="2"/>
  <c r="AE464" i="2"/>
  <c r="AD464" i="2"/>
  <c r="Z464" i="2"/>
  <c r="AC464" i="2"/>
  <c r="AB464" i="2"/>
  <c r="X464" i="2"/>
  <c r="AA464" i="2"/>
  <c r="Y464" i="2"/>
  <c r="W464" i="2"/>
  <c r="V464" i="2"/>
  <c r="U464" i="2"/>
  <c r="S464" i="2"/>
  <c r="Q464" i="2"/>
  <c r="T464" i="2"/>
  <c r="R464" i="2"/>
  <c r="P464" i="2"/>
  <c r="M464" i="2"/>
  <c r="O464" i="2"/>
  <c r="K464" i="2"/>
  <c r="N464" i="2"/>
  <c r="L464" i="2"/>
  <c r="I464" i="2"/>
  <c r="AO464" i="2"/>
  <c r="J464" i="2"/>
  <c r="AP464" i="2"/>
  <c r="L464" i="1"/>
  <c r="P464" i="1" s="1"/>
  <c r="AA464" i="1"/>
  <c r="G465" i="3"/>
  <c r="I466" i="1"/>
  <c r="J465" i="1"/>
  <c r="V465" i="1"/>
  <c r="G465" i="2"/>
  <c r="Y465" i="1"/>
  <c r="Z465" i="1" s="1"/>
  <c r="S465" i="1"/>
  <c r="W465" i="1" s="1"/>
  <c r="N465" i="1"/>
  <c r="R465" i="1"/>
  <c r="O465" i="1"/>
  <c r="H464" i="3"/>
  <c r="AQ464" i="3"/>
  <c r="AR464" i="3"/>
  <c r="AN464" i="3"/>
  <c r="AM464" i="3"/>
  <c r="AL464" i="3"/>
  <c r="AI464" i="3"/>
  <c r="AJ464" i="3"/>
  <c r="AK464" i="3"/>
  <c r="AH464" i="3"/>
  <c r="AG464" i="3"/>
  <c r="AE464" i="3"/>
  <c r="AF464" i="3"/>
  <c r="AC464" i="3"/>
  <c r="AD464" i="3"/>
  <c r="AB464" i="3"/>
  <c r="Z464" i="3"/>
  <c r="AA464" i="3"/>
  <c r="Y464" i="3"/>
  <c r="X464" i="3"/>
  <c r="U464" i="3"/>
  <c r="W464" i="3"/>
  <c r="R464" i="3"/>
  <c r="T464" i="3"/>
  <c r="V464" i="3"/>
  <c r="Q464" i="3"/>
  <c r="S464" i="3"/>
  <c r="M464" i="3"/>
  <c r="O464" i="3"/>
  <c r="P464" i="3"/>
  <c r="K464" i="3"/>
  <c r="L464" i="3"/>
  <c r="N464" i="3"/>
  <c r="I464" i="3"/>
  <c r="AO464" i="3"/>
  <c r="AP464" i="3"/>
  <c r="J464" i="3"/>
  <c r="H465" i="2" l="1"/>
  <c r="AR465" i="2"/>
  <c r="AQ465" i="2"/>
  <c r="AN465" i="2"/>
  <c r="AM465" i="2"/>
  <c r="AL465" i="2"/>
  <c r="AK465" i="2"/>
  <c r="AJ465" i="2"/>
  <c r="AI465" i="2"/>
  <c r="AH465" i="2"/>
  <c r="AF465" i="2"/>
  <c r="AG465" i="2"/>
  <c r="AE465" i="2"/>
  <c r="AD465" i="2"/>
  <c r="AC465" i="2"/>
  <c r="AB465" i="2"/>
  <c r="X465" i="2"/>
  <c r="Z465" i="2"/>
  <c r="AA465" i="2"/>
  <c r="V465" i="2"/>
  <c r="Y465" i="2"/>
  <c r="W465" i="2"/>
  <c r="U465" i="2"/>
  <c r="S465" i="2"/>
  <c r="T465" i="2"/>
  <c r="R465" i="2"/>
  <c r="P465" i="2"/>
  <c r="Q465" i="2"/>
  <c r="N465" i="2"/>
  <c r="O465" i="2"/>
  <c r="M465" i="2"/>
  <c r="L465" i="2"/>
  <c r="AO465" i="2"/>
  <c r="J465" i="2"/>
  <c r="K465" i="2"/>
  <c r="I465" i="2"/>
  <c r="AP465" i="2"/>
  <c r="L465" i="1"/>
  <c r="P465" i="1" s="1"/>
  <c r="AA465" i="1"/>
  <c r="I467" i="1"/>
  <c r="G466" i="3"/>
  <c r="J466" i="1"/>
  <c r="V466" i="1"/>
  <c r="G466" i="2"/>
  <c r="Y466" i="1"/>
  <c r="Z466" i="1" s="1"/>
  <c r="O466" i="1"/>
  <c r="R466" i="1"/>
  <c r="S466" i="1"/>
  <c r="W466" i="1" s="1"/>
  <c r="N466" i="1"/>
  <c r="H465" i="3"/>
  <c r="AR465" i="3"/>
  <c r="AN465" i="3"/>
  <c r="AQ465" i="3"/>
  <c r="AM465" i="3"/>
  <c r="AL465" i="3"/>
  <c r="AI465" i="3"/>
  <c r="AJ465" i="3"/>
  <c r="AK465" i="3"/>
  <c r="AH465" i="3"/>
  <c r="AG465" i="3"/>
  <c r="AD465" i="3"/>
  <c r="AF465" i="3"/>
  <c r="AC465" i="3"/>
  <c r="AE465" i="3"/>
  <c r="AB465" i="3"/>
  <c r="X465" i="3"/>
  <c r="AA465" i="3"/>
  <c r="Z465" i="3"/>
  <c r="Y465" i="3"/>
  <c r="W465" i="3"/>
  <c r="U465" i="3"/>
  <c r="V465" i="3"/>
  <c r="R465" i="3"/>
  <c r="T465" i="3"/>
  <c r="Q465" i="3"/>
  <c r="S465" i="3"/>
  <c r="P465" i="3"/>
  <c r="O465" i="3"/>
  <c r="M465" i="3"/>
  <c r="K465" i="3"/>
  <c r="L465" i="3"/>
  <c r="N465" i="3"/>
  <c r="I465" i="3"/>
  <c r="AO465" i="3"/>
  <c r="AP465" i="3"/>
  <c r="J465" i="3"/>
  <c r="L466" i="1" l="1"/>
  <c r="P466" i="1" s="1"/>
  <c r="AA466" i="1"/>
  <c r="H466" i="2"/>
  <c r="AR466" i="2"/>
  <c r="AQ466" i="2"/>
  <c r="AN466" i="2"/>
  <c r="AM466" i="2"/>
  <c r="AJ466" i="2"/>
  <c r="AL466" i="2"/>
  <c r="AK466" i="2"/>
  <c r="AI466" i="2"/>
  <c r="AF466" i="2"/>
  <c r="AH466" i="2"/>
  <c r="AG466" i="2"/>
  <c r="AE466" i="2"/>
  <c r="AD466" i="2"/>
  <c r="AB466" i="2"/>
  <c r="AC466" i="2"/>
  <c r="AA466" i="2"/>
  <c r="Z466" i="2"/>
  <c r="Y466" i="2"/>
  <c r="X466" i="2"/>
  <c r="V466" i="2"/>
  <c r="W466" i="2"/>
  <c r="S466" i="2"/>
  <c r="U466" i="2"/>
  <c r="R466" i="2"/>
  <c r="T466" i="2"/>
  <c r="N466" i="2"/>
  <c r="P466" i="2"/>
  <c r="Q466" i="2"/>
  <c r="L466" i="2"/>
  <c r="O466" i="2"/>
  <c r="M466" i="2"/>
  <c r="I466" i="2"/>
  <c r="AO466" i="2"/>
  <c r="J466" i="2"/>
  <c r="K466" i="2"/>
  <c r="AP466" i="2"/>
  <c r="H466" i="3"/>
  <c r="AN466" i="3"/>
  <c r="AR466" i="3"/>
  <c r="AM466" i="3"/>
  <c r="AQ466" i="3"/>
  <c r="AL466" i="3"/>
  <c r="AK466" i="3"/>
  <c r="AI466" i="3"/>
  <c r="AJ466" i="3"/>
  <c r="AG466" i="3"/>
  <c r="AH466" i="3"/>
  <c r="AF466" i="3"/>
  <c r="AC466" i="3"/>
  <c r="AE466" i="3"/>
  <c r="AD466" i="3"/>
  <c r="AB466" i="3"/>
  <c r="Z466" i="3"/>
  <c r="X466" i="3"/>
  <c r="AA466" i="3"/>
  <c r="Y466" i="3"/>
  <c r="W466" i="3"/>
  <c r="V466" i="3"/>
  <c r="R466" i="3"/>
  <c r="T466" i="3"/>
  <c r="U466" i="3"/>
  <c r="O466" i="3"/>
  <c r="Q466" i="3"/>
  <c r="S466" i="3"/>
  <c r="P466" i="3"/>
  <c r="M466" i="3"/>
  <c r="N466" i="3"/>
  <c r="K466" i="3"/>
  <c r="L466" i="3"/>
  <c r="I466" i="3"/>
  <c r="J466" i="3"/>
  <c r="AO466" i="3"/>
  <c r="AP466" i="3"/>
  <c r="I468" i="1"/>
  <c r="G467" i="3"/>
  <c r="J467" i="1"/>
  <c r="V467" i="1"/>
  <c r="G467" i="2"/>
  <c r="Y467" i="1"/>
  <c r="Z467" i="1" s="1"/>
  <c r="S467" i="1"/>
  <c r="W467" i="1" s="1"/>
  <c r="N467" i="1"/>
  <c r="O467" i="1"/>
  <c r="R467" i="1"/>
  <c r="H467" i="3" l="1"/>
  <c r="AN467" i="3"/>
  <c r="AR467" i="3"/>
  <c r="AQ467" i="3"/>
  <c r="AM467" i="3"/>
  <c r="AJ467" i="3"/>
  <c r="AL467" i="3"/>
  <c r="AK467" i="3"/>
  <c r="AG467" i="3"/>
  <c r="AI467" i="3"/>
  <c r="AH467" i="3"/>
  <c r="AF467" i="3"/>
  <c r="AE467" i="3"/>
  <c r="AC467" i="3"/>
  <c r="AD467" i="3"/>
  <c r="AB467" i="3"/>
  <c r="Z467" i="3"/>
  <c r="X467" i="3"/>
  <c r="AA467" i="3"/>
  <c r="Y467" i="3"/>
  <c r="V467" i="3"/>
  <c r="W467" i="3"/>
  <c r="U467" i="3"/>
  <c r="S467" i="3"/>
  <c r="R467" i="3"/>
  <c r="T467" i="3"/>
  <c r="P467" i="3"/>
  <c r="Q467" i="3"/>
  <c r="O467" i="3"/>
  <c r="N467" i="3"/>
  <c r="I467" i="3"/>
  <c r="M467" i="3"/>
  <c r="K467" i="3"/>
  <c r="L467" i="3"/>
  <c r="AP467" i="3"/>
  <c r="J467" i="3"/>
  <c r="AO467" i="3"/>
  <c r="G468" i="3"/>
  <c r="I469" i="1"/>
  <c r="V468" i="1"/>
  <c r="J468" i="1"/>
  <c r="Y468" i="1"/>
  <c r="Z468" i="1" s="1"/>
  <c r="G468" i="2"/>
  <c r="R468" i="1"/>
  <c r="N468" i="1"/>
  <c r="O468" i="1"/>
  <c r="S468" i="1"/>
  <c r="W468" i="1" s="1"/>
  <c r="H467" i="2"/>
  <c r="AR467" i="2"/>
  <c r="AN467" i="2"/>
  <c r="AQ467" i="2"/>
  <c r="AM467" i="2"/>
  <c r="AJ467" i="2"/>
  <c r="AL467" i="2"/>
  <c r="AK467" i="2"/>
  <c r="AI467" i="2"/>
  <c r="AG467" i="2"/>
  <c r="AE467" i="2"/>
  <c r="AH467" i="2"/>
  <c r="AF467" i="2"/>
  <c r="AB467" i="2"/>
  <c r="AD467" i="2"/>
  <c r="AA467" i="2"/>
  <c r="AC467" i="2"/>
  <c r="Z467" i="2"/>
  <c r="Y467" i="2"/>
  <c r="X467" i="2"/>
  <c r="V467" i="2"/>
  <c r="W467" i="2"/>
  <c r="S467" i="2"/>
  <c r="U467" i="2"/>
  <c r="R467" i="2"/>
  <c r="T467" i="2"/>
  <c r="P467" i="2"/>
  <c r="N467" i="2"/>
  <c r="Q467" i="2"/>
  <c r="L467" i="2"/>
  <c r="I467" i="2"/>
  <c r="O467" i="2"/>
  <c r="M467" i="2"/>
  <c r="J467" i="2"/>
  <c r="K467" i="2"/>
  <c r="AP467" i="2"/>
  <c r="AO467" i="2"/>
  <c r="L467" i="1"/>
  <c r="P467" i="1" s="1"/>
  <c r="AA467" i="1"/>
  <c r="L468" i="1" l="1"/>
  <c r="P468" i="1" s="1"/>
  <c r="AA468" i="1"/>
  <c r="I470" i="1"/>
  <c r="G469" i="3"/>
  <c r="V469" i="1"/>
  <c r="J469" i="1"/>
  <c r="G469" i="2"/>
  <c r="Y469" i="1"/>
  <c r="Z469" i="1" s="1"/>
  <c r="R469" i="1"/>
  <c r="O469" i="1"/>
  <c r="S469" i="1"/>
  <c r="N469" i="1"/>
  <c r="H468" i="3"/>
  <c r="AQ468" i="3"/>
  <c r="AR468" i="3"/>
  <c r="AM468" i="3"/>
  <c r="AN468" i="3"/>
  <c r="AK468" i="3"/>
  <c r="AL468" i="3"/>
  <c r="AG468" i="3"/>
  <c r="AI468" i="3"/>
  <c r="AJ468" i="3"/>
  <c r="AF468" i="3"/>
  <c r="AH468" i="3"/>
  <c r="AE468" i="3"/>
  <c r="AC468" i="3"/>
  <c r="AD468" i="3"/>
  <c r="AB468" i="3"/>
  <c r="AA468" i="3"/>
  <c r="Z468" i="3"/>
  <c r="Y468" i="3"/>
  <c r="V468" i="3"/>
  <c r="W468" i="3"/>
  <c r="X468" i="3"/>
  <c r="U468" i="3"/>
  <c r="S468" i="3"/>
  <c r="T468" i="3"/>
  <c r="R468" i="3"/>
  <c r="N468" i="3"/>
  <c r="P468" i="3"/>
  <c r="Q468" i="3"/>
  <c r="O468" i="3"/>
  <c r="L468" i="3"/>
  <c r="M468" i="3"/>
  <c r="AP468" i="3"/>
  <c r="J468" i="3"/>
  <c r="K468" i="3"/>
  <c r="I468" i="3"/>
  <c r="AO468" i="3"/>
  <c r="H468" i="2"/>
  <c r="AR468" i="2"/>
  <c r="AN468" i="2"/>
  <c r="AQ468" i="2"/>
  <c r="AM468" i="2"/>
  <c r="AJ468" i="2"/>
  <c r="AL468" i="2"/>
  <c r="AK468" i="2"/>
  <c r="AH468" i="2"/>
  <c r="AF468" i="2"/>
  <c r="AI468" i="2"/>
  <c r="AG468" i="2"/>
  <c r="AE468" i="2"/>
  <c r="AD468" i="2"/>
  <c r="AB468" i="2"/>
  <c r="AA468" i="2"/>
  <c r="AC468" i="2"/>
  <c r="Z468" i="2"/>
  <c r="Y468" i="2"/>
  <c r="X468" i="2"/>
  <c r="W468" i="2"/>
  <c r="U468" i="2"/>
  <c r="S468" i="2"/>
  <c r="V468" i="2"/>
  <c r="T468" i="2"/>
  <c r="P468" i="2"/>
  <c r="R468" i="2"/>
  <c r="N468" i="2"/>
  <c r="Q468" i="2"/>
  <c r="J468" i="2"/>
  <c r="L468" i="2"/>
  <c r="O468" i="2"/>
  <c r="M468" i="2"/>
  <c r="I468" i="2"/>
  <c r="K468" i="2"/>
  <c r="AO468" i="2"/>
  <c r="AP468" i="2"/>
  <c r="H469" i="3" l="1"/>
  <c r="AQ469" i="3"/>
  <c r="AR469" i="3"/>
  <c r="AM469" i="3"/>
  <c r="AN469" i="3"/>
  <c r="AL469" i="3"/>
  <c r="AK469" i="3"/>
  <c r="AG469" i="3"/>
  <c r="AI469" i="3"/>
  <c r="AJ469" i="3"/>
  <c r="AF469" i="3"/>
  <c r="AH469" i="3"/>
  <c r="AE469" i="3"/>
  <c r="AD469" i="3"/>
  <c r="AB469" i="3"/>
  <c r="AC469" i="3"/>
  <c r="AA469" i="3"/>
  <c r="Y469" i="3"/>
  <c r="Z469" i="3"/>
  <c r="V469" i="3"/>
  <c r="W469" i="3"/>
  <c r="X469" i="3"/>
  <c r="U469" i="3"/>
  <c r="S469" i="3"/>
  <c r="T469" i="3"/>
  <c r="R469" i="3"/>
  <c r="P469" i="3"/>
  <c r="N469" i="3"/>
  <c r="Q469" i="3"/>
  <c r="O469" i="3"/>
  <c r="L469" i="3"/>
  <c r="I469" i="3"/>
  <c r="M469" i="3"/>
  <c r="K469" i="3"/>
  <c r="J469" i="3"/>
  <c r="AP469" i="3"/>
  <c r="AO469" i="3"/>
  <c r="H469" i="2"/>
  <c r="AR469" i="2"/>
  <c r="AQ469" i="2"/>
  <c r="AK469" i="2"/>
  <c r="AM469" i="2"/>
  <c r="AN469" i="2"/>
  <c r="AL469" i="2"/>
  <c r="AH469" i="2"/>
  <c r="AJ469" i="2"/>
  <c r="AI469" i="2"/>
  <c r="AG469" i="2"/>
  <c r="AF469" i="2"/>
  <c r="AB469" i="2"/>
  <c r="AE469" i="2"/>
  <c r="AD469" i="2"/>
  <c r="AC469" i="2"/>
  <c r="AA469" i="2"/>
  <c r="Z469" i="2"/>
  <c r="Y469" i="2"/>
  <c r="W469" i="2"/>
  <c r="X469" i="2"/>
  <c r="U469" i="2"/>
  <c r="V469" i="2"/>
  <c r="T469" i="2"/>
  <c r="S469" i="2"/>
  <c r="R469" i="2"/>
  <c r="P469" i="2"/>
  <c r="Q469" i="2"/>
  <c r="O469" i="2"/>
  <c r="L469" i="2"/>
  <c r="M469" i="2"/>
  <c r="N469" i="2"/>
  <c r="I469" i="2"/>
  <c r="J469" i="2"/>
  <c r="AO469" i="2"/>
  <c r="K469" i="2"/>
  <c r="AP469" i="2"/>
  <c r="G470" i="3"/>
  <c r="I471" i="1"/>
  <c r="V470" i="1"/>
  <c r="J470" i="1"/>
  <c r="G470" i="2"/>
  <c r="Y470" i="1"/>
  <c r="Z470" i="1" s="1"/>
  <c r="S470" i="1"/>
  <c r="N470" i="1"/>
  <c r="O470" i="1"/>
  <c r="R470" i="1"/>
  <c r="W469" i="1"/>
  <c r="L469" i="1"/>
  <c r="P469" i="1" s="1"/>
  <c r="AA469" i="1"/>
  <c r="I472" i="1" l="1"/>
  <c r="G471" i="3"/>
  <c r="V471" i="1"/>
  <c r="J471" i="1"/>
  <c r="Y471" i="1"/>
  <c r="Z471" i="1" s="1"/>
  <c r="G471" i="2"/>
  <c r="O471" i="1"/>
  <c r="R471" i="1"/>
  <c r="N471" i="1"/>
  <c r="S471" i="1"/>
  <c r="W471" i="1" s="1"/>
  <c r="L470" i="1"/>
  <c r="P470" i="1" s="1"/>
  <c r="AA470" i="1"/>
  <c r="W470" i="1"/>
  <c r="H470" i="3"/>
  <c r="AR470" i="3"/>
  <c r="AQ470" i="3"/>
  <c r="AN470" i="3"/>
  <c r="AM470" i="3"/>
  <c r="AK470" i="3"/>
  <c r="AL470" i="3"/>
  <c r="AJ470" i="3"/>
  <c r="AI470" i="3"/>
  <c r="AH470" i="3"/>
  <c r="AG470" i="3"/>
  <c r="AF470" i="3"/>
  <c r="AE470" i="3"/>
  <c r="AD470" i="3"/>
  <c r="AB470" i="3"/>
  <c r="AC470" i="3"/>
  <c r="AA470" i="3"/>
  <c r="Y470" i="3"/>
  <c r="Z470" i="3"/>
  <c r="W470" i="3"/>
  <c r="X470" i="3"/>
  <c r="V470" i="3"/>
  <c r="U470" i="3"/>
  <c r="S470" i="3"/>
  <c r="P470" i="3"/>
  <c r="T470" i="3"/>
  <c r="R470" i="3"/>
  <c r="O470" i="3"/>
  <c r="L470" i="3"/>
  <c r="N470" i="3"/>
  <c r="Q470" i="3"/>
  <c r="J470" i="3"/>
  <c r="M470" i="3"/>
  <c r="K470" i="3"/>
  <c r="AO470" i="3"/>
  <c r="AP470" i="3"/>
  <c r="I470" i="3"/>
  <c r="H470" i="2"/>
  <c r="AR470" i="2"/>
  <c r="AQ470" i="2"/>
  <c r="AL470" i="2"/>
  <c r="AK470" i="2"/>
  <c r="AM470" i="2"/>
  <c r="AN470" i="2"/>
  <c r="AH470" i="2"/>
  <c r="AI470" i="2"/>
  <c r="AG470" i="2"/>
  <c r="AJ470" i="2"/>
  <c r="AF470" i="2"/>
  <c r="AE470" i="2"/>
  <c r="AD470" i="2"/>
  <c r="AC470" i="2"/>
  <c r="AB470" i="2"/>
  <c r="AA470" i="2"/>
  <c r="Z470" i="2"/>
  <c r="W470" i="2"/>
  <c r="X470" i="2"/>
  <c r="Y470" i="2"/>
  <c r="U470" i="2"/>
  <c r="T470" i="2"/>
  <c r="V470" i="2"/>
  <c r="S470" i="2"/>
  <c r="P470" i="2"/>
  <c r="R470" i="2"/>
  <c r="Q470" i="2"/>
  <c r="O470" i="2"/>
  <c r="J470" i="2"/>
  <c r="M470" i="2"/>
  <c r="N470" i="2"/>
  <c r="K470" i="2"/>
  <c r="L470" i="2"/>
  <c r="I470" i="2"/>
  <c r="AO470" i="2"/>
  <c r="AP470" i="2"/>
  <c r="H471" i="2" l="1"/>
  <c r="AR471" i="2"/>
  <c r="AQ471" i="2"/>
  <c r="AL471" i="2"/>
  <c r="AN471" i="2"/>
  <c r="AM471" i="2"/>
  <c r="AK471" i="2"/>
  <c r="AH471" i="2"/>
  <c r="AJ471" i="2"/>
  <c r="AI471" i="2"/>
  <c r="AG471" i="2"/>
  <c r="AD471" i="2"/>
  <c r="AF471" i="2"/>
  <c r="AC471" i="2"/>
  <c r="AE471" i="2"/>
  <c r="AB471" i="2"/>
  <c r="AA471" i="2"/>
  <c r="U471" i="2"/>
  <c r="W471" i="2"/>
  <c r="Z471" i="2"/>
  <c r="X471" i="2"/>
  <c r="Y471" i="2"/>
  <c r="T471" i="2"/>
  <c r="V471" i="2"/>
  <c r="S471" i="2"/>
  <c r="R471" i="2"/>
  <c r="Q471" i="2"/>
  <c r="O471" i="2"/>
  <c r="P471" i="2"/>
  <c r="M471" i="2"/>
  <c r="L471" i="2"/>
  <c r="N471" i="2"/>
  <c r="K471" i="2"/>
  <c r="I471" i="2"/>
  <c r="J471" i="2"/>
  <c r="AP471" i="2"/>
  <c r="AO471" i="2"/>
  <c r="L471" i="1"/>
  <c r="P471" i="1" s="1"/>
  <c r="AA471" i="1"/>
  <c r="H471" i="3"/>
  <c r="AR471" i="3"/>
  <c r="AQ471" i="3"/>
  <c r="AN471" i="3"/>
  <c r="AL471" i="3"/>
  <c r="AK471" i="3"/>
  <c r="AM471" i="3"/>
  <c r="AH471" i="3"/>
  <c r="AJ471" i="3"/>
  <c r="AI471" i="3"/>
  <c r="AG471" i="3"/>
  <c r="AF471" i="3"/>
  <c r="AD471" i="3"/>
  <c r="AB471" i="3"/>
  <c r="AE471" i="3"/>
  <c r="AC471" i="3"/>
  <c r="AA471" i="3"/>
  <c r="W471" i="3"/>
  <c r="Y471" i="3"/>
  <c r="Z471" i="3"/>
  <c r="X471" i="3"/>
  <c r="V471" i="3"/>
  <c r="U471" i="3"/>
  <c r="T471" i="3"/>
  <c r="R471" i="3"/>
  <c r="S471" i="3"/>
  <c r="O471" i="3"/>
  <c r="P471" i="3"/>
  <c r="Q471" i="3"/>
  <c r="N471" i="3"/>
  <c r="J471" i="3"/>
  <c r="L471" i="3"/>
  <c r="M471" i="3"/>
  <c r="K471" i="3"/>
  <c r="AO471" i="3"/>
  <c r="AP471" i="3"/>
  <c r="I471" i="3"/>
  <c r="I473" i="1"/>
  <c r="G472" i="3"/>
  <c r="J472" i="1"/>
  <c r="V472" i="1"/>
  <c r="G472" i="2"/>
  <c r="Y472" i="1"/>
  <c r="Z472" i="1" s="1"/>
  <c r="S472" i="1"/>
  <c r="W472" i="1" s="1"/>
  <c r="N472" i="1"/>
  <c r="R472" i="1"/>
  <c r="O472" i="1"/>
  <c r="G473" i="3" l="1"/>
  <c r="I474" i="1"/>
  <c r="J473" i="1"/>
  <c r="V473" i="1"/>
  <c r="G473" i="2"/>
  <c r="Y473" i="1"/>
  <c r="Z473" i="1" s="1"/>
  <c r="N473" i="1"/>
  <c r="O473" i="1"/>
  <c r="R473" i="1"/>
  <c r="S473" i="1"/>
  <c r="H472" i="2"/>
  <c r="AR472" i="2"/>
  <c r="AQ472" i="2"/>
  <c r="AN472" i="2"/>
  <c r="AL472" i="2"/>
  <c r="AM472" i="2"/>
  <c r="AI472" i="2"/>
  <c r="AK472" i="2"/>
  <c r="AJ472" i="2"/>
  <c r="AG472" i="2"/>
  <c r="AH472" i="2"/>
  <c r="AF472" i="2"/>
  <c r="AC472" i="2"/>
  <c r="AE472" i="2"/>
  <c r="AD472" i="2"/>
  <c r="AB472" i="2"/>
  <c r="Z472" i="2"/>
  <c r="AA472" i="2"/>
  <c r="X472" i="2"/>
  <c r="U472" i="2"/>
  <c r="W472" i="2"/>
  <c r="Y472" i="2"/>
  <c r="V472" i="2"/>
  <c r="T472" i="2"/>
  <c r="Q472" i="2"/>
  <c r="S472" i="2"/>
  <c r="R472" i="2"/>
  <c r="M472" i="2"/>
  <c r="O472" i="2"/>
  <c r="P472" i="2"/>
  <c r="K472" i="2"/>
  <c r="L472" i="2"/>
  <c r="N472" i="2"/>
  <c r="AP472" i="2"/>
  <c r="I472" i="2"/>
  <c r="J472" i="2"/>
  <c r="AO472" i="2"/>
  <c r="L472" i="1"/>
  <c r="P472" i="1" s="1"/>
  <c r="AA472" i="1"/>
  <c r="H472" i="3"/>
  <c r="AR472" i="3"/>
  <c r="AQ472" i="3"/>
  <c r="AL472" i="3"/>
  <c r="AN472" i="3"/>
  <c r="AK472" i="3"/>
  <c r="AM472" i="3"/>
  <c r="AI472" i="3"/>
  <c r="AH472" i="3"/>
  <c r="AJ472" i="3"/>
  <c r="AG472" i="3"/>
  <c r="AF472" i="3"/>
  <c r="AD472" i="3"/>
  <c r="AE472" i="3"/>
  <c r="AC472" i="3"/>
  <c r="AB472" i="3"/>
  <c r="AA472" i="3"/>
  <c r="Y472" i="3"/>
  <c r="Z472" i="3"/>
  <c r="X472" i="3"/>
  <c r="W472" i="3"/>
  <c r="V472" i="3"/>
  <c r="U472" i="3"/>
  <c r="T472" i="3"/>
  <c r="R472" i="3"/>
  <c r="P472" i="3"/>
  <c r="S472" i="3"/>
  <c r="O472" i="3"/>
  <c r="Q472" i="3"/>
  <c r="N472" i="3"/>
  <c r="J472" i="3"/>
  <c r="L472" i="3"/>
  <c r="M472" i="3"/>
  <c r="AO472" i="3"/>
  <c r="K472" i="3"/>
  <c r="AP472" i="3"/>
  <c r="I472" i="3"/>
  <c r="H473" i="2" l="1"/>
  <c r="AQ473" i="2"/>
  <c r="AR473" i="2"/>
  <c r="AN473" i="2"/>
  <c r="AM473" i="2"/>
  <c r="AL473" i="2"/>
  <c r="AK473" i="2"/>
  <c r="AJ473" i="2"/>
  <c r="AI473" i="2"/>
  <c r="AH473" i="2"/>
  <c r="AG473" i="2"/>
  <c r="AF473" i="2"/>
  <c r="AC473" i="2"/>
  <c r="AD473" i="2"/>
  <c r="AE473" i="2"/>
  <c r="AB473" i="2"/>
  <c r="X473" i="2"/>
  <c r="AA473" i="2"/>
  <c r="Z473" i="2"/>
  <c r="Y473" i="2"/>
  <c r="V473" i="2"/>
  <c r="U473" i="2"/>
  <c r="W473" i="2"/>
  <c r="T473" i="2"/>
  <c r="Q473" i="2"/>
  <c r="S473" i="2"/>
  <c r="R473" i="2"/>
  <c r="O473" i="2"/>
  <c r="P473" i="2"/>
  <c r="N473" i="2"/>
  <c r="K473" i="2"/>
  <c r="M473" i="2"/>
  <c r="L473" i="2"/>
  <c r="AP473" i="2"/>
  <c r="I473" i="2"/>
  <c r="J473" i="2"/>
  <c r="AO473" i="2"/>
  <c r="L473" i="1"/>
  <c r="P473" i="1" s="1"/>
  <c r="AA473" i="1"/>
  <c r="G474" i="3"/>
  <c r="I475" i="1"/>
  <c r="V474" i="1"/>
  <c r="J474" i="1"/>
  <c r="G474" i="2"/>
  <c r="Y474" i="1"/>
  <c r="Z474" i="1" s="1"/>
  <c r="O474" i="1"/>
  <c r="N474" i="1"/>
  <c r="R474" i="1"/>
  <c r="S474" i="1"/>
  <c r="W473" i="1"/>
  <c r="H473" i="3"/>
  <c r="AR473" i="3"/>
  <c r="AQ473" i="3"/>
  <c r="AM473" i="3"/>
  <c r="AL473" i="3"/>
  <c r="AN473" i="3"/>
  <c r="AK473" i="3"/>
  <c r="AJ473" i="3"/>
  <c r="AI473" i="3"/>
  <c r="AH473" i="3"/>
  <c r="AD473" i="3"/>
  <c r="AG473" i="3"/>
  <c r="AF473" i="3"/>
  <c r="AC473" i="3"/>
  <c r="AE473" i="3"/>
  <c r="AB473" i="3"/>
  <c r="AA473" i="3"/>
  <c r="W473" i="3"/>
  <c r="Z473" i="3"/>
  <c r="U473" i="3"/>
  <c r="X473" i="3"/>
  <c r="Y473" i="3"/>
  <c r="T473" i="3"/>
  <c r="V473" i="3"/>
  <c r="R473" i="3"/>
  <c r="S473" i="3"/>
  <c r="Q473" i="3"/>
  <c r="O473" i="3"/>
  <c r="P473" i="3"/>
  <c r="M473" i="3"/>
  <c r="N473" i="3"/>
  <c r="L473" i="3"/>
  <c r="K473" i="3"/>
  <c r="I473" i="3"/>
  <c r="AO473" i="3"/>
  <c r="J473" i="3"/>
  <c r="AP473" i="3"/>
  <c r="H474" i="2" l="1"/>
  <c r="AQ474" i="2"/>
  <c r="AR474" i="2"/>
  <c r="AM474" i="2"/>
  <c r="AN474" i="2"/>
  <c r="AL474" i="2"/>
  <c r="AI474" i="2"/>
  <c r="AK474" i="2"/>
  <c r="AJ474" i="2"/>
  <c r="AH474" i="2"/>
  <c r="AG474" i="2"/>
  <c r="AF474" i="2"/>
  <c r="AE474" i="2"/>
  <c r="AD474" i="2"/>
  <c r="AC474" i="2"/>
  <c r="Z474" i="2"/>
  <c r="AB474" i="2"/>
  <c r="AA474" i="2"/>
  <c r="W474" i="2"/>
  <c r="X474" i="2"/>
  <c r="Y474" i="2"/>
  <c r="V474" i="2"/>
  <c r="U474" i="2"/>
  <c r="T474" i="2"/>
  <c r="Q474" i="2"/>
  <c r="S474" i="2"/>
  <c r="R474" i="2"/>
  <c r="M474" i="2"/>
  <c r="P474" i="2"/>
  <c r="N474" i="2"/>
  <c r="K474" i="2"/>
  <c r="O474" i="2"/>
  <c r="L474" i="2"/>
  <c r="I474" i="2"/>
  <c r="AO474" i="2"/>
  <c r="AP474" i="2"/>
  <c r="J474" i="2"/>
  <c r="L474" i="1"/>
  <c r="P474" i="1" s="1"/>
  <c r="AA474" i="1"/>
  <c r="W474" i="1"/>
  <c r="H474" i="3"/>
  <c r="AR474" i="3"/>
  <c r="AN474" i="3"/>
  <c r="AM474" i="3"/>
  <c r="AQ474" i="3"/>
  <c r="AL474" i="3"/>
  <c r="AJ474" i="3"/>
  <c r="AI474" i="3"/>
  <c r="AK474" i="3"/>
  <c r="AE474" i="3"/>
  <c r="AH474" i="3"/>
  <c r="AG474" i="3"/>
  <c r="AF474" i="3"/>
  <c r="AC474" i="3"/>
  <c r="AD474" i="3"/>
  <c r="AB474" i="3"/>
  <c r="Z474" i="3"/>
  <c r="AA474" i="3"/>
  <c r="Y474" i="3"/>
  <c r="X474" i="3"/>
  <c r="U474" i="3"/>
  <c r="R474" i="3"/>
  <c r="T474" i="3"/>
  <c r="V474" i="3"/>
  <c r="W474" i="3"/>
  <c r="Q474" i="3"/>
  <c r="S474" i="3"/>
  <c r="M474" i="3"/>
  <c r="P474" i="3"/>
  <c r="O474" i="3"/>
  <c r="K474" i="3"/>
  <c r="N474" i="3"/>
  <c r="L474" i="3"/>
  <c r="I474" i="3"/>
  <c r="AO474" i="3"/>
  <c r="J474" i="3"/>
  <c r="AP474" i="3"/>
  <c r="G475" i="3"/>
  <c r="I476" i="1"/>
  <c r="V475" i="1"/>
  <c r="J475" i="1"/>
  <c r="G475" i="2"/>
  <c r="Y475" i="1"/>
  <c r="Z475" i="1" s="1"/>
  <c r="S475" i="1"/>
  <c r="W475" i="1" s="1"/>
  <c r="O475" i="1"/>
  <c r="N475" i="1"/>
  <c r="R475" i="1"/>
  <c r="H475" i="3" l="1"/>
  <c r="AN475" i="3"/>
  <c r="AR475" i="3"/>
  <c r="AQ475" i="3"/>
  <c r="AM475" i="3"/>
  <c r="AL475" i="3"/>
  <c r="AJ475" i="3"/>
  <c r="AI475" i="3"/>
  <c r="AK475" i="3"/>
  <c r="AH475" i="3"/>
  <c r="AF475" i="3"/>
  <c r="AD475" i="3"/>
  <c r="AG475" i="3"/>
  <c r="AE475" i="3"/>
  <c r="AC475" i="3"/>
  <c r="AB475" i="3"/>
  <c r="X475" i="3"/>
  <c r="AA475" i="3"/>
  <c r="Y475" i="3"/>
  <c r="Z475" i="3"/>
  <c r="U475" i="3"/>
  <c r="W475" i="3"/>
  <c r="R475" i="3"/>
  <c r="T475" i="3"/>
  <c r="V475" i="3"/>
  <c r="S475" i="3"/>
  <c r="Q475" i="3"/>
  <c r="O475" i="3"/>
  <c r="P475" i="3"/>
  <c r="K475" i="3"/>
  <c r="N475" i="3"/>
  <c r="L475" i="3"/>
  <c r="M475" i="3"/>
  <c r="I475" i="3"/>
  <c r="AO475" i="3"/>
  <c r="J475" i="3"/>
  <c r="AP475" i="3"/>
  <c r="H475" i="2"/>
  <c r="AQ475" i="2"/>
  <c r="AR475" i="2"/>
  <c r="AN475" i="2"/>
  <c r="AM475" i="2"/>
  <c r="AK475" i="2"/>
  <c r="AL475" i="2"/>
  <c r="AJ475" i="2"/>
  <c r="AH475" i="2"/>
  <c r="AI475" i="2"/>
  <c r="AF475" i="2"/>
  <c r="AE475" i="2"/>
  <c r="AG475" i="2"/>
  <c r="AD475" i="2"/>
  <c r="AC475" i="2"/>
  <c r="AB475" i="2"/>
  <c r="X475" i="2"/>
  <c r="AA475" i="2"/>
  <c r="Z475" i="2"/>
  <c r="Y475" i="2"/>
  <c r="V475" i="2"/>
  <c r="W475" i="2"/>
  <c r="U475" i="2"/>
  <c r="S475" i="2"/>
  <c r="T475" i="2"/>
  <c r="R475" i="2"/>
  <c r="Q475" i="2"/>
  <c r="P475" i="2"/>
  <c r="N475" i="2"/>
  <c r="O475" i="2"/>
  <c r="M475" i="2"/>
  <c r="L475" i="2"/>
  <c r="J475" i="2"/>
  <c r="K475" i="2"/>
  <c r="AO475" i="2"/>
  <c r="I475" i="2"/>
  <c r="AP475" i="2"/>
  <c r="L475" i="1"/>
  <c r="P475" i="1" s="1"/>
  <c r="AA475" i="1"/>
  <c r="I477" i="1"/>
  <c r="G476" i="3"/>
  <c r="J476" i="1"/>
  <c r="V476" i="1"/>
  <c r="Y476" i="1"/>
  <c r="Z476" i="1" s="1"/>
  <c r="G476" i="2"/>
  <c r="R476" i="1"/>
  <c r="O476" i="1"/>
  <c r="N476" i="1"/>
  <c r="S476" i="1"/>
  <c r="W476" i="1" s="1"/>
  <c r="H476" i="3" l="1"/>
  <c r="AR476" i="3"/>
  <c r="AQ476" i="3"/>
  <c r="AN476" i="3"/>
  <c r="AM476" i="3"/>
  <c r="AL476" i="3"/>
  <c r="AJ476" i="3"/>
  <c r="AI476" i="3"/>
  <c r="AK476" i="3"/>
  <c r="AG476" i="3"/>
  <c r="AH476" i="3"/>
  <c r="AF476" i="3"/>
  <c r="AE476" i="3"/>
  <c r="AC476" i="3"/>
  <c r="AD476" i="3"/>
  <c r="Z476" i="3"/>
  <c r="AB476" i="3"/>
  <c r="X476" i="3"/>
  <c r="AA476" i="3"/>
  <c r="Y476" i="3"/>
  <c r="W476" i="3"/>
  <c r="V476" i="3"/>
  <c r="R476" i="3"/>
  <c r="U476" i="3"/>
  <c r="T476" i="3"/>
  <c r="O476" i="3"/>
  <c r="S476" i="3"/>
  <c r="Q476" i="3"/>
  <c r="M476" i="3"/>
  <c r="P476" i="3"/>
  <c r="K476" i="3"/>
  <c r="N476" i="3"/>
  <c r="L476" i="3"/>
  <c r="I476" i="3"/>
  <c r="AO476" i="3"/>
  <c r="J476" i="3"/>
  <c r="AP476" i="3"/>
  <c r="G477" i="3"/>
  <c r="I478" i="1"/>
  <c r="J477" i="1"/>
  <c r="V477" i="1"/>
  <c r="G477" i="2"/>
  <c r="Y477" i="1"/>
  <c r="Z477" i="1" s="1"/>
  <c r="S477" i="1"/>
  <c r="W477" i="1" s="1"/>
  <c r="N477" i="1"/>
  <c r="O477" i="1"/>
  <c r="R477" i="1"/>
  <c r="L476" i="1"/>
  <c r="P476" i="1" s="1"/>
  <c r="AA476" i="1"/>
  <c r="H476" i="2"/>
  <c r="AR476" i="2"/>
  <c r="AQ476" i="2"/>
  <c r="AN476" i="2"/>
  <c r="AM476" i="2"/>
  <c r="AJ476" i="2"/>
  <c r="AK476" i="2"/>
  <c r="AL476" i="2"/>
  <c r="AI476" i="2"/>
  <c r="AF476" i="2"/>
  <c r="AH476" i="2"/>
  <c r="AE476" i="2"/>
  <c r="AG476" i="2"/>
  <c r="AD476" i="2"/>
  <c r="AB476" i="2"/>
  <c r="AC476" i="2"/>
  <c r="AA476" i="2"/>
  <c r="Z476" i="2"/>
  <c r="Y476" i="2"/>
  <c r="V476" i="2"/>
  <c r="X476" i="2"/>
  <c r="W476" i="2"/>
  <c r="S476" i="2"/>
  <c r="U476" i="2"/>
  <c r="R476" i="2"/>
  <c r="T476" i="2"/>
  <c r="N476" i="2"/>
  <c r="Q476" i="2"/>
  <c r="P476" i="2"/>
  <c r="L476" i="2"/>
  <c r="O476" i="2"/>
  <c r="M476" i="2"/>
  <c r="J476" i="2"/>
  <c r="K476" i="2"/>
  <c r="AO476" i="2"/>
  <c r="I476" i="2"/>
  <c r="AP476" i="2"/>
  <c r="I479" i="1" l="1"/>
  <c r="G478" i="3"/>
  <c r="V478" i="1"/>
  <c r="J478" i="1"/>
  <c r="Y478" i="1"/>
  <c r="Z478" i="1" s="1"/>
  <c r="G478" i="2"/>
  <c r="N478" i="1"/>
  <c r="R478" i="1"/>
  <c r="O478" i="1"/>
  <c r="S478" i="1"/>
  <c r="H477" i="3"/>
  <c r="AQ477" i="3"/>
  <c r="AR477" i="3"/>
  <c r="AN477" i="3"/>
  <c r="AL477" i="3"/>
  <c r="AJ477" i="3"/>
  <c r="AM477" i="3"/>
  <c r="AK477" i="3"/>
  <c r="AG477" i="3"/>
  <c r="AI477" i="3"/>
  <c r="AH477" i="3"/>
  <c r="AF477" i="3"/>
  <c r="AE477" i="3"/>
  <c r="AC477" i="3"/>
  <c r="AD477" i="3"/>
  <c r="AB477" i="3"/>
  <c r="Z477" i="3"/>
  <c r="X477" i="3"/>
  <c r="AA477" i="3"/>
  <c r="Y477" i="3"/>
  <c r="V477" i="3"/>
  <c r="W477" i="3"/>
  <c r="U477" i="3"/>
  <c r="S477" i="3"/>
  <c r="T477" i="3"/>
  <c r="R477" i="3"/>
  <c r="O477" i="3"/>
  <c r="Q477" i="3"/>
  <c r="P477" i="3"/>
  <c r="N477" i="3"/>
  <c r="I477" i="3"/>
  <c r="K477" i="3"/>
  <c r="L477" i="3"/>
  <c r="M477" i="3"/>
  <c r="AP477" i="3"/>
  <c r="AO477" i="3"/>
  <c r="J477" i="3"/>
  <c r="H477" i="2"/>
  <c r="AR477" i="2"/>
  <c r="AN477" i="2"/>
  <c r="AQ477" i="2"/>
  <c r="AM477" i="2"/>
  <c r="AJ477" i="2"/>
  <c r="AK477" i="2"/>
  <c r="AL477" i="2"/>
  <c r="AI477" i="2"/>
  <c r="AH477" i="2"/>
  <c r="AE477" i="2"/>
  <c r="AF477" i="2"/>
  <c r="AG477" i="2"/>
  <c r="AB477" i="2"/>
  <c r="AD477" i="2"/>
  <c r="AA477" i="2"/>
  <c r="AC477" i="2"/>
  <c r="Y477" i="2"/>
  <c r="Z477" i="2"/>
  <c r="V477" i="2"/>
  <c r="X477" i="2"/>
  <c r="W477" i="2"/>
  <c r="S477" i="2"/>
  <c r="U477" i="2"/>
  <c r="R477" i="2"/>
  <c r="T477" i="2"/>
  <c r="P477" i="2"/>
  <c r="N477" i="2"/>
  <c r="Q477" i="2"/>
  <c r="M477" i="2"/>
  <c r="L477" i="2"/>
  <c r="I477" i="2"/>
  <c r="O477" i="2"/>
  <c r="J477" i="2"/>
  <c r="K477" i="2"/>
  <c r="AO477" i="2"/>
  <c r="AP477" i="2"/>
  <c r="L477" i="1"/>
  <c r="P477" i="1" s="1"/>
  <c r="AA477" i="1"/>
  <c r="L478" i="1" l="1"/>
  <c r="P478" i="1" s="1"/>
  <c r="AA478" i="1"/>
  <c r="H478" i="2"/>
  <c r="AR478" i="2"/>
  <c r="AQ478" i="2"/>
  <c r="AN478" i="2"/>
  <c r="AM478" i="2"/>
  <c r="AJ478" i="2"/>
  <c r="AK478" i="2"/>
  <c r="AL478" i="2"/>
  <c r="AI478" i="2"/>
  <c r="AH478" i="2"/>
  <c r="AF478" i="2"/>
  <c r="AG478" i="2"/>
  <c r="AE478" i="2"/>
  <c r="AD478" i="2"/>
  <c r="AA478" i="2"/>
  <c r="AC478" i="2"/>
  <c r="AB478" i="2"/>
  <c r="Y478" i="2"/>
  <c r="Z478" i="2"/>
  <c r="X478" i="2"/>
  <c r="W478" i="2"/>
  <c r="V478" i="2"/>
  <c r="S478" i="2"/>
  <c r="U478" i="2"/>
  <c r="P478" i="2"/>
  <c r="R478" i="2"/>
  <c r="T478" i="2"/>
  <c r="N478" i="2"/>
  <c r="Q478" i="2"/>
  <c r="J478" i="2"/>
  <c r="M478" i="2"/>
  <c r="L478" i="2"/>
  <c r="O478" i="2"/>
  <c r="K478" i="2"/>
  <c r="I478" i="2"/>
  <c r="AO478" i="2"/>
  <c r="AP478" i="2"/>
  <c r="H478" i="3"/>
  <c r="AQ478" i="3"/>
  <c r="AR478" i="3"/>
  <c r="AN478" i="3"/>
  <c r="AL478" i="3"/>
  <c r="AM478" i="3"/>
  <c r="AK478" i="3"/>
  <c r="AG478" i="3"/>
  <c r="AI478" i="3"/>
  <c r="AJ478" i="3"/>
  <c r="AH478" i="3"/>
  <c r="AF478" i="3"/>
  <c r="AE478" i="3"/>
  <c r="AC478" i="3"/>
  <c r="AD478" i="3"/>
  <c r="AB478" i="3"/>
  <c r="AA478" i="3"/>
  <c r="Z478" i="3"/>
  <c r="Y478" i="3"/>
  <c r="W478" i="3"/>
  <c r="V478" i="3"/>
  <c r="X478" i="3"/>
  <c r="S478" i="3"/>
  <c r="U478" i="3"/>
  <c r="T478" i="3"/>
  <c r="R478" i="3"/>
  <c r="Q478" i="3"/>
  <c r="P478" i="3"/>
  <c r="N478" i="3"/>
  <c r="O478" i="3"/>
  <c r="M478" i="3"/>
  <c r="L478" i="3"/>
  <c r="AP478" i="3"/>
  <c r="I478" i="3"/>
  <c r="K478" i="3"/>
  <c r="AO478" i="3"/>
  <c r="J478" i="3"/>
  <c r="I480" i="1"/>
  <c r="G479" i="3"/>
  <c r="J479" i="1"/>
  <c r="V479" i="1"/>
  <c r="G479" i="2"/>
  <c r="Y479" i="1"/>
  <c r="Z479" i="1" s="1"/>
  <c r="R479" i="1"/>
  <c r="O479" i="1"/>
  <c r="S479" i="1"/>
  <c r="W479" i="1" s="1"/>
  <c r="N479" i="1"/>
  <c r="W478" i="1"/>
  <c r="H479" i="3" l="1"/>
  <c r="AQ479" i="3"/>
  <c r="AR479" i="3"/>
  <c r="AN479" i="3"/>
  <c r="AL479" i="3"/>
  <c r="AM479" i="3"/>
  <c r="AK479" i="3"/>
  <c r="AG479" i="3"/>
  <c r="AJ479" i="3"/>
  <c r="AH479" i="3"/>
  <c r="AF479" i="3"/>
  <c r="AI479" i="3"/>
  <c r="AE479" i="3"/>
  <c r="AB479" i="3"/>
  <c r="AC479" i="3"/>
  <c r="AD479" i="3"/>
  <c r="AA479" i="3"/>
  <c r="Y479" i="3"/>
  <c r="Z479" i="3"/>
  <c r="W479" i="3"/>
  <c r="V479" i="3"/>
  <c r="X479" i="3"/>
  <c r="S479" i="3"/>
  <c r="U479" i="3"/>
  <c r="T479" i="3"/>
  <c r="R479" i="3"/>
  <c r="P479" i="3"/>
  <c r="Q479" i="3"/>
  <c r="N479" i="3"/>
  <c r="O479" i="3"/>
  <c r="L479" i="3"/>
  <c r="M479" i="3"/>
  <c r="I479" i="3"/>
  <c r="K479" i="3"/>
  <c r="J479" i="3"/>
  <c r="AP479" i="3"/>
  <c r="AO479" i="3"/>
  <c r="G480" i="3"/>
  <c r="I481" i="1"/>
  <c r="V480" i="1"/>
  <c r="J480" i="1"/>
  <c r="G480" i="2"/>
  <c r="Y480" i="1"/>
  <c r="Z480" i="1" s="1"/>
  <c r="S480" i="1"/>
  <c r="R480" i="1"/>
  <c r="O480" i="1"/>
  <c r="N480" i="1"/>
  <c r="H479" i="2"/>
  <c r="AR479" i="2"/>
  <c r="AQ479" i="2"/>
  <c r="AK479" i="2"/>
  <c r="AN479" i="2"/>
  <c r="AM479" i="2"/>
  <c r="AL479" i="2"/>
  <c r="AH479" i="2"/>
  <c r="AI479" i="2"/>
  <c r="AJ479" i="2"/>
  <c r="AG479" i="2"/>
  <c r="AE479" i="2"/>
  <c r="AB479" i="2"/>
  <c r="AD479" i="2"/>
  <c r="AF479" i="2"/>
  <c r="AA479" i="2"/>
  <c r="AC479" i="2"/>
  <c r="Z479" i="2"/>
  <c r="Y479" i="2"/>
  <c r="X479" i="2"/>
  <c r="W479" i="2"/>
  <c r="V479" i="2"/>
  <c r="U479" i="2"/>
  <c r="T479" i="2"/>
  <c r="R479" i="2"/>
  <c r="S479" i="2"/>
  <c r="P479" i="2"/>
  <c r="Q479" i="2"/>
  <c r="O479" i="2"/>
  <c r="N479" i="2"/>
  <c r="M479" i="2"/>
  <c r="L479" i="2"/>
  <c r="I479" i="2"/>
  <c r="J479" i="2"/>
  <c r="K479" i="2"/>
  <c r="AP479" i="2"/>
  <c r="AO479" i="2"/>
  <c r="L479" i="1"/>
  <c r="P479" i="1" s="1"/>
  <c r="AA479" i="1"/>
  <c r="L480" i="1" l="1"/>
  <c r="P480" i="1" s="1"/>
  <c r="AA480" i="1"/>
  <c r="I482" i="1"/>
  <c r="G481" i="3"/>
  <c r="J481" i="1"/>
  <c r="V481" i="1"/>
  <c r="Y481" i="1"/>
  <c r="Z481" i="1" s="1"/>
  <c r="G481" i="2"/>
  <c r="O481" i="1"/>
  <c r="R481" i="1"/>
  <c r="N481" i="1"/>
  <c r="S481" i="1"/>
  <c r="H480" i="3"/>
  <c r="AQ480" i="3"/>
  <c r="AR480" i="3"/>
  <c r="AN480" i="3"/>
  <c r="AM480" i="3"/>
  <c r="AL480" i="3"/>
  <c r="AK480" i="3"/>
  <c r="AJ480" i="3"/>
  <c r="AH480" i="3"/>
  <c r="AF480" i="3"/>
  <c r="AI480" i="3"/>
  <c r="AE480" i="3"/>
  <c r="AG480" i="3"/>
  <c r="AB480" i="3"/>
  <c r="AD480" i="3"/>
  <c r="AC480" i="3"/>
  <c r="AA480" i="3"/>
  <c r="Y480" i="3"/>
  <c r="Z480" i="3"/>
  <c r="W480" i="3"/>
  <c r="X480" i="3"/>
  <c r="S480" i="3"/>
  <c r="V480" i="3"/>
  <c r="U480" i="3"/>
  <c r="P480" i="3"/>
  <c r="T480" i="3"/>
  <c r="R480" i="3"/>
  <c r="L480" i="3"/>
  <c r="Q480" i="3"/>
  <c r="N480" i="3"/>
  <c r="O480" i="3"/>
  <c r="J480" i="3"/>
  <c r="M480" i="3"/>
  <c r="K480" i="3"/>
  <c r="AP480" i="3"/>
  <c r="I480" i="3"/>
  <c r="AO480" i="3"/>
  <c r="W480" i="1"/>
  <c r="H480" i="2"/>
  <c r="AR480" i="2"/>
  <c r="AQ480" i="2"/>
  <c r="AL480" i="2"/>
  <c r="AK480" i="2"/>
  <c r="AN480" i="2"/>
  <c r="AM480" i="2"/>
  <c r="AH480" i="2"/>
  <c r="AJ480" i="2"/>
  <c r="AG480" i="2"/>
  <c r="AI480" i="2"/>
  <c r="AF480" i="2"/>
  <c r="AE480" i="2"/>
  <c r="AD480" i="2"/>
  <c r="AC480" i="2"/>
  <c r="AA480" i="2"/>
  <c r="AB480" i="2"/>
  <c r="Z480" i="2"/>
  <c r="Y480" i="2"/>
  <c r="X480" i="2"/>
  <c r="W480" i="2"/>
  <c r="U480" i="2"/>
  <c r="T480" i="2"/>
  <c r="V480" i="2"/>
  <c r="P480" i="2"/>
  <c r="R480" i="2"/>
  <c r="S480" i="2"/>
  <c r="O480" i="2"/>
  <c r="Q480" i="2"/>
  <c r="J480" i="2"/>
  <c r="N480" i="2"/>
  <c r="M480" i="2"/>
  <c r="I480" i="2"/>
  <c r="L480" i="2"/>
  <c r="K480" i="2"/>
  <c r="AP480" i="2"/>
  <c r="AO480" i="2"/>
  <c r="H481" i="3" l="1"/>
  <c r="AQ481" i="3"/>
  <c r="AR481" i="3"/>
  <c r="AN481" i="3"/>
  <c r="AM481" i="3"/>
  <c r="AL481" i="3"/>
  <c r="AK481" i="3"/>
  <c r="AH481" i="3"/>
  <c r="AI481" i="3"/>
  <c r="AJ481" i="3"/>
  <c r="AG481" i="3"/>
  <c r="AF481" i="3"/>
  <c r="AE481" i="3"/>
  <c r="AB481" i="3"/>
  <c r="AC481" i="3"/>
  <c r="AD481" i="3"/>
  <c r="AA481" i="3"/>
  <c r="W481" i="3"/>
  <c r="Y481" i="3"/>
  <c r="Z481" i="3"/>
  <c r="X481" i="3"/>
  <c r="V481" i="3"/>
  <c r="U481" i="3"/>
  <c r="T481" i="3"/>
  <c r="S481" i="3"/>
  <c r="R481" i="3"/>
  <c r="O481" i="3"/>
  <c r="P481" i="3"/>
  <c r="Q481" i="3"/>
  <c r="L481" i="3"/>
  <c r="J481" i="3"/>
  <c r="M481" i="3"/>
  <c r="N481" i="3"/>
  <c r="K481" i="3"/>
  <c r="AO481" i="3"/>
  <c r="AP481" i="3"/>
  <c r="I481" i="3"/>
  <c r="G482" i="3"/>
  <c r="I483" i="1"/>
  <c r="V482" i="1"/>
  <c r="J482" i="1"/>
  <c r="G482" i="2"/>
  <c r="Y482" i="1"/>
  <c r="Z482" i="1" s="1"/>
  <c r="S482" i="1"/>
  <c r="W482" i="1" s="1"/>
  <c r="N482" i="1"/>
  <c r="R482" i="1"/>
  <c r="O482" i="1"/>
  <c r="W481" i="1"/>
  <c r="H481" i="2"/>
  <c r="AR481" i="2"/>
  <c r="AQ481" i="2"/>
  <c r="AL481" i="2"/>
  <c r="AN481" i="2"/>
  <c r="AM481" i="2"/>
  <c r="AK481" i="2"/>
  <c r="AJ481" i="2"/>
  <c r="AH481" i="2"/>
  <c r="AG481" i="2"/>
  <c r="AI481" i="2"/>
  <c r="AD481" i="2"/>
  <c r="AF481" i="2"/>
  <c r="AC481" i="2"/>
  <c r="AE481" i="2"/>
  <c r="AB481" i="2"/>
  <c r="Z481" i="2"/>
  <c r="AA481" i="2"/>
  <c r="U481" i="2"/>
  <c r="Y481" i="2"/>
  <c r="X481" i="2"/>
  <c r="W481" i="2"/>
  <c r="T481" i="2"/>
  <c r="V481" i="2"/>
  <c r="R481" i="2"/>
  <c r="S481" i="2"/>
  <c r="Q481" i="2"/>
  <c r="P481" i="2"/>
  <c r="O481" i="2"/>
  <c r="M481" i="2"/>
  <c r="N481" i="2"/>
  <c r="L481" i="2"/>
  <c r="K481" i="2"/>
  <c r="I481" i="2"/>
  <c r="J481" i="2"/>
  <c r="AP481" i="2"/>
  <c r="AO481" i="2"/>
  <c r="L481" i="1"/>
  <c r="P481" i="1" s="1"/>
  <c r="AA481" i="1"/>
  <c r="G483" i="3" l="1"/>
  <c r="I484" i="1"/>
  <c r="V483" i="1"/>
  <c r="J483" i="1"/>
  <c r="G483" i="2"/>
  <c r="Y483" i="1"/>
  <c r="Z483" i="1" s="1"/>
  <c r="N483" i="1"/>
  <c r="O483" i="1"/>
  <c r="R483" i="1"/>
  <c r="S483" i="1"/>
  <c r="H482" i="2"/>
  <c r="AR482" i="2"/>
  <c r="AQ482" i="2"/>
  <c r="AN482" i="2"/>
  <c r="AM482" i="2"/>
  <c r="AI482" i="2"/>
  <c r="AL482" i="2"/>
  <c r="AK482" i="2"/>
  <c r="AJ482" i="2"/>
  <c r="AG482" i="2"/>
  <c r="AH482" i="2"/>
  <c r="AF482" i="2"/>
  <c r="AC482" i="2"/>
  <c r="AE482" i="2"/>
  <c r="AD482" i="2"/>
  <c r="AB482" i="2"/>
  <c r="Z482" i="2"/>
  <c r="AA482" i="2"/>
  <c r="X482" i="2"/>
  <c r="U482" i="2"/>
  <c r="Y482" i="2"/>
  <c r="W482" i="2"/>
  <c r="T482" i="2"/>
  <c r="V482" i="2"/>
  <c r="S482" i="2"/>
  <c r="Q482" i="2"/>
  <c r="R482" i="2"/>
  <c r="M482" i="2"/>
  <c r="P482" i="2"/>
  <c r="O482" i="2"/>
  <c r="K482" i="2"/>
  <c r="N482" i="2"/>
  <c r="L482" i="2"/>
  <c r="AP482" i="2"/>
  <c r="I482" i="2"/>
  <c r="J482" i="2"/>
  <c r="AO482" i="2"/>
  <c r="H482" i="3"/>
  <c r="AR482" i="3"/>
  <c r="AQ482" i="3"/>
  <c r="AL482" i="3"/>
  <c r="AM482" i="3"/>
  <c r="AN482" i="3"/>
  <c r="AK482" i="3"/>
  <c r="AH482" i="3"/>
  <c r="AI482" i="3"/>
  <c r="AJ482" i="3"/>
  <c r="AG482" i="3"/>
  <c r="AF482" i="3"/>
  <c r="AD482" i="3"/>
  <c r="AE482" i="3"/>
  <c r="AC482" i="3"/>
  <c r="AA482" i="3"/>
  <c r="AB482" i="3"/>
  <c r="Y482" i="3"/>
  <c r="Z482" i="3"/>
  <c r="W482" i="3"/>
  <c r="V482" i="3"/>
  <c r="X482" i="3"/>
  <c r="U482" i="3"/>
  <c r="T482" i="3"/>
  <c r="P482" i="3"/>
  <c r="S482" i="3"/>
  <c r="R482" i="3"/>
  <c r="O482" i="3"/>
  <c r="Q482" i="3"/>
  <c r="L482" i="3"/>
  <c r="J482" i="3"/>
  <c r="M482" i="3"/>
  <c r="N482" i="3"/>
  <c r="AO482" i="3"/>
  <c r="AP482" i="3"/>
  <c r="K482" i="3"/>
  <c r="I482" i="3"/>
  <c r="L482" i="1"/>
  <c r="P482" i="1" s="1"/>
  <c r="AA482" i="1"/>
  <c r="H483" i="2" l="1"/>
  <c r="AR483" i="2"/>
  <c r="AQ483" i="2"/>
  <c r="AM483" i="2"/>
  <c r="AN483" i="2"/>
  <c r="AL483" i="2"/>
  <c r="AK483" i="2"/>
  <c r="AJ483" i="2"/>
  <c r="AH483" i="2"/>
  <c r="AI483" i="2"/>
  <c r="AG483" i="2"/>
  <c r="AF483" i="2"/>
  <c r="AC483" i="2"/>
  <c r="AE483" i="2"/>
  <c r="AB483" i="2"/>
  <c r="AD483" i="2"/>
  <c r="X483" i="2"/>
  <c r="Z483" i="2"/>
  <c r="AA483" i="2"/>
  <c r="Y483" i="2"/>
  <c r="T483" i="2"/>
  <c r="W483" i="2"/>
  <c r="V483" i="2"/>
  <c r="U483" i="2"/>
  <c r="S483" i="2"/>
  <c r="Q483" i="2"/>
  <c r="R483" i="2"/>
  <c r="P483" i="2"/>
  <c r="O483" i="2"/>
  <c r="K483" i="2"/>
  <c r="M483" i="2"/>
  <c r="N483" i="2"/>
  <c r="L483" i="2"/>
  <c r="AP483" i="2"/>
  <c r="I483" i="2"/>
  <c r="J483" i="2"/>
  <c r="AO483" i="2"/>
  <c r="L483" i="1"/>
  <c r="P483" i="1" s="1"/>
  <c r="AA483" i="1"/>
  <c r="G484" i="3"/>
  <c r="I485" i="1"/>
  <c r="J484" i="1"/>
  <c r="V484" i="1"/>
  <c r="G484" i="2"/>
  <c r="Y484" i="1"/>
  <c r="Z484" i="1" s="1"/>
  <c r="S484" i="1"/>
  <c r="W484" i="1" s="1"/>
  <c r="N484" i="1"/>
  <c r="R484" i="1"/>
  <c r="O484" i="1"/>
  <c r="W483" i="1"/>
  <c r="H483" i="3"/>
  <c r="AR483" i="3"/>
  <c r="AQ483" i="3"/>
  <c r="AM483" i="3"/>
  <c r="AL483" i="3"/>
  <c r="AN483" i="3"/>
  <c r="AK483" i="3"/>
  <c r="AI483" i="3"/>
  <c r="AH483" i="3"/>
  <c r="AJ483" i="3"/>
  <c r="AG483" i="3"/>
  <c r="AD483" i="3"/>
  <c r="AF483" i="3"/>
  <c r="AC483" i="3"/>
  <c r="AE483" i="3"/>
  <c r="AB483" i="3"/>
  <c r="AA483" i="3"/>
  <c r="W483" i="3"/>
  <c r="Z483" i="3"/>
  <c r="U483" i="3"/>
  <c r="Y483" i="3"/>
  <c r="X483" i="3"/>
  <c r="T483" i="3"/>
  <c r="V483" i="3"/>
  <c r="S483" i="3"/>
  <c r="R483" i="3"/>
  <c r="Q483" i="3"/>
  <c r="P483" i="3"/>
  <c r="O483" i="3"/>
  <c r="M483" i="3"/>
  <c r="L483" i="3"/>
  <c r="N483" i="3"/>
  <c r="K483" i="3"/>
  <c r="AO483" i="3"/>
  <c r="AP483" i="3"/>
  <c r="I483" i="3"/>
  <c r="J483" i="3"/>
  <c r="G485" i="3" l="1"/>
  <c r="I486" i="1"/>
  <c r="V485" i="1"/>
  <c r="J485" i="1"/>
  <c r="G485" i="2"/>
  <c r="Y485" i="1"/>
  <c r="Z485" i="1" s="1"/>
  <c r="S485" i="1"/>
  <c r="W485" i="1" s="1"/>
  <c r="N485" i="1"/>
  <c r="O485" i="1"/>
  <c r="R485" i="1"/>
  <c r="L484" i="1"/>
  <c r="P484" i="1" s="1"/>
  <c r="AA484" i="1"/>
  <c r="H484" i="2"/>
  <c r="AR484" i="2"/>
  <c r="AQ484" i="2"/>
  <c r="AM484" i="2"/>
  <c r="AL484" i="2"/>
  <c r="AN484" i="2"/>
  <c r="AI484" i="2"/>
  <c r="AK484" i="2"/>
  <c r="AJ484" i="2"/>
  <c r="AH484" i="2"/>
  <c r="AG484" i="2"/>
  <c r="AF484" i="2"/>
  <c r="AE484" i="2"/>
  <c r="AD484" i="2"/>
  <c r="Z484" i="2"/>
  <c r="AB484" i="2"/>
  <c r="AC484" i="2"/>
  <c r="AA484" i="2"/>
  <c r="X484" i="2"/>
  <c r="Y484" i="2"/>
  <c r="W484" i="2"/>
  <c r="V484" i="2"/>
  <c r="U484" i="2"/>
  <c r="S484" i="2"/>
  <c r="Q484" i="2"/>
  <c r="T484" i="2"/>
  <c r="R484" i="2"/>
  <c r="M484" i="2"/>
  <c r="P484" i="2"/>
  <c r="O484" i="2"/>
  <c r="K484" i="2"/>
  <c r="N484" i="2"/>
  <c r="L484" i="2"/>
  <c r="I484" i="2"/>
  <c r="AO484" i="2"/>
  <c r="AP484" i="2"/>
  <c r="J484" i="2"/>
  <c r="H484" i="3"/>
  <c r="AR484" i="3"/>
  <c r="AN484" i="3"/>
  <c r="AM484" i="3"/>
  <c r="AQ484" i="3"/>
  <c r="AL484" i="3"/>
  <c r="AI484" i="3"/>
  <c r="AK484" i="3"/>
  <c r="AJ484" i="3"/>
  <c r="AE484" i="3"/>
  <c r="AH484" i="3"/>
  <c r="AG484" i="3"/>
  <c r="AF484" i="3"/>
  <c r="AD484" i="3"/>
  <c r="AC484" i="3"/>
  <c r="AB484" i="3"/>
  <c r="Z484" i="3"/>
  <c r="Y484" i="3"/>
  <c r="AA484" i="3"/>
  <c r="X484" i="3"/>
  <c r="U484" i="3"/>
  <c r="W484" i="3"/>
  <c r="R484" i="3"/>
  <c r="T484" i="3"/>
  <c r="V484" i="3"/>
  <c r="Q484" i="3"/>
  <c r="S484" i="3"/>
  <c r="M484" i="3"/>
  <c r="P484" i="3"/>
  <c r="O484" i="3"/>
  <c r="N484" i="3"/>
  <c r="K484" i="3"/>
  <c r="L484" i="3"/>
  <c r="J484" i="3"/>
  <c r="AO484" i="3"/>
  <c r="AP484" i="3"/>
  <c r="I484" i="3"/>
  <c r="L485" i="1" l="1"/>
  <c r="P485" i="1" s="1"/>
  <c r="AA485" i="1"/>
  <c r="I487" i="1"/>
  <c r="G486" i="3"/>
  <c r="V486" i="1"/>
  <c r="J486" i="1"/>
  <c r="G486" i="2"/>
  <c r="Y486" i="1"/>
  <c r="Z486" i="1" s="1"/>
  <c r="R486" i="1"/>
  <c r="O486" i="1"/>
  <c r="N486" i="1"/>
  <c r="S486" i="1"/>
  <c r="H485" i="2"/>
  <c r="AQ485" i="2"/>
  <c r="AR485" i="2"/>
  <c r="AN485" i="2"/>
  <c r="AM485" i="2"/>
  <c r="AL485" i="2"/>
  <c r="AK485" i="2"/>
  <c r="AJ485" i="2"/>
  <c r="AI485" i="2"/>
  <c r="AF485" i="2"/>
  <c r="AH485" i="2"/>
  <c r="AE485" i="2"/>
  <c r="AG485" i="2"/>
  <c r="AD485" i="2"/>
  <c r="AB485" i="2"/>
  <c r="AC485" i="2"/>
  <c r="X485" i="2"/>
  <c r="AA485" i="2"/>
  <c r="V485" i="2"/>
  <c r="Z485" i="2"/>
  <c r="Y485" i="2"/>
  <c r="U485" i="2"/>
  <c r="W485" i="2"/>
  <c r="S485" i="2"/>
  <c r="T485" i="2"/>
  <c r="R485" i="2"/>
  <c r="P485" i="2"/>
  <c r="Q485" i="2"/>
  <c r="N485" i="2"/>
  <c r="O485" i="2"/>
  <c r="M485" i="2"/>
  <c r="L485" i="2"/>
  <c r="AO485" i="2"/>
  <c r="I485" i="2"/>
  <c r="K485" i="2"/>
  <c r="J485" i="2"/>
  <c r="AP485" i="2"/>
  <c r="H485" i="3"/>
  <c r="AR485" i="3"/>
  <c r="AN485" i="3"/>
  <c r="AM485" i="3"/>
  <c r="AQ485" i="3"/>
  <c r="AL485" i="3"/>
  <c r="AJ485" i="3"/>
  <c r="AI485" i="3"/>
  <c r="AK485" i="3"/>
  <c r="AH485" i="3"/>
  <c r="AD485" i="3"/>
  <c r="AF485" i="3"/>
  <c r="AG485" i="3"/>
  <c r="AC485" i="3"/>
  <c r="AE485" i="3"/>
  <c r="AB485" i="3"/>
  <c r="X485" i="3"/>
  <c r="Y485" i="3"/>
  <c r="Z485" i="3"/>
  <c r="AA485" i="3"/>
  <c r="U485" i="3"/>
  <c r="W485" i="3"/>
  <c r="V485" i="3"/>
  <c r="R485" i="3"/>
  <c r="T485" i="3"/>
  <c r="Q485" i="3"/>
  <c r="S485" i="3"/>
  <c r="P485" i="3"/>
  <c r="O485" i="3"/>
  <c r="N485" i="3"/>
  <c r="K485" i="3"/>
  <c r="M485" i="3"/>
  <c r="L485" i="3"/>
  <c r="J485" i="3"/>
  <c r="AO485" i="3"/>
  <c r="AP485" i="3"/>
  <c r="I485" i="3"/>
  <c r="L486" i="1" l="1"/>
  <c r="P486" i="1" s="1"/>
  <c r="AA486" i="1"/>
  <c r="H486" i="3"/>
  <c r="AR486" i="3"/>
  <c r="AN486" i="3"/>
  <c r="AM486" i="3"/>
  <c r="AQ486" i="3"/>
  <c r="AL486" i="3"/>
  <c r="AJ486" i="3"/>
  <c r="AI486" i="3"/>
  <c r="AK486" i="3"/>
  <c r="AG486" i="3"/>
  <c r="AH486" i="3"/>
  <c r="AF486" i="3"/>
  <c r="AD486" i="3"/>
  <c r="AC486" i="3"/>
  <c r="AE486" i="3"/>
  <c r="Z486" i="3"/>
  <c r="AB486" i="3"/>
  <c r="AA486" i="3"/>
  <c r="X486" i="3"/>
  <c r="Y486" i="3"/>
  <c r="W486" i="3"/>
  <c r="V486" i="3"/>
  <c r="U486" i="3"/>
  <c r="R486" i="3"/>
  <c r="T486" i="3"/>
  <c r="O486" i="3"/>
  <c r="Q486" i="3"/>
  <c r="S486" i="3"/>
  <c r="M486" i="3"/>
  <c r="P486" i="3"/>
  <c r="N486" i="3"/>
  <c r="K486" i="3"/>
  <c r="L486" i="3"/>
  <c r="I486" i="3"/>
  <c r="J486" i="3"/>
  <c r="AO486" i="3"/>
  <c r="AP486" i="3"/>
  <c r="W486" i="1"/>
  <c r="G487" i="3"/>
  <c r="I488" i="1"/>
  <c r="V487" i="1"/>
  <c r="J487" i="1"/>
  <c r="Y487" i="1"/>
  <c r="Z487" i="1" s="1"/>
  <c r="G487" i="2"/>
  <c r="S487" i="1"/>
  <c r="O487" i="1"/>
  <c r="N487" i="1"/>
  <c r="R487" i="1"/>
  <c r="H486" i="2"/>
  <c r="AR486" i="2"/>
  <c r="AQ486" i="2"/>
  <c r="AN486" i="2"/>
  <c r="AM486" i="2"/>
  <c r="AL486" i="2"/>
  <c r="AJ486" i="2"/>
  <c r="AK486" i="2"/>
  <c r="AF486" i="2"/>
  <c r="AI486" i="2"/>
  <c r="AH486" i="2"/>
  <c r="AE486" i="2"/>
  <c r="AG486" i="2"/>
  <c r="AD486" i="2"/>
  <c r="AB486" i="2"/>
  <c r="AC486" i="2"/>
  <c r="AA486" i="2"/>
  <c r="Z486" i="2"/>
  <c r="Y486" i="2"/>
  <c r="V486" i="2"/>
  <c r="X486" i="2"/>
  <c r="W486" i="2"/>
  <c r="S486" i="2"/>
  <c r="U486" i="2"/>
  <c r="R486" i="2"/>
  <c r="T486" i="2"/>
  <c r="N486" i="2"/>
  <c r="P486" i="2"/>
  <c r="Q486" i="2"/>
  <c r="L486" i="2"/>
  <c r="O486" i="2"/>
  <c r="M486" i="2"/>
  <c r="AO486" i="2"/>
  <c r="I486" i="2"/>
  <c r="K486" i="2"/>
  <c r="J486" i="2"/>
  <c r="AP486" i="2"/>
  <c r="W487" i="1" l="1"/>
  <c r="H487" i="2"/>
  <c r="AR487" i="2"/>
  <c r="AQ487" i="2"/>
  <c r="AN487" i="2"/>
  <c r="AM487" i="2"/>
  <c r="AK487" i="2"/>
  <c r="AJ487" i="2"/>
  <c r="AL487" i="2"/>
  <c r="AI487" i="2"/>
  <c r="AH487" i="2"/>
  <c r="AE487" i="2"/>
  <c r="AF487" i="2"/>
  <c r="AG487" i="2"/>
  <c r="AB487" i="2"/>
  <c r="AD487" i="2"/>
  <c r="AC487" i="2"/>
  <c r="AA487" i="2"/>
  <c r="Y487" i="2"/>
  <c r="Z487" i="2"/>
  <c r="V487" i="2"/>
  <c r="X487" i="2"/>
  <c r="W487" i="2"/>
  <c r="S487" i="2"/>
  <c r="U487" i="2"/>
  <c r="R487" i="2"/>
  <c r="T487" i="2"/>
  <c r="P487" i="2"/>
  <c r="N487" i="2"/>
  <c r="Q487" i="2"/>
  <c r="L487" i="2"/>
  <c r="I487" i="2"/>
  <c r="O487" i="2"/>
  <c r="M487" i="2"/>
  <c r="J487" i="2"/>
  <c r="K487" i="2"/>
  <c r="AO487" i="2"/>
  <c r="AP487" i="2"/>
  <c r="L487" i="1"/>
  <c r="P487" i="1" s="1"/>
  <c r="AA487" i="1"/>
  <c r="H487" i="3"/>
  <c r="AR487" i="3"/>
  <c r="AN487" i="3"/>
  <c r="AQ487" i="3"/>
  <c r="AM487" i="3"/>
  <c r="AJ487" i="3"/>
  <c r="AL487" i="3"/>
  <c r="AG487" i="3"/>
  <c r="AI487" i="3"/>
  <c r="AK487" i="3"/>
  <c r="AH487" i="3"/>
  <c r="AF487" i="3"/>
  <c r="AD487" i="3"/>
  <c r="AC487" i="3"/>
  <c r="AE487" i="3"/>
  <c r="AB487" i="3"/>
  <c r="AA487" i="3"/>
  <c r="X487" i="3"/>
  <c r="Z487" i="3"/>
  <c r="Y487" i="3"/>
  <c r="V487" i="3"/>
  <c r="U487" i="3"/>
  <c r="W487" i="3"/>
  <c r="S487" i="3"/>
  <c r="R487" i="3"/>
  <c r="T487" i="3"/>
  <c r="Q487" i="3"/>
  <c r="O487" i="3"/>
  <c r="P487" i="3"/>
  <c r="N487" i="3"/>
  <c r="I487" i="3"/>
  <c r="K487" i="3"/>
  <c r="M487" i="3"/>
  <c r="L487" i="3"/>
  <c r="AP487" i="3"/>
  <c r="J487" i="3"/>
  <c r="AO487" i="3"/>
  <c r="G488" i="3"/>
  <c r="I489" i="1"/>
  <c r="V488" i="1"/>
  <c r="J488" i="1"/>
  <c r="Y488" i="1"/>
  <c r="Z488" i="1" s="1"/>
  <c r="G488" i="2"/>
  <c r="R488" i="1"/>
  <c r="N488" i="1"/>
  <c r="S488" i="1"/>
  <c r="W488" i="1" s="1"/>
  <c r="O488" i="1"/>
  <c r="H488" i="3" l="1"/>
  <c r="AR488" i="3"/>
  <c r="AQ488" i="3"/>
  <c r="AN488" i="3"/>
  <c r="AM488" i="3"/>
  <c r="AL488" i="3"/>
  <c r="AJ488" i="3"/>
  <c r="AK488" i="3"/>
  <c r="AG488" i="3"/>
  <c r="AI488" i="3"/>
  <c r="AF488" i="3"/>
  <c r="AH488" i="3"/>
  <c r="AD488" i="3"/>
  <c r="AC488" i="3"/>
  <c r="AE488" i="3"/>
  <c r="AB488" i="3"/>
  <c r="AA488" i="3"/>
  <c r="Z488" i="3"/>
  <c r="Y488" i="3"/>
  <c r="X488" i="3"/>
  <c r="V488" i="3"/>
  <c r="W488" i="3"/>
  <c r="S488" i="3"/>
  <c r="U488" i="3"/>
  <c r="T488" i="3"/>
  <c r="R488" i="3"/>
  <c r="N488" i="3"/>
  <c r="Q488" i="3"/>
  <c r="O488" i="3"/>
  <c r="P488" i="3"/>
  <c r="M488" i="3"/>
  <c r="L488" i="3"/>
  <c r="I488" i="3"/>
  <c r="AP488" i="3"/>
  <c r="J488" i="3"/>
  <c r="AO488" i="3"/>
  <c r="K488" i="3"/>
  <c r="H488" i="2"/>
  <c r="AR488" i="2"/>
  <c r="AQ488" i="2"/>
  <c r="AN488" i="2"/>
  <c r="AM488" i="2"/>
  <c r="AK488" i="2"/>
  <c r="AJ488" i="2"/>
  <c r="AL488" i="2"/>
  <c r="AI488" i="2"/>
  <c r="AH488" i="2"/>
  <c r="AF488" i="2"/>
  <c r="AG488" i="2"/>
  <c r="AD488" i="2"/>
  <c r="AE488" i="2"/>
  <c r="AC488" i="2"/>
  <c r="AA488" i="2"/>
  <c r="AB488" i="2"/>
  <c r="Y488" i="2"/>
  <c r="Z488" i="2"/>
  <c r="X488" i="2"/>
  <c r="W488" i="2"/>
  <c r="S488" i="2"/>
  <c r="U488" i="2"/>
  <c r="V488" i="2"/>
  <c r="T488" i="2"/>
  <c r="P488" i="2"/>
  <c r="R488" i="2"/>
  <c r="Q488" i="2"/>
  <c r="N488" i="2"/>
  <c r="J488" i="2"/>
  <c r="L488" i="2"/>
  <c r="O488" i="2"/>
  <c r="M488" i="2"/>
  <c r="K488" i="2"/>
  <c r="I488" i="2"/>
  <c r="AO488" i="2"/>
  <c r="AP488" i="2"/>
  <c r="L488" i="1"/>
  <c r="P488" i="1" s="1"/>
  <c r="AA488" i="1"/>
  <c r="I490" i="1"/>
  <c r="G489" i="3"/>
  <c r="V489" i="1"/>
  <c r="J489" i="1"/>
  <c r="G489" i="2"/>
  <c r="Y489" i="1"/>
  <c r="Z489" i="1" s="1"/>
  <c r="S489" i="1"/>
  <c r="W489" i="1" s="1"/>
  <c r="R489" i="1"/>
  <c r="N489" i="1"/>
  <c r="O489" i="1"/>
  <c r="H489" i="3" l="1"/>
  <c r="AQ489" i="3"/>
  <c r="AR489" i="3"/>
  <c r="AN489" i="3"/>
  <c r="AM489" i="3"/>
  <c r="AL489" i="3"/>
  <c r="AK489" i="3"/>
  <c r="AG489" i="3"/>
  <c r="AJ489" i="3"/>
  <c r="AI489" i="3"/>
  <c r="AF489" i="3"/>
  <c r="AH489" i="3"/>
  <c r="AE489" i="3"/>
  <c r="AB489" i="3"/>
  <c r="AD489" i="3"/>
  <c r="AC489" i="3"/>
  <c r="AA489" i="3"/>
  <c r="Z489" i="3"/>
  <c r="Y489" i="3"/>
  <c r="X489" i="3"/>
  <c r="V489" i="3"/>
  <c r="W489" i="3"/>
  <c r="S489" i="3"/>
  <c r="U489" i="3"/>
  <c r="R489" i="3"/>
  <c r="T489" i="3"/>
  <c r="P489" i="3"/>
  <c r="N489" i="3"/>
  <c r="Q489" i="3"/>
  <c r="O489" i="3"/>
  <c r="I489" i="3"/>
  <c r="K489" i="3"/>
  <c r="M489" i="3"/>
  <c r="L489" i="3"/>
  <c r="J489" i="3"/>
  <c r="AP489" i="3"/>
  <c r="AO489" i="3"/>
  <c r="G490" i="3"/>
  <c r="I491" i="1"/>
  <c r="J490" i="1"/>
  <c r="V490" i="1"/>
  <c r="G490" i="2"/>
  <c r="Y490" i="1"/>
  <c r="Z490" i="1" s="1"/>
  <c r="S490" i="1"/>
  <c r="W490" i="1" s="1"/>
  <c r="O490" i="1"/>
  <c r="N490" i="1"/>
  <c r="R490" i="1"/>
  <c r="H489" i="2"/>
  <c r="AR489" i="2"/>
  <c r="AQ489" i="2"/>
  <c r="AN489" i="2"/>
  <c r="AK489" i="2"/>
  <c r="AM489" i="2"/>
  <c r="AL489" i="2"/>
  <c r="AI489" i="2"/>
  <c r="AH489" i="2"/>
  <c r="AJ489" i="2"/>
  <c r="AG489" i="2"/>
  <c r="AF489" i="2"/>
  <c r="AB489" i="2"/>
  <c r="AD489" i="2"/>
  <c r="AE489" i="2"/>
  <c r="AC489" i="2"/>
  <c r="AA489" i="2"/>
  <c r="Y489" i="2"/>
  <c r="Z489" i="2"/>
  <c r="W489" i="2"/>
  <c r="X489" i="2"/>
  <c r="U489" i="2"/>
  <c r="V489" i="2"/>
  <c r="T489" i="2"/>
  <c r="S489" i="2"/>
  <c r="R489" i="2"/>
  <c r="Q489" i="2"/>
  <c r="P489" i="2"/>
  <c r="O489" i="2"/>
  <c r="L489" i="2"/>
  <c r="N489" i="2"/>
  <c r="M489" i="2"/>
  <c r="K489" i="2"/>
  <c r="I489" i="2"/>
  <c r="J489" i="2"/>
  <c r="AO489" i="2"/>
  <c r="AP489" i="2"/>
  <c r="L489" i="1"/>
  <c r="P489" i="1" s="1"/>
  <c r="AA489" i="1"/>
  <c r="H490" i="3" l="1"/>
  <c r="AQ490" i="3"/>
  <c r="AR490" i="3"/>
  <c r="AN490" i="3"/>
  <c r="AM490" i="3"/>
  <c r="AL490" i="3"/>
  <c r="AK490" i="3"/>
  <c r="AJ490" i="3"/>
  <c r="AI490" i="3"/>
  <c r="AH490" i="3"/>
  <c r="AF490" i="3"/>
  <c r="AE490" i="3"/>
  <c r="AG490" i="3"/>
  <c r="AB490" i="3"/>
  <c r="AD490" i="3"/>
  <c r="AA490" i="3"/>
  <c r="AC490" i="3"/>
  <c r="Z490" i="3"/>
  <c r="Y490" i="3"/>
  <c r="W490" i="3"/>
  <c r="X490" i="3"/>
  <c r="V490" i="3"/>
  <c r="S490" i="3"/>
  <c r="U490" i="3"/>
  <c r="P490" i="3"/>
  <c r="R490" i="3"/>
  <c r="T490" i="3"/>
  <c r="L490" i="3"/>
  <c r="N490" i="3"/>
  <c r="Q490" i="3"/>
  <c r="O490" i="3"/>
  <c r="J490" i="3"/>
  <c r="K490" i="3"/>
  <c r="M490" i="3"/>
  <c r="I490" i="3"/>
  <c r="AP490" i="3"/>
  <c r="AO490" i="3"/>
  <c r="I492" i="1"/>
  <c r="G491" i="3"/>
  <c r="J491" i="1"/>
  <c r="V491" i="1"/>
  <c r="Y491" i="1"/>
  <c r="Z491" i="1" s="1"/>
  <c r="G491" i="2"/>
  <c r="R491" i="1"/>
  <c r="O491" i="1"/>
  <c r="S491" i="1"/>
  <c r="W491" i="1" s="1"/>
  <c r="N491" i="1"/>
  <c r="H490" i="2"/>
  <c r="AR490" i="2"/>
  <c r="AQ490" i="2"/>
  <c r="AN490" i="2"/>
  <c r="AL490" i="2"/>
  <c r="AK490" i="2"/>
  <c r="AM490" i="2"/>
  <c r="AI490" i="2"/>
  <c r="AH490" i="2"/>
  <c r="AJ490" i="2"/>
  <c r="AG490" i="2"/>
  <c r="AF490" i="2"/>
  <c r="AD490" i="2"/>
  <c r="AE490" i="2"/>
  <c r="AC490" i="2"/>
  <c r="AA490" i="2"/>
  <c r="AB490" i="2"/>
  <c r="Z490" i="2"/>
  <c r="W490" i="2"/>
  <c r="Y490" i="2"/>
  <c r="X490" i="2"/>
  <c r="U490" i="2"/>
  <c r="V490" i="2"/>
  <c r="T490" i="2"/>
  <c r="P490" i="2"/>
  <c r="S490" i="2"/>
  <c r="R490" i="2"/>
  <c r="O490" i="2"/>
  <c r="Q490" i="2"/>
  <c r="M490" i="2"/>
  <c r="J490" i="2"/>
  <c r="N490" i="2"/>
  <c r="K490" i="2"/>
  <c r="L490" i="2"/>
  <c r="I490" i="2"/>
  <c r="AO490" i="2"/>
  <c r="AP490" i="2"/>
  <c r="L490" i="1"/>
  <c r="P490" i="1" s="1"/>
  <c r="AA490" i="1"/>
  <c r="H491" i="3" l="1"/>
  <c r="AQ491" i="3"/>
  <c r="AR491" i="3"/>
  <c r="AN491" i="3"/>
  <c r="AL491" i="3"/>
  <c r="AK491" i="3"/>
  <c r="AM491" i="3"/>
  <c r="AH491" i="3"/>
  <c r="AJ491" i="3"/>
  <c r="AI491" i="3"/>
  <c r="AG491" i="3"/>
  <c r="AE491" i="3"/>
  <c r="AF491" i="3"/>
  <c r="AB491" i="3"/>
  <c r="AD491" i="3"/>
  <c r="AC491" i="3"/>
  <c r="AA491" i="3"/>
  <c r="W491" i="3"/>
  <c r="Z491" i="3"/>
  <c r="Y491" i="3"/>
  <c r="X491" i="3"/>
  <c r="V491" i="3"/>
  <c r="U491" i="3"/>
  <c r="T491" i="3"/>
  <c r="R491" i="3"/>
  <c r="S491" i="3"/>
  <c r="P491" i="3"/>
  <c r="Q491" i="3"/>
  <c r="O491" i="3"/>
  <c r="M491" i="3"/>
  <c r="L491" i="3"/>
  <c r="J491" i="3"/>
  <c r="N491" i="3"/>
  <c r="K491" i="3"/>
  <c r="AO491" i="3"/>
  <c r="I491" i="3"/>
  <c r="AP491" i="3"/>
  <c r="G492" i="3"/>
  <c r="I493" i="1"/>
  <c r="V492" i="1"/>
  <c r="J492" i="1"/>
  <c r="G492" i="2"/>
  <c r="Y492" i="1"/>
  <c r="Z492" i="1" s="1"/>
  <c r="S492" i="1"/>
  <c r="W492" i="1" s="1"/>
  <c r="N492" i="1"/>
  <c r="R492" i="1"/>
  <c r="O492" i="1"/>
  <c r="H491" i="2"/>
  <c r="AR491" i="2"/>
  <c r="AQ491" i="2"/>
  <c r="AN491" i="2"/>
  <c r="AL491" i="2"/>
  <c r="AM491" i="2"/>
  <c r="AK491" i="2"/>
  <c r="AI491" i="2"/>
  <c r="AH491" i="2"/>
  <c r="AJ491" i="2"/>
  <c r="AG491" i="2"/>
  <c r="AD491" i="2"/>
  <c r="AF491" i="2"/>
  <c r="AC491" i="2"/>
  <c r="AE491" i="2"/>
  <c r="AB491" i="2"/>
  <c r="AA491" i="2"/>
  <c r="Z491" i="2"/>
  <c r="U491" i="2"/>
  <c r="W491" i="2"/>
  <c r="Y491" i="2"/>
  <c r="X491" i="2"/>
  <c r="V491" i="2"/>
  <c r="T491" i="2"/>
  <c r="S491" i="2"/>
  <c r="R491" i="2"/>
  <c r="Q491" i="2"/>
  <c r="O491" i="2"/>
  <c r="P491" i="2"/>
  <c r="M491" i="2"/>
  <c r="N491" i="2"/>
  <c r="L491" i="2"/>
  <c r="K491" i="2"/>
  <c r="J491" i="2"/>
  <c r="I491" i="2"/>
  <c r="AP491" i="2"/>
  <c r="AO491" i="2"/>
  <c r="L491" i="1"/>
  <c r="P491" i="1" s="1"/>
  <c r="AA491" i="1"/>
  <c r="G493" i="3" l="1"/>
  <c r="I494" i="1"/>
  <c r="J493" i="1"/>
  <c r="V493" i="1"/>
  <c r="Y493" i="1"/>
  <c r="Z493" i="1" s="1"/>
  <c r="G493" i="2"/>
  <c r="O493" i="1"/>
  <c r="R493" i="1"/>
  <c r="N493" i="1"/>
  <c r="S493" i="1"/>
  <c r="H492" i="3"/>
  <c r="AR492" i="3"/>
  <c r="AQ492" i="3"/>
  <c r="AN492" i="3"/>
  <c r="AL492" i="3"/>
  <c r="AM492" i="3"/>
  <c r="AK492" i="3"/>
  <c r="AH492" i="3"/>
  <c r="AJ492" i="3"/>
  <c r="AI492" i="3"/>
  <c r="AG492" i="3"/>
  <c r="AE492" i="3"/>
  <c r="AF492" i="3"/>
  <c r="AD492" i="3"/>
  <c r="AC492" i="3"/>
  <c r="AA492" i="3"/>
  <c r="AB492" i="3"/>
  <c r="Z492" i="3"/>
  <c r="Y492" i="3"/>
  <c r="X492" i="3"/>
  <c r="V492" i="3"/>
  <c r="W492" i="3"/>
  <c r="U492" i="3"/>
  <c r="T492" i="3"/>
  <c r="P492" i="3"/>
  <c r="R492" i="3"/>
  <c r="S492" i="3"/>
  <c r="Q492" i="3"/>
  <c r="O492" i="3"/>
  <c r="M492" i="3"/>
  <c r="L492" i="3"/>
  <c r="J492" i="3"/>
  <c r="N492" i="3"/>
  <c r="I492" i="3"/>
  <c r="AP492" i="3"/>
  <c r="K492" i="3"/>
  <c r="AO492" i="3"/>
  <c r="H492" i="2"/>
  <c r="AR492" i="2"/>
  <c r="AQ492" i="2"/>
  <c r="AN492" i="2"/>
  <c r="AM492" i="2"/>
  <c r="AI492" i="2"/>
  <c r="AK492" i="2"/>
  <c r="AL492" i="2"/>
  <c r="AJ492" i="2"/>
  <c r="AH492" i="2"/>
  <c r="AG492" i="2"/>
  <c r="AE492" i="2"/>
  <c r="AC492" i="2"/>
  <c r="AD492" i="2"/>
  <c r="AF492" i="2"/>
  <c r="AB492" i="2"/>
  <c r="Z492" i="2"/>
  <c r="AA492" i="2"/>
  <c r="X492" i="2"/>
  <c r="U492" i="2"/>
  <c r="W492" i="2"/>
  <c r="Y492" i="2"/>
  <c r="V492" i="2"/>
  <c r="T492" i="2"/>
  <c r="Q492" i="2"/>
  <c r="S492" i="2"/>
  <c r="R492" i="2"/>
  <c r="M492" i="2"/>
  <c r="O492" i="2"/>
  <c r="P492" i="2"/>
  <c r="K492" i="2"/>
  <c r="N492" i="2"/>
  <c r="L492" i="2"/>
  <c r="AP492" i="2"/>
  <c r="J492" i="2"/>
  <c r="I492" i="2"/>
  <c r="AO492" i="2"/>
  <c r="L492" i="1"/>
  <c r="P492" i="1" s="1"/>
  <c r="AA492" i="1"/>
  <c r="H493" i="2" l="1"/>
  <c r="AR493" i="2"/>
  <c r="AQ493" i="2"/>
  <c r="AM493" i="2"/>
  <c r="AN493" i="2"/>
  <c r="AL493" i="2"/>
  <c r="AK493" i="2"/>
  <c r="AJ493" i="2"/>
  <c r="AI493" i="2"/>
  <c r="AH493" i="2"/>
  <c r="AG493" i="2"/>
  <c r="AE493" i="2"/>
  <c r="AC493" i="2"/>
  <c r="AD493" i="2"/>
  <c r="AF493" i="2"/>
  <c r="AB493" i="2"/>
  <c r="X493" i="2"/>
  <c r="Z493" i="2"/>
  <c r="AA493" i="2"/>
  <c r="Y493" i="2"/>
  <c r="V493" i="2"/>
  <c r="T493" i="2"/>
  <c r="U493" i="2"/>
  <c r="W493" i="2"/>
  <c r="Q493" i="2"/>
  <c r="S493" i="2"/>
  <c r="R493" i="2"/>
  <c r="P493" i="2"/>
  <c r="O493" i="2"/>
  <c r="M493" i="2"/>
  <c r="K493" i="2"/>
  <c r="N493" i="2"/>
  <c r="L493" i="2"/>
  <c r="AP493" i="2"/>
  <c r="J493" i="2"/>
  <c r="I493" i="2"/>
  <c r="AO493" i="2"/>
  <c r="L493" i="1"/>
  <c r="P493" i="1" s="1"/>
  <c r="AA493" i="1"/>
  <c r="G494" i="3"/>
  <c r="I495" i="1"/>
  <c r="J494" i="1"/>
  <c r="V494" i="1"/>
  <c r="G494" i="2"/>
  <c r="Y494" i="1"/>
  <c r="Z494" i="1" s="1"/>
  <c r="S494" i="1"/>
  <c r="W494" i="1" s="1"/>
  <c r="N494" i="1"/>
  <c r="R494" i="1"/>
  <c r="O494" i="1"/>
  <c r="W493" i="1"/>
  <c r="H493" i="3"/>
  <c r="AR493" i="3"/>
  <c r="AQ493" i="3"/>
  <c r="AN493" i="3"/>
  <c r="AM493" i="3"/>
  <c r="AL493" i="3"/>
  <c r="AK493" i="3"/>
  <c r="AI493" i="3"/>
  <c r="AH493" i="3"/>
  <c r="AJ493" i="3"/>
  <c r="AF493" i="3"/>
  <c r="AD493" i="3"/>
  <c r="AG493" i="3"/>
  <c r="AC493" i="3"/>
  <c r="AE493" i="3"/>
  <c r="AA493" i="3"/>
  <c r="AB493" i="3"/>
  <c r="W493" i="3"/>
  <c r="Z493" i="3"/>
  <c r="U493" i="3"/>
  <c r="X493" i="3"/>
  <c r="Y493" i="3"/>
  <c r="T493" i="3"/>
  <c r="V493" i="3"/>
  <c r="S493" i="3"/>
  <c r="R493" i="3"/>
  <c r="Q493" i="3"/>
  <c r="O493" i="3"/>
  <c r="P493" i="3"/>
  <c r="M493" i="3"/>
  <c r="L493" i="3"/>
  <c r="N493" i="3"/>
  <c r="K493" i="3"/>
  <c r="AO493" i="3"/>
  <c r="I493" i="3"/>
  <c r="J493" i="3"/>
  <c r="AP493" i="3"/>
  <c r="H494" i="2" l="1"/>
  <c r="AR494" i="2"/>
  <c r="AQ494" i="2"/>
  <c r="AM494" i="2"/>
  <c r="AN494" i="2"/>
  <c r="AI494" i="2"/>
  <c r="AL494" i="2"/>
  <c r="AK494" i="2"/>
  <c r="AJ494" i="2"/>
  <c r="AH494" i="2"/>
  <c r="AG494" i="2"/>
  <c r="AF494" i="2"/>
  <c r="AE494" i="2"/>
  <c r="Z494" i="2"/>
  <c r="AC494" i="2"/>
  <c r="AD494" i="2"/>
  <c r="AB494" i="2"/>
  <c r="AA494" i="2"/>
  <c r="X494" i="2"/>
  <c r="Y494" i="2"/>
  <c r="W494" i="2"/>
  <c r="V494" i="2"/>
  <c r="U494" i="2"/>
  <c r="T494" i="2"/>
  <c r="Q494" i="2"/>
  <c r="S494" i="2"/>
  <c r="R494" i="2"/>
  <c r="P494" i="2"/>
  <c r="M494" i="2"/>
  <c r="K494" i="2"/>
  <c r="N494" i="2"/>
  <c r="O494" i="2"/>
  <c r="L494" i="2"/>
  <c r="I494" i="2"/>
  <c r="AO494" i="2"/>
  <c r="AP494" i="2"/>
  <c r="J494" i="2"/>
  <c r="L494" i="1"/>
  <c r="P494" i="1" s="1"/>
  <c r="AA494" i="1"/>
  <c r="G495" i="3"/>
  <c r="I496" i="1"/>
  <c r="V495" i="1"/>
  <c r="J495" i="1"/>
  <c r="G495" i="2"/>
  <c r="Y495" i="1"/>
  <c r="Z495" i="1" s="1"/>
  <c r="S495" i="1"/>
  <c r="W495" i="1" s="1"/>
  <c r="R495" i="1"/>
  <c r="N495" i="1"/>
  <c r="O495" i="1"/>
  <c r="H494" i="3"/>
  <c r="AQ494" i="3"/>
  <c r="AR494" i="3"/>
  <c r="AN494" i="3"/>
  <c r="AM494" i="3"/>
  <c r="AL494" i="3"/>
  <c r="AI494" i="3"/>
  <c r="AK494" i="3"/>
  <c r="AJ494" i="3"/>
  <c r="AE494" i="3"/>
  <c r="AH494" i="3"/>
  <c r="AF494" i="3"/>
  <c r="AG494" i="3"/>
  <c r="AC494" i="3"/>
  <c r="AD494" i="3"/>
  <c r="AB494" i="3"/>
  <c r="Z494" i="3"/>
  <c r="AA494" i="3"/>
  <c r="Y494" i="3"/>
  <c r="X494" i="3"/>
  <c r="W494" i="3"/>
  <c r="U494" i="3"/>
  <c r="R494" i="3"/>
  <c r="T494" i="3"/>
  <c r="V494" i="3"/>
  <c r="Q494" i="3"/>
  <c r="S494" i="3"/>
  <c r="P494" i="3"/>
  <c r="M494" i="3"/>
  <c r="O494" i="3"/>
  <c r="K494" i="3"/>
  <c r="L494" i="3"/>
  <c r="N494" i="3"/>
  <c r="AO494" i="3"/>
  <c r="I494" i="3"/>
  <c r="J494" i="3"/>
  <c r="AP494" i="3"/>
  <c r="H495" i="2" l="1"/>
  <c r="AR495" i="2"/>
  <c r="AQ495" i="2"/>
  <c r="AN495" i="2"/>
  <c r="AM495" i="2"/>
  <c r="AL495" i="2"/>
  <c r="AK495" i="2"/>
  <c r="AJ495" i="2"/>
  <c r="AI495" i="2"/>
  <c r="AH495" i="2"/>
  <c r="AF495" i="2"/>
  <c r="AE495" i="2"/>
  <c r="AG495" i="2"/>
  <c r="AD495" i="2"/>
  <c r="AB495" i="2"/>
  <c r="AC495" i="2"/>
  <c r="Z495" i="2"/>
  <c r="X495" i="2"/>
  <c r="AA495" i="2"/>
  <c r="V495" i="2"/>
  <c r="Y495" i="2"/>
  <c r="W495" i="2"/>
  <c r="U495" i="2"/>
  <c r="S495" i="2"/>
  <c r="T495" i="2"/>
  <c r="R495" i="2"/>
  <c r="P495" i="2"/>
  <c r="Q495" i="2"/>
  <c r="N495" i="2"/>
  <c r="M495" i="2"/>
  <c r="O495" i="2"/>
  <c r="L495" i="2"/>
  <c r="AO495" i="2"/>
  <c r="K495" i="2"/>
  <c r="I495" i="2"/>
  <c r="J495" i="2"/>
  <c r="AP495" i="2"/>
  <c r="I497" i="1"/>
  <c r="G496" i="3"/>
  <c r="J496" i="1"/>
  <c r="V496" i="1"/>
  <c r="G496" i="2"/>
  <c r="Y496" i="1"/>
  <c r="Z496" i="1" s="1"/>
  <c r="R496" i="1"/>
  <c r="O496" i="1"/>
  <c r="N496" i="1"/>
  <c r="S496" i="1"/>
  <c r="W496" i="1" s="1"/>
  <c r="H495" i="3"/>
  <c r="AR495" i="3"/>
  <c r="AN495" i="3"/>
  <c r="AQ495" i="3"/>
  <c r="AM495" i="3"/>
  <c r="AL495" i="3"/>
  <c r="AK495" i="3"/>
  <c r="AI495" i="3"/>
  <c r="AJ495" i="3"/>
  <c r="AH495" i="3"/>
  <c r="AG495" i="3"/>
  <c r="AF495" i="3"/>
  <c r="AD495" i="3"/>
  <c r="AE495" i="3"/>
  <c r="AC495" i="3"/>
  <c r="AB495" i="3"/>
  <c r="X495" i="3"/>
  <c r="AA495" i="3"/>
  <c r="Z495" i="3"/>
  <c r="Y495" i="3"/>
  <c r="W495" i="3"/>
  <c r="U495" i="3"/>
  <c r="R495" i="3"/>
  <c r="T495" i="3"/>
  <c r="V495" i="3"/>
  <c r="Q495" i="3"/>
  <c r="S495" i="3"/>
  <c r="P495" i="3"/>
  <c r="O495" i="3"/>
  <c r="K495" i="3"/>
  <c r="M495" i="3"/>
  <c r="L495" i="3"/>
  <c r="N495" i="3"/>
  <c r="AO495" i="3"/>
  <c r="I495" i="3"/>
  <c r="J495" i="3"/>
  <c r="AP495" i="3"/>
  <c r="L495" i="1"/>
  <c r="P495" i="1" s="1"/>
  <c r="AA495" i="1"/>
  <c r="G497" i="3" l="1"/>
  <c r="I498" i="1"/>
  <c r="V497" i="1"/>
  <c r="J497" i="1"/>
  <c r="G497" i="2"/>
  <c r="Y497" i="1"/>
  <c r="Z497" i="1" s="1"/>
  <c r="S497" i="1"/>
  <c r="W497" i="1" s="1"/>
  <c r="N497" i="1"/>
  <c r="O497" i="1"/>
  <c r="R497" i="1"/>
  <c r="H496" i="2"/>
  <c r="AR496" i="2"/>
  <c r="AQ496" i="2"/>
  <c r="AN496" i="2"/>
  <c r="AM496" i="2"/>
  <c r="AL496" i="2"/>
  <c r="AJ496" i="2"/>
  <c r="AK496" i="2"/>
  <c r="AF496" i="2"/>
  <c r="AI496" i="2"/>
  <c r="AH496" i="2"/>
  <c r="AE496" i="2"/>
  <c r="AG496" i="2"/>
  <c r="AD496" i="2"/>
  <c r="AB496" i="2"/>
  <c r="AC496" i="2"/>
  <c r="AA496" i="2"/>
  <c r="Z496" i="2"/>
  <c r="Y496" i="2"/>
  <c r="X496" i="2"/>
  <c r="V496" i="2"/>
  <c r="W496" i="2"/>
  <c r="S496" i="2"/>
  <c r="U496" i="2"/>
  <c r="R496" i="2"/>
  <c r="T496" i="2"/>
  <c r="N496" i="2"/>
  <c r="P496" i="2"/>
  <c r="Q496" i="2"/>
  <c r="L496" i="2"/>
  <c r="M496" i="2"/>
  <c r="O496" i="2"/>
  <c r="AO496" i="2"/>
  <c r="K496" i="2"/>
  <c r="I496" i="2"/>
  <c r="J496" i="2"/>
  <c r="AP496" i="2"/>
  <c r="L496" i="1"/>
  <c r="P496" i="1" s="1"/>
  <c r="AA496" i="1"/>
  <c r="H496" i="3"/>
  <c r="AR496" i="3"/>
  <c r="AN496" i="3"/>
  <c r="AQ496" i="3"/>
  <c r="AM496" i="3"/>
  <c r="AL496" i="3"/>
  <c r="AJ496" i="3"/>
  <c r="AK496" i="3"/>
  <c r="AI496" i="3"/>
  <c r="AG496" i="3"/>
  <c r="AH496" i="3"/>
  <c r="AF496" i="3"/>
  <c r="AE496" i="3"/>
  <c r="AC496" i="3"/>
  <c r="AD496" i="3"/>
  <c r="Z496" i="3"/>
  <c r="AB496" i="3"/>
  <c r="X496" i="3"/>
  <c r="AA496" i="3"/>
  <c r="Y496" i="3"/>
  <c r="W496" i="3"/>
  <c r="V496" i="3"/>
  <c r="R496" i="3"/>
  <c r="T496" i="3"/>
  <c r="U496" i="3"/>
  <c r="O496" i="3"/>
  <c r="Q496" i="3"/>
  <c r="S496" i="3"/>
  <c r="P496" i="3"/>
  <c r="M496" i="3"/>
  <c r="K496" i="3"/>
  <c r="L496" i="3"/>
  <c r="N496" i="3"/>
  <c r="I496" i="3"/>
  <c r="AO496" i="3"/>
  <c r="J496" i="3"/>
  <c r="AP496" i="3"/>
  <c r="L497" i="1" l="1"/>
  <c r="P497" i="1" s="1"/>
  <c r="AA497" i="1"/>
  <c r="H497" i="2"/>
  <c r="AR497" i="2"/>
  <c r="AQ497" i="2"/>
  <c r="AN497" i="2"/>
  <c r="AL497" i="2"/>
  <c r="AM497" i="2"/>
  <c r="AJ497" i="2"/>
  <c r="AK497" i="2"/>
  <c r="AI497" i="2"/>
  <c r="AH497" i="2"/>
  <c r="AG497" i="2"/>
  <c r="AF497" i="2"/>
  <c r="AE497" i="2"/>
  <c r="AD497" i="2"/>
  <c r="AB497" i="2"/>
  <c r="AA497" i="2"/>
  <c r="AC497" i="2"/>
  <c r="Y497" i="2"/>
  <c r="X497" i="2"/>
  <c r="V497" i="2"/>
  <c r="Z497" i="2"/>
  <c r="W497" i="2"/>
  <c r="U497" i="2"/>
  <c r="S497" i="2"/>
  <c r="R497" i="2"/>
  <c r="T497" i="2"/>
  <c r="P497" i="2"/>
  <c r="N497" i="2"/>
  <c r="Q497" i="2"/>
  <c r="L497" i="2"/>
  <c r="I497" i="2"/>
  <c r="M497" i="2"/>
  <c r="O497" i="2"/>
  <c r="J497" i="2"/>
  <c r="K497" i="2"/>
  <c r="AP497" i="2"/>
  <c r="AO497" i="2"/>
  <c r="G498" i="3"/>
  <c r="I499" i="1"/>
  <c r="V498" i="1"/>
  <c r="J498" i="1"/>
  <c r="G498" i="2"/>
  <c r="Y498" i="1"/>
  <c r="Z498" i="1" s="1"/>
  <c r="N498" i="1"/>
  <c r="R498" i="1"/>
  <c r="S498" i="1"/>
  <c r="W498" i="1" s="1"/>
  <c r="O498" i="1"/>
  <c r="H497" i="3"/>
  <c r="AR497" i="3"/>
  <c r="AN497" i="3"/>
  <c r="AQ497" i="3"/>
  <c r="AJ497" i="3"/>
  <c r="AM497" i="3"/>
  <c r="AL497" i="3"/>
  <c r="AK497" i="3"/>
  <c r="AG497" i="3"/>
  <c r="AH497" i="3"/>
  <c r="AI497" i="3"/>
  <c r="AF497" i="3"/>
  <c r="AE497" i="3"/>
  <c r="AC497" i="3"/>
  <c r="AD497" i="3"/>
  <c r="AB497" i="3"/>
  <c r="X497" i="3"/>
  <c r="AA497" i="3"/>
  <c r="Z497" i="3"/>
  <c r="Y497" i="3"/>
  <c r="V497" i="3"/>
  <c r="W497" i="3"/>
  <c r="U497" i="3"/>
  <c r="S497" i="3"/>
  <c r="R497" i="3"/>
  <c r="T497" i="3"/>
  <c r="Q497" i="3"/>
  <c r="P497" i="3"/>
  <c r="N497" i="3"/>
  <c r="I497" i="3"/>
  <c r="O497" i="3"/>
  <c r="M497" i="3"/>
  <c r="K497" i="3"/>
  <c r="L497" i="3"/>
  <c r="AP497" i="3"/>
  <c r="AO497" i="3"/>
  <c r="J497" i="3"/>
  <c r="H498" i="2" l="1"/>
  <c r="AR498" i="2"/>
  <c r="AQ498" i="2"/>
  <c r="AN498" i="2"/>
  <c r="AL498" i="2"/>
  <c r="AM498" i="2"/>
  <c r="AJ498" i="2"/>
  <c r="AK498" i="2"/>
  <c r="AH498" i="2"/>
  <c r="AF498" i="2"/>
  <c r="AI498" i="2"/>
  <c r="AG498" i="2"/>
  <c r="AD498" i="2"/>
  <c r="AE498" i="2"/>
  <c r="AB498" i="2"/>
  <c r="AA498" i="2"/>
  <c r="AC498" i="2"/>
  <c r="Y498" i="2"/>
  <c r="Z498" i="2"/>
  <c r="X498" i="2"/>
  <c r="W498" i="2"/>
  <c r="U498" i="2"/>
  <c r="S498" i="2"/>
  <c r="V498" i="2"/>
  <c r="P498" i="2"/>
  <c r="R498" i="2"/>
  <c r="T498" i="2"/>
  <c r="N498" i="2"/>
  <c r="Q498" i="2"/>
  <c r="J498" i="2"/>
  <c r="L498" i="2"/>
  <c r="M498" i="2"/>
  <c r="O498" i="2"/>
  <c r="I498" i="2"/>
  <c r="K498" i="2"/>
  <c r="AP498" i="2"/>
  <c r="AO498" i="2"/>
  <c r="L498" i="1"/>
  <c r="P498" i="1" s="1"/>
  <c r="AA498" i="1"/>
  <c r="I500" i="1"/>
  <c r="G499" i="3"/>
  <c r="V499" i="1"/>
  <c r="J499" i="1"/>
  <c r="G499" i="2"/>
  <c r="Y499" i="1"/>
  <c r="Z499" i="1" s="1"/>
  <c r="R499" i="1"/>
  <c r="S499" i="1"/>
  <c r="W499" i="1" s="1"/>
  <c r="N499" i="1"/>
  <c r="O499" i="1"/>
  <c r="H498" i="3"/>
  <c r="AR498" i="3"/>
  <c r="AQ498" i="3"/>
  <c r="AN498" i="3"/>
  <c r="AM498" i="3"/>
  <c r="AL498" i="3"/>
  <c r="AJ498" i="3"/>
  <c r="AK498" i="3"/>
  <c r="AG498" i="3"/>
  <c r="AF498" i="3"/>
  <c r="AH498" i="3"/>
  <c r="AI498" i="3"/>
  <c r="AD498" i="3"/>
  <c r="AE498" i="3"/>
  <c r="AC498" i="3"/>
  <c r="AB498" i="3"/>
  <c r="AA498" i="3"/>
  <c r="Z498" i="3"/>
  <c r="Y498" i="3"/>
  <c r="V498" i="3"/>
  <c r="W498" i="3"/>
  <c r="X498" i="3"/>
  <c r="S498" i="3"/>
  <c r="T498" i="3"/>
  <c r="U498" i="3"/>
  <c r="R498" i="3"/>
  <c r="N498" i="3"/>
  <c r="Q498" i="3"/>
  <c r="P498" i="3"/>
  <c r="O498" i="3"/>
  <c r="M498" i="3"/>
  <c r="L498" i="3"/>
  <c r="J498" i="3"/>
  <c r="AP498" i="3"/>
  <c r="AO498" i="3"/>
  <c r="I498" i="3"/>
  <c r="K498" i="3"/>
  <c r="H499" i="2" l="1"/>
  <c r="AR499" i="2"/>
  <c r="AQ499" i="2"/>
  <c r="AM499" i="2"/>
  <c r="AK499" i="2"/>
  <c r="AN499" i="2"/>
  <c r="AL499" i="2"/>
  <c r="AJ499" i="2"/>
  <c r="AH499" i="2"/>
  <c r="AI499" i="2"/>
  <c r="AG499" i="2"/>
  <c r="AF499" i="2"/>
  <c r="AD499" i="2"/>
  <c r="AB499" i="2"/>
  <c r="AE499" i="2"/>
  <c r="AA499" i="2"/>
  <c r="AC499" i="2"/>
  <c r="Y499" i="2"/>
  <c r="Z499" i="2"/>
  <c r="W499" i="2"/>
  <c r="X499" i="2"/>
  <c r="U499" i="2"/>
  <c r="V499" i="2"/>
  <c r="T499" i="2"/>
  <c r="R499" i="2"/>
  <c r="S499" i="2"/>
  <c r="P499" i="2"/>
  <c r="Q499" i="2"/>
  <c r="O499" i="2"/>
  <c r="L499" i="2"/>
  <c r="N499" i="2"/>
  <c r="M499" i="2"/>
  <c r="J499" i="2"/>
  <c r="I499" i="2"/>
  <c r="K499" i="2"/>
  <c r="AP499" i="2"/>
  <c r="AO499" i="2"/>
  <c r="H499" i="3"/>
  <c r="AQ499" i="3"/>
  <c r="AR499" i="3"/>
  <c r="AN499" i="3"/>
  <c r="AM499" i="3"/>
  <c r="AL499" i="3"/>
  <c r="AJ499" i="3"/>
  <c r="AK499" i="3"/>
  <c r="AG499" i="3"/>
  <c r="AI499" i="3"/>
  <c r="AF499" i="3"/>
  <c r="AH499" i="3"/>
  <c r="AB499" i="3"/>
  <c r="AD499" i="3"/>
  <c r="AE499" i="3"/>
  <c r="AC499" i="3"/>
  <c r="AA499" i="3"/>
  <c r="Y499" i="3"/>
  <c r="Z499" i="3"/>
  <c r="V499" i="3"/>
  <c r="W499" i="3"/>
  <c r="X499" i="3"/>
  <c r="S499" i="3"/>
  <c r="U499" i="3"/>
  <c r="T499" i="3"/>
  <c r="R499" i="3"/>
  <c r="P499" i="3"/>
  <c r="N499" i="3"/>
  <c r="Q499" i="3"/>
  <c r="O499" i="3"/>
  <c r="I499" i="3"/>
  <c r="M499" i="3"/>
  <c r="K499" i="3"/>
  <c r="L499" i="3"/>
  <c r="J499" i="3"/>
  <c r="AP499" i="3"/>
  <c r="AO499" i="3"/>
  <c r="G500" i="3"/>
  <c r="I501" i="1"/>
  <c r="V500" i="1"/>
  <c r="J500" i="1"/>
  <c r="G500" i="2"/>
  <c r="Y500" i="1"/>
  <c r="Z500" i="1" s="1"/>
  <c r="S500" i="1"/>
  <c r="R500" i="1"/>
  <c r="N500" i="1"/>
  <c r="O500" i="1"/>
  <c r="L499" i="1"/>
  <c r="P499" i="1" s="1"/>
  <c r="AA499" i="1"/>
  <c r="I502" i="1" l="1"/>
  <c r="G501" i="3"/>
  <c r="J501" i="1"/>
  <c r="V501" i="1"/>
  <c r="Y501" i="1"/>
  <c r="Z501" i="1" s="1"/>
  <c r="G501" i="2"/>
  <c r="N501" i="1"/>
  <c r="R501" i="1"/>
  <c r="O501" i="1"/>
  <c r="S501" i="1"/>
  <c r="L500" i="1"/>
  <c r="P500" i="1" s="1"/>
  <c r="AA500" i="1"/>
  <c r="H500" i="3"/>
  <c r="AQ500" i="3"/>
  <c r="AR500" i="3"/>
  <c r="AM500" i="3"/>
  <c r="AN500" i="3"/>
  <c r="AL500" i="3"/>
  <c r="AK500" i="3"/>
  <c r="AJ500" i="3"/>
  <c r="AI500" i="3"/>
  <c r="AH500" i="3"/>
  <c r="AG500" i="3"/>
  <c r="AF500" i="3"/>
  <c r="AE500" i="3"/>
  <c r="AB500" i="3"/>
  <c r="AD500" i="3"/>
  <c r="AA500" i="3"/>
  <c r="AC500" i="3"/>
  <c r="Y500" i="3"/>
  <c r="Z500" i="3"/>
  <c r="W500" i="3"/>
  <c r="X500" i="3"/>
  <c r="U500" i="3"/>
  <c r="S500" i="3"/>
  <c r="V500" i="3"/>
  <c r="T500" i="3"/>
  <c r="R500" i="3"/>
  <c r="P500" i="3"/>
  <c r="L500" i="3"/>
  <c r="N500" i="3"/>
  <c r="Q500" i="3"/>
  <c r="O500" i="3"/>
  <c r="J500" i="3"/>
  <c r="M500" i="3"/>
  <c r="K500" i="3"/>
  <c r="AP500" i="3"/>
  <c r="AO500" i="3"/>
  <c r="I500" i="3"/>
  <c r="W500" i="1"/>
  <c r="H500" i="2"/>
  <c r="AQ500" i="2"/>
  <c r="AR500" i="2"/>
  <c r="AL500" i="2"/>
  <c r="AM500" i="2"/>
  <c r="AK500" i="2"/>
  <c r="AN500" i="2"/>
  <c r="AJ500" i="2"/>
  <c r="AH500" i="2"/>
  <c r="AI500" i="2"/>
  <c r="AG500" i="2"/>
  <c r="AF500" i="2"/>
  <c r="AD500" i="2"/>
  <c r="AE500" i="2"/>
  <c r="AC500" i="2"/>
  <c r="AB500" i="2"/>
  <c r="AA500" i="2"/>
  <c r="Z500" i="2"/>
  <c r="W500" i="2"/>
  <c r="Y500" i="2"/>
  <c r="X500" i="2"/>
  <c r="U500" i="2"/>
  <c r="T500" i="2"/>
  <c r="V500" i="2"/>
  <c r="S500" i="2"/>
  <c r="P500" i="2"/>
  <c r="R500" i="2"/>
  <c r="O500" i="2"/>
  <c r="Q500" i="2"/>
  <c r="J500" i="2"/>
  <c r="N500" i="2"/>
  <c r="M500" i="2"/>
  <c r="L500" i="2"/>
  <c r="I500" i="2"/>
  <c r="K500" i="2"/>
  <c r="AP500" i="2"/>
  <c r="AO500" i="2"/>
  <c r="H501" i="2" l="1"/>
  <c r="AQ501" i="2"/>
  <c r="AR501" i="2"/>
  <c r="AL501" i="2"/>
  <c r="AM501" i="2"/>
  <c r="AN501" i="2"/>
  <c r="AK501" i="2"/>
  <c r="AI501" i="2"/>
  <c r="AJ501" i="2"/>
  <c r="AH501" i="2"/>
  <c r="AG501" i="2"/>
  <c r="AD501" i="2"/>
  <c r="AF501" i="2"/>
  <c r="AC501" i="2"/>
  <c r="AE501" i="2"/>
  <c r="AB501" i="2"/>
  <c r="AA501" i="2"/>
  <c r="Z501" i="2"/>
  <c r="U501" i="2"/>
  <c r="W501" i="2"/>
  <c r="Y501" i="2"/>
  <c r="X501" i="2"/>
  <c r="T501" i="2"/>
  <c r="V501" i="2"/>
  <c r="S501" i="2"/>
  <c r="R501" i="2"/>
  <c r="Q501" i="2"/>
  <c r="O501" i="2"/>
  <c r="P501" i="2"/>
  <c r="M501" i="2"/>
  <c r="L501" i="2"/>
  <c r="N501" i="2"/>
  <c r="K501" i="2"/>
  <c r="J501" i="2"/>
  <c r="I501" i="2"/>
  <c r="AP501" i="2"/>
  <c r="AO501" i="2"/>
  <c r="H501" i="3"/>
  <c r="AQ501" i="3"/>
  <c r="AR501" i="3"/>
  <c r="AN501" i="3"/>
  <c r="AM501" i="3"/>
  <c r="AL501" i="3"/>
  <c r="AK501" i="3"/>
  <c r="AH501" i="3"/>
  <c r="AJ501" i="3"/>
  <c r="AI501" i="3"/>
  <c r="AG501" i="3"/>
  <c r="AE501" i="3"/>
  <c r="AF501" i="3"/>
  <c r="AB501" i="3"/>
  <c r="AD501" i="3"/>
  <c r="AC501" i="3"/>
  <c r="AA501" i="3"/>
  <c r="Z501" i="3"/>
  <c r="W501" i="3"/>
  <c r="Y501" i="3"/>
  <c r="X501" i="3"/>
  <c r="U501" i="3"/>
  <c r="V501" i="3"/>
  <c r="T501" i="3"/>
  <c r="R501" i="3"/>
  <c r="S501" i="3"/>
  <c r="Q501" i="3"/>
  <c r="P501" i="3"/>
  <c r="O501" i="3"/>
  <c r="J501" i="3"/>
  <c r="M501" i="3"/>
  <c r="N501" i="3"/>
  <c r="L501" i="3"/>
  <c r="AO501" i="3"/>
  <c r="K501" i="3"/>
  <c r="AP501" i="3"/>
  <c r="I501" i="3"/>
  <c r="G502" i="3"/>
  <c r="I503" i="1"/>
  <c r="V502" i="1"/>
  <c r="J502" i="1"/>
  <c r="Y502" i="1"/>
  <c r="Z502" i="1" s="1"/>
  <c r="G502" i="2"/>
  <c r="S502" i="1"/>
  <c r="N502" i="1"/>
  <c r="R502" i="1"/>
  <c r="O502" i="1"/>
  <c r="L501" i="1"/>
  <c r="P501" i="1" s="1"/>
  <c r="AA501" i="1"/>
  <c r="W501" i="1"/>
  <c r="I504" i="1" l="1"/>
  <c r="G503" i="3"/>
  <c r="V503" i="1"/>
  <c r="J503" i="1"/>
  <c r="G503" i="2"/>
  <c r="Y503" i="1"/>
  <c r="Z503" i="1" s="1"/>
  <c r="N503" i="1"/>
  <c r="O503" i="1"/>
  <c r="R503" i="1"/>
  <c r="S503" i="1"/>
  <c r="H502" i="3"/>
  <c r="AR502" i="3"/>
  <c r="AQ502" i="3"/>
  <c r="AL502" i="3"/>
  <c r="AN502" i="3"/>
  <c r="AK502" i="3"/>
  <c r="AM502" i="3"/>
  <c r="AH502" i="3"/>
  <c r="AJ502" i="3"/>
  <c r="AI502" i="3"/>
  <c r="AG502" i="3"/>
  <c r="AE502" i="3"/>
  <c r="AF502" i="3"/>
  <c r="AD502" i="3"/>
  <c r="AC502" i="3"/>
  <c r="AB502" i="3"/>
  <c r="AA502" i="3"/>
  <c r="Z502" i="3"/>
  <c r="Y502" i="3"/>
  <c r="X502" i="3"/>
  <c r="V502" i="3"/>
  <c r="U502" i="3"/>
  <c r="T502" i="3"/>
  <c r="W502" i="3"/>
  <c r="R502" i="3"/>
  <c r="P502" i="3"/>
  <c r="S502" i="3"/>
  <c r="Q502" i="3"/>
  <c r="O502" i="3"/>
  <c r="N502" i="3"/>
  <c r="L502" i="3"/>
  <c r="J502" i="3"/>
  <c r="M502" i="3"/>
  <c r="I502" i="3"/>
  <c r="K502" i="3"/>
  <c r="AP502" i="3"/>
  <c r="AO502" i="3"/>
  <c r="L502" i="1"/>
  <c r="P502" i="1" s="1"/>
  <c r="AA502" i="1"/>
  <c r="W502" i="1"/>
  <c r="H502" i="2"/>
  <c r="AR502" i="2"/>
  <c r="AQ502" i="2"/>
  <c r="AM502" i="2"/>
  <c r="AN502" i="2"/>
  <c r="AI502" i="2"/>
  <c r="AK502" i="2"/>
  <c r="AL502" i="2"/>
  <c r="AJ502" i="2"/>
  <c r="AG502" i="2"/>
  <c r="AH502" i="2"/>
  <c r="AF502" i="2"/>
  <c r="AC502" i="2"/>
  <c r="AD502" i="2"/>
  <c r="AE502" i="2"/>
  <c r="AB502" i="2"/>
  <c r="Z502" i="2"/>
  <c r="AA502" i="2"/>
  <c r="X502" i="2"/>
  <c r="U502" i="2"/>
  <c r="W502" i="2"/>
  <c r="Y502" i="2"/>
  <c r="T502" i="2"/>
  <c r="V502" i="2"/>
  <c r="Q502" i="2"/>
  <c r="S502" i="2"/>
  <c r="R502" i="2"/>
  <c r="M502" i="2"/>
  <c r="O502" i="2"/>
  <c r="P502" i="2"/>
  <c r="K502" i="2"/>
  <c r="L502" i="2"/>
  <c r="N502" i="2"/>
  <c r="AP502" i="2"/>
  <c r="J502" i="2"/>
  <c r="I502" i="2"/>
  <c r="AO502" i="2"/>
  <c r="H503" i="2" l="1"/>
  <c r="AR503" i="2"/>
  <c r="AQ503" i="2"/>
  <c r="AN503" i="2"/>
  <c r="AM503" i="2"/>
  <c r="AL503" i="2"/>
  <c r="AK503" i="2"/>
  <c r="AI503" i="2"/>
  <c r="AJ503" i="2"/>
  <c r="AH503" i="2"/>
  <c r="AG503" i="2"/>
  <c r="AF503" i="2"/>
  <c r="AC503" i="2"/>
  <c r="AD503" i="2"/>
  <c r="AE503" i="2"/>
  <c r="AB503" i="2"/>
  <c r="X503" i="2"/>
  <c r="AA503" i="2"/>
  <c r="Z503" i="2"/>
  <c r="Y503" i="2"/>
  <c r="U503" i="2"/>
  <c r="T503" i="2"/>
  <c r="W503" i="2"/>
  <c r="V503" i="2"/>
  <c r="Q503" i="2"/>
  <c r="S503" i="2"/>
  <c r="R503" i="2"/>
  <c r="O503" i="2"/>
  <c r="P503" i="2"/>
  <c r="K503" i="2"/>
  <c r="L503" i="2"/>
  <c r="N503" i="2"/>
  <c r="M503" i="2"/>
  <c r="I503" i="2"/>
  <c r="AP503" i="2"/>
  <c r="J503" i="2"/>
  <c r="AO503" i="2"/>
  <c r="L503" i="1"/>
  <c r="P503" i="1" s="1"/>
  <c r="AA503" i="1"/>
  <c r="H503" i="3"/>
  <c r="AR503" i="3"/>
  <c r="AQ503" i="3"/>
  <c r="AM503" i="3"/>
  <c r="AL503" i="3"/>
  <c r="AN503" i="3"/>
  <c r="AK503" i="3"/>
  <c r="AI503" i="3"/>
  <c r="AH503" i="3"/>
  <c r="AJ503" i="3"/>
  <c r="AD503" i="3"/>
  <c r="AE503" i="3"/>
  <c r="AG503" i="3"/>
  <c r="AF503" i="3"/>
  <c r="AC503" i="3"/>
  <c r="AB503" i="3"/>
  <c r="AA503" i="3"/>
  <c r="Z503" i="3"/>
  <c r="W503" i="3"/>
  <c r="U503" i="3"/>
  <c r="X503" i="3"/>
  <c r="Y503" i="3"/>
  <c r="T503" i="3"/>
  <c r="V503" i="3"/>
  <c r="R503" i="3"/>
  <c r="S503" i="3"/>
  <c r="Q503" i="3"/>
  <c r="O503" i="3"/>
  <c r="P503" i="3"/>
  <c r="M503" i="3"/>
  <c r="N503" i="3"/>
  <c r="L503" i="3"/>
  <c r="K503" i="3"/>
  <c r="J503" i="3"/>
  <c r="I503" i="3"/>
  <c r="AP503" i="3"/>
  <c r="AO503" i="3"/>
  <c r="W503" i="1"/>
  <c r="G504" i="3"/>
  <c r="I505" i="1"/>
  <c r="J504" i="1"/>
  <c r="V504" i="1"/>
  <c r="G504" i="2"/>
  <c r="Y504" i="1"/>
  <c r="Z504" i="1" s="1"/>
  <c r="O504" i="1"/>
  <c r="S504" i="1"/>
  <c r="W504" i="1" s="1"/>
  <c r="N504" i="1"/>
  <c r="R504" i="1"/>
  <c r="H504" i="3" l="1"/>
  <c r="AR504" i="3"/>
  <c r="AN504" i="3"/>
  <c r="AM504" i="3"/>
  <c r="AQ504" i="3"/>
  <c r="AL504" i="3"/>
  <c r="AI504" i="3"/>
  <c r="AK504" i="3"/>
  <c r="AJ504" i="3"/>
  <c r="AE504" i="3"/>
  <c r="AH504" i="3"/>
  <c r="AG504" i="3"/>
  <c r="AF504" i="3"/>
  <c r="AC504" i="3"/>
  <c r="AD504" i="3"/>
  <c r="AB504" i="3"/>
  <c r="Z504" i="3"/>
  <c r="Y504" i="3"/>
  <c r="AA504" i="3"/>
  <c r="X504" i="3"/>
  <c r="U504" i="3"/>
  <c r="W504" i="3"/>
  <c r="R504" i="3"/>
  <c r="T504" i="3"/>
  <c r="V504" i="3"/>
  <c r="Q504" i="3"/>
  <c r="S504" i="3"/>
  <c r="M504" i="3"/>
  <c r="O504" i="3"/>
  <c r="P504" i="3"/>
  <c r="K504" i="3"/>
  <c r="N504" i="3"/>
  <c r="L504" i="3"/>
  <c r="AO504" i="3"/>
  <c r="J504" i="3"/>
  <c r="I504" i="3"/>
  <c r="AP504" i="3"/>
  <c r="L504" i="1"/>
  <c r="P504" i="1" s="1"/>
  <c r="AA504" i="1"/>
  <c r="H504" i="2"/>
  <c r="AR504" i="2"/>
  <c r="AQ504" i="2"/>
  <c r="AN504" i="2"/>
  <c r="AM504" i="2"/>
  <c r="AL504" i="2"/>
  <c r="AI504" i="2"/>
  <c r="AK504" i="2"/>
  <c r="AJ504" i="2"/>
  <c r="AH504" i="2"/>
  <c r="AG504" i="2"/>
  <c r="AF504" i="2"/>
  <c r="AE504" i="2"/>
  <c r="AD504" i="2"/>
  <c r="Z504" i="2"/>
  <c r="AB504" i="2"/>
  <c r="AC504" i="2"/>
  <c r="AA504" i="2"/>
  <c r="W504" i="2"/>
  <c r="Y504" i="2"/>
  <c r="X504" i="2"/>
  <c r="V504" i="2"/>
  <c r="U504" i="2"/>
  <c r="Q504" i="2"/>
  <c r="S504" i="2"/>
  <c r="T504" i="2"/>
  <c r="R504" i="2"/>
  <c r="M504" i="2"/>
  <c r="P504" i="2"/>
  <c r="O504" i="2"/>
  <c r="K504" i="2"/>
  <c r="L504" i="2"/>
  <c r="N504" i="2"/>
  <c r="I504" i="2"/>
  <c r="J504" i="2"/>
  <c r="AO504" i="2"/>
  <c r="AP504" i="2"/>
  <c r="I506" i="1"/>
  <c r="G505" i="3"/>
  <c r="V505" i="1"/>
  <c r="J505" i="1"/>
  <c r="G505" i="2"/>
  <c r="Y505" i="1"/>
  <c r="Z505" i="1" s="1"/>
  <c r="S505" i="1"/>
  <c r="W505" i="1" s="1"/>
  <c r="R505" i="1"/>
  <c r="N505" i="1"/>
  <c r="O505" i="1"/>
  <c r="H505" i="3" l="1"/>
  <c r="AR505" i="3"/>
  <c r="AN505" i="3"/>
  <c r="AQ505" i="3"/>
  <c r="AM505" i="3"/>
  <c r="AL505" i="3"/>
  <c r="AI505" i="3"/>
  <c r="AK505" i="3"/>
  <c r="AJ505" i="3"/>
  <c r="AH505" i="3"/>
  <c r="AD505" i="3"/>
  <c r="AG505" i="3"/>
  <c r="AF505" i="3"/>
  <c r="AC505" i="3"/>
  <c r="AE505" i="3"/>
  <c r="AB505" i="3"/>
  <c r="X505" i="3"/>
  <c r="Z505" i="3"/>
  <c r="Y505" i="3"/>
  <c r="AA505" i="3"/>
  <c r="U505" i="3"/>
  <c r="W505" i="3"/>
  <c r="V505" i="3"/>
  <c r="R505" i="3"/>
  <c r="T505" i="3"/>
  <c r="Q505" i="3"/>
  <c r="S505" i="3"/>
  <c r="O505" i="3"/>
  <c r="P505" i="3"/>
  <c r="K505" i="3"/>
  <c r="N505" i="3"/>
  <c r="L505" i="3"/>
  <c r="M505" i="3"/>
  <c r="AO505" i="3"/>
  <c r="J505" i="3"/>
  <c r="I505" i="3"/>
  <c r="AP505" i="3"/>
  <c r="I507" i="1"/>
  <c r="G506" i="3"/>
  <c r="V506" i="1"/>
  <c r="J506" i="1"/>
  <c r="G506" i="2"/>
  <c r="Y506" i="1"/>
  <c r="Z506" i="1" s="1"/>
  <c r="O506" i="1"/>
  <c r="R506" i="1"/>
  <c r="S506" i="1"/>
  <c r="W506" i="1" s="1"/>
  <c r="N506" i="1"/>
  <c r="H505" i="2"/>
  <c r="AR505" i="2"/>
  <c r="AQ505" i="2"/>
  <c r="AN505" i="2"/>
  <c r="AM505" i="2"/>
  <c r="AL505" i="2"/>
  <c r="AJ505" i="2"/>
  <c r="AI505" i="2"/>
  <c r="AK505" i="2"/>
  <c r="AH505" i="2"/>
  <c r="AF505" i="2"/>
  <c r="AE505" i="2"/>
  <c r="AG505" i="2"/>
  <c r="AC505" i="2"/>
  <c r="AD505" i="2"/>
  <c r="AB505" i="2"/>
  <c r="Z505" i="2"/>
  <c r="X505" i="2"/>
  <c r="AA505" i="2"/>
  <c r="V505" i="2"/>
  <c r="Y505" i="2"/>
  <c r="W505" i="2"/>
  <c r="U505" i="2"/>
  <c r="S505" i="2"/>
  <c r="T505" i="2"/>
  <c r="R505" i="2"/>
  <c r="Q505" i="2"/>
  <c r="P505" i="2"/>
  <c r="N505" i="2"/>
  <c r="O505" i="2"/>
  <c r="M505" i="2"/>
  <c r="L505" i="2"/>
  <c r="J505" i="2"/>
  <c r="I505" i="2"/>
  <c r="AO505" i="2"/>
  <c r="K505" i="2"/>
  <c r="AP505" i="2"/>
  <c r="L505" i="1"/>
  <c r="P505" i="1" s="1"/>
  <c r="AA505" i="1"/>
  <c r="L506" i="1" l="1"/>
  <c r="P506" i="1" s="1"/>
  <c r="AA506" i="1"/>
  <c r="H506" i="3"/>
  <c r="AN506" i="3"/>
  <c r="AR506" i="3"/>
  <c r="AQ506" i="3"/>
  <c r="AM506" i="3"/>
  <c r="AI506" i="3"/>
  <c r="AL506" i="3"/>
  <c r="AK506" i="3"/>
  <c r="AJ506" i="3"/>
  <c r="AG506" i="3"/>
  <c r="AH506" i="3"/>
  <c r="AF506" i="3"/>
  <c r="AC506" i="3"/>
  <c r="AD506" i="3"/>
  <c r="AE506" i="3"/>
  <c r="Z506" i="3"/>
  <c r="AB506" i="3"/>
  <c r="X506" i="3"/>
  <c r="Y506" i="3"/>
  <c r="AA506" i="3"/>
  <c r="W506" i="3"/>
  <c r="V506" i="3"/>
  <c r="U506" i="3"/>
  <c r="R506" i="3"/>
  <c r="T506" i="3"/>
  <c r="O506" i="3"/>
  <c r="Q506" i="3"/>
  <c r="S506" i="3"/>
  <c r="M506" i="3"/>
  <c r="P506" i="3"/>
  <c r="K506" i="3"/>
  <c r="N506" i="3"/>
  <c r="L506" i="3"/>
  <c r="I506" i="3"/>
  <c r="AO506" i="3"/>
  <c r="J506" i="3"/>
  <c r="AP506" i="3"/>
  <c r="G507" i="3"/>
  <c r="J507" i="1"/>
  <c r="I508" i="1"/>
  <c r="V507" i="1"/>
  <c r="G507" i="2"/>
  <c r="Y507" i="1"/>
  <c r="Z507" i="1" s="1"/>
  <c r="S507" i="1"/>
  <c r="W507" i="1" s="1"/>
  <c r="O507" i="1"/>
  <c r="R507" i="1"/>
  <c r="N507" i="1"/>
  <c r="H506" i="2"/>
  <c r="AR506" i="2"/>
  <c r="AQ506" i="2"/>
  <c r="AN506" i="2"/>
  <c r="AM506" i="2"/>
  <c r="AJ506" i="2"/>
  <c r="AL506" i="2"/>
  <c r="AK506" i="2"/>
  <c r="AH506" i="2"/>
  <c r="AF506" i="2"/>
  <c r="AI506" i="2"/>
  <c r="AE506" i="2"/>
  <c r="AG506" i="2"/>
  <c r="AD506" i="2"/>
  <c r="AB506" i="2"/>
  <c r="AC506" i="2"/>
  <c r="AA506" i="2"/>
  <c r="Z506" i="2"/>
  <c r="Y506" i="2"/>
  <c r="V506" i="2"/>
  <c r="W506" i="2"/>
  <c r="X506" i="2"/>
  <c r="S506" i="2"/>
  <c r="U506" i="2"/>
  <c r="R506" i="2"/>
  <c r="T506" i="2"/>
  <c r="Q506" i="2"/>
  <c r="P506" i="2"/>
  <c r="N506" i="2"/>
  <c r="M506" i="2"/>
  <c r="L506" i="2"/>
  <c r="O506" i="2"/>
  <c r="K506" i="2"/>
  <c r="J506" i="2"/>
  <c r="I506" i="2"/>
  <c r="AO506" i="2"/>
  <c r="AP506" i="2"/>
  <c r="AR507" i="3" l="1"/>
  <c r="AN507" i="3"/>
  <c r="AQ507" i="3"/>
  <c r="AJ507" i="3"/>
  <c r="AM507" i="3"/>
  <c r="AL507" i="3"/>
  <c r="AK507" i="3"/>
  <c r="AG507" i="3"/>
  <c r="AI507" i="3"/>
  <c r="AH507" i="3"/>
  <c r="AF507" i="3"/>
  <c r="AC507" i="3"/>
  <c r="AD507" i="3"/>
  <c r="AE507" i="3"/>
  <c r="AB507" i="3"/>
  <c r="X507" i="3"/>
  <c r="Z507" i="3"/>
  <c r="Y507" i="3"/>
  <c r="AA507" i="3"/>
  <c r="W507" i="3"/>
  <c r="V507" i="3"/>
  <c r="U507" i="3"/>
  <c r="S507" i="3"/>
  <c r="T507" i="3"/>
  <c r="R507" i="3"/>
  <c r="P507" i="3"/>
  <c r="O507" i="3"/>
  <c r="Q507" i="3"/>
  <c r="N507" i="3"/>
  <c r="M507" i="3"/>
  <c r="K507" i="3"/>
  <c r="L507" i="3"/>
  <c r="AP507" i="3"/>
  <c r="AO507" i="3"/>
  <c r="J507" i="3"/>
  <c r="AR507" i="2"/>
  <c r="AN507" i="2"/>
  <c r="AQ507" i="2"/>
  <c r="AM507" i="2"/>
  <c r="AL507" i="2"/>
  <c r="AJ507" i="2"/>
  <c r="AK507" i="2"/>
  <c r="AH507" i="2"/>
  <c r="AI507" i="2"/>
  <c r="AE507" i="2"/>
  <c r="AG507" i="2"/>
  <c r="AB507" i="2"/>
  <c r="AF507" i="2"/>
  <c r="AD507" i="2"/>
  <c r="AA507" i="2"/>
  <c r="AC507" i="2"/>
  <c r="Y507" i="2"/>
  <c r="Z507" i="2"/>
  <c r="V507" i="2"/>
  <c r="W507" i="2"/>
  <c r="X507" i="2"/>
  <c r="S507" i="2"/>
  <c r="U507" i="2"/>
  <c r="R507" i="2"/>
  <c r="T507" i="2"/>
  <c r="P507" i="2"/>
  <c r="Q507" i="2"/>
  <c r="N507" i="2"/>
  <c r="M507" i="2"/>
  <c r="L507" i="2"/>
  <c r="O507" i="2"/>
  <c r="J507" i="2"/>
  <c r="K507" i="2"/>
  <c r="AO507" i="2"/>
  <c r="AP507" i="2"/>
  <c r="L507" i="1"/>
  <c r="P507" i="1" s="1"/>
  <c r="AA507" i="1"/>
  <c r="J508" i="1"/>
  <c r="I509" i="1"/>
  <c r="V508" i="1"/>
  <c r="G508" i="3"/>
  <c r="Y508" i="1"/>
  <c r="Z508" i="1" s="1"/>
  <c r="G508" i="2"/>
  <c r="N508" i="1"/>
  <c r="R508" i="1"/>
  <c r="O508" i="1"/>
  <c r="S508" i="1"/>
  <c r="W508" i="1" s="1"/>
  <c r="L508" i="1" l="1"/>
  <c r="P508" i="1" s="1"/>
  <c r="AA508" i="1"/>
  <c r="I510" i="1"/>
  <c r="J509" i="1"/>
  <c r="V509" i="1"/>
  <c r="G509" i="3"/>
  <c r="Y509" i="1"/>
  <c r="Z509" i="1" s="1"/>
  <c r="G509" i="2"/>
  <c r="S509" i="1"/>
  <c r="R509" i="1"/>
  <c r="N509" i="1"/>
  <c r="O509" i="1"/>
  <c r="AR508" i="2"/>
  <c r="AN508" i="2"/>
  <c r="AQ508" i="2"/>
  <c r="AL508" i="2"/>
  <c r="AM508" i="2"/>
  <c r="AJ508" i="2"/>
  <c r="AK508" i="2"/>
  <c r="AH508" i="2"/>
  <c r="AF508" i="2"/>
  <c r="AI508" i="2"/>
  <c r="AG508" i="2"/>
  <c r="AD508" i="2"/>
  <c r="AE508" i="2"/>
  <c r="AA508" i="2"/>
  <c r="AC508" i="2"/>
  <c r="AB508" i="2"/>
  <c r="Y508" i="2"/>
  <c r="Z508" i="2"/>
  <c r="X508" i="2"/>
  <c r="W508" i="2"/>
  <c r="V508" i="2"/>
  <c r="S508" i="2"/>
  <c r="U508" i="2"/>
  <c r="T508" i="2"/>
  <c r="P508" i="2"/>
  <c r="R508" i="2"/>
  <c r="Q508" i="2"/>
  <c r="N508" i="2"/>
  <c r="J508" i="2"/>
  <c r="M508" i="2"/>
  <c r="L508" i="2"/>
  <c r="O508" i="2"/>
  <c r="K508" i="2"/>
  <c r="AO508" i="2"/>
  <c r="AP508" i="2"/>
  <c r="AQ508" i="3"/>
  <c r="AR508" i="3"/>
  <c r="AN508" i="3"/>
  <c r="AM508" i="3"/>
  <c r="AL508" i="3"/>
  <c r="AK508" i="3"/>
  <c r="AJ508" i="3"/>
  <c r="AI508" i="3"/>
  <c r="AG508" i="3"/>
  <c r="AF508" i="3"/>
  <c r="AH508" i="3"/>
  <c r="AC508" i="3"/>
  <c r="AD508" i="3"/>
  <c r="AE508" i="3"/>
  <c r="AB508" i="3"/>
  <c r="AA508" i="3"/>
  <c r="Z508" i="3"/>
  <c r="Y508" i="3"/>
  <c r="W508" i="3"/>
  <c r="V508" i="3"/>
  <c r="X508" i="3"/>
  <c r="S508" i="3"/>
  <c r="U508" i="3"/>
  <c r="T508" i="3"/>
  <c r="R508" i="3"/>
  <c r="N508" i="3"/>
  <c r="P508" i="3"/>
  <c r="Q508" i="3"/>
  <c r="M508" i="3"/>
  <c r="O508" i="3"/>
  <c r="L508" i="3"/>
  <c r="AP508" i="3"/>
  <c r="K508" i="3"/>
  <c r="AO508" i="3"/>
  <c r="J508" i="3"/>
  <c r="W509" i="1" l="1"/>
  <c r="AQ509" i="3"/>
  <c r="AR509" i="3"/>
  <c r="AN509" i="3"/>
  <c r="AL509" i="3"/>
  <c r="AM509" i="3"/>
  <c r="AK509" i="3"/>
  <c r="AJ509" i="3"/>
  <c r="AI509" i="3"/>
  <c r="AG509" i="3"/>
  <c r="AF509" i="3"/>
  <c r="AH509" i="3"/>
  <c r="AB509" i="3"/>
  <c r="AC509" i="3"/>
  <c r="AD509" i="3"/>
  <c r="AE509" i="3"/>
  <c r="AA509" i="3"/>
  <c r="Y509" i="3"/>
  <c r="Z509" i="3"/>
  <c r="W509" i="3"/>
  <c r="V509" i="3"/>
  <c r="X509" i="3"/>
  <c r="S509" i="3"/>
  <c r="U509" i="3"/>
  <c r="T509" i="3"/>
  <c r="R509" i="3"/>
  <c r="P509" i="3"/>
  <c r="N509" i="3"/>
  <c r="O509" i="3"/>
  <c r="Q509" i="3"/>
  <c r="M509" i="3"/>
  <c r="K509" i="3"/>
  <c r="L509" i="3"/>
  <c r="J509" i="3"/>
  <c r="AP509" i="3"/>
  <c r="AO509" i="3"/>
  <c r="L509" i="1"/>
  <c r="P509" i="1" s="1"/>
  <c r="AA509" i="1"/>
  <c r="AR509" i="2"/>
  <c r="AQ509" i="2"/>
  <c r="AN509" i="2"/>
  <c r="AK509" i="2"/>
  <c r="AL509" i="2"/>
  <c r="AM509" i="2"/>
  <c r="AH509" i="2"/>
  <c r="AJ509" i="2"/>
  <c r="AI509" i="2"/>
  <c r="AG509" i="2"/>
  <c r="AD509" i="2"/>
  <c r="AB509" i="2"/>
  <c r="AF509" i="2"/>
  <c r="AE509" i="2"/>
  <c r="AA509" i="2"/>
  <c r="AC509" i="2"/>
  <c r="Y509" i="2"/>
  <c r="W509" i="2"/>
  <c r="X509" i="2"/>
  <c r="Z509" i="2"/>
  <c r="V509" i="2"/>
  <c r="U509" i="2"/>
  <c r="T509" i="2"/>
  <c r="R509" i="2"/>
  <c r="S509" i="2"/>
  <c r="P509" i="2"/>
  <c r="Q509" i="2"/>
  <c r="O509" i="2"/>
  <c r="N509" i="2"/>
  <c r="M509" i="2"/>
  <c r="L509" i="2"/>
  <c r="K509" i="2"/>
  <c r="J509" i="2"/>
  <c r="AO509" i="2"/>
  <c r="AP509" i="2"/>
  <c r="I511" i="1"/>
  <c r="J510" i="1"/>
  <c r="V510" i="1"/>
  <c r="G510" i="3"/>
  <c r="Y510" i="1"/>
  <c r="Z510" i="1" s="1"/>
  <c r="G510" i="2"/>
  <c r="S510" i="1"/>
  <c r="W510" i="1" s="1"/>
  <c r="O510" i="1"/>
  <c r="N510" i="1"/>
  <c r="R510" i="1"/>
  <c r="J511" i="1" l="1"/>
  <c r="I512" i="1"/>
  <c r="G511" i="3"/>
  <c r="V511" i="1"/>
  <c r="Y511" i="1"/>
  <c r="Z511" i="1" s="1"/>
  <c r="G511" i="2"/>
  <c r="O511" i="1"/>
  <c r="R511" i="1"/>
  <c r="N511" i="1"/>
  <c r="S511" i="1"/>
  <c r="W511" i="1" s="1"/>
  <c r="AR510" i="2"/>
  <c r="AQ510" i="2"/>
  <c r="AL510" i="2"/>
  <c r="AN510" i="2"/>
  <c r="AK510" i="2"/>
  <c r="AM510" i="2"/>
  <c r="AH510" i="2"/>
  <c r="AJ510" i="2"/>
  <c r="AI510" i="2"/>
  <c r="AG510" i="2"/>
  <c r="AF510" i="2"/>
  <c r="AE510" i="2"/>
  <c r="AD510" i="2"/>
  <c r="AC510" i="2"/>
  <c r="AA510" i="2"/>
  <c r="AB510" i="2"/>
  <c r="Z510" i="2"/>
  <c r="W510" i="2"/>
  <c r="X510" i="2"/>
  <c r="Y510" i="2"/>
  <c r="U510" i="2"/>
  <c r="T510" i="2"/>
  <c r="V510" i="2"/>
  <c r="P510" i="2"/>
  <c r="R510" i="2"/>
  <c r="S510" i="2"/>
  <c r="O510" i="2"/>
  <c r="Q510" i="2"/>
  <c r="N510" i="2"/>
  <c r="J510" i="2"/>
  <c r="M510" i="2"/>
  <c r="K510" i="2"/>
  <c r="L510" i="2"/>
  <c r="AO510" i="2"/>
  <c r="AP510" i="2"/>
  <c r="L510" i="1"/>
  <c r="P510" i="1" s="1"/>
  <c r="AA510" i="1"/>
  <c r="AR510" i="3"/>
  <c r="AQ510" i="3"/>
  <c r="AN510" i="3"/>
  <c r="AL510" i="3"/>
  <c r="AM510" i="3"/>
  <c r="AK510" i="3"/>
  <c r="AJ510" i="3"/>
  <c r="AI510" i="3"/>
  <c r="AH510" i="3"/>
  <c r="AF510" i="3"/>
  <c r="AG510" i="3"/>
  <c r="AE510" i="3"/>
  <c r="AB510" i="3"/>
  <c r="AD510" i="3"/>
  <c r="AA510" i="3"/>
  <c r="AC510" i="3"/>
  <c r="Y510" i="3"/>
  <c r="Z510" i="3"/>
  <c r="W510" i="3"/>
  <c r="X510" i="3"/>
  <c r="V510" i="3"/>
  <c r="S510" i="3"/>
  <c r="U510" i="3"/>
  <c r="P510" i="3"/>
  <c r="T510" i="3"/>
  <c r="R510" i="3"/>
  <c r="Q510" i="3"/>
  <c r="L510" i="3"/>
  <c r="N510" i="3"/>
  <c r="O510" i="3"/>
  <c r="J510" i="3"/>
  <c r="M510" i="3"/>
  <c r="K510" i="3"/>
  <c r="AP510" i="3"/>
  <c r="AO510" i="3"/>
  <c r="AQ511" i="2" l="1"/>
  <c r="AR511" i="2"/>
  <c r="AL511" i="2"/>
  <c r="AN511" i="2"/>
  <c r="AM511" i="2"/>
  <c r="AK511" i="2"/>
  <c r="AH511" i="2"/>
  <c r="AJ511" i="2"/>
  <c r="AI511" i="2"/>
  <c r="AG511" i="2"/>
  <c r="AF511" i="2"/>
  <c r="AD511" i="2"/>
  <c r="AC511" i="2"/>
  <c r="AE511" i="2"/>
  <c r="AB511" i="2"/>
  <c r="AA511" i="2"/>
  <c r="Z511" i="2"/>
  <c r="Y511" i="2"/>
  <c r="U511" i="2"/>
  <c r="W511" i="2"/>
  <c r="X511" i="2"/>
  <c r="T511" i="2"/>
  <c r="V511" i="2"/>
  <c r="R511" i="2"/>
  <c r="S511" i="2"/>
  <c r="Q511" i="2"/>
  <c r="O511" i="2"/>
  <c r="P511" i="2"/>
  <c r="M511" i="2"/>
  <c r="N511" i="2"/>
  <c r="L511" i="2"/>
  <c r="K511" i="2"/>
  <c r="J511" i="2"/>
  <c r="AP511" i="2"/>
  <c r="AO511" i="2"/>
  <c r="L511" i="1"/>
  <c r="P511" i="1" s="1"/>
  <c r="AA511" i="1"/>
  <c r="AR511" i="3"/>
  <c r="AQ511" i="3"/>
  <c r="AN511" i="3"/>
  <c r="AL511" i="3"/>
  <c r="AK511" i="3"/>
  <c r="AM511" i="3"/>
  <c r="AH511" i="3"/>
  <c r="AJ511" i="3"/>
  <c r="AI511" i="3"/>
  <c r="AF511" i="3"/>
  <c r="AG511" i="3"/>
  <c r="AE511" i="3"/>
  <c r="AD511" i="3"/>
  <c r="AB511" i="3"/>
  <c r="AC511" i="3"/>
  <c r="AA511" i="3"/>
  <c r="W511" i="3"/>
  <c r="Y511" i="3"/>
  <c r="Z511" i="3"/>
  <c r="X511" i="3"/>
  <c r="V511" i="3"/>
  <c r="U511" i="3"/>
  <c r="T511" i="3"/>
  <c r="S511" i="3"/>
  <c r="R511" i="3"/>
  <c r="Q511" i="3"/>
  <c r="P511" i="3"/>
  <c r="O511" i="3"/>
  <c r="J511" i="3"/>
  <c r="M511" i="3"/>
  <c r="N511" i="3"/>
  <c r="L511" i="3"/>
  <c r="AO511" i="3"/>
  <c r="K511" i="3"/>
  <c r="AP511" i="3"/>
  <c r="J512" i="1"/>
  <c r="I513" i="1"/>
  <c r="G512" i="3"/>
  <c r="V512" i="1"/>
  <c r="Y512" i="1"/>
  <c r="Z512" i="1" s="1"/>
  <c r="G512" i="2"/>
  <c r="S512" i="1"/>
  <c r="W512" i="1" s="1"/>
  <c r="N512" i="1"/>
  <c r="R512" i="1"/>
  <c r="O512" i="1"/>
  <c r="AR512" i="3" l="1"/>
  <c r="AQ512" i="3"/>
  <c r="AN512" i="3"/>
  <c r="AL512" i="3"/>
  <c r="AM512" i="3"/>
  <c r="AK512" i="3"/>
  <c r="AH512" i="3"/>
  <c r="AJ512" i="3"/>
  <c r="AI512" i="3"/>
  <c r="AE512" i="3"/>
  <c r="AF512" i="3"/>
  <c r="AG512" i="3"/>
  <c r="AD512" i="3"/>
  <c r="AC512" i="3"/>
  <c r="AA512" i="3"/>
  <c r="AB512" i="3"/>
  <c r="Y512" i="3"/>
  <c r="Z512" i="3"/>
  <c r="W512" i="3"/>
  <c r="V512" i="3"/>
  <c r="X512" i="3"/>
  <c r="U512" i="3"/>
  <c r="T512" i="3"/>
  <c r="S512" i="3"/>
  <c r="P512" i="3"/>
  <c r="R512" i="3"/>
  <c r="Q512" i="3"/>
  <c r="O512" i="3"/>
  <c r="J512" i="3"/>
  <c r="M512" i="3"/>
  <c r="N512" i="3"/>
  <c r="L512" i="3"/>
  <c r="K512" i="3"/>
  <c r="AP512" i="3"/>
  <c r="AO512" i="3"/>
  <c r="J513" i="1"/>
  <c r="I514" i="1"/>
  <c r="V513" i="1"/>
  <c r="G513" i="3"/>
  <c r="Y513" i="1"/>
  <c r="Z513" i="1" s="1"/>
  <c r="G513" i="2"/>
  <c r="N513" i="1"/>
  <c r="O513" i="1"/>
  <c r="R513" i="1"/>
  <c r="S513" i="1"/>
  <c r="W513" i="1" s="1"/>
  <c r="AR512" i="2"/>
  <c r="AQ512" i="2"/>
  <c r="AN512" i="2"/>
  <c r="AL512" i="2"/>
  <c r="AM512" i="2"/>
  <c r="AI512" i="2"/>
  <c r="AK512" i="2"/>
  <c r="AJ512" i="2"/>
  <c r="AH512" i="2"/>
  <c r="AG512" i="2"/>
  <c r="AF512" i="2"/>
  <c r="AC512" i="2"/>
  <c r="AE512" i="2"/>
  <c r="AD512" i="2"/>
  <c r="AB512" i="2"/>
  <c r="Z512" i="2"/>
  <c r="AA512" i="2"/>
  <c r="X512" i="2"/>
  <c r="Y512" i="2"/>
  <c r="U512" i="2"/>
  <c r="W512" i="2"/>
  <c r="T512" i="2"/>
  <c r="V512" i="2"/>
  <c r="Q512" i="2"/>
  <c r="R512" i="2"/>
  <c r="S512" i="2"/>
  <c r="M512" i="2"/>
  <c r="O512" i="2"/>
  <c r="P512" i="2"/>
  <c r="K512" i="2"/>
  <c r="N512" i="2"/>
  <c r="L512" i="2"/>
  <c r="AP512" i="2"/>
  <c r="J512" i="2"/>
  <c r="AO512" i="2"/>
  <c r="L512" i="1"/>
  <c r="P512" i="1" s="1"/>
  <c r="AA512" i="1"/>
  <c r="L513" i="1" l="1"/>
  <c r="P513" i="1" s="1"/>
  <c r="AA513" i="1"/>
  <c r="I515" i="1"/>
  <c r="J514" i="1"/>
  <c r="V514" i="1"/>
  <c r="G514" i="3"/>
  <c r="Y514" i="1"/>
  <c r="Z514" i="1" s="1"/>
  <c r="G514" i="2"/>
  <c r="O514" i="1"/>
  <c r="S514" i="1"/>
  <c r="N514" i="1"/>
  <c r="R514" i="1"/>
  <c r="AR513" i="2"/>
  <c r="AQ513" i="2"/>
  <c r="AM513" i="2"/>
  <c r="AN513" i="2"/>
  <c r="AK513" i="2"/>
  <c r="AL513" i="2"/>
  <c r="AJ513" i="2"/>
  <c r="AI513" i="2"/>
  <c r="AH513" i="2"/>
  <c r="AF513" i="2"/>
  <c r="AG513" i="2"/>
  <c r="AC513" i="2"/>
  <c r="AE513" i="2"/>
  <c r="AD513" i="2"/>
  <c r="AB513" i="2"/>
  <c r="X513" i="2"/>
  <c r="AA513" i="2"/>
  <c r="Z513" i="2"/>
  <c r="Y513" i="2"/>
  <c r="U513" i="2"/>
  <c r="W513" i="2"/>
  <c r="T513" i="2"/>
  <c r="V513" i="2"/>
  <c r="Q513" i="2"/>
  <c r="R513" i="2"/>
  <c r="S513" i="2"/>
  <c r="O513" i="2"/>
  <c r="P513" i="2"/>
  <c r="K513" i="2"/>
  <c r="N513" i="2"/>
  <c r="M513" i="2"/>
  <c r="L513" i="2"/>
  <c r="AP513" i="2"/>
  <c r="J513" i="2"/>
  <c r="AO513" i="2"/>
  <c r="AQ513" i="3"/>
  <c r="AR513" i="3"/>
  <c r="AN513" i="3"/>
  <c r="AM513" i="3"/>
  <c r="AL513" i="3"/>
  <c r="AK513" i="3"/>
  <c r="AI513" i="3"/>
  <c r="AH513" i="3"/>
  <c r="AJ513" i="3"/>
  <c r="AG513" i="3"/>
  <c r="AD513" i="3"/>
  <c r="AE513" i="3"/>
  <c r="AF513" i="3"/>
  <c r="AC513" i="3"/>
  <c r="AA513" i="3"/>
  <c r="AB513" i="3"/>
  <c r="Z513" i="3"/>
  <c r="W513" i="3"/>
  <c r="U513" i="3"/>
  <c r="X513" i="3"/>
  <c r="Y513" i="3"/>
  <c r="T513" i="3"/>
  <c r="V513" i="3"/>
  <c r="R513" i="3"/>
  <c r="S513" i="3"/>
  <c r="Q513" i="3"/>
  <c r="P513" i="3"/>
  <c r="O513" i="3"/>
  <c r="M513" i="3"/>
  <c r="L513" i="3"/>
  <c r="N513" i="3"/>
  <c r="K513" i="3"/>
  <c r="AP513" i="3"/>
  <c r="J513" i="3"/>
  <c r="AO513" i="3"/>
  <c r="J515" i="1" l="1"/>
  <c r="I516" i="1"/>
  <c r="G515" i="3"/>
  <c r="V515" i="1"/>
  <c r="Y515" i="1"/>
  <c r="Z515" i="1" s="1"/>
  <c r="G515" i="2"/>
  <c r="S515" i="1"/>
  <c r="W515" i="1" s="1"/>
  <c r="N515" i="1"/>
  <c r="O515" i="1"/>
  <c r="R515" i="1"/>
  <c r="AR514" i="2"/>
  <c r="AQ514" i="2"/>
  <c r="AM514" i="2"/>
  <c r="AN514" i="2"/>
  <c r="AK514" i="2"/>
  <c r="AI514" i="2"/>
  <c r="AL514" i="2"/>
  <c r="AJ514" i="2"/>
  <c r="AH514" i="2"/>
  <c r="AF514" i="2"/>
  <c r="AG514" i="2"/>
  <c r="AE514" i="2"/>
  <c r="AD514" i="2"/>
  <c r="Z514" i="2"/>
  <c r="AB514" i="2"/>
  <c r="AC514" i="2"/>
  <c r="AA514" i="2"/>
  <c r="Y514" i="2"/>
  <c r="X514" i="2"/>
  <c r="W514" i="2"/>
  <c r="V514" i="2"/>
  <c r="U514" i="2"/>
  <c r="S514" i="2"/>
  <c r="T514" i="2"/>
  <c r="Q514" i="2"/>
  <c r="R514" i="2"/>
  <c r="M514" i="2"/>
  <c r="P514" i="2"/>
  <c r="K514" i="2"/>
  <c r="O514" i="2"/>
  <c r="N514" i="2"/>
  <c r="L514" i="2"/>
  <c r="AO514" i="2"/>
  <c r="AP514" i="2"/>
  <c r="J514" i="2"/>
  <c r="AR514" i="3"/>
  <c r="AQ514" i="3"/>
  <c r="AN514" i="3"/>
  <c r="AM514" i="3"/>
  <c r="AL514" i="3"/>
  <c r="AI514" i="3"/>
  <c r="AK514" i="3"/>
  <c r="AJ514" i="3"/>
  <c r="AH514" i="3"/>
  <c r="AG514" i="3"/>
  <c r="AE514" i="3"/>
  <c r="AF514" i="3"/>
  <c r="AD514" i="3"/>
  <c r="AC514" i="3"/>
  <c r="AB514" i="3"/>
  <c r="Z514" i="3"/>
  <c r="AA514" i="3"/>
  <c r="Y514" i="3"/>
  <c r="X514" i="3"/>
  <c r="U514" i="3"/>
  <c r="W514" i="3"/>
  <c r="R514" i="3"/>
  <c r="T514" i="3"/>
  <c r="V514" i="3"/>
  <c r="Q514" i="3"/>
  <c r="S514" i="3"/>
  <c r="O514" i="3"/>
  <c r="M514" i="3"/>
  <c r="P514" i="3"/>
  <c r="K514" i="3"/>
  <c r="L514" i="3"/>
  <c r="N514" i="3"/>
  <c r="AP514" i="3"/>
  <c r="J514" i="3"/>
  <c r="AO514" i="3"/>
  <c r="W514" i="1"/>
  <c r="L514" i="1"/>
  <c r="P514" i="1" s="1"/>
  <c r="AA514" i="1"/>
  <c r="AR515" i="2" l="1"/>
  <c r="AQ515" i="2"/>
  <c r="AN515" i="2"/>
  <c r="AM515" i="2"/>
  <c r="AK515" i="2"/>
  <c r="AL515" i="2"/>
  <c r="AJ515" i="2"/>
  <c r="AI515" i="2"/>
  <c r="AH515" i="2"/>
  <c r="AF515" i="2"/>
  <c r="AG515" i="2"/>
  <c r="AE515" i="2"/>
  <c r="AD515" i="2"/>
  <c r="AB515" i="2"/>
  <c r="AC515" i="2"/>
  <c r="X515" i="2"/>
  <c r="AA515" i="2"/>
  <c r="Z515" i="2"/>
  <c r="V515" i="2"/>
  <c r="Y515" i="2"/>
  <c r="W515" i="2"/>
  <c r="U515" i="2"/>
  <c r="S515" i="2"/>
  <c r="T515" i="2"/>
  <c r="R515" i="2"/>
  <c r="Q515" i="2"/>
  <c r="P515" i="2"/>
  <c r="N515" i="2"/>
  <c r="O515" i="2"/>
  <c r="M515" i="2"/>
  <c r="L515" i="2"/>
  <c r="AO515" i="2"/>
  <c r="K515" i="2"/>
  <c r="J515" i="2"/>
  <c r="AP515" i="2"/>
  <c r="L515" i="1"/>
  <c r="P515" i="1" s="1"/>
  <c r="AA515" i="1"/>
  <c r="AR515" i="3"/>
  <c r="AN515" i="3"/>
  <c r="AQ515" i="3"/>
  <c r="AM515" i="3"/>
  <c r="AL515" i="3"/>
  <c r="AI515" i="3"/>
  <c r="AK515" i="3"/>
  <c r="AJ515" i="3"/>
  <c r="AH515" i="3"/>
  <c r="AG515" i="3"/>
  <c r="AE515" i="3"/>
  <c r="AD515" i="3"/>
  <c r="AF515" i="3"/>
  <c r="AC515" i="3"/>
  <c r="AB515" i="3"/>
  <c r="X515" i="3"/>
  <c r="AA515" i="3"/>
  <c r="Z515" i="3"/>
  <c r="Y515" i="3"/>
  <c r="U515" i="3"/>
  <c r="W515" i="3"/>
  <c r="R515" i="3"/>
  <c r="T515" i="3"/>
  <c r="V515" i="3"/>
  <c r="Q515" i="3"/>
  <c r="S515" i="3"/>
  <c r="O515" i="3"/>
  <c r="P515" i="3"/>
  <c r="K515" i="3"/>
  <c r="L515" i="3"/>
  <c r="M515" i="3"/>
  <c r="N515" i="3"/>
  <c r="AO515" i="3"/>
  <c r="AP515" i="3"/>
  <c r="J515" i="3"/>
  <c r="I517" i="1"/>
  <c r="J516" i="1"/>
  <c r="G516" i="3"/>
  <c r="V516" i="1"/>
  <c r="Y516" i="1"/>
  <c r="Z516" i="1" s="1"/>
  <c r="G516" i="2"/>
  <c r="R516" i="1"/>
  <c r="O516" i="1"/>
  <c r="N516" i="1"/>
  <c r="S516" i="1"/>
  <c r="W516" i="1" s="1"/>
  <c r="J517" i="1" l="1"/>
  <c r="I518" i="1"/>
  <c r="V517" i="1"/>
  <c r="G517" i="3"/>
  <c r="Y517" i="1"/>
  <c r="Z517" i="1" s="1"/>
  <c r="G517" i="2"/>
  <c r="S517" i="1"/>
  <c r="W517" i="1" s="1"/>
  <c r="N517" i="1"/>
  <c r="O517" i="1"/>
  <c r="R517" i="1"/>
  <c r="AR516" i="3"/>
  <c r="AN516" i="3"/>
  <c r="AQ516" i="3"/>
  <c r="AM516" i="3"/>
  <c r="AL516" i="3"/>
  <c r="AI516" i="3"/>
  <c r="AK516" i="3"/>
  <c r="AJ516" i="3"/>
  <c r="AG516" i="3"/>
  <c r="AH516" i="3"/>
  <c r="AF516" i="3"/>
  <c r="AE516" i="3"/>
  <c r="AD516" i="3"/>
  <c r="AC516" i="3"/>
  <c r="AB516" i="3"/>
  <c r="Z516" i="3"/>
  <c r="X516" i="3"/>
  <c r="AA516" i="3"/>
  <c r="Y516" i="3"/>
  <c r="V516" i="3"/>
  <c r="W516" i="3"/>
  <c r="R516" i="3"/>
  <c r="T516" i="3"/>
  <c r="U516" i="3"/>
  <c r="O516" i="3"/>
  <c r="Q516" i="3"/>
  <c r="S516" i="3"/>
  <c r="M516" i="3"/>
  <c r="P516" i="3"/>
  <c r="N516" i="3"/>
  <c r="K516" i="3"/>
  <c r="L516" i="3"/>
  <c r="J516" i="3"/>
  <c r="AO516" i="3"/>
  <c r="AP516" i="3"/>
  <c r="AR516" i="2"/>
  <c r="AQ516" i="2"/>
  <c r="AN516" i="2"/>
  <c r="AM516" i="2"/>
  <c r="AJ516" i="2"/>
  <c r="AK516" i="2"/>
  <c r="AL516" i="2"/>
  <c r="AI516" i="2"/>
  <c r="AF516" i="2"/>
  <c r="AH516" i="2"/>
  <c r="AG516" i="2"/>
  <c r="AE516" i="2"/>
  <c r="AB516" i="2"/>
  <c r="AD516" i="2"/>
  <c r="AC516" i="2"/>
  <c r="AA516" i="2"/>
  <c r="Z516" i="2"/>
  <c r="Y516" i="2"/>
  <c r="V516" i="2"/>
  <c r="X516" i="2"/>
  <c r="W516" i="2"/>
  <c r="S516" i="2"/>
  <c r="U516" i="2"/>
  <c r="R516" i="2"/>
  <c r="T516" i="2"/>
  <c r="N516" i="2"/>
  <c r="Q516" i="2"/>
  <c r="P516" i="2"/>
  <c r="L516" i="2"/>
  <c r="O516" i="2"/>
  <c r="M516" i="2"/>
  <c r="AO516" i="2"/>
  <c r="K516" i="2"/>
  <c r="J516" i="2"/>
  <c r="AP516" i="2"/>
  <c r="L516" i="1"/>
  <c r="P516" i="1" s="1"/>
  <c r="AA516" i="1"/>
  <c r="AR517" i="2" l="1"/>
  <c r="AN517" i="2"/>
  <c r="AQ517" i="2"/>
  <c r="AM517" i="2"/>
  <c r="AJ517" i="2"/>
  <c r="AL517" i="2"/>
  <c r="AI517" i="2"/>
  <c r="AK517" i="2"/>
  <c r="AH517" i="2"/>
  <c r="AG517" i="2"/>
  <c r="AE517" i="2"/>
  <c r="AF517" i="2"/>
  <c r="AB517" i="2"/>
  <c r="AD517" i="2"/>
  <c r="AA517" i="2"/>
  <c r="AC517" i="2"/>
  <c r="Z517" i="2"/>
  <c r="Y517" i="2"/>
  <c r="V517" i="2"/>
  <c r="X517" i="2"/>
  <c r="W517" i="2"/>
  <c r="S517" i="2"/>
  <c r="U517" i="2"/>
  <c r="R517" i="2"/>
  <c r="T517" i="2"/>
  <c r="P517" i="2"/>
  <c r="N517" i="2"/>
  <c r="Q517" i="2"/>
  <c r="L517" i="2"/>
  <c r="O517" i="2"/>
  <c r="M517" i="2"/>
  <c r="J517" i="2"/>
  <c r="K517" i="2"/>
  <c r="AP517" i="2"/>
  <c r="AO517" i="2"/>
  <c r="AR517" i="3"/>
  <c r="AN517" i="3"/>
  <c r="AQ517" i="3"/>
  <c r="AM517" i="3"/>
  <c r="AL517" i="3"/>
  <c r="AK517" i="3"/>
  <c r="AJ517" i="3"/>
  <c r="AG517" i="3"/>
  <c r="AI517" i="3"/>
  <c r="AH517" i="3"/>
  <c r="AF517" i="3"/>
  <c r="AE517" i="3"/>
  <c r="AD517" i="3"/>
  <c r="AC517" i="3"/>
  <c r="AB517" i="3"/>
  <c r="Z517" i="3"/>
  <c r="X517" i="3"/>
  <c r="AA517" i="3"/>
  <c r="Y517" i="3"/>
  <c r="V517" i="3"/>
  <c r="W517" i="3"/>
  <c r="U517" i="3"/>
  <c r="S517" i="3"/>
  <c r="R517" i="3"/>
  <c r="T517" i="3"/>
  <c r="O517" i="3"/>
  <c r="Q517" i="3"/>
  <c r="P517" i="3"/>
  <c r="N517" i="3"/>
  <c r="K517" i="3"/>
  <c r="L517" i="3"/>
  <c r="M517" i="3"/>
  <c r="AP517" i="3"/>
  <c r="J517" i="3"/>
  <c r="AO517" i="3"/>
  <c r="L517" i="1"/>
  <c r="P517" i="1" s="1"/>
  <c r="AA517" i="1"/>
  <c r="J518" i="1"/>
  <c r="I519" i="1"/>
  <c r="V518" i="1"/>
  <c r="G518" i="3"/>
  <c r="G518" i="2"/>
  <c r="Y518" i="1"/>
  <c r="Z518" i="1" s="1"/>
  <c r="N518" i="1"/>
  <c r="R518" i="1"/>
  <c r="O518" i="1"/>
  <c r="S518" i="1"/>
  <c r="W518" i="1" s="1"/>
  <c r="L518" i="1" l="1"/>
  <c r="P518" i="1" s="1"/>
  <c r="AA518" i="1"/>
  <c r="I520" i="1"/>
  <c r="J519" i="1"/>
  <c r="V519" i="1"/>
  <c r="G519" i="3"/>
  <c r="Y519" i="1"/>
  <c r="Z519" i="1" s="1"/>
  <c r="G519" i="2"/>
  <c r="R519" i="1"/>
  <c r="S519" i="1"/>
  <c r="N519" i="1"/>
  <c r="O519" i="1"/>
  <c r="AR518" i="2"/>
  <c r="AQ518" i="2"/>
  <c r="AN518" i="2"/>
  <c r="AM518" i="2"/>
  <c r="AJ518" i="2"/>
  <c r="AL518" i="2"/>
  <c r="AK518" i="2"/>
  <c r="AH518" i="2"/>
  <c r="AI518" i="2"/>
  <c r="AF518" i="2"/>
  <c r="AG518" i="2"/>
  <c r="AE518" i="2"/>
  <c r="AD518" i="2"/>
  <c r="AA518" i="2"/>
  <c r="AB518" i="2"/>
  <c r="AC518" i="2"/>
  <c r="Z518" i="2"/>
  <c r="Y518" i="2"/>
  <c r="X518" i="2"/>
  <c r="W518" i="2"/>
  <c r="S518" i="2"/>
  <c r="U518" i="2"/>
  <c r="V518" i="2"/>
  <c r="P518" i="2"/>
  <c r="R518" i="2"/>
  <c r="T518" i="2"/>
  <c r="N518" i="2"/>
  <c r="Q518" i="2"/>
  <c r="L518" i="2"/>
  <c r="O518" i="2"/>
  <c r="M518" i="2"/>
  <c r="I518" i="2"/>
  <c r="K518" i="2"/>
  <c r="AP518" i="2"/>
  <c r="AO518" i="2"/>
  <c r="AQ518" i="3"/>
  <c r="AR518" i="3"/>
  <c r="AM518" i="3"/>
  <c r="AN518" i="3"/>
  <c r="AJ518" i="3"/>
  <c r="AL518" i="3"/>
  <c r="AK518" i="3"/>
  <c r="AG518" i="3"/>
  <c r="AI518" i="3"/>
  <c r="AF518" i="3"/>
  <c r="AH518" i="3"/>
  <c r="AE518" i="3"/>
  <c r="AD518" i="3"/>
  <c r="AC518" i="3"/>
  <c r="AB518" i="3"/>
  <c r="AA518" i="3"/>
  <c r="Z518" i="3"/>
  <c r="Y518" i="3"/>
  <c r="V518" i="3"/>
  <c r="X518" i="3"/>
  <c r="W518" i="3"/>
  <c r="U518" i="3"/>
  <c r="S518" i="3"/>
  <c r="T518" i="3"/>
  <c r="R518" i="3"/>
  <c r="N518" i="3"/>
  <c r="O518" i="3"/>
  <c r="Q518" i="3"/>
  <c r="P518" i="3"/>
  <c r="I518" i="3"/>
  <c r="L518" i="3"/>
  <c r="M518" i="3"/>
  <c r="AP518" i="3"/>
  <c r="AO518" i="3"/>
  <c r="K518" i="3"/>
  <c r="AR519" i="2" l="1"/>
  <c r="AQ519" i="2"/>
  <c r="AK519" i="2"/>
  <c r="AM519" i="2"/>
  <c r="AN519" i="2"/>
  <c r="AL519" i="2"/>
  <c r="AH519" i="2"/>
  <c r="AJ519" i="2"/>
  <c r="AI519" i="2"/>
  <c r="AG519" i="2"/>
  <c r="AF519" i="2"/>
  <c r="AD519" i="2"/>
  <c r="AB519" i="2"/>
  <c r="AE519" i="2"/>
  <c r="AC519" i="2"/>
  <c r="AA519" i="2"/>
  <c r="Z519" i="2"/>
  <c r="Y519" i="2"/>
  <c r="W519" i="2"/>
  <c r="X519" i="2"/>
  <c r="U519" i="2"/>
  <c r="V519" i="2"/>
  <c r="T519" i="2"/>
  <c r="S519" i="2"/>
  <c r="R519" i="2"/>
  <c r="P519" i="2"/>
  <c r="Q519" i="2"/>
  <c r="O519" i="2"/>
  <c r="M519" i="2"/>
  <c r="L519" i="2"/>
  <c r="N519" i="2"/>
  <c r="I519" i="2"/>
  <c r="K519" i="2"/>
  <c r="AO519" i="2"/>
  <c r="AP519" i="2"/>
  <c r="L519" i="1"/>
  <c r="P519" i="1" s="1"/>
  <c r="AA519" i="1"/>
  <c r="I521" i="1"/>
  <c r="J520" i="1"/>
  <c r="V520" i="1"/>
  <c r="G520" i="3"/>
  <c r="Y520" i="1"/>
  <c r="Z520" i="1" s="1"/>
  <c r="G520" i="2"/>
  <c r="S520" i="1"/>
  <c r="W520" i="1" s="1"/>
  <c r="O520" i="1"/>
  <c r="R520" i="1"/>
  <c r="N520" i="1"/>
  <c r="AQ519" i="3"/>
  <c r="AR519" i="3"/>
  <c r="AM519" i="3"/>
  <c r="AN519" i="3"/>
  <c r="AL519" i="3"/>
  <c r="AJ519" i="3"/>
  <c r="AK519" i="3"/>
  <c r="AG519" i="3"/>
  <c r="AI519" i="3"/>
  <c r="AF519" i="3"/>
  <c r="AH519" i="3"/>
  <c r="AB519" i="3"/>
  <c r="AE519" i="3"/>
  <c r="AD519" i="3"/>
  <c r="AC519" i="3"/>
  <c r="AA519" i="3"/>
  <c r="Y519" i="3"/>
  <c r="Z519" i="3"/>
  <c r="V519" i="3"/>
  <c r="X519" i="3"/>
  <c r="W519" i="3"/>
  <c r="U519" i="3"/>
  <c r="S519" i="3"/>
  <c r="R519" i="3"/>
  <c r="T519" i="3"/>
  <c r="P519" i="3"/>
  <c r="N519" i="3"/>
  <c r="Q519" i="3"/>
  <c r="O519" i="3"/>
  <c r="K519" i="3"/>
  <c r="L519" i="3"/>
  <c r="M519" i="3"/>
  <c r="AP519" i="3"/>
  <c r="AO519" i="3"/>
  <c r="I519" i="3"/>
  <c r="W519" i="1"/>
  <c r="AR520" i="2" l="1"/>
  <c r="AQ520" i="2"/>
  <c r="AL520" i="2"/>
  <c r="AM520" i="2"/>
  <c r="AN520" i="2"/>
  <c r="AK520" i="2"/>
  <c r="AH520" i="2"/>
  <c r="AG520" i="2"/>
  <c r="AJ520" i="2"/>
  <c r="AI520" i="2"/>
  <c r="AF520" i="2"/>
  <c r="AD520" i="2"/>
  <c r="AE520" i="2"/>
  <c r="AC520" i="2"/>
  <c r="AA520" i="2"/>
  <c r="AB520" i="2"/>
  <c r="Z520" i="2"/>
  <c r="W520" i="2"/>
  <c r="Y520" i="2"/>
  <c r="X520" i="2"/>
  <c r="U520" i="2"/>
  <c r="T520" i="2"/>
  <c r="V520" i="2"/>
  <c r="S520" i="2"/>
  <c r="P520" i="2"/>
  <c r="R520" i="2"/>
  <c r="Q520" i="2"/>
  <c r="O520" i="2"/>
  <c r="M520" i="2"/>
  <c r="N520" i="2"/>
  <c r="K520" i="2"/>
  <c r="I520" i="2"/>
  <c r="L520" i="2"/>
  <c r="AO520" i="2"/>
  <c r="AP520" i="2"/>
  <c r="L520" i="1"/>
  <c r="P520" i="1" s="1"/>
  <c r="AA520" i="1"/>
  <c r="AQ520" i="3"/>
  <c r="AR520" i="3"/>
  <c r="AN520" i="3"/>
  <c r="AM520" i="3"/>
  <c r="AJ520" i="3"/>
  <c r="AL520" i="3"/>
  <c r="AK520" i="3"/>
  <c r="AI520" i="3"/>
  <c r="AH520" i="3"/>
  <c r="AG520" i="3"/>
  <c r="AF520" i="3"/>
  <c r="AB520" i="3"/>
  <c r="AE520" i="3"/>
  <c r="AD520" i="3"/>
  <c r="AA520" i="3"/>
  <c r="AC520" i="3"/>
  <c r="Y520" i="3"/>
  <c r="Z520" i="3"/>
  <c r="W520" i="3"/>
  <c r="X520" i="3"/>
  <c r="U520" i="3"/>
  <c r="S520" i="3"/>
  <c r="V520" i="3"/>
  <c r="P520" i="3"/>
  <c r="R520" i="3"/>
  <c r="T520" i="3"/>
  <c r="L520" i="3"/>
  <c r="N520" i="3"/>
  <c r="O520" i="3"/>
  <c r="Q520" i="3"/>
  <c r="M520" i="3"/>
  <c r="K520" i="3"/>
  <c r="I520" i="3"/>
  <c r="AP520" i="3"/>
  <c r="AO520" i="3"/>
  <c r="I522" i="1"/>
  <c r="J521" i="1"/>
  <c r="G521" i="3"/>
  <c r="V521" i="1"/>
  <c r="G521" i="2"/>
  <c r="Y521" i="1"/>
  <c r="Z521" i="1" s="1"/>
  <c r="O521" i="1"/>
  <c r="R521" i="1"/>
  <c r="N521" i="1"/>
  <c r="S521" i="1"/>
  <c r="W521" i="1" s="1"/>
  <c r="J522" i="1" l="1"/>
  <c r="I523" i="1"/>
  <c r="G522" i="3"/>
  <c r="V522" i="1"/>
  <c r="Y522" i="1"/>
  <c r="Z522" i="1" s="1"/>
  <c r="G522" i="2"/>
  <c r="S522" i="1"/>
  <c r="W522" i="1" s="1"/>
  <c r="R522" i="1"/>
  <c r="N522" i="1"/>
  <c r="O522" i="1"/>
  <c r="AR521" i="2"/>
  <c r="AQ521" i="2"/>
  <c r="AL521" i="2"/>
  <c r="AN521" i="2"/>
  <c r="AM521" i="2"/>
  <c r="AK521" i="2"/>
  <c r="AH521" i="2"/>
  <c r="AJ521" i="2"/>
  <c r="AG521" i="2"/>
  <c r="AI521" i="2"/>
  <c r="AD521" i="2"/>
  <c r="AF521" i="2"/>
  <c r="AC521" i="2"/>
  <c r="AE521" i="2"/>
  <c r="AB521" i="2"/>
  <c r="AA521" i="2"/>
  <c r="X521" i="2"/>
  <c r="U521" i="2"/>
  <c r="W521" i="2"/>
  <c r="Y521" i="2"/>
  <c r="Z521" i="2"/>
  <c r="T521" i="2"/>
  <c r="V521" i="2"/>
  <c r="S521" i="2"/>
  <c r="R521" i="2"/>
  <c r="Q521" i="2"/>
  <c r="O521" i="2"/>
  <c r="P521" i="2"/>
  <c r="M521" i="2"/>
  <c r="L521" i="2"/>
  <c r="N521" i="2"/>
  <c r="K521" i="2"/>
  <c r="I521" i="2"/>
  <c r="AP521" i="2"/>
  <c r="AO521" i="2"/>
  <c r="L521" i="1"/>
  <c r="P521" i="1" s="1"/>
  <c r="AA521" i="1"/>
  <c r="AQ521" i="3"/>
  <c r="AR521" i="3"/>
  <c r="AN521" i="3"/>
  <c r="AL521" i="3"/>
  <c r="AK521" i="3"/>
  <c r="AM521" i="3"/>
  <c r="AH521" i="3"/>
  <c r="AJ521" i="3"/>
  <c r="AI521" i="3"/>
  <c r="AG521" i="3"/>
  <c r="AF521" i="3"/>
  <c r="AB521" i="3"/>
  <c r="AE521" i="3"/>
  <c r="AD521" i="3"/>
  <c r="AC521" i="3"/>
  <c r="AA521" i="3"/>
  <c r="W521" i="3"/>
  <c r="Y521" i="3"/>
  <c r="Z521" i="3"/>
  <c r="X521" i="3"/>
  <c r="U521" i="3"/>
  <c r="V521" i="3"/>
  <c r="T521" i="3"/>
  <c r="R521" i="3"/>
  <c r="S521" i="3"/>
  <c r="O521" i="3"/>
  <c r="Q521" i="3"/>
  <c r="P521" i="3"/>
  <c r="N521" i="3"/>
  <c r="M521" i="3"/>
  <c r="L521" i="3"/>
  <c r="AO521" i="3"/>
  <c r="I521" i="3"/>
  <c r="AP521" i="3"/>
  <c r="K521" i="3"/>
  <c r="L522" i="1" l="1"/>
  <c r="P522" i="1" s="1"/>
  <c r="AA522" i="1"/>
  <c r="AR522" i="2"/>
  <c r="AQ522" i="2"/>
  <c r="AN522" i="2"/>
  <c r="AL522" i="2"/>
  <c r="AM522" i="2"/>
  <c r="AI522" i="2"/>
  <c r="AK522" i="2"/>
  <c r="AJ522" i="2"/>
  <c r="AG522" i="2"/>
  <c r="AH522" i="2"/>
  <c r="AF522" i="2"/>
  <c r="AC522" i="2"/>
  <c r="AD522" i="2"/>
  <c r="AE522" i="2"/>
  <c r="AB522" i="2"/>
  <c r="Z522" i="2"/>
  <c r="AA522" i="2"/>
  <c r="X522" i="2"/>
  <c r="U522" i="2"/>
  <c r="W522" i="2"/>
  <c r="Y522" i="2"/>
  <c r="V522" i="2"/>
  <c r="T522" i="2"/>
  <c r="Q522" i="2"/>
  <c r="S522" i="2"/>
  <c r="R522" i="2"/>
  <c r="P522" i="2"/>
  <c r="M522" i="2"/>
  <c r="O522" i="2"/>
  <c r="K522" i="2"/>
  <c r="L522" i="2"/>
  <c r="N522" i="2"/>
  <c r="AP522" i="2"/>
  <c r="I522" i="2"/>
  <c r="AO522" i="2"/>
  <c r="AR522" i="3"/>
  <c r="AQ522" i="3"/>
  <c r="AL522" i="3"/>
  <c r="AN522" i="3"/>
  <c r="AM522" i="3"/>
  <c r="AK522" i="3"/>
  <c r="AI522" i="3"/>
  <c r="AH522" i="3"/>
  <c r="AJ522" i="3"/>
  <c r="AG522" i="3"/>
  <c r="AF522" i="3"/>
  <c r="AE522" i="3"/>
  <c r="AD522" i="3"/>
  <c r="AC522" i="3"/>
  <c r="AB522" i="3"/>
  <c r="AA522" i="3"/>
  <c r="Y522" i="3"/>
  <c r="Z522" i="3"/>
  <c r="W522" i="3"/>
  <c r="X522" i="3"/>
  <c r="V522" i="3"/>
  <c r="U522" i="3"/>
  <c r="T522" i="3"/>
  <c r="P522" i="3"/>
  <c r="R522" i="3"/>
  <c r="S522" i="3"/>
  <c r="O522" i="3"/>
  <c r="Q522" i="3"/>
  <c r="N522" i="3"/>
  <c r="M522" i="3"/>
  <c r="L522" i="3"/>
  <c r="I522" i="3"/>
  <c r="AP522" i="3"/>
  <c r="AO522" i="3"/>
  <c r="K522" i="3"/>
  <c r="J523" i="1"/>
  <c r="I524" i="1"/>
  <c r="V523" i="1"/>
  <c r="G523" i="3"/>
  <c r="Y523" i="1"/>
  <c r="Z523" i="1" s="1"/>
  <c r="G523" i="2"/>
  <c r="N523" i="1"/>
  <c r="O523" i="1"/>
  <c r="R523" i="1"/>
  <c r="S523" i="1"/>
  <c r="W523" i="1" s="1"/>
  <c r="L523" i="1" l="1"/>
  <c r="P523" i="1" s="1"/>
  <c r="AA523" i="1"/>
  <c r="I525" i="1"/>
  <c r="J524" i="1"/>
  <c r="V524" i="1"/>
  <c r="G524" i="3"/>
  <c r="Y524" i="1"/>
  <c r="Z524" i="1" s="1"/>
  <c r="G524" i="2"/>
  <c r="O524" i="1"/>
  <c r="S524" i="1"/>
  <c r="N524" i="1"/>
  <c r="R524" i="1"/>
  <c r="AQ523" i="2"/>
  <c r="AR523" i="2"/>
  <c r="AN523" i="2"/>
  <c r="AM523" i="2"/>
  <c r="AL523" i="2"/>
  <c r="AK523" i="2"/>
  <c r="AJ523" i="2"/>
  <c r="AI523" i="2"/>
  <c r="AH523" i="2"/>
  <c r="AG523" i="2"/>
  <c r="AF523" i="2"/>
  <c r="AC523" i="2"/>
  <c r="AD523" i="2"/>
  <c r="AE523" i="2"/>
  <c r="AB523" i="2"/>
  <c r="X523" i="2"/>
  <c r="Z523" i="2"/>
  <c r="AA523" i="2"/>
  <c r="Y523" i="2"/>
  <c r="V523" i="2"/>
  <c r="W523" i="2"/>
  <c r="T523" i="2"/>
  <c r="U523" i="2"/>
  <c r="Q523" i="2"/>
  <c r="S523" i="2"/>
  <c r="R523" i="2"/>
  <c r="P523" i="2"/>
  <c r="O523" i="2"/>
  <c r="N523" i="2"/>
  <c r="K523" i="2"/>
  <c r="M523" i="2"/>
  <c r="L523" i="2"/>
  <c r="I523" i="2"/>
  <c r="AP523" i="2"/>
  <c r="AO523" i="2"/>
  <c r="AR523" i="3"/>
  <c r="AQ523" i="3"/>
  <c r="AM523" i="3"/>
  <c r="AN523" i="3"/>
  <c r="AL523" i="3"/>
  <c r="AK523" i="3"/>
  <c r="AI523" i="3"/>
  <c r="AH523" i="3"/>
  <c r="AJ523" i="3"/>
  <c r="AE523" i="3"/>
  <c r="AD523" i="3"/>
  <c r="AG523" i="3"/>
  <c r="AF523" i="3"/>
  <c r="AC523" i="3"/>
  <c r="AB523" i="3"/>
  <c r="AA523" i="3"/>
  <c r="W523" i="3"/>
  <c r="Z523" i="3"/>
  <c r="Y523" i="3"/>
  <c r="U523" i="3"/>
  <c r="X523" i="3"/>
  <c r="T523" i="3"/>
  <c r="V523" i="3"/>
  <c r="R523" i="3"/>
  <c r="S523" i="3"/>
  <c r="Q523" i="3"/>
  <c r="P523" i="3"/>
  <c r="O523" i="3"/>
  <c r="M523" i="3"/>
  <c r="N523" i="3"/>
  <c r="L523" i="3"/>
  <c r="K523" i="3"/>
  <c r="I523" i="3"/>
  <c r="AP523" i="3"/>
  <c r="AO523" i="3"/>
  <c r="AQ524" i="2" l="1"/>
  <c r="AR524" i="2"/>
  <c r="AM524" i="2"/>
  <c r="AN524" i="2"/>
  <c r="AL524" i="2"/>
  <c r="AK524" i="2"/>
  <c r="AI524" i="2"/>
  <c r="AJ524" i="2"/>
  <c r="AH524" i="2"/>
  <c r="AF524" i="2"/>
  <c r="AG524" i="2"/>
  <c r="AE524" i="2"/>
  <c r="AD524" i="2"/>
  <c r="AB524" i="2"/>
  <c r="AC524" i="2"/>
  <c r="Z524" i="2"/>
  <c r="AA524" i="2"/>
  <c r="X524" i="2"/>
  <c r="W524" i="2"/>
  <c r="Y524" i="2"/>
  <c r="V524" i="2"/>
  <c r="U524" i="2"/>
  <c r="Q524" i="2"/>
  <c r="T524" i="2"/>
  <c r="S524" i="2"/>
  <c r="R524" i="2"/>
  <c r="P524" i="2"/>
  <c r="M524" i="2"/>
  <c r="O524" i="2"/>
  <c r="N524" i="2"/>
  <c r="K524" i="2"/>
  <c r="L524" i="2"/>
  <c r="AO524" i="2"/>
  <c r="AP524" i="2"/>
  <c r="I524" i="2"/>
  <c r="AR524" i="3"/>
  <c r="AN524" i="3"/>
  <c r="AM524" i="3"/>
  <c r="AQ524" i="3"/>
  <c r="AL524" i="3"/>
  <c r="AK524" i="3"/>
  <c r="AI524" i="3"/>
  <c r="AJ524" i="3"/>
  <c r="AE524" i="3"/>
  <c r="AH524" i="3"/>
  <c r="AG524" i="3"/>
  <c r="AF524" i="3"/>
  <c r="AC524" i="3"/>
  <c r="AD524" i="3"/>
  <c r="AB524" i="3"/>
  <c r="Z524" i="3"/>
  <c r="AA524" i="3"/>
  <c r="Y524" i="3"/>
  <c r="X524" i="3"/>
  <c r="W524" i="3"/>
  <c r="U524" i="3"/>
  <c r="R524" i="3"/>
  <c r="T524" i="3"/>
  <c r="V524" i="3"/>
  <c r="Q524" i="3"/>
  <c r="S524" i="3"/>
  <c r="M524" i="3"/>
  <c r="P524" i="3"/>
  <c r="O524" i="3"/>
  <c r="L524" i="3"/>
  <c r="K524" i="3"/>
  <c r="N524" i="3"/>
  <c r="I524" i="3"/>
  <c r="AP524" i="3"/>
  <c r="AO524" i="3"/>
  <c r="L524" i="1"/>
  <c r="P524" i="1" s="1"/>
  <c r="AA524" i="1"/>
  <c r="J525" i="1"/>
  <c r="I526" i="1"/>
  <c r="V525" i="1"/>
  <c r="G525" i="3"/>
  <c r="Y525" i="1"/>
  <c r="Z525" i="1" s="1"/>
  <c r="G525" i="2"/>
  <c r="S525" i="1"/>
  <c r="W525" i="1" s="1"/>
  <c r="N525" i="1"/>
  <c r="O525" i="1"/>
  <c r="R525" i="1"/>
  <c r="W524" i="1"/>
  <c r="J526" i="1" l="1"/>
  <c r="I527" i="1"/>
  <c r="G526" i="3"/>
  <c r="V526" i="1"/>
  <c r="Y526" i="1"/>
  <c r="Z526" i="1" s="1"/>
  <c r="G526" i="2"/>
  <c r="R526" i="1"/>
  <c r="O526" i="1"/>
  <c r="N526" i="1"/>
  <c r="S526" i="1"/>
  <c r="AQ525" i="2"/>
  <c r="AR525" i="2"/>
  <c r="AN525" i="2"/>
  <c r="AM525" i="2"/>
  <c r="AL525" i="2"/>
  <c r="AK525" i="2"/>
  <c r="AJ525" i="2"/>
  <c r="AH525" i="2"/>
  <c r="AI525" i="2"/>
  <c r="AF525" i="2"/>
  <c r="AE525" i="2"/>
  <c r="AG525" i="2"/>
  <c r="AD525" i="2"/>
  <c r="AB525" i="2"/>
  <c r="AC525" i="2"/>
  <c r="X525" i="2"/>
  <c r="Z525" i="2"/>
  <c r="AA525" i="2"/>
  <c r="Y525" i="2"/>
  <c r="V525" i="2"/>
  <c r="W525" i="2"/>
  <c r="U525" i="2"/>
  <c r="S525" i="2"/>
  <c r="T525" i="2"/>
  <c r="R525" i="2"/>
  <c r="Q525" i="2"/>
  <c r="P525" i="2"/>
  <c r="N525" i="2"/>
  <c r="O525" i="2"/>
  <c r="M525" i="2"/>
  <c r="L525" i="2"/>
  <c r="K525" i="2"/>
  <c r="AO525" i="2"/>
  <c r="I525" i="2"/>
  <c r="AP525" i="2"/>
  <c r="AR525" i="3"/>
  <c r="AN525" i="3"/>
  <c r="AQ525" i="3"/>
  <c r="AM525" i="3"/>
  <c r="AK525" i="3"/>
  <c r="AI525" i="3"/>
  <c r="AL525" i="3"/>
  <c r="AJ525" i="3"/>
  <c r="AH525" i="3"/>
  <c r="AF525" i="3"/>
  <c r="AE525" i="3"/>
  <c r="AD525" i="3"/>
  <c r="AG525" i="3"/>
  <c r="AC525" i="3"/>
  <c r="AB525" i="3"/>
  <c r="X525" i="3"/>
  <c r="AA525" i="3"/>
  <c r="Y525" i="3"/>
  <c r="Z525" i="3"/>
  <c r="W525" i="3"/>
  <c r="U525" i="3"/>
  <c r="V525" i="3"/>
  <c r="R525" i="3"/>
  <c r="T525" i="3"/>
  <c r="S525" i="3"/>
  <c r="Q525" i="3"/>
  <c r="O525" i="3"/>
  <c r="P525" i="3"/>
  <c r="L525" i="3"/>
  <c r="K525" i="3"/>
  <c r="M525" i="3"/>
  <c r="N525" i="3"/>
  <c r="I525" i="3"/>
  <c r="AP525" i="3"/>
  <c r="AO525" i="3"/>
  <c r="L525" i="1"/>
  <c r="P525" i="1" s="1"/>
  <c r="AA525" i="1"/>
  <c r="AR526" i="2" l="1"/>
  <c r="AQ526" i="2"/>
  <c r="AN526" i="2"/>
  <c r="AM526" i="2"/>
  <c r="AJ526" i="2"/>
  <c r="AL526" i="2"/>
  <c r="AK526" i="2"/>
  <c r="AI526" i="2"/>
  <c r="AF526" i="2"/>
  <c r="AH526" i="2"/>
  <c r="AE526" i="2"/>
  <c r="AG526" i="2"/>
  <c r="AD526" i="2"/>
  <c r="AB526" i="2"/>
  <c r="AC526" i="2"/>
  <c r="AA526" i="2"/>
  <c r="Z526" i="2"/>
  <c r="Y526" i="2"/>
  <c r="V526" i="2"/>
  <c r="X526" i="2"/>
  <c r="W526" i="2"/>
  <c r="U526" i="2"/>
  <c r="S526" i="2"/>
  <c r="R526" i="2"/>
  <c r="T526" i="2"/>
  <c r="N526" i="2"/>
  <c r="Q526" i="2"/>
  <c r="P526" i="2"/>
  <c r="L526" i="2"/>
  <c r="O526" i="2"/>
  <c r="I526" i="2"/>
  <c r="M526" i="2"/>
  <c r="K526" i="2"/>
  <c r="AO526" i="2"/>
  <c r="AP526" i="2"/>
  <c r="L526" i="1"/>
  <c r="P526" i="1" s="1"/>
  <c r="AA526" i="1"/>
  <c r="AQ526" i="3"/>
  <c r="AN526" i="3"/>
  <c r="AR526" i="3"/>
  <c r="AM526" i="3"/>
  <c r="AL526" i="3"/>
  <c r="AK526" i="3"/>
  <c r="AI526" i="3"/>
  <c r="AJ526" i="3"/>
  <c r="AG526" i="3"/>
  <c r="AH526" i="3"/>
  <c r="AF526" i="3"/>
  <c r="AE526" i="3"/>
  <c r="AC526" i="3"/>
  <c r="AD526" i="3"/>
  <c r="Z526" i="3"/>
  <c r="AB526" i="3"/>
  <c r="X526" i="3"/>
  <c r="AA526" i="3"/>
  <c r="Y526" i="3"/>
  <c r="W526" i="3"/>
  <c r="V526" i="3"/>
  <c r="R526" i="3"/>
  <c r="U526" i="3"/>
  <c r="T526" i="3"/>
  <c r="O526" i="3"/>
  <c r="S526" i="3"/>
  <c r="Q526" i="3"/>
  <c r="M526" i="3"/>
  <c r="P526" i="3"/>
  <c r="I526" i="3"/>
  <c r="L526" i="3"/>
  <c r="K526" i="3"/>
  <c r="N526" i="3"/>
  <c r="AO526" i="3"/>
  <c r="AP526" i="3"/>
  <c r="I528" i="1"/>
  <c r="J527" i="1"/>
  <c r="G527" i="3"/>
  <c r="V527" i="1"/>
  <c r="Y527" i="1"/>
  <c r="Z527" i="1" s="1"/>
  <c r="G527" i="2"/>
  <c r="O527" i="1"/>
  <c r="S527" i="1"/>
  <c r="W527" i="1" s="1"/>
  <c r="N527" i="1"/>
  <c r="R527" i="1"/>
  <c r="W526" i="1"/>
  <c r="AR527" i="3" l="1"/>
  <c r="AQ527" i="3"/>
  <c r="AN527" i="3"/>
  <c r="AL527" i="3"/>
  <c r="AM527" i="3"/>
  <c r="AK527" i="3"/>
  <c r="AJ527" i="3"/>
  <c r="AG527" i="3"/>
  <c r="AI527" i="3"/>
  <c r="AH527" i="3"/>
  <c r="AF527" i="3"/>
  <c r="AD527" i="3"/>
  <c r="AC527" i="3"/>
  <c r="AE527" i="3"/>
  <c r="AB527" i="3"/>
  <c r="Z527" i="3"/>
  <c r="X527" i="3"/>
  <c r="AA527" i="3"/>
  <c r="Y527" i="3"/>
  <c r="V527" i="3"/>
  <c r="W527" i="3"/>
  <c r="U527" i="3"/>
  <c r="S527" i="3"/>
  <c r="T527" i="3"/>
  <c r="R527" i="3"/>
  <c r="O527" i="3"/>
  <c r="P527" i="3"/>
  <c r="Q527" i="3"/>
  <c r="N527" i="3"/>
  <c r="L527" i="3"/>
  <c r="K527" i="3"/>
  <c r="M527" i="3"/>
  <c r="AP527" i="3"/>
  <c r="AO527" i="3"/>
  <c r="I527" i="3"/>
  <c r="AR527" i="2"/>
  <c r="AN527" i="2"/>
  <c r="AQ527" i="2"/>
  <c r="AM527" i="2"/>
  <c r="AJ527" i="2"/>
  <c r="AL527" i="2"/>
  <c r="AK527" i="2"/>
  <c r="AI527" i="2"/>
  <c r="AH527" i="2"/>
  <c r="AF527" i="2"/>
  <c r="AE527" i="2"/>
  <c r="AG527" i="2"/>
  <c r="AB527" i="2"/>
  <c r="AA527" i="2"/>
  <c r="AC527" i="2"/>
  <c r="AD527" i="2"/>
  <c r="Y527" i="2"/>
  <c r="Z527" i="2"/>
  <c r="V527" i="2"/>
  <c r="X527" i="2"/>
  <c r="W527" i="2"/>
  <c r="U527" i="2"/>
  <c r="S527" i="2"/>
  <c r="R527" i="2"/>
  <c r="T527" i="2"/>
  <c r="P527" i="2"/>
  <c r="N527" i="2"/>
  <c r="Q527" i="2"/>
  <c r="L527" i="2"/>
  <c r="O527" i="2"/>
  <c r="M527" i="2"/>
  <c r="K527" i="2"/>
  <c r="I527" i="2"/>
  <c r="AO527" i="2"/>
  <c r="AP527" i="2"/>
  <c r="J528" i="1"/>
  <c r="I529" i="1"/>
  <c r="V528" i="1"/>
  <c r="G528" i="3"/>
  <c r="Y528" i="1"/>
  <c r="Z528" i="1" s="1"/>
  <c r="G528" i="2"/>
  <c r="N528" i="1"/>
  <c r="R528" i="1"/>
  <c r="S528" i="1"/>
  <c r="O528" i="1"/>
  <c r="L527" i="1"/>
  <c r="P527" i="1" s="1"/>
  <c r="AA527" i="1"/>
  <c r="AQ528" i="3" l="1"/>
  <c r="AR528" i="3"/>
  <c r="AN528" i="3"/>
  <c r="AL528" i="3"/>
  <c r="AM528" i="3"/>
  <c r="AJ528" i="3"/>
  <c r="AK528" i="3"/>
  <c r="AG528" i="3"/>
  <c r="AI528" i="3"/>
  <c r="AH528" i="3"/>
  <c r="AF528" i="3"/>
  <c r="AD528" i="3"/>
  <c r="AC528" i="3"/>
  <c r="AE528" i="3"/>
  <c r="AB528" i="3"/>
  <c r="AA528" i="3"/>
  <c r="Z528" i="3"/>
  <c r="Y528" i="3"/>
  <c r="V528" i="3"/>
  <c r="X528" i="3"/>
  <c r="W528" i="3"/>
  <c r="S528" i="3"/>
  <c r="U528" i="3"/>
  <c r="T528" i="3"/>
  <c r="R528" i="3"/>
  <c r="Q528" i="3"/>
  <c r="N528" i="3"/>
  <c r="O528" i="3"/>
  <c r="P528" i="3"/>
  <c r="I528" i="3"/>
  <c r="L528" i="3"/>
  <c r="M528" i="3"/>
  <c r="AP528" i="3"/>
  <c r="AO528" i="3"/>
  <c r="J528" i="3"/>
  <c r="L528" i="1"/>
  <c r="P528" i="1" s="1"/>
  <c r="AA528" i="1"/>
  <c r="I530" i="1"/>
  <c r="J529" i="1"/>
  <c r="V529" i="1"/>
  <c r="G529" i="3"/>
  <c r="Y529" i="1"/>
  <c r="Z529" i="1" s="1"/>
  <c r="G529" i="2"/>
  <c r="R529" i="1"/>
  <c r="S529" i="1"/>
  <c r="W529" i="1" s="1"/>
  <c r="N529" i="1"/>
  <c r="O529" i="1"/>
  <c r="W528" i="1"/>
  <c r="AR528" i="2"/>
  <c r="AN528" i="2"/>
  <c r="AQ528" i="2"/>
  <c r="AM528" i="2"/>
  <c r="AJ528" i="2"/>
  <c r="AL528" i="2"/>
  <c r="AI528" i="2"/>
  <c r="AK528" i="2"/>
  <c r="AH528" i="2"/>
  <c r="AF528" i="2"/>
  <c r="AG528" i="2"/>
  <c r="AE528" i="2"/>
  <c r="AD528" i="2"/>
  <c r="AA528" i="2"/>
  <c r="AB528" i="2"/>
  <c r="AC528" i="2"/>
  <c r="Y528" i="2"/>
  <c r="Z528" i="2"/>
  <c r="X528" i="2"/>
  <c r="W528" i="2"/>
  <c r="V528" i="2"/>
  <c r="U528" i="2"/>
  <c r="S528" i="2"/>
  <c r="T528" i="2"/>
  <c r="P528" i="2"/>
  <c r="R528" i="2"/>
  <c r="N528" i="2"/>
  <c r="Q528" i="2"/>
  <c r="J528" i="2"/>
  <c r="L528" i="2"/>
  <c r="O528" i="2"/>
  <c r="M528" i="2"/>
  <c r="I528" i="2"/>
  <c r="AO528" i="2"/>
  <c r="AP528" i="2"/>
  <c r="AR529" i="2" l="1"/>
  <c r="AQ529" i="2"/>
  <c r="AK529" i="2"/>
  <c r="AN529" i="2"/>
  <c r="AM529" i="2"/>
  <c r="AL529" i="2"/>
  <c r="AH529" i="2"/>
  <c r="AI529" i="2"/>
  <c r="AJ529" i="2"/>
  <c r="AG529" i="2"/>
  <c r="AF529" i="2"/>
  <c r="AE529" i="2"/>
  <c r="AB529" i="2"/>
  <c r="AD529" i="2"/>
  <c r="AA529" i="2"/>
  <c r="AC529" i="2"/>
  <c r="Z529" i="2"/>
  <c r="Y529" i="2"/>
  <c r="W529" i="2"/>
  <c r="X529" i="2"/>
  <c r="V529" i="2"/>
  <c r="U529" i="2"/>
  <c r="T529" i="2"/>
  <c r="R529" i="2"/>
  <c r="S529" i="2"/>
  <c r="Q529" i="2"/>
  <c r="P529" i="2"/>
  <c r="O529" i="2"/>
  <c r="N529" i="2"/>
  <c r="L529" i="2"/>
  <c r="M529" i="2"/>
  <c r="J529" i="2"/>
  <c r="I529" i="2"/>
  <c r="AP529" i="2"/>
  <c r="AO529" i="2"/>
  <c r="AQ529" i="3"/>
  <c r="AR529" i="3"/>
  <c r="AN529" i="3"/>
  <c r="AL529" i="3"/>
  <c r="AM529" i="3"/>
  <c r="AJ529" i="3"/>
  <c r="AK529" i="3"/>
  <c r="AG529" i="3"/>
  <c r="AI529" i="3"/>
  <c r="AH529" i="3"/>
  <c r="AF529" i="3"/>
  <c r="AB529" i="3"/>
  <c r="AD529" i="3"/>
  <c r="AC529" i="3"/>
  <c r="AE529" i="3"/>
  <c r="AA529" i="3"/>
  <c r="Y529" i="3"/>
  <c r="Z529" i="3"/>
  <c r="V529" i="3"/>
  <c r="X529" i="3"/>
  <c r="W529" i="3"/>
  <c r="S529" i="3"/>
  <c r="U529" i="3"/>
  <c r="R529" i="3"/>
  <c r="T529" i="3"/>
  <c r="P529" i="3"/>
  <c r="Q529" i="3"/>
  <c r="N529" i="3"/>
  <c r="O529" i="3"/>
  <c r="L529" i="3"/>
  <c r="M529" i="3"/>
  <c r="J529" i="3"/>
  <c r="AP529" i="3"/>
  <c r="AO529" i="3"/>
  <c r="I529" i="3"/>
  <c r="L529" i="1"/>
  <c r="P529" i="1" s="1"/>
  <c r="AA529" i="1"/>
  <c r="I531" i="1"/>
  <c r="J530" i="1"/>
  <c r="G530" i="3"/>
  <c r="Y530" i="1"/>
  <c r="Z530" i="1" s="1"/>
  <c r="V530" i="1"/>
  <c r="G530" i="2"/>
  <c r="S530" i="1"/>
  <c r="W530" i="1" s="1"/>
  <c r="N530" i="1"/>
  <c r="R530" i="1"/>
  <c r="O530" i="1"/>
  <c r="J531" i="1" l="1"/>
  <c r="I532" i="1"/>
  <c r="V531" i="1"/>
  <c r="G531" i="3"/>
  <c r="Y531" i="1"/>
  <c r="Z531" i="1" s="1"/>
  <c r="G531" i="2"/>
  <c r="O531" i="1"/>
  <c r="R531" i="1"/>
  <c r="N531" i="1"/>
  <c r="S531" i="1"/>
  <c r="AR530" i="2"/>
  <c r="AQ530" i="2"/>
  <c r="AL530" i="2"/>
  <c r="AN530" i="2"/>
  <c r="AM530" i="2"/>
  <c r="AH530" i="2"/>
  <c r="AK530" i="2"/>
  <c r="AJ530" i="2"/>
  <c r="AG530" i="2"/>
  <c r="AI530" i="2"/>
  <c r="AF530" i="2"/>
  <c r="AD530" i="2"/>
  <c r="AE530" i="2"/>
  <c r="AC530" i="2"/>
  <c r="AB530" i="2"/>
  <c r="AA530" i="2"/>
  <c r="Z530" i="2"/>
  <c r="Y530" i="2"/>
  <c r="W530" i="2"/>
  <c r="X530" i="2"/>
  <c r="U530" i="2"/>
  <c r="T530" i="2"/>
  <c r="V530" i="2"/>
  <c r="P530" i="2"/>
  <c r="R530" i="2"/>
  <c r="S530" i="2"/>
  <c r="O530" i="2"/>
  <c r="Q530" i="2"/>
  <c r="J530" i="2"/>
  <c r="N530" i="2"/>
  <c r="M530" i="2"/>
  <c r="I530" i="2"/>
  <c r="L530" i="2"/>
  <c r="AP530" i="2"/>
  <c r="AO530" i="2"/>
  <c r="L530" i="1"/>
  <c r="P530" i="1" s="1"/>
  <c r="AA530" i="1"/>
  <c r="AQ530" i="3"/>
  <c r="AR530" i="3"/>
  <c r="AN530" i="3"/>
  <c r="AM530" i="3"/>
  <c r="AL530" i="3"/>
  <c r="AJ530" i="3"/>
  <c r="AK530" i="3"/>
  <c r="AH530" i="3"/>
  <c r="AI530" i="3"/>
  <c r="AF530" i="3"/>
  <c r="AG530" i="3"/>
  <c r="AE530" i="3"/>
  <c r="AB530" i="3"/>
  <c r="AD530" i="3"/>
  <c r="AA530" i="3"/>
  <c r="AC530" i="3"/>
  <c r="Y530" i="3"/>
  <c r="Z530" i="3"/>
  <c r="W530" i="3"/>
  <c r="X530" i="3"/>
  <c r="V530" i="3"/>
  <c r="S530" i="3"/>
  <c r="U530" i="3"/>
  <c r="P530" i="3"/>
  <c r="R530" i="3"/>
  <c r="T530" i="3"/>
  <c r="L530" i="3"/>
  <c r="Q530" i="3"/>
  <c r="N530" i="3"/>
  <c r="J530" i="3"/>
  <c r="O530" i="3"/>
  <c r="M530" i="3"/>
  <c r="AP530" i="3"/>
  <c r="AO530" i="3"/>
  <c r="I530" i="3"/>
  <c r="AR531" i="2" l="1"/>
  <c r="AQ531" i="2"/>
  <c r="AL531" i="2"/>
  <c r="AM531" i="2"/>
  <c r="AN531" i="2"/>
  <c r="AK531" i="2"/>
  <c r="AJ531" i="2"/>
  <c r="AH531" i="2"/>
  <c r="AG531" i="2"/>
  <c r="AI531" i="2"/>
  <c r="AD531" i="2"/>
  <c r="AF531" i="2"/>
  <c r="AC531" i="2"/>
  <c r="AE531" i="2"/>
  <c r="AB531" i="2"/>
  <c r="AA531" i="2"/>
  <c r="Z531" i="2"/>
  <c r="U531" i="2"/>
  <c r="Y531" i="2"/>
  <c r="W531" i="2"/>
  <c r="X531" i="2"/>
  <c r="T531" i="2"/>
  <c r="V531" i="2"/>
  <c r="R531" i="2"/>
  <c r="S531" i="2"/>
  <c r="Q531" i="2"/>
  <c r="O531" i="2"/>
  <c r="P531" i="2"/>
  <c r="M531" i="2"/>
  <c r="N531" i="2"/>
  <c r="L531" i="2"/>
  <c r="I531" i="2"/>
  <c r="J531" i="2"/>
  <c r="AP531" i="2"/>
  <c r="AO531" i="2"/>
  <c r="AQ531" i="3"/>
  <c r="AR531" i="3"/>
  <c r="AN531" i="3"/>
  <c r="AM531" i="3"/>
  <c r="AL531" i="3"/>
  <c r="AK531" i="3"/>
  <c r="AH531" i="3"/>
  <c r="AJ531" i="3"/>
  <c r="AI531" i="3"/>
  <c r="AG531" i="3"/>
  <c r="AF531" i="3"/>
  <c r="AE531" i="3"/>
  <c r="AB531" i="3"/>
  <c r="AD531" i="3"/>
  <c r="AC531" i="3"/>
  <c r="AA531" i="3"/>
  <c r="W531" i="3"/>
  <c r="Y531" i="3"/>
  <c r="Z531" i="3"/>
  <c r="X531" i="3"/>
  <c r="V531" i="3"/>
  <c r="U531" i="3"/>
  <c r="T531" i="3"/>
  <c r="S531" i="3"/>
  <c r="R531" i="3"/>
  <c r="Q531" i="3"/>
  <c r="O531" i="3"/>
  <c r="P531" i="3"/>
  <c r="J531" i="3"/>
  <c r="L531" i="3"/>
  <c r="N531" i="3"/>
  <c r="M531" i="3"/>
  <c r="AO531" i="3"/>
  <c r="AP531" i="3"/>
  <c r="I531" i="3"/>
  <c r="L531" i="1"/>
  <c r="P531" i="1" s="1"/>
  <c r="AA531" i="1"/>
  <c r="I533" i="1"/>
  <c r="J532" i="1"/>
  <c r="V532" i="1"/>
  <c r="G532" i="3"/>
  <c r="Y532" i="1"/>
  <c r="Z532" i="1" s="1"/>
  <c r="G532" i="2"/>
  <c r="N532" i="1"/>
  <c r="S532" i="1"/>
  <c r="W532" i="1" s="1"/>
  <c r="R532" i="1"/>
  <c r="O532" i="1"/>
  <c r="W531" i="1"/>
  <c r="L532" i="1" l="1"/>
  <c r="P532" i="1" s="1"/>
  <c r="AA532" i="1"/>
  <c r="J533" i="1"/>
  <c r="I534" i="1"/>
  <c r="V533" i="1"/>
  <c r="G533" i="3"/>
  <c r="Y533" i="1"/>
  <c r="Z533" i="1" s="1"/>
  <c r="G533" i="2"/>
  <c r="N533" i="1"/>
  <c r="O533" i="1"/>
  <c r="S533" i="1"/>
  <c r="R533" i="1"/>
  <c r="AR532" i="2"/>
  <c r="AQ532" i="2"/>
  <c r="AM532" i="2"/>
  <c r="AN532" i="2"/>
  <c r="AI532" i="2"/>
  <c r="AL532" i="2"/>
  <c r="AK532" i="2"/>
  <c r="AJ532" i="2"/>
  <c r="AG532" i="2"/>
  <c r="AH532" i="2"/>
  <c r="AF532" i="2"/>
  <c r="AD532" i="2"/>
  <c r="AC532" i="2"/>
  <c r="AE532" i="2"/>
  <c r="AB532" i="2"/>
  <c r="Z532" i="2"/>
  <c r="AA532" i="2"/>
  <c r="X532" i="2"/>
  <c r="U532" i="2"/>
  <c r="Y532" i="2"/>
  <c r="W532" i="2"/>
  <c r="T532" i="2"/>
  <c r="V532" i="2"/>
  <c r="S532" i="2"/>
  <c r="Q532" i="2"/>
  <c r="R532" i="2"/>
  <c r="M532" i="2"/>
  <c r="O532" i="2"/>
  <c r="P532" i="2"/>
  <c r="N532" i="2"/>
  <c r="L532" i="2"/>
  <c r="AP532" i="2"/>
  <c r="I532" i="2"/>
  <c r="J532" i="2"/>
  <c r="AO532" i="2"/>
  <c r="AR532" i="3"/>
  <c r="AQ532" i="3"/>
  <c r="AL532" i="3"/>
  <c r="AN532" i="3"/>
  <c r="AM532" i="3"/>
  <c r="AK532" i="3"/>
  <c r="AH532" i="3"/>
  <c r="AJ532" i="3"/>
  <c r="AI532" i="3"/>
  <c r="AG532" i="3"/>
  <c r="AF532" i="3"/>
  <c r="AD532" i="3"/>
  <c r="AE532" i="3"/>
  <c r="AC532" i="3"/>
  <c r="AA532" i="3"/>
  <c r="AB532" i="3"/>
  <c r="Y532" i="3"/>
  <c r="Z532" i="3"/>
  <c r="V532" i="3"/>
  <c r="W532" i="3"/>
  <c r="X532" i="3"/>
  <c r="U532" i="3"/>
  <c r="T532" i="3"/>
  <c r="P532" i="3"/>
  <c r="S532" i="3"/>
  <c r="R532" i="3"/>
  <c r="Q532" i="3"/>
  <c r="O532" i="3"/>
  <c r="J532" i="3"/>
  <c r="L532" i="3"/>
  <c r="N532" i="3"/>
  <c r="M532" i="3"/>
  <c r="AO532" i="3"/>
  <c r="AP532" i="3"/>
  <c r="I532" i="3"/>
  <c r="AR533" i="3" l="1"/>
  <c r="AQ533" i="3"/>
  <c r="AM533" i="3"/>
  <c r="AL533" i="3"/>
  <c r="AN533" i="3"/>
  <c r="AK533" i="3"/>
  <c r="AI533" i="3"/>
  <c r="AH533" i="3"/>
  <c r="AJ533" i="3"/>
  <c r="AG533" i="3"/>
  <c r="AD533" i="3"/>
  <c r="AF533" i="3"/>
  <c r="AE533" i="3"/>
  <c r="AC533" i="3"/>
  <c r="AB533" i="3"/>
  <c r="AA533" i="3"/>
  <c r="W533" i="3"/>
  <c r="Z533" i="3"/>
  <c r="U533" i="3"/>
  <c r="Y533" i="3"/>
  <c r="X533" i="3"/>
  <c r="T533" i="3"/>
  <c r="V533" i="3"/>
  <c r="S533" i="3"/>
  <c r="R533" i="3"/>
  <c r="Q533" i="3"/>
  <c r="P533" i="3"/>
  <c r="O533" i="3"/>
  <c r="M533" i="3"/>
  <c r="L533" i="3"/>
  <c r="N533" i="3"/>
  <c r="I533" i="3"/>
  <c r="J533" i="3"/>
  <c r="AO533" i="3"/>
  <c r="AP533" i="3"/>
  <c r="L533" i="1"/>
  <c r="P533" i="1" s="1"/>
  <c r="AA533" i="1"/>
  <c r="I535" i="1"/>
  <c r="J534" i="1"/>
  <c r="V534" i="1"/>
  <c r="G534" i="3"/>
  <c r="Y534" i="1"/>
  <c r="Z534" i="1" s="1"/>
  <c r="G534" i="2"/>
  <c r="O534" i="1"/>
  <c r="S534" i="1"/>
  <c r="W534" i="1" s="1"/>
  <c r="N534" i="1"/>
  <c r="R534" i="1"/>
  <c r="AR533" i="2"/>
  <c r="AQ533" i="2"/>
  <c r="AM533" i="2"/>
  <c r="AN533" i="2"/>
  <c r="AL533" i="2"/>
  <c r="AK533" i="2"/>
  <c r="AJ533" i="2"/>
  <c r="AI533" i="2"/>
  <c r="AH533" i="2"/>
  <c r="AG533" i="2"/>
  <c r="AF533" i="2"/>
  <c r="AD533" i="2"/>
  <c r="AC533" i="2"/>
  <c r="AE533" i="2"/>
  <c r="AB533" i="2"/>
  <c r="X533" i="2"/>
  <c r="AA533" i="2"/>
  <c r="Z533" i="2"/>
  <c r="Y533" i="2"/>
  <c r="T533" i="2"/>
  <c r="U533" i="2"/>
  <c r="W533" i="2"/>
  <c r="V533" i="2"/>
  <c r="S533" i="2"/>
  <c r="Q533" i="2"/>
  <c r="R533" i="2"/>
  <c r="O533" i="2"/>
  <c r="P533" i="2"/>
  <c r="N533" i="2"/>
  <c r="L533" i="2"/>
  <c r="M533" i="2"/>
  <c r="I533" i="2"/>
  <c r="AP533" i="2"/>
  <c r="J533" i="2"/>
  <c r="AO533" i="2"/>
  <c r="W533" i="1"/>
  <c r="AR534" i="2" l="1"/>
  <c r="AQ534" i="2"/>
  <c r="AM534" i="2"/>
  <c r="AL534" i="2"/>
  <c r="AN534" i="2"/>
  <c r="AI534" i="2"/>
  <c r="AK534" i="2"/>
  <c r="AJ534" i="2"/>
  <c r="AH534" i="2"/>
  <c r="AG534" i="2"/>
  <c r="AE534" i="2"/>
  <c r="AF534" i="2"/>
  <c r="AD534" i="2"/>
  <c r="Z534" i="2"/>
  <c r="AC534" i="2"/>
  <c r="AB534" i="2"/>
  <c r="AA534" i="2"/>
  <c r="Y534" i="2"/>
  <c r="W534" i="2"/>
  <c r="X534" i="2"/>
  <c r="V534" i="2"/>
  <c r="U534" i="2"/>
  <c r="T534" i="2"/>
  <c r="S534" i="2"/>
  <c r="Q534" i="2"/>
  <c r="R534" i="2"/>
  <c r="M534" i="2"/>
  <c r="P534" i="2"/>
  <c r="O534" i="2"/>
  <c r="N534" i="2"/>
  <c r="L534" i="2"/>
  <c r="AO534" i="2"/>
  <c r="AP534" i="2"/>
  <c r="I534" i="2"/>
  <c r="J534" i="2"/>
  <c r="AR534" i="3"/>
  <c r="AN534" i="3"/>
  <c r="AM534" i="3"/>
  <c r="AQ534" i="3"/>
  <c r="AL534" i="3"/>
  <c r="AI534" i="3"/>
  <c r="AK534" i="3"/>
  <c r="AJ534" i="3"/>
  <c r="AE534" i="3"/>
  <c r="AH534" i="3"/>
  <c r="AG534" i="3"/>
  <c r="AF534" i="3"/>
  <c r="AC534" i="3"/>
  <c r="AD534" i="3"/>
  <c r="AB534" i="3"/>
  <c r="Z534" i="3"/>
  <c r="Y534" i="3"/>
  <c r="AA534" i="3"/>
  <c r="X534" i="3"/>
  <c r="U534" i="3"/>
  <c r="W534" i="3"/>
  <c r="R534" i="3"/>
  <c r="T534" i="3"/>
  <c r="V534" i="3"/>
  <c r="Q534" i="3"/>
  <c r="S534" i="3"/>
  <c r="M534" i="3"/>
  <c r="P534" i="3"/>
  <c r="O534" i="3"/>
  <c r="N534" i="3"/>
  <c r="L534" i="3"/>
  <c r="I534" i="3"/>
  <c r="J534" i="3"/>
  <c r="AO534" i="3"/>
  <c r="AP534" i="3"/>
  <c r="L534" i="1"/>
  <c r="P534" i="1" s="1"/>
  <c r="AA534" i="1"/>
  <c r="J535" i="1"/>
  <c r="I536" i="1"/>
  <c r="G535" i="3"/>
  <c r="V535" i="1"/>
  <c r="Y535" i="1"/>
  <c r="Z535" i="1" s="1"/>
  <c r="G535" i="2"/>
  <c r="S535" i="1"/>
  <c r="W535" i="1" s="1"/>
  <c r="R535" i="1"/>
  <c r="N535" i="1"/>
  <c r="O535" i="1"/>
  <c r="J536" i="1" l="1"/>
  <c r="I537" i="1"/>
  <c r="G536" i="3"/>
  <c r="V536" i="1"/>
  <c r="Y536" i="1"/>
  <c r="Z536" i="1" s="1"/>
  <c r="G536" i="2"/>
  <c r="R536" i="1"/>
  <c r="O536" i="1"/>
  <c r="N536" i="1"/>
  <c r="S536" i="1"/>
  <c r="AQ535" i="2"/>
  <c r="AR535" i="2"/>
  <c r="AN535" i="2"/>
  <c r="AM535" i="2"/>
  <c r="AL535" i="2"/>
  <c r="AK535" i="2"/>
  <c r="AJ535" i="2"/>
  <c r="AI535" i="2"/>
  <c r="AF535" i="2"/>
  <c r="AE535" i="2"/>
  <c r="AG535" i="2"/>
  <c r="AH535" i="2"/>
  <c r="AD535" i="2"/>
  <c r="AC535" i="2"/>
  <c r="AB535" i="2"/>
  <c r="X535" i="2"/>
  <c r="AA535" i="2"/>
  <c r="Z535" i="2"/>
  <c r="V535" i="2"/>
  <c r="Y535" i="2"/>
  <c r="W535" i="2"/>
  <c r="U535" i="2"/>
  <c r="S535" i="2"/>
  <c r="T535" i="2"/>
  <c r="R535" i="2"/>
  <c r="P535" i="2"/>
  <c r="Q535" i="2"/>
  <c r="N535" i="2"/>
  <c r="M535" i="2"/>
  <c r="O535" i="2"/>
  <c r="L535" i="2"/>
  <c r="AO535" i="2"/>
  <c r="I535" i="2"/>
  <c r="J535" i="2"/>
  <c r="AP535" i="2"/>
  <c r="L535" i="1"/>
  <c r="P535" i="1" s="1"/>
  <c r="AA535" i="1"/>
  <c r="AR535" i="3"/>
  <c r="AN535" i="3"/>
  <c r="AM535" i="3"/>
  <c r="AQ535" i="3"/>
  <c r="AL535" i="3"/>
  <c r="AI535" i="3"/>
  <c r="AK535" i="3"/>
  <c r="AJ535" i="3"/>
  <c r="AH535" i="3"/>
  <c r="AE535" i="3"/>
  <c r="AD535" i="3"/>
  <c r="AG535" i="3"/>
  <c r="AF535" i="3"/>
  <c r="AC535" i="3"/>
  <c r="AB535" i="3"/>
  <c r="X535" i="3"/>
  <c r="Y535" i="3"/>
  <c r="Z535" i="3"/>
  <c r="AA535" i="3"/>
  <c r="U535" i="3"/>
  <c r="W535" i="3"/>
  <c r="R535" i="3"/>
  <c r="T535" i="3"/>
  <c r="V535" i="3"/>
  <c r="Q535" i="3"/>
  <c r="S535" i="3"/>
  <c r="P535" i="3"/>
  <c r="O535" i="3"/>
  <c r="M535" i="3"/>
  <c r="L535" i="3"/>
  <c r="N535" i="3"/>
  <c r="I535" i="3"/>
  <c r="J535" i="3"/>
  <c r="AO535" i="3"/>
  <c r="AP535" i="3"/>
  <c r="AR536" i="2" l="1"/>
  <c r="AQ536" i="2"/>
  <c r="AN536" i="2"/>
  <c r="AM536" i="2"/>
  <c r="AL536" i="2"/>
  <c r="AJ536" i="2"/>
  <c r="AK536" i="2"/>
  <c r="AF536" i="2"/>
  <c r="AI536" i="2"/>
  <c r="AH536" i="2"/>
  <c r="AE536" i="2"/>
  <c r="AG536" i="2"/>
  <c r="AD536" i="2"/>
  <c r="AB536" i="2"/>
  <c r="AC536" i="2"/>
  <c r="AA536" i="2"/>
  <c r="Z536" i="2"/>
  <c r="Y536" i="2"/>
  <c r="V536" i="2"/>
  <c r="W536" i="2"/>
  <c r="X536" i="2"/>
  <c r="S536" i="2"/>
  <c r="U536" i="2"/>
  <c r="R536" i="2"/>
  <c r="T536" i="2"/>
  <c r="N536" i="2"/>
  <c r="P536" i="2"/>
  <c r="Q536" i="2"/>
  <c r="L536" i="2"/>
  <c r="M536" i="2"/>
  <c r="I536" i="2"/>
  <c r="O536" i="2"/>
  <c r="J536" i="2"/>
  <c r="AO536" i="2"/>
  <c r="AP536" i="2"/>
  <c r="AR536" i="3"/>
  <c r="AN536" i="3"/>
  <c r="AM536" i="3"/>
  <c r="AQ536" i="3"/>
  <c r="AL536" i="3"/>
  <c r="AI536" i="3"/>
  <c r="AK536" i="3"/>
  <c r="AJ536" i="3"/>
  <c r="AG536" i="3"/>
  <c r="AH536" i="3"/>
  <c r="AE536" i="3"/>
  <c r="AF536" i="3"/>
  <c r="AC536" i="3"/>
  <c r="AD536" i="3"/>
  <c r="Z536" i="3"/>
  <c r="AB536" i="3"/>
  <c r="AA536" i="3"/>
  <c r="X536" i="3"/>
  <c r="Y536" i="3"/>
  <c r="W536" i="3"/>
  <c r="V536" i="3"/>
  <c r="U536" i="3"/>
  <c r="R536" i="3"/>
  <c r="T536" i="3"/>
  <c r="O536" i="3"/>
  <c r="Q536" i="3"/>
  <c r="S536" i="3"/>
  <c r="P536" i="3"/>
  <c r="M536" i="3"/>
  <c r="I536" i="3"/>
  <c r="L536" i="3"/>
  <c r="N536" i="3"/>
  <c r="J536" i="3"/>
  <c r="AO536" i="3"/>
  <c r="AP536" i="3"/>
  <c r="L536" i="1"/>
  <c r="P536" i="1" s="1"/>
  <c r="AA536" i="1"/>
  <c r="I538" i="1"/>
  <c r="J537" i="1"/>
  <c r="G537" i="3"/>
  <c r="V537" i="1"/>
  <c r="Y537" i="1"/>
  <c r="Z537" i="1" s="1"/>
  <c r="G537" i="2"/>
  <c r="S537" i="1"/>
  <c r="N537" i="1"/>
  <c r="O537" i="1"/>
  <c r="R537" i="1"/>
  <c r="W536" i="1"/>
  <c r="L537" i="1" l="1"/>
  <c r="P537" i="1" s="1"/>
  <c r="AA537" i="1"/>
  <c r="AR537" i="3"/>
  <c r="AN537" i="3"/>
  <c r="AQ537" i="3"/>
  <c r="AM537" i="3"/>
  <c r="AL537" i="3"/>
  <c r="AK537" i="3"/>
  <c r="AJ537" i="3"/>
  <c r="AG537" i="3"/>
  <c r="AI537" i="3"/>
  <c r="AH537" i="3"/>
  <c r="AF537" i="3"/>
  <c r="AE537" i="3"/>
  <c r="AC537" i="3"/>
  <c r="AD537" i="3"/>
  <c r="AB537" i="3"/>
  <c r="AA537" i="3"/>
  <c r="X537" i="3"/>
  <c r="Z537" i="3"/>
  <c r="Y537" i="3"/>
  <c r="V537" i="3"/>
  <c r="W537" i="3"/>
  <c r="U537" i="3"/>
  <c r="S537" i="3"/>
  <c r="T537" i="3"/>
  <c r="R537" i="3"/>
  <c r="O537" i="3"/>
  <c r="P537" i="3"/>
  <c r="Q537" i="3"/>
  <c r="N537" i="3"/>
  <c r="M537" i="3"/>
  <c r="L537" i="3"/>
  <c r="AO537" i="3"/>
  <c r="AP537" i="3"/>
  <c r="I537" i="3"/>
  <c r="J537" i="3"/>
  <c r="W537" i="1"/>
  <c r="I539" i="1"/>
  <c r="J538" i="1"/>
  <c r="V538" i="1"/>
  <c r="G538" i="3"/>
  <c r="Y538" i="1"/>
  <c r="Z538" i="1" s="1"/>
  <c r="G538" i="2"/>
  <c r="N538" i="1"/>
  <c r="R538" i="1"/>
  <c r="S538" i="1"/>
  <c r="W538" i="1" s="1"/>
  <c r="O538" i="1"/>
  <c r="AR537" i="2"/>
  <c r="AQ537" i="2"/>
  <c r="AN537" i="2"/>
  <c r="AM537" i="2"/>
  <c r="AJ537" i="2"/>
  <c r="AK537" i="2"/>
  <c r="AL537" i="2"/>
  <c r="AI537" i="2"/>
  <c r="AH537" i="2"/>
  <c r="AE537" i="2"/>
  <c r="AG537" i="2"/>
  <c r="AB537" i="2"/>
  <c r="AF537" i="2"/>
  <c r="AD537" i="2"/>
  <c r="AC537" i="2"/>
  <c r="AA537" i="2"/>
  <c r="Y537" i="2"/>
  <c r="Z537" i="2"/>
  <c r="X537" i="2"/>
  <c r="V537" i="2"/>
  <c r="W537" i="2"/>
  <c r="S537" i="2"/>
  <c r="U537" i="2"/>
  <c r="R537" i="2"/>
  <c r="T537" i="2"/>
  <c r="P537" i="2"/>
  <c r="N537" i="2"/>
  <c r="Q537" i="2"/>
  <c r="L537" i="2"/>
  <c r="M537" i="2"/>
  <c r="O537" i="2"/>
  <c r="J537" i="2"/>
  <c r="I537" i="2"/>
  <c r="AO537" i="2"/>
  <c r="AP537" i="2"/>
  <c r="AR538" i="2" l="1"/>
  <c r="AN538" i="2"/>
  <c r="AQ538" i="2"/>
  <c r="AM538" i="2"/>
  <c r="AJ538" i="2"/>
  <c r="AK538" i="2"/>
  <c r="AL538" i="2"/>
  <c r="AI538" i="2"/>
  <c r="AH538" i="2"/>
  <c r="AF538" i="2"/>
  <c r="AG538" i="2"/>
  <c r="AE538" i="2"/>
  <c r="AC538" i="2"/>
  <c r="AA538" i="2"/>
  <c r="AD538" i="2"/>
  <c r="AB538" i="2"/>
  <c r="Y538" i="2"/>
  <c r="Z538" i="2"/>
  <c r="X538" i="2"/>
  <c r="W538" i="2"/>
  <c r="S538" i="2"/>
  <c r="V538" i="2"/>
  <c r="U538" i="2"/>
  <c r="P538" i="2"/>
  <c r="R538" i="2"/>
  <c r="T538" i="2"/>
  <c r="Q538" i="2"/>
  <c r="N538" i="2"/>
  <c r="J538" i="2"/>
  <c r="M538" i="2"/>
  <c r="O538" i="2"/>
  <c r="K538" i="2"/>
  <c r="I538" i="2"/>
  <c r="AO538" i="2"/>
  <c r="AP538" i="2"/>
  <c r="L538" i="1"/>
  <c r="P538" i="1" s="1"/>
  <c r="AA538" i="1"/>
  <c r="I540" i="1"/>
  <c r="J539" i="1"/>
  <c r="V539" i="1"/>
  <c r="Y539" i="1"/>
  <c r="Z539" i="1" s="1"/>
  <c r="G539" i="3"/>
  <c r="G539" i="2"/>
  <c r="R539" i="1"/>
  <c r="S539" i="1"/>
  <c r="W539" i="1" s="1"/>
  <c r="N539" i="1"/>
  <c r="O539" i="1"/>
  <c r="AR538" i="3"/>
  <c r="AQ538" i="3"/>
  <c r="AN538" i="3"/>
  <c r="AM538" i="3"/>
  <c r="AJ538" i="3"/>
  <c r="AL538" i="3"/>
  <c r="AK538" i="3"/>
  <c r="AG538" i="3"/>
  <c r="AI538" i="3"/>
  <c r="AF538" i="3"/>
  <c r="AH538" i="3"/>
  <c r="AE538" i="3"/>
  <c r="AC538" i="3"/>
  <c r="AD538" i="3"/>
  <c r="AB538" i="3"/>
  <c r="AA538" i="3"/>
  <c r="Z538" i="3"/>
  <c r="Y538" i="3"/>
  <c r="X538" i="3"/>
  <c r="V538" i="3"/>
  <c r="W538" i="3"/>
  <c r="S538" i="3"/>
  <c r="U538" i="3"/>
  <c r="T538" i="3"/>
  <c r="R538" i="3"/>
  <c r="N538" i="3"/>
  <c r="O538" i="3"/>
  <c r="P538" i="3"/>
  <c r="Q538" i="3"/>
  <c r="M538" i="3"/>
  <c r="I538" i="3"/>
  <c r="J538" i="3"/>
  <c r="AO538" i="3"/>
  <c r="AP538" i="3"/>
  <c r="K538" i="3"/>
  <c r="AR539" i="2" l="1"/>
  <c r="AQ539" i="2"/>
  <c r="AN539" i="2"/>
  <c r="AK539" i="2"/>
  <c r="AM539" i="2"/>
  <c r="AL539" i="2"/>
  <c r="AI539" i="2"/>
  <c r="AH539" i="2"/>
  <c r="AJ539" i="2"/>
  <c r="AG539" i="2"/>
  <c r="AF539" i="2"/>
  <c r="AB539" i="2"/>
  <c r="AE539" i="2"/>
  <c r="AD539" i="2"/>
  <c r="AC539" i="2"/>
  <c r="AA539" i="2"/>
  <c r="Y539" i="2"/>
  <c r="Z539" i="2"/>
  <c r="W539" i="2"/>
  <c r="X539" i="2"/>
  <c r="U539" i="2"/>
  <c r="V539" i="2"/>
  <c r="T539" i="2"/>
  <c r="S539" i="2"/>
  <c r="R539" i="2"/>
  <c r="Q539" i="2"/>
  <c r="P539" i="2"/>
  <c r="O539" i="2"/>
  <c r="M539" i="2"/>
  <c r="N539" i="2"/>
  <c r="J539" i="2"/>
  <c r="K539" i="2"/>
  <c r="I539" i="2"/>
  <c r="AO539" i="2"/>
  <c r="AP539" i="2"/>
  <c r="L539" i="1"/>
  <c r="P539" i="1" s="1"/>
  <c r="AA539" i="1"/>
  <c r="AQ539" i="3"/>
  <c r="AR539" i="3"/>
  <c r="AN539" i="3"/>
  <c r="AM539" i="3"/>
  <c r="AJ539" i="3"/>
  <c r="AL539" i="3"/>
  <c r="AK539" i="3"/>
  <c r="AG539" i="3"/>
  <c r="AI539" i="3"/>
  <c r="AF539" i="3"/>
  <c r="AH539" i="3"/>
  <c r="AB539" i="3"/>
  <c r="AE539" i="3"/>
  <c r="AC539" i="3"/>
  <c r="AD539" i="3"/>
  <c r="AA539" i="3"/>
  <c r="Z539" i="3"/>
  <c r="Y539" i="3"/>
  <c r="X539" i="3"/>
  <c r="V539" i="3"/>
  <c r="W539" i="3"/>
  <c r="S539" i="3"/>
  <c r="U539" i="3"/>
  <c r="T539" i="3"/>
  <c r="R539" i="3"/>
  <c r="P539" i="3"/>
  <c r="N539" i="3"/>
  <c r="O539" i="3"/>
  <c r="Q539" i="3"/>
  <c r="M539" i="3"/>
  <c r="K539" i="3"/>
  <c r="J539" i="3"/>
  <c r="AO539" i="3"/>
  <c r="AP539" i="3"/>
  <c r="I539" i="3"/>
  <c r="J540" i="1"/>
  <c r="I541" i="1"/>
  <c r="G540" i="3"/>
  <c r="V540" i="1"/>
  <c r="Y540" i="1"/>
  <c r="Z540" i="1" s="1"/>
  <c r="G540" i="2"/>
  <c r="S540" i="1"/>
  <c r="W540" i="1" s="1"/>
  <c r="O540" i="1"/>
  <c r="N540" i="1"/>
  <c r="R540" i="1"/>
  <c r="J541" i="1" l="1"/>
  <c r="I542" i="1"/>
  <c r="V541" i="1"/>
  <c r="G541" i="3"/>
  <c r="Y541" i="1"/>
  <c r="Z541" i="1" s="1"/>
  <c r="G541" i="2"/>
  <c r="O541" i="1"/>
  <c r="R541" i="1"/>
  <c r="N541" i="1"/>
  <c r="S541" i="1"/>
  <c r="W541" i="1" s="1"/>
  <c r="AR540" i="2"/>
  <c r="AQ540" i="2"/>
  <c r="AN540" i="2"/>
  <c r="AL540" i="2"/>
  <c r="AM540" i="2"/>
  <c r="AK540" i="2"/>
  <c r="AI540" i="2"/>
  <c r="AH540" i="2"/>
  <c r="AJ540" i="2"/>
  <c r="AG540" i="2"/>
  <c r="AF540" i="2"/>
  <c r="AE540" i="2"/>
  <c r="AD540" i="2"/>
  <c r="AC540" i="2"/>
  <c r="AB540" i="2"/>
  <c r="AA540" i="2"/>
  <c r="Z540" i="2"/>
  <c r="W540" i="2"/>
  <c r="X540" i="2"/>
  <c r="Y540" i="2"/>
  <c r="U540" i="2"/>
  <c r="V540" i="2"/>
  <c r="T540" i="2"/>
  <c r="P540" i="2"/>
  <c r="S540" i="2"/>
  <c r="R540" i="2"/>
  <c r="O540" i="2"/>
  <c r="Q540" i="2"/>
  <c r="J540" i="2"/>
  <c r="M540" i="2"/>
  <c r="N540" i="2"/>
  <c r="K540" i="2"/>
  <c r="I540" i="2"/>
  <c r="AO540" i="2"/>
  <c r="AP540" i="2"/>
  <c r="L540" i="1"/>
  <c r="P540" i="1" s="1"/>
  <c r="AA540" i="1"/>
  <c r="AQ540" i="3"/>
  <c r="AR540" i="3"/>
  <c r="AN540" i="3"/>
  <c r="AM540" i="3"/>
  <c r="AL540" i="3"/>
  <c r="AJ540" i="3"/>
  <c r="AK540" i="3"/>
  <c r="AI540" i="3"/>
  <c r="AH540" i="3"/>
  <c r="AF540" i="3"/>
  <c r="AG540" i="3"/>
  <c r="AD540" i="3"/>
  <c r="AB540" i="3"/>
  <c r="AE540" i="3"/>
  <c r="AA540" i="3"/>
  <c r="AC540" i="3"/>
  <c r="Z540" i="3"/>
  <c r="Y540" i="3"/>
  <c r="W540" i="3"/>
  <c r="X540" i="3"/>
  <c r="S540" i="3"/>
  <c r="U540" i="3"/>
  <c r="V540" i="3"/>
  <c r="P540" i="3"/>
  <c r="T540" i="3"/>
  <c r="R540" i="3"/>
  <c r="N540" i="3"/>
  <c r="O540" i="3"/>
  <c r="Q540" i="3"/>
  <c r="J540" i="3"/>
  <c r="M540" i="3"/>
  <c r="K540" i="3"/>
  <c r="AO540" i="3"/>
  <c r="AP540" i="3"/>
  <c r="I540" i="3"/>
  <c r="AQ541" i="3" l="1"/>
  <c r="AR541" i="3"/>
  <c r="AN541" i="3"/>
  <c r="AL541" i="3"/>
  <c r="AK541" i="3"/>
  <c r="AM541" i="3"/>
  <c r="AH541" i="3"/>
  <c r="AI541" i="3"/>
  <c r="AJ541" i="3"/>
  <c r="AG541" i="3"/>
  <c r="AF541" i="3"/>
  <c r="AD541" i="3"/>
  <c r="AB541" i="3"/>
  <c r="AE541" i="3"/>
  <c r="AC541" i="3"/>
  <c r="AA541" i="3"/>
  <c r="W541" i="3"/>
  <c r="Z541" i="3"/>
  <c r="Y541" i="3"/>
  <c r="X541" i="3"/>
  <c r="U541" i="3"/>
  <c r="V541" i="3"/>
  <c r="T541" i="3"/>
  <c r="S541" i="3"/>
  <c r="R541" i="3"/>
  <c r="P541" i="3"/>
  <c r="Q541" i="3"/>
  <c r="J541" i="3"/>
  <c r="N541" i="3"/>
  <c r="M541" i="3"/>
  <c r="O541" i="3"/>
  <c r="AO541" i="3"/>
  <c r="AP541" i="3"/>
  <c r="K541" i="3"/>
  <c r="I541" i="3"/>
  <c r="L541" i="1"/>
  <c r="P541" i="1" s="1"/>
  <c r="AA541" i="1"/>
  <c r="AR541" i="2"/>
  <c r="AQ541" i="2"/>
  <c r="AN541" i="2"/>
  <c r="AL541" i="2"/>
  <c r="AM541" i="2"/>
  <c r="AK541" i="2"/>
  <c r="AI541" i="2"/>
  <c r="AH541" i="2"/>
  <c r="AJ541" i="2"/>
  <c r="AG541" i="2"/>
  <c r="AD541" i="2"/>
  <c r="AF541" i="2"/>
  <c r="AC541" i="2"/>
  <c r="AE541" i="2"/>
  <c r="AB541" i="2"/>
  <c r="Z541" i="2"/>
  <c r="AA541" i="2"/>
  <c r="U541" i="2"/>
  <c r="W541" i="2"/>
  <c r="X541" i="2"/>
  <c r="Y541" i="2"/>
  <c r="V541" i="2"/>
  <c r="T541" i="2"/>
  <c r="S541" i="2"/>
  <c r="R541" i="2"/>
  <c r="Q541" i="2"/>
  <c r="O541" i="2"/>
  <c r="P541" i="2"/>
  <c r="M541" i="2"/>
  <c r="N541" i="2"/>
  <c r="K541" i="2"/>
  <c r="J541" i="2"/>
  <c r="I541" i="2"/>
  <c r="AP541" i="2"/>
  <c r="AO541" i="2"/>
  <c r="J542" i="1"/>
  <c r="I543" i="1"/>
  <c r="V542" i="1"/>
  <c r="G542" i="3"/>
  <c r="Y542" i="1"/>
  <c r="Z542" i="1" s="1"/>
  <c r="G542" i="2"/>
  <c r="N542" i="1"/>
  <c r="S542" i="1"/>
  <c r="W542" i="1" s="1"/>
  <c r="R542" i="1"/>
  <c r="O542" i="1"/>
  <c r="L542" i="1" l="1"/>
  <c r="P542" i="1" s="1"/>
  <c r="AA542" i="1"/>
  <c r="AR542" i="2"/>
  <c r="AQ542" i="2"/>
  <c r="AN542" i="2"/>
  <c r="AM542" i="2"/>
  <c r="AI542" i="2"/>
  <c r="AK542" i="2"/>
  <c r="AL542" i="2"/>
  <c r="AJ542" i="2"/>
  <c r="AH542" i="2"/>
  <c r="AG542" i="2"/>
  <c r="AF542" i="2"/>
  <c r="AE542" i="2"/>
  <c r="AD542" i="2"/>
  <c r="AC542" i="2"/>
  <c r="AB542" i="2"/>
  <c r="Z542" i="2"/>
  <c r="AA542" i="2"/>
  <c r="X542" i="2"/>
  <c r="U542" i="2"/>
  <c r="W542" i="2"/>
  <c r="Y542" i="2"/>
  <c r="V542" i="2"/>
  <c r="T542" i="2"/>
  <c r="Q542" i="2"/>
  <c r="S542" i="2"/>
  <c r="R542" i="2"/>
  <c r="M542" i="2"/>
  <c r="O542" i="2"/>
  <c r="P542" i="2"/>
  <c r="K542" i="2"/>
  <c r="N542" i="2"/>
  <c r="I542" i="2"/>
  <c r="AP542" i="2"/>
  <c r="J542" i="2"/>
  <c r="AO542" i="2"/>
  <c r="I544" i="1"/>
  <c r="J543" i="1"/>
  <c r="V543" i="1"/>
  <c r="G543" i="3"/>
  <c r="G543" i="2"/>
  <c r="Y543" i="1"/>
  <c r="Z543" i="1" s="1"/>
  <c r="N543" i="1"/>
  <c r="O543" i="1"/>
  <c r="R543" i="1"/>
  <c r="S543" i="1"/>
  <c r="AR542" i="3"/>
  <c r="AQ542" i="3"/>
  <c r="AN542" i="3"/>
  <c r="AL542" i="3"/>
  <c r="AK542" i="3"/>
  <c r="AM542" i="3"/>
  <c r="AJ542" i="3"/>
  <c r="AH542" i="3"/>
  <c r="AI542" i="3"/>
  <c r="AG542" i="3"/>
  <c r="AF542" i="3"/>
  <c r="AD542" i="3"/>
  <c r="AE542" i="3"/>
  <c r="AC542" i="3"/>
  <c r="AA542" i="3"/>
  <c r="AB542" i="3"/>
  <c r="Z542" i="3"/>
  <c r="Y542" i="3"/>
  <c r="X542" i="3"/>
  <c r="W542" i="3"/>
  <c r="V542" i="3"/>
  <c r="U542" i="3"/>
  <c r="T542" i="3"/>
  <c r="R542" i="3"/>
  <c r="P542" i="3"/>
  <c r="S542" i="3"/>
  <c r="Q542" i="3"/>
  <c r="O542" i="3"/>
  <c r="J542" i="3"/>
  <c r="N542" i="3"/>
  <c r="M542" i="3"/>
  <c r="AO542" i="3"/>
  <c r="AP542" i="3"/>
  <c r="K542" i="3"/>
  <c r="I542" i="3"/>
  <c r="AR543" i="2" l="1"/>
  <c r="AQ543" i="2"/>
  <c r="AM543" i="2"/>
  <c r="AN543" i="2"/>
  <c r="AL543" i="2"/>
  <c r="AK543" i="2"/>
  <c r="AJ543" i="2"/>
  <c r="AH543" i="2"/>
  <c r="AI543" i="2"/>
  <c r="AF543" i="2"/>
  <c r="AG543" i="2"/>
  <c r="AE543" i="2"/>
  <c r="AD543" i="2"/>
  <c r="AC543" i="2"/>
  <c r="AB543" i="2"/>
  <c r="X543" i="2"/>
  <c r="Z543" i="2"/>
  <c r="AA543" i="2"/>
  <c r="Y543" i="2"/>
  <c r="U543" i="2"/>
  <c r="V543" i="2"/>
  <c r="T543" i="2"/>
  <c r="W543" i="2"/>
  <c r="Q543" i="2"/>
  <c r="S543" i="2"/>
  <c r="R543" i="2"/>
  <c r="O543" i="2"/>
  <c r="P543" i="2"/>
  <c r="K543" i="2"/>
  <c r="N543" i="2"/>
  <c r="M543" i="2"/>
  <c r="I543" i="2"/>
  <c r="AP543" i="2"/>
  <c r="J543" i="2"/>
  <c r="AO543" i="2"/>
  <c r="AR543" i="3"/>
  <c r="AQ543" i="3"/>
  <c r="AN543" i="3"/>
  <c r="AM543" i="3"/>
  <c r="AL543" i="3"/>
  <c r="AK543" i="3"/>
  <c r="AI543" i="3"/>
  <c r="AJ543" i="3"/>
  <c r="AH543" i="3"/>
  <c r="AG543" i="3"/>
  <c r="AF543" i="3"/>
  <c r="AD543" i="3"/>
  <c r="AC543" i="3"/>
  <c r="AE543" i="3"/>
  <c r="AA543" i="3"/>
  <c r="AB543" i="3"/>
  <c r="W543" i="3"/>
  <c r="Z543" i="3"/>
  <c r="U543" i="3"/>
  <c r="Y543" i="3"/>
  <c r="X543" i="3"/>
  <c r="T543" i="3"/>
  <c r="V543" i="3"/>
  <c r="S543" i="3"/>
  <c r="R543" i="3"/>
  <c r="Q543" i="3"/>
  <c r="P543" i="3"/>
  <c r="O543" i="3"/>
  <c r="M543" i="3"/>
  <c r="N543" i="3"/>
  <c r="K543" i="3"/>
  <c r="J543" i="3"/>
  <c r="AO543" i="3"/>
  <c r="AP543" i="3"/>
  <c r="I543" i="3"/>
  <c r="L543" i="1"/>
  <c r="P543" i="1" s="1"/>
  <c r="AA543" i="1"/>
  <c r="W543" i="1"/>
  <c r="I545" i="1"/>
  <c r="J544" i="1"/>
  <c r="V544" i="1"/>
  <c r="G544" i="3"/>
  <c r="Y544" i="1"/>
  <c r="Z544" i="1" s="1"/>
  <c r="G544" i="2"/>
  <c r="O544" i="1"/>
  <c r="S544" i="1"/>
  <c r="W544" i="1" s="1"/>
  <c r="R544" i="1"/>
  <c r="N544" i="1"/>
  <c r="J545" i="1" l="1"/>
  <c r="I546" i="1"/>
  <c r="G545" i="3"/>
  <c r="V545" i="1"/>
  <c r="Y545" i="1"/>
  <c r="Z545" i="1" s="1"/>
  <c r="G545" i="2"/>
  <c r="S545" i="1"/>
  <c r="W545" i="1" s="1"/>
  <c r="R545" i="1"/>
  <c r="N545" i="1"/>
  <c r="O545" i="1"/>
  <c r="AR544" i="2"/>
  <c r="AQ544" i="2"/>
  <c r="AM544" i="2"/>
  <c r="AN544" i="2"/>
  <c r="AL544" i="2"/>
  <c r="AI544" i="2"/>
  <c r="AK544" i="2"/>
  <c r="AJ544" i="2"/>
  <c r="AH544" i="2"/>
  <c r="AG544" i="2"/>
  <c r="AE544" i="2"/>
  <c r="AD544" i="2"/>
  <c r="AF544" i="2"/>
  <c r="Z544" i="2"/>
  <c r="AC544" i="2"/>
  <c r="AB544" i="2"/>
  <c r="AA544" i="2"/>
  <c r="Y544" i="2"/>
  <c r="X544" i="2"/>
  <c r="W544" i="2"/>
  <c r="V544" i="2"/>
  <c r="U544" i="2"/>
  <c r="Q544" i="2"/>
  <c r="T544" i="2"/>
  <c r="S544" i="2"/>
  <c r="R544" i="2"/>
  <c r="M544" i="2"/>
  <c r="P544" i="2"/>
  <c r="O544" i="2"/>
  <c r="K544" i="2"/>
  <c r="N544" i="2"/>
  <c r="AO544" i="2"/>
  <c r="I544" i="2"/>
  <c r="AP544" i="2"/>
  <c r="J544" i="2"/>
  <c r="AQ544" i="3"/>
  <c r="AR544" i="3"/>
  <c r="AN544" i="3"/>
  <c r="AM544" i="3"/>
  <c r="AL544" i="3"/>
  <c r="AI544" i="3"/>
  <c r="AK544" i="3"/>
  <c r="AJ544" i="3"/>
  <c r="AE544" i="3"/>
  <c r="AH544" i="3"/>
  <c r="AG544" i="3"/>
  <c r="AF544" i="3"/>
  <c r="AC544" i="3"/>
  <c r="AD544" i="3"/>
  <c r="AB544" i="3"/>
  <c r="Z544" i="3"/>
  <c r="AA544" i="3"/>
  <c r="Y544" i="3"/>
  <c r="X544" i="3"/>
  <c r="U544" i="3"/>
  <c r="W544" i="3"/>
  <c r="R544" i="3"/>
  <c r="T544" i="3"/>
  <c r="V544" i="3"/>
  <c r="Q544" i="3"/>
  <c r="S544" i="3"/>
  <c r="M544" i="3"/>
  <c r="P544" i="3"/>
  <c r="O544" i="3"/>
  <c r="K544" i="3"/>
  <c r="N544" i="3"/>
  <c r="J544" i="3"/>
  <c r="AO544" i="3"/>
  <c r="AP544" i="3"/>
  <c r="I544" i="3"/>
  <c r="L544" i="1"/>
  <c r="P544" i="1" s="1"/>
  <c r="AA544" i="1"/>
  <c r="AR545" i="2" l="1"/>
  <c r="AQ545" i="2"/>
  <c r="AN545" i="2"/>
  <c r="AM545" i="2"/>
  <c r="AL545" i="2"/>
  <c r="AK545" i="2"/>
  <c r="AJ545" i="2"/>
  <c r="AH545" i="2"/>
  <c r="AI545" i="2"/>
  <c r="AF545" i="2"/>
  <c r="AE545" i="2"/>
  <c r="AG545" i="2"/>
  <c r="AD545" i="2"/>
  <c r="AC545" i="2"/>
  <c r="AB545" i="2"/>
  <c r="Z545" i="2"/>
  <c r="X545" i="2"/>
  <c r="AA545" i="2"/>
  <c r="V545" i="2"/>
  <c r="Y545" i="2"/>
  <c r="U545" i="2"/>
  <c r="W545" i="2"/>
  <c r="S545" i="2"/>
  <c r="T545" i="2"/>
  <c r="R545" i="2"/>
  <c r="Q545" i="2"/>
  <c r="P545" i="2"/>
  <c r="N545" i="2"/>
  <c r="O545" i="2"/>
  <c r="M545" i="2"/>
  <c r="AO545" i="2"/>
  <c r="I545" i="2"/>
  <c r="J545" i="2"/>
  <c r="K545" i="2"/>
  <c r="AP545" i="2"/>
  <c r="L545" i="1"/>
  <c r="P545" i="1" s="1"/>
  <c r="AA545" i="1"/>
  <c r="AR545" i="3"/>
  <c r="AN545" i="3"/>
  <c r="AQ545" i="3"/>
  <c r="AM545" i="3"/>
  <c r="AL545" i="3"/>
  <c r="AI545" i="3"/>
  <c r="AK545" i="3"/>
  <c r="AJ545" i="3"/>
  <c r="AH545" i="3"/>
  <c r="AG545" i="3"/>
  <c r="AF545" i="3"/>
  <c r="AD545" i="3"/>
  <c r="AE545" i="3"/>
  <c r="AC545" i="3"/>
  <c r="AB545" i="3"/>
  <c r="X545" i="3"/>
  <c r="AA545" i="3"/>
  <c r="Z545" i="3"/>
  <c r="Y545" i="3"/>
  <c r="U545" i="3"/>
  <c r="V545" i="3"/>
  <c r="R545" i="3"/>
  <c r="W545" i="3"/>
  <c r="T545" i="3"/>
  <c r="Q545" i="3"/>
  <c r="S545" i="3"/>
  <c r="P545" i="3"/>
  <c r="O545" i="3"/>
  <c r="K545" i="3"/>
  <c r="N545" i="3"/>
  <c r="M545" i="3"/>
  <c r="I545" i="3"/>
  <c r="J545" i="3"/>
  <c r="AO545" i="3"/>
  <c r="AP545" i="3"/>
  <c r="J546" i="1"/>
  <c r="I547" i="1"/>
  <c r="G546" i="3"/>
  <c r="V546" i="1"/>
  <c r="G546" i="2"/>
  <c r="Y546" i="1"/>
  <c r="Z546" i="1" s="1"/>
  <c r="R546" i="1"/>
  <c r="O546" i="1"/>
  <c r="N546" i="1"/>
  <c r="S546" i="1"/>
  <c r="W546" i="1" s="1"/>
  <c r="AR546" i="3" l="1"/>
  <c r="AN546" i="3"/>
  <c r="AQ546" i="3"/>
  <c r="AM546" i="3"/>
  <c r="AL546" i="3"/>
  <c r="AI546" i="3"/>
  <c r="AK546" i="3"/>
  <c r="AJ546" i="3"/>
  <c r="AG546" i="3"/>
  <c r="AH546" i="3"/>
  <c r="AE546" i="3"/>
  <c r="AF546" i="3"/>
  <c r="AD546" i="3"/>
  <c r="AC546" i="3"/>
  <c r="Z546" i="3"/>
  <c r="AB546" i="3"/>
  <c r="X546" i="3"/>
  <c r="AA546" i="3"/>
  <c r="Y546" i="3"/>
  <c r="W546" i="3"/>
  <c r="V546" i="3"/>
  <c r="R546" i="3"/>
  <c r="T546" i="3"/>
  <c r="U546" i="3"/>
  <c r="O546" i="3"/>
  <c r="Q546" i="3"/>
  <c r="S546" i="3"/>
  <c r="M546" i="3"/>
  <c r="P546" i="3"/>
  <c r="I546" i="3"/>
  <c r="K546" i="3"/>
  <c r="N546" i="3"/>
  <c r="J546" i="3"/>
  <c r="AO546" i="3"/>
  <c r="AP546" i="3"/>
  <c r="I548" i="1"/>
  <c r="J547" i="1"/>
  <c r="V547" i="1"/>
  <c r="G547" i="3"/>
  <c r="Y547" i="1"/>
  <c r="Z547" i="1" s="1"/>
  <c r="G547" i="2"/>
  <c r="S547" i="1"/>
  <c r="W547" i="1" s="1"/>
  <c r="N547" i="1"/>
  <c r="O547" i="1"/>
  <c r="R547" i="1"/>
  <c r="AR546" i="2"/>
  <c r="AQ546" i="2"/>
  <c r="AN546" i="2"/>
  <c r="AM546" i="2"/>
  <c r="AL546" i="2"/>
  <c r="AK546" i="2"/>
  <c r="AJ546" i="2"/>
  <c r="AF546" i="2"/>
  <c r="AH546" i="2"/>
  <c r="AI546" i="2"/>
  <c r="AE546" i="2"/>
  <c r="AG546" i="2"/>
  <c r="AD546" i="2"/>
  <c r="AB546" i="2"/>
  <c r="AC546" i="2"/>
  <c r="AA546" i="2"/>
  <c r="Z546" i="2"/>
  <c r="Y546" i="2"/>
  <c r="V546" i="2"/>
  <c r="X546" i="2"/>
  <c r="W546" i="2"/>
  <c r="S546" i="2"/>
  <c r="U546" i="2"/>
  <c r="R546" i="2"/>
  <c r="T546" i="2"/>
  <c r="N546" i="2"/>
  <c r="Q546" i="2"/>
  <c r="P546" i="2"/>
  <c r="O546" i="2"/>
  <c r="I546" i="2"/>
  <c r="M546" i="2"/>
  <c r="K546" i="2"/>
  <c r="AO546" i="2"/>
  <c r="J546" i="2"/>
  <c r="AP546" i="2"/>
  <c r="L546" i="1"/>
  <c r="P546" i="1" s="1"/>
  <c r="AA546" i="1"/>
  <c r="J548" i="1" l="1"/>
  <c r="I549" i="1"/>
  <c r="V548" i="1"/>
  <c r="G548" i="3"/>
  <c r="Y548" i="1"/>
  <c r="Z548" i="1" s="1"/>
  <c r="G548" i="2"/>
  <c r="N548" i="1"/>
  <c r="R548" i="1"/>
  <c r="S548" i="1"/>
  <c r="O548" i="1"/>
  <c r="AR547" i="3"/>
  <c r="AN547" i="3"/>
  <c r="AQ547" i="3"/>
  <c r="AL547" i="3"/>
  <c r="AM547" i="3"/>
  <c r="AK547" i="3"/>
  <c r="AJ547" i="3"/>
  <c r="AG547" i="3"/>
  <c r="AH547" i="3"/>
  <c r="AI547" i="3"/>
  <c r="AF547" i="3"/>
  <c r="AE547" i="3"/>
  <c r="AD547" i="3"/>
  <c r="AC547" i="3"/>
  <c r="AB547" i="3"/>
  <c r="X547" i="3"/>
  <c r="AA547" i="3"/>
  <c r="Z547" i="3"/>
  <c r="Y547" i="3"/>
  <c r="V547" i="3"/>
  <c r="W547" i="3"/>
  <c r="U547" i="3"/>
  <c r="S547" i="3"/>
  <c r="R547" i="3"/>
  <c r="T547" i="3"/>
  <c r="Q547" i="3"/>
  <c r="P547" i="3"/>
  <c r="O547" i="3"/>
  <c r="N547" i="3"/>
  <c r="K547" i="3"/>
  <c r="M547" i="3"/>
  <c r="AP547" i="3"/>
  <c r="J547" i="3"/>
  <c r="I547" i="3"/>
  <c r="AO547" i="3"/>
  <c r="AR547" i="2"/>
  <c r="AQ547" i="2"/>
  <c r="AN547" i="2"/>
  <c r="AL547" i="2"/>
  <c r="AM547" i="2"/>
  <c r="AK547" i="2"/>
  <c r="AJ547" i="2"/>
  <c r="AH547" i="2"/>
  <c r="AI547" i="2"/>
  <c r="AG547" i="2"/>
  <c r="AE547" i="2"/>
  <c r="AF547" i="2"/>
  <c r="AB547" i="2"/>
  <c r="AD547" i="2"/>
  <c r="AA547" i="2"/>
  <c r="AC547" i="2"/>
  <c r="Y547" i="2"/>
  <c r="Z547" i="2"/>
  <c r="V547" i="2"/>
  <c r="X547" i="2"/>
  <c r="W547" i="2"/>
  <c r="S547" i="2"/>
  <c r="U547" i="2"/>
  <c r="R547" i="2"/>
  <c r="T547" i="2"/>
  <c r="P547" i="2"/>
  <c r="N547" i="2"/>
  <c r="Q547" i="2"/>
  <c r="O547" i="2"/>
  <c r="M547" i="2"/>
  <c r="J547" i="2"/>
  <c r="K547" i="2"/>
  <c r="I547" i="2"/>
  <c r="AP547" i="2"/>
  <c r="AO547" i="2"/>
  <c r="L547" i="1"/>
  <c r="P547" i="1" s="1"/>
  <c r="AA547" i="1"/>
  <c r="AR548" i="2" l="1"/>
  <c r="AQ548" i="2"/>
  <c r="AN548" i="2"/>
  <c r="AL548" i="2"/>
  <c r="AM548" i="2"/>
  <c r="AK548" i="2"/>
  <c r="AJ548" i="2"/>
  <c r="AH548" i="2"/>
  <c r="AF548" i="2"/>
  <c r="AI548" i="2"/>
  <c r="AG548" i="2"/>
  <c r="AE548" i="2"/>
  <c r="AD548" i="2"/>
  <c r="AA548" i="2"/>
  <c r="AB548" i="2"/>
  <c r="AC548" i="2"/>
  <c r="Y548" i="2"/>
  <c r="Z548" i="2"/>
  <c r="X548" i="2"/>
  <c r="W548" i="2"/>
  <c r="S548" i="2"/>
  <c r="V548" i="2"/>
  <c r="U548" i="2"/>
  <c r="T548" i="2"/>
  <c r="P548" i="2"/>
  <c r="R548" i="2"/>
  <c r="N548" i="2"/>
  <c r="Q548" i="2"/>
  <c r="J548" i="2"/>
  <c r="L548" i="2"/>
  <c r="O548" i="2"/>
  <c r="K548" i="2"/>
  <c r="I548" i="2"/>
  <c r="AP548" i="2"/>
  <c r="AO548" i="2"/>
  <c r="L548" i="1"/>
  <c r="P548" i="1" s="1"/>
  <c r="AA548" i="1"/>
  <c r="AR548" i="3"/>
  <c r="AQ548" i="3"/>
  <c r="AN548" i="3"/>
  <c r="AM548" i="3"/>
  <c r="AL548" i="3"/>
  <c r="AJ548" i="3"/>
  <c r="AK548" i="3"/>
  <c r="AG548" i="3"/>
  <c r="AF548" i="3"/>
  <c r="AH548" i="3"/>
  <c r="AI548" i="3"/>
  <c r="AE548" i="3"/>
  <c r="AD548" i="3"/>
  <c r="AC548" i="3"/>
  <c r="AB548" i="3"/>
  <c r="AA548" i="3"/>
  <c r="Z548" i="3"/>
  <c r="Y548" i="3"/>
  <c r="V548" i="3"/>
  <c r="X548" i="3"/>
  <c r="W548" i="3"/>
  <c r="S548" i="3"/>
  <c r="T548" i="3"/>
  <c r="U548" i="3"/>
  <c r="R548" i="3"/>
  <c r="O548" i="3"/>
  <c r="N548" i="3"/>
  <c r="Q548" i="3"/>
  <c r="P548" i="3"/>
  <c r="L548" i="3"/>
  <c r="I548" i="3"/>
  <c r="AO548" i="3"/>
  <c r="AP548" i="3"/>
  <c r="J548" i="3"/>
  <c r="K548" i="3"/>
  <c r="I550" i="1"/>
  <c r="J549" i="1"/>
  <c r="V549" i="1"/>
  <c r="G549" i="3"/>
  <c r="Y549" i="1"/>
  <c r="Z549" i="1" s="1"/>
  <c r="G549" i="2"/>
  <c r="S549" i="1"/>
  <c r="W549" i="1" s="1"/>
  <c r="N549" i="1"/>
  <c r="O549" i="1"/>
  <c r="R549" i="1"/>
  <c r="W548" i="1"/>
  <c r="L549" i="1" l="1"/>
  <c r="P549" i="1" s="1"/>
  <c r="AA549" i="1"/>
  <c r="J550" i="1"/>
  <c r="I551" i="1"/>
  <c r="V550" i="1"/>
  <c r="G550" i="3"/>
  <c r="Y550" i="1"/>
  <c r="Z550" i="1" s="1"/>
  <c r="G550" i="2"/>
  <c r="S550" i="1"/>
  <c r="O550" i="1"/>
  <c r="N550" i="1"/>
  <c r="R550" i="1"/>
  <c r="AR549" i="2"/>
  <c r="AQ549" i="2"/>
  <c r="AM549" i="2"/>
  <c r="AK549" i="2"/>
  <c r="AN549" i="2"/>
  <c r="AL549" i="2"/>
  <c r="AJ549" i="2"/>
  <c r="AH549" i="2"/>
  <c r="AI549" i="2"/>
  <c r="AG549" i="2"/>
  <c r="AF549" i="2"/>
  <c r="AB549" i="2"/>
  <c r="AE549" i="2"/>
  <c r="AD549" i="2"/>
  <c r="AA549" i="2"/>
  <c r="AC549" i="2"/>
  <c r="Y549" i="2"/>
  <c r="Z549" i="2"/>
  <c r="W549" i="2"/>
  <c r="X549" i="2"/>
  <c r="V549" i="2"/>
  <c r="U549" i="2"/>
  <c r="T549" i="2"/>
  <c r="R549" i="2"/>
  <c r="S549" i="2"/>
  <c r="Q549" i="2"/>
  <c r="P549" i="2"/>
  <c r="O549" i="2"/>
  <c r="L549" i="2"/>
  <c r="N549" i="2"/>
  <c r="K549" i="2"/>
  <c r="I549" i="2"/>
  <c r="J549" i="2"/>
  <c r="AP549" i="2"/>
  <c r="AO549" i="2"/>
  <c r="AQ549" i="3"/>
  <c r="AR549" i="3"/>
  <c r="AN549" i="3"/>
  <c r="AM549" i="3"/>
  <c r="AL549" i="3"/>
  <c r="AJ549" i="3"/>
  <c r="AK549" i="3"/>
  <c r="AG549" i="3"/>
  <c r="AI549" i="3"/>
  <c r="AF549" i="3"/>
  <c r="AH549" i="3"/>
  <c r="AB549" i="3"/>
  <c r="AD549" i="3"/>
  <c r="AC549" i="3"/>
  <c r="AE549" i="3"/>
  <c r="AA549" i="3"/>
  <c r="Y549" i="3"/>
  <c r="Z549" i="3"/>
  <c r="W549" i="3"/>
  <c r="V549" i="3"/>
  <c r="X549" i="3"/>
  <c r="S549" i="3"/>
  <c r="U549" i="3"/>
  <c r="T549" i="3"/>
  <c r="R549" i="3"/>
  <c r="P549" i="3"/>
  <c r="O549" i="3"/>
  <c r="N549" i="3"/>
  <c r="Q549" i="3"/>
  <c r="L549" i="3"/>
  <c r="K549" i="3"/>
  <c r="J549" i="3"/>
  <c r="I549" i="3"/>
  <c r="AO549" i="3"/>
  <c r="AP549" i="3"/>
  <c r="AR550" i="2" l="1"/>
  <c r="AQ550" i="2"/>
  <c r="AL550" i="2"/>
  <c r="AM550" i="2"/>
  <c r="AN550" i="2"/>
  <c r="AK550" i="2"/>
  <c r="AJ550" i="2"/>
  <c r="AH550" i="2"/>
  <c r="AI550" i="2"/>
  <c r="AG550" i="2"/>
  <c r="AE550" i="2"/>
  <c r="AF550" i="2"/>
  <c r="AD550" i="2"/>
  <c r="AC550" i="2"/>
  <c r="AA550" i="2"/>
  <c r="AB550" i="2"/>
  <c r="Z550" i="2"/>
  <c r="X550" i="2"/>
  <c r="W550" i="2"/>
  <c r="Y550" i="2"/>
  <c r="U550" i="2"/>
  <c r="T550" i="2"/>
  <c r="V550" i="2"/>
  <c r="S550" i="2"/>
  <c r="P550" i="2"/>
  <c r="R550" i="2"/>
  <c r="O550" i="2"/>
  <c r="Q550" i="2"/>
  <c r="J550" i="2"/>
  <c r="N550" i="2"/>
  <c r="L550" i="2"/>
  <c r="K550" i="2"/>
  <c r="I550" i="2"/>
  <c r="AP550" i="2"/>
  <c r="AO550" i="2"/>
  <c r="AQ550" i="3"/>
  <c r="AR550" i="3"/>
  <c r="AM550" i="3"/>
  <c r="AN550" i="3"/>
  <c r="AK550" i="3"/>
  <c r="AJ550" i="3"/>
  <c r="AL550" i="3"/>
  <c r="AI550" i="3"/>
  <c r="AH550" i="3"/>
  <c r="AG550" i="3"/>
  <c r="AF550" i="3"/>
  <c r="AE550" i="3"/>
  <c r="AB550" i="3"/>
  <c r="AD550" i="3"/>
  <c r="AA550" i="3"/>
  <c r="AC550" i="3"/>
  <c r="Y550" i="3"/>
  <c r="Z550" i="3"/>
  <c r="W550" i="3"/>
  <c r="X550" i="3"/>
  <c r="U550" i="3"/>
  <c r="V550" i="3"/>
  <c r="S550" i="3"/>
  <c r="P550" i="3"/>
  <c r="T550" i="3"/>
  <c r="R550" i="3"/>
  <c r="L550" i="3"/>
  <c r="O550" i="3"/>
  <c r="N550" i="3"/>
  <c r="Q550" i="3"/>
  <c r="J550" i="3"/>
  <c r="K550" i="3"/>
  <c r="I550" i="3"/>
  <c r="AO550" i="3"/>
  <c r="AP550" i="3"/>
  <c r="W550" i="1"/>
  <c r="L550" i="1"/>
  <c r="P550" i="1" s="1"/>
  <c r="AA550" i="1"/>
  <c r="J551" i="1"/>
  <c r="I552" i="1"/>
  <c r="V551" i="1"/>
  <c r="G551" i="3"/>
  <c r="Y551" i="1"/>
  <c r="Z551" i="1" s="1"/>
  <c r="G551" i="2"/>
  <c r="R551" i="1"/>
  <c r="O551" i="1"/>
  <c r="S551" i="1"/>
  <c r="W551" i="1" s="1"/>
  <c r="N551" i="1"/>
  <c r="L551" i="1" l="1"/>
  <c r="P551" i="1" s="1"/>
  <c r="AA551" i="1"/>
  <c r="J552" i="1"/>
  <c r="I553" i="1"/>
  <c r="G552" i="3"/>
  <c r="V552" i="1"/>
  <c r="Y552" i="1"/>
  <c r="Z552" i="1" s="1"/>
  <c r="G552" i="2"/>
  <c r="S552" i="1"/>
  <c r="N552" i="1"/>
  <c r="R552" i="1"/>
  <c r="O552" i="1"/>
  <c r="AR551" i="2"/>
  <c r="AQ551" i="2"/>
  <c r="AL551" i="2"/>
  <c r="AM551" i="2"/>
  <c r="AN551" i="2"/>
  <c r="AI551" i="2"/>
  <c r="AK551" i="2"/>
  <c r="AJ551" i="2"/>
  <c r="AH551" i="2"/>
  <c r="AG551" i="2"/>
  <c r="AD551" i="2"/>
  <c r="AC551" i="2"/>
  <c r="AE551" i="2"/>
  <c r="AF551" i="2"/>
  <c r="AB551" i="2"/>
  <c r="AA551" i="2"/>
  <c r="Z551" i="2"/>
  <c r="U551" i="2"/>
  <c r="X551" i="2"/>
  <c r="W551" i="2"/>
  <c r="Y551" i="2"/>
  <c r="T551" i="2"/>
  <c r="V551" i="2"/>
  <c r="S551" i="2"/>
  <c r="R551" i="2"/>
  <c r="Q551" i="2"/>
  <c r="P551" i="2"/>
  <c r="O551" i="2"/>
  <c r="L551" i="2"/>
  <c r="N551" i="2"/>
  <c r="K551" i="2"/>
  <c r="I551" i="2"/>
  <c r="J551" i="2"/>
  <c r="AP551" i="2"/>
  <c r="AO551" i="2"/>
  <c r="AQ551" i="3"/>
  <c r="AR551" i="3"/>
  <c r="AM551" i="3"/>
  <c r="AN551" i="3"/>
  <c r="AL551" i="3"/>
  <c r="AK551" i="3"/>
  <c r="AH551" i="3"/>
  <c r="AJ551" i="3"/>
  <c r="AI551" i="3"/>
  <c r="AG551" i="3"/>
  <c r="AF551" i="3"/>
  <c r="AE551" i="3"/>
  <c r="AB551" i="3"/>
  <c r="AD551" i="3"/>
  <c r="AC551" i="3"/>
  <c r="AA551" i="3"/>
  <c r="Z551" i="3"/>
  <c r="W551" i="3"/>
  <c r="Y551" i="3"/>
  <c r="X551" i="3"/>
  <c r="U551" i="3"/>
  <c r="V551" i="3"/>
  <c r="T551" i="3"/>
  <c r="S551" i="3"/>
  <c r="R551" i="3"/>
  <c r="P551" i="3"/>
  <c r="O551" i="3"/>
  <c r="Q551" i="3"/>
  <c r="J551" i="3"/>
  <c r="L551" i="3"/>
  <c r="N551" i="3"/>
  <c r="AO551" i="3"/>
  <c r="I551" i="3"/>
  <c r="AP551" i="3"/>
  <c r="K551" i="3"/>
  <c r="AR552" i="2" l="1"/>
  <c r="AQ552" i="2"/>
  <c r="AM552" i="2"/>
  <c r="AN552" i="2"/>
  <c r="AI552" i="2"/>
  <c r="AL552" i="2"/>
  <c r="AK552" i="2"/>
  <c r="AG552" i="2"/>
  <c r="AJ552" i="2"/>
  <c r="AH552" i="2"/>
  <c r="AF552" i="2"/>
  <c r="AC552" i="2"/>
  <c r="AE552" i="2"/>
  <c r="AD552" i="2"/>
  <c r="AB552" i="2"/>
  <c r="Z552" i="2"/>
  <c r="AA552" i="2"/>
  <c r="X552" i="2"/>
  <c r="U552" i="2"/>
  <c r="W552" i="2"/>
  <c r="Y552" i="2"/>
  <c r="T552" i="2"/>
  <c r="V552" i="2"/>
  <c r="Q552" i="2"/>
  <c r="S552" i="2"/>
  <c r="R552" i="2"/>
  <c r="P552" i="2"/>
  <c r="O552" i="2"/>
  <c r="K552" i="2"/>
  <c r="L552" i="2"/>
  <c r="N552" i="2"/>
  <c r="J552" i="2"/>
  <c r="AP552" i="2"/>
  <c r="I552" i="2"/>
  <c r="AO552" i="2"/>
  <c r="L552" i="1"/>
  <c r="P552" i="1" s="1"/>
  <c r="AA552" i="1"/>
  <c r="AR552" i="3"/>
  <c r="AQ552" i="3"/>
  <c r="AL552" i="3"/>
  <c r="AN552" i="3"/>
  <c r="AM552" i="3"/>
  <c r="AK552" i="3"/>
  <c r="AH552" i="3"/>
  <c r="AJ552" i="3"/>
  <c r="AI552" i="3"/>
  <c r="AG552" i="3"/>
  <c r="AF552" i="3"/>
  <c r="AD552" i="3"/>
  <c r="AE552" i="3"/>
  <c r="AC552" i="3"/>
  <c r="AB552" i="3"/>
  <c r="AA552" i="3"/>
  <c r="Z552" i="3"/>
  <c r="Y552" i="3"/>
  <c r="X552" i="3"/>
  <c r="W552" i="3"/>
  <c r="V552" i="3"/>
  <c r="U552" i="3"/>
  <c r="T552" i="3"/>
  <c r="P552" i="3"/>
  <c r="S552" i="3"/>
  <c r="R552" i="3"/>
  <c r="Q552" i="3"/>
  <c r="N552" i="3"/>
  <c r="J552" i="3"/>
  <c r="L552" i="3"/>
  <c r="O552" i="3"/>
  <c r="I552" i="3"/>
  <c r="AO552" i="3"/>
  <c r="AP552" i="3"/>
  <c r="K552" i="3"/>
  <c r="J553" i="1"/>
  <c r="I554" i="1"/>
  <c r="V553" i="1"/>
  <c r="G553" i="3"/>
  <c r="Y553" i="1"/>
  <c r="Z553" i="1" s="1"/>
  <c r="G553" i="2"/>
  <c r="N553" i="1"/>
  <c r="O553" i="1"/>
  <c r="S553" i="1"/>
  <c r="W553" i="1" s="1"/>
  <c r="R553" i="1"/>
  <c r="W552" i="1"/>
  <c r="L553" i="1" l="1"/>
  <c r="P553" i="1" s="1"/>
  <c r="AA553" i="1"/>
  <c r="I555" i="1"/>
  <c r="J554" i="1"/>
  <c r="V554" i="1"/>
  <c r="G554" i="3"/>
  <c r="Y554" i="1"/>
  <c r="Z554" i="1" s="1"/>
  <c r="G554" i="2"/>
  <c r="S554" i="1"/>
  <c r="O554" i="1"/>
  <c r="N554" i="1"/>
  <c r="R554" i="1"/>
  <c r="AR553" i="2"/>
  <c r="AQ553" i="2"/>
  <c r="AN553" i="2"/>
  <c r="AM553" i="2"/>
  <c r="AL553" i="2"/>
  <c r="AK553" i="2"/>
  <c r="AI553" i="2"/>
  <c r="AJ553" i="2"/>
  <c r="AF553" i="2"/>
  <c r="AG553" i="2"/>
  <c r="AH553" i="2"/>
  <c r="AD553" i="2"/>
  <c r="AC553" i="2"/>
  <c r="AE553" i="2"/>
  <c r="AB553" i="2"/>
  <c r="X553" i="2"/>
  <c r="AA553" i="2"/>
  <c r="Z553" i="2"/>
  <c r="Y553" i="2"/>
  <c r="T553" i="2"/>
  <c r="U553" i="2"/>
  <c r="W553" i="2"/>
  <c r="V553" i="2"/>
  <c r="Q553" i="2"/>
  <c r="S553" i="2"/>
  <c r="R553" i="2"/>
  <c r="P553" i="2"/>
  <c r="O553" i="2"/>
  <c r="K553" i="2"/>
  <c r="L553" i="2"/>
  <c r="N553" i="2"/>
  <c r="I553" i="2"/>
  <c r="J553" i="2"/>
  <c r="AP553" i="2"/>
  <c r="AO553" i="2"/>
  <c r="AR553" i="3"/>
  <c r="AQ553" i="3"/>
  <c r="AM553" i="3"/>
  <c r="AN553" i="3"/>
  <c r="AL553" i="3"/>
  <c r="AK553" i="3"/>
  <c r="AI553" i="3"/>
  <c r="AH553" i="3"/>
  <c r="AJ553" i="3"/>
  <c r="AD553" i="3"/>
  <c r="AG553" i="3"/>
  <c r="AF553" i="3"/>
  <c r="AC553" i="3"/>
  <c r="AE553" i="3"/>
  <c r="AB553" i="3"/>
  <c r="AA553" i="3"/>
  <c r="Z553" i="3"/>
  <c r="W553" i="3"/>
  <c r="U553" i="3"/>
  <c r="X553" i="3"/>
  <c r="Y553" i="3"/>
  <c r="T553" i="3"/>
  <c r="V553" i="3"/>
  <c r="S553" i="3"/>
  <c r="R553" i="3"/>
  <c r="Q553" i="3"/>
  <c r="P553" i="3"/>
  <c r="O553" i="3"/>
  <c r="N553" i="3"/>
  <c r="L553" i="3"/>
  <c r="K553" i="3"/>
  <c r="I553" i="3"/>
  <c r="AO553" i="3"/>
  <c r="AP553" i="3"/>
  <c r="J553" i="3"/>
  <c r="AR554" i="2" l="1"/>
  <c r="AQ554" i="2"/>
  <c r="AN554" i="2"/>
  <c r="AM554" i="2"/>
  <c r="AI554" i="2"/>
  <c r="AL554" i="2"/>
  <c r="AK554" i="2"/>
  <c r="AJ554" i="2"/>
  <c r="AH554" i="2"/>
  <c r="AF554" i="2"/>
  <c r="AG554" i="2"/>
  <c r="AE554" i="2"/>
  <c r="AD554" i="2"/>
  <c r="AB554" i="2"/>
  <c r="Z554" i="2"/>
  <c r="AC554" i="2"/>
  <c r="AA554" i="2"/>
  <c r="X554" i="2"/>
  <c r="W554" i="2"/>
  <c r="Y554" i="2"/>
  <c r="V554" i="2"/>
  <c r="U554" i="2"/>
  <c r="T554" i="2"/>
  <c r="Q554" i="2"/>
  <c r="S554" i="2"/>
  <c r="R554" i="2"/>
  <c r="P554" i="2"/>
  <c r="K554" i="2"/>
  <c r="O554" i="2"/>
  <c r="L554" i="2"/>
  <c r="N554" i="2"/>
  <c r="AO554" i="2"/>
  <c r="J554" i="2"/>
  <c r="AP554" i="2"/>
  <c r="I554" i="2"/>
  <c r="AR554" i="3"/>
  <c r="AN554" i="3"/>
  <c r="AM554" i="3"/>
  <c r="AQ554" i="3"/>
  <c r="AL554" i="3"/>
  <c r="AI554" i="3"/>
  <c r="AK554" i="3"/>
  <c r="AJ554" i="3"/>
  <c r="AE554" i="3"/>
  <c r="AH554" i="3"/>
  <c r="AG554" i="3"/>
  <c r="AF554" i="3"/>
  <c r="AC554" i="3"/>
  <c r="AD554" i="3"/>
  <c r="AB554" i="3"/>
  <c r="Z554" i="3"/>
  <c r="Y554" i="3"/>
  <c r="AA554" i="3"/>
  <c r="X554" i="3"/>
  <c r="U554" i="3"/>
  <c r="W554" i="3"/>
  <c r="R554" i="3"/>
  <c r="T554" i="3"/>
  <c r="V554" i="3"/>
  <c r="Q554" i="3"/>
  <c r="S554" i="3"/>
  <c r="P554" i="3"/>
  <c r="O554" i="3"/>
  <c r="K554" i="3"/>
  <c r="N554" i="3"/>
  <c r="L554" i="3"/>
  <c r="I554" i="3"/>
  <c r="AO554" i="3"/>
  <c r="AP554" i="3"/>
  <c r="J554" i="3"/>
  <c r="I556" i="1"/>
  <c r="J555" i="1"/>
  <c r="G555" i="3"/>
  <c r="V555" i="1"/>
  <c r="Y555" i="1"/>
  <c r="Z555" i="1" s="1"/>
  <c r="G555" i="2"/>
  <c r="S555" i="1"/>
  <c r="R555" i="1"/>
  <c r="N555" i="1"/>
  <c r="O555" i="1"/>
  <c r="L554" i="1"/>
  <c r="P554" i="1" s="1"/>
  <c r="AA554" i="1"/>
  <c r="W554" i="1"/>
  <c r="AR555" i="2" l="1"/>
  <c r="AQ555" i="2"/>
  <c r="AN555" i="2"/>
  <c r="AM555" i="2"/>
  <c r="AL555" i="2"/>
  <c r="AK555" i="2"/>
  <c r="AJ555" i="2"/>
  <c r="AI555" i="2"/>
  <c r="AH555" i="2"/>
  <c r="AF555" i="2"/>
  <c r="AE555" i="2"/>
  <c r="AG555" i="2"/>
  <c r="AD555" i="2"/>
  <c r="AC555" i="2"/>
  <c r="AB555" i="2"/>
  <c r="Z555" i="2"/>
  <c r="X555" i="2"/>
  <c r="AA555" i="2"/>
  <c r="V555" i="2"/>
  <c r="Y555" i="2"/>
  <c r="W555" i="2"/>
  <c r="U555" i="2"/>
  <c r="S555" i="2"/>
  <c r="T555" i="2"/>
  <c r="R555" i="2"/>
  <c r="P555" i="2"/>
  <c r="Q555" i="2"/>
  <c r="N555" i="2"/>
  <c r="O555" i="2"/>
  <c r="L555" i="2"/>
  <c r="I555" i="2"/>
  <c r="AO555" i="2"/>
  <c r="J555" i="2"/>
  <c r="K555" i="2"/>
  <c r="AP555" i="2"/>
  <c r="L555" i="1"/>
  <c r="P555" i="1" s="1"/>
  <c r="AA555" i="1"/>
  <c r="AR555" i="3"/>
  <c r="AN555" i="3"/>
  <c r="AM555" i="3"/>
  <c r="AQ555" i="3"/>
  <c r="AL555" i="3"/>
  <c r="AI555" i="3"/>
  <c r="AK555" i="3"/>
  <c r="AJ555" i="3"/>
  <c r="AH555" i="3"/>
  <c r="AD555" i="3"/>
  <c r="AG555" i="3"/>
  <c r="AF555" i="3"/>
  <c r="AC555" i="3"/>
  <c r="AE555" i="3"/>
  <c r="AB555" i="3"/>
  <c r="X555" i="3"/>
  <c r="Z555" i="3"/>
  <c r="Y555" i="3"/>
  <c r="AA555" i="3"/>
  <c r="U555" i="3"/>
  <c r="W555" i="3"/>
  <c r="R555" i="3"/>
  <c r="T555" i="3"/>
  <c r="V555" i="3"/>
  <c r="Q555" i="3"/>
  <c r="S555" i="3"/>
  <c r="P555" i="3"/>
  <c r="O555" i="3"/>
  <c r="K555" i="3"/>
  <c r="N555" i="3"/>
  <c r="L555" i="3"/>
  <c r="I555" i="3"/>
  <c r="AO555" i="3"/>
  <c r="AP555" i="3"/>
  <c r="J555" i="3"/>
  <c r="J556" i="1"/>
  <c r="I557" i="1"/>
  <c r="G556" i="3"/>
  <c r="V556" i="1"/>
  <c r="Y556" i="1"/>
  <c r="Z556" i="1" s="1"/>
  <c r="G556" i="2"/>
  <c r="R556" i="1"/>
  <c r="O556" i="1"/>
  <c r="N556" i="1"/>
  <c r="S556" i="1"/>
  <c r="W556" i="1" s="1"/>
  <c r="W555" i="1"/>
  <c r="I558" i="1" l="1"/>
  <c r="J557" i="1"/>
  <c r="V557" i="1"/>
  <c r="G557" i="3"/>
  <c r="Y557" i="1"/>
  <c r="Z557" i="1" s="1"/>
  <c r="G557" i="2"/>
  <c r="S557" i="1"/>
  <c r="W557" i="1" s="1"/>
  <c r="N557" i="1"/>
  <c r="O557" i="1"/>
  <c r="R557" i="1"/>
  <c r="AR556" i="2"/>
  <c r="AQ556" i="2"/>
  <c r="AN556" i="2"/>
  <c r="AM556" i="2"/>
  <c r="AJ556" i="2"/>
  <c r="AL556" i="2"/>
  <c r="AK556" i="2"/>
  <c r="AI556" i="2"/>
  <c r="AH556" i="2"/>
  <c r="AF556" i="2"/>
  <c r="AE556" i="2"/>
  <c r="AG556" i="2"/>
  <c r="AD556" i="2"/>
  <c r="AB556" i="2"/>
  <c r="AC556" i="2"/>
  <c r="AA556" i="2"/>
  <c r="Z556" i="2"/>
  <c r="Y556" i="2"/>
  <c r="V556" i="2"/>
  <c r="X556" i="2"/>
  <c r="W556" i="2"/>
  <c r="S556" i="2"/>
  <c r="U556" i="2"/>
  <c r="R556" i="2"/>
  <c r="T556" i="2"/>
  <c r="Q556" i="2"/>
  <c r="N556" i="2"/>
  <c r="P556" i="2"/>
  <c r="L556" i="2"/>
  <c r="I556" i="2"/>
  <c r="O556" i="2"/>
  <c r="AO556" i="2"/>
  <c r="J556" i="2"/>
  <c r="K556" i="2"/>
  <c r="AP556" i="2"/>
  <c r="L556" i="1"/>
  <c r="P556" i="1" s="1"/>
  <c r="AA556" i="1"/>
  <c r="AR556" i="3"/>
  <c r="AN556" i="3"/>
  <c r="AM556" i="3"/>
  <c r="AQ556" i="3"/>
  <c r="AI556" i="3"/>
  <c r="AK556" i="3"/>
  <c r="AL556" i="3"/>
  <c r="AJ556" i="3"/>
  <c r="AG556" i="3"/>
  <c r="AH556" i="3"/>
  <c r="AF556" i="3"/>
  <c r="AE556" i="3"/>
  <c r="AD556" i="3"/>
  <c r="AC556" i="3"/>
  <c r="Z556" i="3"/>
  <c r="AB556" i="3"/>
  <c r="X556" i="3"/>
  <c r="Y556" i="3"/>
  <c r="AA556" i="3"/>
  <c r="W556" i="3"/>
  <c r="V556" i="3"/>
  <c r="U556" i="3"/>
  <c r="R556" i="3"/>
  <c r="T556" i="3"/>
  <c r="O556" i="3"/>
  <c r="Q556" i="3"/>
  <c r="S556" i="3"/>
  <c r="P556" i="3"/>
  <c r="I556" i="3"/>
  <c r="K556" i="3"/>
  <c r="N556" i="3"/>
  <c r="L556" i="3"/>
  <c r="J556" i="3"/>
  <c r="AO556" i="3"/>
  <c r="AP556" i="3"/>
  <c r="AR557" i="3" l="1"/>
  <c r="AN557" i="3"/>
  <c r="AQ557" i="3"/>
  <c r="AM557" i="3"/>
  <c r="AK557" i="3"/>
  <c r="AL557" i="3"/>
  <c r="AJ557" i="3"/>
  <c r="AG557" i="3"/>
  <c r="AI557" i="3"/>
  <c r="AH557" i="3"/>
  <c r="AF557" i="3"/>
  <c r="AE557" i="3"/>
  <c r="AD557" i="3"/>
  <c r="AC557" i="3"/>
  <c r="AB557" i="3"/>
  <c r="X557" i="3"/>
  <c r="Z557" i="3"/>
  <c r="Y557" i="3"/>
  <c r="AA557" i="3"/>
  <c r="V557" i="3"/>
  <c r="W557" i="3"/>
  <c r="U557" i="3"/>
  <c r="S557" i="3"/>
  <c r="T557" i="3"/>
  <c r="R557" i="3"/>
  <c r="P557" i="3"/>
  <c r="Q557" i="3"/>
  <c r="O557" i="3"/>
  <c r="N557" i="3"/>
  <c r="K557" i="3"/>
  <c r="L557" i="3"/>
  <c r="AP557" i="3"/>
  <c r="J557" i="3"/>
  <c r="I557" i="3"/>
  <c r="AO557" i="3"/>
  <c r="L557" i="1"/>
  <c r="P557" i="1" s="1"/>
  <c r="AA557" i="1"/>
  <c r="AR557" i="2"/>
  <c r="AQ557" i="2"/>
  <c r="AN557" i="2"/>
  <c r="AM557" i="2"/>
  <c r="AL557" i="2"/>
  <c r="AK557" i="2"/>
  <c r="AJ557" i="2"/>
  <c r="AI557" i="2"/>
  <c r="AH557" i="2"/>
  <c r="AF557" i="2"/>
  <c r="AE557" i="2"/>
  <c r="AG557" i="2"/>
  <c r="AB557" i="2"/>
  <c r="AD557" i="2"/>
  <c r="AA557" i="2"/>
  <c r="AC557" i="2"/>
  <c r="Y557" i="2"/>
  <c r="Z557" i="2"/>
  <c r="V557" i="2"/>
  <c r="X557" i="2"/>
  <c r="W557" i="2"/>
  <c r="S557" i="2"/>
  <c r="U557" i="2"/>
  <c r="R557" i="2"/>
  <c r="T557" i="2"/>
  <c r="P557" i="2"/>
  <c r="Q557" i="2"/>
  <c r="N557" i="2"/>
  <c r="L557" i="2"/>
  <c r="O557" i="2"/>
  <c r="J557" i="2"/>
  <c r="I557" i="2"/>
  <c r="K557" i="2"/>
  <c r="AO557" i="2"/>
  <c r="AP557" i="2"/>
  <c r="J558" i="1"/>
  <c r="I559" i="1"/>
  <c r="V558" i="1"/>
  <c r="G558" i="3"/>
  <c r="Y558" i="1"/>
  <c r="Z558" i="1" s="1"/>
  <c r="G558" i="2"/>
  <c r="N558" i="1"/>
  <c r="R558" i="1"/>
  <c r="O558" i="1"/>
  <c r="S558" i="1"/>
  <c r="W558" i="1" s="1"/>
  <c r="I560" i="1" l="1"/>
  <c r="J559" i="1"/>
  <c r="V559" i="1"/>
  <c r="G559" i="3"/>
  <c r="Y559" i="1"/>
  <c r="Z559" i="1" s="1"/>
  <c r="G559" i="2"/>
  <c r="S559" i="1"/>
  <c r="W559" i="1" s="1"/>
  <c r="N559" i="1"/>
  <c r="O559" i="1"/>
  <c r="R559" i="1"/>
  <c r="AR558" i="2"/>
  <c r="AQ558" i="2"/>
  <c r="AN558" i="2"/>
  <c r="AL558" i="2"/>
  <c r="AM558" i="2"/>
  <c r="AK558" i="2"/>
  <c r="AJ558" i="2"/>
  <c r="AH558" i="2"/>
  <c r="AI558" i="2"/>
  <c r="AF558" i="2"/>
  <c r="AG558" i="2"/>
  <c r="AD558" i="2"/>
  <c r="AE558" i="2"/>
  <c r="AA558" i="2"/>
  <c r="AC558" i="2"/>
  <c r="AB558" i="2"/>
  <c r="Y558" i="2"/>
  <c r="Z558" i="2"/>
  <c r="X558" i="2"/>
  <c r="W558" i="2"/>
  <c r="V558" i="2"/>
  <c r="S558" i="2"/>
  <c r="U558" i="2"/>
  <c r="P558" i="2"/>
  <c r="R558" i="2"/>
  <c r="T558" i="2"/>
  <c r="Q558" i="2"/>
  <c r="J558" i="2"/>
  <c r="L558" i="2"/>
  <c r="M558" i="2"/>
  <c r="O558" i="2"/>
  <c r="I558" i="2"/>
  <c r="K558" i="2"/>
  <c r="AO558" i="2"/>
  <c r="AP558" i="2"/>
  <c r="AQ558" i="3"/>
  <c r="AR558" i="3"/>
  <c r="AN558" i="3"/>
  <c r="AM558" i="3"/>
  <c r="AL558" i="3"/>
  <c r="AJ558" i="3"/>
  <c r="AI558" i="3"/>
  <c r="AG558" i="3"/>
  <c r="AK558" i="3"/>
  <c r="AF558" i="3"/>
  <c r="AH558" i="3"/>
  <c r="AE558" i="3"/>
  <c r="AD558" i="3"/>
  <c r="AC558" i="3"/>
  <c r="AB558" i="3"/>
  <c r="AA558" i="3"/>
  <c r="Z558" i="3"/>
  <c r="Y558" i="3"/>
  <c r="V558" i="3"/>
  <c r="X558" i="3"/>
  <c r="S558" i="3"/>
  <c r="W558" i="3"/>
  <c r="U558" i="3"/>
  <c r="T558" i="3"/>
  <c r="R558" i="3"/>
  <c r="P558" i="3"/>
  <c r="Q558" i="3"/>
  <c r="O558" i="3"/>
  <c r="L558" i="3"/>
  <c r="I558" i="3"/>
  <c r="M558" i="3"/>
  <c r="K558" i="3"/>
  <c r="AP558" i="3"/>
  <c r="J558" i="3"/>
  <c r="AO558" i="3"/>
  <c r="L558" i="1"/>
  <c r="P558" i="1" s="1"/>
  <c r="AA558" i="1"/>
  <c r="AR559" i="2" l="1"/>
  <c r="AQ559" i="2"/>
  <c r="AN559" i="2"/>
  <c r="AK559" i="2"/>
  <c r="AL559" i="2"/>
  <c r="AM559" i="2"/>
  <c r="AH559" i="2"/>
  <c r="AJ559" i="2"/>
  <c r="AI559" i="2"/>
  <c r="AG559" i="2"/>
  <c r="AB559" i="2"/>
  <c r="AD559" i="2"/>
  <c r="AF559" i="2"/>
  <c r="AE559" i="2"/>
  <c r="AA559" i="2"/>
  <c r="AC559" i="2"/>
  <c r="Y559" i="2"/>
  <c r="W559" i="2"/>
  <c r="Z559" i="2"/>
  <c r="X559" i="2"/>
  <c r="V559" i="2"/>
  <c r="U559" i="2"/>
  <c r="T559" i="2"/>
  <c r="R559" i="2"/>
  <c r="S559" i="2"/>
  <c r="Q559" i="2"/>
  <c r="P559" i="2"/>
  <c r="O559" i="2"/>
  <c r="L559" i="2"/>
  <c r="M559" i="2"/>
  <c r="I559" i="2"/>
  <c r="J559" i="2"/>
  <c r="K559" i="2"/>
  <c r="AO559" i="2"/>
  <c r="AP559" i="2"/>
  <c r="AQ559" i="3"/>
  <c r="AR559" i="3"/>
  <c r="AN559" i="3"/>
  <c r="AL559" i="3"/>
  <c r="AM559" i="3"/>
  <c r="AJ559" i="3"/>
  <c r="AK559" i="3"/>
  <c r="AI559" i="3"/>
  <c r="AG559" i="3"/>
  <c r="AF559" i="3"/>
  <c r="AH559" i="3"/>
  <c r="AE559" i="3"/>
  <c r="AB559" i="3"/>
  <c r="AD559" i="3"/>
  <c r="AC559" i="3"/>
  <c r="AA559" i="3"/>
  <c r="Y559" i="3"/>
  <c r="Z559" i="3"/>
  <c r="V559" i="3"/>
  <c r="X559" i="3"/>
  <c r="W559" i="3"/>
  <c r="S559" i="3"/>
  <c r="U559" i="3"/>
  <c r="R559" i="3"/>
  <c r="T559" i="3"/>
  <c r="P559" i="3"/>
  <c r="O559" i="3"/>
  <c r="Q559" i="3"/>
  <c r="L559" i="3"/>
  <c r="M559" i="3"/>
  <c r="K559" i="3"/>
  <c r="J559" i="3"/>
  <c r="AO559" i="3"/>
  <c r="AP559" i="3"/>
  <c r="I559" i="3"/>
  <c r="L559" i="1"/>
  <c r="P559" i="1" s="1"/>
  <c r="AA559" i="1"/>
  <c r="I561" i="1"/>
  <c r="J560" i="1"/>
  <c r="G560" i="3"/>
  <c r="V560" i="1"/>
  <c r="Y560" i="1"/>
  <c r="Z560" i="1" s="1"/>
  <c r="G560" i="2"/>
  <c r="S560" i="1"/>
  <c r="W560" i="1" s="1"/>
  <c r="O560" i="1"/>
  <c r="N560" i="1"/>
  <c r="R560" i="1"/>
  <c r="J561" i="1" l="1"/>
  <c r="I562" i="1"/>
  <c r="V561" i="1"/>
  <c r="G561" i="3"/>
  <c r="Y561" i="1"/>
  <c r="Z561" i="1" s="1"/>
  <c r="G561" i="2"/>
  <c r="O561" i="1"/>
  <c r="R561" i="1"/>
  <c r="N561" i="1"/>
  <c r="S561" i="1"/>
  <c r="AQ560" i="2"/>
  <c r="AR560" i="2"/>
  <c r="AL560" i="2"/>
  <c r="AN560" i="2"/>
  <c r="AM560" i="2"/>
  <c r="AK560" i="2"/>
  <c r="AH560" i="2"/>
  <c r="AJ560" i="2"/>
  <c r="AG560" i="2"/>
  <c r="AI560" i="2"/>
  <c r="AF560" i="2"/>
  <c r="AE560" i="2"/>
  <c r="AC560" i="2"/>
  <c r="AD560" i="2"/>
  <c r="AA560" i="2"/>
  <c r="AB560" i="2"/>
  <c r="Z560" i="2"/>
  <c r="W560" i="2"/>
  <c r="X560" i="2"/>
  <c r="Y560" i="2"/>
  <c r="U560" i="2"/>
  <c r="T560" i="2"/>
  <c r="V560" i="2"/>
  <c r="P560" i="2"/>
  <c r="R560" i="2"/>
  <c r="S560" i="2"/>
  <c r="O560" i="2"/>
  <c r="Q560" i="2"/>
  <c r="J560" i="2"/>
  <c r="M560" i="2"/>
  <c r="K560" i="2"/>
  <c r="L560" i="2"/>
  <c r="I560" i="2"/>
  <c r="AO560" i="2"/>
  <c r="AP560" i="2"/>
  <c r="L560" i="1"/>
  <c r="P560" i="1" s="1"/>
  <c r="AA560" i="1"/>
  <c r="AR560" i="3"/>
  <c r="AQ560" i="3"/>
  <c r="AN560" i="3"/>
  <c r="AL560" i="3"/>
  <c r="AM560" i="3"/>
  <c r="AJ560" i="3"/>
  <c r="AK560" i="3"/>
  <c r="AI560" i="3"/>
  <c r="AH560" i="3"/>
  <c r="AF560" i="3"/>
  <c r="AG560" i="3"/>
  <c r="AB560" i="3"/>
  <c r="AD560" i="3"/>
  <c r="AE560" i="3"/>
  <c r="AA560" i="3"/>
  <c r="AC560" i="3"/>
  <c r="Y560" i="3"/>
  <c r="Z560" i="3"/>
  <c r="W560" i="3"/>
  <c r="X560" i="3"/>
  <c r="S560" i="3"/>
  <c r="V560" i="3"/>
  <c r="U560" i="3"/>
  <c r="P560" i="3"/>
  <c r="R560" i="3"/>
  <c r="T560" i="3"/>
  <c r="Q560" i="3"/>
  <c r="L560" i="3"/>
  <c r="O560" i="3"/>
  <c r="J560" i="3"/>
  <c r="M560" i="3"/>
  <c r="K560" i="3"/>
  <c r="AO560" i="3"/>
  <c r="AP560" i="3"/>
  <c r="I560" i="3"/>
  <c r="L561" i="1" l="1"/>
  <c r="P561" i="1" s="1"/>
  <c r="AA561" i="1"/>
  <c r="AR561" i="2"/>
  <c r="AQ561" i="2"/>
  <c r="AL561" i="2"/>
  <c r="AN561" i="2"/>
  <c r="AM561" i="2"/>
  <c r="AK561" i="2"/>
  <c r="AH561" i="2"/>
  <c r="AJ561" i="2"/>
  <c r="AG561" i="2"/>
  <c r="AI561" i="2"/>
  <c r="AD561" i="2"/>
  <c r="AF561" i="2"/>
  <c r="AC561" i="2"/>
  <c r="AE561" i="2"/>
  <c r="AB561" i="2"/>
  <c r="AA561" i="2"/>
  <c r="Z561" i="2"/>
  <c r="Y561" i="2"/>
  <c r="U561" i="2"/>
  <c r="W561" i="2"/>
  <c r="X561" i="2"/>
  <c r="T561" i="2"/>
  <c r="V561" i="2"/>
  <c r="R561" i="2"/>
  <c r="S561" i="2"/>
  <c r="Q561" i="2"/>
  <c r="O561" i="2"/>
  <c r="P561" i="2"/>
  <c r="M561" i="2"/>
  <c r="L561" i="2"/>
  <c r="K561" i="2"/>
  <c r="I561" i="2"/>
  <c r="J561" i="2"/>
  <c r="AP561" i="2"/>
  <c r="AO561" i="2"/>
  <c r="AR561" i="3"/>
  <c r="AQ561" i="3"/>
  <c r="AN561" i="3"/>
  <c r="AL561" i="3"/>
  <c r="AK561" i="3"/>
  <c r="AM561" i="3"/>
  <c r="AH561" i="3"/>
  <c r="AJ561" i="3"/>
  <c r="AI561" i="3"/>
  <c r="AF561" i="3"/>
  <c r="AG561" i="3"/>
  <c r="AB561" i="3"/>
  <c r="AD561" i="3"/>
  <c r="AE561" i="3"/>
  <c r="AC561" i="3"/>
  <c r="AA561" i="3"/>
  <c r="W561" i="3"/>
  <c r="Y561" i="3"/>
  <c r="Z561" i="3"/>
  <c r="X561" i="3"/>
  <c r="V561" i="3"/>
  <c r="U561" i="3"/>
  <c r="T561" i="3"/>
  <c r="S561" i="3"/>
  <c r="R561" i="3"/>
  <c r="Q561" i="3"/>
  <c r="O561" i="3"/>
  <c r="P561" i="3"/>
  <c r="J561" i="3"/>
  <c r="L561" i="3"/>
  <c r="M561" i="3"/>
  <c r="AO561" i="3"/>
  <c r="K561" i="3"/>
  <c r="AP561" i="3"/>
  <c r="I561" i="3"/>
  <c r="J562" i="1"/>
  <c r="I563" i="1"/>
  <c r="V562" i="1"/>
  <c r="G562" i="3"/>
  <c r="G562" i="2"/>
  <c r="Y562" i="1"/>
  <c r="Z562" i="1" s="1"/>
  <c r="N562" i="1"/>
  <c r="S562" i="1"/>
  <c r="W562" i="1" s="1"/>
  <c r="R562" i="1"/>
  <c r="O562" i="1"/>
  <c r="W561" i="1"/>
  <c r="L562" i="1" l="1"/>
  <c r="P562" i="1" s="1"/>
  <c r="AA562" i="1"/>
  <c r="J563" i="1"/>
  <c r="I564" i="1"/>
  <c r="V563" i="1"/>
  <c r="G563" i="3"/>
  <c r="Y563" i="1"/>
  <c r="Z563" i="1" s="1"/>
  <c r="G563" i="2"/>
  <c r="N563" i="1"/>
  <c r="O563" i="1"/>
  <c r="R563" i="1"/>
  <c r="S563" i="1"/>
  <c r="AR562" i="2"/>
  <c r="AQ562" i="2"/>
  <c r="AL562" i="2"/>
  <c r="AN562" i="2"/>
  <c r="AM562" i="2"/>
  <c r="AI562" i="2"/>
  <c r="AK562" i="2"/>
  <c r="AJ562" i="2"/>
  <c r="AH562" i="2"/>
  <c r="AG562" i="2"/>
  <c r="AC562" i="2"/>
  <c r="AE562" i="2"/>
  <c r="AF562" i="2"/>
  <c r="AD562" i="2"/>
  <c r="AB562" i="2"/>
  <c r="Z562" i="2"/>
  <c r="AA562" i="2"/>
  <c r="X562" i="2"/>
  <c r="Y562" i="2"/>
  <c r="U562" i="2"/>
  <c r="W562" i="2"/>
  <c r="T562" i="2"/>
  <c r="V562" i="2"/>
  <c r="Q562" i="2"/>
  <c r="R562" i="2"/>
  <c r="S562" i="2"/>
  <c r="M562" i="2"/>
  <c r="O562" i="2"/>
  <c r="P562" i="2"/>
  <c r="K562" i="2"/>
  <c r="L562" i="2"/>
  <c r="AP562" i="2"/>
  <c r="I562" i="2"/>
  <c r="J562" i="2"/>
  <c r="AO562" i="2"/>
  <c r="AR562" i="3"/>
  <c r="AQ562" i="3"/>
  <c r="AN562" i="3"/>
  <c r="AL562" i="3"/>
  <c r="AM562" i="3"/>
  <c r="AK562" i="3"/>
  <c r="AH562" i="3"/>
  <c r="AJ562" i="3"/>
  <c r="AI562" i="3"/>
  <c r="AF562" i="3"/>
  <c r="AG562" i="3"/>
  <c r="AD562" i="3"/>
  <c r="AE562" i="3"/>
  <c r="AC562" i="3"/>
  <c r="AA562" i="3"/>
  <c r="AB562" i="3"/>
  <c r="Y562" i="3"/>
  <c r="Z562" i="3"/>
  <c r="X562" i="3"/>
  <c r="W562" i="3"/>
  <c r="U562" i="3"/>
  <c r="T562" i="3"/>
  <c r="V562" i="3"/>
  <c r="S562" i="3"/>
  <c r="P562" i="3"/>
  <c r="R562" i="3"/>
  <c r="Q562" i="3"/>
  <c r="O562" i="3"/>
  <c r="J562" i="3"/>
  <c r="L562" i="3"/>
  <c r="M562" i="3"/>
  <c r="I562" i="3"/>
  <c r="K562" i="3"/>
  <c r="AO562" i="3"/>
  <c r="AP562" i="3"/>
  <c r="AR563" i="2" l="1"/>
  <c r="AQ563" i="2"/>
  <c r="AM563" i="2"/>
  <c r="AN563" i="2"/>
  <c r="AL563" i="2"/>
  <c r="AJ563" i="2"/>
  <c r="AK563" i="2"/>
  <c r="AI563" i="2"/>
  <c r="AH563" i="2"/>
  <c r="AG563" i="2"/>
  <c r="AC563" i="2"/>
  <c r="AE563" i="2"/>
  <c r="AF563" i="2"/>
  <c r="AD563" i="2"/>
  <c r="AB563" i="2"/>
  <c r="X563" i="2"/>
  <c r="AA563" i="2"/>
  <c r="Z563" i="2"/>
  <c r="Y563" i="2"/>
  <c r="W563" i="2"/>
  <c r="T563" i="2"/>
  <c r="V563" i="2"/>
  <c r="U563" i="2"/>
  <c r="Q563" i="2"/>
  <c r="R563" i="2"/>
  <c r="S563" i="2"/>
  <c r="O563" i="2"/>
  <c r="P563" i="2"/>
  <c r="K563" i="2"/>
  <c r="M563" i="2"/>
  <c r="L563" i="2"/>
  <c r="I563" i="2"/>
  <c r="AP563" i="2"/>
  <c r="J563" i="2"/>
  <c r="AO563" i="2"/>
  <c r="L563" i="1"/>
  <c r="P563" i="1" s="1"/>
  <c r="AA563" i="1"/>
  <c r="I565" i="1"/>
  <c r="J564" i="1"/>
  <c r="V564" i="1"/>
  <c r="G564" i="3"/>
  <c r="Y564" i="1"/>
  <c r="Z564" i="1" s="1"/>
  <c r="G564" i="2"/>
  <c r="S564" i="1"/>
  <c r="W564" i="1" s="1"/>
  <c r="R564" i="1"/>
  <c r="N564" i="1"/>
  <c r="O564" i="1"/>
  <c r="AQ563" i="3"/>
  <c r="AR563" i="3"/>
  <c r="AN563" i="3"/>
  <c r="AM563" i="3"/>
  <c r="AL563" i="3"/>
  <c r="AK563" i="3"/>
  <c r="AI563" i="3"/>
  <c r="AH563" i="3"/>
  <c r="AJ563" i="3"/>
  <c r="AG563" i="3"/>
  <c r="AD563" i="3"/>
  <c r="AF563" i="3"/>
  <c r="AC563" i="3"/>
  <c r="AE563" i="3"/>
  <c r="AA563" i="3"/>
  <c r="AB563" i="3"/>
  <c r="Z563" i="3"/>
  <c r="W563" i="3"/>
  <c r="U563" i="3"/>
  <c r="Y563" i="3"/>
  <c r="X563" i="3"/>
  <c r="T563" i="3"/>
  <c r="V563" i="3"/>
  <c r="S563" i="3"/>
  <c r="R563" i="3"/>
  <c r="Q563" i="3"/>
  <c r="P563" i="3"/>
  <c r="M563" i="3"/>
  <c r="L563" i="3"/>
  <c r="O563" i="3"/>
  <c r="K563" i="3"/>
  <c r="I563" i="3"/>
  <c r="J563" i="3"/>
  <c r="AO563" i="3"/>
  <c r="AP563" i="3"/>
  <c r="W563" i="1"/>
  <c r="L564" i="1" l="1"/>
  <c r="P564" i="1" s="1"/>
  <c r="AA564" i="1"/>
  <c r="AR564" i="2"/>
  <c r="AQ564" i="2"/>
  <c r="AM564" i="2"/>
  <c r="AN564" i="2"/>
  <c r="AI564" i="2"/>
  <c r="AK564" i="2"/>
  <c r="AL564" i="2"/>
  <c r="AJ564" i="2"/>
  <c r="AH564" i="2"/>
  <c r="AG564" i="2"/>
  <c r="AF564" i="2"/>
  <c r="AE564" i="2"/>
  <c r="AD564" i="2"/>
  <c r="Z564" i="2"/>
  <c r="AC564" i="2"/>
  <c r="AB564" i="2"/>
  <c r="AA564" i="2"/>
  <c r="Y564" i="2"/>
  <c r="W564" i="2"/>
  <c r="X564" i="2"/>
  <c r="V564" i="2"/>
  <c r="U564" i="2"/>
  <c r="S564" i="2"/>
  <c r="Q564" i="2"/>
  <c r="T564" i="2"/>
  <c r="R564" i="2"/>
  <c r="P564" i="2"/>
  <c r="M564" i="2"/>
  <c r="O564" i="2"/>
  <c r="K564" i="2"/>
  <c r="L564" i="2"/>
  <c r="AO564" i="2"/>
  <c r="AP564" i="2"/>
  <c r="I564" i="2"/>
  <c r="J564" i="2"/>
  <c r="AQ564" i="3"/>
  <c r="AR564" i="3"/>
  <c r="AN564" i="3"/>
  <c r="AM564" i="3"/>
  <c r="AL564" i="3"/>
  <c r="AI564" i="3"/>
  <c r="AK564" i="3"/>
  <c r="AJ564" i="3"/>
  <c r="AH564" i="3"/>
  <c r="AG564" i="3"/>
  <c r="AF564" i="3"/>
  <c r="AC564" i="3"/>
  <c r="AD564" i="3"/>
  <c r="AE564" i="3"/>
  <c r="AB564" i="3"/>
  <c r="Z564" i="3"/>
  <c r="AA564" i="3"/>
  <c r="Y564" i="3"/>
  <c r="X564" i="3"/>
  <c r="U564" i="3"/>
  <c r="W564" i="3"/>
  <c r="V564" i="3"/>
  <c r="R564" i="3"/>
  <c r="T564" i="3"/>
  <c r="Q564" i="3"/>
  <c r="S564" i="3"/>
  <c r="M564" i="3"/>
  <c r="O564" i="3"/>
  <c r="P564" i="3"/>
  <c r="K564" i="3"/>
  <c r="L564" i="3"/>
  <c r="I564" i="3"/>
  <c r="J564" i="3"/>
  <c r="AO564" i="3"/>
  <c r="AP564" i="3"/>
  <c r="I566" i="1"/>
  <c r="J565" i="1"/>
  <c r="G565" i="3"/>
  <c r="V565" i="1"/>
  <c r="Y565" i="1"/>
  <c r="Z565" i="1" s="1"/>
  <c r="G565" i="2"/>
  <c r="S565" i="1"/>
  <c r="W565" i="1" s="1"/>
  <c r="N565" i="1"/>
  <c r="O565" i="1"/>
  <c r="R565" i="1"/>
  <c r="I567" i="1" l="1"/>
  <c r="J566" i="1"/>
  <c r="V566" i="1"/>
  <c r="G566" i="3"/>
  <c r="Y566" i="1"/>
  <c r="Z566" i="1" s="1"/>
  <c r="G566" i="2"/>
  <c r="R566" i="1"/>
  <c r="O566" i="1"/>
  <c r="N566" i="1"/>
  <c r="S566" i="1"/>
  <c r="AR565" i="2"/>
  <c r="AQ565" i="2"/>
  <c r="AN565" i="2"/>
  <c r="AM565" i="2"/>
  <c r="AL565" i="2"/>
  <c r="AK565" i="2"/>
  <c r="AJ565" i="2"/>
  <c r="AI565" i="2"/>
  <c r="AH565" i="2"/>
  <c r="AF565" i="2"/>
  <c r="AG565" i="2"/>
  <c r="AE565" i="2"/>
  <c r="AD565" i="2"/>
  <c r="AC565" i="2"/>
  <c r="AB565" i="2"/>
  <c r="X565" i="2"/>
  <c r="Z565" i="2"/>
  <c r="AA565" i="2"/>
  <c r="V565" i="2"/>
  <c r="Y565" i="2"/>
  <c r="W565" i="2"/>
  <c r="U565" i="2"/>
  <c r="S565" i="2"/>
  <c r="T565" i="2"/>
  <c r="R565" i="2"/>
  <c r="P565" i="2"/>
  <c r="Q565" i="2"/>
  <c r="O565" i="2"/>
  <c r="M565" i="2"/>
  <c r="L565" i="2"/>
  <c r="J565" i="2"/>
  <c r="K565" i="2"/>
  <c r="AO565" i="2"/>
  <c r="I565" i="2"/>
  <c r="AP565" i="2"/>
  <c r="L565" i="1"/>
  <c r="P565" i="1" s="1"/>
  <c r="AA565" i="1"/>
  <c r="AR565" i="3"/>
  <c r="AN565" i="3"/>
  <c r="AQ565" i="3"/>
  <c r="AM565" i="3"/>
  <c r="AL565" i="3"/>
  <c r="AI565" i="3"/>
  <c r="AK565" i="3"/>
  <c r="AJ565" i="3"/>
  <c r="AH565" i="3"/>
  <c r="AG565" i="3"/>
  <c r="AD565" i="3"/>
  <c r="AF565" i="3"/>
  <c r="AE565" i="3"/>
  <c r="AC565" i="3"/>
  <c r="AB565" i="3"/>
  <c r="X565" i="3"/>
  <c r="AA565" i="3"/>
  <c r="Z565" i="3"/>
  <c r="Y565" i="3"/>
  <c r="W565" i="3"/>
  <c r="U565" i="3"/>
  <c r="V565" i="3"/>
  <c r="R565" i="3"/>
  <c r="T565" i="3"/>
  <c r="Q565" i="3"/>
  <c r="S565" i="3"/>
  <c r="P565" i="3"/>
  <c r="O565" i="3"/>
  <c r="K565" i="3"/>
  <c r="L565" i="3"/>
  <c r="M565" i="3"/>
  <c r="I565" i="3"/>
  <c r="J565" i="3"/>
  <c r="AO565" i="3"/>
  <c r="AP565" i="3"/>
  <c r="AR566" i="2" l="1"/>
  <c r="AN566" i="2"/>
  <c r="AQ566" i="2"/>
  <c r="AM566" i="2"/>
  <c r="AJ566" i="2"/>
  <c r="AL566" i="2"/>
  <c r="AK566" i="2"/>
  <c r="AI566" i="2"/>
  <c r="AF566" i="2"/>
  <c r="AH566" i="2"/>
  <c r="AG566" i="2"/>
  <c r="AE566" i="2"/>
  <c r="AD566" i="2"/>
  <c r="AB566" i="2"/>
  <c r="AC566" i="2"/>
  <c r="AA566" i="2"/>
  <c r="Z566" i="2"/>
  <c r="Y566" i="2"/>
  <c r="X566" i="2"/>
  <c r="V566" i="2"/>
  <c r="W566" i="2"/>
  <c r="S566" i="2"/>
  <c r="U566" i="2"/>
  <c r="R566" i="2"/>
  <c r="T566" i="2"/>
  <c r="P566" i="2"/>
  <c r="Q566" i="2"/>
  <c r="L566" i="2"/>
  <c r="O566" i="2"/>
  <c r="I566" i="2"/>
  <c r="M566" i="2"/>
  <c r="J566" i="2"/>
  <c r="K566" i="2"/>
  <c r="AO566" i="2"/>
  <c r="AP566" i="2"/>
  <c r="AN566" i="3"/>
  <c r="AR566" i="3"/>
  <c r="AM566" i="3"/>
  <c r="AQ566" i="3"/>
  <c r="AL566" i="3"/>
  <c r="AK566" i="3"/>
  <c r="AI566" i="3"/>
  <c r="AJ566" i="3"/>
  <c r="AG566" i="3"/>
  <c r="AH566" i="3"/>
  <c r="AF566" i="3"/>
  <c r="AE566" i="3"/>
  <c r="AC566" i="3"/>
  <c r="AD566" i="3"/>
  <c r="AB566" i="3"/>
  <c r="Z566" i="3"/>
  <c r="X566" i="3"/>
  <c r="AA566" i="3"/>
  <c r="Y566" i="3"/>
  <c r="W566" i="3"/>
  <c r="V566" i="3"/>
  <c r="R566" i="3"/>
  <c r="T566" i="3"/>
  <c r="U566" i="3"/>
  <c r="O566" i="3"/>
  <c r="Q566" i="3"/>
  <c r="S566" i="3"/>
  <c r="P566" i="3"/>
  <c r="M566" i="3"/>
  <c r="I566" i="3"/>
  <c r="K566" i="3"/>
  <c r="L566" i="3"/>
  <c r="J566" i="3"/>
  <c r="AO566" i="3"/>
  <c r="AP566" i="3"/>
  <c r="L566" i="1"/>
  <c r="P566" i="1" s="1"/>
  <c r="AA566" i="1"/>
  <c r="W566" i="1"/>
  <c r="J567" i="1"/>
  <c r="I568" i="1"/>
  <c r="V567" i="1"/>
  <c r="G567" i="3"/>
  <c r="Y567" i="1"/>
  <c r="Z567" i="1" s="1"/>
  <c r="G567" i="2"/>
  <c r="N567" i="1"/>
  <c r="S567" i="1"/>
  <c r="W567" i="1" s="1"/>
  <c r="O567" i="1"/>
  <c r="R567" i="1"/>
  <c r="AR567" i="3" l="1"/>
  <c r="AN567" i="3"/>
  <c r="AQ567" i="3"/>
  <c r="AM567" i="3"/>
  <c r="AL567" i="3"/>
  <c r="AK567" i="3"/>
  <c r="AJ567" i="3"/>
  <c r="AG567" i="3"/>
  <c r="AI567" i="3"/>
  <c r="AH567" i="3"/>
  <c r="AF567" i="3"/>
  <c r="AE567" i="3"/>
  <c r="AC567" i="3"/>
  <c r="AD567" i="3"/>
  <c r="AB567" i="3"/>
  <c r="Z567" i="3"/>
  <c r="X567" i="3"/>
  <c r="AA567" i="3"/>
  <c r="Y567" i="3"/>
  <c r="V567" i="3"/>
  <c r="W567" i="3"/>
  <c r="U567" i="3"/>
  <c r="S567" i="3"/>
  <c r="R567" i="3"/>
  <c r="T567" i="3"/>
  <c r="P567" i="3"/>
  <c r="Q567" i="3"/>
  <c r="O567" i="3"/>
  <c r="K567" i="3"/>
  <c r="L567" i="3"/>
  <c r="M567" i="3"/>
  <c r="AP567" i="3"/>
  <c r="I567" i="3"/>
  <c r="J567" i="3"/>
  <c r="AO567" i="3"/>
  <c r="AR567" i="2"/>
  <c r="AQ567" i="2"/>
  <c r="AN567" i="2"/>
  <c r="AM567" i="2"/>
  <c r="AJ567" i="2"/>
  <c r="AL567" i="2"/>
  <c r="AK567" i="2"/>
  <c r="AI567" i="2"/>
  <c r="AF567" i="2"/>
  <c r="AG567" i="2"/>
  <c r="AE567" i="2"/>
  <c r="AH567" i="2"/>
  <c r="AB567" i="2"/>
  <c r="AD567" i="2"/>
  <c r="AA567" i="2"/>
  <c r="AC567" i="2"/>
  <c r="Z567" i="2"/>
  <c r="Y567" i="2"/>
  <c r="X567" i="2"/>
  <c r="V567" i="2"/>
  <c r="W567" i="2"/>
  <c r="S567" i="2"/>
  <c r="U567" i="2"/>
  <c r="R567" i="2"/>
  <c r="T567" i="2"/>
  <c r="P567" i="2"/>
  <c r="Q567" i="2"/>
  <c r="M567" i="2"/>
  <c r="L567" i="2"/>
  <c r="O567" i="2"/>
  <c r="J567" i="2"/>
  <c r="K567" i="2"/>
  <c r="I567" i="2"/>
  <c r="AP567" i="2"/>
  <c r="AO567" i="2"/>
  <c r="L567" i="1"/>
  <c r="P567" i="1" s="1"/>
  <c r="AA567" i="1"/>
  <c r="J568" i="1"/>
  <c r="I569" i="1"/>
  <c r="V568" i="1"/>
  <c r="G568" i="3"/>
  <c r="Y568" i="1"/>
  <c r="Z568" i="1" s="1"/>
  <c r="G568" i="2"/>
  <c r="N568" i="1"/>
  <c r="R568" i="1"/>
  <c r="O568" i="1"/>
  <c r="S568" i="1"/>
  <c r="W568" i="1" s="1"/>
  <c r="I570" i="1" l="1"/>
  <c r="J569" i="1"/>
  <c r="V569" i="1"/>
  <c r="G569" i="3"/>
  <c r="Y569" i="1"/>
  <c r="Z569" i="1" s="1"/>
  <c r="G569" i="2"/>
  <c r="R569" i="1"/>
  <c r="S569" i="1"/>
  <c r="W569" i="1" s="1"/>
  <c r="N569" i="1"/>
  <c r="O569" i="1"/>
  <c r="AR568" i="2"/>
  <c r="AQ568" i="2"/>
  <c r="AN568" i="2"/>
  <c r="AM568" i="2"/>
  <c r="AK568" i="2"/>
  <c r="AJ568" i="2"/>
  <c r="AL568" i="2"/>
  <c r="AH568" i="2"/>
  <c r="AI568" i="2"/>
  <c r="AF568" i="2"/>
  <c r="AG568" i="2"/>
  <c r="AE568" i="2"/>
  <c r="AD568" i="2"/>
  <c r="AB568" i="2"/>
  <c r="AA568" i="2"/>
  <c r="AC568" i="2"/>
  <c r="Z568" i="2"/>
  <c r="Y568" i="2"/>
  <c r="X568" i="2"/>
  <c r="W568" i="2"/>
  <c r="U568" i="2"/>
  <c r="S568" i="2"/>
  <c r="V568" i="2"/>
  <c r="T568" i="2"/>
  <c r="P568" i="2"/>
  <c r="R568" i="2"/>
  <c r="N568" i="2"/>
  <c r="Q568" i="2"/>
  <c r="J568" i="2"/>
  <c r="M568" i="2"/>
  <c r="L568" i="2"/>
  <c r="I568" i="2"/>
  <c r="K568" i="2"/>
  <c r="AP568" i="2"/>
  <c r="AO568" i="2"/>
  <c r="AQ568" i="3"/>
  <c r="AR568" i="3"/>
  <c r="AM568" i="3"/>
  <c r="AN568" i="3"/>
  <c r="AJ568" i="3"/>
  <c r="AK568" i="3"/>
  <c r="AL568" i="3"/>
  <c r="AG568" i="3"/>
  <c r="AI568" i="3"/>
  <c r="AF568" i="3"/>
  <c r="AH568" i="3"/>
  <c r="AE568" i="3"/>
  <c r="AC568" i="3"/>
  <c r="AD568" i="3"/>
  <c r="AB568" i="3"/>
  <c r="AA568" i="3"/>
  <c r="Z568" i="3"/>
  <c r="Y568" i="3"/>
  <c r="V568" i="3"/>
  <c r="W568" i="3"/>
  <c r="X568" i="3"/>
  <c r="U568" i="3"/>
  <c r="S568" i="3"/>
  <c r="T568" i="3"/>
  <c r="R568" i="3"/>
  <c r="N568" i="3"/>
  <c r="P568" i="3"/>
  <c r="Q568" i="3"/>
  <c r="M568" i="3"/>
  <c r="I568" i="3"/>
  <c r="L568" i="3"/>
  <c r="AP568" i="3"/>
  <c r="K568" i="3"/>
  <c r="J568" i="3"/>
  <c r="AO568" i="3"/>
  <c r="L568" i="1"/>
  <c r="P568" i="1" s="1"/>
  <c r="AA568" i="1"/>
  <c r="AR569" i="2" l="1"/>
  <c r="AQ569" i="2"/>
  <c r="AK569" i="2"/>
  <c r="AN569" i="2"/>
  <c r="AM569" i="2"/>
  <c r="AL569" i="2"/>
  <c r="AH569" i="2"/>
  <c r="AJ569" i="2"/>
  <c r="AI569" i="2"/>
  <c r="AG569" i="2"/>
  <c r="AF569" i="2"/>
  <c r="AB569" i="2"/>
  <c r="AE569" i="2"/>
  <c r="AD569" i="2"/>
  <c r="AC569" i="2"/>
  <c r="AA569" i="2"/>
  <c r="Z569" i="2"/>
  <c r="Y569" i="2"/>
  <c r="W569" i="2"/>
  <c r="X569" i="2"/>
  <c r="U569" i="2"/>
  <c r="V569" i="2"/>
  <c r="T569" i="2"/>
  <c r="S569" i="2"/>
  <c r="R569" i="2"/>
  <c r="P569" i="2"/>
  <c r="Q569" i="2"/>
  <c r="N569" i="2"/>
  <c r="M569" i="2"/>
  <c r="L569" i="2"/>
  <c r="I569" i="2"/>
  <c r="J569" i="2"/>
  <c r="K569" i="2"/>
  <c r="AO569" i="2"/>
  <c r="AP569" i="2"/>
  <c r="AQ569" i="3"/>
  <c r="AR569" i="3"/>
  <c r="AM569" i="3"/>
  <c r="AN569" i="3"/>
  <c r="AL569" i="3"/>
  <c r="AJ569" i="3"/>
  <c r="AK569" i="3"/>
  <c r="AG569" i="3"/>
  <c r="AI569" i="3"/>
  <c r="AF569" i="3"/>
  <c r="AH569" i="3"/>
  <c r="AE569" i="3"/>
  <c r="AD569" i="3"/>
  <c r="AB569" i="3"/>
  <c r="AC569" i="3"/>
  <c r="AA569" i="3"/>
  <c r="Y569" i="3"/>
  <c r="Z569" i="3"/>
  <c r="V569" i="3"/>
  <c r="W569" i="3"/>
  <c r="X569" i="3"/>
  <c r="U569" i="3"/>
  <c r="S569" i="3"/>
  <c r="T569" i="3"/>
  <c r="R569" i="3"/>
  <c r="P569" i="3"/>
  <c r="N569" i="3"/>
  <c r="Q569" i="3"/>
  <c r="L569" i="3"/>
  <c r="M569" i="3"/>
  <c r="K569" i="3"/>
  <c r="J569" i="3"/>
  <c r="AP569" i="3"/>
  <c r="I569" i="3"/>
  <c r="AO569" i="3"/>
  <c r="L569" i="1"/>
  <c r="P569" i="1" s="1"/>
  <c r="AA569" i="1"/>
  <c r="J570" i="1"/>
  <c r="I571" i="1"/>
  <c r="G570" i="3"/>
  <c r="V570" i="1"/>
  <c r="Y570" i="1"/>
  <c r="Z570" i="1" s="1"/>
  <c r="G570" i="2"/>
  <c r="S570" i="1"/>
  <c r="W570" i="1" s="1"/>
  <c r="O570" i="1"/>
  <c r="N570" i="1"/>
  <c r="R570" i="1"/>
  <c r="AQ570" i="2" l="1"/>
  <c r="AR570" i="2"/>
  <c r="AL570" i="2"/>
  <c r="AN570" i="2"/>
  <c r="AM570" i="2"/>
  <c r="AK570" i="2"/>
  <c r="AH570" i="2"/>
  <c r="AG570" i="2"/>
  <c r="AJ570" i="2"/>
  <c r="AI570" i="2"/>
  <c r="AF570" i="2"/>
  <c r="AE570" i="2"/>
  <c r="AD570" i="2"/>
  <c r="AC570" i="2"/>
  <c r="AB570" i="2"/>
  <c r="AA570" i="2"/>
  <c r="Z570" i="2"/>
  <c r="W570" i="2"/>
  <c r="X570" i="2"/>
  <c r="Y570" i="2"/>
  <c r="U570" i="2"/>
  <c r="T570" i="2"/>
  <c r="V570" i="2"/>
  <c r="S570" i="2"/>
  <c r="P570" i="2"/>
  <c r="R570" i="2"/>
  <c r="Q570" i="2"/>
  <c r="J570" i="2"/>
  <c r="N570" i="2"/>
  <c r="M570" i="2"/>
  <c r="L570" i="2"/>
  <c r="I570" i="2"/>
  <c r="K570" i="2"/>
  <c r="AO570" i="2"/>
  <c r="AP570" i="2"/>
  <c r="I572" i="1"/>
  <c r="G571" i="3"/>
  <c r="V571" i="1"/>
  <c r="J571" i="1"/>
  <c r="Y571" i="1"/>
  <c r="Z571" i="1" s="1"/>
  <c r="G571" i="2"/>
  <c r="N571" i="1"/>
  <c r="R571" i="1"/>
  <c r="O571" i="1"/>
  <c r="S571" i="1"/>
  <c r="W571" i="1" s="1"/>
  <c r="L570" i="1"/>
  <c r="P570" i="1" s="1"/>
  <c r="AA570" i="1"/>
  <c r="AQ570" i="3"/>
  <c r="AR570" i="3"/>
  <c r="AN570" i="3"/>
  <c r="AM570" i="3"/>
  <c r="AJ570" i="3"/>
  <c r="AK570" i="3"/>
  <c r="AL570" i="3"/>
  <c r="AH570" i="3"/>
  <c r="AG570" i="3"/>
  <c r="AF570" i="3"/>
  <c r="AI570" i="3"/>
  <c r="AE570" i="3"/>
  <c r="AD570" i="3"/>
  <c r="AB570" i="3"/>
  <c r="AC570" i="3"/>
  <c r="AA570" i="3"/>
  <c r="Y570" i="3"/>
  <c r="Z570" i="3"/>
  <c r="W570" i="3"/>
  <c r="X570" i="3"/>
  <c r="V570" i="3"/>
  <c r="U570" i="3"/>
  <c r="S570" i="3"/>
  <c r="P570" i="3"/>
  <c r="T570" i="3"/>
  <c r="R570" i="3"/>
  <c r="L570" i="3"/>
  <c r="N570" i="3"/>
  <c r="Q570" i="3"/>
  <c r="J570" i="3"/>
  <c r="M570" i="3"/>
  <c r="K570" i="3"/>
  <c r="AO570" i="3"/>
  <c r="AP570" i="3"/>
  <c r="I570" i="3"/>
  <c r="L571" i="1" l="1"/>
  <c r="P571" i="1" s="1"/>
  <c r="AA571" i="1"/>
  <c r="AQ571" i="3"/>
  <c r="AR571" i="3"/>
  <c r="AN571" i="3"/>
  <c r="AL571" i="3"/>
  <c r="AK571" i="3"/>
  <c r="AM571" i="3"/>
  <c r="AH571" i="3"/>
  <c r="AJ571" i="3"/>
  <c r="AI571" i="3"/>
  <c r="AF571" i="3"/>
  <c r="AG571" i="3"/>
  <c r="AE571" i="3"/>
  <c r="AD571" i="3"/>
  <c r="AB571" i="3"/>
  <c r="AC571" i="3"/>
  <c r="AA571" i="3"/>
  <c r="W571" i="3"/>
  <c r="Y571" i="3"/>
  <c r="Z571" i="3"/>
  <c r="X571" i="3"/>
  <c r="V571" i="3"/>
  <c r="U571" i="3"/>
  <c r="T571" i="3"/>
  <c r="R571" i="3"/>
  <c r="S571" i="3"/>
  <c r="P571" i="3"/>
  <c r="Q571" i="3"/>
  <c r="L571" i="3"/>
  <c r="J571" i="3"/>
  <c r="M571" i="3"/>
  <c r="N571" i="3"/>
  <c r="AO571" i="3"/>
  <c r="K571" i="3"/>
  <c r="AP571" i="3"/>
  <c r="I571" i="3"/>
  <c r="AQ571" i="2"/>
  <c r="AR571" i="2"/>
  <c r="AL571" i="2"/>
  <c r="AN571" i="2"/>
  <c r="AM571" i="2"/>
  <c r="AK571" i="2"/>
  <c r="AH571" i="2"/>
  <c r="AJ571" i="2"/>
  <c r="AG571" i="2"/>
  <c r="AI571" i="2"/>
  <c r="AD571" i="2"/>
  <c r="AF571" i="2"/>
  <c r="AC571" i="2"/>
  <c r="AE571" i="2"/>
  <c r="AB571" i="2"/>
  <c r="AA571" i="2"/>
  <c r="U571" i="2"/>
  <c r="W571" i="2"/>
  <c r="Z571" i="2"/>
  <c r="X571" i="2"/>
  <c r="Y571" i="2"/>
  <c r="T571" i="2"/>
  <c r="V571" i="2"/>
  <c r="S571" i="2"/>
  <c r="R571" i="2"/>
  <c r="Q571" i="2"/>
  <c r="P571" i="2"/>
  <c r="M571" i="2"/>
  <c r="N571" i="2"/>
  <c r="L571" i="2"/>
  <c r="K571" i="2"/>
  <c r="J571" i="2"/>
  <c r="I571" i="2"/>
  <c r="AP571" i="2"/>
  <c r="AO571" i="2"/>
  <c r="J572" i="1"/>
  <c r="I573" i="1"/>
  <c r="V572" i="1"/>
  <c r="G572" i="3"/>
  <c r="Y572" i="1"/>
  <c r="Z572" i="1" s="1"/>
  <c r="G572" i="2"/>
  <c r="S572" i="1"/>
  <c r="R572" i="1"/>
  <c r="N572" i="1"/>
  <c r="O572" i="1"/>
  <c r="AR572" i="2" l="1"/>
  <c r="AQ572" i="2"/>
  <c r="AN572" i="2"/>
  <c r="AL572" i="2"/>
  <c r="AM572" i="2"/>
  <c r="AI572" i="2"/>
  <c r="AK572" i="2"/>
  <c r="AJ572" i="2"/>
  <c r="AG572" i="2"/>
  <c r="AH572" i="2"/>
  <c r="AF572" i="2"/>
  <c r="AC572" i="2"/>
  <c r="AE572" i="2"/>
  <c r="AD572" i="2"/>
  <c r="AB572" i="2"/>
  <c r="Z572" i="2"/>
  <c r="AA572" i="2"/>
  <c r="X572" i="2"/>
  <c r="U572" i="2"/>
  <c r="W572" i="2"/>
  <c r="Y572" i="2"/>
  <c r="V572" i="2"/>
  <c r="T572" i="2"/>
  <c r="Q572" i="2"/>
  <c r="S572" i="2"/>
  <c r="R572" i="2"/>
  <c r="M572" i="2"/>
  <c r="P572" i="2"/>
  <c r="K572" i="2"/>
  <c r="N572" i="2"/>
  <c r="L572" i="2"/>
  <c r="AP572" i="2"/>
  <c r="J572" i="2"/>
  <c r="I572" i="2"/>
  <c r="AO572" i="2"/>
  <c r="L572" i="1"/>
  <c r="P572" i="1" s="1"/>
  <c r="AA572" i="1"/>
  <c r="J573" i="1"/>
  <c r="I574" i="1"/>
  <c r="V573" i="1"/>
  <c r="G573" i="3"/>
  <c r="Y573" i="1"/>
  <c r="Z573" i="1" s="1"/>
  <c r="G573" i="2"/>
  <c r="N573" i="1"/>
  <c r="O573" i="1"/>
  <c r="R573" i="1"/>
  <c r="S573" i="1"/>
  <c r="W572" i="1"/>
  <c r="AR572" i="3"/>
  <c r="AQ572" i="3"/>
  <c r="AL572" i="3"/>
  <c r="AN572" i="3"/>
  <c r="AK572" i="3"/>
  <c r="AM572" i="3"/>
  <c r="AI572" i="3"/>
  <c r="AH572" i="3"/>
  <c r="AJ572" i="3"/>
  <c r="AF572" i="3"/>
  <c r="AG572" i="3"/>
  <c r="AD572" i="3"/>
  <c r="AE572" i="3"/>
  <c r="AC572" i="3"/>
  <c r="AB572" i="3"/>
  <c r="AA572" i="3"/>
  <c r="Y572" i="3"/>
  <c r="Z572" i="3"/>
  <c r="X572" i="3"/>
  <c r="W572" i="3"/>
  <c r="U572" i="3"/>
  <c r="T572" i="3"/>
  <c r="V572" i="3"/>
  <c r="R572" i="3"/>
  <c r="P572" i="3"/>
  <c r="S572" i="3"/>
  <c r="Q572" i="3"/>
  <c r="L572" i="3"/>
  <c r="J572" i="3"/>
  <c r="M572" i="3"/>
  <c r="N572" i="3"/>
  <c r="AO572" i="3"/>
  <c r="K572" i="3"/>
  <c r="AP572" i="3"/>
  <c r="I572" i="3"/>
  <c r="AR573" i="2" l="1"/>
  <c r="AQ573" i="2"/>
  <c r="AN573" i="2"/>
  <c r="AM573" i="2"/>
  <c r="AL573" i="2"/>
  <c r="AK573" i="2"/>
  <c r="AJ573" i="2"/>
  <c r="AI573" i="2"/>
  <c r="AH573" i="2"/>
  <c r="AG573" i="2"/>
  <c r="AF573" i="2"/>
  <c r="AC573" i="2"/>
  <c r="AD573" i="2"/>
  <c r="AE573" i="2"/>
  <c r="AB573" i="2"/>
  <c r="X573" i="2"/>
  <c r="AA573" i="2"/>
  <c r="Z573" i="2"/>
  <c r="Y573" i="2"/>
  <c r="V573" i="2"/>
  <c r="U573" i="2"/>
  <c r="W573" i="2"/>
  <c r="T573" i="2"/>
  <c r="Q573" i="2"/>
  <c r="S573" i="2"/>
  <c r="R573" i="2"/>
  <c r="P573" i="2"/>
  <c r="K573" i="2"/>
  <c r="M573" i="2"/>
  <c r="N573" i="2"/>
  <c r="L573" i="2"/>
  <c r="I573" i="2"/>
  <c r="AP573" i="2"/>
  <c r="J573" i="2"/>
  <c r="AO573" i="2"/>
  <c r="AR573" i="3"/>
  <c r="AQ573" i="3"/>
  <c r="AM573" i="3"/>
  <c r="AL573" i="3"/>
  <c r="AN573" i="3"/>
  <c r="AK573" i="3"/>
  <c r="AI573" i="3"/>
  <c r="AH573" i="3"/>
  <c r="AJ573" i="3"/>
  <c r="AG573" i="3"/>
  <c r="AD573" i="3"/>
  <c r="AF573" i="3"/>
  <c r="AC573" i="3"/>
  <c r="AE573" i="3"/>
  <c r="AB573" i="3"/>
  <c r="AA573" i="3"/>
  <c r="W573" i="3"/>
  <c r="Z573" i="3"/>
  <c r="U573" i="3"/>
  <c r="X573" i="3"/>
  <c r="Y573" i="3"/>
  <c r="T573" i="3"/>
  <c r="V573" i="3"/>
  <c r="R573" i="3"/>
  <c r="S573" i="3"/>
  <c r="Q573" i="3"/>
  <c r="P573" i="3"/>
  <c r="M573" i="3"/>
  <c r="L573" i="3"/>
  <c r="N573" i="3"/>
  <c r="K573" i="3"/>
  <c r="AO573" i="3"/>
  <c r="AP573" i="3"/>
  <c r="I573" i="3"/>
  <c r="J573" i="3"/>
  <c r="I575" i="1"/>
  <c r="J574" i="1"/>
  <c r="V574" i="1"/>
  <c r="G574" i="3"/>
  <c r="Y574" i="1"/>
  <c r="Z574" i="1" s="1"/>
  <c r="G574" i="2"/>
  <c r="S574" i="1"/>
  <c r="O574" i="1"/>
  <c r="N574" i="1"/>
  <c r="R574" i="1"/>
  <c r="L573" i="1"/>
  <c r="P573" i="1" s="1"/>
  <c r="AA573" i="1"/>
  <c r="W573" i="1"/>
  <c r="I576" i="1" l="1"/>
  <c r="J575" i="1"/>
  <c r="V575" i="1"/>
  <c r="G575" i="3"/>
  <c r="Y575" i="1"/>
  <c r="Z575" i="1" s="1"/>
  <c r="G575" i="2"/>
  <c r="S575" i="1"/>
  <c r="W575" i="1" s="1"/>
  <c r="R575" i="1"/>
  <c r="N575" i="1"/>
  <c r="O575" i="1"/>
  <c r="AR574" i="3"/>
  <c r="AN574" i="3"/>
  <c r="AM574" i="3"/>
  <c r="AQ574" i="3"/>
  <c r="AL574" i="3"/>
  <c r="AI574" i="3"/>
  <c r="AJ574" i="3"/>
  <c r="AK574" i="3"/>
  <c r="AH574" i="3"/>
  <c r="AG574" i="3"/>
  <c r="AF574" i="3"/>
  <c r="AC574" i="3"/>
  <c r="AD574" i="3"/>
  <c r="AE574" i="3"/>
  <c r="AB574" i="3"/>
  <c r="Z574" i="3"/>
  <c r="AA574" i="3"/>
  <c r="Y574" i="3"/>
  <c r="X574" i="3"/>
  <c r="U574" i="3"/>
  <c r="R574" i="3"/>
  <c r="T574" i="3"/>
  <c r="W574" i="3"/>
  <c r="V574" i="3"/>
  <c r="Q574" i="3"/>
  <c r="S574" i="3"/>
  <c r="M574" i="3"/>
  <c r="P574" i="3"/>
  <c r="N574" i="3"/>
  <c r="K574" i="3"/>
  <c r="L574" i="3"/>
  <c r="J574" i="3"/>
  <c r="AO574" i="3"/>
  <c r="AP574" i="3"/>
  <c r="I574" i="3"/>
  <c r="L574" i="1"/>
  <c r="P574" i="1" s="1"/>
  <c r="AA574" i="1"/>
  <c r="W574" i="1"/>
  <c r="AR574" i="2"/>
  <c r="AQ574" i="2"/>
  <c r="AM574" i="2"/>
  <c r="AN574" i="2"/>
  <c r="AL574" i="2"/>
  <c r="AI574" i="2"/>
  <c r="AK574" i="2"/>
  <c r="AJ574" i="2"/>
  <c r="AH574" i="2"/>
  <c r="AG574" i="2"/>
  <c r="AE574" i="2"/>
  <c r="AF574" i="2"/>
  <c r="AD574" i="2"/>
  <c r="AC574" i="2"/>
  <c r="Z574" i="2"/>
  <c r="AB574" i="2"/>
  <c r="AA574" i="2"/>
  <c r="W574" i="2"/>
  <c r="X574" i="2"/>
  <c r="Y574" i="2"/>
  <c r="V574" i="2"/>
  <c r="U574" i="2"/>
  <c r="T574" i="2"/>
  <c r="Q574" i="2"/>
  <c r="S574" i="2"/>
  <c r="R574" i="2"/>
  <c r="M574" i="2"/>
  <c r="P574" i="2"/>
  <c r="K574" i="2"/>
  <c r="N574" i="2"/>
  <c r="L574" i="2"/>
  <c r="AO574" i="2"/>
  <c r="AP574" i="2"/>
  <c r="I574" i="2"/>
  <c r="J574" i="2"/>
  <c r="AR575" i="2" l="1"/>
  <c r="AQ575" i="2"/>
  <c r="AN575" i="2"/>
  <c r="AM575" i="2"/>
  <c r="AL575" i="2"/>
  <c r="AK575" i="2"/>
  <c r="AJ575" i="2"/>
  <c r="AI575" i="2"/>
  <c r="AH575" i="2"/>
  <c r="AF575" i="2"/>
  <c r="AE575" i="2"/>
  <c r="AG575" i="2"/>
  <c r="AD575" i="2"/>
  <c r="AC575" i="2"/>
  <c r="AB575" i="2"/>
  <c r="X575" i="2"/>
  <c r="AA575" i="2"/>
  <c r="Z575" i="2"/>
  <c r="Y575" i="2"/>
  <c r="V575" i="2"/>
  <c r="W575" i="2"/>
  <c r="U575" i="2"/>
  <c r="S575" i="2"/>
  <c r="T575" i="2"/>
  <c r="R575" i="2"/>
  <c r="Q575" i="2"/>
  <c r="P575" i="2"/>
  <c r="N575" i="2"/>
  <c r="M575" i="2"/>
  <c r="L575" i="2"/>
  <c r="AO575" i="2"/>
  <c r="I575" i="2"/>
  <c r="K575" i="2"/>
  <c r="J575" i="2"/>
  <c r="AP575" i="2"/>
  <c r="AR575" i="3"/>
  <c r="AN575" i="3"/>
  <c r="AQ575" i="3"/>
  <c r="AM575" i="3"/>
  <c r="AI575" i="3"/>
  <c r="AK575" i="3"/>
  <c r="AL575" i="3"/>
  <c r="AJ575" i="3"/>
  <c r="AH575" i="3"/>
  <c r="AF575" i="3"/>
  <c r="AG575" i="3"/>
  <c r="AD575" i="3"/>
  <c r="AC575" i="3"/>
  <c r="AE575" i="3"/>
  <c r="AB575" i="3"/>
  <c r="X575" i="3"/>
  <c r="AA575" i="3"/>
  <c r="Y575" i="3"/>
  <c r="Z575" i="3"/>
  <c r="U575" i="3"/>
  <c r="W575" i="3"/>
  <c r="R575" i="3"/>
  <c r="T575" i="3"/>
  <c r="V575" i="3"/>
  <c r="S575" i="3"/>
  <c r="Q575" i="3"/>
  <c r="P575" i="3"/>
  <c r="N575" i="3"/>
  <c r="K575" i="3"/>
  <c r="M575" i="3"/>
  <c r="L575" i="3"/>
  <c r="I575" i="3"/>
  <c r="J575" i="3"/>
  <c r="AO575" i="3"/>
  <c r="AP575" i="3"/>
  <c r="L575" i="1"/>
  <c r="P575" i="1" s="1"/>
  <c r="AA575" i="1"/>
  <c r="J576" i="1"/>
  <c r="I577" i="1"/>
  <c r="V576" i="1"/>
  <c r="G576" i="3"/>
  <c r="Y576" i="1"/>
  <c r="Z576" i="1" s="1"/>
  <c r="G576" i="2"/>
  <c r="O576" i="1"/>
  <c r="N576" i="1"/>
  <c r="R576" i="1"/>
  <c r="S576" i="1"/>
  <c r="W576" i="1" s="1"/>
  <c r="I578" i="1" l="1"/>
  <c r="J577" i="1"/>
  <c r="G577" i="3"/>
  <c r="V577" i="1"/>
  <c r="G577" i="2"/>
  <c r="Y577" i="1"/>
  <c r="Z577" i="1" s="1"/>
  <c r="S577" i="1"/>
  <c r="W577" i="1" s="1"/>
  <c r="O577" i="1"/>
  <c r="R577" i="1"/>
  <c r="N577" i="1"/>
  <c r="AR576" i="2"/>
  <c r="AN576" i="2"/>
  <c r="AQ576" i="2"/>
  <c r="AM576" i="2"/>
  <c r="AJ576" i="2"/>
  <c r="AL576" i="2"/>
  <c r="AK576" i="2"/>
  <c r="AI576" i="2"/>
  <c r="AF576" i="2"/>
  <c r="AH576" i="2"/>
  <c r="AE576" i="2"/>
  <c r="AG576" i="2"/>
  <c r="AD576" i="2"/>
  <c r="AB576" i="2"/>
  <c r="AC576" i="2"/>
  <c r="AA576" i="2"/>
  <c r="Z576" i="2"/>
  <c r="Y576" i="2"/>
  <c r="V576" i="2"/>
  <c r="X576" i="2"/>
  <c r="W576" i="2"/>
  <c r="S576" i="2"/>
  <c r="U576" i="2"/>
  <c r="R576" i="2"/>
  <c r="T576" i="2"/>
  <c r="N576" i="2"/>
  <c r="Q576" i="2"/>
  <c r="P576" i="2"/>
  <c r="L576" i="2"/>
  <c r="I576" i="2"/>
  <c r="M576" i="2"/>
  <c r="AO576" i="2"/>
  <c r="K576" i="2"/>
  <c r="J576" i="2"/>
  <c r="AP576" i="2"/>
  <c r="AQ576" i="3"/>
  <c r="AN576" i="3"/>
  <c r="AR576" i="3"/>
  <c r="AM576" i="3"/>
  <c r="AL576" i="3"/>
  <c r="AI576" i="3"/>
  <c r="AK576" i="3"/>
  <c r="AJ576" i="3"/>
  <c r="AG576" i="3"/>
  <c r="AH576" i="3"/>
  <c r="AF576" i="3"/>
  <c r="AE576" i="3"/>
  <c r="AC576" i="3"/>
  <c r="AD576" i="3"/>
  <c r="Z576" i="3"/>
  <c r="AB576" i="3"/>
  <c r="X576" i="3"/>
  <c r="AA576" i="3"/>
  <c r="Y576" i="3"/>
  <c r="W576" i="3"/>
  <c r="V576" i="3"/>
  <c r="R576" i="3"/>
  <c r="U576" i="3"/>
  <c r="T576" i="3"/>
  <c r="S576" i="3"/>
  <c r="Q576" i="3"/>
  <c r="M576" i="3"/>
  <c r="P576" i="3"/>
  <c r="I576" i="3"/>
  <c r="N576" i="3"/>
  <c r="K576" i="3"/>
  <c r="L576" i="3"/>
  <c r="J576" i="3"/>
  <c r="AO576" i="3"/>
  <c r="AP576" i="3"/>
  <c r="L576" i="1"/>
  <c r="P576" i="1" s="1"/>
  <c r="AA576" i="1"/>
  <c r="L577" i="1" l="1"/>
  <c r="P577" i="1" s="1"/>
  <c r="AA577" i="1"/>
  <c r="AR577" i="3"/>
  <c r="AQ577" i="3"/>
  <c r="AN577" i="3"/>
  <c r="AL577" i="3"/>
  <c r="AM577" i="3"/>
  <c r="AK577" i="3"/>
  <c r="AJ577" i="3"/>
  <c r="AG577" i="3"/>
  <c r="AI577" i="3"/>
  <c r="AH577" i="3"/>
  <c r="AF577" i="3"/>
  <c r="AE577" i="3"/>
  <c r="AC577" i="3"/>
  <c r="AD577" i="3"/>
  <c r="AB577" i="3"/>
  <c r="Z577" i="3"/>
  <c r="X577" i="3"/>
  <c r="AA577" i="3"/>
  <c r="Y577" i="3"/>
  <c r="V577" i="3"/>
  <c r="W577" i="3"/>
  <c r="U577" i="3"/>
  <c r="S577" i="3"/>
  <c r="T577" i="3"/>
  <c r="R577" i="3"/>
  <c r="Q577" i="3"/>
  <c r="P577" i="3"/>
  <c r="N577" i="3"/>
  <c r="K577" i="3"/>
  <c r="M577" i="3"/>
  <c r="L577" i="3"/>
  <c r="I577" i="3"/>
  <c r="AP577" i="3"/>
  <c r="J577" i="3"/>
  <c r="AO577" i="3"/>
  <c r="AR577" i="2"/>
  <c r="AN577" i="2"/>
  <c r="AQ577" i="2"/>
  <c r="AM577" i="2"/>
  <c r="AJ577" i="2"/>
  <c r="AL577" i="2"/>
  <c r="AK577" i="2"/>
  <c r="AI577" i="2"/>
  <c r="AH577" i="2"/>
  <c r="AE577" i="2"/>
  <c r="AG577" i="2"/>
  <c r="AB577" i="2"/>
  <c r="AF577" i="2"/>
  <c r="AD577" i="2"/>
  <c r="AA577" i="2"/>
  <c r="AC577" i="2"/>
  <c r="Y577" i="2"/>
  <c r="Z577" i="2"/>
  <c r="V577" i="2"/>
  <c r="X577" i="2"/>
  <c r="W577" i="2"/>
  <c r="S577" i="2"/>
  <c r="U577" i="2"/>
  <c r="R577" i="2"/>
  <c r="T577" i="2"/>
  <c r="P577" i="2"/>
  <c r="N577" i="2"/>
  <c r="Q577" i="2"/>
  <c r="L577" i="2"/>
  <c r="M577" i="2"/>
  <c r="J577" i="2"/>
  <c r="I577" i="2"/>
  <c r="K577" i="2"/>
  <c r="AO577" i="2"/>
  <c r="AP577" i="2"/>
  <c r="J578" i="1"/>
  <c r="I579" i="1"/>
  <c r="V578" i="1"/>
  <c r="G578" i="3"/>
  <c r="Y578" i="1"/>
  <c r="Z578" i="1" s="1"/>
  <c r="G578" i="2"/>
  <c r="N578" i="1"/>
  <c r="R578" i="1"/>
  <c r="O578" i="1"/>
  <c r="S578" i="1"/>
  <c r="W578" i="1" s="1"/>
  <c r="I580" i="1" l="1"/>
  <c r="J579" i="1"/>
  <c r="V579" i="1"/>
  <c r="G579" i="3"/>
  <c r="Y579" i="1"/>
  <c r="Z579" i="1" s="1"/>
  <c r="G579" i="2"/>
  <c r="S579" i="1"/>
  <c r="W579" i="1" s="1"/>
  <c r="N579" i="1"/>
  <c r="O579" i="1"/>
  <c r="R579" i="1"/>
  <c r="AR578" i="2"/>
  <c r="AQ578" i="2"/>
  <c r="AN578" i="2"/>
  <c r="AM578" i="2"/>
  <c r="AJ578" i="2"/>
  <c r="AL578" i="2"/>
  <c r="AK578" i="2"/>
  <c r="AI578" i="2"/>
  <c r="AH578" i="2"/>
  <c r="AG578" i="2"/>
  <c r="AF578" i="2"/>
  <c r="AE578" i="2"/>
  <c r="AD578" i="2"/>
  <c r="AA578" i="2"/>
  <c r="AC578" i="2"/>
  <c r="AB578" i="2"/>
  <c r="Y578" i="2"/>
  <c r="Z578" i="2"/>
  <c r="X578" i="2"/>
  <c r="W578" i="2"/>
  <c r="V578" i="2"/>
  <c r="S578" i="2"/>
  <c r="U578" i="2"/>
  <c r="R578" i="2"/>
  <c r="T578" i="2"/>
  <c r="N578" i="2"/>
  <c r="Q578" i="2"/>
  <c r="J578" i="2"/>
  <c r="L578" i="2"/>
  <c r="O578" i="2"/>
  <c r="M578" i="2"/>
  <c r="K578" i="2"/>
  <c r="I578" i="2"/>
  <c r="AO578" i="2"/>
  <c r="AP578" i="2"/>
  <c r="AQ578" i="3"/>
  <c r="AR578" i="3"/>
  <c r="AN578" i="3"/>
  <c r="AM578" i="3"/>
  <c r="AL578" i="3"/>
  <c r="AJ578" i="3"/>
  <c r="AK578" i="3"/>
  <c r="AG578" i="3"/>
  <c r="AI578" i="3"/>
  <c r="AH578" i="3"/>
  <c r="AF578" i="3"/>
  <c r="AE578" i="3"/>
  <c r="AC578" i="3"/>
  <c r="AD578" i="3"/>
  <c r="AB578" i="3"/>
  <c r="AA578" i="3"/>
  <c r="Z578" i="3"/>
  <c r="Y578" i="3"/>
  <c r="W578" i="3"/>
  <c r="V578" i="3"/>
  <c r="X578" i="3"/>
  <c r="S578" i="3"/>
  <c r="U578" i="3"/>
  <c r="T578" i="3"/>
  <c r="R578" i="3"/>
  <c r="Q578" i="3"/>
  <c r="N578" i="3"/>
  <c r="O578" i="3"/>
  <c r="I578" i="3"/>
  <c r="M578" i="3"/>
  <c r="L578" i="3"/>
  <c r="AP578" i="3"/>
  <c r="J578" i="3"/>
  <c r="K578" i="3"/>
  <c r="AO578" i="3"/>
  <c r="L578" i="1"/>
  <c r="P578" i="1" s="1"/>
  <c r="AA578" i="1"/>
  <c r="AR579" i="2" l="1"/>
  <c r="AQ579" i="2"/>
  <c r="AK579" i="2"/>
  <c r="AN579" i="2"/>
  <c r="AM579" i="2"/>
  <c r="AL579" i="2"/>
  <c r="AH579" i="2"/>
  <c r="AI579" i="2"/>
  <c r="AJ579" i="2"/>
  <c r="AG579" i="2"/>
  <c r="AF579" i="2"/>
  <c r="AE579" i="2"/>
  <c r="AB579" i="2"/>
  <c r="AD579" i="2"/>
  <c r="AA579" i="2"/>
  <c r="AC579" i="2"/>
  <c r="Z579" i="2"/>
  <c r="Y579" i="2"/>
  <c r="X579" i="2"/>
  <c r="W579" i="2"/>
  <c r="V579" i="2"/>
  <c r="U579" i="2"/>
  <c r="T579" i="2"/>
  <c r="R579" i="2"/>
  <c r="S579" i="2"/>
  <c r="Q579" i="2"/>
  <c r="O579" i="2"/>
  <c r="L579" i="2"/>
  <c r="N579" i="2"/>
  <c r="M579" i="2"/>
  <c r="K579" i="2"/>
  <c r="J579" i="2"/>
  <c r="I579" i="2"/>
  <c r="AP579" i="2"/>
  <c r="AO579" i="2"/>
  <c r="AQ579" i="3"/>
  <c r="AR579" i="3"/>
  <c r="AN579" i="3"/>
  <c r="AM579" i="3"/>
  <c r="AL579" i="3"/>
  <c r="AK579" i="3"/>
  <c r="AJ579" i="3"/>
  <c r="AG579" i="3"/>
  <c r="AH579" i="3"/>
  <c r="AF579" i="3"/>
  <c r="AI579" i="3"/>
  <c r="AE579" i="3"/>
  <c r="AB579" i="3"/>
  <c r="AC579" i="3"/>
  <c r="AD579" i="3"/>
  <c r="AA579" i="3"/>
  <c r="Y579" i="3"/>
  <c r="Z579" i="3"/>
  <c r="W579" i="3"/>
  <c r="V579" i="3"/>
  <c r="X579" i="3"/>
  <c r="S579" i="3"/>
  <c r="U579" i="3"/>
  <c r="T579" i="3"/>
  <c r="R579" i="3"/>
  <c r="Q579" i="3"/>
  <c r="N579" i="3"/>
  <c r="O579" i="3"/>
  <c r="K579" i="3"/>
  <c r="M579" i="3"/>
  <c r="L579" i="3"/>
  <c r="J579" i="3"/>
  <c r="I579" i="3"/>
  <c r="AP579" i="3"/>
  <c r="AO579" i="3"/>
  <c r="L579" i="1"/>
  <c r="P579" i="1" s="1"/>
  <c r="AA579" i="1"/>
  <c r="J580" i="1"/>
  <c r="I581" i="1"/>
  <c r="V580" i="1"/>
  <c r="G580" i="3"/>
  <c r="Y580" i="1"/>
  <c r="Z580" i="1" s="1"/>
  <c r="G580" i="2"/>
  <c r="S580" i="1"/>
  <c r="W580" i="1" s="1"/>
  <c r="O580" i="1"/>
  <c r="N580" i="1"/>
  <c r="R580" i="1"/>
  <c r="J581" i="1" l="1"/>
  <c r="I582" i="1"/>
  <c r="G581" i="3"/>
  <c r="V581" i="1"/>
  <c r="Y581" i="1"/>
  <c r="Z581" i="1" s="1"/>
  <c r="G581" i="2"/>
  <c r="O581" i="1"/>
  <c r="R581" i="1"/>
  <c r="N581" i="1"/>
  <c r="S581" i="1"/>
  <c r="W581" i="1" s="1"/>
  <c r="AR580" i="2"/>
  <c r="AQ580" i="2"/>
  <c r="AL580" i="2"/>
  <c r="AN580" i="2"/>
  <c r="AM580" i="2"/>
  <c r="AK580" i="2"/>
  <c r="AH580" i="2"/>
  <c r="AJ580" i="2"/>
  <c r="AG580" i="2"/>
  <c r="AI580" i="2"/>
  <c r="AF580" i="2"/>
  <c r="AE580" i="2"/>
  <c r="AD580" i="2"/>
  <c r="AC580" i="2"/>
  <c r="AA580" i="2"/>
  <c r="AB580" i="2"/>
  <c r="Z580" i="2"/>
  <c r="Y580" i="2"/>
  <c r="X580" i="2"/>
  <c r="W580" i="2"/>
  <c r="U580" i="2"/>
  <c r="T580" i="2"/>
  <c r="V580" i="2"/>
  <c r="R580" i="2"/>
  <c r="S580" i="2"/>
  <c r="O580" i="2"/>
  <c r="Q580" i="2"/>
  <c r="M580" i="2"/>
  <c r="J580" i="2"/>
  <c r="N580" i="2"/>
  <c r="I580" i="2"/>
  <c r="K580" i="2"/>
  <c r="L580" i="2"/>
  <c r="AP580" i="2"/>
  <c r="AO580" i="2"/>
  <c r="AQ580" i="3"/>
  <c r="AR580" i="3"/>
  <c r="AN580" i="3"/>
  <c r="AM580" i="3"/>
  <c r="AL580" i="3"/>
  <c r="AK580" i="3"/>
  <c r="AJ580" i="3"/>
  <c r="AH580" i="3"/>
  <c r="AF580" i="3"/>
  <c r="AI580" i="3"/>
  <c r="AG580" i="3"/>
  <c r="AB580" i="3"/>
  <c r="AE580" i="3"/>
  <c r="AD580" i="3"/>
  <c r="AC580" i="3"/>
  <c r="AA580" i="3"/>
  <c r="Y580" i="3"/>
  <c r="Z580" i="3"/>
  <c r="W580" i="3"/>
  <c r="X580" i="3"/>
  <c r="S580" i="3"/>
  <c r="V580" i="3"/>
  <c r="U580" i="3"/>
  <c r="T580" i="3"/>
  <c r="R580" i="3"/>
  <c r="L580" i="3"/>
  <c r="Q580" i="3"/>
  <c r="N580" i="3"/>
  <c r="O580" i="3"/>
  <c r="J580" i="3"/>
  <c r="K580" i="3"/>
  <c r="M580" i="3"/>
  <c r="I580" i="3"/>
  <c r="AP580" i="3"/>
  <c r="AO580" i="3"/>
  <c r="L580" i="1"/>
  <c r="P580" i="1" s="1"/>
  <c r="AA580" i="1"/>
  <c r="AR581" i="2" l="1"/>
  <c r="AQ581" i="2"/>
  <c r="AM581" i="2"/>
  <c r="AN581" i="2"/>
  <c r="AK581" i="2"/>
  <c r="AL581" i="2"/>
  <c r="AJ581" i="2"/>
  <c r="AH581" i="2"/>
  <c r="AG581" i="2"/>
  <c r="AI581" i="2"/>
  <c r="AD581" i="2"/>
  <c r="AF581" i="2"/>
  <c r="AC581" i="2"/>
  <c r="AE581" i="2"/>
  <c r="AB581" i="2"/>
  <c r="Z581" i="2"/>
  <c r="AA581" i="2"/>
  <c r="U581" i="2"/>
  <c r="Y581" i="2"/>
  <c r="X581" i="2"/>
  <c r="W581" i="2"/>
  <c r="T581" i="2"/>
  <c r="V581" i="2"/>
  <c r="R581" i="2"/>
  <c r="S581" i="2"/>
  <c r="Q581" i="2"/>
  <c r="O581" i="2"/>
  <c r="M581" i="2"/>
  <c r="N581" i="2"/>
  <c r="L581" i="2"/>
  <c r="K581" i="2"/>
  <c r="J581" i="2"/>
  <c r="I581" i="2"/>
  <c r="AP581" i="2"/>
  <c r="AO581" i="2"/>
  <c r="L581" i="1"/>
  <c r="P581" i="1" s="1"/>
  <c r="AA581" i="1"/>
  <c r="AQ581" i="3"/>
  <c r="AR581" i="3"/>
  <c r="AN581" i="3"/>
  <c r="AM581" i="3"/>
  <c r="AL581" i="3"/>
  <c r="AK581" i="3"/>
  <c r="AH581" i="3"/>
  <c r="AJ581" i="3"/>
  <c r="AI581" i="3"/>
  <c r="AG581" i="3"/>
  <c r="AF581" i="3"/>
  <c r="AB581" i="3"/>
  <c r="AE581" i="3"/>
  <c r="AC581" i="3"/>
  <c r="AD581" i="3"/>
  <c r="AA581" i="3"/>
  <c r="W581" i="3"/>
  <c r="Y581" i="3"/>
  <c r="Z581" i="3"/>
  <c r="X581" i="3"/>
  <c r="V581" i="3"/>
  <c r="U581" i="3"/>
  <c r="T581" i="3"/>
  <c r="S581" i="3"/>
  <c r="R581" i="3"/>
  <c r="Q581" i="3"/>
  <c r="O581" i="3"/>
  <c r="M581" i="3"/>
  <c r="L581" i="3"/>
  <c r="J581" i="3"/>
  <c r="N581" i="3"/>
  <c r="AO581" i="3"/>
  <c r="I581" i="3"/>
  <c r="AP581" i="3"/>
  <c r="K581" i="3"/>
  <c r="I583" i="1"/>
  <c r="J582" i="1"/>
  <c r="V582" i="1"/>
  <c r="G582" i="3"/>
  <c r="Y582" i="1"/>
  <c r="Z582" i="1" s="1"/>
  <c r="G582" i="2"/>
  <c r="R582" i="1"/>
  <c r="S582" i="1"/>
  <c r="N582" i="1"/>
  <c r="O582" i="1"/>
  <c r="J583" i="1" l="1"/>
  <c r="I584" i="1"/>
  <c r="V583" i="1"/>
  <c r="G583" i="3"/>
  <c r="Y583" i="1"/>
  <c r="Z583" i="1" s="1"/>
  <c r="G583" i="2"/>
  <c r="N583" i="1"/>
  <c r="O583" i="1"/>
  <c r="R583" i="1"/>
  <c r="S583" i="1"/>
  <c r="W582" i="1"/>
  <c r="L582" i="1"/>
  <c r="P582" i="1" s="1"/>
  <c r="AA582" i="1"/>
  <c r="AR582" i="2"/>
  <c r="AQ582" i="2"/>
  <c r="AM582" i="2"/>
  <c r="AN582" i="2"/>
  <c r="AL582" i="2"/>
  <c r="AI582" i="2"/>
  <c r="AK582" i="2"/>
  <c r="AJ582" i="2"/>
  <c r="AG582" i="2"/>
  <c r="AH582" i="2"/>
  <c r="AF582" i="2"/>
  <c r="AC582" i="2"/>
  <c r="AE582" i="2"/>
  <c r="AD582" i="2"/>
  <c r="AB582" i="2"/>
  <c r="Z582" i="2"/>
  <c r="AA582" i="2"/>
  <c r="X582" i="2"/>
  <c r="U582" i="2"/>
  <c r="Y582" i="2"/>
  <c r="W582" i="2"/>
  <c r="T582" i="2"/>
  <c r="V582" i="2"/>
  <c r="S582" i="2"/>
  <c r="Q582" i="2"/>
  <c r="R582" i="2"/>
  <c r="M582" i="2"/>
  <c r="O582" i="2"/>
  <c r="K582" i="2"/>
  <c r="N582" i="2"/>
  <c r="L582" i="2"/>
  <c r="AP582" i="2"/>
  <c r="J582" i="2"/>
  <c r="I582" i="2"/>
  <c r="AO582" i="2"/>
  <c r="AQ582" i="3"/>
  <c r="AR582" i="3"/>
  <c r="AL582" i="3"/>
  <c r="AM582" i="3"/>
  <c r="AN582" i="3"/>
  <c r="AK582" i="3"/>
  <c r="AH582" i="3"/>
  <c r="AJ582" i="3"/>
  <c r="AI582" i="3"/>
  <c r="AG582" i="3"/>
  <c r="AF582" i="3"/>
  <c r="AD582" i="3"/>
  <c r="AE582" i="3"/>
  <c r="AC582" i="3"/>
  <c r="AA582" i="3"/>
  <c r="AB582" i="3"/>
  <c r="Y582" i="3"/>
  <c r="Z582" i="3"/>
  <c r="W582" i="3"/>
  <c r="X582" i="3"/>
  <c r="U582" i="3"/>
  <c r="V582" i="3"/>
  <c r="T582" i="3"/>
  <c r="S582" i="3"/>
  <c r="R582" i="3"/>
  <c r="O582" i="3"/>
  <c r="Q582" i="3"/>
  <c r="M582" i="3"/>
  <c r="L582" i="3"/>
  <c r="J582" i="3"/>
  <c r="N582" i="3"/>
  <c r="AO582" i="3"/>
  <c r="I582" i="3"/>
  <c r="AP582" i="3"/>
  <c r="K582" i="3"/>
  <c r="AR583" i="2" l="1"/>
  <c r="AQ583" i="2"/>
  <c r="AM583" i="2"/>
  <c r="AL583" i="2"/>
  <c r="AN583" i="2"/>
  <c r="AK583" i="2"/>
  <c r="AJ583" i="2"/>
  <c r="AI583" i="2"/>
  <c r="AH583" i="2"/>
  <c r="AG583" i="2"/>
  <c r="AC583" i="2"/>
  <c r="AF583" i="2"/>
  <c r="AE583" i="2"/>
  <c r="AB583" i="2"/>
  <c r="AD583" i="2"/>
  <c r="X583" i="2"/>
  <c r="Z583" i="2"/>
  <c r="AA583" i="2"/>
  <c r="Y583" i="2"/>
  <c r="T583" i="2"/>
  <c r="W583" i="2"/>
  <c r="V583" i="2"/>
  <c r="U583" i="2"/>
  <c r="S583" i="2"/>
  <c r="Q583" i="2"/>
  <c r="R583" i="2"/>
  <c r="O583" i="2"/>
  <c r="M583" i="2"/>
  <c r="K583" i="2"/>
  <c r="N583" i="2"/>
  <c r="L583" i="2"/>
  <c r="I583" i="2"/>
  <c r="AP583" i="2"/>
  <c r="J583" i="2"/>
  <c r="AO583" i="2"/>
  <c r="AR583" i="3"/>
  <c r="AQ583" i="3"/>
  <c r="AM583" i="3"/>
  <c r="AN583" i="3"/>
  <c r="AL583" i="3"/>
  <c r="AK583" i="3"/>
  <c r="AI583" i="3"/>
  <c r="AH583" i="3"/>
  <c r="AJ583" i="3"/>
  <c r="AG583" i="3"/>
  <c r="AD583" i="3"/>
  <c r="AF583" i="3"/>
  <c r="AE583" i="3"/>
  <c r="AC583" i="3"/>
  <c r="AB583" i="3"/>
  <c r="AA583" i="3"/>
  <c r="W583" i="3"/>
  <c r="Z583" i="3"/>
  <c r="U583" i="3"/>
  <c r="Y583" i="3"/>
  <c r="X583" i="3"/>
  <c r="V583" i="3"/>
  <c r="T583" i="3"/>
  <c r="S583" i="3"/>
  <c r="R583" i="3"/>
  <c r="Q583" i="3"/>
  <c r="O583" i="3"/>
  <c r="M583" i="3"/>
  <c r="L583" i="3"/>
  <c r="N583" i="3"/>
  <c r="K583" i="3"/>
  <c r="AO583" i="3"/>
  <c r="J583" i="3"/>
  <c r="I583" i="3"/>
  <c r="AP583" i="3"/>
  <c r="L583" i="1"/>
  <c r="P583" i="1" s="1"/>
  <c r="AA583" i="1"/>
  <c r="I585" i="1"/>
  <c r="J584" i="1"/>
  <c r="V584" i="1"/>
  <c r="G584" i="3"/>
  <c r="Y584" i="1"/>
  <c r="Z584" i="1" s="1"/>
  <c r="G584" i="2"/>
  <c r="O584" i="1"/>
  <c r="S584" i="1"/>
  <c r="R584" i="1"/>
  <c r="N584" i="1"/>
  <c r="W583" i="1"/>
  <c r="L584" i="1" l="1"/>
  <c r="P584" i="1" s="1"/>
  <c r="AA584" i="1"/>
  <c r="I586" i="1"/>
  <c r="J585" i="1"/>
  <c r="V585" i="1"/>
  <c r="G585" i="3"/>
  <c r="Y585" i="1"/>
  <c r="Z585" i="1" s="1"/>
  <c r="G585" i="2"/>
  <c r="S585" i="1"/>
  <c r="R585" i="1"/>
  <c r="N585" i="1"/>
  <c r="O585" i="1"/>
  <c r="W584" i="1"/>
  <c r="AR584" i="2"/>
  <c r="AQ584" i="2"/>
  <c r="AM584" i="2"/>
  <c r="AL584" i="2"/>
  <c r="AN584" i="2"/>
  <c r="AI584" i="2"/>
  <c r="AK584" i="2"/>
  <c r="AJ584" i="2"/>
  <c r="AH584" i="2"/>
  <c r="AG584" i="2"/>
  <c r="AF584" i="2"/>
  <c r="AE584" i="2"/>
  <c r="AD584" i="2"/>
  <c r="Z584" i="2"/>
  <c r="AB584" i="2"/>
  <c r="AC584" i="2"/>
  <c r="AA584" i="2"/>
  <c r="X584" i="2"/>
  <c r="Y584" i="2"/>
  <c r="W584" i="2"/>
  <c r="V584" i="2"/>
  <c r="U584" i="2"/>
  <c r="S584" i="2"/>
  <c r="Q584" i="2"/>
  <c r="T584" i="2"/>
  <c r="R584" i="2"/>
  <c r="M584" i="2"/>
  <c r="K584" i="2"/>
  <c r="N584" i="2"/>
  <c r="O584" i="2"/>
  <c r="L584" i="2"/>
  <c r="AO584" i="2"/>
  <c r="AP584" i="2"/>
  <c r="J584" i="2"/>
  <c r="I584" i="2"/>
  <c r="AR584" i="3"/>
  <c r="AN584" i="3"/>
  <c r="AM584" i="3"/>
  <c r="AQ584" i="3"/>
  <c r="AL584" i="3"/>
  <c r="AI584" i="3"/>
  <c r="AK584" i="3"/>
  <c r="AJ584" i="3"/>
  <c r="AH584" i="3"/>
  <c r="AG584" i="3"/>
  <c r="AF584" i="3"/>
  <c r="AD584" i="3"/>
  <c r="AE584" i="3"/>
  <c r="AC584" i="3"/>
  <c r="AB584" i="3"/>
  <c r="Z584" i="3"/>
  <c r="Y584" i="3"/>
  <c r="AA584" i="3"/>
  <c r="X584" i="3"/>
  <c r="U584" i="3"/>
  <c r="W584" i="3"/>
  <c r="R584" i="3"/>
  <c r="V584" i="3"/>
  <c r="T584" i="3"/>
  <c r="Q584" i="3"/>
  <c r="S584" i="3"/>
  <c r="M584" i="3"/>
  <c r="O584" i="3"/>
  <c r="K584" i="3"/>
  <c r="L584" i="3"/>
  <c r="N584" i="3"/>
  <c r="AO584" i="3"/>
  <c r="J584" i="3"/>
  <c r="I584" i="3"/>
  <c r="AP584" i="3"/>
  <c r="W585" i="1" l="1"/>
  <c r="AR585" i="2"/>
  <c r="AQ585" i="2"/>
  <c r="AN585" i="2"/>
  <c r="AM585" i="2"/>
  <c r="AL585" i="2"/>
  <c r="AJ585" i="2"/>
  <c r="AK585" i="2"/>
  <c r="AI585" i="2"/>
  <c r="AF585" i="2"/>
  <c r="AE585" i="2"/>
  <c r="AG585" i="2"/>
  <c r="AH585" i="2"/>
  <c r="AD585" i="2"/>
  <c r="AB585" i="2"/>
  <c r="AC585" i="2"/>
  <c r="X585" i="2"/>
  <c r="AA585" i="2"/>
  <c r="V585" i="2"/>
  <c r="Z585" i="2"/>
  <c r="Y585" i="2"/>
  <c r="U585" i="2"/>
  <c r="W585" i="2"/>
  <c r="S585" i="2"/>
  <c r="T585" i="2"/>
  <c r="R585" i="2"/>
  <c r="Q585" i="2"/>
  <c r="N585" i="2"/>
  <c r="M585" i="2"/>
  <c r="O585" i="2"/>
  <c r="L585" i="2"/>
  <c r="AO585" i="2"/>
  <c r="K585" i="2"/>
  <c r="J585" i="2"/>
  <c r="I585" i="2"/>
  <c r="AP585" i="2"/>
  <c r="AR585" i="3"/>
  <c r="AN585" i="3"/>
  <c r="AM585" i="3"/>
  <c r="AQ585" i="3"/>
  <c r="AL585" i="3"/>
  <c r="AI585" i="3"/>
  <c r="AK585" i="3"/>
  <c r="AJ585" i="3"/>
  <c r="AH585" i="3"/>
  <c r="AD585" i="3"/>
  <c r="AG585" i="3"/>
  <c r="AF585" i="3"/>
  <c r="AE585" i="3"/>
  <c r="AC585" i="3"/>
  <c r="AB585" i="3"/>
  <c r="X585" i="3"/>
  <c r="Y585" i="3"/>
  <c r="Z585" i="3"/>
  <c r="AA585" i="3"/>
  <c r="W585" i="3"/>
  <c r="U585" i="3"/>
  <c r="R585" i="3"/>
  <c r="V585" i="3"/>
  <c r="T585" i="3"/>
  <c r="Q585" i="3"/>
  <c r="S585" i="3"/>
  <c r="O585" i="3"/>
  <c r="K585" i="3"/>
  <c r="M585" i="3"/>
  <c r="L585" i="3"/>
  <c r="N585" i="3"/>
  <c r="I585" i="3"/>
  <c r="AO585" i="3"/>
  <c r="J585" i="3"/>
  <c r="AP585" i="3"/>
  <c r="L585" i="1"/>
  <c r="P585" i="1" s="1"/>
  <c r="AA585" i="1"/>
  <c r="J586" i="1"/>
  <c r="I587" i="1"/>
  <c r="G586" i="3"/>
  <c r="V586" i="1"/>
  <c r="Y586" i="1"/>
  <c r="Z586" i="1" s="1"/>
  <c r="G586" i="2"/>
  <c r="O586" i="1"/>
  <c r="R586" i="1"/>
  <c r="S586" i="1"/>
  <c r="W586" i="1" s="1"/>
  <c r="N586" i="1"/>
  <c r="J587" i="1" l="1"/>
  <c r="I588" i="1"/>
  <c r="G587" i="3"/>
  <c r="V587" i="1"/>
  <c r="G587" i="2"/>
  <c r="Y587" i="1"/>
  <c r="Z587" i="1" s="1"/>
  <c r="S587" i="1"/>
  <c r="W587" i="1" s="1"/>
  <c r="O587" i="1"/>
  <c r="N587" i="1"/>
  <c r="R587" i="1"/>
  <c r="L586" i="1"/>
  <c r="P586" i="1" s="1"/>
  <c r="AA586" i="1"/>
  <c r="AR586" i="2"/>
  <c r="AN586" i="2"/>
  <c r="AQ586" i="2"/>
  <c r="AM586" i="2"/>
  <c r="AL586" i="2"/>
  <c r="AJ586" i="2"/>
  <c r="AK586" i="2"/>
  <c r="AF586" i="2"/>
  <c r="AI586" i="2"/>
  <c r="AH586" i="2"/>
  <c r="AE586" i="2"/>
  <c r="AG586" i="2"/>
  <c r="AD586" i="2"/>
  <c r="AB586" i="2"/>
  <c r="AC586" i="2"/>
  <c r="AA586" i="2"/>
  <c r="Z586" i="2"/>
  <c r="Y586" i="2"/>
  <c r="V586" i="2"/>
  <c r="X586" i="2"/>
  <c r="W586" i="2"/>
  <c r="S586" i="2"/>
  <c r="U586" i="2"/>
  <c r="R586" i="2"/>
  <c r="T586" i="2"/>
  <c r="N586" i="2"/>
  <c r="Q586" i="2"/>
  <c r="L586" i="2"/>
  <c r="I586" i="2"/>
  <c r="M586" i="2"/>
  <c r="O586" i="2"/>
  <c r="AO586" i="2"/>
  <c r="K586" i="2"/>
  <c r="J586" i="2"/>
  <c r="AP586" i="2"/>
  <c r="AR586" i="3"/>
  <c r="AN586" i="3"/>
  <c r="AM586" i="3"/>
  <c r="AQ586" i="3"/>
  <c r="AI586" i="3"/>
  <c r="AK586" i="3"/>
  <c r="AL586" i="3"/>
  <c r="AJ586" i="3"/>
  <c r="AG586" i="3"/>
  <c r="AH586" i="3"/>
  <c r="AF586" i="3"/>
  <c r="AE586" i="3"/>
  <c r="AD586" i="3"/>
  <c r="AC586" i="3"/>
  <c r="Z586" i="3"/>
  <c r="AB586" i="3"/>
  <c r="AA586" i="3"/>
  <c r="X586" i="3"/>
  <c r="Y586" i="3"/>
  <c r="W586" i="3"/>
  <c r="V586" i="3"/>
  <c r="U586" i="3"/>
  <c r="R586" i="3"/>
  <c r="T586" i="3"/>
  <c r="Q586" i="3"/>
  <c r="S586" i="3"/>
  <c r="M586" i="3"/>
  <c r="I586" i="3"/>
  <c r="O586" i="3"/>
  <c r="K586" i="3"/>
  <c r="L586" i="3"/>
  <c r="N586" i="3"/>
  <c r="AO586" i="3"/>
  <c r="J586" i="3"/>
  <c r="AP586" i="3"/>
  <c r="L587" i="1" l="1"/>
  <c r="P587" i="1" s="1"/>
  <c r="AA587" i="1"/>
  <c r="AR587" i="2"/>
  <c r="AN587" i="2"/>
  <c r="AQ587" i="2"/>
  <c r="AM587" i="2"/>
  <c r="AL587" i="2"/>
  <c r="AJ587" i="2"/>
  <c r="AK587" i="2"/>
  <c r="AI587" i="2"/>
  <c r="AH587" i="2"/>
  <c r="AE587" i="2"/>
  <c r="AG587" i="2"/>
  <c r="AF587" i="2"/>
  <c r="AB587" i="2"/>
  <c r="AD587" i="2"/>
  <c r="AC587" i="2"/>
  <c r="AA587" i="2"/>
  <c r="Y587" i="2"/>
  <c r="Z587" i="2"/>
  <c r="V587" i="2"/>
  <c r="X587" i="2"/>
  <c r="W587" i="2"/>
  <c r="S587" i="2"/>
  <c r="U587" i="2"/>
  <c r="R587" i="2"/>
  <c r="T587" i="2"/>
  <c r="N587" i="2"/>
  <c r="Q587" i="2"/>
  <c r="L587" i="2"/>
  <c r="M587" i="2"/>
  <c r="O587" i="2"/>
  <c r="J587" i="2"/>
  <c r="K587" i="2"/>
  <c r="I587" i="2"/>
  <c r="AO587" i="2"/>
  <c r="AP587" i="2"/>
  <c r="AR587" i="3"/>
  <c r="AN587" i="3"/>
  <c r="AQ587" i="3"/>
  <c r="AM587" i="3"/>
  <c r="AL587" i="3"/>
  <c r="AJ587" i="3"/>
  <c r="AG587" i="3"/>
  <c r="AK587" i="3"/>
  <c r="AH587" i="3"/>
  <c r="AI587" i="3"/>
  <c r="AF587" i="3"/>
  <c r="AE587" i="3"/>
  <c r="AD587" i="3"/>
  <c r="AC587" i="3"/>
  <c r="AB587" i="3"/>
  <c r="AA587" i="3"/>
  <c r="X587" i="3"/>
  <c r="Z587" i="3"/>
  <c r="Y587" i="3"/>
  <c r="V587" i="3"/>
  <c r="U587" i="3"/>
  <c r="W587" i="3"/>
  <c r="S587" i="3"/>
  <c r="R587" i="3"/>
  <c r="T587" i="3"/>
  <c r="Q587" i="3"/>
  <c r="O587" i="3"/>
  <c r="N587" i="3"/>
  <c r="M587" i="3"/>
  <c r="K587" i="3"/>
  <c r="L587" i="3"/>
  <c r="AP587" i="3"/>
  <c r="AO587" i="3"/>
  <c r="I587" i="3"/>
  <c r="J587" i="3"/>
  <c r="I589" i="1"/>
  <c r="J588" i="1"/>
  <c r="V588" i="1"/>
  <c r="G588" i="3"/>
  <c r="Y588" i="1"/>
  <c r="Z588" i="1" s="1"/>
  <c r="G588" i="2"/>
  <c r="N588" i="1"/>
  <c r="R588" i="1"/>
  <c r="S588" i="1"/>
  <c r="W588" i="1" s="1"/>
  <c r="O588" i="1"/>
  <c r="L588" i="1" l="1"/>
  <c r="P588" i="1" s="1"/>
  <c r="AA588" i="1"/>
  <c r="I590" i="1"/>
  <c r="J589" i="1"/>
  <c r="V589" i="1"/>
  <c r="G589" i="3"/>
  <c r="Y589" i="1"/>
  <c r="Z589" i="1" s="1"/>
  <c r="G589" i="2"/>
  <c r="S589" i="1"/>
  <c r="N589" i="1"/>
  <c r="R589" i="1"/>
  <c r="O589" i="1"/>
  <c r="AR588" i="2"/>
  <c r="AN588" i="2"/>
  <c r="AQ588" i="2"/>
  <c r="AM588" i="2"/>
  <c r="AL588" i="2"/>
  <c r="AJ588" i="2"/>
  <c r="AK588" i="2"/>
  <c r="AI588" i="2"/>
  <c r="AH588" i="2"/>
  <c r="AG588" i="2"/>
  <c r="AD588" i="2"/>
  <c r="AF588" i="2"/>
  <c r="AE588" i="2"/>
  <c r="AC588" i="2"/>
  <c r="AA588" i="2"/>
  <c r="AB588" i="2"/>
  <c r="Y588" i="2"/>
  <c r="Z588" i="2"/>
  <c r="X588" i="2"/>
  <c r="W588" i="2"/>
  <c r="S588" i="2"/>
  <c r="U588" i="2"/>
  <c r="V588" i="2"/>
  <c r="T588" i="2"/>
  <c r="P588" i="2"/>
  <c r="R588" i="2"/>
  <c r="N588" i="2"/>
  <c r="J588" i="2"/>
  <c r="L588" i="2"/>
  <c r="M588" i="2"/>
  <c r="O588" i="2"/>
  <c r="K588" i="2"/>
  <c r="I588" i="2"/>
  <c r="AO588" i="2"/>
  <c r="AP588" i="2"/>
  <c r="AR588" i="3"/>
  <c r="AQ588" i="3"/>
  <c r="AN588" i="3"/>
  <c r="AM588" i="3"/>
  <c r="AL588" i="3"/>
  <c r="AJ588" i="3"/>
  <c r="AK588" i="3"/>
  <c r="AG588" i="3"/>
  <c r="AI588" i="3"/>
  <c r="AF588" i="3"/>
  <c r="AH588" i="3"/>
  <c r="AE588" i="3"/>
  <c r="AD588" i="3"/>
  <c r="AC588" i="3"/>
  <c r="AB588" i="3"/>
  <c r="AA588" i="3"/>
  <c r="Z588" i="3"/>
  <c r="Y588" i="3"/>
  <c r="X588" i="3"/>
  <c r="V588" i="3"/>
  <c r="W588" i="3"/>
  <c r="S588" i="3"/>
  <c r="U588" i="3"/>
  <c r="R588" i="3"/>
  <c r="T588" i="3"/>
  <c r="N588" i="3"/>
  <c r="P588" i="3"/>
  <c r="O588" i="3"/>
  <c r="I588" i="3"/>
  <c r="M588" i="3"/>
  <c r="L588" i="3"/>
  <c r="J588" i="3"/>
  <c r="AP588" i="3"/>
  <c r="AO588" i="3"/>
  <c r="K588" i="3"/>
  <c r="AR589" i="2" l="1"/>
  <c r="AQ589" i="2"/>
  <c r="AN589" i="2"/>
  <c r="AK589" i="2"/>
  <c r="AM589" i="2"/>
  <c r="AL589" i="2"/>
  <c r="AI589" i="2"/>
  <c r="AH589" i="2"/>
  <c r="AJ589" i="2"/>
  <c r="AG589" i="2"/>
  <c r="AB589" i="2"/>
  <c r="AD589" i="2"/>
  <c r="AF589" i="2"/>
  <c r="AE589" i="2"/>
  <c r="AC589" i="2"/>
  <c r="AA589" i="2"/>
  <c r="Y589" i="2"/>
  <c r="Z589" i="2"/>
  <c r="W589" i="2"/>
  <c r="X589" i="2"/>
  <c r="U589" i="2"/>
  <c r="V589" i="2"/>
  <c r="T589" i="2"/>
  <c r="S589" i="2"/>
  <c r="R589" i="2"/>
  <c r="P589" i="2"/>
  <c r="O589" i="2"/>
  <c r="L589" i="2"/>
  <c r="N589" i="2"/>
  <c r="M589" i="2"/>
  <c r="J589" i="2"/>
  <c r="K589" i="2"/>
  <c r="I589" i="2"/>
  <c r="AO589" i="2"/>
  <c r="AP589" i="2"/>
  <c r="AQ589" i="3"/>
  <c r="AR589" i="3"/>
  <c r="AN589" i="3"/>
  <c r="AM589" i="3"/>
  <c r="AL589" i="3"/>
  <c r="AJ589" i="3"/>
  <c r="AK589" i="3"/>
  <c r="AG589" i="3"/>
  <c r="AI589" i="3"/>
  <c r="AF589" i="3"/>
  <c r="AH589" i="3"/>
  <c r="AE589" i="3"/>
  <c r="AB589" i="3"/>
  <c r="AD589" i="3"/>
  <c r="AC589" i="3"/>
  <c r="AA589" i="3"/>
  <c r="Z589" i="3"/>
  <c r="Y589" i="3"/>
  <c r="X589" i="3"/>
  <c r="V589" i="3"/>
  <c r="W589" i="3"/>
  <c r="S589" i="3"/>
  <c r="U589" i="3"/>
  <c r="R589" i="3"/>
  <c r="T589" i="3"/>
  <c r="P589" i="3"/>
  <c r="N589" i="3"/>
  <c r="O589" i="3"/>
  <c r="M589" i="3"/>
  <c r="K589" i="3"/>
  <c r="L589" i="3"/>
  <c r="J589" i="3"/>
  <c r="AP589" i="3"/>
  <c r="AO589" i="3"/>
  <c r="I589" i="3"/>
  <c r="L589" i="1"/>
  <c r="P589" i="1" s="1"/>
  <c r="AA589" i="1"/>
  <c r="J590" i="1"/>
  <c r="I591" i="1"/>
  <c r="G590" i="3"/>
  <c r="V590" i="1"/>
  <c r="Y590" i="1"/>
  <c r="Z590" i="1" s="1"/>
  <c r="G590" i="2"/>
  <c r="S590" i="1"/>
  <c r="W590" i="1" s="1"/>
  <c r="O590" i="1"/>
  <c r="N590" i="1"/>
  <c r="R590" i="1"/>
  <c r="W589" i="1"/>
  <c r="I592" i="1" l="1"/>
  <c r="J591" i="1"/>
  <c r="V591" i="1"/>
  <c r="G591" i="3"/>
  <c r="Y591" i="1"/>
  <c r="Z591" i="1" s="1"/>
  <c r="G591" i="2"/>
  <c r="O591" i="1"/>
  <c r="N591" i="1"/>
  <c r="R591" i="1"/>
  <c r="S591" i="1"/>
  <c r="W591" i="1" s="1"/>
  <c r="AR590" i="2"/>
  <c r="AQ590" i="2"/>
  <c r="AN590" i="2"/>
  <c r="AL590" i="2"/>
  <c r="AM590" i="2"/>
  <c r="AK590" i="2"/>
  <c r="AI590" i="2"/>
  <c r="AH590" i="2"/>
  <c r="AJ590" i="2"/>
  <c r="AG590" i="2"/>
  <c r="AF590" i="2"/>
  <c r="AD590" i="2"/>
  <c r="AE590" i="2"/>
  <c r="AC590" i="2"/>
  <c r="AA590" i="2"/>
  <c r="AB590" i="2"/>
  <c r="Z590" i="2"/>
  <c r="W590" i="2"/>
  <c r="Y590" i="2"/>
  <c r="X590" i="2"/>
  <c r="U590" i="2"/>
  <c r="V590" i="2"/>
  <c r="T590" i="2"/>
  <c r="P590" i="2"/>
  <c r="S590" i="2"/>
  <c r="R590" i="2"/>
  <c r="O590" i="2"/>
  <c r="J590" i="2"/>
  <c r="N590" i="2"/>
  <c r="M590" i="2"/>
  <c r="L590" i="2"/>
  <c r="K590" i="2"/>
  <c r="I590" i="2"/>
  <c r="AO590" i="2"/>
  <c r="AP590" i="2"/>
  <c r="L590" i="1"/>
  <c r="P590" i="1" s="1"/>
  <c r="AA590" i="1"/>
  <c r="AQ590" i="3"/>
  <c r="AR590" i="3"/>
  <c r="AN590" i="3"/>
  <c r="AM590" i="3"/>
  <c r="AL590" i="3"/>
  <c r="AJ590" i="3"/>
  <c r="AK590" i="3"/>
  <c r="AI590" i="3"/>
  <c r="AH590" i="3"/>
  <c r="AF590" i="3"/>
  <c r="AG590" i="3"/>
  <c r="AB590" i="3"/>
  <c r="AE590" i="3"/>
  <c r="AD590" i="3"/>
  <c r="AA590" i="3"/>
  <c r="AC590" i="3"/>
  <c r="Z590" i="3"/>
  <c r="Y590" i="3"/>
  <c r="W590" i="3"/>
  <c r="X590" i="3"/>
  <c r="S590" i="3"/>
  <c r="V590" i="3"/>
  <c r="U590" i="3"/>
  <c r="P590" i="3"/>
  <c r="R590" i="3"/>
  <c r="T590" i="3"/>
  <c r="L590" i="3"/>
  <c r="N590" i="3"/>
  <c r="O590" i="3"/>
  <c r="J590" i="3"/>
  <c r="M590" i="3"/>
  <c r="K590" i="3"/>
  <c r="AP590" i="3"/>
  <c r="AO590" i="3"/>
  <c r="I590" i="3"/>
  <c r="AQ591" i="3" l="1"/>
  <c r="AR591" i="3"/>
  <c r="AN591" i="3"/>
  <c r="AL591" i="3"/>
  <c r="AK591" i="3"/>
  <c r="AM591" i="3"/>
  <c r="AH591" i="3"/>
  <c r="AI591" i="3"/>
  <c r="AJ591" i="3"/>
  <c r="AG591" i="3"/>
  <c r="AF591" i="3"/>
  <c r="AB591" i="3"/>
  <c r="AE591" i="3"/>
  <c r="AD591" i="3"/>
  <c r="AC591" i="3"/>
  <c r="AA591" i="3"/>
  <c r="W591" i="3"/>
  <c r="Z591" i="3"/>
  <c r="Y591" i="3"/>
  <c r="X591" i="3"/>
  <c r="V591" i="3"/>
  <c r="U591" i="3"/>
  <c r="T591" i="3"/>
  <c r="R591" i="3"/>
  <c r="S591" i="3"/>
  <c r="P591" i="3"/>
  <c r="O591" i="3"/>
  <c r="J591" i="3"/>
  <c r="M591" i="3"/>
  <c r="N591" i="3"/>
  <c r="L591" i="3"/>
  <c r="AO591" i="3"/>
  <c r="K591" i="3"/>
  <c r="I591" i="3"/>
  <c r="AP591" i="3"/>
  <c r="L591" i="1"/>
  <c r="P591" i="1" s="1"/>
  <c r="AA591" i="1"/>
  <c r="AQ591" i="2"/>
  <c r="AR591" i="2"/>
  <c r="AN591" i="2"/>
  <c r="AM591" i="2"/>
  <c r="AK591" i="2"/>
  <c r="AL591" i="2"/>
  <c r="AI591" i="2"/>
  <c r="AH591" i="2"/>
  <c r="AJ591" i="2"/>
  <c r="AG591" i="2"/>
  <c r="AF591" i="2"/>
  <c r="AD591" i="2"/>
  <c r="AC591" i="2"/>
  <c r="AE591" i="2"/>
  <c r="AB591" i="2"/>
  <c r="AA591" i="2"/>
  <c r="Z591" i="2"/>
  <c r="U591" i="2"/>
  <c r="W591" i="2"/>
  <c r="Y591" i="2"/>
  <c r="X591" i="2"/>
  <c r="V591" i="2"/>
  <c r="T591" i="2"/>
  <c r="S591" i="2"/>
  <c r="R591" i="2"/>
  <c r="O591" i="2"/>
  <c r="P591" i="2"/>
  <c r="M591" i="2"/>
  <c r="L591" i="2"/>
  <c r="N591" i="2"/>
  <c r="K591" i="2"/>
  <c r="J591" i="2"/>
  <c r="I591" i="2"/>
  <c r="AP591" i="2"/>
  <c r="AO591" i="2"/>
  <c r="J592" i="1"/>
  <c r="I593" i="1"/>
  <c r="V592" i="1"/>
  <c r="G592" i="3"/>
  <c r="G592" i="2"/>
  <c r="Y592" i="1"/>
  <c r="Z592" i="1" s="1"/>
  <c r="S592" i="1"/>
  <c r="W592" i="1" s="1"/>
  <c r="N592" i="1"/>
  <c r="R592" i="1"/>
  <c r="O592" i="1"/>
  <c r="I594" i="1" l="1"/>
  <c r="J593" i="1"/>
  <c r="V593" i="1"/>
  <c r="G593" i="3"/>
  <c r="Y593" i="1"/>
  <c r="Z593" i="1" s="1"/>
  <c r="G593" i="2"/>
  <c r="N593" i="1"/>
  <c r="R593" i="1"/>
  <c r="O593" i="1"/>
  <c r="S593" i="1"/>
  <c r="AR592" i="3"/>
  <c r="AQ592" i="3"/>
  <c r="AN592" i="3"/>
  <c r="AL592" i="3"/>
  <c r="AK592" i="3"/>
  <c r="AM592" i="3"/>
  <c r="AJ592" i="3"/>
  <c r="AH592" i="3"/>
  <c r="AI592" i="3"/>
  <c r="AG592" i="3"/>
  <c r="AF592" i="3"/>
  <c r="AD592" i="3"/>
  <c r="AE592" i="3"/>
  <c r="AC592" i="3"/>
  <c r="AA592" i="3"/>
  <c r="AB592" i="3"/>
  <c r="Z592" i="3"/>
  <c r="Y592" i="3"/>
  <c r="X592" i="3"/>
  <c r="W592" i="3"/>
  <c r="U592" i="3"/>
  <c r="T592" i="3"/>
  <c r="V592" i="3"/>
  <c r="P592" i="3"/>
  <c r="R592" i="3"/>
  <c r="S592" i="3"/>
  <c r="O592" i="3"/>
  <c r="N592" i="3"/>
  <c r="L592" i="3"/>
  <c r="J592" i="3"/>
  <c r="M592" i="3"/>
  <c r="K592" i="3"/>
  <c r="I592" i="3"/>
  <c r="AP592" i="3"/>
  <c r="AO592" i="3"/>
  <c r="AQ592" i="2"/>
  <c r="AR592" i="2"/>
  <c r="AN592" i="2"/>
  <c r="AM592" i="2"/>
  <c r="AI592" i="2"/>
  <c r="AK592" i="2"/>
  <c r="AL592" i="2"/>
  <c r="AJ592" i="2"/>
  <c r="AH592" i="2"/>
  <c r="AG592" i="2"/>
  <c r="AF592" i="2"/>
  <c r="AE592" i="2"/>
  <c r="AC592" i="2"/>
  <c r="AD592" i="2"/>
  <c r="AB592" i="2"/>
  <c r="Z592" i="2"/>
  <c r="AA592" i="2"/>
  <c r="X592" i="2"/>
  <c r="U592" i="2"/>
  <c r="W592" i="2"/>
  <c r="Y592" i="2"/>
  <c r="V592" i="2"/>
  <c r="T592" i="2"/>
  <c r="S592" i="2"/>
  <c r="R592" i="2"/>
  <c r="M592" i="2"/>
  <c r="O592" i="2"/>
  <c r="P592" i="2"/>
  <c r="K592" i="2"/>
  <c r="L592" i="2"/>
  <c r="N592" i="2"/>
  <c r="I592" i="2"/>
  <c r="AP592" i="2"/>
  <c r="J592" i="2"/>
  <c r="AO592" i="2"/>
  <c r="L592" i="1"/>
  <c r="P592" i="1" s="1"/>
  <c r="AA592" i="1"/>
  <c r="AR593" i="3" l="1"/>
  <c r="AQ593" i="3"/>
  <c r="AN593" i="3"/>
  <c r="AM593" i="3"/>
  <c r="AL593" i="3"/>
  <c r="AK593" i="3"/>
  <c r="AI593" i="3"/>
  <c r="AJ593" i="3"/>
  <c r="AH593" i="3"/>
  <c r="AF593" i="3"/>
  <c r="AD593" i="3"/>
  <c r="AG593" i="3"/>
  <c r="AC593" i="3"/>
  <c r="AE593" i="3"/>
  <c r="AA593" i="3"/>
  <c r="AB593" i="3"/>
  <c r="W593" i="3"/>
  <c r="Z593" i="3"/>
  <c r="U593" i="3"/>
  <c r="X593" i="3"/>
  <c r="Y593" i="3"/>
  <c r="T593" i="3"/>
  <c r="V593" i="3"/>
  <c r="S593" i="3"/>
  <c r="R593" i="3"/>
  <c r="O593" i="3"/>
  <c r="P593" i="3"/>
  <c r="M593" i="3"/>
  <c r="N593" i="3"/>
  <c r="L593" i="3"/>
  <c r="K593" i="3"/>
  <c r="AO593" i="3"/>
  <c r="J593" i="3"/>
  <c r="I593" i="3"/>
  <c r="AP593" i="3"/>
  <c r="L593" i="1"/>
  <c r="P593" i="1" s="1"/>
  <c r="AA593" i="1"/>
  <c r="AQ593" i="2"/>
  <c r="AR593" i="2"/>
  <c r="AM593" i="2"/>
  <c r="AN593" i="2"/>
  <c r="AL593" i="2"/>
  <c r="AK593" i="2"/>
  <c r="AJ593" i="2"/>
  <c r="AH593" i="2"/>
  <c r="AI593" i="2"/>
  <c r="AF593" i="2"/>
  <c r="AG593" i="2"/>
  <c r="AE593" i="2"/>
  <c r="AC593" i="2"/>
  <c r="AD593" i="2"/>
  <c r="AB593" i="2"/>
  <c r="X593" i="2"/>
  <c r="Z593" i="2"/>
  <c r="AA593" i="2"/>
  <c r="Y593" i="2"/>
  <c r="V593" i="2"/>
  <c r="T593" i="2"/>
  <c r="U593" i="2"/>
  <c r="W593" i="2"/>
  <c r="S593" i="2"/>
  <c r="R593" i="2"/>
  <c r="O593" i="2"/>
  <c r="P593" i="2"/>
  <c r="K593" i="2"/>
  <c r="L593" i="2"/>
  <c r="N593" i="2"/>
  <c r="M593" i="2"/>
  <c r="I593" i="2"/>
  <c r="AP593" i="2"/>
  <c r="J593" i="2"/>
  <c r="AO593" i="2"/>
  <c r="W593" i="1"/>
  <c r="I595" i="1"/>
  <c r="J594" i="1"/>
  <c r="V594" i="1"/>
  <c r="G594" i="3"/>
  <c r="Y594" i="1"/>
  <c r="Z594" i="1" s="1"/>
  <c r="G594" i="2"/>
  <c r="S594" i="1"/>
  <c r="W594" i="1" s="1"/>
  <c r="N594" i="1"/>
  <c r="R594" i="1"/>
  <c r="O594" i="1"/>
  <c r="J595" i="1" l="1"/>
  <c r="I596" i="1"/>
  <c r="G595" i="3"/>
  <c r="Y595" i="1"/>
  <c r="Z595" i="1" s="1"/>
  <c r="V595" i="1"/>
  <c r="G595" i="2"/>
  <c r="S595" i="1"/>
  <c r="W595" i="1" s="1"/>
  <c r="R595" i="1"/>
  <c r="N595" i="1"/>
  <c r="O595" i="1"/>
  <c r="AR594" i="3"/>
  <c r="AQ594" i="3"/>
  <c r="AN594" i="3"/>
  <c r="AM594" i="3"/>
  <c r="AL594" i="3"/>
  <c r="AI594" i="3"/>
  <c r="AK594" i="3"/>
  <c r="AJ594" i="3"/>
  <c r="AH594" i="3"/>
  <c r="AF594" i="3"/>
  <c r="AG594" i="3"/>
  <c r="AC594" i="3"/>
  <c r="AE594" i="3"/>
  <c r="AD594" i="3"/>
  <c r="AB594" i="3"/>
  <c r="Z594" i="3"/>
  <c r="AA594" i="3"/>
  <c r="Y594" i="3"/>
  <c r="X594" i="3"/>
  <c r="W594" i="3"/>
  <c r="U594" i="3"/>
  <c r="R594" i="3"/>
  <c r="T594" i="3"/>
  <c r="V594" i="3"/>
  <c r="S594" i="3"/>
  <c r="M594" i="3"/>
  <c r="O594" i="3"/>
  <c r="P594" i="3"/>
  <c r="K594" i="3"/>
  <c r="N594" i="3"/>
  <c r="L594" i="3"/>
  <c r="AO594" i="3"/>
  <c r="J594" i="3"/>
  <c r="I594" i="3"/>
  <c r="AP594" i="3"/>
  <c r="L594" i="1"/>
  <c r="P594" i="1" s="1"/>
  <c r="AA594" i="1"/>
  <c r="AR594" i="2"/>
  <c r="AQ594" i="2"/>
  <c r="AM594" i="2"/>
  <c r="AL594" i="2"/>
  <c r="AN594" i="2"/>
  <c r="AI594" i="2"/>
  <c r="AK594" i="2"/>
  <c r="AJ594" i="2"/>
  <c r="AH594" i="2"/>
  <c r="AF594" i="2"/>
  <c r="AG594" i="2"/>
  <c r="AE594" i="2"/>
  <c r="Z594" i="2"/>
  <c r="AC594" i="2"/>
  <c r="AD594" i="2"/>
  <c r="AB594" i="2"/>
  <c r="AA594" i="2"/>
  <c r="X594" i="2"/>
  <c r="Y594" i="2"/>
  <c r="W594" i="2"/>
  <c r="V594" i="2"/>
  <c r="U594" i="2"/>
  <c r="T594" i="2"/>
  <c r="S594" i="2"/>
  <c r="R594" i="2"/>
  <c r="M594" i="2"/>
  <c r="P594" i="2"/>
  <c r="O594" i="2"/>
  <c r="K594" i="2"/>
  <c r="L594" i="2"/>
  <c r="N594" i="2"/>
  <c r="J594" i="2"/>
  <c r="AO594" i="2"/>
  <c r="I594" i="2"/>
  <c r="AP594" i="2"/>
  <c r="AR595" i="2" l="1"/>
  <c r="AQ595" i="2"/>
  <c r="AN595" i="2"/>
  <c r="AM595" i="2"/>
  <c r="AL595" i="2"/>
  <c r="AJ595" i="2"/>
  <c r="AK595" i="2"/>
  <c r="AH595" i="2"/>
  <c r="AI595" i="2"/>
  <c r="AF595" i="2"/>
  <c r="AE595" i="2"/>
  <c r="AG595" i="2"/>
  <c r="AD595" i="2"/>
  <c r="AB595" i="2"/>
  <c r="AC595" i="2"/>
  <c r="Z595" i="2"/>
  <c r="X595" i="2"/>
  <c r="AA595" i="2"/>
  <c r="V595" i="2"/>
  <c r="Y595" i="2"/>
  <c r="W595" i="2"/>
  <c r="U595" i="2"/>
  <c r="S595" i="2"/>
  <c r="T595" i="2"/>
  <c r="R595" i="2"/>
  <c r="P595" i="2"/>
  <c r="N595" i="2"/>
  <c r="O595" i="2"/>
  <c r="M595" i="2"/>
  <c r="L595" i="2"/>
  <c r="J595" i="2"/>
  <c r="AO595" i="2"/>
  <c r="I595" i="2"/>
  <c r="K595" i="2"/>
  <c r="AP595" i="2"/>
  <c r="L595" i="1"/>
  <c r="P595" i="1" s="1"/>
  <c r="AA595" i="1"/>
  <c r="AR595" i="3"/>
  <c r="AN595" i="3"/>
  <c r="AQ595" i="3"/>
  <c r="AM595" i="3"/>
  <c r="AL595" i="3"/>
  <c r="AK595" i="3"/>
  <c r="AI595" i="3"/>
  <c r="AJ595" i="3"/>
  <c r="AH595" i="3"/>
  <c r="AG595" i="3"/>
  <c r="AF595" i="3"/>
  <c r="AD595" i="3"/>
  <c r="AC595" i="3"/>
  <c r="AE595" i="3"/>
  <c r="AB595" i="3"/>
  <c r="X595" i="3"/>
  <c r="AA595" i="3"/>
  <c r="Z595" i="3"/>
  <c r="Y595" i="3"/>
  <c r="W595" i="3"/>
  <c r="R595" i="3"/>
  <c r="T595" i="3"/>
  <c r="U595" i="3"/>
  <c r="V595" i="3"/>
  <c r="S595" i="3"/>
  <c r="O595" i="3"/>
  <c r="P595" i="3"/>
  <c r="K595" i="3"/>
  <c r="N595" i="3"/>
  <c r="L595" i="3"/>
  <c r="M595" i="3"/>
  <c r="I595" i="3"/>
  <c r="AO595" i="3"/>
  <c r="J595" i="3"/>
  <c r="AP595" i="3"/>
  <c r="J596" i="1"/>
  <c r="I597" i="1"/>
  <c r="G596" i="3"/>
  <c r="V596" i="1"/>
  <c r="Y596" i="1"/>
  <c r="Z596" i="1" s="1"/>
  <c r="G596" i="2"/>
  <c r="O596" i="1"/>
  <c r="R596" i="1"/>
  <c r="S596" i="1"/>
  <c r="W596" i="1" s="1"/>
  <c r="N596" i="1"/>
  <c r="J597" i="1" l="1"/>
  <c r="I598" i="1"/>
  <c r="G597" i="3"/>
  <c r="V597" i="1"/>
  <c r="Y597" i="1"/>
  <c r="Z597" i="1" s="1"/>
  <c r="G597" i="2"/>
  <c r="S597" i="1"/>
  <c r="W597" i="1" s="1"/>
  <c r="N597" i="1"/>
  <c r="O597" i="1"/>
  <c r="R597" i="1"/>
  <c r="AR596" i="3"/>
  <c r="AN596" i="3"/>
  <c r="AQ596" i="3"/>
  <c r="AM596" i="3"/>
  <c r="AL596" i="3"/>
  <c r="AK596" i="3"/>
  <c r="AI596" i="3"/>
  <c r="AJ596" i="3"/>
  <c r="AG596" i="3"/>
  <c r="AH596" i="3"/>
  <c r="AF596" i="3"/>
  <c r="AE596" i="3"/>
  <c r="AC596" i="3"/>
  <c r="AD596" i="3"/>
  <c r="Z596" i="3"/>
  <c r="AB596" i="3"/>
  <c r="X596" i="3"/>
  <c r="AA596" i="3"/>
  <c r="Y596" i="3"/>
  <c r="W596" i="3"/>
  <c r="V596" i="3"/>
  <c r="R596" i="3"/>
  <c r="T596" i="3"/>
  <c r="U596" i="3"/>
  <c r="S596" i="3"/>
  <c r="M596" i="3"/>
  <c r="P596" i="3"/>
  <c r="O596" i="3"/>
  <c r="K596" i="3"/>
  <c r="N596" i="3"/>
  <c r="L596" i="3"/>
  <c r="AO596" i="3"/>
  <c r="J596" i="3"/>
  <c r="I596" i="3"/>
  <c r="AP596" i="3"/>
  <c r="AR596" i="2"/>
  <c r="AN596" i="2"/>
  <c r="AQ596" i="2"/>
  <c r="AM596" i="2"/>
  <c r="AL596" i="2"/>
  <c r="AJ596" i="2"/>
  <c r="AK596" i="2"/>
  <c r="AI596" i="2"/>
  <c r="AF596" i="2"/>
  <c r="AH596" i="2"/>
  <c r="AE596" i="2"/>
  <c r="AG596" i="2"/>
  <c r="AD596" i="2"/>
  <c r="AB596" i="2"/>
  <c r="AC596" i="2"/>
  <c r="AA596" i="2"/>
  <c r="Z596" i="2"/>
  <c r="Y596" i="2"/>
  <c r="X596" i="2"/>
  <c r="V596" i="2"/>
  <c r="W596" i="2"/>
  <c r="S596" i="2"/>
  <c r="U596" i="2"/>
  <c r="R596" i="2"/>
  <c r="T596" i="2"/>
  <c r="P596" i="2"/>
  <c r="N596" i="2"/>
  <c r="M596" i="2"/>
  <c r="L596" i="2"/>
  <c r="O596" i="2"/>
  <c r="I596" i="2"/>
  <c r="K596" i="2"/>
  <c r="J596" i="2"/>
  <c r="AO596" i="2"/>
  <c r="AP596" i="2"/>
  <c r="L596" i="1"/>
  <c r="P596" i="1" s="1"/>
  <c r="AA596" i="1"/>
  <c r="L597" i="1" l="1"/>
  <c r="P597" i="1" s="1"/>
  <c r="AA597" i="1"/>
  <c r="AR597" i="2"/>
  <c r="AN597" i="2"/>
  <c r="AQ597" i="2"/>
  <c r="AM597" i="2"/>
  <c r="AJ597" i="2"/>
  <c r="AL597" i="2"/>
  <c r="AK597" i="2"/>
  <c r="AI597" i="2"/>
  <c r="AH597" i="2"/>
  <c r="AG597" i="2"/>
  <c r="AE597" i="2"/>
  <c r="AD597" i="2"/>
  <c r="AB597" i="2"/>
  <c r="AF597" i="2"/>
  <c r="AA597" i="2"/>
  <c r="AC597" i="2"/>
  <c r="Y597" i="2"/>
  <c r="X597" i="2"/>
  <c r="V597" i="2"/>
  <c r="Z597" i="2"/>
  <c r="W597" i="2"/>
  <c r="U597" i="2"/>
  <c r="S597" i="2"/>
  <c r="R597" i="2"/>
  <c r="T597" i="2"/>
  <c r="P597" i="2"/>
  <c r="N597" i="2"/>
  <c r="M597" i="2"/>
  <c r="L597" i="2"/>
  <c r="O597" i="2"/>
  <c r="J597" i="2"/>
  <c r="K597" i="2"/>
  <c r="I597" i="2"/>
  <c r="AP597" i="2"/>
  <c r="AO597" i="2"/>
  <c r="AR597" i="3"/>
  <c r="AN597" i="3"/>
  <c r="AQ597" i="3"/>
  <c r="AL597" i="3"/>
  <c r="AM597" i="3"/>
  <c r="AK597" i="3"/>
  <c r="AJ597" i="3"/>
  <c r="AG597" i="3"/>
  <c r="AI597" i="3"/>
  <c r="AH597" i="3"/>
  <c r="AF597" i="3"/>
  <c r="AE597" i="3"/>
  <c r="AC597" i="3"/>
  <c r="AD597" i="3"/>
  <c r="AB597" i="3"/>
  <c r="X597" i="3"/>
  <c r="AA597" i="3"/>
  <c r="Z597" i="3"/>
  <c r="Y597" i="3"/>
  <c r="V597" i="3"/>
  <c r="W597" i="3"/>
  <c r="U597" i="3"/>
  <c r="S597" i="3"/>
  <c r="T597" i="3"/>
  <c r="R597" i="3"/>
  <c r="P597" i="3"/>
  <c r="O597" i="3"/>
  <c r="N597" i="3"/>
  <c r="M597" i="3"/>
  <c r="K597" i="3"/>
  <c r="L597" i="3"/>
  <c r="AP597" i="3"/>
  <c r="AO597" i="3"/>
  <c r="J597" i="3"/>
  <c r="I597" i="3"/>
  <c r="J598" i="1"/>
  <c r="I599" i="1"/>
  <c r="V598" i="1"/>
  <c r="G598" i="3"/>
  <c r="Y598" i="1"/>
  <c r="Z598" i="1" s="1"/>
  <c r="G598" i="2"/>
  <c r="N598" i="1"/>
  <c r="R598" i="1"/>
  <c r="S598" i="1"/>
  <c r="W598" i="1" s="1"/>
  <c r="O598" i="1"/>
  <c r="L598" i="1" l="1"/>
  <c r="P598" i="1" s="1"/>
  <c r="AA598" i="1"/>
  <c r="I600" i="1"/>
  <c r="J599" i="1"/>
  <c r="V599" i="1"/>
  <c r="G599" i="3"/>
  <c r="Y599" i="1"/>
  <c r="Z599" i="1" s="1"/>
  <c r="G599" i="2"/>
  <c r="R599" i="1"/>
  <c r="O599" i="1"/>
  <c r="S599" i="1"/>
  <c r="N599" i="1"/>
  <c r="AR598" i="2"/>
  <c r="AN598" i="2"/>
  <c r="AQ598" i="2"/>
  <c r="AM598" i="2"/>
  <c r="AJ598" i="2"/>
  <c r="AL598" i="2"/>
  <c r="AK598" i="2"/>
  <c r="AH598" i="2"/>
  <c r="AI598" i="2"/>
  <c r="AG598" i="2"/>
  <c r="AF598" i="2"/>
  <c r="AD598" i="2"/>
  <c r="AE598" i="2"/>
  <c r="AB598" i="2"/>
  <c r="AA598" i="2"/>
  <c r="AC598" i="2"/>
  <c r="Y598" i="2"/>
  <c r="Z598" i="2"/>
  <c r="X598" i="2"/>
  <c r="W598" i="2"/>
  <c r="U598" i="2"/>
  <c r="S598" i="2"/>
  <c r="V598" i="2"/>
  <c r="P598" i="2"/>
  <c r="T598" i="2"/>
  <c r="Q598" i="2"/>
  <c r="N598" i="2"/>
  <c r="J598" i="2"/>
  <c r="M598" i="2"/>
  <c r="L598" i="2"/>
  <c r="O598" i="2"/>
  <c r="K598" i="2"/>
  <c r="I598" i="2"/>
  <c r="AP598" i="2"/>
  <c r="AO598" i="2"/>
  <c r="AR598" i="3"/>
  <c r="AQ598" i="3"/>
  <c r="AN598" i="3"/>
  <c r="AM598" i="3"/>
  <c r="AL598" i="3"/>
  <c r="AJ598" i="3"/>
  <c r="AK598" i="3"/>
  <c r="AG598" i="3"/>
  <c r="AF598" i="3"/>
  <c r="AI598" i="3"/>
  <c r="AH598" i="3"/>
  <c r="AE598" i="3"/>
  <c r="AD598" i="3"/>
  <c r="AC598" i="3"/>
  <c r="AB598" i="3"/>
  <c r="AA598" i="3"/>
  <c r="Z598" i="3"/>
  <c r="Y598" i="3"/>
  <c r="V598" i="3"/>
  <c r="W598" i="3"/>
  <c r="X598" i="3"/>
  <c r="U598" i="3"/>
  <c r="S598" i="3"/>
  <c r="T598" i="3"/>
  <c r="N598" i="3"/>
  <c r="P598" i="3"/>
  <c r="O598" i="3"/>
  <c r="Q598" i="3"/>
  <c r="M598" i="3"/>
  <c r="I598" i="3"/>
  <c r="L598" i="3"/>
  <c r="AP598" i="3"/>
  <c r="K598" i="3"/>
  <c r="AO598" i="3"/>
  <c r="J598" i="3"/>
  <c r="J600" i="1" l="1"/>
  <c r="I601" i="1"/>
  <c r="V600" i="1"/>
  <c r="G600" i="3"/>
  <c r="Y600" i="1"/>
  <c r="Z600" i="1" s="1"/>
  <c r="G600" i="2"/>
  <c r="S600" i="1"/>
  <c r="O600" i="1"/>
  <c r="N600" i="1"/>
  <c r="R600" i="1"/>
  <c r="L599" i="1"/>
  <c r="P599" i="1" s="1"/>
  <c r="AA599" i="1"/>
  <c r="W599" i="1"/>
  <c r="AR599" i="2"/>
  <c r="AQ599" i="2"/>
  <c r="AM599" i="2"/>
  <c r="AK599" i="2"/>
  <c r="AN599" i="2"/>
  <c r="AL599" i="2"/>
  <c r="AJ599" i="2"/>
  <c r="AH599" i="2"/>
  <c r="AI599" i="2"/>
  <c r="AG599" i="2"/>
  <c r="AF599" i="2"/>
  <c r="AD599" i="2"/>
  <c r="AB599" i="2"/>
  <c r="AE599" i="2"/>
  <c r="AA599" i="2"/>
  <c r="AC599" i="2"/>
  <c r="Y599" i="2"/>
  <c r="Z599" i="2"/>
  <c r="W599" i="2"/>
  <c r="X599" i="2"/>
  <c r="U599" i="2"/>
  <c r="V599" i="2"/>
  <c r="T599" i="2"/>
  <c r="S599" i="2"/>
  <c r="P599" i="2"/>
  <c r="Q599" i="2"/>
  <c r="O599" i="2"/>
  <c r="N599" i="2"/>
  <c r="M599" i="2"/>
  <c r="L599" i="2"/>
  <c r="K599" i="2"/>
  <c r="J599" i="2"/>
  <c r="I599" i="2"/>
  <c r="AP599" i="2"/>
  <c r="AO599" i="2"/>
  <c r="AQ599" i="3"/>
  <c r="AR599" i="3"/>
  <c r="AN599" i="3"/>
  <c r="AM599" i="3"/>
  <c r="AL599" i="3"/>
  <c r="AJ599" i="3"/>
  <c r="AK599" i="3"/>
  <c r="AG599" i="3"/>
  <c r="AI599" i="3"/>
  <c r="AF599" i="3"/>
  <c r="AH599" i="3"/>
  <c r="AE599" i="3"/>
  <c r="AB599" i="3"/>
  <c r="AD599" i="3"/>
  <c r="AC599" i="3"/>
  <c r="AA599" i="3"/>
  <c r="Y599" i="3"/>
  <c r="Z599" i="3"/>
  <c r="V599" i="3"/>
  <c r="W599" i="3"/>
  <c r="X599" i="3"/>
  <c r="U599" i="3"/>
  <c r="S599" i="3"/>
  <c r="T599" i="3"/>
  <c r="P599" i="3"/>
  <c r="N599" i="3"/>
  <c r="O599" i="3"/>
  <c r="Q599" i="3"/>
  <c r="M599" i="3"/>
  <c r="K599" i="3"/>
  <c r="L599" i="3"/>
  <c r="J599" i="3"/>
  <c r="AP599" i="3"/>
  <c r="I599" i="3"/>
  <c r="AO599" i="3"/>
  <c r="W600" i="1" l="1"/>
  <c r="L600" i="1"/>
  <c r="P600" i="1" s="1"/>
  <c r="AA600" i="1"/>
  <c r="AR600" i="2"/>
  <c r="AQ600" i="2"/>
  <c r="AL600" i="2"/>
  <c r="AM600" i="2"/>
  <c r="AN600" i="2"/>
  <c r="AK600" i="2"/>
  <c r="AJ600" i="2"/>
  <c r="AH600" i="2"/>
  <c r="AI600" i="2"/>
  <c r="AG600" i="2"/>
  <c r="AD600" i="2"/>
  <c r="AE600" i="2"/>
  <c r="AF600" i="2"/>
  <c r="AC600" i="2"/>
  <c r="AB600" i="2"/>
  <c r="AA600" i="2"/>
  <c r="Z600" i="2"/>
  <c r="W600" i="2"/>
  <c r="Y600" i="2"/>
  <c r="X600" i="2"/>
  <c r="U600" i="2"/>
  <c r="T600" i="2"/>
  <c r="V600" i="2"/>
  <c r="S600" i="2"/>
  <c r="P600" i="2"/>
  <c r="O600" i="2"/>
  <c r="Q600" i="2"/>
  <c r="N600" i="2"/>
  <c r="J600" i="2"/>
  <c r="M600" i="2"/>
  <c r="K600" i="2"/>
  <c r="L600" i="2"/>
  <c r="I600" i="2"/>
  <c r="AP600" i="2"/>
  <c r="AO600" i="2"/>
  <c r="J601" i="1"/>
  <c r="I602" i="1"/>
  <c r="V601" i="1"/>
  <c r="G601" i="3"/>
  <c r="Y601" i="1"/>
  <c r="Z601" i="1" s="1"/>
  <c r="G601" i="2"/>
  <c r="R601" i="1"/>
  <c r="O601" i="1"/>
  <c r="S601" i="1"/>
  <c r="W601" i="1" s="1"/>
  <c r="N601" i="1"/>
  <c r="AQ600" i="3"/>
  <c r="AR600" i="3"/>
  <c r="AM600" i="3"/>
  <c r="AN600" i="3"/>
  <c r="AL600" i="3"/>
  <c r="AJ600" i="3"/>
  <c r="AI600" i="3"/>
  <c r="AK600" i="3"/>
  <c r="AH600" i="3"/>
  <c r="AG600" i="3"/>
  <c r="AF600" i="3"/>
  <c r="AB600" i="3"/>
  <c r="AD600" i="3"/>
  <c r="AE600" i="3"/>
  <c r="AA600" i="3"/>
  <c r="AC600" i="3"/>
  <c r="Y600" i="3"/>
  <c r="Z600" i="3"/>
  <c r="X600" i="3"/>
  <c r="V600" i="3"/>
  <c r="U600" i="3"/>
  <c r="S600" i="3"/>
  <c r="W600" i="3"/>
  <c r="P600" i="3"/>
  <c r="T600" i="3"/>
  <c r="Q600" i="3"/>
  <c r="L600" i="3"/>
  <c r="N600" i="3"/>
  <c r="O600" i="3"/>
  <c r="J600" i="3"/>
  <c r="M600" i="3"/>
  <c r="K600" i="3"/>
  <c r="AP600" i="3"/>
  <c r="I600" i="3"/>
  <c r="AO600" i="3"/>
  <c r="AR601" i="2" l="1"/>
  <c r="AQ601" i="2"/>
  <c r="AM601" i="2"/>
  <c r="AN601" i="2"/>
  <c r="AL601" i="2"/>
  <c r="AK601" i="2"/>
  <c r="AI601" i="2"/>
  <c r="AJ601" i="2"/>
  <c r="AH601" i="2"/>
  <c r="AG601" i="2"/>
  <c r="AD601" i="2"/>
  <c r="AC601" i="2"/>
  <c r="AE601" i="2"/>
  <c r="AF601" i="2"/>
  <c r="AB601" i="2"/>
  <c r="AA601" i="2"/>
  <c r="Z601" i="2"/>
  <c r="U601" i="2"/>
  <c r="W601" i="2"/>
  <c r="Y601" i="2"/>
  <c r="X601" i="2"/>
  <c r="T601" i="2"/>
  <c r="V601" i="2"/>
  <c r="S601" i="2"/>
  <c r="Q601" i="2"/>
  <c r="O601" i="2"/>
  <c r="P601" i="2"/>
  <c r="M601" i="2"/>
  <c r="N601" i="2"/>
  <c r="L601" i="2"/>
  <c r="K601" i="2"/>
  <c r="J601" i="2"/>
  <c r="I601" i="2"/>
  <c r="AP601" i="2"/>
  <c r="AO601" i="2"/>
  <c r="AQ601" i="3"/>
  <c r="AR601" i="3"/>
  <c r="AM601" i="3"/>
  <c r="AN601" i="3"/>
  <c r="AL601" i="3"/>
  <c r="AK601" i="3"/>
  <c r="AH601" i="3"/>
  <c r="AJ601" i="3"/>
  <c r="AG601" i="3"/>
  <c r="AI601" i="3"/>
  <c r="AF601" i="3"/>
  <c r="AE601" i="3"/>
  <c r="AB601" i="3"/>
  <c r="AD601" i="3"/>
  <c r="AC601" i="3"/>
  <c r="AA601" i="3"/>
  <c r="Z601" i="3"/>
  <c r="W601" i="3"/>
  <c r="Y601" i="3"/>
  <c r="X601" i="3"/>
  <c r="V601" i="3"/>
  <c r="U601" i="3"/>
  <c r="T601" i="3"/>
  <c r="S601" i="3"/>
  <c r="Q601" i="3"/>
  <c r="P601" i="3"/>
  <c r="O601" i="3"/>
  <c r="J601" i="3"/>
  <c r="M601" i="3"/>
  <c r="N601" i="3"/>
  <c r="L601" i="3"/>
  <c r="AO601" i="3"/>
  <c r="K601" i="3"/>
  <c r="AP601" i="3"/>
  <c r="I601" i="3"/>
  <c r="L601" i="1"/>
  <c r="P601" i="1" s="1"/>
  <c r="AA601" i="1"/>
  <c r="I603" i="1"/>
  <c r="J602" i="1"/>
  <c r="G602" i="3"/>
  <c r="V602" i="1"/>
  <c r="G602" i="2"/>
  <c r="Y602" i="1"/>
  <c r="Z602" i="1" s="1"/>
  <c r="S602" i="1"/>
  <c r="W602" i="1" s="1"/>
  <c r="N602" i="1"/>
  <c r="R602" i="1"/>
  <c r="O602" i="1"/>
  <c r="I604" i="1" l="1"/>
  <c r="J603" i="1"/>
  <c r="V603" i="1"/>
  <c r="G603" i="3"/>
  <c r="Y603" i="1"/>
  <c r="Z603" i="1" s="1"/>
  <c r="G603" i="2"/>
  <c r="N603" i="1"/>
  <c r="O603" i="1"/>
  <c r="S603" i="1"/>
  <c r="W603" i="1" s="1"/>
  <c r="R603" i="1"/>
  <c r="AR602" i="3"/>
  <c r="AQ602" i="3"/>
  <c r="AL602" i="3"/>
  <c r="AN602" i="3"/>
  <c r="AK602" i="3"/>
  <c r="AM602" i="3"/>
  <c r="AH602" i="3"/>
  <c r="AJ602" i="3"/>
  <c r="AG602" i="3"/>
  <c r="AI602" i="3"/>
  <c r="AF602" i="3"/>
  <c r="AD602" i="3"/>
  <c r="AE602" i="3"/>
  <c r="AC602" i="3"/>
  <c r="AB602" i="3"/>
  <c r="AA602" i="3"/>
  <c r="Z602" i="3"/>
  <c r="Y602" i="3"/>
  <c r="X602" i="3"/>
  <c r="W602" i="3"/>
  <c r="U602" i="3"/>
  <c r="T602" i="3"/>
  <c r="V602" i="3"/>
  <c r="P602" i="3"/>
  <c r="S602" i="3"/>
  <c r="O602" i="3"/>
  <c r="Q602" i="3"/>
  <c r="J602" i="3"/>
  <c r="M602" i="3"/>
  <c r="N602" i="3"/>
  <c r="L602" i="3"/>
  <c r="K602" i="3"/>
  <c r="AP602" i="3"/>
  <c r="AO602" i="3"/>
  <c r="I602" i="3"/>
  <c r="AQ602" i="2"/>
  <c r="AR602" i="2"/>
  <c r="AM602" i="2"/>
  <c r="AN602" i="2"/>
  <c r="AL602" i="2"/>
  <c r="AK602" i="2"/>
  <c r="AI602" i="2"/>
  <c r="AG602" i="2"/>
  <c r="AH602" i="2"/>
  <c r="AJ602" i="2"/>
  <c r="AF602" i="2"/>
  <c r="AC602" i="2"/>
  <c r="AD602" i="2"/>
  <c r="AE602" i="2"/>
  <c r="AB602" i="2"/>
  <c r="Z602" i="2"/>
  <c r="AA602" i="2"/>
  <c r="X602" i="2"/>
  <c r="U602" i="2"/>
  <c r="W602" i="2"/>
  <c r="Y602" i="2"/>
  <c r="T602" i="2"/>
  <c r="V602" i="2"/>
  <c r="Q602" i="2"/>
  <c r="S602" i="2"/>
  <c r="M602" i="2"/>
  <c r="O602" i="2"/>
  <c r="P602" i="2"/>
  <c r="K602" i="2"/>
  <c r="N602" i="2"/>
  <c r="L602" i="2"/>
  <c r="AP602" i="2"/>
  <c r="J602" i="2"/>
  <c r="I602" i="2"/>
  <c r="AO602" i="2"/>
  <c r="L602" i="1"/>
  <c r="P602" i="1" s="1"/>
  <c r="AA602" i="1"/>
  <c r="AR603" i="3" l="1"/>
  <c r="AQ603" i="3"/>
  <c r="AM603" i="3"/>
  <c r="AL603" i="3"/>
  <c r="AN603" i="3"/>
  <c r="AK603" i="3"/>
  <c r="AI603" i="3"/>
  <c r="AH603" i="3"/>
  <c r="AJ603" i="3"/>
  <c r="AG603" i="3"/>
  <c r="AD603" i="3"/>
  <c r="AF603" i="3"/>
  <c r="AC603" i="3"/>
  <c r="AE603" i="3"/>
  <c r="AB603" i="3"/>
  <c r="AA603" i="3"/>
  <c r="Z603" i="3"/>
  <c r="W603" i="3"/>
  <c r="U603" i="3"/>
  <c r="X603" i="3"/>
  <c r="Y603" i="3"/>
  <c r="T603" i="3"/>
  <c r="V603" i="3"/>
  <c r="S603" i="3"/>
  <c r="Q603" i="3"/>
  <c r="O603" i="3"/>
  <c r="P603" i="3"/>
  <c r="M603" i="3"/>
  <c r="L603" i="3"/>
  <c r="N603" i="3"/>
  <c r="K603" i="3"/>
  <c r="I603" i="3"/>
  <c r="AP603" i="3"/>
  <c r="J603" i="3"/>
  <c r="AO603" i="3"/>
  <c r="L603" i="1"/>
  <c r="P603" i="1" s="1"/>
  <c r="AA603" i="1"/>
  <c r="AQ603" i="2"/>
  <c r="AR603" i="2"/>
  <c r="AN603" i="2"/>
  <c r="AM603" i="2"/>
  <c r="AL603" i="2"/>
  <c r="AK603" i="2"/>
  <c r="AI603" i="2"/>
  <c r="AJ603" i="2"/>
  <c r="AF603" i="2"/>
  <c r="AG603" i="2"/>
  <c r="AH603" i="2"/>
  <c r="AC603" i="2"/>
  <c r="AD603" i="2"/>
  <c r="AE603" i="2"/>
  <c r="AB603" i="2"/>
  <c r="X603" i="2"/>
  <c r="AA603" i="2"/>
  <c r="Z603" i="2"/>
  <c r="Y603" i="2"/>
  <c r="U603" i="2"/>
  <c r="T603" i="2"/>
  <c r="W603" i="2"/>
  <c r="V603" i="2"/>
  <c r="Q603" i="2"/>
  <c r="S603" i="2"/>
  <c r="O603" i="2"/>
  <c r="P603" i="2"/>
  <c r="K603" i="2"/>
  <c r="N603" i="2"/>
  <c r="M603" i="2"/>
  <c r="L603" i="2"/>
  <c r="I603" i="2"/>
  <c r="AP603" i="2"/>
  <c r="J603" i="2"/>
  <c r="AO603" i="2"/>
  <c r="I605" i="1"/>
  <c r="J604" i="1"/>
  <c r="V604" i="1"/>
  <c r="G604" i="3"/>
  <c r="Y604" i="1"/>
  <c r="Z604" i="1" s="1"/>
  <c r="G604" i="2"/>
  <c r="S604" i="1"/>
  <c r="W604" i="1" s="1"/>
  <c r="N604" i="1"/>
  <c r="R604" i="1"/>
  <c r="O604" i="1"/>
  <c r="I606" i="1" l="1"/>
  <c r="J605" i="1"/>
  <c r="V605" i="1"/>
  <c r="G605" i="3"/>
  <c r="Y605" i="1"/>
  <c r="Z605" i="1" s="1"/>
  <c r="G605" i="2"/>
  <c r="S605" i="1"/>
  <c r="W605" i="1" s="1"/>
  <c r="R605" i="1"/>
  <c r="N605" i="1"/>
  <c r="O605" i="1"/>
  <c r="AQ604" i="2"/>
  <c r="AR604" i="2"/>
  <c r="AN604" i="2"/>
  <c r="AM604" i="2"/>
  <c r="AL604" i="2"/>
  <c r="AK604" i="2"/>
  <c r="AI604" i="2"/>
  <c r="AJ604" i="2"/>
  <c r="AH604" i="2"/>
  <c r="AF604" i="2"/>
  <c r="AG604" i="2"/>
  <c r="AE604" i="2"/>
  <c r="AD604" i="2"/>
  <c r="Z604" i="2"/>
  <c r="AB604" i="2"/>
  <c r="AC604" i="2"/>
  <c r="AA604" i="2"/>
  <c r="W604" i="2"/>
  <c r="Y604" i="2"/>
  <c r="X604" i="2"/>
  <c r="V604" i="2"/>
  <c r="U604" i="2"/>
  <c r="Q604" i="2"/>
  <c r="S604" i="2"/>
  <c r="T604" i="2"/>
  <c r="M604" i="2"/>
  <c r="P604" i="2"/>
  <c r="K604" i="2"/>
  <c r="O604" i="2"/>
  <c r="N604" i="2"/>
  <c r="L604" i="2"/>
  <c r="AO604" i="2"/>
  <c r="AP604" i="2"/>
  <c r="J604" i="2"/>
  <c r="I604" i="2"/>
  <c r="AR604" i="3"/>
  <c r="AN604" i="3"/>
  <c r="AM604" i="3"/>
  <c r="AQ604" i="3"/>
  <c r="AL604" i="3"/>
  <c r="AI604" i="3"/>
  <c r="AK604" i="3"/>
  <c r="AJ604" i="3"/>
  <c r="AH604" i="3"/>
  <c r="AG604" i="3"/>
  <c r="AF604" i="3"/>
  <c r="AC604" i="3"/>
  <c r="AE604" i="3"/>
  <c r="AD604" i="3"/>
  <c r="AB604" i="3"/>
  <c r="Z604" i="3"/>
  <c r="Y604" i="3"/>
  <c r="AA604" i="3"/>
  <c r="X604" i="3"/>
  <c r="U604" i="3"/>
  <c r="W604" i="3"/>
  <c r="T604" i="3"/>
  <c r="V604" i="3"/>
  <c r="Q604" i="3"/>
  <c r="S604" i="3"/>
  <c r="M604" i="3"/>
  <c r="O604" i="3"/>
  <c r="P604" i="3"/>
  <c r="K604" i="3"/>
  <c r="L604" i="3"/>
  <c r="N604" i="3"/>
  <c r="AO604" i="3"/>
  <c r="I604" i="3"/>
  <c r="AP604" i="3"/>
  <c r="J604" i="3"/>
  <c r="L604" i="1"/>
  <c r="P604" i="1" s="1"/>
  <c r="AA604" i="1"/>
  <c r="AR605" i="2" l="1"/>
  <c r="AQ605" i="2"/>
  <c r="AN605" i="2"/>
  <c r="AM605" i="2"/>
  <c r="AL605" i="2"/>
  <c r="AK605" i="2"/>
  <c r="AJ605" i="2"/>
  <c r="AI605" i="2"/>
  <c r="AH605" i="2"/>
  <c r="AF605" i="2"/>
  <c r="AE605" i="2"/>
  <c r="AG605" i="2"/>
  <c r="AC605" i="2"/>
  <c r="AD605" i="2"/>
  <c r="AB605" i="2"/>
  <c r="Z605" i="2"/>
  <c r="X605" i="2"/>
  <c r="AA605" i="2"/>
  <c r="V605" i="2"/>
  <c r="Y605" i="2"/>
  <c r="W605" i="2"/>
  <c r="U605" i="2"/>
  <c r="S605" i="2"/>
  <c r="T605" i="2"/>
  <c r="Q605" i="2"/>
  <c r="P605" i="2"/>
  <c r="N605" i="2"/>
  <c r="O605" i="2"/>
  <c r="M605" i="2"/>
  <c r="L605" i="2"/>
  <c r="I605" i="2"/>
  <c r="AO605" i="2"/>
  <c r="K605" i="2"/>
  <c r="J605" i="2"/>
  <c r="AP605" i="2"/>
  <c r="L605" i="1"/>
  <c r="P605" i="1" s="1"/>
  <c r="AA605" i="1"/>
  <c r="J606" i="1"/>
  <c r="I607" i="1"/>
  <c r="G606" i="3"/>
  <c r="V606" i="1"/>
  <c r="Y606" i="1"/>
  <c r="Z606" i="1" s="1"/>
  <c r="G606" i="2"/>
  <c r="R606" i="1"/>
  <c r="O606" i="1"/>
  <c r="N606" i="1"/>
  <c r="S606" i="1"/>
  <c r="AR605" i="3"/>
  <c r="AN605" i="3"/>
  <c r="AQ605" i="3"/>
  <c r="AM605" i="3"/>
  <c r="AL605" i="3"/>
  <c r="AI605" i="3"/>
  <c r="AK605" i="3"/>
  <c r="AJ605" i="3"/>
  <c r="AH605" i="3"/>
  <c r="AG605" i="3"/>
  <c r="AD605" i="3"/>
  <c r="AF605" i="3"/>
  <c r="AC605" i="3"/>
  <c r="AE605" i="3"/>
  <c r="AB605" i="3"/>
  <c r="X605" i="3"/>
  <c r="Z605" i="3"/>
  <c r="Y605" i="3"/>
  <c r="AA605" i="3"/>
  <c r="W605" i="3"/>
  <c r="T605" i="3"/>
  <c r="U605" i="3"/>
  <c r="V605" i="3"/>
  <c r="Q605" i="3"/>
  <c r="S605" i="3"/>
  <c r="O605" i="3"/>
  <c r="P605" i="3"/>
  <c r="K605" i="3"/>
  <c r="L605" i="3"/>
  <c r="M605" i="3"/>
  <c r="N605" i="3"/>
  <c r="I605" i="3"/>
  <c r="AO605" i="3"/>
  <c r="AP605" i="3"/>
  <c r="J605" i="3"/>
  <c r="AR606" i="2" l="1"/>
  <c r="AN606" i="2"/>
  <c r="AQ606" i="2"/>
  <c r="AM606" i="2"/>
  <c r="AL606" i="2"/>
  <c r="AJ606" i="2"/>
  <c r="AK606" i="2"/>
  <c r="AH606" i="2"/>
  <c r="AF606" i="2"/>
  <c r="AI606" i="2"/>
  <c r="AE606" i="2"/>
  <c r="AG606" i="2"/>
  <c r="AD606" i="2"/>
  <c r="AB606" i="2"/>
  <c r="AC606" i="2"/>
  <c r="AA606" i="2"/>
  <c r="Z606" i="2"/>
  <c r="Y606" i="2"/>
  <c r="V606" i="2"/>
  <c r="W606" i="2"/>
  <c r="X606" i="2"/>
  <c r="S606" i="2"/>
  <c r="U606" i="2"/>
  <c r="T606" i="2"/>
  <c r="N606" i="2"/>
  <c r="Q606" i="2"/>
  <c r="P606" i="2"/>
  <c r="L606" i="2"/>
  <c r="I606" i="2"/>
  <c r="O606" i="2"/>
  <c r="M606" i="2"/>
  <c r="AO606" i="2"/>
  <c r="K606" i="2"/>
  <c r="J606" i="2"/>
  <c r="AP606" i="2"/>
  <c r="AN606" i="3"/>
  <c r="AR606" i="3"/>
  <c r="AQ606" i="3"/>
  <c r="AM606" i="3"/>
  <c r="AI606" i="3"/>
  <c r="AL606" i="3"/>
  <c r="AK606" i="3"/>
  <c r="AJ606" i="3"/>
  <c r="AG606" i="3"/>
  <c r="AH606" i="3"/>
  <c r="AF606" i="3"/>
  <c r="AE606" i="3"/>
  <c r="AC606" i="3"/>
  <c r="AD606" i="3"/>
  <c r="Z606" i="3"/>
  <c r="AB606" i="3"/>
  <c r="X606" i="3"/>
  <c r="Y606" i="3"/>
  <c r="AA606" i="3"/>
  <c r="W606" i="3"/>
  <c r="V606" i="3"/>
  <c r="T606" i="3"/>
  <c r="U606" i="3"/>
  <c r="Q606" i="3"/>
  <c r="S606" i="3"/>
  <c r="M606" i="3"/>
  <c r="P606" i="3"/>
  <c r="N606" i="3"/>
  <c r="K606" i="3"/>
  <c r="O606" i="3"/>
  <c r="L606" i="3"/>
  <c r="J606" i="3"/>
  <c r="I606" i="3"/>
  <c r="AO606" i="3"/>
  <c r="AP606" i="3"/>
  <c r="J607" i="1"/>
  <c r="I608" i="1"/>
  <c r="V607" i="1"/>
  <c r="G607" i="3"/>
  <c r="Y607" i="1"/>
  <c r="Z607" i="1" s="1"/>
  <c r="G607" i="2"/>
  <c r="S607" i="1"/>
  <c r="N607" i="1"/>
  <c r="O607" i="1"/>
  <c r="R607" i="1"/>
  <c r="L606" i="1"/>
  <c r="P606" i="1" s="1"/>
  <c r="AA606" i="1"/>
  <c r="W606" i="1"/>
  <c r="L607" i="1" l="1"/>
  <c r="P607" i="1" s="1"/>
  <c r="AA607" i="1"/>
  <c r="AR607" i="3"/>
  <c r="AN607" i="3"/>
  <c r="AQ607" i="3"/>
  <c r="AM607" i="3"/>
  <c r="AL607" i="3"/>
  <c r="AK607" i="3"/>
  <c r="AJ607" i="3"/>
  <c r="AG607" i="3"/>
  <c r="AI607" i="3"/>
  <c r="AH607" i="3"/>
  <c r="AF607" i="3"/>
  <c r="AE607" i="3"/>
  <c r="AC607" i="3"/>
  <c r="AD607" i="3"/>
  <c r="AB607" i="3"/>
  <c r="X607" i="3"/>
  <c r="Z607" i="3"/>
  <c r="Y607" i="3"/>
  <c r="AA607" i="3"/>
  <c r="V607" i="3"/>
  <c r="W607" i="3"/>
  <c r="U607" i="3"/>
  <c r="S607" i="3"/>
  <c r="T607" i="3"/>
  <c r="Q607" i="3"/>
  <c r="O607" i="3"/>
  <c r="P607" i="3"/>
  <c r="N607" i="3"/>
  <c r="K607" i="3"/>
  <c r="L607" i="3"/>
  <c r="M607" i="3"/>
  <c r="AP607" i="3"/>
  <c r="J607" i="3"/>
  <c r="I607" i="3"/>
  <c r="AO607" i="3"/>
  <c r="W607" i="1"/>
  <c r="J608" i="1"/>
  <c r="I609" i="1"/>
  <c r="V608" i="1"/>
  <c r="G608" i="3"/>
  <c r="Y608" i="1"/>
  <c r="Z608" i="1" s="1"/>
  <c r="G608" i="2"/>
  <c r="R608" i="1"/>
  <c r="N608" i="1"/>
  <c r="O608" i="1"/>
  <c r="S608" i="1"/>
  <c r="W608" i="1" s="1"/>
  <c r="AR607" i="2"/>
  <c r="AN607" i="2"/>
  <c r="AQ607" i="2"/>
  <c r="AL607" i="2"/>
  <c r="AM607" i="2"/>
  <c r="AJ607" i="2"/>
  <c r="AK607" i="2"/>
  <c r="AH607" i="2"/>
  <c r="AI607" i="2"/>
  <c r="AF607" i="2"/>
  <c r="AE607" i="2"/>
  <c r="AG607" i="2"/>
  <c r="AB607" i="2"/>
  <c r="AD607" i="2"/>
  <c r="AA607" i="2"/>
  <c r="AC607" i="2"/>
  <c r="Y607" i="2"/>
  <c r="Z607" i="2"/>
  <c r="V607" i="2"/>
  <c r="W607" i="2"/>
  <c r="X607" i="2"/>
  <c r="S607" i="2"/>
  <c r="U607" i="2"/>
  <c r="T607" i="2"/>
  <c r="P607" i="2"/>
  <c r="N607" i="2"/>
  <c r="Q607" i="2"/>
  <c r="L607" i="2"/>
  <c r="O607" i="2"/>
  <c r="M607" i="2"/>
  <c r="J607" i="2"/>
  <c r="I607" i="2"/>
  <c r="K607" i="2"/>
  <c r="AO607" i="2"/>
  <c r="AP607" i="2"/>
  <c r="AQ608" i="3" l="1"/>
  <c r="AR608" i="3"/>
  <c r="AN608" i="3"/>
  <c r="AM608" i="3"/>
  <c r="AL608" i="3"/>
  <c r="AK608" i="3"/>
  <c r="AJ608" i="3"/>
  <c r="AI608" i="3"/>
  <c r="AG608" i="3"/>
  <c r="AF608" i="3"/>
  <c r="AH608" i="3"/>
  <c r="AE608" i="3"/>
  <c r="AC608" i="3"/>
  <c r="AD608" i="3"/>
  <c r="AB608" i="3"/>
  <c r="AA608" i="3"/>
  <c r="Z608" i="3"/>
  <c r="Y608" i="3"/>
  <c r="V608" i="3"/>
  <c r="X608" i="3"/>
  <c r="W608" i="3"/>
  <c r="U608" i="3"/>
  <c r="R608" i="3"/>
  <c r="T608" i="3"/>
  <c r="N608" i="3"/>
  <c r="Q608" i="3"/>
  <c r="O608" i="3"/>
  <c r="P608" i="3"/>
  <c r="I608" i="3"/>
  <c r="L608" i="3"/>
  <c r="M608" i="3"/>
  <c r="AP608" i="3"/>
  <c r="J608" i="3"/>
  <c r="AO608" i="3"/>
  <c r="K608" i="3"/>
  <c r="AR608" i="2"/>
  <c r="AN608" i="2"/>
  <c r="AQ608" i="2"/>
  <c r="AM608" i="2"/>
  <c r="AL608" i="2"/>
  <c r="AJ608" i="2"/>
  <c r="AK608" i="2"/>
  <c r="AH608" i="2"/>
  <c r="AI608" i="2"/>
  <c r="AF608" i="2"/>
  <c r="AG608" i="2"/>
  <c r="AD608" i="2"/>
  <c r="AE608" i="2"/>
  <c r="AA608" i="2"/>
  <c r="AC608" i="2"/>
  <c r="AB608" i="2"/>
  <c r="Y608" i="2"/>
  <c r="Z608" i="2"/>
  <c r="X608" i="2"/>
  <c r="W608" i="2"/>
  <c r="V608" i="2"/>
  <c r="U608" i="2"/>
  <c r="T608" i="2"/>
  <c r="P608" i="2"/>
  <c r="R608" i="2"/>
  <c r="N608" i="2"/>
  <c r="Q608" i="2"/>
  <c r="J608" i="2"/>
  <c r="L608" i="2"/>
  <c r="O608" i="2"/>
  <c r="M608" i="2"/>
  <c r="I608" i="2"/>
  <c r="K608" i="2"/>
  <c r="AO608" i="2"/>
  <c r="AP608" i="2"/>
  <c r="L608" i="1"/>
  <c r="P608" i="1" s="1"/>
  <c r="AA608" i="1"/>
  <c r="I610" i="1"/>
  <c r="J609" i="1"/>
  <c r="V609" i="1"/>
  <c r="G609" i="3"/>
  <c r="Y609" i="1"/>
  <c r="Z609" i="1" s="1"/>
  <c r="G609" i="2"/>
  <c r="S609" i="1"/>
  <c r="W609" i="1" s="1"/>
  <c r="O609" i="1"/>
  <c r="R609" i="1"/>
  <c r="N609" i="1"/>
  <c r="I611" i="1" l="1"/>
  <c r="J610" i="1"/>
  <c r="V610" i="1"/>
  <c r="G610" i="3"/>
  <c r="Y610" i="1"/>
  <c r="Z610" i="1" s="1"/>
  <c r="G610" i="2"/>
  <c r="S610" i="1"/>
  <c r="W610" i="1" s="1"/>
  <c r="N610" i="1"/>
  <c r="R610" i="1"/>
  <c r="O610" i="1"/>
  <c r="AR609" i="2"/>
  <c r="AQ609" i="2"/>
  <c r="AN609" i="2"/>
  <c r="AK609" i="2"/>
  <c r="AM609" i="2"/>
  <c r="AL609" i="2"/>
  <c r="AH609" i="2"/>
  <c r="AJ609" i="2"/>
  <c r="AI609" i="2"/>
  <c r="AG609" i="2"/>
  <c r="AD609" i="2"/>
  <c r="AB609" i="2"/>
  <c r="AF609" i="2"/>
  <c r="AE609" i="2"/>
  <c r="AA609" i="2"/>
  <c r="AC609" i="2"/>
  <c r="Y609" i="2"/>
  <c r="W609" i="2"/>
  <c r="X609" i="2"/>
  <c r="Z609" i="2"/>
  <c r="V609" i="2"/>
  <c r="U609" i="2"/>
  <c r="T609" i="2"/>
  <c r="R609" i="2"/>
  <c r="P609" i="2"/>
  <c r="Q609" i="2"/>
  <c r="O609" i="2"/>
  <c r="M609" i="2"/>
  <c r="L609" i="2"/>
  <c r="N609" i="2"/>
  <c r="J609" i="2"/>
  <c r="I609" i="2"/>
  <c r="K609" i="2"/>
  <c r="AO609" i="2"/>
  <c r="AP609" i="2"/>
  <c r="AQ609" i="3"/>
  <c r="AR609" i="3"/>
  <c r="AN609" i="3"/>
  <c r="AL609" i="3"/>
  <c r="AM609" i="3"/>
  <c r="AK609" i="3"/>
  <c r="AJ609" i="3"/>
  <c r="AI609" i="3"/>
  <c r="AG609" i="3"/>
  <c r="AF609" i="3"/>
  <c r="AH609" i="3"/>
  <c r="AE609" i="3"/>
  <c r="AB609" i="3"/>
  <c r="AC609" i="3"/>
  <c r="AD609" i="3"/>
  <c r="AA609" i="3"/>
  <c r="Y609" i="3"/>
  <c r="Z609" i="3"/>
  <c r="V609" i="3"/>
  <c r="X609" i="3"/>
  <c r="W609" i="3"/>
  <c r="U609" i="3"/>
  <c r="R609" i="3"/>
  <c r="T609" i="3"/>
  <c r="P609" i="3"/>
  <c r="N609" i="3"/>
  <c r="Q609" i="3"/>
  <c r="O609" i="3"/>
  <c r="K609" i="3"/>
  <c r="L609" i="3"/>
  <c r="M609" i="3"/>
  <c r="J609" i="3"/>
  <c r="AP609" i="3"/>
  <c r="I609" i="3"/>
  <c r="AO609" i="3"/>
  <c r="L609" i="1"/>
  <c r="P609" i="1" s="1"/>
  <c r="AA609" i="1"/>
  <c r="L610" i="1" l="1"/>
  <c r="P610" i="1" s="1"/>
  <c r="AA610" i="1"/>
  <c r="J611" i="1"/>
  <c r="I612" i="1"/>
  <c r="G611" i="3"/>
  <c r="V611" i="1"/>
  <c r="Y611" i="1"/>
  <c r="Z611" i="1" s="1"/>
  <c r="G611" i="2"/>
  <c r="O611" i="1"/>
  <c r="R611" i="1"/>
  <c r="N611" i="1"/>
  <c r="S611" i="1"/>
  <c r="AR610" i="2"/>
  <c r="AQ610" i="2"/>
  <c r="AL610" i="2"/>
  <c r="AN610" i="2"/>
  <c r="AM610" i="2"/>
  <c r="AK610" i="2"/>
  <c r="AH610" i="2"/>
  <c r="AJ610" i="2"/>
  <c r="AG610" i="2"/>
  <c r="AI610" i="2"/>
  <c r="AF610" i="2"/>
  <c r="AE610" i="2"/>
  <c r="AD610" i="2"/>
  <c r="AC610" i="2"/>
  <c r="AA610" i="2"/>
  <c r="AB610" i="2"/>
  <c r="Z610" i="2"/>
  <c r="W610" i="2"/>
  <c r="X610" i="2"/>
  <c r="Y610" i="2"/>
  <c r="U610" i="2"/>
  <c r="T610" i="2"/>
  <c r="V610" i="2"/>
  <c r="P610" i="2"/>
  <c r="R610" i="2"/>
  <c r="Q610" i="2"/>
  <c r="O610" i="2"/>
  <c r="M610" i="2"/>
  <c r="J610" i="2"/>
  <c r="N610" i="2"/>
  <c r="K610" i="2"/>
  <c r="I610" i="2"/>
  <c r="L610" i="2"/>
  <c r="AO610" i="2"/>
  <c r="AP610" i="2"/>
  <c r="AR610" i="3"/>
  <c r="AQ610" i="3"/>
  <c r="AN610" i="3"/>
  <c r="AL610" i="3"/>
  <c r="AM610" i="3"/>
  <c r="AK610" i="3"/>
  <c r="AJ610" i="3"/>
  <c r="AI610" i="3"/>
  <c r="AH610" i="3"/>
  <c r="AF610" i="3"/>
  <c r="AG610" i="3"/>
  <c r="AB610" i="3"/>
  <c r="AE610" i="3"/>
  <c r="AD610" i="3"/>
  <c r="AA610" i="3"/>
  <c r="AC610" i="3"/>
  <c r="Y610" i="3"/>
  <c r="Z610" i="3"/>
  <c r="X610" i="3"/>
  <c r="W610" i="3"/>
  <c r="V610" i="3"/>
  <c r="U610" i="3"/>
  <c r="P610" i="3"/>
  <c r="R610" i="3"/>
  <c r="T610" i="3"/>
  <c r="L610" i="3"/>
  <c r="N610" i="3"/>
  <c r="Q610" i="3"/>
  <c r="O610" i="3"/>
  <c r="M610" i="3"/>
  <c r="J610" i="3"/>
  <c r="K610" i="3"/>
  <c r="AP610" i="3"/>
  <c r="I610" i="3"/>
  <c r="AO610" i="3"/>
  <c r="AR611" i="2" l="1"/>
  <c r="AQ611" i="2"/>
  <c r="AN611" i="2"/>
  <c r="AM611" i="2"/>
  <c r="AL611" i="2"/>
  <c r="AK611" i="2"/>
  <c r="AH611" i="2"/>
  <c r="AJ611" i="2"/>
  <c r="AG611" i="2"/>
  <c r="AI611" i="2"/>
  <c r="AD611" i="2"/>
  <c r="AF611" i="2"/>
  <c r="AC611" i="2"/>
  <c r="AE611" i="2"/>
  <c r="AB611" i="2"/>
  <c r="AA611" i="2"/>
  <c r="Z611" i="2"/>
  <c r="Y611" i="2"/>
  <c r="U611" i="2"/>
  <c r="W611" i="2"/>
  <c r="X611" i="2"/>
  <c r="T611" i="2"/>
  <c r="V611" i="2"/>
  <c r="R611" i="2"/>
  <c r="Q611" i="2"/>
  <c r="O611" i="2"/>
  <c r="P611" i="2"/>
  <c r="M611" i="2"/>
  <c r="L611" i="2"/>
  <c r="N611" i="2"/>
  <c r="K611" i="2"/>
  <c r="J611" i="2"/>
  <c r="I611" i="2"/>
  <c r="AP611" i="2"/>
  <c r="AO611" i="2"/>
  <c r="J612" i="1"/>
  <c r="I613" i="1"/>
  <c r="G612" i="3"/>
  <c r="V612" i="1"/>
  <c r="G612" i="2"/>
  <c r="Y612" i="1"/>
  <c r="Z612" i="1" s="1"/>
  <c r="S612" i="1"/>
  <c r="W612" i="1" s="1"/>
  <c r="N612" i="1"/>
  <c r="R612" i="1"/>
  <c r="O612" i="1"/>
  <c r="W611" i="1"/>
  <c r="L611" i="1"/>
  <c r="P611" i="1" s="1"/>
  <c r="AA611" i="1"/>
  <c r="AR611" i="3"/>
  <c r="AQ611" i="3"/>
  <c r="AN611" i="3"/>
  <c r="AL611" i="3"/>
  <c r="AK611" i="3"/>
  <c r="AM611" i="3"/>
  <c r="AH611" i="3"/>
  <c r="AJ611" i="3"/>
  <c r="AI611" i="3"/>
  <c r="AF611" i="3"/>
  <c r="AG611" i="3"/>
  <c r="AD611" i="3"/>
  <c r="AB611" i="3"/>
  <c r="AE611" i="3"/>
  <c r="AC611" i="3"/>
  <c r="AA611" i="3"/>
  <c r="W611" i="3"/>
  <c r="Y611" i="3"/>
  <c r="Z611" i="3"/>
  <c r="X611" i="3"/>
  <c r="U611" i="3"/>
  <c r="V611" i="3"/>
  <c r="T611" i="3"/>
  <c r="R611" i="3"/>
  <c r="Q611" i="3"/>
  <c r="P611" i="3"/>
  <c r="O611" i="3"/>
  <c r="N611" i="3"/>
  <c r="M611" i="3"/>
  <c r="J611" i="3"/>
  <c r="L611" i="3"/>
  <c r="AO611" i="3"/>
  <c r="AP611" i="3"/>
  <c r="K611" i="3"/>
  <c r="I611" i="3"/>
  <c r="L612" i="1" l="1"/>
  <c r="P612" i="1" s="1"/>
  <c r="AA612" i="1"/>
  <c r="AR612" i="2"/>
  <c r="AQ612" i="2"/>
  <c r="AN612" i="2"/>
  <c r="AM612" i="2"/>
  <c r="AI612" i="2"/>
  <c r="AL612" i="2"/>
  <c r="AK612" i="2"/>
  <c r="AJ612" i="2"/>
  <c r="AH612" i="2"/>
  <c r="AG612" i="2"/>
  <c r="AF612" i="2"/>
  <c r="AC612" i="2"/>
  <c r="AE612" i="2"/>
  <c r="AD612" i="2"/>
  <c r="AB612" i="2"/>
  <c r="Z612" i="2"/>
  <c r="AA612" i="2"/>
  <c r="X612" i="2"/>
  <c r="Y612" i="2"/>
  <c r="U612" i="2"/>
  <c r="W612" i="2"/>
  <c r="T612" i="2"/>
  <c r="V612" i="2"/>
  <c r="Q612" i="2"/>
  <c r="R612" i="2"/>
  <c r="P612" i="2"/>
  <c r="M612" i="2"/>
  <c r="O612" i="2"/>
  <c r="K612" i="2"/>
  <c r="L612" i="2"/>
  <c r="N612" i="2"/>
  <c r="AP612" i="2"/>
  <c r="J612" i="2"/>
  <c r="I612" i="2"/>
  <c r="AO612" i="2"/>
  <c r="AR612" i="3"/>
  <c r="AQ612" i="3"/>
  <c r="AN612" i="3"/>
  <c r="AL612" i="3"/>
  <c r="AM612" i="3"/>
  <c r="AK612" i="3"/>
  <c r="AH612" i="3"/>
  <c r="AJ612" i="3"/>
  <c r="AI612" i="3"/>
  <c r="AF612" i="3"/>
  <c r="AG612" i="3"/>
  <c r="AD612" i="3"/>
  <c r="AE612" i="3"/>
  <c r="AC612" i="3"/>
  <c r="AA612" i="3"/>
  <c r="AB612" i="3"/>
  <c r="Y612" i="3"/>
  <c r="Z612" i="3"/>
  <c r="W612" i="3"/>
  <c r="X612" i="3"/>
  <c r="U612" i="3"/>
  <c r="T612" i="3"/>
  <c r="V612" i="3"/>
  <c r="P612" i="3"/>
  <c r="R612" i="3"/>
  <c r="O612" i="3"/>
  <c r="Q612" i="3"/>
  <c r="N612" i="3"/>
  <c r="M612" i="3"/>
  <c r="J612" i="3"/>
  <c r="L612" i="3"/>
  <c r="AP612" i="3"/>
  <c r="K612" i="3"/>
  <c r="I612" i="3"/>
  <c r="AO612" i="3"/>
  <c r="I614" i="1"/>
  <c r="J613" i="1"/>
  <c r="V613" i="1"/>
  <c r="G613" i="3"/>
  <c r="Y613" i="1"/>
  <c r="Z613" i="1" s="1"/>
  <c r="G613" i="2"/>
  <c r="N613" i="1"/>
  <c r="O613" i="1"/>
  <c r="R613" i="1"/>
  <c r="S613" i="1"/>
  <c r="W613" i="1" s="1"/>
  <c r="AQ613" i="2" l="1"/>
  <c r="AR613" i="2"/>
  <c r="AM613" i="2"/>
  <c r="AN613" i="2"/>
  <c r="AK613" i="2"/>
  <c r="AL613" i="2"/>
  <c r="AJ613" i="2"/>
  <c r="AI613" i="2"/>
  <c r="AH613" i="2"/>
  <c r="AG613" i="2"/>
  <c r="AF613" i="2"/>
  <c r="AC613" i="2"/>
  <c r="AE613" i="2"/>
  <c r="AD613" i="2"/>
  <c r="AB613" i="2"/>
  <c r="X613" i="2"/>
  <c r="AA613" i="2"/>
  <c r="Z613" i="2"/>
  <c r="Y613" i="2"/>
  <c r="U613" i="2"/>
  <c r="W613" i="2"/>
  <c r="T613" i="2"/>
  <c r="V613" i="2"/>
  <c r="Q613" i="2"/>
  <c r="P613" i="2"/>
  <c r="O613" i="2"/>
  <c r="R613" i="2"/>
  <c r="N613" i="2"/>
  <c r="K613" i="2"/>
  <c r="M613" i="2"/>
  <c r="L613" i="2"/>
  <c r="I613" i="2"/>
  <c r="AP613" i="2"/>
  <c r="J613" i="2"/>
  <c r="AO613" i="2"/>
  <c r="I615" i="1"/>
  <c r="J614" i="1"/>
  <c r="V614" i="1"/>
  <c r="G614" i="3"/>
  <c r="Y614" i="1"/>
  <c r="Z614" i="1" s="1"/>
  <c r="G614" i="2"/>
  <c r="S614" i="1"/>
  <c r="W614" i="1" s="1"/>
  <c r="N614" i="1"/>
  <c r="R614" i="1"/>
  <c r="O614" i="1"/>
  <c r="AQ613" i="3"/>
  <c r="AR613" i="3"/>
  <c r="AN613" i="3"/>
  <c r="AM613" i="3"/>
  <c r="AL613" i="3"/>
  <c r="AK613" i="3"/>
  <c r="AI613" i="3"/>
  <c r="AH613" i="3"/>
  <c r="AJ613" i="3"/>
  <c r="AG613" i="3"/>
  <c r="AD613" i="3"/>
  <c r="AF613" i="3"/>
  <c r="AC613" i="3"/>
  <c r="AE613" i="3"/>
  <c r="AA613" i="3"/>
  <c r="AB613" i="3"/>
  <c r="Z613" i="3"/>
  <c r="W613" i="3"/>
  <c r="U613" i="3"/>
  <c r="X613" i="3"/>
  <c r="Y613" i="3"/>
  <c r="T613" i="3"/>
  <c r="V613" i="3"/>
  <c r="R613" i="3"/>
  <c r="Q613" i="3"/>
  <c r="P613" i="3"/>
  <c r="O613" i="3"/>
  <c r="M613" i="3"/>
  <c r="N613" i="3"/>
  <c r="L613" i="3"/>
  <c r="K613" i="3"/>
  <c r="J613" i="3"/>
  <c r="AP613" i="3"/>
  <c r="I613" i="3"/>
  <c r="AO613" i="3"/>
  <c r="L613" i="1"/>
  <c r="P613" i="1" s="1"/>
  <c r="AA613" i="1"/>
  <c r="J615" i="1" l="1"/>
  <c r="I616" i="1"/>
  <c r="V615" i="1"/>
  <c r="G615" i="3"/>
  <c r="Y615" i="1"/>
  <c r="Z615" i="1" s="1"/>
  <c r="G615" i="2"/>
  <c r="S615" i="1"/>
  <c r="W615" i="1" s="1"/>
  <c r="R615" i="1"/>
  <c r="N615" i="1"/>
  <c r="O615" i="1"/>
  <c r="AQ614" i="2"/>
  <c r="AR614" i="2"/>
  <c r="AM614" i="2"/>
  <c r="AN614" i="2"/>
  <c r="AK614" i="2"/>
  <c r="AL614" i="2"/>
  <c r="AI614" i="2"/>
  <c r="AJ614" i="2"/>
  <c r="AH614" i="2"/>
  <c r="AG614" i="2"/>
  <c r="AF614" i="2"/>
  <c r="AE614" i="2"/>
  <c r="AD614" i="2"/>
  <c r="Z614" i="2"/>
  <c r="AB614" i="2"/>
  <c r="AC614" i="2"/>
  <c r="AA614" i="2"/>
  <c r="Y614" i="2"/>
  <c r="X614" i="2"/>
  <c r="W614" i="2"/>
  <c r="V614" i="2"/>
  <c r="U614" i="2"/>
  <c r="T614" i="2"/>
  <c r="Q614" i="2"/>
  <c r="R614" i="2"/>
  <c r="P614" i="2"/>
  <c r="M614" i="2"/>
  <c r="O614" i="2"/>
  <c r="N614" i="2"/>
  <c r="K614" i="2"/>
  <c r="L614" i="2"/>
  <c r="AO614" i="2"/>
  <c r="AP614" i="2"/>
  <c r="J614" i="2"/>
  <c r="I614" i="2"/>
  <c r="AQ614" i="3"/>
  <c r="AR614" i="3"/>
  <c r="AN614" i="3"/>
  <c r="AM614" i="3"/>
  <c r="AL614" i="3"/>
  <c r="AI614" i="3"/>
  <c r="AK614" i="3"/>
  <c r="AJ614" i="3"/>
  <c r="AH614" i="3"/>
  <c r="AG614" i="3"/>
  <c r="AF614" i="3"/>
  <c r="AD614" i="3"/>
  <c r="AC614" i="3"/>
  <c r="AE614" i="3"/>
  <c r="AB614" i="3"/>
  <c r="Z614" i="3"/>
  <c r="AA614" i="3"/>
  <c r="Y614" i="3"/>
  <c r="X614" i="3"/>
  <c r="U614" i="3"/>
  <c r="V614" i="3"/>
  <c r="R614" i="3"/>
  <c r="T614" i="3"/>
  <c r="W614" i="3"/>
  <c r="Q614" i="3"/>
  <c r="M614" i="3"/>
  <c r="P614" i="3"/>
  <c r="O614" i="3"/>
  <c r="L614" i="3"/>
  <c r="K614" i="3"/>
  <c r="N614" i="3"/>
  <c r="J614" i="3"/>
  <c r="AP614" i="3"/>
  <c r="I614" i="3"/>
  <c r="AO614" i="3"/>
  <c r="L614" i="1"/>
  <c r="P614" i="1" s="1"/>
  <c r="AA614" i="1"/>
  <c r="AQ615" i="2" l="1"/>
  <c r="AR615" i="2"/>
  <c r="AN615" i="2"/>
  <c r="AM615" i="2"/>
  <c r="AL615" i="2"/>
  <c r="AK615" i="2"/>
  <c r="AJ615" i="2"/>
  <c r="AI615" i="2"/>
  <c r="AH615" i="2"/>
  <c r="AF615" i="2"/>
  <c r="AG615" i="2"/>
  <c r="AE615" i="2"/>
  <c r="AD615" i="2"/>
  <c r="AB615" i="2"/>
  <c r="AC615" i="2"/>
  <c r="X615" i="2"/>
  <c r="AA615" i="2"/>
  <c r="Z615" i="2"/>
  <c r="V615" i="2"/>
  <c r="Y615" i="2"/>
  <c r="W615" i="2"/>
  <c r="U615" i="2"/>
  <c r="T615" i="2"/>
  <c r="R615" i="2"/>
  <c r="Q615" i="2"/>
  <c r="P615" i="2"/>
  <c r="N615" i="2"/>
  <c r="O615" i="2"/>
  <c r="M615" i="2"/>
  <c r="L615" i="2"/>
  <c r="K615" i="2"/>
  <c r="AO615" i="2"/>
  <c r="J615" i="2"/>
  <c r="I615" i="2"/>
  <c r="AP615" i="2"/>
  <c r="AR615" i="3"/>
  <c r="AN615" i="3"/>
  <c r="AQ615" i="3"/>
  <c r="AM615" i="3"/>
  <c r="AL615" i="3"/>
  <c r="AI615" i="3"/>
  <c r="AK615" i="3"/>
  <c r="AJ615" i="3"/>
  <c r="AH615" i="3"/>
  <c r="AG615" i="3"/>
  <c r="AD615" i="3"/>
  <c r="AF615" i="3"/>
  <c r="AE615" i="3"/>
  <c r="AC615" i="3"/>
  <c r="AB615" i="3"/>
  <c r="X615" i="3"/>
  <c r="AA615" i="3"/>
  <c r="Z615" i="3"/>
  <c r="Y615" i="3"/>
  <c r="W615" i="3"/>
  <c r="V615" i="3"/>
  <c r="U615" i="3"/>
  <c r="R615" i="3"/>
  <c r="T615" i="3"/>
  <c r="Q615" i="3"/>
  <c r="P615" i="3"/>
  <c r="O615" i="3"/>
  <c r="L615" i="3"/>
  <c r="K615" i="3"/>
  <c r="M615" i="3"/>
  <c r="N615" i="3"/>
  <c r="I615" i="3"/>
  <c r="AO615" i="3"/>
  <c r="J615" i="3"/>
  <c r="AP615" i="3"/>
  <c r="L615" i="1"/>
  <c r="P615" i="1" s="1"/>
  <c r="AA615" i="1"/>
  <c r="I617" i="1"/>
  <c r="J616" i="1"/>
  <c r="V616" i="1"/>
  <c r="G616" i="3"/>
  <c r="Y616" i="1"/>
  <c r="Z616" i="1" s="1"/>
  <c r="G616" i="2"/>
  <c r="N616" i="1"/>
  <c r="O616" i="1"/>
  <c r="R616" i="1"/>
  <c r="S616" i="1"/>
  <c r="W616" i="1" s="1"/>
  <c r="L616" i="1" l="1"/>
  <c r="P616" i="1" s="1"/>
  <c r="AA616" i="1"/>
  <c r="J617" i="1"/>
  <c r="I618" i="1"/>
  <c r="V617" i="1"/>
  <c r="G617" i="3"/>
  <c r="G617" i="2"/>
  <c r="Y617" i="1"/>
  <c r="Z617" i="1" s="1"/>
  <c r="S617" i="1"/>
  <c r="N617" i="1"/>
  <c r="O617" i="1"/>
  <c r="R617" i="1"/>
  <c r="AR616" i="2"/>
  <c r="AN616" i="2"/>
  <c r="AQ616" i="2"/>
  <c r="AM616" i="2"/>
  <c r="AL616" i="2"/>
  <c r="AJ616" i="2"/>
  <c r="AK616" i="2"/>
  <c r="AI616" i="2"/>
  <c r="AF616" i="2"/>
  <c r="AH616" i="2"/>
  <c r="AG616" i="2"/>
  <c r="AE616" i="2"/>
  <c r="AB616" i="2"/>
  <c r="AD616" i="2"/>
  <c r="AC616" i="2"/>
  <c r="AA616" i="2"/>
  <c r="Z616" i="2"/>
  <c r="Y616" i="2"/>
  <c r="V616" i="2"/>
  <c r="X616" i="2"/>
  <c r="W616" i="2"/>
  <c r="U616" i="2"/>
  <c r="R616" i="2"/>
  <c r="T616" i="2"/>
  <c r="N616" i="2"/>
  <c r="Q616" i="2"/>
  <c r="P616" i="2"/>
  <c r="L616" i="2"/>
  <c r="O616" i="2"/>
  <c r="I616" i="2"/>
  <c r="M616" i="2"/>
  <c r="K616" i="2"/>
  <c r="AO616" i="2"/>
  <c r="J616" i="2"/>
  <c r="AP616" i="2"/>
  <c r="AN616" i="3"/>
  <c r="AR616" i="3"/>
  <c r="AQ616" i="3"/>
  <c r="AM616" i="3"/>
  <c r="AL616" i="3"/>
  <c r="AI616" i="3"/>
  <c r="AJ616" i="3"/>
  <c r="AK616" i="3"/>
  <c r="AG616" i="3"/>
  <c r="AH616" i="3"/>
  <c r="AF616" i="3"/>
  <c r="AE616" i="3"/>
  <c r="AD616" i="3"/>
  <c r="AC616" i="3"/>
  <c r="AB616" i="3"/>
  <c r="Z616" i="3"/>
  <c r="X616" i="3"/>
  <c r="AA616" i="3"/>
  <c r="Y616" i="3"/>
  <c r="W616" i="3"/>
  <c r="V616" i="3"/>
  <c r="U616" i="3"/>
  <c r="R616" i="3"/>
  <c r="T616" i="3"/>
  <c r="Q616" i="3"/>
  <c r="M616" i="3"/>
  <c r="P616" i="3"/>
  <c r="L616" i="3"/>
  <c r="K616" i="3"/>
  <c r="O616" i="3"/>
  <c r="N616" i="3"/>
  <c r="I616" i="3"/>
  <c r="AO616" i="3"/>
  <c r="J616" i="3"/>
  <c r="AP616" i="3"/>
  <c r="W617" i="1" l="1"/>
  <c r="J618" i="1"/>
  <c r="I619" i="1"/>
  <c r="V618" i="1"/>
  <c r="G618" i="3"/>
  <c r="Y618" i="1"/>
  <c r="Z618" i="1" s="1"/>
  <c r="G618" i="2"/>
  <c r="N618" i="1"/>
  <c r="R618" i="1"/>
  <c r="S618" i="1"/>
  <c r="O618" i="1"/>
  <c r="AR617" i="2"/>
  <c r="AN617" i="2"/>
  <c r="AQ617" i="2"/>
  <c r="AM617" i="2"/>
  <c r="AL617" i="2"/>
  <c r="AJ617" i="2"/>
  <c r="AK617" i="2"/>
  <c r="AI617" i="2"/>
  <c r="AF617" i="2"/>
  <c r="AG617" i="2"/>
  <c r="AE617" i="2"/>
  <c r="AH617" i="2"/>
  <c r="AB617" i="2"/>
  <c r="AD617" i="2"/>
  <c r="AA617" i="2"/>
  <c r="AC617" i="2"/>
  <c r="Z617" i="2"/>
  <c r="Y617" i="2"/>
  <c r="V617" i="2"/>
  <c r="X617" i="2"/>
  <c r="W617" i="2"/>
  <c r="U617" i="2"/>
  <c r="R617" i="2"/>
  <c r="T617" i="2"/>
  <c r="P617" i="2"/>
  <c r="N617" i="2"/>
  <c r="Q617" i="2"/>
  <c r="L617" i="2"/>
  <c r="O617" i="2"/>
  <c r="M617" i="2"/>
  <c r="J617" i="2"/>
  <c r="K617" i="2"/>
  <c r="I617" i="2"/>
  <c r="AP617" i="2"/>
  <c r="AO617" i="2"/>
  <c r="AR617" i="3"/>
  <c r="AN617" i="3"/>
  <c r="AQ617" i="3"/>
  <c r="AM617" i="3"/>
  <c r="AL617" i="3"/>
  <c r="AK617" i="3"/>
  <c r="AJ617" i="3"/>
  <c r="AG617" i="3"/>
  <c r="AI617" i="3"/>
  <c r="AH617" i="3"/>
  <c r="AF617" i="3"/>
  <c r="AE617" i="3"/>
  <c r="AD617" i="3"/>
  <c r="AB617" i="3"/>
  <c r="AC617" i="3"/>
  <c r="Z617" i="3"/>
  <c r="X617" i="3"/>
  <c r="AA617" i="3"/>
  <c r="Y617" i="3"/>
  <c r="V617" i="3"/>
  <c r="W617" i="3"/>
  <c r="U617" i="3"/>
  <c r="T617" i="3"/>
  <c r="R617" i="3"/>
  <c r="P617" i="3"/>
  <c r="O617" i="3"/>
  <c r="Q617" i="3"/>
  <c r="N617" i="3"/>
  <c r="L617" i="3"/>
  <c r="K617" i="3"/>
  <c r="M617" i="3"/>
  <c r="AP617" i="3"/>
  <c r="I617" i="3"/>
  <c r="AO617" i="3"/>
  <c r="J617" i="3"/>
  <c r="L617" i="1"/>
  <c r="P617" i="1" s="1"/>
  <c r="AA617" i="1"/>
  <c r="J619" i="1" l="1"/>
  <c r="I620" i="1"/>
  <c r="V619" i="1"/>
  <c r="G619" i="3"/>
  <c r="Y619" i="1"/>
  <c r="Z619" i="1" s="1"/>
  <c r="G619" i="2"/>
  <c r="R619" i="1"/>
  <c r="S619" i="1"/>
  <c r="W619" i="1" s="1"/>
  <c r="N619" i="1"/>
  <c r="O619" i="1"/>
  <c r="AR618" i="2"/>
  <c r="AN618" i="2"/>
  <c r="AQ618" i="2"/>
  <c r="AM618" i="2"/>
  <c r="AL618" i="2"/>
  <c r="AJ618" i="2"/>
  <c r="AK618" i="2"/>
  <c r="AH618" i="2"/>
  <c r="AI618" i="2"/>
  <c r="AF618" i="2"/>
  <c r="AG618" i="2"/>
  <c r="AE618" i="2"/>
  <c r="AD618" i="2"/>
  <c r="AA618" i="2"/>
  <c r="AB618" i="2"/>
  <c r="AC618" i="2"/>
  <c r="Z618" i="2"/>
  <c r="Y618" i="2"/>
  <c r="X618" i="2"/>
  <c r="W618" i="2"/>
  <c r="S618" i="2"/>
  <c r="U618" i="2"/>
  <c r="V618" i="2"/>
  <c r="P618" i="2"/>
  <c r="R618" i="2"/>
  <c r="N618" i="2"/>
  <c r="Q618" i="2"/>
  <c r="J618" i="2"/>
  <c r="L618" i="2"/>
  <c r="O618" i="2"/>
  <c r="M618" i="2"/>
  <c r="I618" i="2"/>
  <c r="K618" i="2"/>
  <c r="AP618" i="2"/>
  <c r="AO618" i="2"/>
  <c r="L618" i="1"/>
  <c r="P618" i="1" s="1"/>
  <c r="AA618" i="1"/>
  <c r="AQ618" i="3"/>
  <c r="AR618" i="3"/>
  <c r="AN618" i="3"/>
  <c r="AM618" i="3"/>
  <c r="AJ618" i="3"/>
  <c r="AL618" i="3"/>
  <c r="AK618" i="3"/>
  <c r="AG618" i="3"/>
  <c r="AI618" i="3"/>
  <c r="AF618" i="3"/>
  <c r="AH618" i="3"/>
  <c r="AE618" i="3"/>
  <c r="AD618" i="3"/>
  <c r="AC618" i="3"/>
  <c r="AB618" i="3"/>
  <c r="AA618" i="3"/>
  <c r="Z618" i="3"/>
  <c r="Y618" i="3"/>
  <c r="W618" i="3"/>
  <c r="V618" i="3"/>
  <c r="X618" i="3"/>
  <c r="S618" i="3"/>
  <c r="U618" i="3"/>
  <c r="R618" i="3"/>
  <c r="Q618" i="3"/>
  <c r="N618" i="3"/>
  <c r="P618" i="3"/>
  <c r="O618" i="3"/>
  <c r="I618" i="3"/>
  <c r="L618" i="3"/>
  <c r="M618" i="3"/>
  <c r="AP618" i="3"/>
  <c r="AO618" i="3"/>
  <c r="K618" i="3"/>
  <c r="J618" i="3"/>
  <c r="W618" i="1"/>
  <c r="AR619" i="2" l="1"/>
  <c r="AQ619" i="2"/>
  <c r="AN619" i="2"/>
  <c r="AK619" i="2"/>
  <c r="AM619" i="2"/>
  <c r="AL619" i="2"/>
  <c r="AH619" i="2"/>
  <c r="AJ619" i="2"/>
  <c r="AI619" i="2"/>
  <c r="AG619" i="2"/>
  <c r="AF619" i="2"/>
  <c r="AD619" i="2"/>
  <c r="AB619" i="2"/>
  <c r="AE619" i="2"/>
  <c r="AC619" i="2"/>
  <c r="AA619" i="2"/>
  <c r="Z619" i="2"/>
  <c r="Y619" i="2"/>
  <c r="W619" i="2"/>
  <c r="X619" i="2"/>
  <c r="U619" i="2"/>
  <c r="V619" i="2"/>
  <c r="R619" i="2"/>
  <c r="S619" i="2"/>
  <c r="Q619" i="2"/>
  <c r="P619" i="2"/>
  <c r="O619" i="2"/>
  <c r="N619" i="2"/>
  <c r="L619" i="2"/>
  <c r="M619" i="2"/>
  <c r="I619" i="2"/>
  <c r="K619" i="2"/>
  <c r="J619" i="2"/>
  <c r="AO619" i="2"/>
  <c r="AP619" i="2"/>
  <c r="AQ619" i="3"/>
  <c r="AR619" i="3"/>
  <c r="AN619" i="3"/>
  <c r="AM619" i="3"/>
  <c r="AL619" i="3"/>
  <c r="AJ619" i="3"/>
  <c r="AK619" i="3"/>
  <c r="AG619" i="3"/>
  <c r="AF619" i="3"/>
  <c r="AH619" i="3"/>
  <c r="AI619" i="3"/>
  <c r="AE619" i="3"/>
  <c r="AB619" i="3"/>
  <c r="AD619" i="3"/>
  <c r="AC619" i="3"/>
  <c r="AA619" i="3"/>
  <c r="Y619" i="3"/>
  <c r="Z619" i="3"/>
  <c r="W619" i="3"/>
  <c r="V619" i="3"/>
  <c r="X619" i="3"/>
  <c r="S619" i="3"/>
  <c r="U619" i="3"/>
  <c r="R619" i="3"/>
  <c r="P619" i="3"/>
  <c r="Q619" i="3"/>
  <c r="N619" i="3"/>
  <c r="O619" i="3"/>
  <c r="L619" i="3"/>
  <c r="K619" i="3"/>
  <c r="M619" i="3"/>
  <c r="J619" i="3"/>
  <c r="I619" i="3"/>
  <c r="AP619" i="3"/>
  <c r="AO619" i="3"/>
  <c r="L619" i="1"/>
  <c r="P619" i="1" s="1"/>
  <c r="AA619" i="1"/>
  <c r="I621" i="1"/>
  <c r="J620" i="1"/>
  <c r="V620" i="1"/>
  <c r="G620" i="3"/>
  <c r="Y620" i="1"/>
  <c r="Z620" i="1" s="1"/>
  <c r="G620" i="2"/>
  <c r="S620" i="1"/>
  <c r="O620" i="1"/>
  <c r="N620" i="1"/>
  <c r="R620" i="1"/>
  <c r="L620" i="1" l="1"/>
  <c r="P620" i="1" s="1"/>
  <c r="AA620" i="1"/>
  <c r="I622" i="1"/>
  <c r="J621" i="1"/>
  <c r="G621" i="3"/>
  <c r="V621" i="1"/>
  <c r="Y621" i="1"/>
  <c r="Z621" i="1" s="1"/>
  <c r="G621" i="2"/>
  <c r="O621" i="1"/>
  <c r="R621" i="1"/>
  <c r="N621" i="1"/>
  <c r="S621" i="1"/>
  <c r="AR620" i="2"/>
  <c r="AQ620" i="2"/>
  <c r="AL620" i="2"/>
  <c r="AN620" i="2"/>
  <c r="AM620" i="2"/>
  <c r="AK620" i="2"/>
  <c r="AH620" i="2"/>
  <c r="AG620" i="2"/>
  <c r="AI620" i="2"/>
  <c r="AJ620" i="2"/>
  <c r="AF620" i="2"/>
  <c r="AD620" i="2"/>
  <c r="AE620" i="2"/>
  <c r="AC620" i="2"/>
  <c r="AA620" i="2"/>
  <c r="AB620" i="2"/>
  <c r="Z620" i="2"/>
  <c r="W620" i="2"/>
  <c r="Y620" i="2"/>
  <c r="X620" i="2"/>
  <c r="U620" i="2"/>
  <c r="V620" i="2"/>
  <c r="P620" i="2"/>
  <c r="R620" i="2"/>
  <c r="S620" i="2"/>
  <c r="O620" i="2"/>
  <c r="Q620" i="2"/>
  <c r="J620" i="2"/>
  <c r="N620" i="2"/>
  <c r="M620" i="2"/>
  <c r="I620" i="2"/>
  <c r="K620" i="2"/>
  <c r="L620" i="2"/>
  <c r="AO620" i="2"/>
  <c r="AP620" i="2"/>
  <c r="W620" i="1"/>
  <c r="AQ620" i="3"/>
  <c r="AR620" i="3"/>
  <c r="AN620" i="3"/>
  <c r="AM620" i="3"/>
  <c r="AJ620" i="3"/>
  <c r="AL620" i="3"/>
  <c r="AK620" i="3"/>
  <c r="AH620" i="3"/>
  <c r="AG620" i="3"/>
  <c r="AF620" i="3"/>
  <c r="AI620" i="3"/>
  <c r="AE620" i="3"/>
  <c r="AB620" i="3"/>
  <c r="AD620" i="3"/>
  <c r="AA620" i="3"/>
  <c r="AC620" i="3"/>
  <c r="Y620" i="3"/>
  <c r="Z620" i="3"/>
  <c r="X620" i="3"/>
  <c r="W620" i="3"/>
  <c r="V620" i="3"/>
  <c r="S620" i="3"/>
  <c r="U620" i="3"/>
  <c r="P620" i="3"/>
  <c r="R620" i="3"/>
  <c r="L620" i="3"/>
  <c r="Q620" i="3"/>
  <c r="N620" i="3"/>
  <c r="O620" i="3"/>
  <c r="J620" i="3"/>
  <c r="K620" i="3"/>
  <c r="M620" i="3"/>
  <c r="I620" i="3"/>
  <c r="AP620" i="3"/>
  <c r="AO620" i="3"/>
  <c r="L621" i="1" l="1"/>
  <c r="P621" i="1" s="1"/>
  <c r="AA621" i="1"/>
  <c r="AR621" i="2"/>
  <c r="AQ621" i="2"/>
  <c r="AN621" i="2"/>
  <c r="AM621" i="2"/>
  <c r="AK621" i="2"/>
  <c r="AL621" i="2"/>
  <c r="AH621" i="2"/>
  <c r="AJ621" i="2"/>
  <c r="AG621" i="2"/>
  <c r="AI621" i="2"/>
  <c r="AD621" i="2"/>
  <c r="AC621" i="2"/>
  <c r="AF621" i="2"/>
  <c r="AE621" i="2"/>
  <c r="AB621" i="2"/>
  <c r="AA621" i="2"/>
  <c r="X621" i="2"/>
  <c r="U621" i="2"/>
  <c r="W621" i="2"/>
  <c r="Y621" i="2"/>
  <c r="Z621" i="2"/>
  <c r="V621" i="2"/>
  <c r="R621" i="2"/>
  <c r="S621" i="2"/>
  <c r="Q621" i="2"/>
  <c r="O621" i="2"/>
  <c r="P621" i="2"/>
  <c r="M621" i="2"/>
  <c r="N621" i="2"/>
  <c r="L621" i="2"/>
  <c r="K621" i="2"/>
  <c r="I621" i="2"/>
  <c r="J621" i="2"/>
  <c r="AP621" i="2"/>
  <c r="AO621" i="2"/>
  <c r="AQ621" i="3"/>
  <c r="AR621" i="3"/>
  <c r="AN621" i="3"/>
  <c r="AL621" i="3"/>
  <c r="AK621" i="3"/>
  <c r="AM621" i="3"/>
  <c r="AH621" i="3"/>
  <c r="AJ621" i="3"/>
  <c r="AI621" i="3"/>
  <c r="AG621" i="3"/>
  <c r="AF621" i="3"/>
  <c r="AE621" i="3"/>
  <c r="AB621" i="3"/>
  <c r="AD621" i="3"/>
  <c r="AA621" i="3"/>
  <c r="AC621" i="3"/>
  <c r="W621" i="3"/>
  <c r="Y621" i="3"/>
  <c r="Z621" i="3"/>
  <c r="X621" i="3"/>
  <c r="V621" i="3"/>
  <c r="U621" i="3"/>
  <c r="S621" i="3"/>
  <c r="R621" i="3"/>
  <c r="Q621" i="3"/>
  <c r="P621" i="3"/>
  <c r="O621" i="3"/>
  <c r="J621" i="3"/>
  <c r="L621" i="3"/>
  <c r="N621" i="3"/>
  <c r="M621" i="3"/>
  <c r="AO621" i="3"/>
  <c r="I621" i="3"/>
  <c r="AP621" i="3"/>
  <c r="K621" i="3"/>
  <c r="J622" i="1"/>
  <c r="I623" i="1"/>
  <c r="G622" i="3"/>
  <c r="V622" i="1"/>
  <c r="Y622" i="1"/>
  <c r="Z622" i="1" s="1"/>
  <c r="G622" i="2"/>
  <c r="S622" i="1"/>
  <c r="W622" i="1" s="1"/>
  <c r="N622" i="1"/>
  <c r="R622" i="1"/>
  <c r="O622" i="1"/>
  <c r="W621" i="1"/>
  <c r="AR622" i="3" l="1"/>
  <c r="AQ622" i="3"/>
  <c r="AL622" i="3"/>
  <c r="AN622" i="3"/>
  <c r="AK622" i="3"/>
  <c r="AM622" i="3"/>
  <c r="AI622" i="3"/>
  <c r="AH622" i="3"/>
  <c r="AJ622" i="3"/>
  <c r="AG622" i="3"/>
  <c r="AF622" i="3"/>
  <c r="AD622" i="3"/>
  <c r="AE622" i="3"/>
  <c r="AC622" i="3"/>
  <c r="AB622" i="3"/>
  <c r="AA622" i="3"/>
  <c r="Y622" i="3"/>
  <c r="Z622" i="3"/>
  <c r="X622" i="3"/>
  <c r="W622" i="3"/>
  <c r="U622" i="3"/>
  <c r="V622" i="3"/>
  <c r="P622" i="3"/>
  <c r="S622" i="3"/>
  <c r="R622" i="3"/>
  <c r="O622" i="3"/>
  <c r="Q622" i="3"/>
  <c r="J622" i="3"/>
  <c r="L622" i="3"/>
  <c r="N622" i="3"/>
  <c r="M622" i="3"/>
  <c r="K622" i="3"/>
  <c r="I622" i="3"/>
  <c r="AP622" i="3"/>
  <c r="AO622" i="3"/>
  <c r="J623" i="1"/>
  <c r="I624" i="1"/>
  <c r="V623" i="1"/>
  <c r="G623" i="3"/>
  <c r="Y623" i="1"/>
  <c r="Z623" i="1" s="1"/>
  <c r="G623" i="2"/>
  <c r="N623" i="1"/>
  <c r="O623" i="1"/>
  <c r="R623" i="1"/>
  <c r="S623" i="1"/>
  <c r="W623" i="1" s="1"/>
  <c r="AR622" i="2"/>
  <c r="AQ622" i="2"/>
  <c r="AN622" i="2"/>
  <c r="AM622" i="2"/>
  <c r="AL622" i="2"/>
  <c r="AI622" i="2"/>
  <c r="AJ622" i="2"/>
  <c r="AK622" i="2"/>
  <c r="AG622" i="2"/>
  <c r="AH622" i="2"/>
  <c r="AF622" i="2"/>
  <c r="AC622" i="2"/>
  <c r="AD622" i="2"/>
  <c r="AE622" i="2"/>
  <c r="AB622" i="2"/>
  <c r="Z622" i="2"/>
  <c r="AA622" i="2"/>
  <c r="X622" i="2"/>
  <c r="U622" i="2"/>
  <c r="W622" i="2"/>
  <c r="Y622" i="2"/>
  <c r="V622" i="2"/>
  <c r="S622" i="2"/>
  <c r="Q622" i="2"/>
  <c r="R622" i="2"/>
  <c r="M622" i="2"/>
  <c r="O622" i="2"/>
  <c r="P622" i="2"/>
  <c r="K622" i="2"/>
  <c r="N622" i="2"/>
  <c r="L622" i="2"/>
  <c r="AP622" i="2"/>
  <c r="I622" i="2"/>
  <c r="J622" i="2"/>
  <c r="AO622" i="2"/>
  <c r="L622" i="1"/>
  <c r="P622" i="1" s="1"/>
  <c r="AA622" i="1"/>
  <c r="L623" i="1" l="1"/>
  <c r="P623" i="1" s="1"/>
  <c r="AA623" i="1"/>
  <c r="J624" i="1"/>
  <c r="I625" i="1"/>
  <c r="V624" i="1"/>
  <c r="G624" i="3"/>
  <c r="Y624" i="1"/>
  <c r="Z624" i="1" s="1"/>
  <c r="G624" i="2"/>
  <c r="O624" i="1"/>
  <c r="S624" i="1"/>
  <c r="N624" i="1"/>
  <c r="R624" i="1"/>
  <c r="AR623" i="2"/>
  <c r="AQ623" i="2"/>
  <c r="AN623" i="2"/>
  <c r="AM623" i="2"/>
  <c r="AL623" i="2"/>
  <c r="AK623" i="2"/>
  <c r="AJ623" i="2"/>
  <c r="AI623" i="2"/>
  <c r="AH623" i="2"/>
  <c r="AG623" i="2"/>
  <c r="AF623" i="2"/>
  <c r="AC623" i="2"/>
  <c r="AD623" i="2"/>
  <c r="AE623" i="2"/>
  <c r="AB623" i="2"/>
  <c r="X623" i="2"/>
  <c r="Z623" i="2"/>
  <c r="AA623" i="2"/>
  <c r="Y623" i="2"/>
  <c r="V623" i="2"/>
  <c r="W623" i="2"/>
  <c r="U623" i="2"/>
  <c r="S623" i="2"/>
  <c r="Q623" i="2"/>
  <c r="O623" i="2"/>
  <c r="R623" i="2"/>
  <c r="P623" i="2"/>
  <c r="K623" i="2"/>
  <c r="N623" i="2"/>
  <c r="L623" i="2"/>
  <c r="M623" i="2"/>
  <c r="I623" i="2"/>
  <c r="J623" i="2"/>
  <c r="AP623" i="2"/>
  <c r="AO623" i="2"/>
  <c r="AR623" i="3"/>
  <c r="AQ623" i="3"/>
  <c r="AM623" i="3"/>
  <c r="AL623" i="3"/>
  <c r="AN623" i="3"/>
  <c r="AK623" i="3"/>
  <c r="AI623" i="3"/>
  <c r="AH623" i="3"/>
  <c r="AJ623" i="3"/>
  <c r="AD623" i="3"/>
  <c r="AG623" i="3"/>
  <c r="AF623" i="3"/>
  <c r="AC623" i="3"/>
  <c r="AE623" i="3"/>
  <c r="AB623" i="3"/>
  <c r="AA623" i="3"/>
  <c r="W623" i="3"/>
  <c r="Z623" i="3"/>
  <c r="Y623" i="3"/>
  <c r="U623" i="3"/>
  <c r="X623" i="3"/>
  <c r="V623" i="3"/>
  <c r="S623" i="3"/>
  <c r="R623" i="3"/>
  <c r="Q623" i="3"/>
  <c r="O623" i="3"/>
  <c r="P623" i="3"/>
  <c r="M623" i="3"/>
  <c r="L623" i="3"/>
  <c r="N623" i="3"/>
  <c r="K623" i="3"/>
  <c r="I623" i="3"/>
  <c r="AP623" i="3"/>
  <c r="AO623" i="3"/>
  <c r="J623" i="3"/>
  <c r="AQ624" i="2" l="1"/>
  <c r="AR624" i="2"/>
  <c r="AM624" i="2"/>
  <c r="AN624" i="2"/>
  <c r="AK624" i="2"/>
  <c r="AL624" i="2"/>
  <c r="AJ624" i="2"/>
  <c r="AI624" i="2"/>
  <c r="AH624" i="2"/>
  <c r="AG624" i="2"/>
  <c r="AE624" i="2"/>
  <c r="AF624" i="2"/>
  <c r="AD624" i="2"/>
  <c r="AB624" i="2"/>
  <c r="AC624" i="2"/>
  <c r="Z624" i="2"/>
  <c r="AA624" i="2"/>
  <c r="X624" i="2"/>
  <c r="W624" i="2"/>
  <c r="Y624" i="2"/>
  <c r="V624" i="2"/>
  <c r="U624" i="2"/>
  <c r="S624" i="2"/>
  <c r="Q624" i="2"/>
  <c r="R624" i="2"/>
  <c r="M624" i="2"/>
  <c r="P624" i="2"/>
  <c r="K624" i="2"/>
  <c r="O624" i="2"/>
  <c r="N624" i="2"/>
  <c r="L624" i="2"/>
  <c r="AO624" i="2"/>
  <c r="J624" i="2"/>
  <c r="AP624" i="2"/>
  <c r="I624" i="2"/>
  <c r="J625" i="1"/>
  <c r="I626" i="1"/>
  <c r="V625" i="1"/>
  <c r="G625" i="3"/>
  <c r="Y625" i="1"/>
  <c r="Z625" i="1" s="1"/>
  <c r="G625" i="2"/>
  <c r="S625" i="1"/>
  <c r="W625" i="1" s="1"/>
  <c r="O625" i="1"/>
  <c r="N625" i="1"/>
  <c r="R625" i="1"/>
  <c r="L624" i="1"/>
  <c r="P624" i="1" s="1"/>
  <c r="AA624" i="1"/>
  <c r="AR624" i="3"/>
  <c r="AN624" i="3"/>
  <c r="AM624" i="3"/>
  <c r="AQ624" i="3"/>
  <c r="AL624" i="3"/>
  <c r="AK624" i="3"/>
  <c r="AI624" i="3"/>
  <c r="AJ624" i="3"/>
  <c r="AH624" i="3"/>
  <c r="AG624" i="3"/>
  <c r="AF624" i="3"/>
  <c r="AC624" i="3"/>
  <c r="AE624" i="3"/>
  <c r="AD624" i="3"/>
  <c r="AB624" i="3"/>
  <c r="Z624" i="3"/>
  <c r="AA624" i="3"/>
  <c r="Y624" i="3"/>
  <c r="X624" i="3"/>
  <c r="U624" i="3"/>
  <c r="W624" i="3"/>
  <c r="R624" i="3"/>
  <c r="V624" i="3"/>
  <c r="Q624" i="3"/>
  <c r="S624" i="3"/>
  <c r="M624" i="3"/>
  <c r="O624" i="3"/>
  <c r="P624" i="3"/>
  <c r="N624" i="3"/>
  <c r="K624" i="3"/>
  <c r="L624" i="3"/>
  <c r="J624" i="3"/>
  <c r="I624" i="3"/>
  <c r="AP624" i="3"/>
  <c r="AO624" i="3"/>
  <c r="W624" i="1"/>
  <c r="I627" i="1" l="1"/>
  <c r="J626" i="1"/>
  <c r="V626" i="1"/>
  <c r="G626" i="3"/>
  <c r="Y626" i="1"/>
  <c r="Z626" i="1" s="1"/>
  <c r="G626" i="2"/>
  <c r="R626" i="1"/>
  <c r="O626" i="1"/>
  <c r="N626" i="1"/>
  <c r="S626" i="1"/>
  <c r="AQ625" i="2"/>
  <c r="AR625" i="2"/>
  <c r="AN625" i="2"/>
  <c r="AM625" i="2"/>
  <c r="AK625" i="2"/>
  <c r="AL625" i="2"/>
  <c r="AJ625" i="2"/>
  <c r="AI625" i="2"/>
  <c r="AH625" i="2"/>
  <c r="AF625" i="2"/>
  <c r="AE625" i="2"/>
  <c r="AG625" i="2"/>
  <c r="AD625" i="2"/>
  <c r="AB625" i="2"/>
  <c r="AC625" i="2"/>
  <c r="X625" i="2"/>
  <c r="Z625" i="2"/>
  <c r="AA625" i="2"/>
  <c r="Y625" i="2"/>
  <c r="V625" i="2"/>
  <c r="W625" i="2"/>
  <c r="U625" i="2"/>
  <c r="S625" i="2"/>
  <c r="R625" i="2"/>
  <c r="P625" i="2"/>
  <c r="Q625" i="2"/>
  <c r="N625" i="2"/>
  <c r="M625" i="2"/>
  <c r="O625" i="2"/>
  <c r="L625" i="2"/>
  <c r="AO625" i="2"/>
  <c r="J625" i="2"/>
  <c r="I625" i="2"/>
  <c r="K625" i="2"/>
  <c r="AP625" i="2"/>
  <c r="AR625" i="3"/>
  <c r="AN625" i="3"/>
  <c r="AQ625" i="3"/>
  <c r="AM625" i="3"/>
  <c r="AK625" i="3"/>
  <c r="AI625" i="3"/>
  <c r="AL625" i="3"/>
  <c r="AJ625" i="3"/>
  <c r="AH625" i="3"/>
  <c r="AG625" i="3"/>
  <c r="AF625" i="3"/>
  <c r="AD625" i="3"/>
  <c r="AC625" i="3"/>
  <c r="AE625" i="3"/>
  <c r="AB625" i="3"/>
  <c r="X625" i="3"/>
  <c r="AA625" i="3"/>
  <c r="Y625" i="3"/>
  <c r="Z625" i="3"/>
  <c r="W625" i="3"/>
  <c r="R625" i="3"/>
  <c r="V625" i="3"/>
  <c r="U625" i="3"/>
  <c r="Q625" i="3"/>
  <c r="S625" i="3"/>
  <c r="O625" i="3"/>
  <c r="P625" i="3"/>
  <c r="M625" i="3"/>
  <c r="L625" i="3"/>
  <c r="N625" i="3"/>
  <c r="K625" i="3"/>
  <c r="I625" i="3"/>
  <c r="J625" i="3"/>
  <c r="AP625" i="3"/>
  <c r="AO625" i="3"/>
  <c r="L625" i="1"/>
  <c r="P625" i="1" s="1"/>
  <c r="AA625" i="1"/>
  <c r="L626" i="1" l="1"/>
  <c r="P626" i="1" s="1"/>
  <c r="AA626" i="1"/>
  <c r="AQ626" i="3"/>
  <c r="AN626" i="3"/>
  <c r="AR626" i="3"/>
  <c r="AM626" i="3"/>
  <c r="AL626" i="3"/>
  <c r="AK626" i="3"/>
  <c r="AI626" i="3"/>
  <c r="AJ626" i="3"/>
  <c r="AG626" i="3"/>
  <c r="AH626" i="3"/>
  <c r="AF626" i="3"/>
  <c r="AE626" i="3"/>
  <c r="AC626" i="3"/>
  <c r="AD626" i="3"/>
  <c r="Z626" i="3"/>
  <c r="AB626" i="3"/>
  <c r="X626" i="3"/>
  <c r="AA626" i="3"/>
  <c r="Y626" i="3"/>
  <c r="V626" i="3"/>
  <c r="R626" i="3"/>
  <c r="W626" i="3"/>
  <c r="U626" i="3"/>
  <c r="Q626" i="3"/>
  <c r="S626" i="3"/>
  <c r="P626" i="3"/>
  <c r="M626" i="3"/>
  <c r="L626" i="3"/>
  <c r="N626" i="3"/>
  <c r="K626" i="3"/>
  <c r="O626" i="3"/>
  <c r="AO626" i="3"/>
  <c r="J626" i="3"/>
  <c r="I626" i="3"/>
  <c r="AP626" i="3"/>
  <c r="AR626" i="2"/>
  <c r="AQ626" i="2"/>
  <c r="AN626" i="2"/>
  <c r="AM626" i="2"/>
  <c r="AL626" i="2"/>
  <c r="AJ626" i="2"/>
  <c r="AK626" i="2"/>
  <c r="AI626" i="2"/>
  <c r="AF626" i="2"/>
  <c r="AH626" i="2"/>
  <c r="AE626" i="2"/>
  <c r="AG626" i="2"/>
  <c r="AD626" i="2"/>
  <c r="AB626" i="2"/>
  <c r="AC626" i="2"/>
  <c r="AA626" i="2"/>
  <c r="Z626" i="2"/>
  <c r="Y626" i="2"/>
  <c r="V626" i="2"/>
  <c r="X626" i="2"/>
  <c r="U626" i="2"/>
  <c r="S626" i="2"/>
  <c r="W626" i="2"/>
  <c r="R626" i="2"/>
  <c r="N626" i="2"/>
  <c r="P626" i="2"/>
  <c r="Q626" i="2"/>
  <c r="L626" i="2"/>
  <c r="M626" i="2"/>
  <c r="I626" i="2"/>
  <c r="O626" i="2"/>
  <c r="AO626" i="2"/>
  <c r="J626" i="2"/>
  <c r="K626" i="2"/>
  <c r="AP626" i="2"/>
  <c r="W626" i="1"/>
  <c r="J627" i="1"/>
  <c r="I628" i="1"/>
  <c r="G627" i="3"/>
  <c r="V627" i="1"/>
  <c r="G627" i="2"/>
  <c r="Y627" i="1"/>
  <c r="Z627" i="1" s="1"/>
  <c r="S627" i="1"/>
  <c r="N627" i="1"/>
  <c r="O627" i="1"/>
  <c r="R627" i="1"/>
  <c r="W627" i="1" l="1"/>
  <c r="L627" i="1"/>
  <c r="P627" i="1" s="1"/>
  <c r="AA627" i="1"/>
  <c r="AR627" i="3"/>
  <c r="AQ627" i="3"/>
  <c r="AN627" i="3"/>
  <c r="AL627" i="3"/>
  <c r="AM627" i="3"/>
  <c r="AK627" i="3"/>
  <c r="AJ627" i="3"/>
  <c r="AG627" i="3"/>
  <c r="AI627" i="3"/>
  <c r="AH627" i="3"/>
  <c r="AF627" i="3"/>
  <c r="AE627" i="3"/>
  <c r="AD627" i="3"/>
  <c r="AC627" i="3"/>
  <c r="AB627" i="3"/>
  <c r="Z627" i="3"/>
  <c r="X627" i="3"/>
  <c r="AA627" i="3"/>
  <c r="Y627" i="3"/>
  <c r="V627" i="3"/>
  <c r="W627" i="3"/>
  <c r="U627" i="3"/>
  <c r="S627" i="3"/>
  <c r="R627" i="3"/>
  <c r="P627" i="3"/>
  <c r="Q627" i="3"/>
  <c r="O627" i="3"/>
  <c r="N627" i="3"/>
  <c r="M627" i="3"/>
  <c r="L627" i="3"/>
  <c r="K627" i="3"/>
  <c r="AP627" i="3"/>
  <c r="AO627" i="3"/>
  <c r="J627" i="3"/>
  <c r="I627" i="3"/>
  <c r="AR627" i="2"/>
  <c r="AN627" i="2"/>
  <c r="AQ627" i="2"/>
  <c r="AL627" i="2"/>
  <c r="AM627" i="2"/>
  <c r="AJ627" i="2"/>
  <c r="AK627" i="2"/>
  <c r="AI627" i="2"/>
  <c r="AH627" i="2"/>
  <c r="AE627" i="2"/>
  <c r="AG627" i="2"/>
  <c r="AB627" i="2"/>
  <c r="AF627" i="2"/>
  <c r="AA627" i="2"/>
  <c r="AC627" i="2"/>
  <c r="AD627" i="2"/>
  <c r="Y627" i="2"/>
  <c r="Z627" i="2"/>
  <c r="V627" i="2"/>
  <c r="X627" i="2"/>
  <c r="W627" i="2"/>
  <c r="U627" i="2"/>
  <c r="S627" i="2"/>
  <c r="R627" i="2"/>
  <c r="P627" i="2"/>
  <c r="N627" i="2"/>
  <c r="Q627" i="2"/>
  <c r="L627" i="2"/>
  <c r="M627" i="2"/>
  <c r="O627" i="2"/>
  <c r="J627" i="2"/>
  <c r="I627" i="2"/>
  <c r="K627" i="2"/>
  <c r="AO627" i="2"/>
  <c r="AP627" i="2"/>
  <c r="J628" i="1"/>
  <c r="I629" i="1"/>
  <c r="V628" i="1"/>
  <c r="G628" i="3"/>
  <c r="Y628" i="1"/>
  <c r="Z628" i="1" s="1"/>
  <c r="G628" i="2"/>
  <c r="R628" i="1"/>
  <c r="O628" i="1"/>
  <c r="S628" i="1"/>
  <c r="W628" i="1" s="1"/>
  <c r="N628" i="1"/>
  <c r="AR628" i="2" l="1"/>
  <c r="AN628" i="2"/>
  <c r="AQ628" i="2"/>
  <c r="AL628" i="2"/>
  <c r="AM628" i="2"/>
  <c r="AJ628" i="2"/>
  <c r="AK628" i="2"/>
  <c r="AH628" i="2"/>
  <c r="AI628" i="2"/>
  <c r="AG628" i="2"/>
  <c r="AF628" i="2"/>
  <c r="AE628" i="2"/>
  <c r="AD628" i="2"/>
  <c r="AA628" i="2"/>
  <c r="AB628" i="2"/>
  <c r="AC628" i="2"/>
  <c r="Y628" i="2"/>
  <c r="Z628" i="2"/>
  <c r="X628" i="2"/>
  <c r="W628" i="2"/>
  <c r="V628" i="2"/>
  <c r="S628" i="2"/>
  <c r="P628" i="2"/>
  <c r="R628" i="2"/>
  <c r="T628" i="2"/>
  <c r="Q628" i="2"/>
  <c r="N628" i="2"/>
  <c r="J628" i="2"/>
  <c r="L628" i="2"/>
  <c r="M628" i="2"/>
  <c r="O628" i="2"/>
  <c r="K628" i="2"/>
  <c r="I628" i="2"/>
  <c r="AO628" i="2"/>
  <c r="AP628" i="2"/>
  <c r="AQ628" i="3"/>
  <c r="AR628" i="3"/>
  <c r="AN628" i="3"/>
  <c r="AL628" i="3"/>
  <c r="AM628" i="3"/>
  <c r="AJ628" i="3"/>
  <c r="AK628" i="3"/>
  <c r="AG628" i="3"/>
  <c r="AI628" i="3"/>
  <c r="AH628" i="3"/>
  <c r="AF628" i="3"/>
  <c r="AE628" i="3"/>
  <c r="AD628" i="3"/>
  <c r="AC628" i="3"/>
  <c r="AB628" i="3"/>
  <c r="AA628" i="3"/>
  <c r="Z628" i="3"/>
  <c r="Y628" i="3"/>
  <c r="V628" i="3"/>
  <c r="X628" i="3"/>
  <c r="W628" i="3"/>
  <c r="S628" i="3"/>
  <c r="R628" i="3"/>
  <c r="T628" i="3"/>
  <c r="N628" i="3"/>
  <c r="P628" i="3"/>
  <c r="Q628" i="3"/>
  <c r="O628" i="3"/>
  <c r="M628" i="3"/>
  <c r="I628" i="3"/>
  <c r="L628" i="3"/>
  <c r="K628" i="3"/>
  <c r="AP628" i="3"/>
  <c r="AO628" i="3"/>
  <c r="J628" i="3"/>
  <c r="L628" i="1"/>
  <c r="P628" i="1" s="1"/>
  <c r="AA628" i="1"/>
  <c r="I630" i="1"/>
  <c r="J629" i="1"/>
  <c r="V629" i="1"/>
  <c r="G629" i="3"/>
  <c r="Y629" i="1"/>
  <c r="Z629" i="1" s="1"/>
  <c r="G629" i="2"/>
  <c r="S629" i="1"/>
  <c r="W629" i="1" s="1"/>
  <c r="O629" i="1"/>
  <c r="N629" i="1"/>
  <c r="R629" i="1"/>
  <c r="J630" i="1" l="1"/>
  <c r="I631" i="1"/>
  <c r="V630" i="1"/>
  <c r="G630" i="3"/>
  <c r="Y630" i="1"/>
  <c r="Z630" i="1" s="1"/>
  <c r="G630" i="2"/>
  <c r="S630" i="1"/>
  <c r="W630" i="1" s="1"/>
  <c r="O630" i="1"/>
  <c r="N630" i="1"/>
  <c r="R630" i="1"/>
  <c r="AR629" i="2"/>
  <c r="AQ629" i="2"/>
  <c r="AK629" i="2"/>
  <c r="AN629" i="2"/>
  <c r="AL629" i="2"/>
  <c r="AM629" i="2"/>
  <c r="AH629" i="2"/>
  <c r="AJ629" i="2"/>
  <c r="AI629" i="2"/>
  <c r="AG629" i="2"/>
  <c r="AF629" i="2"/>
  <c r="AE629" i="2"/>
  <c r="AB629" i="2"/>
  <c r="AD629" i="2"/>
  <c r="AA629" i="2"/>
  <c r="AC629" i="2"/>
  <c r="Z629" i="2"/>
  <c r="Y629" i="2"/>
  <c r="W629" i="2"/>
  <c r="X629" i="2"/>
  <c r="V629" i="2"/>
  <c r="T629" i="2"/>
  <c r="S629" i="2"/>
  <c r="R629" i="2"/>
  <c r="Q629" i="2"/>
  <c r="P629" i="2"/>
  <c r="O629" i="2"/>
  <c r="L629" i="2"/>
  <c r="M629" i="2"/>
  <c r="N629" i="2"/>
  <c r="K629" i="2"/>
  <c r="J629" i="2"/>
  <c r="I629" i="2"/>
  <c r="AP629" i="2"/>
  <c r="AO629" i="2"/>
  <c r="AQ629" i="3"/>
  <c r="AR629" i="3"/>
  <c r="AN629" i="3"/>
  <c r="AL629" i="3"/>
  <c r="AM629" i="3"/>
  <c r="AJ629" i="3"/>
  <c r="AG629" i="3"/>
  <c r="AK629" i="3"/>
  <c r="AH629" i="3"/>
  <c r="AF629" i="3"/>
  <c r="AI629" i="3"/>
  <c r="AE629" i="3"/>
  <c r="AB629" i="3"/>
  <c r="AD629" i="3"/>
  <c r="AC629" i="3"/>
  <c r="AA629" i="3"/>
  <c r="Y629" i="3"/>
  <c r="Z629" i="3"/>
  <c r="V629" i="3"/>
  <c r="X629" i="3"/>
  <c r="W629" i="3"/>
  <c r="S629" i="3"/>
  <c r="R629" i="3"/>
  <c r="T629" i="3"/>
  <c r="P629" i="3"/>
  <c r="N629" i="3"/>
  <c r="Q629" i="3"/>
  <c r="O629" i="3"/>
  <c r="M629" i="3"/>
  <c r="L629" i="3"/>
  <c r="K629" i="3"/>
  <c r="J629" i="3"/>
  <c r="I629" i="3"/>
  <c r="AP629" i="3"/>
  <c r="AO629" i="3"/>
  <c r="L629" i="1"/>
  <c r="P629" i="1" s="1"/>
  <c r="AA629" i="1"/>
  <c r="AR630" i="2" l="1"/>
  <c r="AQ630" i="2"/>
  <c r="AL630" i="2"/>
  <c r="AN630" i="2"/>
  <c r="AM630" i="2"/>
  <c r="AH630" i="2"/>
  <c r="AK630" i="2"/>
  <c r="AJ630" i="2"/>
  <c r="AG630" i="2"/>
  <c r="AI630" i="2"/>
  <c r="AF630" i="2"/>
  <c r="AD630" i="2"/>
  <c r="AE630" i="2"/>
  <c r="AC630" i="2"/>
  <c r="AB630" i="2"/>
  <c r="AA630" i="2"/>
  <c r="Z630" i="2"/>
  <c r="Y630" i="2"/>
  <c r="W630" i="2"/>
  <c r="X630" i="2"/>
  <c r="T630" i="2"/>
  <c r="V630" i="2"/>
  <c r="P630" i="2"/>
  <c r="S630" i="2"/>
  <c r="O630" i="2"/>
  <c r="Q630" i="2"/>
  <c r="R630" i="2"/>
  <c r="J630" i="2"/>
  <c r="M630" i="2"/>
  <c r="N630" i="2"/>
  <c r="I630" i="2"/>
  <c r="K630" i="2"/>
  <c r="L630" i="2"/>
  <c r="AP630" i="2"/>
  <c r="AO630" i="2"/>
  <c r="AQ630" i="3"/>
  <c r="AR630" i="3"/>
  <c r="AN630" i="3"/>
  <c r="AM630" i="3"/>
  <c r="AL630" i="3"/>
  <c r="AJ630" i="3"/>
  <c r="AK630" i="3"/>
  <c r="AH630" i="3"/>
  <c r="AI630" i="3"/>
  <c r="AF630" i="3"/>
  <c r="AG630" i="3"/>
  <c r="AB630" i="3"/>
  <c r="AD630" i="3"/>
  <c r="AE630" i="3"/>
  <c r="AA630" i="3"/>
  <c r="AC630" i="3"/>
  <c r="Y630" i="3"/>
  <c r="Z630" i="3"/>
  <c r="W630" i="3"/>
  <c r="X630" i="3"/>
  <c r="S630" i="3"/>
  <c r="V630" i="3"/>
  <c r="T630" i="3"/>
  <c r="P630" i="3"/>
  <c r="R630" i="3"/>
  <c r="L630" i="3"/>
  <c r="N630" i="3"/>
  <c r="Q630" i="3"/>
  <c r="O630" i="3"/>
  <c r="J630" i="3"/>
  <c r="M630" i="3"/>
  <c r="K630" i="3"/>
  <c r="I630" i="3"/>
  <c r="AP630" i="3"/>
  <c r="AO630" i="3"/>
  <c r="L630" i="1"/>
  <c r="P630" i="1" s="1"/>
  <c r="AA630" i="1"/>
  <c r="I632" i="1"/>
  <c r="J631" i="1"/>
  <c r="G631" i="3"/>
  <c r="V631" i="1"/>
  <c r="Y631" i="1"/>
  <c r="Z631" i="1" s="1"/>
  <c r="G631" i="2"/>
  <c r="O631" i="1"/>
  <c r="R631" i="1"/>
  <c r="N631" i="1"/>
  <c r="S631" i="1"/>
  <c r="W631" i="1" s="1"/>
  <c r="AQ631" i="3" l="1"/>
  <c r="AR631" i="3"/>
  <c r="AN631" i="3"/>
  <c r="AM631" i="3"/>
  <c r="AL631" i="3"/>
  <c r="AK631" i="3"/>
  <c r="AH631" i="3"/>
  <c r="AJ631" i="3"/>
  <c r="AI631" i="3"/>
  <c r="AG631" i="3"/>
  <c r="AF631" i="3"/>
  <c r="AB631" i="3"/>
  <c r="AD631" i="3"/>
  <c r="AE631" i="3"/>
  <c r="AC631" i="3"/>
  <c r="AA631" i="3"/>
  <c r="W631" i="3"/>
  <c r="Y631" i="3"/>
  <c r="Z631" i="3"/>
  <c r="X631" i="3"/>
  <c r="V631" i="3"/>
  <c r="T631" i="3"/>
  <c r="S631" i="3"/>
  <c r="R631" i="3"/>
  <c r="P631" i="3"/>
  <c r="Q631" i="3"/>
  <c r="O631" i="3"/>
  <c r="J631" i="3"/>
  <c r="N631" i="3"/>
  <c r="M631" i="3"/>
  <c r="L631" i="3"/>
  <c r="AO631" i="3"/>
  <c r="K631" i="3"/>
  <c r="I631" i="3"/>
  <c r="AP631" i="3"/>
  <c r="J632" i="1"/>
  <c r="I633" i="1"/>
  <c r="V632" i="1"/>
  <c r="G632" i="3"/>
  <c r="Y632" i="1"/>
  <c r="Z632" i="1" s="1"/>
  <c r="G632" i="2"/>
  <c r="R632" i="1"/>
  <c r="S632" i="1"/>
  <c r="W632" i="1" s="1"/>
  <c r="N632" i="1"/>
  <c r="O632" i="1"/>
  <c r="AR631" i="2"/>
  <c r="AQ631" i="2"/>
  <c r="AM631" i="2"/>
  <c r="AN631" i="2"/>
  <c r="AL631" i="2"/>
  <c r="AK631" i="2"/>
  <c r="AJ631" i="2"/>
  <c r="AH631" i="2"/>
  <c r="AG631" i="2"/>
  <c r="AI631" i="2"/>
  <c r="AD631" i="2"/>
  <c r="AF631" i="2"/>
  <c r="AC631" i="2"/>
  <c r="AE631" i="2"/>
  <c r="AB631" i="2"/>
  <c r="AA631" i="2"/>
  <c r="Z631" i="2"/>
  <c r="Y631" i="2"/>
  <c r="W631" i="2"/>
  <c r="X631" i="2"/>
  <c r="T631" i="2"/>
  <c r="V631" i="2"/>
  <c r="S631" i="2"/>
  <c r="R631" i="2"/>
  <c r="Q631" i="2"/>
  <c r="O631" i="2"/>
  <c r="P631" i="2"/>
  <c r="M631" i="2"/>
  <c r="N631" i="2"/>
  <c r="L631" i="2"/>
  <c r="K631" i="2"/>
  <c r="I631" i="2"/>
  <c r="J631" i="2"/>
  <c r="AP631" i="2"/>
  <c r="AO631" i="2"/>
  <c r="L631" i="1"/>
  <c r="P631" i="1" s="1"/>
  <c r="AA631" i="1"/>
  <c r="J633" i="1" l="1"/>
  <c r="I634" i="1"/>
  <c r="V633" i="1"/>
  <c r="G633" i="3"/>
  <c r="Y633" i="1"/>
  <c r="Z633" i="1" s="1"/>
  <c r="G633" i="2"/>
  <c r="N633" i="1"/>
  <c r="R633" i="1"/>
  <c r="S633" i="1"/>
  <c r="W633" i="1" s="1"/>
  <c r="O633" i="1"/>
  <c r="AR632" i="2"/>
  <c r="AQ632" i="2"/>
  <c r="AM632" i="2"/>
  <c r="AN632" i="2"/>
  <c r="AI632" i="2"/>
  <c r="AL632" i="2"/>
  <c r="AJ632" i="2"/>
  <c r="AK632" i="2"/>
  <c r="AG632" i="2"/>
  <c r="AH632" i="2"/>
  <c r="AF632" i="2"/>
  <c r="AD632" i="2"/>
  <c r="AC632" i="2"/>
  <c r="AE632" i="2"/>
  <c r="AB632" i="2"/>
  <c r="Z632" i="2"/>
  <c r="AA632" i="2"/>
  <c r="X632" i="2"/>
  <c r="Y632" i="2"/>
  <c r="W632" i="2"/>
  <c r="T632" i="2"/>
  <c r="V632" i="2"/>
  <c r="Q632" i="2"/>
  <c r="S632" i="2"/>
  <c r="R632" i="2"/>
  <c r="M632" i="2"/>
  <c r="O632" i="2"/>
  <c r="P632" i="2"/>
  <c r="K632" i="2"/>
  <c r="N632" i="2"/>
  <c r="L632" i="2"/>
  <c r="AP632" i="2"/>
  <c r="I632" i="2"/>
  <c r="J632" i="2"/>
  <c r="AO632" i="2"/>
  <c r="AQ632" i="3"/>
  <c r="AR632" i="3"/>
  <c r="AL632" i="3"/>
  <c r="AM632" i="3"/>
  <c r="AN632" i="3"/>
  <c r="AK632" i="3"/>
  <c r="AH632" i="3"/>
  <c r="AJ632" i="3"/>
  <c r="AI632" i="3"/>
  <c r="AG632" i="3"/>
  <c r="AF632" i="3"/>
  <c r="AD632" i="3"/>
  <c r="AE632" i="3"/>
  <c r="AC632" i="3"/>
  <c r="AA632" i="3"/>
  <c r="AB632" i="3"/>
  <c r="Y632" i="3"/>
  <c r="Z632" i="3"/>
  <c r="W632" i="3"/>
  <c r="X632" i="3"/>
  <c r="V632" i="3"/>
  <c r="T632" i="3"/>
  <c r="R632" i="3"/>
  <c r="P632" i="3"/>
  <c r="S632" i="3"/>
  <c r="Q632" i="3"/>
  <c r="O632" i="3"/>
  <c r="J632" i="3"/>
  <c r="N632" i="3"/>
  <c r="M632" i="3"/>
  <c r="L632" i="3"/>
  <c r="K632" i="3"/>
  <c r="I632" i="3"/>
  <c r="AO632" i="3"/>
  <c r="AP632" i="3"/>
  <c r="L632" i="1"/>
  <c r="P632" i="1" s="1"/>
  <c r="AA632" i="1"/>
  <c r="AR633" i="2" l="1"/>
  <c r="AQ633" i="2"/>
  <c r="AM633" i="2"/>
  <c r="AN633" i="2"/>
  <c r="AL633" i="2"/>
  <c r="AK633" i="2"/>
  <c r="AJ633" i="2"/>
  <c r="AI633" i="2"/>
  <c r="AH633" i="2"/>
  <c r="AG633" i="2"/>
  <c r="AD633" i="2"/>
  <c r="AC633" i="2"/>
  <c r="AF633" i="2"/>
  <c r="AE633" i="2"/>
  <c r="AB633" i="2"/>
  <c r="X633" i="2"/>
  <c r="AA633" i="2"/>
  <c r="Z633" i="2"/>
  <c r="Y633" i="2"/>
  <c r="T633" i="2"/>
  <c r="W633" i="2"/>
  <c r="V633" i="2"/>
  <c r="Q633" i="2"/>
  <c r="S633" i="2"/>
  <c r="O633" i="2"/>
  <c r="P633" i="2"/>
  <c r="R633" i="2"/>
  <c r="K633" i="2"/>
  <c r="N633" i="2"/>
  <c r="M633" i="2"/>
  <c r="L633" i="2"/>
  <c r="I633" i="2"/>
  <c r="AP633" i="2"/>
  <c r="J633" i="2"/>
  <c r="AO633" i="2"/>
  <c r="AR633" i="3"/>
  <c r="AQ633" i="3"/>
  <c r="AM633" i="3"/>
  <c r="AL633" i="3"/>
  <c r="AK633" i="3"/>
  <c r="AN633" i="3"/>
  <c r="AI633" i="3"/>
  <c r="AH633" i="3"/>
  <c r="AJ633" i="3"/>
  <c r="AG633" i="3"/>
  <c r="AD633" i="3"/>
  <c r="AF633" i="3"/>
  <c r="AE633" i="3"/>
  <c r="AC633" i="3"/>
  <c r="AB633" i="3"/>
  <c r="AA633" i="3"/>
  <c r="W633" i="3"/>
  <c r="Z633" i="3"/>
  <c r="Y633" i="3"/>
  <c r="X633" i="3"/>
  <c r="V633" i="3"/>
  <c r="T633" i="3"/>
  <c r="S633" i="3"/>
  <c r="R633" i="3"/>
  <c r="Q633" i="3"/>
  <c r="O633" i="3"/>
  <c r="P633" i="3"/>
  <c r="M633" i="3"/>
  <c r="N633" i="3"/>
  <c r="L633" i="3"/>
  <c r="K633" i="3"/>
  <c r="I633" i="3"/>
  <c r="J633" i="3"/>
  <c r="AO633" i="3"/>
  <c r="AP633" i="3"/>
  <c r="L633" i="1"/>
  <c r="P633" i="1" s="1"/>
  <c r="AA633" i="1"/>
  <c r="J634" i="1"/>
  <c r="I635" i="1"/>
  <c r="V634" i="1"/>
  <c r="G634" i="3"/>
  <c r="Y634" i="1"/>
  <c r="Z634" i="1" s="1"/>
  <c r="G634" i="2"/>
  <c r="S634" i="1"/>
  <c r="W634" i="1" s="1"/>
  <c r="O634" i="1"/>
  <c r="N634" i="1"/>
  <c r="R634" i="1"/>
  <c r="L634" i="1" l="1"/>
  <c r="P634" i="1" s="1"/>
  <c r="AA634" i="1"/>
  <c r="J635" i="1"/>
  <c r="I636" i="1"/>
  <c r="V635" i="1"/>
  <c r="G635" i="3"/>
  <c r="Y635" i="1"/>
  <c r="Z635" i="1" s="1"/>
  <c r="G635" i="2"/>
  <c r="S635" i="1"/>
  <c r="R635" i="1"/>
  <c r="N635" i="1"/>
  <c r="O635" i="1"/>
  <c r="AR634" i="2"/>
  <c r="AQ634" i="2"/>
  <c r="AM634" i="2"/>
  <c r="AN634" i="2"/>
  <c r="AL634" i="2"/>
  <c r="AK634" i="2"/>
  <c r="AI634" i="2"/>
  <c r="AH634" i="2"/>
  <c r="AJ634" i="2"/>
  <c r="AG634" i="2"/>
  <c r="AF634" i="2"/>
  <c r="AE634" i="2"/>
  <c r="AD634" i="2"/>
  <c r="Z634" i="2"/>
  <c r="AC634" i="2"/>
  <c r="AB634" i="2"/>
  <c r="AA634" i="2"/>
  <c r="Y634" i="2"/>
  <c r="W634" i="2"/>
  <c r="X634" i="2"/>
  <c r="V634" i="2"/>
  <c r="Q634" i="2"/>
  <c r="T634" i="2"/>
  <c r="S634" i="2"/>
  <c r="R634" i="2"/>
  <c r="M634" i="2"/>
  <c r="P634" i="2"/>
  <c r="O634" i="2"/>
  <c r="K634" i="2"/>
  <c r="N634" i="2"/>
  <c r="L634" i="2"/>
  <c r="AO634" i="2"/>
  <c r="AP634" i="2"/>
  <c r="I634" i="2"/>
  <c r="J634" i="2"/>
  <c r="AR634" i="3"/>
  <c r="AN634" i="3"/>
  <c r="AM634" i="3"/>
  <c r="AQ634" i="3"/>
  <c r="AL634" i="3"/>
  <c r="AI634" i="3"/>
  <c r="AK634" i="3"/>
  <c r="AJ634" i="3"/>
  <c r="AH634" i="3"/>
  <c r="AG634" i="3"/>
  <c r="AF634" i="3"/>
  <c r="AE634" i="3"/>
  <c r="AC634" i="3"/>
  <c r="AD634" i="3"/>
  <c r="AB634" i="3"/>
  <c r="Z634" i="3"/>
  <c r="Y634" i="3"/>
  <c r="AA634" i="3"/>
  <c r="X634" i="3"/>
  <c r="W634" i="3"/>
  <c r="R634" i="3"/>
  <c r="V634" i="3"/>
  <c r="T634" i="3"/>
  <c r="Q634" i="3"/>
  <c r="S634" i="3"/>
  <c r="M634" i="3"/>
  <c r="O634" i="3"/>
  <c r="P634" i="3"/>
  <c r="K634" i="3"/>
  <c r="N634" i="3"/>
  <c r="L634" i="3"/>
  <c r="I634" i="3"/>
  <c r="J634" i="3"/>
  <c r="AO634" i="3"/>
  <c r="AP634" i="3"/>
  <c r="W635" i="1" l="1"/>
  <c r="AQ635" i="2"/>
  <c r="AR635" i="2"/>
  <c r="AN635" i="2"/>
  <c r="AM635" i="2"/>
  <c r="AK635" i="2"/>
  <c r="AL635" i="2"/>
  <c r="AJ635" i="2"/>
  <c r="AI635" i="2"/>
  <c r="AF635" i="2"/>
  <c r="AE635" i="2"/>
  <c r="AG635" i="2"/>
  <c r="AH635" i="2"/>
  <c r="AD635" i="2"/>
  <c r="AC635" i="2"/>
  <c r="AB635" i="2"/>
  <c r="X635" i="2"/>
  <c r="AA635" i="2"/>
  <c r="V635" i="2"/>
  <c r="Y635" i="2"/>
  <c r="Z635" i="2"/>
  <c r="W635" i="2"/>
  <c r="S635" i="2"/>
  <c r="T635" i="2"/>
  <c r="R635" i="2"/>
  <c r="Q635" i="2"/>
  <c r="P635" i="2"/>
  <c r="N635" i="2"/>
  <c r="O635" i="2"/>
  <c r="M635" i="2"/>
  <c r="L635" i="2"/>
  <c r="AO635" i="2"/>
  <c r="K635" i="2"/>
  <c r="I635" i="2"/>
  <c r="J635" i="2"/>
  <c r="AP635" i="2"/>
  <c r="AR635" i="3"/>
  <c r="AN635" i="3"/>
  <c r="AM635" i="3"/>
  <c r="AQ635" i="3"/>
  <c r="AL635" i="3"/>
  <c r="AI635" i="3"/>
  <c r="AK635" i="3"/>
  <c r="AJ635" i="3"/>
  <c r="AH635" i="3"/>
  <c r="AG635" i="3"/>
  <c r="AD635" i="3"/>
  <c r="AF635" i="3"/>
  <c r="AE635" i="3"/>
  <c r="AC635" i="3"/>
  <c r="AB635" i="3"/>
  <c r="X635" i="3"/>
  <c r="Y635" i="3"/>
  <c r="Z635" i="3"/>
  <c r="AA635" i="3"/>
  <c r="W635" i="3"/>
  <c r="R635" i="3"/>
  <c r="V635" i="3"/>
  <c r="T635" i="3"/>
  <c r="Q635" i="3"/>
  <c r="S635" i="3"/>
  <c r="O635" i="3"/>
  <c r="P635" i="3"/>
  <c r="K635" i="3"/>
  <c r="N635" i="3"/>
  <c r="M635" i="3"/>
  <c r="L635" i="3"/>
  <c r="I635" i="3"/>
  <c r="J635" i="3"/>
  <c r="AO635" i="3"/>
  <c r="AP635" i="3"/>
  <c r="I637" i="1"/>
  <c r="J636" i="1"/>
  <c r="G636" i="3"/>
  <c r="V636" i="1"/>
  <c r="Y636" i="1"/>
  <c r="Z636" i="1" s="1"/>
  <c r="G636" i="2"/>
  <c r="R636" i="1"/>
  <c r="O636" i="1"/>
  <c r="N636" i="1"/>
  <c r="S636" i="1"/>
  <c r="W636" i="1" s="1"/>
  <c r="L635" i="1"/>
  <c r="P635" i="1" s="1"/>
  <c r="AA635" i="1"/>
  <c r="AR636" i="3" l="1"/>
  <c r="AN636" i="3"/>
  <c r="AM636" i="3"/>
  <c r="AQ636" i="3"/>
  <c r="AI636" i="3"/>
  <c r="AL636" i="3"/>
  <c r="AK636" i="3"/>
  <c r="AJ636" i="3"/>
  <c r="AG636" i="3"/>
  <c r="AH636" i="3"/>
  <c r="AF636" i="3"/>
  <c r="AE636" i="3"/>
  <c r="AC636" i="3"/>
  <c r="AD636" i="3"/>
  <c r="Z636" i="3"/>
  <c r="AB636" i="3"/>
  <c r="AA636" i="3"/>
  <c r="X636" i="3"/>
  <c r="Y636" i="3"/>
  <c r="W636" i="3"/>
  <c r="V636" i="3"/>
  <c r="R636" i="3"/>
  <c r="T636" i="3"/>
  <c r="Q636" i="3"/>
  <c r="S636" i="3"/>
  <c r="M636" i="3"/>
  <c r="P636" i="3"/>
  <c r="L636" i="3"/>
  <c r="K636" i="3"/>
  <c r="O636" i="3"/>
  <c r="N636" i="3"/>
  <c r="I636" i="3"/>
  <c r="J636" i="3"/>
  <c r="AO636" i="3"/>
  <c r="AP636" i="3"/>
  <c r="J637" i="1"/>
  <c r="I638" i="1"/>
  <c r="G637" i="3"/>
  <c r="V637" i="1"/>
  <c r="G637" i="2"/>
  <c r="Y637" i="1"/>
  <c r="Z637" i="1" s="1"/>
  <c r="S637" i="1"/>
  <c r="W637" i="1" s="1"/>
  <c r="N637" i="1"/>
  <c r="R637" i="1"/>
  <c r="O637" i="1"/>
  <c r="AR636" i="2"/>
  <c r="AQ636" i="2"/>
  <c r="AN636" i="2"/>
  <c r="AM636" i="2"/>
  <c r="AJ636" i="2"/>
  <c r="AK636" i="2"/>
  <c r="AL636" i="2"/>
  <c r="AI636" i="2"/>
  <c r="AF636" i="2"/>
  <c r="AH636" i="2"/>
  <c r="AE636" i="2"/>
  <c r="AG636" i="2"/>
  <c r="AD636" i="2"/>
  <c r="AB636" i="2"/>
  <c r="AC636" i="2"/>
  <c r="AA636" i="2"/>
  <c r="Z636" i="2"/>
  <c r="Y636" i="2"/>
  <c r="V636" i="2"/>
  <c r="X636" i="2"/>
  <c r="S636" i="2"/>
  <c r="W636" i="2"/>
  <c r="R636" i="2"/>
  <c r="T636" i="2"/>
  <c r="N636" i="2"/>
  <c r="Q636" i="2"/>
  <c r="P636" i="2"/>
  <c r="L636" i="2"/>
  <c r="O636" i="2"/>
  <c r="I636" i="2"/>
  <c r="M636" i="2"/>
  <c r="J636" i="2"/>
  <c r="AO636" i="2"/>
  <c r="K636" i="2"/>
  <c r="AP636" i="2"/>
  <c r="L636" i="1"/>
  <c r="P636" i="1" s="1"/>
  <c r="AA636" i="1"/>
  <c r="AR637" i="3" l="1"/>
  <c r="AN637" i="3"/>
  <c r="AQ637" i="3"/>
  <c r="AM637" i="3"/>
  <c r="AL637" i="3"/>
  <c r="AK637" i="3"/>
  <c r="AJ637" i="3"/>
  <c r="AG637" i="3"/>
  <c r="AI637" i="3"/>
  <c r="AH637" i="3"/>
  <c r="AF637" i="3"/>
  <c r="AE637" i="3"/>
  <c r="AD637" i="3"/>
  <c r="AC637" i="3"/>
  <c r="AB637" i="3"/>
  <c r="AA637" i="3"/>
  <c r="X637" i="3"/>
  <c r="Z637" i="3"/>
  <c r="Y637" i="3"/>
  <c r="V637" i="3"/>
  <c r="W637" i="3"/>
  <c r="S637" i="3"/>
  <c r="T637" i="3"/>
  <c r="R637" i="3"/>
  <c r="Q637" i="3"/>
  <c r="O637" i="3"/>
  <c r="P637" i="3"/>
  <c r="N637" i="3"/>
  <c r="L637" i="3"/>
  <c r="K637" i="3"/>
  <c r="M637" i="3"/>
  <c r="AO637" i="3"/>
  <c r="AP637" i="3"/>
  <c r="I637" i="3"/>
  <c r="J637" i="3"/>
  <c r="I639" i="1"/>
  <c r="J638" i="1"/>
  <c r="V638" i="1"/>
  <c r="G638" i="3"/>
  <c r="Y638" i="1"/>
  <c r="Z638" i="1" s="1"/>
  <c r="G638" i="2"/>
  <c r="N638" i="1"/>
  <c r="R638" i="1"/>
  <c r="S638" i="1"/>
  <c r="O638" i="1"/>
  <c r="AR637" i="2"/>
  <c r="AQ637" i="2"/>
  <c r="AN637" i="2"/>
  <c r="AM637" i="2"/>
  <c r="AL637" i="2"/>
  <c r="AJ637" i="2"/>
  <c r="AK637" i="2"/>
  <c r="AI637" i="2"/>
  <c r="AH637" i="2"/>
  <c r="AE637" i="2"/>
  <c r="AG637" i="2"/>
  <c r="AF637" i="2"/>
  <c r="AB637" i="2"/>
  <c r="AD637" i="2"/>
  <c r="AC637" i="2"/>
  <c r="AA637" i="2"/>
  <c r="Y637" i="2"/>
  <c r="Z637" i="2"/>
  <c r="X637" i="2"/>
  <c r="V637" i="2"/>
  <c r="W637" i="2"/>
  <c r="S637" i="2"/>
  <c r="R637" i="2"/>
  <c r="T637" i="2"/>
  <c r="P637" i="2"/>
  <c r="N637" i="2"/>
  <c r="Q637" i="2"/>
  <c r="L637" i="2"/>
  <c r="O637" i="2"/>
  <c r="M637" i="2"/>
  <c r="J637" i="2"/>
  <c r="K637" i="2"/>
  <c r="I637" i="2"/>
  <c r="AO637" i="2"/>
  <c r="AP637" i="2"/>
  <c r="L637" i="1"/>
  <c r="P637" i="1" s="1"/>
  <c r="AA637" i="1"/>
  <c r="J639" i="1" l="1"/>
  <c r="I640" i="1"/>
  <c r="V639" i="1"/>
  <c r="G639" i="3"/>
  <c r="Y639" i="1"/>
  <c r="Z639" i="1" s="1"/>
  <c r="G639" i="2"/>
  <c r="O639" i="1"/>
  <c r="S639" i="1"/>
  <c r="W639" i="1" s="1"/>
  <c r="N639" i="1"/>
  <c r="R639" i="1"/>
  <c r="W638" i="1"/>
  <c r="AR638" i="2"/>
  <c r="AN638" i="2"/>
  <c r="AQ638" i="2"/>
  <c r="AL638" i="2"/>
  <c r="AM638" i="2"/>
  <c r="AJ638" i="2"/>
  <c r="AK638" i="2"/>
  <c r="AI638" i="2"/>
  <c r="AH638" i="2"/>
  <c r="AG638" i="2"/>
  <c r="AF638" i="2"/>
  <c r="AE638" i="2"/>
  <c r="AC638" i="2"/>
  <c r="AA638" i="2"/>
  <c r="AD638" i="2"/>
  <c r="AB638" i="2"/>
  <c r="Y638" i="2"/>
  <c r="Z638" i="2"/>
  <c r="X638" i="2"/>
  <c r="W638" i="2"/>
  <c r="S638" i="2"/>
  <c r="U638" i="2"/>
  <c r="T638" i="2"/>
  <c r="P638" i="2"/>
  <c r="R638" i="2"/>
  <c r="N638" i="2"/>
  <c r="Q638" i="2"/>
  <c r="M638" i="2"/>
  <c r="J638" i="2"/>
  <c r="L638" i="2"/>
  <c r="O638" i="2"/>
  <c r="K638" i="2"/>
  <c r="I638" i="2"/>
  <c r="AO638" i="2"/>
  <c r="AP638" i="2"/>
  <c r="AR638" i="3"/>
  <c r="AQ638" i="3"/>
  <c r="AN638" i="3"/>
  <c r="AM638" i="3"/>
  <c r="AJ638" i="3"/>
  <c r="AK638" i="3"/>
  <c r="AL638" i="3"/>
  <c r="AG638" i="3"/>
  <c r="AF638" i="3"/>
  <c r="AI638" i="3"/>
  <c r="AH638" i="3"/>
  <c r="AE638" i="3"/>
  <c r="AC638" i="3"/>
  <c r="AD638" i="3"/>
  <c r="AB638" i="3"/>
  <c r="AA638" i="3"/>
  <c r="Z638" i="3"/>
  <c r="Y638" i="3"/>
  <c r="X638" i="3"/>
  <c r="S638" i="3"/>
  <c r="U638" i="3"/>
  <c r="W638" i="3"/>
  <c r="T638" i="3"/>
  <c r="R638" i="3"/>
  <c r="N638" i="3"/>
  <c r="Q638" i="3"/>
  <c r="O638" i="3"/>
  <c r="P638" i="3"/>
  <c r="L638" i="3"/>
  <c r="I638" i="3"/>
  <c r="M638" i="3"/>
  <c r="J638" i="3"/>
  <c r="AO638" i="3"/>
  <c r="AP638" i="3"/>
  <c r="K638" i="3"/>
  <c r="L638" i="1"/>
  <c r="P638" i="1" s="1"/>
  <c r="AA638" i="1"/>
  <c r="AR639" i="2" l="1"/>
  <c r="AQ639" i="2"/>
  <c r="AN639" i="2"/>
  <c r="AK639" i="2"/>
  <c r="AL639" i="2"/>
  <c r="AM639" i="2"/>
  <c r="AH639" i="2"/>
  <c r="AJ639" i="2"/>
  <c r="AI639" i="2"/>
  <c r="AG639" i="2"/>
  <c r="AB639" i="2"/>
  <c r="AF639" i="2"/>
  <c r="AE639" i="2"/>
  <c r="AD639" i="2"/>
  <c r="AC639" i="2"/>
  <c r="AA639" i="2"/>
  <c r="Y639" i="2"/>
  <c r="Z639" i="2"/>
  <c r="W639" i="2"/>
  <c r="X639" i="2"/>
  <c r="U639" i="2"/>
  <c r="T639" i="2"/>
  <c r="R639" i="2"/>
  <c r="S639" i="2"/>
  <c r="Q639" i="2"/>
  <c r="P639" i="2"/>
  <c r="O639" i="2"/>
  <c r="M639" i="2"/>
  <c r="L639" i="2"/>
  <c r="N639" i="2"/>
  <c r="J639" i="2"/>
  <c r="K639" i="2"/>
  <c r="I639" i="2"/>
  <c r="AO639" i="2"/>
  <c r="AP639" i="2"/>
  <c r="AQ639" i="3"/>
  <c r="AR639" i="3"/>
  <c r="AN639" i="3"/>
  <c r="AM639" i="3"/>
  <c r="AL639" i="3"/>
  <c r="AJ639" i="3"/>
  <c r="AK639" i="3"/>
  <c r="AG639" i="3"/>
  <c r="AI639" i="3"/>
  <c r="AF639" i="3"/>
  <c r="AH639" i="3"/>
  <c r="AE639" i="3"/>
  <c r="AB639" i="3"/>
  <c r="AC639" i="3"/>
  <c r="AD639" i="3"/>
  <c r="AA639" i="3"/>
  <c r="Z639" i="3"/>
  <c r="Y639" i="3"/>
  <c r="X639" i="3"/>
  <c r="W639" i="3"/>
  <c r="S639" i="3"/>
  <c r="U639" i="3"/>
  <c r="T639" i="3"/>
  <c r="R639" i="3"/>
  <c r="P639" i="3"/>
  <c r="N639" i="3"/>
  <c r="Q639" i="3"/>
  <c r="O639" i="3"/>
  <c r="M639" i="3"/>
  <c r="L639" i="3"/>
  <c r="K639" i="3"/>
  <c r="J639" i="3"/>
  <c r="AO639" i="3"/>
  <c r="AP639" i="3"/>
  <c r="I639" i="3"/>
  <c r="L639" i="1"/>
  <c r="P639" i="1" s="1"/>
  <c r="AA639" i="1"/>
  <c r="J640" i="1"/>
  <c r="I641" i="1"/>
  <c r="G640" i="3"/>
  <c r="V640" i="1"/>
  <c r="Y640" i="1"/>
  <c r="Z640" i="1" s="1"/>
  <c r="G640" i="2"/>
  <c r="S640" i="1"/>
  <c r="W640" i="1" s="1"/>
  <c r="R640" i="1"/>
  <c r="N640" i="1"/>
  <c r="O640" i="1"/>
  <c r="AQ640" i="3" l="1"/>
  <c r="AR640" i="3"/>
  <c r="AN640" i="3"/>
  <c r="AM640" i="3"/>
  <c r="AL640" i="3"/>
  <c r="AJ640" i="3"/>
  <c r="AK640" i="3"/>
  <c r="AI640" i="3"/>
  <c r="AH640" i="3"/>
  <c r="AF640" i="3"/>
  <c r="AG640" i="3"/>
  <c r="AD640" i="3"/>
  <c r="AB640" i="3"/>
  <c r="AE640" i="3"/>
  <c r="AA640" i="3"/>
  <c r="AC640" i="3"/>
  <c r="Z640" i="3"/>
  <c r="Y640" i="3"/>
  <c r="X640" i="3"/>
  <c r="W640" i="3"/>
  <c r="S640" i="3"/>
  <c r="U640" i="3"/>
  <c r="P640" i="3"/>
  <c r="T640" i="3"/>
  <c r="R640" i="3"/>
  <c r="L640" i="3"/>
  <c r="N640" i="3"/>
  <c r="Q640" i="3"/>
  <c r="O640" i="3"/>
  <c r="J640" i="3"/>
  <c r="M640" i="3"/>
  <c r="K640" i="3"/>
  <c r="AO640" i="3"/>
  <c r="AP640" i="3"/>
  <c r="I640" i="3"/>
  <c r="AR640" i="2"/>
  <c r="AQ640" i="2"/>
  <c r="AN640" i="2"/>
  <c r="AL640" i="2"/>
  <c r="AM640" i="2"/>
  <c r="AK640" i="2"/>
  <c r="AH640" i="2"/>
  <c r="AJ640" i="2"/>
  <c r="AG640" i="2"/>
  <c r="AI640" i="2"/>
  <c r="AF640" i="2"/>
  <c r="AE640" i="2"/>
  <c r="AD640" i="2"/>
  <c r="AC640" i="2"/>
  <c r="AB640" i="2"/>
  <c r="AA640" i="2"/>
  <c r="Z640" i="2"/>
  <c r="W640" i="2"/>
  <c r="X640" i="2"/>
  <c r="Y640" i="2"/>
  <c r="U640" i="2"/>
  <c r="T640" i="2"/>
  <c r="S640" i="2"/>
  <c r="P640" i="2"/>
  <c r="O640" i="2"/>
  <c r="R640" i="2"/>
  <c r="Q640" i="2"/>
  <c r="M640" i="2"/>
  <c r="J640" i="2"/>
  <c r="N640" i="2"/>
  <c r="K640" i="2"/>
  <c r="I640" i="2"/>
  <c r="L640" i="2"/>
  <c r="AO640" i="2"/>
  <c r="AP640" i="2"/>
  <c r="I642" i="1"/>
  <c r="J641" i="1"/>
  <c r="V641" i="1"/>
  <c r="G641" i="3"/>
  <c r="Y641" i="1"/>
  <c r="Z641" i="1" s="1"/>
  <c r="G641" i="2"/>
  <c r="R641" i="1"/>
  <c r="N641" i="1"/>
  <c r="O641" i="1"/>
  <c r="S641" i="1"/>
  <c r="L640" i="1"/>
  <c r="P640" i="1" s="1"/>
  <c r="AA640" i="1"/>
  <c r="AQ641" i="3" l="1"/>
  <c r="AR641" i="3"/>
  <c r="AN641" i="3"/>
  <c r="AL641" i="3"/>
  <c r="AK641" i="3"/>
  <c r="AM641" i="3"/>
  <c r="AH641" i="3"/>
  <c r="AI641" i="3"/>
  <c r="AJ641" i="3"/>
  <c r="AG641" i="3"/>
  <c r="AF641" i="3"/>
  <c r="AD641" i="3"/>
  <c r="AB641" i="3"/>
  <c r="AE641" i="3"/>
  <c r="AA641" i="3"/>
  <c r="AC641" i="3"/>
  <c r="W641" i="3"/>
  <c r="Z641" i="3"/>
  <c r="Y641" i="3"/>
  <c r="X641" i="3"/>
  <c r="U641" i="3"/>
  <c r="T641" i="3"/>
  <c r="S641" i="3"/>
  <c r="R641" i="3"/>
  <c r="P641" i="3"/>
  <c r="Q641" i="3"/>
  <c r="O641" i="3"/>
  <c r="J641" i="3"/>
  <c r="M641" i="3"/>
  <c r="L641" i="3"/>
  <c r="N641" i="3"/>
  <c r="AO641" i="3"/>
  <c r="I641" i="3"/>
  <c r="AP641" i="3"/>
  <c r="K641" i="3"/>
  <c r="L641" i="1"/>
  <c r="P641" i="1" s="1"/>
  <c r="AA641" i="1"/>
  <c r="W641" i="1"/>
  <c r="AR641" i="2"/>
  <c r="AQ641" i="2"/>
  <c r="AN641" i="2"/>
  <c r="AL641" i="2"/>
  <c r="AM641" i="2"/>
  <c r="AK641" i="2"/>
  <c r="AH641" i="2"/>
  <c r="AJ641" i="2"/>
  <c r="AG641" i="2"/>
  <c r="AI641" i="2"/>
  <c r="AF641" i="2"/>
  <c r="AD641" i="2"/>
  <c r="AC641" i="2"/>
  <c r="AE641" i="2"/>
  <c r="AB641" i="2"/>
  <c r="Z641" i="2"/>
  <c r="AA641" i="2"/>
  <c r="U641" i="2"/>
  <c r="W641" i="2"/>
  <c r="X641" i="2"/>
  <c r="Y641" i="2"/>
  <c r="T641" i="2"/>
  <c r="S641" i="2"/>
  <c r="R641" i="2"/>
  <c r="Q641" i="2"/>
  <c r="P641" i="2"/>
  <c r="O641" i="2"/>
  <c r="M641" i="2"/>
  <c r="L641" i="2"/>
  <c r="N641" i="2"/>
  <c r="K641" i="2"/>
  <c r="J641" i="2"/>
  <c r="I641" i="2"/>
  <c r="AP641" i="2"/>
  <c r="AO641" i="2"/>
  <c r="J642" i="1"/>
  <c r="I643" i="1"/>
  <c r="V642" i="1"/>
  <c r="G642" i="3"/>
  <c r="G642" i="2"/>
  <c r="Y642" i="1"/>
  <c r="Z642" i="1" s="1"/>
  <c r="S642" i="1"/>
  <c r="W642" i="1" s="1"/>
  <c r="N642" i="1"/>
  <c r="R642" i="1"/>
  <c r="O642" i="1"/>
  <c r="J643" i="1" l="1"/>
  <c r="I644" i="1"/>
  <c r="V643" i="1"/>
  <c r="G643" i="3"/>
  <c r="Y643" i="1"/>
  <c r="Z643" i="1" s="1"/>
  <c r="G643" i="2"/>
  <c r="N643" i="1"/>
  <c r="O643" i="1"/>
  <c r="R643" i="1"/>
  <c r="S643" i="1"/>
  <c r="AR642" i="2"/>
  <c r="AQ642" i="2"/>
  <c r="AN642" i="2"/>
  <c r="AM642" i="2"/>
  <c r="AL642" i="2"/>
  <c r="AI642" i="2"/>
  <c r="AK642" i="2"/>
  <c r="AJ642" i="2"/>
  <c r="AH642" i="2"/>
  <c r="AG642" i="2"/>
  <c r="AF642" i="2"/>
  <c r="AE642" i="2"/>
  <c r="AD642" i="2"/>
  <c r="AC642" i="2"/>
  <c r="AB642" i="2"/>
  <c r="Z642" i="2"/>
  <c r="AA642" i="2"/>
  <c r="X642" i="2"/>
  <c r="U642" i="2"/>
  <c r="W642" i="2"/>
  <c r="Y642" i="2"/>
  <c r="T642" i="2"/>
  <c r="Q642" i="2"/>
  <c r="S642" i="2"/>
  <c r="R642" i="2"/>
  <c r="M642" i="2"/>
  <c r="P642" i="2"/>
  <c r="O642" i="2"/>
  <c r="K642" i="2"/>
  <c r="L642" i="2"/>
  <c r="N642" i="2"/>
  <c r="I642" i="2"/>
  <c r="AP642" i="2"/>
  <c r="J642" i="2"/>
  <c r="AO642" i="2"/>
  <c r="AR642" i="3"/>
  <c r="AQ642" i="3"/>
  <c r="AN642" i="3"/>
  <c r="AL642" i="3"/>
  <c r="AK642" i="3"/>
  <c r="AM642" i="3"/>
  <c r="AJ642" i="3"/>
  <c r="AH642" i="3"/>
  <c r="AI642" i="3"/>
  <c r="AG642" i="3"/>
  <c r="AF642" i="3"/>
  <c r="AD642" i="3"/>
  <c r="AE642" i="3"/>
  <c r="AC642" i="3"/>
  <c r="AA642" i="3"/>
  <c r="AB642" i="3"/>
  <c r="Z642" i="3"/>
  <c r="Y642" i="3"/>
  <c r="X642" i="3"/>
  <c r="W642" i="3"/>
  <c r="U642" i="3"/>
  <c r="T642" i="3"/>
  <c r="P642" i="3"/>
  <c r="S642" i="3"/>
  <c r="R642" i="3"/>
  <c r="O642" i="3"/>
  <c r="Q642" i="3"/>
  <c r="N642" i="3"/>
  <c r="J642" i="3"/>
  <c r="M642" i="3"/>
  <c r="L642" i="3"/>
  <c r="I642" i="3"/>
  <c r="AO642" i="3"/>
  <c r="AP642" i="3"/>
  <c r="K642" i="3"/>
  <c r="L642" i="1"/>
  <c r="P642" i="1" s="1"/>
  <c r="AA642" i="1"/>
  <c r="AR643" i="3" l="1"/>
  <c r="AQ643" i="3"/>
  <c r="AN643" i="3"/>
  <c r="AM643" i="3"/>
  <c r="AL643" i="3"/>
  <c r="AK643" i="3"/>
  <c r="AI643" i="3"/>
  <c r="AJ643" i="3"/>
  <c r="AH643" i="3"/>
  <c r="AF643" i="3"/>
  <c r="AD643" i="3"/>
  <c r="AG643" i="3"/>
  <c r="AC643" i="3"/>
  <c r="AE643" i="3"/>
  <c r="AA643" i="3"/>
  <c r="AB643" i="3"/>
  <c r="W643" i="3"/>
  <c r="Z643" i="3"/>
  <c r="U643" i="3"/>
  <c r="Y643" i="3"/>
  <c r="X643" i="3"/>
  <c r="T643" i="3"/>
  <c r="S643" i="3"/>
  <c r="R643" i="3"/>
  <c r="Q643" i="3"/>
  <c r="P643" i="3"/>
  <c r="O643" i="3"/>
  <c r="M643" i="3"/>
  <c r="N643" i="3"/>
  <c r="L643" i="3"/>
  <c r="K643" i="3"/>
  <c r="J643" i="3"/>
  <c r="I643" i="3"/>
  <c r="AO643" i="3"/>
  <c r="AP643" i="3"/>
  <c r="AR643" i="2"/>
  <c r="AQ643" i="2"/>
  <c r="AM643" i="2"/>
  <c r="AN643" i="2"/>
  <c r="AL643" i="2"/>
  <c r="AK643" i="2"/>
  <c r="AJ643" i="2"/>
  <c r="AH643" i="2"/>
  <c r="AI643" i="2"/>
  <c r="AF643" i="2"/>
  <c r="AG643" i="2"/>
  <c r="AE643" i="2"/>
  <c r="AD643" i="2"/>
  <c r="AC643" i="2"/>
  <c r="AB643" i="2"/>
  <c r="X643" i="2"/>
  <c r="Z643" i="2"/>
  <c r="AA643" i="2"/>
  <c r="Y643" i="2"/>
  <c r="T643" i="2"/>
  <c r="U643" i="2"/>
  <c r="W643" i="2"/>
  <c r="Q643" i="2"/>
  <c r="S643" i="2"/>
  <c r="P643" i="2"/>
  <c r="O643" i="2"/>
  <c r="R643" i="2"/>
  <c r="K643" i="2"/>
  <c r="M643" i="2"/>
  <c r="L643" i="2"/>
  <c r="N643" i="2"/>
  <c r="I643" i="2"/>
  <c r="AP643" i="2"/>
  <c r="J643" i="2"/>
  <c r="AO643" i="2"/>
  <c r="L643" i="1"/>
  <c r="P643" i="1" s="1"/>
  <c r="AA643" i="1"/>
  <c r="J644" i="1"/>
  <c r="I645" i="1"/>
  <c r="V644" i="1"/>
  <c r="G644" i="3"/>
  <c r="Y644" i="1"/>
  <c r="Z644" i="1" s="1"/>
  <c r="G644" i="2"/>
  <c r="O644" i="1"/>
  <c r="S644" i="1"/>
  <c r="N644" i="1"/>
  <c r="R644" i="1"/>
  <c r="W643" i="1"/>
  <c r="AQ644" i="3" l="1"/>
  <c r="AR644" i="3"/>
  <c r="AN644" i="3"/>
  <c r="AM644" i="3"/>
  <c r="AL644" i="3"/>
  <c r="AI644" i="3"/>
  <c r="AK644" i="3"/>
  <c r="AJ644" i="3"/>
  <c r="AH644" i="3"/>
  <c r="AF644" i="3"/>
  <c r="AG644" i="3"/>
  <c r="AC644" i="3"/>
  <c r="AD644" i="3"/>
  <c r="AE644" i="3"/>
  <c r="AB644" i="3"/>
  <c r="Z644" i="3"/>
  <c r="AA644" i="3"/>
  <c r="Y644" i="3"/>
  <c r="X644" i="3"/>
  <c r="W644" i="3"/>
  <c r="U644" i="3"/>
  <c r="R644" i="3"/>
  <c r="T644" i="3"/>
  <c r="Q644" i="3"/>
  <c r="S644" i="3"/>
  <c r="M644" i="3"/>
  <c r="P644" i="3"/>
  <c r="O644" i="3"/>
  <c r="K644" i="3"/>
  <c r="N644" i="3"/>
  <c r="L644" i="3"/>
  <c r="J644" i="3"/>
  <c r="I644" i="3"/>
  <c r="AO644" i="3"/>
  <c r="AP644" i="3"/>
  <c r="I646" i="1"/>
  <c r="J645" i="1"/>
  <c r="V645" i="1"/>
  <c r="G645" i="3"/>
  <c r="Y645" i="1"/>
  <c r="Z645" i="1" s="1"/>
  <c r="G645" i="2"/>
  <c r="S645" i="1"/>
  <c r="W645" i="1" s="1"/>
  <c r="O645" i="1"/>
  <c r="N645" i="1"/>
  <c r="R645" i="1"/>
  <c r="AR644" i="2"/>
  <c r="AQ644" i="2"/>
  <c r="AM644" i="2"/>
  <c r="AN644" i="2"/>
  <c r="AL644" i="2"/>
  <c r="AK644" i="2"/>
  <c r="AJ644" i="2"/>
  <c r="AH644" i="2"/>
  <c r="AI644" i="2"/>
  <c r="AF644" i="2"/>
  <c r="AG644" i="2"/>
  <c r="AE644" i="2"/>
  <c r="AD644" i="2"/>
  <c r="Z644" i="2"/>
  <c r="AC644" i="2"/>
  <c r="AB644" i="2"/>
  <c r="AA644" i="2"/>
  <c r="Y644" i="2"/>
  <c r="X644" i="2"/>
  <c r="W644" i="2"/>
  <c r="U644" i="2"/>
  <c r="T644" i="2"/>
  <c r="Q644" i="2"/>
  <c r="S644" i="2"/>
  <c r="R644" i="2"/>
  <c r="M644" i="2"/>
  <c r="P644" i="2"/>
  <c r="K644" i="2"/>
  <c r="O644" i="2"/>
  <c r="L644" i="2"/>
  <c r="N644" i="2"/>
  <c r="AO644" i="2"/>
  <c r="I644" i="2"/>
  <c r="AP644" i="2"/>
  <c r="J644" i="2"/>
  <c r="L644" i="1"/>
  <c r="P644" i="1" s="1"/>
  <c r="AA644" i="1"/>
  <c r="W644" i="1"/>
  <c r="L645" i="1" l="1"/>
  <c r="P645" i="1" s="1"/>
  <c r="AA645" i="1"/>
  <c r="I647" i="1"/>
  <c r="J646" i="1"/>
  <c r="V646" i="1"/>
  <c r="G646" i="3"/>
  <c r="Y646" i="1"/>
  <c r="Z646" i="1" s="1"/>
  <c r="G646" i="2"/>
  <c r="R646" i="1"/>
  <c r="O646" i="1"/>
  <c r="N646" i="1"/>
  <c r="S646" i="1"/>
  <c r="AR645" i="2"/>
  <c r="AQ645" i="2"/>
  <c r="AN645" i="2"/>
  <c r="AM645" i="2"/>
  <c r="AL645" i="2"/>
  <c r="AK645" i="2"/>
  <c r="AJ645" i="2"/>
  <c r="AH645" i="2"/>
  <c r="AI645" i="2"/>
  <c r="AF645" i="2"/>
  <c r="AE645" i="2"/>
  <c r="AG645" i="2"/>
  <c r="AD645" i="2"/>
  <c r="AC645" i="2"/>
  <c r="AB645" i="2"/>
  <c r="Z645" i="2"/>
  <c r="X645" i="2"/>
  <c r="AA645" i="2"/>
  <c r="Y645" i="2"/>
  <c r="W645" i="2"/>
  <c r="U645" i="2"/>
  <c r="S645" i="2"/>
  <c r="T645" i="2"/>
  <c r="R645" i="2"/>
  <c r="P645" i="2"/>
  <c r="Q645" i="2"/>
  <c r="N645" i="2"/>
  <c r="M645" i="2"/>
  <c r="O645" i="2"/>
  <c r="L645" i="2"/>
  <c r="AO645" i="2"/>
  <c r="I645" i="2"/>
  <c r="J645" i="2"/>
  <c r="K645" i="2"/>
  <c r="AP645" i="2"/>
  <c r="AR645" i="3"/>
  <c r="AN645" i="3"/>
  <c r="AQ645" i="3"/>
  <c r="AM645" i="3"/>
  <c r="AL645" i="3"/>
  <c r="AI645" i="3"/>
  <c r="AK645" i="3"/>
  <c r="AJ645" i="3"/>
  <c r="AH645" i="3"/>
  <c r="AG645" i="3"/>
  <c r="AF645" i="3"/>
  <c r="AD645" i="3"/>
  <c r="AC645" i="3"/>
  <c r="AE645" i="3"/>
  <c r="AB645" i="3"/>
  <c r="X645" i="3"/>
  <c r="AA645" i="3"/>
  <c r="Z645" i="3"/>
  <c r="Y645" i="3"/>
  <c r="W645" i="3"/>
  <c r="R645" i="3"/>
  <c r="T645" i="3"/>
  <c r="U645" i="3"/>
  <c r="Q645" i="3"/>
  <c r="S645" i="3"/>
  <c r="P645" i="3"/>
  <c r="O645" i="3"/>
  <c r="K645" i="3"/>
  <c r="N645" i="3"/>
  <c r="M645" i="3"/>
  <c r="L645" i="3"/>
  <c r="I645" i="3"/>
  <c r="J645" i="3"/>
  <c r="AO645" i="3"/>
  <c r="AP645" i="3"/>
  <c r="AR646" i="2" l="1"/>
  <c r="AQ646" i="2"/>
  <c r="AN646" i="2"/>
  <c r="AM646" i="2"/>
  <c r="AK646" i="2"/>
  <c r="AJ646" i="2"/>
  <c r="AL646" i="2"/>
  <c r="AI646" i="2"/>
  <c r="AF646" i="2"/>
  <c r="AH646" i="2"/>
  <c r="AE646" i="2"/>
  <c r="AG646" i="2"/>
  <c r="AD646" i="2"/>
  <c r="AB646" i="2"/>
  <c r="AC646" i="2"/>
  <c r="AA646" i="2"/>
  <c r="Z646" i="2"/>
  <c r="Y646" i="2"/>
  <c r="X646" i="2"/>
  <c r="S646" i="2"/>
  <c r="W646" i="2"/>
  <c r="U646" i="2"/>
  <c r="R646" i="2"/>
  <c r="T646" i="2"/>
  <c r="Q646" i="2"/>
  <c r="N646" i="2"/>
  <c r="P646" i="2"/>
  <c r="L646" i="2"/>
  <c r="I646" i="2"/>
  <c r="M646" i="2"/>
  <c r="O646" i="2"/>
  <c r="K646" i="2"/>
  <c r="AO646" i="2"/>
  <c r="J646" i="2"/>
  <c r="AP646" i="2"/>
  <c r="AR646" i="3"/>
  <c r="AN646" i="3"/>
  <c r="AQ646" i="3"/>
  <c r="AM646" i="3"/>
  <c r="AL646" i="3"/>
  <c r="AI646" i="3"/>
  <c r="AK646" i="3"/>
  <c r="AJ646" i="3"/>
  <c r="AG646" i="3"/>
  <c r="AH646" i="3"/>
  <c r="AF646" i="3"/>
  <c r="AE646" i="3"/>
  <c r="AD646" i="3"/>
  <c r="AC646" i="3"/>
  <c r="Z646" i="3"/>
  <c r="AB646" i="3"/>
  <c r="X646" i="3"/>
  <c r="AA646" i="3"/>
  <c r="Y646" i="3"/>
  <c r="W646" i="3"/>
  <c r="U646" i="3"/>
  <c r="R646" i="3"/>
  <c r="Q646" i="3"/>
  <c r="T646" i="3"/>
  <c r="S646" i="3"/>
  <c r="M646" i="3"/>
  <c r="P646" i="3"/>
  <c r="K646" i="3"/>
  <c r="N646" i="3"/>
  <c r="O646" i="3"/>
  <c r="L646" i="3"/>
  <c r="J646" i="3"/>
  <c r="I646" i="3"/>
  <c r="AO646" i="3"/>
  <c r="AP646" i="3"/>
  <c r="J647" i="1"/>
  <c r="I648" i="1"/>
  <c r="G647" i="3"/>
  <c r="V647" i="1"/>
  <c r="Y647" i="1"/>
  <c r="Z647" i="1" s="1"/>
  <c r="G647" i="2"/>
  <c r="S647" i="1"/>
  <c r="W647" i="1" s="1"/>
  <c r="O647" i="1"/>
  <c r="R647" i="1"/>
  <c r="N647" i="1"/>
  <c r="L646" i="1"/>
  <c r="P646" i="1" s="1"/>
  <c r="AA646" i="1"/>
  <c r="W646" i="1"/>
  <c r="L647" i="1" l="1"/>
  <c r="P647" i="1" s="1"/>
  <c r="AA647" i="1"/>
  <c r="AR647" i="3"/>
  <c r="AN647" i="3"/>
  <c r="AQ647" i="3"/>
  <c r="AL647" i="3"/>
  <c r="AM647" i="3"/>
  <c r="AK647" i="3"/>
  <c r="AJ647" i="3"/>
  <c r="AG647" i="3"/>
  <c r="AH647" i="3"/>
  <c r="AI647" i="3"/>
  <c r="AF647" i="3"/>
  <c r="AE647" i="3"/>
  <c r="AD647" i="3"/>
  <c r="AB647" i="3"/>
  <c r="AC647" i="3"/>
  <c r="X647" i="3"/>
  <c r="AA647" i="3"/>
  <c r="Z647" i="3"/>
  <c r="Y647" i="3"/>
  <c r="W647" i="3"/>
  <c r="U647" i="3"/>
  <c r="S647" i="3"/>
  <c r="T647" i="3"/>
  <c r="R647" i="3"/>
  <c r="P647" i="3"/>
  <c r="O647" i="3"/>
  <c r="Q647" i="3"/>
  <c r="N647" i="3"/>
  <c r="L647" i="3"/>
  <c r="K647" i="3"/>
  <c r="M647" i="3"/>
  <c r="AP647" i="3"/>
  <c r="J647" i="3"/>
  <c r="I647" i="3"/>
  <c r="AO647" i="3"/>
  <c r="J648" i="1"/>
  <c r="I649" i="1"/>
  <c r="V648" i="1"/>
  <c r="G648" i="3"/>
  <c r="Y648" i="1"/>
  <c r="Z648" i="1" s="1"/>
  <c r="G648" i="2"/>
  <c r="R648" i="1"/>
  <c r="N648" i="1"/>
  <c r="S648" i="1"/>
  <c r="W648" i="1" s="1"/>
  <c r="O648" i="1"/>
  <c r="AR647" i="2"/>
  <c r="AQ647" i="2"/>
  <c r="AN647" i="2"/>
  <c r="AM647" i="2"/>
  <c r="AK647" i="2"/>
  <c r="AJ647" i="2"/>
  <c r="AL647" i="2"/>
  <c r="AI647" i="2"/>
  <c r="AH647" i="2"/>
  <c r="AG647" i="2"/>
  <c r="AE647" i="2"/>
  <c r="AB647" i="2"/>
  <c r="AD647" i="2"/>
  <c r="AF647" i="2"/>
  <c r="AA647" i="2"/>
  <c r="AC647" i="2"/>
  <c r="Y647" i="2"/>
  <c r="X647" i="2"/>
  <c r="W647" i="2"/>
  <c r="Z647" i="2"/>
  <c r="S647" i="2"/>
  <c r="U647" i="2"/>
  <c r="R647" i="2"/>
  <c r="T647" i="2"/>
  <c r="P647" i="2"/>
  <c r="Q647" i="2"/>
  <c r="N647" i="2"/>
  <c r="L647" i="2"/>
  <c r="M647" i="2"/>
  <c r="O647" i="2"/>
  <c r="J647" i="2"/>
  <c r="K647" i="2"/>
  <c r="I647" i="2"/>
  <c r="AP647" i="2"/>
  <c r="AO647" i="2"/>
  <c r="AR648" i="2" l="1"/>
  <c r="AQ648" i="2"/>
  <c r="AN648" i="2"/>
  <c r="AM648" i="2"/>
  <c r="AL648" i="2"/>
  <c r="AK648" i="2"/>
  <c r="AJ648" i="2"/>
  <c r="AI648" i="2"/>
  <c r="AH648" i="2"/>
  <c r="AG648" i="2"/>
  <c r="AF648" i="2"/>
  <c r="AE648" i="2"/>
  <c r="AD648" i="2"/>
  <c r="AA648" i="2"/>
  <c r="AB648" i="2"/>
  <c r="AC648" i="2"/>
  <c r="Y648" i="2"/>
  <c r="Z648" i="2"/>
  <c r="X648" i="2"/>
  <c r="V648" i="2"/>
  <c r="S648" i="2"/>
  <c r="U648" i="2"/>
  <c r="P648" i="2"/>
  <c r="R648" i="2"/>
  <c r="T648" i="2"/>
  <c r="Q648" i="2"/>
  <c r="N648" i="2"/>
  <c r="J648" i="2"/>
  <c r="L648" i="2"/>
  <c r="M648" i="2"/>
  <c r="O648" i="2"/>
  <c r="K648" i="2"/>
  <c r="I648" i="2"/>
  <c r="AP648" i="2"/>
  <c r="AO648" i="2"/>
  <c r="AR648" i="3"/>
  <c r="AQ648" i="3"/>
  <c r="AN648" i="3"/>
  <c r="AM648" i="3"/>
  <c r="AL648" i="3"/>
  <c r="AJ648" i="3"/>
  <c r="AK648" i="3"/>
  <c r="AG648" i="3"/>
  <c r="AF648" i="3"/>
  <c r="AH648" i="3"/>
  <c r="AI648" i="3"/>
  <c r="AE648" i="3"/>
  <c r="AD648" i="3"/>
  <c r="AC648" i="3"/>
  <c r="AB648" i="3"/>
  <c r="AA648" i="3"/>
  <c r="Z648" i="3"/>
  <c r="Y648" i="3"/>
  <c r="V648" i="3"/>
  <c r="X648" i="3"/>
  <c r="S648" i="3"/>
  <c r="U648" i="3"/>
  <c r="R648" i="3"/>
  <c r="T648" i="3"/>
  <c r="N648" i="3"/>
  <c r="P648" i="3"/>
  <c r="O648" i="3"/>
  <c r="Q648" i="3"/>
  <c r="L648" i="3"/>
  <c r="I648" i="3"/>
  <c r="M648" i="3"/>
  <c r="AO648" i="3"/>
  <c r="AP648" i="3"/>
  <c r="J648" i="3"/>
  <c r="K648" i="3"/>
  <c r="L648" i="1"/>
  <c r="P648" i="1" s="1"/>
  <c r="AA648" i="1"/>
  <c r="J649" i="1"/>
  <c r="I650" i="1"/>
  <c r="V649" i="1"/>
  <c r="G649" i="3"/>
  <c r="Y649" i="1"/>
  <c r="Z649" i="1" s="1"/>
  <c r="G649" i="2"/>
  <c r="O649" i="1"/>
  <c r="S649" i="1"/>
  <c r="W649" i="1" s="1"/>
  <c r="N649" i="1"/>
  <c r="R649" i="1"/>
  <c r="J650" i="1" l="1"/>
  <c r="I651" i="1"/>
  <c r="V650" i="1"/>
  <c r="G650" i="3"/>
  <c r="Y650" i="1"/>
  <c r="Z650" i="1" s="1"/>
  <c r="G650" i="2"/>
  <c r="S650" i="1"/>
  <c r="W650" i="1" s="1"/>
  <c r="O650" i="1"/>
  <c r="N650" i="1"/>
  <c r="R650" i="1"/>
  <c r="AR649" i="2"/>
  <c r="AQ649" i="2"/>
  <c r="AN649" i="2"/>
  <c r="AM649" i="2"/>
  <c r="AL649" i="2"/>
  <c r="AK649" i="2"/>
  <c r="AJ649" i="2"/>
  <c r="AH649" i="2"/>
  <c r="AI649" i="2"/>
  <c r="AG649" i="2"/>
  <c r="AF649" i="2"/>
  <c r="AB649" i="2"/>
  <c r="AE649" i="2"/>
  <c r="AA649" i="2"/>
  <c r="AC649" i="2"/>
  <c r="AD649" i="2"/>
  <c r="Y649" i="2"/>
  <c r="Z649" i="2"/>
  <c r="X649" i="2"/>
  <c r="V649" i="2"/>
  <c r="U649" i="2"/>
  <c r="T649" i="2"/>
  <c r="R649" i="2"/>
  <c r="S649" i="2"/>
  <c r="Q649" i="2"/>
  <c r="P649" i="2"/>
  <c r="O649" i="2"/>
  <c r="N649" i="2"/>
  <c r="L649" i="2"/>
  <c r="M649" i="2"/>
  <c r="K649" i="2"/>
  <c r="I649" i="2"/>
  <c r="J649" i="2"/>
  <c r="AP649" i="2"/>
  <c r="AO649" i="2"/>
  <c r="AQ649" i="3"/>
  <c r="AR649" i="3"/>
  <c r="AN649" i="3"/>
  <c r="AM649" i="3"/>
  <c r="AL649" i="3"/>
  <c r="AJ649" i="3"/>
  <c r="AK649" i="3"/>
  <c r="AG649" i="3"/>
  <c r="AI649" i="3"/>
  <c r="AF649" i="3"/>
  <c r="AH649" i="3"/>
  <c r="AE649" i="3"/>
  <c r="AB649" i="3"/>
  <c r="AD649" i="3"/>
  <c r="AC649" i="3"/>
  <c r="AA649" i="3"/>
  <c r="Y649" i="3"/>
  <c r="Z649" i="3"/>
  <c r="V649" i="3"/>
  <c r="X649" i="3"/>
  <c r="S649" i="3"/>
  <c r="U649" i="3"/>
  <c r="R649" i="3"/>
  <c r="T649" i="3"/>
  <c r="P649" i="3"/>
  <c r="N649" i="3"/>
  <c r="O649" i="3"/>
  <c r="Q649" i="3"/>
  <c r="L649" i="3"/>
  <c r="M649" i="3"/>
  <c r="J649" i="3"/>
  <c r="AO649" i="3"/>
  <c r="AP649" i="3"/>
  <c r="I649" i="3"/>
  <c r="K649" i="3"/>
  <c r="L649" i="1"/>
  <c r="P649" i="1" s="1"/>
  <c r="AA649" i="1"/>
  <c r="AR650" i="2" l="1"/>
  <c r="AQ650" i="2"/>
  <c r="AL650" i="2"/>
  <c r="AN650" i="2"/>
  <c r="AM650" i="2"/>
  <c r="AK650" i="2"/>
  <c r="AJ650" i="2"/>
  <c r="AH650" i="2"/>
  <c r="AG650" i="2"/>
  <c r="AI650" i="2"/>
  <c r="AE650" i="2"/>
  <c r="AD650" i="2"/>
  <c r="AF650" i="2"/>
  <c r="AC650" i="2"/>
  <c r="AA650" i="2"/>
  <c r="AB650" i="2"/>
  <c r="Z650" i="2"/>
  <c r="X650" i="2"/>
  <c r="Y650" i="2"/>
  <c r="U650" i="2"/>
  <c r="T650" i="2"/>
  <c r="V650" i="2"/>
  <c r="P650" i="2"/>
  <c r="S650" i="2"/>
  <c r="R650" i="2"/>
  <c r="O650" i="2"/>
  <c r="Q650" i="2"/>
  <c r="N650" i="2"/>
  <c r="J650" i="2"/>
  <c r="M650" i="2"/>
  <c r="L650" i="2"/>
  <c r="K650" i="2"/>
  <c r="I650" i="2"/>
  <c r="AP650" i="2"/>
  <c r="AO650" i="2"/>
  <c r="AQ650" i="3"/>
  <c r="AR650" i="3"/>
  <c r="AM650" i="3"/>
  <c r="AN650" i="3"/>
  <c r="AK650" i="3"/>
  <c r="AL650" i="3"/>
  <c r="AJ650" i="3"/>
  <c r="AI650" i="3"/>
  <c r="AH650" i="3"/>
  <c r="AG650" i="3"/>
  <c r="AF650" i="3"/>
  <c r="AB650" i="3"/>
  <c r="AD650" i="3"/>
  <c r="AE650" i="3"/>
  <c r="AA650" i="3"/>
  <c r="AC650" i="3"/>
  <c r="Y650" i="3"/>
  <c r="Z650" i="3"/>
  <c r="X650" i="3"/>
  <c r="S650" i="3"/>
  <c r="U650" i="3"/>
  <c r="V650" i="3"/>
  <c r="T650" i="3"/>
  <c r="P650" i="3"/>
  <c r="R650" i="3"/>
  <c r="Q650" i="3"/>
  <c r="L650" i="3"/>
  <c r="N650" i="3"/>
  <c r="O650" i="3"/>
  <c r="J650" i="3"/>
  <c r="K650" i="3"/>
  <c r="M650" i="3"/>
  <c r="AO650" i="3"/>
  <c r="AP650" i="3"/>
  <c r="I650" i="3"/>
  <c r="L650" i="1"/>
  <c r="P650" i="1" s="1"/>
  <c r="AA650" i="1"/>
  <c r="I652" i="1"/>
  <c r="J651" i="1"/>
  <c r="V651" i="1"/>
  <c r="G651" i="3"/>
  <c r="Y651" i="1"/>
  <c r="Z651" i="1" s="1"/>
  <c r="G651" i="2"/>
  <c r="O651" i="1"/>
  <c r="R651" i="1"/>
  <c r="N651" i="1"/>
  <c r="S651" i="1"/>
  <c r="L651" i="1" l="1"/>
  <c r="P651" i="1" s="1"/>
  <c r="AA651" i="1"/>
  <c r="W651" i="1"/>
  <c r="AQ651" i="3"/>
  <c r="AR651" i="3"/>
  <c r="AM651" i="3"/>
  <c r="AN651" i="3"/>
  <c r="AL651" i="3"/>
  <c r="AK651" i="3"/>
  <c r="AH651" i="3"/>
  <c r="AJ651" i="3"/>
  <c r="AG651" i="3"/>
  <c r="AI651" i="3"/>
  <c r="AF651" i="3"/>
  <c r="AE651" i="3"/>
  <c r="AB651" i="3"/>
  <c r="AD651" i="3"/>
  <c r="AA651" i="3"/>
  <c r="AC651" i="3"/>
  <c r="Z651" i="3"/>
  <c r="Y651" i="3"/>
  <c r="X651" i="3"/>
  <c r="U651" i="3"/>
  <c r="V651" i="3"/>
  <c r="T651" i="3"/>
  <c r="S651" i="3"/>
  <c r="R651" i="3"/>
  <c r="Q651" i="3"/>
  <c r="P651" i="3"/>
  <c r="O651" i="3"/>
  <c r="J651" i="3"/>
  <c r="L651" i="3"/>
  <c r="N651" i="3"/>
  <c r="M651" i="3"/>
  <c r="AO651" i="3"/>
  <c r="AP651" i="3"/>
  <c r="I651" i="3"/>
  <c r="K651" i="3"/>
  <c r="J652" i="1"/>
  <c r="I653" i="1"/>
  <c r="G652" i="3"/>
  <c r="V652" i="1"/>
  <c r="G652" i="2"/>
  <c r="Y652" i="1"/>
  <c r="Z652" i="1" s="1"/>
  <c r="N652" i="1"/>
  <c r="S652" i="1"/>
  <c r="W652" i="1" s="1"/>
  <c r="O652" i="1"/>
  <c r="R652" i="1"/>
  <c r="AR651" i="2"/>
  <c r="AQ651" i="2"/>
  <c r="AL651" i="2"/>
  <c r="AN651" i="2"/>
  <c r="AM651" i="2"/>
  <c r="AJ651" i="2"/>
  <c r="AH651" i="2"/>
  <c r="AK651" i="2"/>
  <c r="AG651" i="2"/>
  <c r="AI651" i="2"/>
  <c r="AD651" i="2"/>
  <c r="AF651" i="2"/>
  <c r="AC651" i="2"/>
  <c r="AE651" i="2"/>
  <c r="AB651" i="2"/>
  <c r="AA651" i="2"/>
  <c r="Z651" i="2"/>
  <c r="U651" i="2"/>
  <c r="X651" i="2"/>
  <c r="Y651" i="2"/>
  <c r="T651" i="2"/>
  <c r="V651" i="2"/>
  <c r="R651" i="2"/>
  <c r="S651" i="2"/>
  <c r="Q651" i="2"/>
  <c r="O651" i="2"/>
  <c r="P651" i="2"/>
  <c r="M651" i="2"/>
  <c r="N651" i="2"/>
  <c r="L651" i="2"/>
  <c r="K651" i="2"/>
  <c r="I651" i="2"/>
  <c r="J651" i="2"/>
  <c r="AP651" i="2"/>
  <c r="AO651" i="2"/>
  <c r="AR652" i="2" l="1"/>
  <c r="AQ652" i="2"/>
  <c r="AL652" i="2"/>
  <c r="AN652" i="2"/>
  <c r="AM652" i="2"/>
  <c r="AI652" i="2"/>
  <c r="AK652" i="2"/>
  <c r="AJ652" i="2"/>
  <c r="AG652" i="2"/>
  <c r="AH652" i="2"/>
  <c r="AF652" i="2"/>
  <c r="AC652" i="2"/>
  <c r="AE652" i="2"/>
  <c r="AD652" i="2"/>
  <c r="AB652" i="2"/>
  <c r="Z652" i="2"/>
  <c r="AA652" i="2"/>
  <c r="X652" i="2"/>
  <c r="U652" i="2"/>
  <c r="Y652" i="2"/>
  <c r="T652" i="2"/>
  <c r="V652" i="2"/>
  <c r="Q652" i="2"/>
  <c r="R652" i="2"/>
  <c r="S652" i="2"/>
  <c r="M652" i="2"/>
  <c r="O652" i="2"/>
  <c r="P652" i="2"/>
  <c r="K652" i="2"/>
  <c r="N652" i="2"/>
  <c r="L652" i="2"/>
  <c r="J652" i="2"/>
  <c r="AP652" i="2"/>
  <c r="I652" i="2"/>
  <c r="AO652" i="2"/>
  <c r="L652" i="1"/>
  <c r="P652" i="1" s="1"/>
  <c r="AA652" i="1"/>
  <c r="J653" i="1"/>
  <c r="I654" i="1"/>
  <c r="V653" i="1"/>
  <c r="G653" i="3"/>
  <c r="Y653" i="1"/>
  <c r="Z653" i="1" s="1"/>
  <c r="G653" i="2"/>
  <c r="R653" i="1"/>
  <c r="O653" i="1"/>
  <c r="N653" i="1"/>
  <c r="S653" i="1"/>
  <c r="W653" i="1" s="1"/>
  <c r="AR652" i="3"/>
  <c r="AQ652" i="3"/>
  <c r="AL652" i="3"/>
  <c r="AN652" i="3"/>
  <c r="AK652" i="3"/>
  <c r="AM652" i="3"/>
  <c r="AH652" i="3"/>
  <c r="AJ652" i="3"/>
  <c r="AG652" i="3"/>
  <c r="AI652" i="3"/>
  <c r="AF652" i="3"/>
  <c r="AD652" i="3"/>
  <c r="AE652" i="3"/>
  <c r="AC652" i="3"/>
  <c r="AB652" i="3"/>
  <c r="AA652" i="3"/>
  <c r="Z652" i="3"/>
  <c r="Y652" i="3"/>
  <c r="X652" i="3"/>
  <c r="U652" i="3"/>
  <c r="T652" i="3"/>
  <c r="V652" i="3"/>
  <c r="S652" i="3"/>
  <c r="P652" i="3"/>
  <c r="R652" i="3"/>
  <c r="O652" i="3"/>
  <c r="Q652" i="3"/>
  <c r="M652" i="3"/>
  <c r="J652" i="3"/>
  <c r="L652" i="3"/>
  <c r="N652" i="3"/>
  <c r="K652" i="3"/>
  <c r="AO652" i="3"/>
  <c r="AP652" i="3"/>
  <c r="I652" i="3"/>
  <c r="AR653" i="2" l="1"/>
  <c r="AQ653" i="2"/>
  <c r="AN653" i="2"/>
  <c r="AM653" i="2"/>
  <c r="AL653" i="2"/>
  <c r="AK653" i="2"/>
  <c r="AJ653" i="2"/>
  <c r="AI653" i="2"/>
  <c r="AH653" i="2"/>
  <c r="AF653" i="2"/>
  <c r="AG653" i="2"/>
  <c r="AD653" i="2"/>
  <c r="AC653" i="2"/>
  <c r="AE653" i="2"/>
  <c r="AB653" i="2"/>
  <c r="X653" i="2"/>
  <c r="AA653" i="2"/>
  <c r="Z653" i="2"/>
  <c r="Y653" i="2"/>
  <c r="T653" i="2"/>
  <c r="V653" i="2"/>
  <c r="U653" i="2"/>
  <c r="Q653" i="2"/>
  <c r="S653" i="2"/>
  <c r="R653" i="2"/>
  <c r="O653" i="2"/>
  <c r="P653" i="2"/>
  <c r="M653" i="2"/>
  <c r="K653" i="2"/>
  <c r="N653" i="2"/>
  <c r="L653" i="2"/>
  <c r="I653" i="2"/>
  <c r="J653" i="2"/>
  <c r="AP653" i="2"/>
  <c r="AO653" i="2"/>
  <c r="AR653" i="3"/>
  <c r="AQ653" i="3"/>
  <c r="AM653" i="3"/>
  <c r="AL653" i="3"/>
  <c r="AN653" i="3"/>
  <c r="AK653" i="3"/>
  <c r="AI653" i="3"/>
  <c r="AH653" i="3"/>
  <c r="AJ653" i="3"/>
  <c r="AD653" i="3"/>
  <c r="AF653" i="3"/>
  <c r="AG653" i="3"/>
  <c r="AC653" i="3"/>
  <c r="AE653" i="3"/>
  <c r="AB653" i="3"/>
  <c r="AA653" i="3"/>
  <c r="Z653" i="3"/>
  <c r="U653" i="3"/>
  <c r="X653" i="3"/>
  <c r="Y653" i="3"/>
  <c r="T653" i="3"/>
  <c r="V653" i="3"/>
  <c r="S653" i="3"/>
  <c r="R653" i="3"/>
  <c r="Q653" i="3"/>
  <c r="O653" i="3"/>
  <c r="P653" i="3"/>
  <c r="M653" i="3"/>
  <c r="L653" i="3"/>
  <c r="N653" i="3"/>
  <c r="K653" i="3"/>
  <c r="I653" i="3"/>
  <c r="AO653" i="3"/>
  <c r="AP653" i="3"/>
  <c r="J653" i="3"/>
  <c r="L653" i="1"/>
  <c r="P653" i="1" s="1"/>
  <c r="AA653" i="1"/>
  <c r="I655" i="1"/>
  <c r="J654" i="1"/>
  <c r="V654" i="1"/>
  <c r="G654" i="3"/>
  <c r="Y654" i="1"/>
  <c r="Z654" i="1" s="1"/>
  <c r="G654" i="2"/>
  <c r="S654" i="1"/>
  <c r="W654" i="1" s="1"/>
  <c r="R654" i="1"/>
  <c r="O654" i="1"/>
  <c r="N654" i="1"/>
  <c r="J655" i="1" l="1"/>
  <c r="I656" i="1"/>
  <c r="V655" i="1"/>
  <c r="G655" i="3"/>
  <c r="Y655" i="1"/>
  <c r="Z655" i="1" s="1"/>
  <c r="G655" i="2"/>
  <c r="R655" i="1"/>
  <c r="O655" i="1"/>
  <c r="N655" i="1"/>
  <c r="S655" i="1"/>
  <c r="AR654" i="2"/>
  <c r="AQ654" i="2"/>
  <c r="AN654" i="2"/>
  <c r="AM654" i="2"/>
  <c r="AL654" i="2"/>
  <c r="AJ654" i="2"/>
  <c r="AK654" i="2"/>
  <c r="AI654" i="2"/>
  <c r="AH654" i="2"/>
  <c r="AF654" i="2"/>
  <c r="AG654" i="2"/>
  <c r="AE654" i="2"/>
  <c r="AD654" i="2"/>
  <c r="AB654" i="2"/>
  <c r="Z654" i="2"/>
  <c r="AC654" i="2"/>
  <c r="AA654" i="2"/>
  <c r="X654" i="2"/>
  <c r="Y654" i="2"/>
  <c r="V654" i="2"/>
  <c r="U654" i="2"/>
  <c r="S654" i="2"/>
  <c r="Q654" i="2"/>
  <c r="T654" i="2"/>
  <c r="R654" i="2"/>
  <c r="P654" i="2"/>
  <c r="M654" i="2"/>
  <c r="O654" i="2"/>
  <c r="K654" i="2"/>
  <c r="N654" i="2"/>
  <c r="L654" i="2"/>
  <c r="AO654" i="2"/>
  <c r="J654" i="2"/>
  <c r="AP654" i="2"/>
  <c r="I654" i="2"/>
  <c r="AR654" i="3"/>
  <c r="AN654" i="3"/>
  <c r="AM654" i="3"/>
  <c r="AQ654" i="3"/>
  <c r="AL654" i="3"/>
  <c r="AI654" i="3"/>
  <c r="AK654" i="3"/>
  <c r="AJ654" i="3"/>
  <c r="AH654" i="3"/>
  <c r="AF654" i="3"/>
  <c r="AG654" i="3"/>
  <c r="AC654" i="3"/>
  <c r="AE654" i="3"/>
  <c r="AD654" i="3"/>
  <c r="AB654" i="3"/>
  <c r="Z654" i="3"/>
  <c r="Y654" i="3"/>
  <c r="AA654" i="3"/>
  <c r="X654" i="3"/>
  <c r="U654" i="3"/>
  <c r="V654" i="3"/>
  <c r="R654" i="3"/>
  <c r="T654" i="3"/>
  <c r="Q654" i="3"/>
  <c r="S654" i="3"/>
  <c r="M654" i="3"/>
  <c r="O654" i="3"/>
  <c r="P654" i="3"/>
  <c r="K654" i="3"/>
  <c r="L654" i="3"/>
  <c r="N654" i="3"/>
  <c r="I654" i="3"/>
  <c r="AO654" i="3"/>
  <c r="AP654" i="3"/>
  <c r="J654" i="3"/>
  <c r="L654" i="1"/>
  <c r="P654" i="1" s="1"/>
  <c r="AA654" i="1"/>
  <c r="AR655" i="2" l="1"/>
  <c r="AQ655" i="2"/>
  <c r="AN655" i="2"/>
  <c r="AM655" i="2"/>
  <c r="AL655" i="2"/>
  <c r="AJ655" i="2"/>
  <c r="AK655" i="2"/>
  <c r="AI655" i="2"/>
  <c r="AH655" i="2"/>
  <c r="AF655" i="2"/>
  <c r="AE655" i="2"/>
  <c r="AG655" i="2"/>
  <c r="AD655" i="2"/>
  <c r="AC655" i="2"/>
  <c r="AB655" i="2"/>
  <c r="Z655" i="2"/>
  <c r="X655" i="2"/>
  <c r="AA655" i="2"/>
  <c r="V655" i="2"/>
  <c r="Y655" i="2"/>
  <c r="U655" i="2"/>
  <c r="S655" i="2"/>
  <c r="T655" i="2"/>
  <c r="R655" i="2"/>
  <c r="P655" i="2"/>
  <c r="Q655" i="2"/>
  <c r="N655" i="2"/>
  <c r="O655" i="2"/>
  <c r="M655" i="2"/>
  <c r="L655" i="2"/>
  <c r="I655" i="2"/>
  <c r="AO655" i="2"/>
  <c r="J655" i="2"/>
  <c r="K655" i="2"/>
  <c r="AP655" i="2"/>
  <c r="AR655" i="3"/>
  <c r="AN655" i="3"/>
  <c r="AM655" i="3"/>
  <c r="AQ655" i="3"/>
  <c r="AL655" i="3"/>
  <c r="AI655" i="3"/>
  <c r="AK655" i="3"/>
  <c r="AJ655" i="3"/>
  <c r="AH655" i="3"/>
  <c r="AG655" i="3"/>
  <c r="AD655" i="3"/>
  <c r="AF655" i="3"/>
  <c r="AC655" i="3"/>
  <c r="AE655" i="3"/>
  <c r="AB655" i="3"/>
  <c r="X655" i="3"/>
  <c r="Z655" i="3"/>
  <c r="Y655" i="3"/>
  <c r="AA655" i="3"/>
  <c r="V655" i="3"/>
  <c r="R655" i="3"/>
  <c r="T655" i="3"/>
  <c r="U655" i="3"/>
  <c r="Q655" i="3"/>
  <c r="S655" i="3"/>
  <c r="P655" i="3"/>
  <c r="O655" i="3"/>
  <c r="M655" i="3"/>
  <c r="K655" i="3"/>
  <c r="L655" i="3"/>
  <c r="N655" i="3"/>
  <c r="I655" i="3"/>
  <c r="AO655" i="3"/>
  <c r="AP655" i="3"/>
  <c r="J655" i="3"/>
  <c r="L655" i="1"/>
  <c r="P655" i="1" s="1"/>
  <c r="AA655" i="1"/>
  <c r="I657" i="1"/>
  <c r="J656" i="1"/>
  <c r="V656" i="1"/>
  <c r="G656" i="3"/>
  <c r="Y656" i="1"/>
  <c r="Z656" i="1" s="1"/>
  <c r="G656" i="2"/>
  <c r="S656" i="1"/>
  <c r="R656" i="1"/>
  <c r="N656" i="1"/>
  <c r="O656" i="1"/>
  <c r="W655" i="1"/>
  <c r="L656" i="1" l="1"/>
  <c r="P656" i="1" s="1"/>
  <c r="AA656" i="1"/>
  <c r="J657" i="1"/>
  <c r="I658" i="1"/>
  <c r="V657" i="1"/>
  <c r="G657" i="3"/>
  <c r="G657" i="2"/>
  <c r="Y657" i="1"/>
  <c r="Z657" i="1" s="1"/>
  <c r="R657" i="1"/>
  <c r="O657" i="1"/>
  <c r="N657" i="1"/>
  <c r="S657" i="1"/>
  <c r="W656" i="1"/>
  <c r="AR656" i="2"/>
  <c r="AQ656" i="2"/>
  <c r="AN656" i="2"/>
  <c r="AM656" i="2"/>
  <c r="AJ656" i="2"/>
  <c r="AL656" i="2"/>
  <c r="AK656" i="2"/>
  <c r="AH656" i="2"/>
  <c r="AF656" i="2"/>
  <c r="AI656" i="2"/>
  <c r="AE656" i="2"/>
  <c r="AG656" i="2"/>
  <c r="AD656" i="2"/>
  <c r="AB656" i="2"/>
  <c r="AC656" i="2"/>
  <c r="AA656" i="2"/>
  <c r="Z656" i="2"/>
  <c r="Y656" i="2"/>
  <c r="V656" i="2"/>
  <c r="X656" i="2"/>
  <c r="S656" i="2"/>
  <c r="U656" i="2"/>
  <c r="R656" i="2"/>
  <c r="T656" i="2"/>
  <c r="N656" i="2"/>
  <c r="P656" i="2"/>
  <c r="Q656" i="2"/>
  <c r="L656" i="2"/>
  <c r="O656" i="2"/>
  <c r="M656" i="2"/>
  <c r="I656" i="2"/>
  <c r="AO656" i="2"/>
  <c r="J656" i="2"/>
  <c r="K656" i="2"/>
  <c r="AP656" i="2"/>
  <c r="AN656" i="3"/>
  <c r="AR656" i="3"/>
  <c r="AM656" i="3"/>
  <c r="AQ656" i="3"/>
  <c r="AL656" i="3"/>
  <c r="AI656" i="3"/>
  <c r="AK656" i="3"/>
  <c r="AJ656" i="3"/>
  <c r="AG656" i="3"/>
  <c r="AH656" i="3"/>
  <c r="AF656" i="3"/>
  <c r="AE656" i="3"/>
  <c r="AD656" i="3"/>
  <c r="AC656" i="3"/>
  <c r="Z656" i="3"/>
  <c r="AB656" i="3"/>
  <c r="X656" i="3"/>
  <c r="Y656" i="3"/>
  <c r="AA656" i="3"/>
  <c r="V656" i="3"/>
  <c r="R656" i="3"/>
  <c r="U656" i="3"/>
  <c r="T656" i="3"/>
  <c r="Q656" i="3"/>
  <c r="S656" i="3"/>
  <c r="P656" i="3"/>
  <c r="M656" i="3"/>
  <c r="N656" i="3"/>
  <c r="K656" i="3"/>
  <c r="O656" i="3"/>
  <c r="L656" i="3"/>
  <c r="J656" i="3"/>
  <c r="I656" i="3"/>
  <c r="AO656" i="3"/>
  <c r="AP656" i="3"/>
  <c r="AR657" i="2" l="1"/>
  <c r="AQ657" i="2"/>
  <c r="AN657" i="2"/>
  <c r="AM657" i="2"/>
  <c r="AL657" i="2"/>
  <c r="AK657" i="2"/>
  <c r="AJ657" i="2"/>
  <c r="AI657" i="2"/>
  <c r="AH657" i="2"/>
  <c r="AF657" i="2"/>
  <c r="AE657" i="2"/>
  <c r="AG657" i="2"/>
  <c r="AB657" i="2"/>
  <c r="AD657" i="2"/>
  <c r="AA657" i="2"/>
  <c r="AC657" i="2"/>
  <c r="Y657" i="2"/>
  <c r="Z657" i="2"/>
  <c r="V657" i="2"/>
  <c r="X657" i="2"/>
  <c r="S657" i="2"/>
  <c r="U657" i="2"/>
  <c r="R657" i="2"/>
  <c r="T657" i="2"/>
  <c r="P657" i="2"/>
  <c r="N657" i="2"/>
  <c r="Q657" i="2"/>
  <c r="L657" i="2"/>
  <c r="O657" i="2"/>
  <c r="M657" i="2"/>
  <c r="J657" i="2"/>
  <c r="I657" i="2"/>
  <c r="K657" i="2"/>
  <c r="AO657" i="2"/>
  <c r="AP657" i="2"/>
  <c r="AR657" i="3"/>
  <c r="AN657" i="3"/>
  <c r="AQ657" i="3"/>
  <c r="AM657" i="3"/>
  <c r="AL657" i="3"/>
  <c r="AK657" i="3"/>
  <c r="AJ657" i="3"/>
  <c r="AG657" i="3"/>
  <c r="AI657" i="3"/>
  <c r="AH657" i="3"/>
  <c r="AF657" i="3"/>
  <c r="AE657" i="3"/>
  <c r="AD657" i="3"/>
  <c r="AB657" i="3"/>
  <c r="AC657" i="3"/>
  <c r="X657" i="3"/>
  <c r="Z657" i="3"/>
  <c r="Y657" i="3"/>
  <c r="AA657" i="3"/>
  <c r="V657" i="3"/>
  <c r="U657" i="3"/>
  <c r="S657" i="3"/>
  <c r="T657" i="3"/>
  <c r="R657" i="3"/>
  <c r="P657" i="3"/>
  <c r="Q657" i="3"/>
  <c r="O657" i="3"/>
  <c r="N657" i="3"/>
  <c r="M657" i="3"/>
  <c r="K657" i="3"/>
  <c r="L657" i="3"/>
  <c r="AP657" i="3"/>
  <c r="J657" i="3"/>
  <c r="I657" i="3"/>
  <c r="AO657" i="3"/>
  <c r="L657" i="1"/>
  <c r="P657" i="1" s="1"/>
  <c r="AA657" i="1"/>
  <c r="J658" i="1"/>
  <c r="I659" i="1"/>
  <c r="V658" i="1"/>
  <c r="G658" i="3"/>
  <c r="G658" i="2"/>
  <c r="Y658" i="1"/>
  <c r="Z658" i="1" s="1"/>
  <c r="N658" i="1"/>
  <c r="S658" i="1"/>
  <c r="O658" i="1"/>
  <c r="R658" i="1"/>
  <c r="W657" i="1"/>
  <c r="L658" i="1" l="1"/>
  <c r="P658" i="1" s="1"/>
  <c r="AA658" i="1"/>
  <c r="J659" i="1"/>
  <c r="I660" i="1"/>
  <c r="V659" i="1"/>
  <c r="G659" i="3"/>
  <c r="Y659" i="1"/>
  <c r="Z659" i="1" s="1"/>
  <c r="G659" i="2"/>
  <c r="O659" i="1"/>
  <c r="R659" i="1"/>
  <c r="S659" i="1"/>
  <c r="N659" i="1"/>
  <c r="W658" i="1"/>
  <c r="AR658" i="2"/>
  <c r="AQ658" i="2"/>
  <c r="AN658" i="2"/>
  <c r="AM658" i="2"/>
  <c r="AL658" i="2"/>
  <c r="AK658" i="2"/>
  <c r="AJ658" i="2"/>
  <c r="AI658" i="2"/>
  <c r="AH658" i="2"/>
  <c r="AF658" i="2"/>
  <c r="AG658" i="2"/>
  <c r="AD658" i="2"/>
  <c r="AE658" i="2"/>
  <c r="AA658" i="2"/>
  <c r="AC658" i="2"/>
  <c r="AB658" i="2"/>
  <c r="Y658" i="2"/>
  <c r="Z658" i="2"/>
  <c r="W658" i="2"/>
  <c r="U658" i="2"/>
  <c r="S658" i="2"/>
  <c r="V658" i="2"/>
  <c r="T658" i="2"/>
  <c r="P658" i="2"/>
  <c r="R658" i="2"/>
  <c r="N658" i="2"/>
  <c r="Q658" i="2"/>
  <c r="J658" i="2"/>
  <c r="L658" i="2"/>
  <c r="O658" i="2"/>
  <c r="M658" i="2"/>
  <c r="I658" i="2"/>
  <c r="K658" i="2"/>
  <c r="AO658" i="2"/>
  <c r="AP658" i="2"/>
  <c r="AQ658" i="3"/>
  <c r="AR658" i="3"/>
  <c r="AN658" i="3"/>
  <c r="AM658" i="3"/>
  <c r="AL658" i="3"/>
  <c r="AJ658" i="3"/>
  <c r="AI658" i="3"/>
  <c r="AK658" i="3"/>
  <c r="AG658" i="3"/>
  <c r="AF658" i="3"/>
  <c r="AH658" i="3"/>
  <c r="AE658" i="3"/>
  <c r="AD658" i="3"/>
  <c r="AC658" i="3"/>
  <c r="AB658" i="3"/>
  <c r="AA658" i="3"/>
  <c r="Z658" i="3"/>
  <c r="Y658" i="3"/>
  <c r="W658" i="3"/>
  <c r="V658" i="3"/>
  <c r="S658" i="3"/>
  <c r="U658" i="3"/>
  <c r="T658" i="3"/>
  <c r="R658" i="3"/>
  <c r="N658" i="3"/>
  <c r="P658" i="3"/>
  <c r="Q658" i="3"/>
  <c r="O658" i="3"/>
  <c r="L658" i="3"/>
  <c r="I658" i="3"/>
  <c r="M658" i="3"/>
  <c r="K658" i="3"/>
  <c r="AP658" i="3"/>
  <c r="J658" i="3"/>
  <c r="AO658" i="3"/>
  <c r="AR659" i="2" l="1"/>
  <c r="AQ659" i="2"/>
  <c r="AN659" i="2"/>
  <c r="AK659" i="2"/>
  <c r="AM659" i="2"/>
  <c r="AL659" i="2"/>
  <c r="AH659" i="2"/>
  <c r="AI659" i="2"/>
  <c r="AJ659" i="2"/>
  <c r="AG659" i="2"/>
  <c r="AF659" i="2"/>
  <c r="AB659" i="2"/>
  <c r="AD659" i="2"/>
  <c r="AE659" i="2"/>
  <c r="AA659" i="2"/>
  <c r="AC659" i="2"/>
  <c r="Y659" i="2"/>
  <c r="Z659" i="2"/>
  <c r="W659" i="2"/>
  <c r="U659" i="2"/>
  <c r="V659" i="2"/>
  <c r="T659" i="2"/>
  <c r="S659" i="2"/>
  <c r="R659" i="2"/>
  <c r="P659" i="2"/>
  <c r="Q659" i="2"/>
  <c r="O659" i="2"/>
  <c r="L659" i="2"/>
  <c r="M659" i="2"/>
  <c r="N659" i="2"/>
  <c r="I659" i="2"/>
  <c r="J659" i="2"/>
  <c r="K659" i="2"/>
  <c r="AO659" i="2"/>
  <c r="AP659" i="2"/>
  <c r="AQ659" i="3"/>
  <c r="AR659" i="3"/>
  <c r="AL659" i="3"/>
  <c r="AN659" i="3"/>
  <c r="AM659" i="3"/>
  <c r="AJ659" i="3"/>
  <c r="AK659" i="3"/>
  <c r="AI659" i="3"/>
  <c r="AG659" i="3"/>
  <c r="AF659" i="3"/>
  <c r="AH659" i="3"/>
  <c r="AE659" i="3"/>
  <c r="AB659" i="3"/>
  <c r="AD659" i="3"/>
  <c r="AC659" i="3"/>
  <c r="AA659" i="3"/>
  <c r="Y659" i="3"/>
  <c r="Z659" i="3"/>
  <c r="W659" i="3"/>
  <c r="V659" i="3"/>
  <c r="U659" i="3"/>
  <c r="S659" i="3"/>
  <c r="T659" i="3"/>
  <c r="R659" i="3"/>
  <c r="P659" i="3"/>
  <c r="N659" i="3"/>
  <c r="Q659" i="3"/>
  <c r="O659" i="3"/>
  <c r="L659" i="3"/>
  <c r="M659" i="3"/>
  <c r="J659" i="3"/>
  <c r="AO659" i="3"/>
  <c r="K659" i="3"/>
  <c r="AP659" i="3"/>
  <c r="I659" i="3"/>
  <c r="L659" i="1"/>
  <c r="P659" i="1" s="1"/>
  <c r="AA659" i="1"/>
  <c r="W659" i="1"/>
  <c r="J660" i="1"/>
  <c r="I661" i="1"/>
  <c r="V660" i="1"/>
  <c r="G660" i="3"/>
  <c r="Y660" i="1"/>
  <c r="Z660" i="1" s="1"/>
  <c r="G660" i="2"/>
  <c r="R660" i="1"/>
  <c r="N660" i="1"/>
  <c r="S660" i="1"/>
  <c r="W660" i="1" s="1"/>
  <c r="O660" i="1"/>
  <c r="AQ660" i="2" l="1"/>
  <c r="AR660" i="2"/>
  <c r="AL660" i="2"/>
  <c r="AN660" i="2"/>
  <c r="AM660" i="2"/>
  <c r="AK660" i="2"/>
  <c r="AH660" i="2"/>
  <c r="AI660" i="2"/>
  <c r="AJ660" i="2"/>
  <c r="AG660" i="2"/>
  <c r="AF660" i="2"/>
  <c r="AE660" i="2"/>
  <c r="AC660" i="2"/>
  <c r="AD660" i="2"/>
  <c r="AA660" i="2"/>
  <c r="AB660" i="2"/>
  <c r="Z660" i="2"/>
  <c r="W660" i="2"/>
  <c r="Y660" i="2"/>
  <c r="U660" i="2"/>
  <c r="T660" i="2"/>
  <c r="V660" i="2"/>
  <c r="S660" i="2"/>
  <c r="P660" i="2"/>
  <c r="Q660" i="2"/>
  <c r="O660" i="2"/>
  <c r="R660" i="2"/>
  <c r="J660" i="2"/>
  <c r="M660" i="2"/>
  <c r="N660" i="2"/>
  <c r="K660" i="2"/>
  <c r="L660" i="2"/>
  <c r="I660" i="2"/>
  <c r="AO660" i="2"/>
  <c r="AP660" i="2"/>
  <c r="AR660" i="3"/>
  <c r="AQ660" i="3"/>
  <c r="AN660" i="3"/>
  <c r="AM660" i="3"/>
  <c r="AL660" i="3"/>
  <c r="AJ660" i="3"/>
  <c r="AK660" i="3"/>
  <c r="AI660" i="3"/>
  <c r="AH660" i="3"/>
  <c r="AF660" i="3"/>
  <c r="AG660" i="3"/>
  <c r="AB660" i="3"/>
  <c r="AD660" i="3"/>
  <c r="AE660" i="3"/>
  <c r="AA660" i="3"/>
  <c r="AC660" i="3"/>
  <c r="Y660" i="3"/>
  <c r="Z660" i="3"/>
  <c r="W660" i="3"/>
  <c r="U660" i="3"/>
  <c r="V660" i="3"/>
  <c r="S660" i="3"/>
  <c r="P660" i="3"/>
  <c r="T660" i="3"/>
  <c r="R660" i="3"/>
  <c r="L660" i="3"/>
  <c r="N660" i="3"/>
  <c r="Q660" i="3"/>
  <c r="O660" i="3"/>
  <c r="J660" i="3"/>
  <c r="M660" i="3"/>
  <c r="K660" i="3"/>
  <c r="AO660" i="3"/>
  <c r="AP660" i="3"/>
  <c r="I660" i="3"/>
  <c r="L660" i="1"/>
  <c r="P660" i="1" s="1"/>
  <c r="AA660" i="1"/>
  <c r="I662" i="1"/>
  <c r="J661" i="1"/>
  <c r="V661" i="1"/>
  <c r="G661" i="3"/>
  <c r="Y661" i="1"/>
  <c r="Z661" i="1" s="1"/>
  <c r="G661" i="2"/>
  <c r="O661" i="1"/>
  <c r="R661" i="1"/>
  <c r="N661" i="1"/>
  <c r="S661" i="1"/>
  <c r="W661" i="1" s="1"/>
  <c r="J662" i="1" l="1"/>
  <c r="I663" i="1"/>
  <c r="G662" i="3"/>
  <c r="V662" i="1"/>
  <c r="Y662" i="1"/>
  <c r="Z662" i="1" s="1"/>
  <c r="G662" i="2"/>
  <c r="S662" i="1"/>
  <c r="W662" i="1" s="1"/>
  <c r="R662" i="1"/>
  <c r="O662" i="1"/>
  <c r="N662" i="1"/>
  <c r="AR661" i="3"/>
  <c r="AQ661" i="3"/>
  <c r="AN661" i="3"/>
  <c r="AL661" i="3"/>
  <c r="AK661" i="3"/>
  <c r="AM661" i="3"/>
  <c r="AH661" i="3"/>
  <c r="AJ661" i="3"/>
  <c r="AI661" i="3"/>
  <c r="AF661" i="3"/>
  <c r="AG661" i="3"/>
  <c r="AB661" i="3"/>
  <c r="AD661" i="3"/>
  <c r="AE661" i="3"/>
  <c r="AA661" i="3"/>
  <c r="AC661" i="3"/>
  <c r="W661" i="3"/>
  <c r="Y661" i="3"/>
  <c r="Z661" i="3"/>
  <c r="U661" i="3"/>
  <c r="V661" i="3"/>
  <c r="T661" i="3"/>
  <c r="R661" i="3"/>
  <c r="S661" i="3"/>
  <c r="P661" i="3"/>
  <c r="Q661" i="3"/>
  <c r="O661" i="3"/>
  <c r="N661" i="3"/>
  <c r="J661" i="3"/>
  <c r="L661" i="3"/>
  <c r="M661" i="3"/>
  <c r="AO661" i="3"/>
  <c r="K661" i="3"/>
  <c r="AP661" i="3"/>
  <c r="I661" i="3"/>
  <c r="AR661" i="2"/>
  <c r="AQ661" i="2"/>
  <c r="AL661" i="2"/>
  <c r="AN661" i="2"/>
  <c r="AM661" i="2"/>
  <c r="AK661" i="2"/>
  <c r="AH661" i="2"/>
  <c r="AJ661" i="2"/>
  <c r="AG661" i="2"/>
  <c r="AI661" i="2"/>
  <c r="AD661" i="2"/>
  <c r="AF661" i="2"/>
  <c r="AC661" i="2"/>
  <c r="AE661" i="2"/>
  <c r="AB661" i="2"/>
  <c r="AA661" i="2"/>
  <c r="Z661" i="2"/>
  <c r="Y661" i="2"/>
  <c r="U661" i="2"/>
  <c r="W661" i="2"/>
  <c r="T661" i="2"/>
  <c r="V661" i="2"/>
  <c r="S661" i="2"/>
  <c r="R661" i="2"/>
  <c r="Q661" i="2"/>
  <c r="O661" i="2"/>
  <c r="P661" i="2"/>
  <c r="M661" i="2"/>
  <c r="L661" i="2"/>
  <c r="N661" i="2"/>
  <c r="K661" i="2"/>
  <c r="J661" i="2"/>
  <c r="I661" i="2"/>
  <c r="AP661" i="2"/>
  <c r="AO661" i="2"/>
  <c r="L661" i="1"/>
  <c r="P661" i="1" s="1"/>
  <c r="AA661" i="1"/>
  <c r="AR662" i="3" l="1"/>
  <c r="AQ662" i="3"/>
  <c r="AN662" i="3"/>
  <c r="AL662" i="3"/>
  <c r="AM662" i="3"/>
  <c r="AK662" i="3"/>
  <c r="AH662" i="3"/>
  <c r="AJ662" i="3"/>
  <c r="AI662" i="3"/>
  <c r="AF662" i="3"/>
  <c r="AG662" i="3"/>
  <c r="AD662" i="3"/>
  <c r="AE662" i="3"/>
  <c r="AC662" i="3"/>
  <c r="AA662" i="3"/>
  <c r="AB662" i="3"/>
  <c r="Y662" i="3"/>
  <c r="Z662" i="3"/>
  <c r="W662" i="3"/>
  <c r="U662" i="3"/>
  <c r="T662" i="3"/>
  <c r="V662" i="3"/>
  <c r="R662" i="3"/>
  <c r="P662" i="3"/>
  <c r="S662" i="3"/>
  <c r="O662" i="3"/>
  <c r="Q662" i="3"/>
  <c r="N662" i="3"/>
  <c r="J662" i="3"/>
  <c r="L662" i="3"/>
  <c r="M662" i="3"/>
  <c r="AO662" i="3"/>
  <c r="K662" i="3"/>
  <c r="AP662" i="3"/>
  <c r="I662" i="3"/>
  <c r="L662" i="1"/>
  <c r="P662" i="1" s="1"/>
  <c r="AA662" i="1"/>
  <c r="I664" i="1"/>
  <c r="J663" i="1"/>
  <c r="V663" i="1"/>
  <c r="G663" i="3"/>
  <c r="Y663" i="1"/>
  <c r="Z663" i="1" s="1"/>
  <c r="G663" i="2"/>
  <c r="O663" i="1"/>
  <c r="R663" i="1"/>
  <c r="S663" i="1"/>
  <c r="W663" i="1" s="1"/>
  <c r="N663" i="1"/>
  <c r="AR662" i="2"/>
  <c r="AQ662" i="2"/>
  <c r="AL662" i="2"/>
  <c r="AN662" i="2"/>
  <c r="AM662" i="2"/>
  <c r="AI662" i="2"/>
  <c r="AK662" i="2"/>
  <c r="AJ662" i="2"/>
  <c r="AH662" i="2"/>
  <c r="AG662" i="2"/>
  <c r="AC662" i="2"/>
  <c r="AF662" i="2"/>
  <c r="AE662" i="2"/>
  <c r="AD662" i="2"/>
  <c r="AB662" i="2"/>
  <c r="Z662" i="2"/>
  <c r="AA662" i="2"/>
  <c r="Y662" i="2"/>
  <c r="U662" i="2"/>
  <c r="W662" i="2"/>
  <c r="V662" i="2"/>
  <c r="T662" i="2"/>
  <c r="Q662" i="2"/>
  <c r="S662" i="2"/>
  <c r="R662" i="2"/>
  <c r="M662" i="2"/>
  <c r="O662" i="2"/>
  <c r="P662" i="2"/>
  <c r="K662" i="2"/>
  <c r="L662" i="2"/>
  <c r="N662" i="2"/>
  <c r="AP662" i="2"/>
  <c r="J662" i="2"/>
  <c r="I662" i="2"/>
  <c r="AO662" i="2"/>
  <c r="AR663" i="2" l="1"/>
  <c r="AQ663" i="2"/>
  <c r="AM663" i="2"/>
  <c r="AL663" i="2"/>
  <c r="AN663" i="2"/>
  <c r="AK663" i="2"/>
  <c r="AJ663" i="2"/>
  <c r="AH663" i="2"/>
  <c r="AI663" i="2"/>
  <c r="AG663" i="2"/>
  <c r="AC663" i="2"/>
  <c r="AF663" i="2"/>
  <c r="AE663" i="2"/>
  <c r="AD663" i="2"/>
  <c r="AB663" i="2"/>
  <c r="AA663" i="2"/>
  <c r="Z663" i="2"/>
  <c r="Y663" i="2"/>
  <c r="V663" i="2"/>
  <c r="U663" i="2"/>
  <c r="T663" i="2"/>
  <c r="W663" i="2"/>
  <c r="Q663" i="2"/>
  <c r="S663" i="2"/>
  <c r="R663" i="2"/>
  <c r="O663" i="2"/>
  <c r="P663" i="2"/>
  <c r="N663" i="2"/>
  <c r="K663" i="2"/>
  <c r="M663" i="2"/>
  <c r="L663" i="2"/>
  <c r="I663" i="2"/>
  <c r="AP663" i="2"/>
  <c r="J663" i="2"/>
  <c r="AO663" i="2"/>
  <c r="L663" i="1"/>
  <c r="P663" i="1" s="1"/>
  <c r="AA663" i="1"/>
  <c r="AR663" i="3"/>
  <c r="AQ663" i="3"/>
  <c r="AN663" i="3"/>
  <c r="AM663" i="3"/>
  <c r="AL663" i="3"/>
  <c r="AK663" i="3"/>
  <c r="AI663" i="3"/>
  <c r="AH663" i="3"/>
  <c r="AJ663" i="3"/>
  <c r="AG663" i="3"/>
  <c r="AD663" i="3"/>
  <c r="AF663" i="3"/>
  <c r="AC663" i="3"/>
  <c r="AE663" i="3"/>
  <c r="AA663" i="3"/>
  <c r="AB663" i="3"/>
  <c r="Z663" i="3"/>
  <c r="W663" i="3"/>
  <c r="U663" i="3"/>
  <c r="Y663" i="3"/>
  <c r="T663" i="3"/>
  <c r="V663" i="3"/>
  <c r="R663" i="3"/>
  <c r="S663" i="3"/>
  <c r="Q663" i="3"/>
  <c r="O663" i="3"/>
  <c r="P663" i="3"/>
  <c r="M663" i="3"/>
  <c r="N663" i="3"/>
  <c r="L663" i="3"/>
  <c r="K663" i="3"/>
  <c r="J663" i="3"/>
  <c r="AO663" i="3"/>
  <c r="AP663" i="3"/>
  <c r="I663" i="3"/>
  <c r="J664" i="1"/>
  <c r="I665" i="1"/>
  <c r="V664" i="1"/>
  <c r="G664" i="3"/>
  <c r="Y664" i="1"/>
  <c r="Z664" i="1" s="1"/>
  <c r="G664" i="2"/>
  <c r="S664" i="1"/>
  <c r="W664" i="1" s="1"/>
  <c r="R664" i="1"/>
  <c r="N664" i="1"/>
  <c r="O664" i="1"/>
  <c r="J665" i="1" l="1"/>
  <c r="I666" i="1"/>
  <c r="G665" i="3"/>
  <c r="V665" i="1"/>
  <c r="Y665" i="1"/>
  <c r="Z665" i="1" s="1"/>
  <c r="G665" i="2"/>
  <c r="O665" i="1"/>
  <c r="N665" i="1"/>
  <c r="R665" i="1"/>
  <c r="S665" i="1"/>
  <c r="AR664" i="2"/>
  <c r="AQ664" i="2"/>
  <c r="AM664" i="2"/>
  <c r="AN664" i="2"/>
  <c r="AL664" i="2"/>
  <c r="AK664" i="2"/>
  <c r="AJ664" i="2"/>
  <c r="AH664" i="2"/>
  <c r="AI664" i="2"/>
  <c r="AG664" i="2"/>
  <c r="AF664" i="2"/>
  <c r="AE664" i="2"/>
  <c r="AD664" i="2"/>
  <c r="Z664" i="2"/>
  <c r="AC664" i="2"/>
  <c r="AB664" i="2"/>
  <c r="AA664" i="2"/>
  <c r="Y664" i="2"/>
  <c r="W664" i="2"/>
  <c r="V664" i="2"/>
  <c r="U664" i="2"/>
  <c r="T664" i="2"/>
  <c r="Q664" i="2"/>
  <c r="S664" i="2"/>
  <c r="R664" i="2"/>
  <c r="M664" i="2"/>
  <c r="P664" i="2"/>
  <c r="N664" i="2"/>
  <c r="K664" i="2"/>
  <c r="O664" i="2"/>
  <c r="L664" i="2"/>
  <c r="AO664" i="2"/>
  <c r="AP664" i="2"/>
  <c r="I664" i="2"/>
  <c r="J664" i="2"/>
  <c r="AR664" i="3"/>
  <c r="AQ664" i="3"/>
  <c r="AN664" i="3"/>
  <c r="AM664" i="3"/>
  <c r="AL664" i="3"/>
  <c r="AI664" i="3"/>
  <c r="AK664" i="3"/>
  <c r="AJ664" i="3"/>
  <c r="AH664" i="3"/>
  <c r="AG664" i="3"/>
  <c r="AF664" i="3"/>
  <c r="AC664" i="3"/>
  <c r="AD664" i="3"/>
  <c r="AE664" i="3"/>
  <c r="AB664" i="3"/>
  <c r="Z664" i="3"/>
  <c r="AA664" i="3"/>
  <c r="Y664" i="3"/>
  <c r="U664" i="3"/>
  <c r="W664" i="3"/>
  <c r="R664" i="3"/>
  <c r="T664" i="3"/>
  <c r="V664" i="3"/>
  <c r="Q664" i="3"/>
  <c r="S664" i="3"/>
  <c r="M664" i="3"/>
  <c r="O664" i="3"/>
  <c r="P664" i="3"/>
  <c r="K664" i="3"/>
  <c r="N664" i="3"/>
  <c r="L664" i="3"/>
  <c r="J664" i="3"/>
  <c r="AO664" i="3"/>
  <c r="AP664" i="3"/>
  <c r="I664" i="3"/>
  <c r="L664" i="1"/>
  <c r="P664" i="1" s="1"/>
  <c r="AA664" i="1"/>
  <c r="AR665" i="2" l="1"/>
  <c r="AQ665" i="2"/>
  <c r="AN665" i="2"/>
  <c r="AM665" i="2"/>
  <c r="AL665" i="2"/>
  <c r="AJ665" i="2"/>
  <c r="AK665" i="2"/>
  <c r="AH665" i="2"/>
  <c r="AI665" i="2"/>
  <c r="AF665" i="2"/>
  <c r="AG665" i="2"/>
  <c r="AE665" i="2"/>
  <c r="AD665" i="2"/>
  <c r="AC665" i="2"/>
  <c r="AB665" i="2"/>
  <c r="Z665" i="2"/>
  <c r="AA665" i="2"/>
  <c r="V665" i="2"/>
  <c r="Y665" i="2"/>
  <c r="U665" i="2"/>
  <c r="W665" i="2"/>
  <c r="S665" i="2"/>
  <c r="T665" i="2"/>
  <c r="R665" i="2"/>
  <c r="Q665" i="2"/>
  <c r="P665" i="2"/>
  <c r="N665" i="2"/>
  <c r="O665" i="2"/>
  <c r="M665" i="2"/>
  <c r="L665" i="2"/>
  <c r="J665" i="2"/>
  <c r="K665" i="2"/>
  <c r="AO665" i="2"/>
  <c r="I665" i="2"/>
  <c r="AP665" i="2"/>
  <c r="AR665" i="3"/>
  <c r="AN665" i="3"/>
  <c r="AQ665" i="3"/>
  <c r="AM665" i="3"/>
  <c r="AL665" i="3"/>
  <c r="AI665" i="3"/>
  <c r="AK665" i="3"/>
  <c r="AJ665" i="3"/>
  <c r="AH665" i="3"/>
  <c r="AG665" i="3"/>
  <c r="AD665" i="3"/>
  <c r="AF665" i="3"/>
  <c r="AE665" i="3"/>
  <c r="AC665" i="3"/>
  <c r="AB665" i="3"/>
  <c r="AA665" i="3"/>
  <c r="Z665" i="3"/>
  <c r="Y665" i="3"/>
  <c r="W665" i="3"/>
  <c r="R665" i="3"/>
  <c r="U665" i="3"/>
  <c r="T665" i="3"/>
  <c r="V665" i="3"/>
  <c r="S665" i="3"/>
  <c r="Q665" i="3"/>
  <c r="O665" i="3"/>
  <c r="P665" i="3"/>
  <c r="K665" i="3"/>
  <c r="N665" i="3"/>
  <c r="L665" i="3"/>
  <c r="M665" i="3"/>
  <c r="I665" i="3"/>
  <c r="J665" i="3"/>
  <c r="AO665" i="3"/>
  <c r="AP665" i="3"/>
  <c r="I667" i="1"/>
  <c r="J666" i="1"/>
  <c r="V666" i="1"/>
  <c r="G666" i="3"/>
  <c r="Y666" i="1"/>
  <c r="Z666" i="1" s="1"/>
  <c r="G666" i="2"/>
  <c r="S666" i="1"/>
  <c r="R666" i="1"/>
  <c r="O666" i="1"/>
  <c r="N666" i="1"/>
  <c r="L665" i="1"/>
  <c r="P665" i="1" s="1"/>
  <c r="AA665" i="1"/>
  <c r="W665" i="1"/>
  <c r="AN666" i="3" l="1"/>
  <c r="AR666" i="3"/>
  <c r="AM666" i="3"/>
  <c r="AQ666" i="3"/>
  <c r="AL666" i="3"/>
  <c r="AK666" i="3"/>
  <c r="AI666" i="3"/>
  <c r="AJ666" i="3"/>
  <c r="AG666" i="3"/>
  <c r="AH666" i="3"/>
  <c r="AF666" i="3"/>
  <c r="AE666" i="3"/>
  <c r="AC666" i="3"/>
  <c r="AD666" i="3"/>
  <c r="AB666" i="3"/>
  <c r="Z666" i="3"/>
  <c r="AA666" i="3"/>
  <c r="Y666" i="3"/>
  <c r="V666" i="3"/>
  <c r="W666" i="3"/>
  <c r="R666" i="3"/>
  <c r="U666" i="3"/>
  <c r="S666" i="3"/>
  <c r="Q666" i="3"/>
  <c r="T666" i="3"/>
  <c r="M666" i="3"/>
  <c r="P666" i="3"/>
  <c r="K666" i="3"/>
  <c r="N666" i="3"/>
  <c r="L666" i="3"/>
  <c r="O666" i="3"/>
  <c r="I666" i="3"/>
  <c r="J666" i="3"/>
  <c r="AO666" i="3"/>
  <c r="AP666" i="3"/>
  <c r="J667" i="1"/>
  <c r="I668" i="1"/>
  <c r="V667" i="1"/>
  <c r="G667" i="3"/>
  <c r="G667" i="2"/>
  <c r="Y667" i="1"/>
  <c r="Z667" i="1" s="1"/>
  <c r="R667" i="1"/>
  <c r="O667" i="1"/>
  <c r="S667" i="1"/>
  <c r="W667" i="1" s="1"/>
  <c r="N667" i="1"/>
  <c r="W666" i="1"/>
  <c r="L666" i="1"/>
  <c r="P666" i="1" s="1"/>
  <c r="AA666" i="1"/>
  <c r="AR666" i="2"/>
  <c r="AQ666" i="2"/>
  <c r="AN666" i="2"/>
  <c r="AM666" i="2"/>
  <c r="AJ666" i="2"/>
  <c r="AL666" i="2"/>
  <c r="AK666" i="2"/>
  <c r="AF666" i="2"/>
  <c r="AH666" i="2"/>
  <c r="AI666" i="2"/>
  <c r="AG666" i="2"/>
  <c r="AE666" i="2"/>
  <c r="AD666" i="2"/>
  <c r="AB666" i="2"/>
  <c r="AC666" i="2"/>
  <c r="AA666" i="2"/>
  <c r="Z666" i="2"/>
  <c r="Y666" i="2"/>
  <c r="V666" i="2"/>
  <c r="W666" i="2"/>
  <c r="S666" i="2"/>
  <c r="U666" i="2"/>
  <c r="R666" i="2"/>
  <c r="T666" i="2"/>
  <c r="N666" i="2"/>
  <c r="Q666" i="2"/>
  <c r="P666" i="2"/>
  <c r="L666" i="2"/>
  <c r="O666" i="2"/>
  <c r="M666" i="2"/>
  <c r="I666" i="2"/>
  <c r="J666" i="2"/>
  <c r="K666" i="2"/>
  <c r="AO666" i="2"/>
  <c r="AP666" i="2"/>
  <c r="AR667" i="2" l="1"/>
  <c r="AQ667" i="2"/>
  <c r="AN667" i="2"/>
  <c r="AM667" i="2"/>
  <c r="AJ667" i="2"/>
  <c r="AL667" i="2"/>
  <c r="AK667" i="2"/>
  <c r="AI667" i="2"/>
  <c r="AF667" i="2"/>
  <c r="AH667" i="2"/>
  <c r="AG667" i="2"/>
  <c r="AE667" i="2"/>
  <c r="AB667" i="2"/>
  <c r="AD667" i="2"/>
  <c r="AA667" i="2"/>
  <c r="AC667" i="2"/>
  <c r="Z667" i="2"/>
  <c r="Y667" i="2"/>
  <c r="V667" i="2"/>
  <c r="W667" i="2"/>
  <c r="S667" i="2"/>
  <c r="U667" i="2"/>
  <c r="R667" i="2"/>
  <c r="T667" i="2"/>
  <c r="P667" i="2"/>
  <c r="N667" i="2"/>
  <c r="Q667" i="2"/>
  <c r="M667" i="2"/>
  <c r="L667" i="2"/>
  <c r="O667" i="2"/>
  <c r="J667" i="2"/>
  <c r="I667" i="2"/>
  <c r="K667" i="2"/>
  <c r="AP667" i="2"/>
  <c r="AO667" i="2"/>
  <c r="AR667" i="3"/>
  <c r="AN667" i="3"/>
  <c r="AQ667" i="3"/>
  <c r="AM667" i="3"/>
  <c r="AL667" i="3"/>
  <c r="AK667" i="3"/>
  <c r="AJ667" i="3"/>
  <c r="AG667" i="3"/>
  <c r="AI667" i="3"/>
  <c r="AH667" i="3"/>
  <c r="AF667" i="3"/>
  <c r="AE667" i="3"/>
  <c r="AD667" i="3"/>
  <c r="AC667" i="3"/>
  <c r="AB667" i="3"/>
  <c r="Z667" i="3"/>
  <c r="AA667" i="3"/>
  <c r="Y667" i="3"/>
  <c r="V667" i="3"/>
  <c r="W667" i="3"/>
  <c r="U667" i="3"/>
  <c r="S667" i="3"/>
  <c r="R667" i="3"/>
  <c r="T667" i="3"/>
  <c r="O667" i="3"/>
  <c r="Q667" i="3"/>
  <c r="P667" i="3"/>
  <c r="N667" i="3"/>
  <c r="K667" i="3"/>
  <c r="L667" i="3"/>
  <c r="M667" i="3"/>
  <c r="AP667" i="3"/>
  <c r="I667" i="3"/>
  <c r="J667" i="3"/>
  <c r="AO667" i="3"/>
  <c r="L667" i="1"/>
  <c r="P667" i="1" s="1"/>
  <c r="AA667" i="1"/>
  <c r="J668" i="1"/>
  <c r="I669" i="1"/>
  <c r="V668" i="1"/>
  <c r="G668" i="3"/>
  <c r="Y668" i="1"/>
  <c r="Z668" i="1" s="1"/>
  <c r="G668" i="2"/>
  <c r="N668" i="1"/>
  <c r="O668" i="1"/>
  <c r="S668" i="1"/>
  <c r="W668" i="1" s="1"/>
  <c r="R668" i="1"/>
  <c r="J669" i="1" l="1"/>
  <c r="I670" i="1"/>
  <c r="V669" i="1"/>
  <c r="G669" i="3"/>
  <c r="Y669" i="1"/>
  <c r="Z669" i="1" s="1"/>
  <c r="G669" i="2"/>
  <c r="R669" i="1"/>
  <c r="O669" i="1"/>
  <c r="N669" i="1"/>
  <c r="S669" i="1"/>
  <c r="AR668" i="2"/>
  <c r="AQ668" i="2"/>
  <c r="AN668" i="2"/>
  <c r="AM668" i="2"/>
  <c r="AK668" i="2"/>
  <c r="AJ668" i="2"/>
  <c r="AL668" i="2"/>
  <c r="AI668" i="2"/>
  <c r="AH668" i="2"/>
  <c r="AF668" i="2"/>
  <c r="AG668" i="2"/>
  <c r="AE668" i="2"/>
  <c r="AD668" i="2"/>
  <c r="AB668" i="2"/>
  <c r="AA668" i="2"/>
  <c r="AC668" i="2"/>
  <c r="Z668" i="2"/>
  <c r="X668" i="2"/>
  <c r="W668" i="2"/>
  <c r="V668" i="2"/>
  <c r="S668" i="2"/>
  <c r="U668" i="2"/>
  <c r="P668" i="2"/>
  <c r="R668" i="2"/>
  <c r="T668" i="2"/>
  <c r="N668" i="2"/>
  <c r="Q668" i="2"/>
  <c r="J668" i="2"/>
  <c r="M668" i="2"/>
  <c r="L668" i="2"/>
  <c r="O668" i="2"/>
  <c r="I668" i="2"/>
  <c r="K668" i="2"/>
  <c r="AP668" i="2"/>
  <c r="AO668" i="2"/>
  <c r="AQ668" i="3"/>
  <c r="AR668" i="3"/>
  <c r="AM668" i="3"/>
  <c r="AN668" i="3"/>
  <c r="AJ668" i="3"/>
  <c r="AK668" i="3"/>
  <c r="AL668" i="3"/>
  <c r="AG668" i="3"/>
  <c r="AI668" i="3"/>
  <c r="AF668" i="3"/>
  <c r="AH668" i="3"/>
  <c r="AE668" i="3"/>
  <c r="AC668" i="3"/>
  <c r="AD668" i="3"/>
  <c r="AB668" i="3"/>
  <c r="AA668" i="3"/>
  <c r="Z668" i="3"/>
  <c r="V668" i="3"/>
  <c r="X668" i="3"/>
  <c r="W668" i="3"/>
  <c r="S668" i="3"/>
  <c r="U668" i="3"/>
  <c r="R668" i="3"/>
  <c r="T668" i="3"/>
  <c r="Q668" i="3"/>
  <c r="P668" i="3"/>
  <c r="N668" i="3"/>
  <c r="O668" i="3"/>
  <c r="M668" i="3"/>
  <c r="I668" i="3"/>
  <c r="L668" i="3"/>
  <c r="AP668" i="3"/>
  <c r="K668" i="3"/>
  <c r="J668" i="3"/>
  <c r="AO668" i="3"/>
  <c r="L668" i="1"/>
  <c r="P668" i="1" s="1"/>
  <c r="AA668" i="1"/>
  <c r="AR669" i="2" l="1"/>
  <c r="AQ669" i="2"/>
  <c r="AK669" i="2"/>
  <c r="AM669" i="2"/>
  <c r="AN669" i="2"/>
  <c r="AL669" i="2"/>
  <c r="AI669" i="2"/>
  <c r="AH669" i="2"/>
  <c r="AJ669" i="2"/>
  <c r="AG669" i="2"/>
  <c r="AF669" i="2"/>
  <c r="AB669" i="2"/>
  <c r="AE669" i="2"/>
  <c r="AD669" i="2"/>
  <c r="AC669" i="2"/>
  <c r="AA669" i="2"/>
  <c r="Z669" i="2"/>
  <c r="X669" i="2"/>
  <c r="W669" i="2"/>
  <c r="V669" i="2"/>
  <c r="U669" i="2"/>
  <c r="T669" i="2"/>
  <c r="R669" i="2"/>
  <c r="S669" i="2"/>
  <c r="P669" i="2"/>
  <c r="Q669" i="2"/>
  <c r="O669" i="2"/>
  <c r="N669" i="2"/>
  <c r="M669" i="2"/>
  <c r="L669" i="2"/>
  <c r="J669" i="2"/>
  <c r="I669" i="2"/>
  <c r="K669" i="2"/>
  <c r="AO669" i="2"/>
  <c r="AP669" i="2"/>
  <c r="L669" i="1"/>
  <c r="P669" i="1" s="1"/>
  <c r="AA669" i="1"/>
  <c r="AQ669" i="3"/>
  <c r="AR669" i="3"/>
  <c r="AN669" i="3"/>
  <c r="AM669" i="3"/>
  <c r="AL669" i="3"/>
  <c r="AJ669" i="3"/>
  <c r="AK669" i="3"/>
  <c r="AG669" i="3"/>
  <c r="AF669" i="3"/>
  <c r="AH669" i="3"/>
  <c r="AI669" i="3"/>
  <c r="AE669" i="3"/>
  <c r="AD669" i="3"/>
  <c r="AB669" i="3"/>
  <c r="AC669" i="3"/>
  <c r="AA669" i="3"/>
  <c r="Z669" i="3"/>
  <c r="V669" i="3"/>
  <c r="X669" i="3"/>
  <c r="W669" i="3"/>
  <c r="S669" i="3"/>
  <c r="U669" i="3"/>
  <c r="R669" i="3"/>
  <c r="T669" i="3"/>
  <c r="P669" i="3"/>
  <c r="Q669" i="3"/>
  <c r="N669" i="3"/>
  <c r="O669" i="3"/>
  <c r="L669" i="3"/>
  <c r="M669" i="3"/>
  <c r="J669" i="3"/>
  <c r="I669" i="3"/>
  <c r="AP669" i="3"/>
  <c r="K669" i="3"/>
  <c r="AO669" i="3"/>
  <c r="I671" i="1"/>
  <c r="J670" i="1"/>
  <c r="G670" i="3"/>
  <c r="Y670" i="1"/>
  <c r="Z670" i="1" s="1"/>
  <c r="V670" i="1"/>
  <c r="G670" i="2"/>
  <c r="S670" i="1"/>
  <c r="W670" i="1" s="1"/>
  <c r="R670" i="1"/>
  <c r="N670" i="1"/>
  <c r="O670" i="1"/>
  <c r="W669" i="1"/>
  <c r="I672" i="1" l="1"/>
  <c r="J671" i="1"/>
  <c r="V671" i="1"/>
  <c r="G671" i="3"/>
  <c r="Y671" i="1"/>
  <c r="Z671" i="1" s="1"/>
  <c r="G671" i="2"/>
  <c r="O671" i="1"/>
  <c r="R671" i="1"/>
  <c r="N671" i="1"/>
  <c r="S671" i="1"/>
  <c r="AQ670" i="3"/>
  <c r="AR670" i="3"/>
  <c r="AN670" i="3"/>
  <c r="AM670" i="3"/>
  <c r="AJ670" i="3"/>
  <c r="AK670" i="3"/>
  <c r="AL670" i="3"/>
  <c r="AH670" i="3"/>
  <c r="AI670" i="3"/>
  <c r="AG670" i="3"/>
  <c r="AF670" i="3"/>
  <c r="AE670" i="3"/>
  <c r="AD670" i="3"/>
  <c r="AB670" i="3"/>
  <c r="AC670" i="3"/>
  <c r="AA670" i="3"/>
  <c r="Z670" i="3"/>
  <c r="W670" i="3"/>
  <c r="X670" i="3"/>
  <c r="S670" i="3"/>
  <c r="V670" i="3"/>
  <c r="U670" i="3"/>
  <c r="T670" i="3"/>
  <c r="P670" i="3"/>
  <c r="R670" i="3"/>
  <c r="L670" i="3"/>
  <c r="Q670" i="3"/>
  <c r="N670" i="3"/>
  <c r="O670" i="3"/>
  <c r="J670" i="3"/>
  <c r="M670" i="3"/>
  <c r="K670" i="3"/>
  <c r="AO670" i="3"/>
  <c r="I670" i="3"/>
  <c r="AP670" i="3"/>
  <c r="AR670" i="2"/>
  <c r="AQ670" i="2"/>
  <c r="AL670" i="2"/>
  <c r="AM670" i="2"/>
  <c r="AN670" i="2"/>
  <c r="AK670" i="2"/>
  <c r="AI670" i="2"/>
  <c r="AH670" i="2"/>
  <c r="AG670" i="2"/>
  <c r="AJ670" i="2"/>
  <c r="AF670" i="2"/>
  <c r="AE670" i="2"/>
  <c r="AD670" i="2"/>
  <c r="AC670" i="2"/>
  <c r="AB670" i="2"/>
  <c r="AA670" i="2"/>
  <c r="Z670" i="2"/>
  <c r="X670" i="2"/>
  <c r="W670" i="2"/>
  <c r="U670" i="2"/>
  <c r="T670" i="2"/>
  <c r="V670" i="2"/>
  <c r="P670" i="2"/>
  <c r="S670" i="2"/>
  <c r="O670" i="2"/>
  <c r="R670" i="2"/>
  <c r="Q670" i="2"/>
  <c r="J670" i="2"/>
  <c r="N670" i="2"/>
  <c r="M670" i="2"/>
  <c r="L670" i="2"/>
  <c r="I670" i="2"/>
  <c r="K670" i="2"/>
  <c r="AO670" i="2"/>
  <c r="AP670" i="2"/>
  <c r="L670" i="1"/>
  <c r="P670" i="1" s="1"/>
  <c r="AA670" i="1"/>
  <c r="L671" i="1" l="1"/>
  <c r="P671" i="1" s="1"/>
  <c r="AA671" i="1"/>
  <c r="AQ671" i="3"/>
  <c r="AR671" i="3"/>
  <c r="AN671" i="3"/>
  <c r="AL671" i="3"/>
  <c r="AK671" i="3"/>
  <c r="AM671" i="3"/>
  <c r="AH671" i="3"/>
  <c r="AJ671" i="3"/>
  <c r="AI671" i="3"/>
  <c r="AG671" i="3"/>
  <c r="AF671" i="3"/>
  <c r="AE671" i="3"/>
  <c r="AD671" i="3"/>
  <c r="AB671" i="3"/>
  <c r="AC671" i="3"/>
  <c r="AA671" i="3"/>
  <c r="W671" i="3"/>
  <c r="Z671" i="3"/>
  <c r="X671" i="3"/>
  <c r="V671" i="3"/>
  <c r="U671" i="3"/>
  <c r="T671" i="3"/>
  <c r="S671" i="3"/>
  <c r="R671" i="3"/>
  <c r="P671" i="3"/>
  <c r="Q671" i="3"/>
  <c r="O671" i="3"/>
  <c r="L671" i="3"/>
  <c r="J671" i="3"/>
  <c r="M671" i="3"/>
  <c r="N671" i="3"/>
  <c r="AO671" i="3"/>
  <c r="I671" i="3"/>
  <c r="AP671" i="3"/>
  <c r="K671" i="3"/>
  <c r="J672" i="1"/>
  <c r="I673" i="1"/>
  <c r="G672" i="3"/>
  <c r="V672" i="1"/>
  <c r="G672" i="2"/>
  <c r="Y672" i="1"/>
  <c r="Z672" i="1" s="1"/>
  <c r="S672" i="1"/>
  <c r="W672" i="1" s="1"/>
  <c r="R672" i="1"/>
  <c r="O672" i="1"/>
  <c r="N672" i="1"/>
  <c r="AR671" i="2"/>
  <c r="AQ671" i="2"/>
  <c r="AN671" i="2"/>
  <c r="AM671" i="2"/>
  <c r="AL671" i="2"/>
  <c r="AK671" i="2"/>
  <c r="AI671" i="2"/>
  <c r="AH671" i="2"/>
  <c r="AJ671" i="2"/>
  <c r="AG671" i="2"/>
  <c r="AD671" i="2"/>
  <c r="AC671" i="2"/>
  <c r="AF671" i="2"/>
  <c r="AE671" i="2"/>
  <c r="AB671" i="2"/>
  <c r="AA671" i="2"/>
  <c r="U671" i="2"/>
  <c r="Z671" i="2"/>
  <c r="X671" i="2"/>
  <c r="W671" i="2"/>
  <c r="T671" i="2"/>
  <c r="V671" i="2"/>
  <c r="R671" i="2"/>
  <c r="S671" i="2"/>
  <c r="Q671" i="2"/>
  <c r="P671" i="2"/>
  <c r="O671" i="2"/>
  <c r="M671" i="2"/>
  <c r="N671" i="2"/>
  <c r="L671" i="2"/>
  <c r="K671" i="2"/>
  <c r="J671" i="2"/>
  <c r="I671" i="2"/>
  <c r="AP671" i="2"/>
  <c r="AO671" i="2"/>
  <c r="W671" i="1"/>
  <c r="AR672" i="2" l="1"/>
  <c r="AQ672" i="2"/>
  <c r="AN672" i="2"/>
  <c r="AL672" i="2"/>
  <c r="AM672" i="2"/>
  <c r="AI672" i="2"/>
  <c r="AK672" i="2"/>
  <c r="AJ672" i="2"/>
  <c r="AG672" i="2"/>
  <c r="AH672" i="2"/>
  <c r="AF672" i="2"/>
  <c r="AC672" i="2"/>
  <c r="AE672" i="2"/>
  <c r="AD672" i="2"/>
  <c r="AB672" i="2"/>
  <c r="Z672" i="2"/>
  <c r="AA672" i="2"/>
  <c r="X672" i="2"/>
  <c r="U672" i="2"/>
  <c r="W672" i="2"/>
  <c r="T672" i="2"/>
  <c r="V672" i="2"/>
  <c r="S672" i="2"/>
  <c r="Q672" i="2"/>
  <c r="R672" i="2"/>
  <c r="M672" i="2"/>
  <c r="P672" i="2"/>
  <c r="O672" i="2"/>
  <c r="K672" i="2"/>
  <c r="N672" i="2"/>
  <c r="L672" i="2"/>
  <c r="AP672" i="2"/>
  <c r="J672" i="2"/>
  <c r="I672" i="2"/>
  <c r="AO672" i="2"/>
  <c r="L672" i="1"/>
  <c r="P672" i="1" s="1"/>
  <c r="AA672" i="1"/>
  <c r="AR672" i="3"/>
  <c r="AQ672" i="3"/>
  <c r="AL672" i="3"/>
  <c r="AN672" i="3"/>
  <c r="AK672" i="3"/>
  <c r="AM672" i="3"/>
  <c r="AI672" i="3"/>
  <c r="AH672" i="3"/>
  <c r="AJ672" i="3"/>
  <c r="AG672" i="3"/>
  <c r="AF672" i="3"/>
  <c r="AD672" i="3"/>
  <c r="AE672" i="3"/>
  <c r="AC672" i="3"/>
  <c r="AB672" i="3"/>
  <c r="AA672" i="3"/>
  <c r="Z672" i="3"/>
  <c r="W672" i="3"/>
  <c r="X672" i="3"/>
  <c r="U672" i="3"/>
  <c r="V672" i="3"/>
  <c r="T672" i="3"/>
  <c r="P672" i="3"/>
  <c r="S672" i="3"/>
  <c r="R672" i="3"/>
  <c r="O672" i="3"/>
  <c r="Q672" i="3"/>
  <c r="L672" i="3"/>
  <c r="J672" i="3"/>
  <c r="M672" i="3"/>
  <c r="N672" i="3"/>
  <c r="AO672" i="3"/>
  <c r="I672" i="3"/>
  <c r="AP672" i="3"/>
  <c r="K672" i="3"/>
  <c r="J673" i="1"/>
  <c r="I674" i="1"/>
  <c r="V673" i="1"/>
  <c r="G673" i="3"/>
  <c r="Y673" i="1"/>
  <c r="Z673" i="1" s="1"/>
  <c r="G673" i="2"/>
  <c r="R673" i="1"/>
  <c r="O673" i="1"/>
  <c r="N673" i="1"/>
  <c r="S673" i="1"/>
  <c r="W673" i="1" s="1"/>
  <c r="L673" i="1" l="1"/>
  <c r="P673" i="1" s="1"/>
  <c r="AA673" i="1"/>
  <c r="J674" i="1"/>
  <c r="V674" i="1"/>
  <c r="I675" i="1"/>
  <c r="G674" i="3"/>
  <c r="Y674" i="1"/>
  <c r="Z674" i="1" s="1"/>
  <c r="G674" i="2"/>
  <c r="S674" i="1"/>
  <c r="R674" i="1"/>
  <c r="N674" i="1"/>
  <c r="O674" i="1"/>
  <c r="AQ673" i="2"/>
  <c r="AR673" i="2"/>
  <c r="AN673" i="2"/>
  <c r="AM673" i="2"/>
  <c r="AL673" i="2"/>
  <c r="AK673" i="2"/>
  <c r="AJ673" i="2"/>
  <c r="AI673" i="2"/>
  <c r="AH673" i="2"/>
  <c r="AG673" i="2"/>
  <c r="AF673" i="2"/>
  <c r="AC673" i="2"/>
  <c r="AD673" i="2"/>
  <c r="AE673" i="2"/>
  <c r="AB673" i="2"/>
  <c r="X673" i="2"/>
  <c r="AA673" i="2"/>
  <c r="Z673" i="2"/>
  <c r="W673" i="2"/>
  <c r="T673" i="2"/>
  <c r="V673" i="2"/>
  <c r="U673" i="2"/>
  <c r="S673" i="2"/>
  <c r="Q673" i="2"/>
  <c r="P673" i="2"/>
  <c r="O673" i="2"/>
  <c r="R673" i="2"/>
  <c r="K673" i="2"/>
  <c r="M673" i="2"/>
  <c r="N673" i="2"/>
  <c r="L673" i="2"/>
  <c r="I673" i="2"/>
  <c r="AP673" i="2"/>
  <c r="J673" i="2"/>
  <c r="AO673" i="2"/>
  <c r="AR673" i="3"/>
  <c r="AQ673" i="3"/>
  <c r="AM673" i="3"/>
  <c r="AL673" i="3"/>
  <c r="AN673" i="3"/>
  <c r="AK673" i="3"/>
  <c r="AI673" i="3"/>
  <c r="AH673" i="3"/>
  <c r="AJ673" i="3"/>
  <c r="AD673" i="3"/>
  <c r="AG673" i="3"/>
  <c r="AF673" i="3"/>
  <c r="AC673" i="3"/>
  <c r="AE673" i="3"/>
  <c r="AB673" i="3"/>
  <c r="AA673" i="3"/>
  <c r="W673" i="3"/>
  <c r="Z673" i="3"/>
  <c r="U673" i="3"/>
  <c r="X673" i="3"/>
  <c r="V673" i="3"/>
  <c r="T673" i="3"/>
  <c r="S673" i="3"/>
  <c r="R673" i="3"/>
  <c r="Q673" i="3"/>
  <c r="O673" i="3"/>
  <c r="P673" i="3"/>
  <c r="M673" i="3"/>
  <c r="L673" i="3"/>
  <c r="N673" i="3"/>
  <c r="K673" i="3"/>
  <c r="AO673" i="3"/>
  <c r="I673" i="3"/>
  <c r="AP673" i="3"/>
  <c r="J673" i="3"/>
  <c r="W674" i="1" l="1"/>
  <c r="AQ674" i="2"/>
  <c r="AR674" i="2"/>
  <c r="AM674" i="2"/>
  <c r="AN674" i="2"/>
  <c r="AL674" i="2"/>
  <c r="AK674" i="2"/>
  <c r="AJ674" i="2"/>
  <c r="AH674" i="2"/>
  <c r="AI674" i="2"/>
  <c r="AG674" i="2"/>
  <c r="AE674" i="2"/>
  <c r="AF674" i="2"/>
  <c r="AD674" i="2"/>
  <c r="AC674" i="2"/>
  <c r="Z674" i="2"/>
  <c r="AB674" i="2"/>
  <c r="AA674" i="2"/>
  <c r="X674" i="2"/>
  <c r="W674" i="2"/>
  <c r="V674" i="2"/>
  <c r="U674" i="2"/>
  <c r="S674" i="2"/>
  <c r="Q674" i="2"/>
  <c r="T674" i="2"/>
  <c r="R674" i="2"/>
  <c r="M674" i="2"/>
  <c r="P674" i="2"/>
  <c r="O674" i="2"/>
  <c r="K674" i="2"/>
  <c r="N674" i="2"/>
  <c r="L674" i="2"/>
  <c r="AO674" i="2"/>
  <c r="AP674" i="2"/>
  <c r="J674" i="2"/>
  <c r="I674" i="2"/>
  <c r="AR674" i="3"/>
  <c r="AN674" i="3"/>
  <c r="AM674" i="3"/>
  <c r="AQ674" i="3"/>
  <c r="AL674" i="3"/>
  <c r="AI674" i="3"/>
  <c r="AJ674" i="3"/>
  <c r="AK674" i="3"/>
  <c r="AH674" i="3"/>
  <c r="AG674" i="3"/>
  <c r="AF674" i="3"/>
  <c r="AC674" i="3"/>
  <c r="AD674" i="3"/>
  <c r="AE674" i="3"/>
  <c r="AB674" i="3"/>
  <c r="Z674" i="3"/>
  <c r="AA674" i="3"/>
  <c r="X674" i="3"/>
  <c r="U674" i="3"/>
  <c r="W674" i="3"/>
  <c r="R674" i="3"/>
  <c r="V674" i="3"/>
  <c r="T674" i="3"/>
  <c r="Q674" i="3"/>
  <c r="S674" i="3"/>
  <c r="M674" i="3"/>
  <c r="O674" i="3"/>
  <c r="P674" i="3"/>
  <c r="N674" i="3"/>
  <c r="K674" i="3"/>
  <c r="L674" i="3"/>
  <c r="J674" i="3"/>
  <c r="AO674" i="3"/>
  <c r="I674" i="3"/>
  <c r="AP674" i="3"/>
  <c r="J675" i="1"/>
  <c r="I676" i="1"/>
  <c r="V675" i="1"/>
  <c r="G675" i="3"/>
  <c r="Y675" i="1"/>
  <c r="Z675" i="1" s="1"/>
  <c r="G675" i="2"/>
  <c r="O675" i="1"/>
  <c r="N675" i="1"/>
  <c r="R675" i="1"/>
  <c r="S675" i="1"/>
  <c r="L674" i="1"/>
  <c r="P674" i="1" s="1"/>
  <c r="AA674" i="1"/>
  <c r="AR675" i="3" l="1"/>
  <c r="AN675" i="3"/>
  <c r="AQ675" i="3"/>
  <c r="AM675" i="3"/>
  <c r="AI675" i="3"/>
  <c r="AL675" i="3"/>
  <c r="AK675" i="3"/>
  <c r="AJ675" i="3"/>
  <c r="AH675" i="3"/>
  <c r="AF675" i="3"/>
  <c r="AD675" i="3"/>
  <c r="AG675" i="3"/>
  <c r="AC675" i="3"/>
  <c r="AE675" i="3"/>
  <c r="AB675" i="3"/>
  <c r="X675" i="3"/>
  <c r="AA675" i="3"/>
  <c r="Z675" i="3"/>
  <c r="W675" i="3"/>
  <c r="U675" i="3"/>
  <c r="R675" i="3"/>
  <c r="V675" i="3"/>
  <c r="T675" i="3"/>
  <c r="Q675" i="3"/>
  <c r="S675" i="3"/>
  <c r="O675" i="3"/>
  <c r="P675" i="3"/>
  <c r="N675" i="3"/>
  <c r="K675" i="3"/>
  <c r="M675" i="3"/>
  <c r="L675" i="3"/>
  <c r="I675" i="3"/>
  <c r="J675" i="3"/>
  <c r="AO675" i="3"/>
  <c r="AP675" i="3"/>
  <c r="L675" i="1"/>
  <c r="P675" i="1" s="1"/>
  <c r="AA675" i="1"/>
  <c r="I677" i="1"/>
  <c r="J676" i="1"/>
  <c r="V676" i="1"/>
  <c r="G676" i="3"/>
  <c r="Y676" i="1"/>
  <c r="Z676" i="1" s="1"/>
  <c r="G676" i="2"/>
  <c r="S676" i="1"/>
  <c r="W676" i="1" s="1"/>
  <c r="R676" i="1"/>
  <c r="O676" i="1"/>
  <c r="N676" i="1"/>
  <c r="W675" i="1"/>
  <c r="AR675" i="2"/>
  <c r="AQ675" i="2"/>
  <c r="AN675" i="2"/>
  <c r="AM675" i="2"/>
  <c r="AK675" i="2"/>
  <c r="AL675" i="2"/>
  <c r="AJ675" i="2"/>
  <c r="AH675" i="2"/>
  <c r="AI675" i="2"/>
  <c r="AF675" i="2"/>
  <c r="AE675" i="2"/>
  <c r="AG675" i="2"/>
  <c r="AD675" i="2"/>
  <c r="AC675" i="2"/>
  <c r="AB675" i="2"/>
  <c r="X675" i="2"/>
  <c r="AA675" i="2"/>
  <c r="Z675" i="2"/>
  <c r="V675" i="2"/>
  <c r="U675" i="2"/>
  <c r="W675" i="2"/>
  <c r="S675" i="2"/>
  <c r="T675" i="2"/>
  <c r="R675" i="2"/>
  <c r="P675" i="2"/>
  <c r="Q675" i="2"/>
  <c r="N675" i="2"/>
  <c r="O675" i="2"/>
  <c r="M675" i="2"/>
  <c r="L675" i="2"/>
  <c r="AO675" i="2"/>
  <c r="K675" i="2"/>
  <c r="J675" i="2"/>
  <c r="I675" i="2"/>
  <c r="AP675" i="2"/>
  <c r="J677" i="1" l="1"/>
  <c r="I678" i="1"/>
  <c r="G677" i="3"/>
  <c r="V677" i="1"/>
  <c r="Y677" i="1"/>
  <c r="Z677" i="1" s="1"/>
  <c r="G677" i="2"/>
  <c r="O677" i="1"/>
  <c r="R677" i="1"/>
  <c r="N677" i="1"/>
  <c r="S677" i="1"/>
  <c r="AR676" i="2"/>
  <c r="AQ676" i="2"/>
  <c r="AN676" i="2"/>
  <c r="AM676" i="2"/>
  <c r="AJ676" i="2"/>
  <c r="AL676" i="2"/>
  <c r="AK676" i="2"/>
  <c r="AF676" i="2"/>
  <c r="AH676" i="2"/>
  <c r="AI676" i="2"/>
  <c r="AE676" i="2"/>
  <c r="AG676" i="2"/>
  <c r="AD676" i="2"/>
  <c r="AB676" i="2"/>
  <c r="AC676" i="2"/>
  <c r="AA676" i="2"/>
  <c r="Z676" i="2"/>
  <c r="V676" i="2"/>
  <c r="X676" i="2"/>
  <c r="S676" i="2"/>
  <c r="U676" i="2"/>
  <c r="W676" i="2"/>
  <c r="R676" i="2"/>
  <c r="T676" i="2"/>
  <c r="N676" i="2"/>
  <c r="P676" i="2"/>
  <c r="Q676" i="2"/>
  <c r="L676" i="2"/>
  <c r="O676" i="2"/>
  <c r="M676" i="2"/>
  <c r="AO676" i="2"/>
  <c r="K676" i="2"/>
  <c r="J676" i="2"/>
  <c r="I676" i="2"/>
  <c r="AP676" i="2"/>
  <c r="AQ676" i="3"/>
  <c r="AN676" i="3"/>
  <c r="AR676" i="3"/>
  <c r="AM676" i="3"/>
  <c r="AL676" i="3"/>
  <c r="AI676" i="3"/>
  <c r="AK676" i="3"/>
  <c r="AJ676" i="3"/>
  <c r="AG676" i="3"/>
  <c r="AH676" i="3"/>
  <c r="AF676" i="3"/>
  <c r="AE676" i="3"/>
  <c r="AC676" i="3"/>
  <c r="AD676" i="3"/>
  <c r="Z676" i="3"/>
  <c r="AB676" i="3"/>
  <c r="X676" i="3"/>
  <c r="AA676" i="3"/>
  <c r="W676" i="3"/>
  <c r="V676" i="3"/>
  <c r="U676" i="3"/>
  <c r="R676" i="3"/>
  <c r="T676" i="3"/>
  <c r="Q676" i="3"/>
  <c r="S676" i="3"/>
  <c r="M676" i="3"/>
  <c r="P676" i="3"/>
  <c r="O676" i="3"/>
  <c r="N676" i="3"/>
  <c r="K676" i="3"/>
  <c r="L676" i="3"/>
  <c r="J676" i="3"/>
  <c r="AO676" i="3"/>
  <c r="I676" i="3"/>
  <c r="AP676" i="3"/>
  <c r="L676" i="1"/>
  <c r="P676" i="1" s="1"/>
  <c r="AA676" i="1"/>
  <c r="AR677" i="2" l="1"/>
  <c r="AQ677" i="2"/>
  <c r="AN677" i="2"/>
  <c r="AM677" i="2"/>
  <c r="AL677" i="2"/>
  <c r="AJ677" i="2"/>
  <c r="AK677" i="2"/>
  <c r="AH677" i="2"/>
  <c r="AI677" i="2"/>
  <c r="AE677" i="2"/>
  <c r="AG677" i="2"/>
  <c r="AB677" i="2"/>
  <c r="AD677" i="2"/>
  <c r="AF677" i="2"/>
  <c r="AA677" i="2"/>
  <c r="AC677" i="2"/>
  <c r="Z677" i="2"/>
  <c r="V677" i="2"/>
  <c r="X677" i="2"/>
  <c r="W677" i="2"/>
  <c r="S677" i="2"/>
  <c r="U677" i="2"/>
  <c r="R677" i="2"/>
  <c r="T677" i="2"/>
  <c r="P677" i="2"/>
  <c r="N677" i="2"/>
  <c r="Q677" i="2"/>
  <c r="L677" i="2"/>
  <c r="O677" i="2"/>
  <c r="M677" i="2"/>
  <c r="J677" i="2"/>
  <c r="I677" i="2"/>
  <c r="K677" i="2"/>
  <c r="AO677" i="2"/>
  <c r="AP677" i="2"/>
  <c r="L677" i="1"/>
  <c r="P677" i="1" s="1"/>
  <c r="AA677" i="1"/>
  <c r="AR677" i="3"/>
  <c r="AQ677" i="3"/>
  <c r="AN677" i="3"/>
  <c r="AL677" i="3"/>
  <c r="AM677" i="3"/>
  <c r="AK677" i="3"/>
  <c r="AJ677" i="3"/>
  <c r="AG677" i="3"/>
  <c r="AI677" i="3"/>
  <c r="AH677" i="3"/>
  <c r="AF677" i="3"/>
  <c r="AE677" i="3"/>
  <c r="AD677" i="3"/>
  <c r="AC677" i="3"/>
  <c r="AB677" i="3"/>
  <c r="Z677" i="3"/>
  <c r="X677" i="3"/>
  <c r="AA677" i="3"/>
  <c r="V677" i="3"/>
  <c r="W677" i="3"/>
  <c r="U677" i="3"/>
  <c r="S677" i="3"/>
  <c r="R677" i="3"/>
  <c r="T677" i="3"/>
  <c r="Q677" i="3"/>
  <c r="O677" i="3"/>
  <c r="P677" i="3"/>
  <c r="N677" i="3"/>
  <c r="K677" i="3"/>
  <c r="M677" i="3"/>
  <c r="L677" i="3"/>
  <c r="AP677" i="3"/>
  <c r="J677" i="3"/>
  <c r="AO677" i="3"/>
  <c r="I677" i="3"/>
  <c r="J678" i="1"/>
  <c r="I679" i="1"/>
  <c r="V678" i="1"/>
  <c r="G678" i="3"/>
  <c r="Y678" i="1"/>
  <c r="Z678" i="1" s="1"/>
  <c r="G678" i="2"/>
  <c r="N678" i="1"/>
  <c r="S678" i="1"/>
  <c r="W678" i="1" s="1"/>
  <c r="R678" i="1"/>
  <c r="O678" i="1"/>
  <c r="W677" i="1"/>
  <c r="L678" i="1" l="1"/>
  <c r="P678" i="1" s="1"/>
  <c r="AA678" i="1"/>
  <c r="I680" i="1"/>
  <c r="J679" i="1"/>
  <c r="V679" i="1"/>
  <c r="G679" i="3"/>
  <c r="Y679" i="1"/>
  <c r="Z679" i="1" s="1"/>
  <c r="G679" i="2"/>
  <c r="R679" i="1"/>
  <c r="O679" i="1"/>
  <c r="N679" i="1"/>
  <c r="S679" i="1"/>
  <c r="AR678" i="2"/>
  <c r="AQ678" i="2"/>
  <c r="AN678" i="2"/>
  <c r="AM678" i="2"/>
  <c r="AL678" i="2"/>
  <c r="AJ678" i="2"/>
  <c r="AK678" i="2"/>
  <c r="AH678" i="2"/>
  <c r="AI678" i="2"/>
  <c r="AG678" i="2"/>
  <c r="AF678" i="2"/>
  <c r="AE678" i="2"/>
  <c r="AD678" i="2"/>
  <c r="AA678" i="2"/>
  <c r="AC678" i="2"/>
  <c r="AB678" i="2"/>
  <c r="Y678" i="2"/>
  <c r="X678" i="2"/>
  <c r="W678" i="2"/>
  <c r="S678" i="2"/>
  <c r="U678" i="2"/>
  <c r="V678" i="2"/>
  <c r="T678" i="2"/>
  <c r="P678" i="2"/>
  <c r="R678" i="2"/>
  <c r="Q678" i="2"/>
  <c r="N678" i="2"/>
  <c r="J678" i="2"/>
  <c r="L678" i="2"/>
  <c r="O678" i="2"/>
  <c r="M678" i="2"/>
  <c r="K678" i="2"/>
  <c r="I678" i="2"/>
  <c r="AO678" i="2"/>
  <c r="AP678" i="2"/>
  <c r="AQ678" i="3"/>
  <c r="AR678" i="3"/>
  <c r="AN678" i="3"/>
  <c r="AL678" i="3"/>
  <c r="AM678" i="3"/>
  <c r="AJ678" i="3"/>
  <c r="AK678" i="3"/>
  <c r="AG678" i="3"/>
  <c r="AI678" i="3"/>
  <c r="AH678" i="3"/>
  <c r="AF678" i="3"/>
  <c r="AE678" i="3"/>
  <c r="AC678" i="3"/>
  <c r="AD678" i="3"/>
  <c r="AB678" i="3"/>
  <c r="AA678" i="3"/>
  <c r="Y678" i="3"/>
  <c r="X678" i="3"/>
  <c r="V678" i="3"/>
  <c r="S678" i="3"/>
  <c r="W678" i="3"/>
  <c r="U678" i="3"/>
  <c r="R678" i="3"/>
  <c r="T678" i="3"/>
  <c r="N678" i="3"/>
  <c r="Q678" i="3"/>
  <c r="O678" i="3"/>
  <c r="P678" i="3"/>
  <c r="I678" i="3"/>
  <c r="M678" i="3"/>
  <c r="L678" i="3"/>
  <c r="AP678" i="3"/>
  <c r="J678" i="3"/>
  <c r="AO678" i="3"/>
  <c r="K678" i="3"/>
  <c r="AQ679" i="3" l="1"/>
  <c r="AR679" i="3"/>
  <c r="AN679" i="3"/>
  <c r="AL679" i="3"/>
  <c r="AM679" i="3"/>
  <c r="AK679" i="3"/>
  <c r="AJ679" i="3"/>
  <c r="AI679" i="3"/>
  <c r="AH679" i="3"/>
  <c r="AF679" i="3"/>
  <c r="AE679" i="3"/>
  <c r="AG679" i="3"/>
  <c r="AB679" i="3"/>
  <c r="AC679" i="3"/>
  <c r="AD679" i="3"/>
  <c r="AA679" i="3"/>
  <c r="Y679" i="3"/>
  <c r="X679" i="3"/>
  <c r="V679" i="3"/>
  <c r="W679" i="3"/>
  <c r="S679" i="3"/>
  <c r="U679" i="3"/>
  <c r="R679" i="3"/>
  <c r="T679" i="3"/>
  <c r="P679" i="3"/>
  <c r="N679" i="3"/>
  <c r="Q679" i="3"/>
  <c r="O679" i="3"/>
  <c r="M679" i="3"/>
  <c r="L679" i="3"/>
  <c r="J679" i="3"/>
  <c r="K679" i="3"/>
  <c r="I679" i="3"/>
  <c r="AP679" i="3"/>
  <c r="AO679" i="3"/>
  <c r="AR679" i="2"/>
  <c r="AQ679" i="2"/>
  <c r="AN679" i="2"/>
  <c r="AK679" i="2"/>
  <c r="AM679" i="2"/>
  <c r="AL679" i="2"/>
  <c r="AH679" i="2"/>
  <c r="AJ679" i="2"/>
  <c r="AI679" i="2"/>
  <c r="AG679" i="2"/>
  <c r="AF679" i="2"/>
  <c r="AE679" i="2"/>
  <c r="AB679" i="2"/>
  <c r="AD679" i="2"/>
  <c r="AA679" i="2"/>
  <c r="AC679" i="2"/>
  <c r="Y679" i="2"/>
  <c r="W679" i="2"/>
  <c r="X679" i="2"/>
  <c r="U679" i="2"/>
  <c r="V679" i="2"/>
  <c r="T679" i="2"/>
  <c r="S679" i="2"/>
  <c r="R679" i="2"/>
  <c r="Q679" i="2"/>
  <c r="P679" i="2"/>
  <c r="O679" i="2"/>
  <c r="L679" i="2"/>
  <c r="N679" i="2"/>
  <c r="M679" i="2"/>
  <c r="K679" i="2"/>
  <c r="I679" i="2"/>
  <c r="J679" i="2"/>
  <c r="AP679" i="2"/>
  <c r="AO679" i="2"/>
  <c r="J680" i="1"/>
  <c r="I681" i="1"/>
  <c r="V680" i="1"/>
  <c r="Y680" i="1"/>
  <c r="Z680" i="1" s="1"/>
  <c r="G680" i="3"/>
  <c r="G680" i="2"/>
  <c r="R680" i="1"/>
  <c r="N680" i="1"/>
  <c r="B685" i="1"/>
  <c r="S680" i="1"/>
  <c r="O680" i="1"/>
  <c r="W679" i="1"/>
  <c r="L679" i="1"/>
  <c r="P679" i="1" s="1"/>
  <c r="AA679" i="1"/>
  <c r="L680" i="1" l="1"/>
  <c r="P680" i="1" s="1"/>
  <c r="AA680" i="1"/>
  <c r="W680" i="1"/>
  <c r="AR680" i="2"/>
  <c r="AQ680" i="2"/>
  <c r="AL680" i="2"/>
  <c r="AN680" i="2"/>
  <c r="AM680" i="2"/>
  <c r="AK680" i="2"/>
  <c r="AI680" i="2"/>
  <c r="AH680" i="2"/>
  <c r="AJ680" i="2"/>
  <c r="AG680" i="2"/>
  <c r="AF680" i="2"/>
  <c r="AE680" i="2"/>
  <c r="AD680" i="2"/>
  <c r="AC680" i="2"/>
  <c r="AA680" i="2"/>
  <c r="AB680" i="2"/>
  <c r="W680" i="2"/>
  <c r="Y680" i="2"/>
  <c r="X680" i="2"/>
  <c r="U680" i="2"/>
  <c r="V680" i="2"/>
  <c r="T680" i="2"/>
  <c r="P680" i="2"/>
  <c r="S680" i="2"/>
  <c r="O680" i="2"/>
  <c r="Q680" i="2"/>
  <c r="R680" i="2"/>
  <c r="M680" i="2"/>
  <c r="J680" i="2"/>
  <c r="N680" i="2"/>
  <c r="K680" i="2"/>
  <c r="L680" i="2"/>
  <c r="I680" i="2"/>
  <c r="AP680" i="2"/>
  <c r="AO680" i="2"/>
  <c r="AQ680" i="3"/>
  <c r="AR680" i="3"/>
  <c r="AN680" i="3"/>
  <c r="AM680" i="3"/>
  <c r="AL680" i="3"/>
  <c r="AK680" i="3"/>
  <c r="AJ680" i="3"/>
  <c r="AH680" i="3"/>
  <c r="AI680" i="3"/>
  <c r="AF680" i="3"/>
  <c r="AG680" i="3"/>
  <c r="AB680" i="3"/>
  <c r="AE680" i="3"/>
  <c r="AD680" i="3"/>
  <c r="AA680" i="3"/>
  <c r="AC680" i="3"/>
  <c r="Y680" i="3"/>
  <c r="X680" i="3"/>
  <c r="W680" i="3"/>
  <c r="S680" i="3"/>
  <c r="V680" i="3"/>
  <c r="U680" i="3"/>
  <c r="P680" i="3"/>
  <c r="R680" i="3"/>
  <c r="T680" i="3"/>
  <c r="L680" i="3"/>
  <c r="N680" i="3"/>
  <c r="Q680" i="3"/>
  <c r="O680" i="3"/>
  <c r="J680" i="3"/>
  <c r="K680" i="3"/>
  <c r="M680" i="3"/>
  <c r="I680" i="3"/>
  <c r="AP680" i="3"/>
  <c r="AO680" i="3"/>
  <c r="I682" i="1"/>
  <c r="J681" i="1"/>
  <c r="V681" i="1"/>
  <c r="G681" i="3"/>
  <c r="Y681" i="1"/>
  <c r="Z681" i="1" s="1"/>
  <c r="G681" i="2"/>
  <c r="O681" i="1"/>
  <c r="R681" i="1"/>
  <c r="S681" i="1"/>
  <c r="W681" i="1" s="1"/>
  <c r="N681" i="1"/>
  <c r="J682" i="1" l="1"/>
  <c r="I683" i="1"/>
  <c r="V682" i="1"/>
  <c r="G682" i="3"/>
  <c r="G682" i="2"/>
  <c r="Y682" i="1"/>
  <c r="Z682" i="1" s="1"/>
  <c r="S682" i="1"/>
  <c r="W682" i="1" s="1"/>
  <c r="R682" i="1"/>
  <c r="O682" i="1"/>
  <c r="L681" i="1"/>
  <c r="P681" i="1" s="1"/>
  <c r="AA681" i="1"/>
  <c r="AR681" i="2"/>
  <c r="AQ681" i="2"/>
  <c r="AM681" i="2"/>
  <c r="AN681" i="2"/>
  <c r="AK681" i="2"/>
  <c r="AL681" i="2"/>
  <c r="AJ681" i="2"/>
  <c r="AI681" i="2"/>
  <c r="AH681" i="2"/>
  <c r="AG681" i="2"/>
  <c r="AF681" i="2"/>
  <c r="AC681" i="2"/>
  <c r="AE681" i="2"/>
  <c r="AD681" i="2"/>
  <c r="AB681" i="2"/>
  <c r="AA681" i="2"/>
  <c r="U681" i="2"/>
  <c r="W681" i="2"/>
  <c r="Y681" i="2"/>
  <c r="X681" i="2"/>
  <c r="V681" i="2"/>
  <c r="T681" i="2"/>
  <c r="S681" i="2"/>
  <c r="R681" i="2"/>
  <c r="Q681" i="2"/>
  <c r="O681" i="2"/>
  <c r="P681" i="2"/>
  <c r="M681" i="2"/>
  <c r="N681" i="2"/>
  <c r="L681" i="2"/>
  <c r="K681" i="2"/>
  <c r="J681" i="2"/>
  <c r="I681" i="2"/>
  <c r="AP681" i="2"/>
  <c r="AO681" i="2"/>
  <c r="AQ681" i="3"/>
  <c r="AR681" i="3"/>
  <c r="AN681" i="3"/>
  <c r="AM681" i="3"/>
  <c r="AL681" i="3"/>
  <c r="AK681" i="3"/>
  <c r="AH681" i="3"/>
  <c r="AJ681" i="3"/>
  <c r="AI681" i="3"/>
  <c r="AG681" i="3"/>
  <c r="AF681" i="3"/>
  <c r="AB681" i="3"/>
  <c r="AE681" i="3"/>
  <c r="AD681" i="3"/>
  <c r="AA681" i="3"/>
  <c r="AC681" i="3"/>
  <c r="W681" i="3"/>
  <c r="Y681" i="3"/>
  <c r="X681" i="3"/>
  <c r="V681" i="3"/>
  <c r="U681" i="3"/>
  <c r="T681" i="3"/>
  <c r="R681" i="3"/>
  <c r="S681" i="3"/>
  <c r="P681" i="3"/>
  <c r="Q681" i="3"/>
  <c r="O681" i="3"/>
  <c r="M681" i="3"/>
  <c r="L681" i="3"/>
  <c r="J681" i="3"/>
  <c r="N681" i="3"/>
  <c r="AO681" i="3"/>
  <c r="K681" i="3"/>
  <c r="I681" i="3"/>
  <c r="AP681" i="3"/>
  <c r="AR682" i="3" l="1"/>
  <c r="AQ682" i="3"/>
  <c r="AL682" i="3"/>
  <c r="AM682" i="3"/>
  <c r="AN682" i="3"/>
  <c r="AK682" i="3"/>
  <c r="AH682" i="3"/>
  <c r="AJ682" i="3"/>
  <c r="AI682" i="3"/>
  <c r="AG682" i="3"/>
  <c r="AF682" i="3"/>
  <c r="AD682" i="3"/>
  <c r="AE682" i="3"/>
  <c r="AC682" i="3"/>
  <c r="AA682" i="3"/>
  <c r="AB682" i="3"/>
  <c r="Y682" i="3"/>
  <c r="X682" i="3"/>
  <c r="W682" i="3"/>
  <c r="U682" i="3"/>
  <c r="T682" i="3"/>
  <c r="V682" i="3"/>
  <c r="P682" i="3"/>
  <c r="R682" i="3"/>
  <c r="S682" i="3"/>
  <c r="Q682" i="3"/>
  <c r="O682" i="3"/>
  <c r="M682" i="3"/>
  <c r="L682" i="3"/>
  <c r="J682" i="3"/>
  <c r="N682" i="3"/>
  <c r="AO682" i="3"/>
  <c r="K682" i="3"/>
  <c r="I682" i="3"/>
  <c r="AP682" i="3"/>
  <c r="AR682" i="2"/>
  <c r="AQ682" i="2"/>
  <c r="AM682" i="2"/>
  <c r="AN682" i="2"/>
  <c r="AL682" i="2"/>
  <c r="AI682" i="2"/>
  <c r="AK682" i="2"/>
  <c r="AJ682" i="2"/>
  <c r="AG682" i="2"/>
  <c r="AH682" i="2"/>
  <c r="AF682" i="2"/>
  <c r="AC682" i="2"/>
  <c r="AE682" i="2"/>
  <c r="AB682" i="2"/>
  <c r="AD682" i="2"/>
  <c r="AA682" i="2"/>
  <c r="X682" i="2"/>
  <c r="U682" i="2"/>
  <c r="W682" i="2"/>
  <c r="Y682" i="2"/>
  <c r="V682" i="2"/>
  <c r="T682" i="2"/>
  <c r="Q682" i="2"/>
  <c r="S682" i="2"/>
  <c r="R682" i="2"/>
  <c r="M682" i="2"/>
  <c r="O682" i="2"/>
  <c r="P682" i="2"/>
  <c r="K682" i="2"/>
  <c r="N682" i="2"/>
  <c r="L682" i="2"/>
  <c r="AP682" i="2"/>
  <c r="J682" i="2"/>
  <c r="I682" i="2"/>
  <c r="AO682" i="2"/>
  <c r="L682" i="1"/>
  <c r="P682" i="1" s="1"/>
  <c r="AA682" i="1"/>
  <c r="J683" i="1"/>
  <c r="I684" i="1"/>
  <c r="V683" i="1"/>
  <c r="G683" i="3"/>
  <c r="Y683" i="1"/>
  <c r="Z683" i="1" s="1"/>
  <c r="G683" i="2"/>
  <c r="O683" i="1"/>
  <c r="R683" i="1"/>
  <c r="S683" i="1"/>
  <c r="W683" i="1" s="1"/>
  <c r="L683" i="1" l="1"/>
  <c r="P683" i="1" s="1"/>
  <c r="AA683" i="1"/>
  <c r="J684" i="1"/>
  <c r="I685" i="1"/>
  <c r="V684" i="1"/>
  <c r="G684" i="3"/>
  <c r="Y684" i="1"/>
  <c r="Z684" i="1" s="1"/>
  <c r="G684" i="2"/>
  <c r="S684" i="1"/>
  <c r="R684" i="1"/>
  <c r="O684" i="1"/>
  <c r="AR683" i="2"/>
  <c r="AQ683" i="2"/>
  <c r="AM683" i="2"/>
  <c r="AL683" i="2"/>
  <c r="AN683" i="2"/>
  <c r="AK683" i="2"/>
  <c r="AJ683" i="2"/>
  <c r="AI683" i="2"/>
  <c r="AH683" i="2"/>
  <c r="AG683" i="2"/>
  <c r="AC683" i="2"/>
  <c r="AE683" i="2"/>
  <c r="AF683" i="2"/>
  <c r="AD683" i="2"/>
  <c r="AB683" i="2"/>
  <c r="X683" i="2"/>
  <c r="AA683" i="2"/>
  <c r="Y683" i="2"/>
  <c r="V683" i="2"/>
  <c r="T683" i="2"/>
  <c r="W683" i="2"/>
  <c r="U683" i="2"/>
  <c r="Q683" i="2"/>
  <c r="S683" i="2"/>
  <c r="P683" i="2"/>
  <c r="O683" i="2"/>
  <c r="R683" i="2"/>
  <c r="M683" i="2"/>
  <c r="K683" i="2"/>
  <c r="N683" i="2"/>
  <c r="L683" i="2"/>
  <c r="I683" i="2"/>
  <c r="AP683" i="2"/>
  <c r="J683" i="2"/>
  <c r="AO683" i="2"/>
  <c r="AR683" i="3"/>
  <c r="AQ683" i="3"/>
  <c r="AM683" i="3"/>
  <c r="AL683" i="3"/>
  <c r="AN683" i="3"/>
  <c r="AK683" i="3"/>
  <c r="AI683" i="3"/>
  <c r="AH683" i="3"/>
  <c r="AJ683" i="3"/>
  <c r="AG683" i="3"/>
  <c r="AD683" i="3"/>
  <c r="AF683" i="3"/>
  <c r="AE683" i="3"/>
  <c r="AC683" i="3"/>
  <c r="AB683" i="3"/>
  <c r="AA683" i="3"/>
  <c r="W683" i="3"/>
  <c r="U683" i="3"/>
  <c r="X683" i="3"/>
  <c r="Y683" i="3"/>
  <c r="T683" i="3"/>
  <c r="V683" i="3"/>
  <c r="S683" i="3"/>
  <c r="R683" i="3"/>
  <c r="Q683" i="3"/>
  <c r="O683" i="3"/>
  <c r="P683" i="3"/>
  <c r="M683" i="3"/>
  <c r="L683" i="3"/>
  <c r="N683" i="3"/>
  <c r="K683" i="3"/>
  <c r="AO683" i="3"/>
  <c r="I683" i="3"/>
  <c r="J683" i="3"/>
  <c r="AP683" i="3"/>
  <c r="AR684" i="2" l="1"/>
  <c r="AQ684" i="2"/>
  <c r="AM684" i="2"/>
  <c r="AL684" i="2"/>
  <c r="AN684" i="2"/>
  <c r="AK684" i="2"/>
  <c r="AJ684" i="2"/>
  <c r="AI684" i="2"/>
  <c r="AH684" i="2"/>
  <c r="AG684" i="2"/>
  <c r="AF684" i="2"/>
  <c r="AE684" i="2"/>
  <c r="AD684" i="2"/>
  <c r="AB684" i="2"/>
  <c r="AC684" i="2"/>
  <c r="AA684" i="2"/>
  <c r="X684" i="2"/>
  <c r="Y684" i="2"/>
  <c r="W684" i="2"/>
  <c r="V684" i="2"/>
  <c r="U684" i="2"/>
  <c r="T684" i="2"/>
  <c r="Q684" i="2"/>
  <c r="S684" i="2"/>
  <c r="R684" i="2"/>
  <c r="P684" i="2"/>
  <c r="M684" i="2"/>
  <c r="K684" i="2"/>
  <c r="N684" i="2"/>
  <c r="O684" i="2"/>
  <c r="L684" i="2"/>
  <c r="AO684" i="2"/>
  <c r="AP684" i="2"/>
  <c r="J684" i="2"/>
  <c r="I684" i="2"/>
  <c r="J685" i="1"/>
  <c r="I686" i="1"/>
  <c r="V685" i="1"/>
  <c r="G685" i="3"/>
  <c r="Y685" i="1"/>
  <c r="Z685" i="1" s="1"/>
  <c r="G685" i="2"/>
  <c r="O685" i="1"/>
  <c r="R685" i="1"/>
  <c r="S685" i="1"/>
  <c r="W685" i="1" s="1"/>
  <c r="AR684" i="3"/>
  <c r="AN684" i="3"/>
  <c r="AM684" i="3"/>
  <c r="AQ684" i="3"/>
  <c r="AL684" i="3"/>
  <c r="AI684" i="3"/>
  <c r="AK684" i="3"/>
  <c r="AJ684" i="3"/>
  <c r="AH684" i="3"/>
  <c r="AG684" i="3"/>
  <c r="AF684" i="3"/>
  <c r="AD684" i="3"/>
  <c r="AE684" i="3"/>
  <c r="AC684" i="3"/>
  <c r="AB684" i="3"/>
  <c r="Y684" i="3"/>
  <c r="AA684" i="3"/>
  <c r="X684" i="3"/>
  <c r="W684" i="3"/>
  <c r="U684" i="3"/>
  <c r="R684" i="3"/>
  <c r="T684" i="3"/>
  <c r="V684" i="3"/>
  <c r="Q684" i="3"/>
  <c r="S684" i="3"/>
  <c r="P684" i="3"/>
  <c r="M684" i="3"/>
  <c r="O684" i="3"/>
  <c r="K684" i="3"/>
  <c r="L684" i="3"/>
  <c r="N684" i="3"/>
  <c r="AO684" i="3"/>
  <c r="I684" i="3"/>
  <c r="J684" i="3"/>
  <c r="AP684" i="3"/>
  <c r="L684" i="1"/>
  <c r="P684" i="1" s="1"/>
  <c r="AA684" i="1"/>
  <c r="W684" i="1"/>
  <c r="I687" i="1" l="1"/>
  <c r="J686" i="1"/>
  <c r="V686" i="1"/>
  <c r="G686" i="3"/>
  <c r="Y686" i="1"/>
  <c r="Z686" i="1" s="1"/>
  <c r="G686" i="2"/>
  <c r="R686" i="1"/>
  <c r="S686" i="1"/>
  <c r="W686" i="1" s="1"/>
  <c r="O686" i="1"/>
  <c r="AR685" i="3"/>
  <c r="AN685" i="3"/>
  <c r="AM685" i="3"/>
  <c r="AQ685" i="3"/>
  <c r="AL685" i="3"/>
  <c r="AI685" i="3"/>
  <c r="AK685" i="3"/>
  <c r="AJ685" i="3"/>
  <c r="AH685" i="3"/>
  <c r="AG685" i="3"/>
  <c r="AD685" i="3"/>
  <c r="AF685" i="3"/>
  <c r="AE685" i="3"/>
  <c r="AC685" i="3"/>
  <c r="AB685" i="3"/>
  <c r="X685" i="3"/>
  <c r="Y685" i="3"/>
  <c r="AA685" i="3"/>
  <c r="W685" i="3"/>
  <c r="R685" i="3"/>
  <c r="T685" i="3"/>
  <c r="U685" i="3"/>
  <c r="V685" i="3"/>
  <c r="Q685" i="3"/>
  <c r="S685" i="3"/>
  <c r="P685" i="3"/>
  <c r="O685" i="3"/>
  <c r="K685" i="3"/>
  <c r="M685" i="3"/>
  <c r="L685" i="3"/>
  <c r="N685" i="3"/>
  <c r="I685" i="3"/>
  <c r="AO685" i="3"/>
  <c r="J685" i="3"/>
  <c r="AP685" i="3"/>
  <c r="AR685" i="2"/>
  <c r="AQ685" i="2"/>
  <c r="AN685" i="2"/>
  <c r="AM685" i="2"/>
  <c r="AL685" i="2"/>
  <c r="AJ685" i="2"/>
  <c r="AK685" i="2"/>
  <c r="AI685" i="2"/>
  <c r="AF685" i="2"/>
  <c r="AE685" i="2"/>
  <c r="AH685" i="2"/>
  <c r="AG685" i="2"/>
  <c r="AD685" i="2"/>
  <c r="AB685" i="2"/>
  <c r="AC685" i="2"/>
  <c r="X685" i="2"/>
  <c r="AA685" i="2"/>
  <c r="V685" i="2"/>
  <c r="Y685" i="2"/>
  <c r="W685" i="2"/>
  <c r="U685" i="2"/>
  <c r="S685" i="2"/>
  <c r="T685" i="2"/>
  <c r="R685" i="2"/>
  <c r="P685" i="2"/>
  <c r="Q685" i="2"/>
  <c r="N685" i="2"/>
  <c r="M685" i="2"/>
  <c r="O685" i="2"/>
  <c r="L685" i="2"/>
  <c r="AO685" i="2"/>
  <c r="K685" i="2"/>
  <c r="J685" i="2"/>
  <c r="I685" i="2"/>
  <c r="AP685" i="2"/>
  <c r="L685" i="1"/>
  <c r="P685" i="1" s="1"/>
  <c r="AA685" i="1"/>
  <c r="AR686" i="2" l="1"/>
  <c r="AQ686" i="2"/>
  <c r="AN686" i="2"/>
  <c r="AM686" i="2"/>
  <c r="AJ686" i="2"/>
  <c r="AL686" i="2"/>
  <c r="AK686" i="2"/>
  <c r="AF686" i="2"/>
  <c r="AI686" i="2"/>
  <c r="AH686" i="2"/>
  <c r="AE686" i="2"/>
  <c r="AG686" i="2"/>
  <c r="AD686" i="2"/>
  <c r="AB686" i="2"/>
  <c r="AC686" i="2"/>
  <c r="AA686" i="2"/>
  <c r="Y686" i="2"/>
  <c r="X686" i="2"/>
  <c r="V686" i="2"/>
  <c r="S686" i="2"/>
  <c r="W686" i="2"/>
  <c r="U686" i="2"/>
  <c r="R686" i="2"/>
  <c r="T686" i="2"/>
  <c r="N686" i="2"/>
  <c r="P686" i="2"/>
  <c r="Q686" i="2"/>
  <c r="L686" i="2"/>
  <c r="M686" i="2"/>
  <c r="O686" i="2"/>
  <c r="AO686" i="2"/>
  <c r="K686" i="2"/>
  <c r="J686" i="2"/>
  <c r="I686" i="2"/>
  <c r="AP686" i="2"/>
  <c r="L686" i="1"/>
  <c r="P686" i="1" s="1"/>
  <c r="AA686" i="1"/>
  <c r="AR686" i="3"/>
  <c r="AN686" i="3"/>
  <c r="AM686" i="3"/>
  <c r="AQ686" i="3"/>
  <c r="AI686" i="3"/>
  <c r="AK686" i="3"/>
  <c r="AL686" i="3"/>
  <c r="AJ686" i="3"/>
  <c r="AH686" i="3"/>
  <c r="AG686" i="3"/>
  <c r="AF686" i="3"/>
  <c r="AE686" i="3"/>
  <c r="AD686" i="3"/>
  <c r="AC686" i="3"/>
  <c r="AB686" i="3"/>
  <c r="AA686" i="3"/>
  <c r="X686" i="3"/>
  <c r="Y686" i="3"/>
  <c r="W686" i="3"/>
  <c r="V686" i="3"/>
  <c r="R686" i="3"/>
  <c r="U686" i="3"/>
  <c r="Q686" i="3"/>
  <c r="S686" i="3"/>
  <c r="T686" i="3"/>
  <c r="P686" i="3"/>
  <c r="M686" i="3"/>
  <c r="O686" i="3"/>
  <c r="K686" i="3"/>
  <c r="L686" i="3"/>
  <c r="N686" i="3"/>
  <c r="AO686" i="3"/>
  <c r="I686" i="3"/>
  <c r="J686" i="3"/>
  <c r="AP686" i="3"/>
  <c r="J687" i="1"/>
  <c r="I688" i="1"/>
  <c r="G687" i="3"/>
  <c r="V687" i="1"/>
  <c r="Y687" i="1"/>
  <c r="Z687" i="1" s="1"/>
  <c r="G687" i="2"/>
  <c r="R687" i="1"/>
  <c r="O687" i="1"/>
  <c r="S687" i="1"/>
  <c r="W687" i="1" s="1"/>
  <c r="I689" i="1" l="1"/>
  <c r="J688" i="1"/>
  <c r="V688" i="1"/>
  <c r="G688" i="3"/>
  <c r="Y688" i="1"/>
  <c r="Z688" i="1" s="1"/>
  <c r="G688" i="2"/>
  <c r="S688" i="1"/>
  <c r="W688" i="1" s="1"/>
  <c r="R688" i="1"/>
  <c r="O688" i="1"/>
  <c r="AR687" i="2"/>
  <c r="AQ687" i="2"/>
  <c r="AN687" i="2"/>
  <c r="AM687" i="2"/>
  <c r="AJ687" i="2"/>
  <c r="AL687" i="2"/>
  <c r="AK687" i="2"/>
  <c r="AI687" i="2"/>
  <c r="AH687" i="2"/>
  <c r="AE687" i="2"/>
  <c r="AG687" i="2"/>
  <c r="AF687" i="2"/>
  <c r="AB687" i="2"/>
  <c r="AD687" i="2"/>
  <c r="AC687" i="2"/>
  <c r="AA687" i="2"/>
  <c r="Y687" i="2"/>
  <c r="X687" i="2"/>
  <c r="V687" i="2"/>
  <c r="W687" i="2"/>
  <c r="U687" i="2"/>
  <c r="S687" i="2"/>
  <c r="R687" i="2"/>
  <c r="T687" i="2"/>
  <c r="P687" i="2"/>
  <c r="N687" i="2"/>
  <c r="Q687" i="2"/>
  <c r="L687" i="2"/>
  <c r="M687" i="2"/>
  <c r="O687" i="2"/>
  <c r="J687" i="2"/>
  <c r="K687" i="2"/>
  <c r="I687" i="2"/>
  <c r="AO687" i="2"/>
  <c r="AP687" i="2"/>
  <c r="L687" i="1"/>
  <c r="P687" i="1" s="1"/>
  <c r="AA687" i="1"/>
  <c r="AR687" i="3"/>
  <c r="AN687" i="3"/>
  <c r="AQ687" i="3"/>
  <c r="AM687" i="3"/>
  <c r="AL687" i="3"/>
  <c r="AJ687" i="3"/>
  <c r="AG687" i="3"/>
  <c r="AK687" i="3"/>
  <c r="AI687" i="3"/>
  <c r="AH687" i="3"/>
  <c r="AF687" i="3"/>
  <c r="AE687" i="3"/>
  <c r="AD687" i="3"/>
  <c r="AB687" i="3"/>
  <c r="AC687" i="3"/>
  <c r="AA687" i="3"/>
  <c r="X687" i="3"/>
  <c r="Y687" i="3"/>
  <c r="V687" i="3"/>
  <c r="W687" i="3"/>
  <c r="U687" i="3"/>
  <c r="S687" i="3"/>
  <c r="T687" i="3"/>
  <c r="R687" i="3"/>
  <c r="Q687" i="3"/>
  <c r="P687" i="3"/>
  <c r="O687" i="3"/>
  <c r="N687" i="3"/>
  <c r="M687" i="3"/>
  <c r="K687" i="3"/>
  <c r="L687" i="3"/>
  <c r="AP687" i="3"/>
  <c r="AO687" i="3"/>
  <c r="I687" i="3"/>
  <c r="J687" i="3"/>
  <c r="AR688" i="2" l="1"/>
  <c r="AQ688" i="2"/>
  <c r="AN688" i="2"/>
  <c r="AM688" i="2"/>
  <c r="AJ688" i="2"/>
  <c r="AL688" i="2"/>
  <c r="AK688" i="2"/>
  <c r="AH688" i="2"/>
  <c r="AI688" i="2"/>
  <c r="AG688" i="2"/>
  <c r="AD688" i="2"/>
  <c r="AE688" i="2"/>
  <c r="AF688" i="2"/>
  <c r="AC688" i="2"/>
  <c r="AB688" i="2"/>
  <c r="Y688" i="2"/>
  <c r="Z688" i="2"/>
  <c r="X688" i="2"/>
  <c r="W688" i="2"/>
  <c r="U688" i="2"/>
  <c r="S688" i="2"/>
  <c r="V688" i="2"/>
  <c r="P688" i="2"/>
  <c r="R688" i="2"/>
  <c r="T688" i="2"/>
  <c r="N688" i="2"/>
  <c r="Q688" i="2"/>
  <c r="J688" i="2"/>
  <c r="L688" i="2"/>
  <c r="M688" i="2"/>
  <c r="O688" i="2"/>
  <c r="I688" i="2"/>
  <c r="K688" i="2"/>
  <c r="AO688" i="2"/>
  <c r="AP688" i="2"/>
  <c r="AR688" i="3"/>
  <c r="AQ688" i="3"/>
  <c r="AN688" i="3"/>
  <c r="AM688" i="3"/>
  <c r="AJ688" i="3"/>
  <c r="AK688" i="3"/>
  <c r="AL688" i="3"/>
  <c r="AG688" i="3"/>
  <c r="AF688" i="3"/>
  <c r="AI688" i="3"/>
  <c r="AH688" i="3"/>
  <c r="AE688" i="3"/>
  <c r="AD688" i="3"/>
  <c r="AC688" i="3"/>
  <c r="AB688" i="3"/>
  <c r="Z688" i="3"/>
  <c r="Y688" i="3"/>
  <c r="V688" i="3"/>
  <c r="W688" i="3"/>
  <c r="X688" i="3"/>
  <c r="U688" i="3"/>
  <c r="S688" i="3"/>
  <c r="T688" i="3"/>
  <c r="R688" i="3"/>
  <c r="N688" i="3"/>
  <c r="Q688" i="3"/>
  <c r="P688" i="3"/>
  <c r="O688" i="3"/>
  <c r="I688" i="3"/>
  <c r="M688" i="3"/>
  <c r="L688" i="3"/>
  <c r="J688" i="3"/>
  <c r="AP688" i="3"/>
  <c r="K688" i="3"/>
  <c r="AO688" i="3"/>
  <c r="L688" i="1"/>
  <c r="P688" i="1" s="1"/>
  <c r="AA688" i="1"/>
  <c r="J689" i="1"/>
  <c r="I690" i="1"/>
  <c r="V689" i="1"/>
  <c r="G689" i="3"/>
  <c r="Y689" i="1"/>
  <c r="Z689" i="1" s="1"/>
  <c r="G689" i="2"/>
  <c r="O689" i="1"/>
  <c r="R689" i="1"/>
  <c r="S689" i="1"/>
  <c r="W689" i="1" s="1"/>
  <c r="J690" i="1" l="1"/>
  <c r="I691" i="1"/>
  <c r="V690" i="1"/>
  <c r="G690" i="3"/>
  <c r="Y690" i="1"/>
  <c r="Z690" i="1" s="1"/>
  <c r="G690" i="2"/>
  <c r="S690" i="1"/>
  <c r="W690" i="1" s="1"/>
  <c r="R690" i="1"/>
  <c r="O690" i="1"/>
  <c r="AQ689" i="3"/>
  <c r="AR689" i="3"/>
  <c r="AN689" i="3"/>
  <c r="AM689" i="3"/>
  <c r="AJ689" i="3"/>
  <c r="AK689" i="3"/>
  <c r="AL689" i="3"/>
  <c r="AI689" i="3"/>
  <c r="AF689" i="3"/>
  <c r="AH689" i="3"/>
  <c r="AE689" i="3"/>
  <c r="AG689" i="3"/>
  <c r="AB689" i="3"/>
  <c r="AD689" i="3"/>
  <c r="AC689" i="3"/>
  <c r="Y689" i="3"/>
  <c r="Z689" i="3"/>
  <c r="V689" i="3"/>
  <c r="W689" i="3"/>
  <c r="X689" i="3"/>
  <c r="U689" i="3"/>
  <c r="S689" i="3"/>
  <c r="T689" i="3"/>
  <c r="R689" i="3"/>
  <c r="P689" i="3"/>
  <c r="N689" i="3"/>
  <c r="Q689" i="3"/>
  <c r="O689" i="3"/>
  <c r="M689" i="3"/>
  <c r="L689" i="3"/>
  <c r="J689" i="3"/>
  <c r="AP689" i="3"/>
  <c r="K689" i="3"/>
  <c r="AO689" i="3"/>
  <c r="I689" i="3"/>
  <c r="AR689" i="2"/>
  <c r="AQ689" i="2"/>
  <c r="AN689" i="2"/>
  <c r="AK689" i="2"/>
  <c r="AM689" i="2"/>
  <c r="AL689" i="2"/>
  <c r="AH689" i="2"/>
  <c r="AJ689" i="2"/>
  <c r="AI689" i="2"/>
  <c r="AG689" i="2"/>
  <c r="AB689" i="2"/>
  <c r="AD689" i="2"/>
  <c r="AE689" i="2"/>
  <c r="AF689" i="2"/>
  <c r="AC689" i="2"/>
  <c r="Y689" i="2"/>
  <c r="Z689" i="2"/>
  <c r="W689" i="2"/>
  <c r="X689" i="2"/>
  <c r="U689" i="2"/>
  <c r="V689" i="2"/>
  <c r="T689" i="2"/>
  <c r="R689" i="2"/>
  <c r="S689" i="2"/>
  <c r="P689" i="2"/>
  <c r="Q689" i="2"/>
  <c r="O689" i="2"/>
  <c r="L689" i="2"/>
  <c r="N689" i="2"/>
  <c r="M689" i="2"/>
  <c r="I689" i="2"/>
  <c r="J689" i="2"/>
  <c r="K689" i="2"/>
  <c r="AO689" i="2"/>
  <c r="AP689" i="2"/>
  <c r="L689" i="1"/>
  <c r="P689" i="1" s="1"/>
  <c r="AA689" i="1"/>
  <c r="AR690" i="2" l="1"/>
  <c r="AQ690" i="2"/>
  <c r="AN690" i="2"/>
  <c r="AL690" i="2"/>
  <c r="AM690" i="2"/>
  <c r="AK690" i="2"/>
  <c r="AH690" i="2"/>
  <c r="AJ690" i="2"/>
  <c r="AI690" i="2"/>
  <c r="AG690" i="2"/>
  <c r="AF690" i="2"/>
  <c r="AD690" i="2"/>
  <c r="AE690" i="2"/>
  <c r="AC690" i="2"/>
  <c r="AB690" i="2"/>
  <c r="Z690" i="2"/>
  <c r="W690" i="2"/>
  <c r="Y690" i="2"/>
  <c r="X690" i="2"/>
  <c r="U690" i="2"/>
  <c r="T690" i="2"/>
  <c r="V690" i="2"/>
  <c r="S690" i="2"/>
  <c r="P690" i="2"/>
  <c r="O690" i="2"/>
  <c r="R690" i="2"/>
  <c r="Q690" i="2"/>
  <c r="J690" i="2"/>
  <c r="N690" i="2"/>
  <c r="M690" i="2"/>
  <c r="I690" i="2"/>
  <c r="L690" i="2"/>
  <c r="K690" i="2"/>
  <c r="AO690" i="2"/>
  <c r="AP690" i="2"/>
  <c r="AQ690" i="3"/>
  <c r="AR690" i="3"/>
  <c r="AN690" i="3"/>
  <c r="AM690" i="3"/>
  <c r="AL690" i="3"/>
  <c r="AJ690" i="3"/>
  <c r="AK690" i="3"/>
  <c r="AI690" i="3"/>
  <c r="AH690" i="3"/>
  <c r="AF690" i="3"/>
  <c r="AG690" i="3"/>
  <c r="AB690" i="3"/>
  <c r="AE690" i="3"/>
  <c r="AD690" i="3"/>
  <c r="AC690" i="3"/>
  <c r="Y690" i="3"/>
  <c r="Z690" i="3"/>
  <c r="X690" i="3"/>
  <c r="V690" i="3"/>
  <c r="U690" i="3"/>
  <c r="S690" i="3"/>
  <c r="W690" i="3"/>
  <c r="T690" i="3"/>
  <c r="R690" i="3"/>
  <c r="P690" i="3"/>
  <c r="L690" i="3"/>
  <c r="N690" i="3"/>
  <c r="Q690" i="3"/>
  <c r="O690" i="3"/>
  <c r="J690" i="3"/>
  <c r="M690" i="3"/>
  <c r="K690" i="3"/>
  <c r="AP690" i="3"/>
  <c r="AO690" i="3"/>
  <c r="I690" i="3"/>
  <c r="L690" i="1"/>
  <c r="P690" i="1" s="1"/>
  <c r="AA690" i="1"/>
  <c r="I692" i="1"/>
  <c r="J691" i="1"/>
  <c r="V691" i="1"/>
  <c r="G691" i="3"/>
  <c r="Y691" i="1"/>
  <c r="Z691" i="1" s="1"/>
  <c r="G691" i="2"/>
  <c r="O691" i="1"/>
  <c r="R691" i="1"/>
  <c r="S691" i="1"/>
  <c r="W691" i="1" s="1"/>
  <c r="L691" i="1" l="1"/>
  <c r="P691" i="1" s="1"/>
  <c r="AA691" i="1"/>
  <c r="J692" i="1"/>
  <c r="I693" i="1"/>
  <c r="V692" i="1"/>
  <c r="G692" i="3"/>
  <c r="Y692" i="1"/>
  <c r="Z692" i="1" s="1"/>
  <c r="G692" i="2"/>
  <c r="S692" i="1"/>
  <c r="O692" i="1"/>
  <c r="R692" i="1"/>
  <c r="AR691" i="2"/>
  <c r="AQ691" i="2"/>
  <c r="AN691" i="2"/>
  <c r="AM691" i="2"/>
  <c r="AK691" i="2"/>
  <c r="AL691" i="2"/>
  <c r="AI691" i="2"/>
  <c r="AH691" i="2"/>
  <c r="AJ691" i="2"/>
  <c r="AG691" i="2"/>
  <c r="AF691" i="2"/>
  <c r="AC691" i="2"/>
  <c r="AD691" i="2"/>
  <c r="AE691" i="2"/>
  <c r="AB691" i="2"/>
  <c r="Z691" i="2"/>
  <c r="U691" i="2"/>
  <c r="W691" i="2"/>
  <c r="Y691" i="2"/>
  <c r="X691" i="2"/>
  <c r="T691" i="2"/>
  <c r="V691" i="2"/>
  <c r="S691" i="2"/>
  <c r="R691" i="2"/>
  <c r="Q691" i="2"/>
  <c r="O691" i="2"/>
  <c r="P691" i="2"/>
  <c r="M691" i="2"/>
  <c r="L691" i="2"/>
  <c r="N691" i="2"/>
  <c r="K691" i="2"/>
  <c r="I691" i="2"/>
  <c r="J691" i="2"/>
  <c r="AP691" i="2"/>
  <c r="AO691" i="2"/>
  <c r="AQ691" i="3"/>
  <c r="AR691" i="3"/>
  <c r="AN691" i="3"/>
  <c r="AL691" i="3"/>
  <c r="AK691" i="3"/>
  <c r="AM691" i="3"/>
  <c r="AH691" i="3"/>
  <c r="AI691" i="3"/>
  <c r="AJ691" i="3"/>
  <c r="AG691" i="3"/>
  <c r="AF691" i="3"/>
  <c r="AB691" i="3"/>
  <c r="AE691" i="3"/>
  <c r="AD691" i="3"/>
  <c r="AC691" i="3"/>
  <c r="Z691" i="3"/>
  <c r="W691" i="3"/>
  <c r="Y691" i="3"/>
  <c r="X691" i="3"/>
  <c r="V691" i="3"/>
  <c r="U691" i="3"/>
  <c r="T691" i="3"/>
  <c r="R691" i="3"/>
  <c r="S691" i="3"/>
  <c r="Q691" i="3"/>
  <c r="P691" i="3"/>
  <c r="O691" i="3"/>
  <c r="J691" i="3"/>
  <c r="M691" i="3"/>
  <c r="N691" i="3"/>
  <c r="L691" i="3"/>
  <c r="AO691" i="3"/>
  <c r="I691" i="3"/>
  <c r="AP691" i="3"/>
  <c r="K691" i="3"/>
  <c r="AR692" i="2" l="1"/>
  <c r="AQ692" i="2"/>
  <c r="AN692" i="2"/>
  <c r="AM692" i="2"/>
  <c r="AI692" i="2"/>
  <c r="AK692" i="2"/>
  <c r="AL692" i="2"/>
  <c r="AJ692" i="2"/>
  <c r="AH692" i="2"/>
  <c r="AG692" i="2"/>
  <c r="AF692" i="2"/>
  <c r="AE692" i="2"/>
  <c r="AC692" i="2"/>
  <c r="AD692" i="2"/>
  <c r="AB692" i="2"/>
  <c r="Z692" i="2"/>
  <c r="X692" i="2"/>
  <c r="U692" i="2"/>
  <c r="W692" i="2"/>
  <c r="Y692" i="2"/>
  <c r="T692" i="2"/>
  <c r="V692" i="2"/>
  <c r="Q692" i="2"/>
  <c r="S692" i="2"/>
  <c r="R692" i="2"/>
  <c r="M692" i="2"/>
  <c r="O692" i="2"/>
  <c r="P692" i="2"/>
  <c r="K692" i="2"/>
  <c r="L692" i="2"/>
  <c r="N692" i="2"/>
  <c r="AP692" i="2"/>
  <c r="I692" i="2"/>
  <c r="J692" i="2"/>
  <c r="AO692" i="2"/>
  <c r="AR692" i="3"/>
  <c r="AQ692" i="3"/>
  <c r="AN692" i="3"/>
  <c r="AL692" i="3"/>
  <c r="AK692" i="3"/>
  <c r="AM692" i="3"/>
  <c r="AJ692" i="3"/>
  <c r="AH692" i="3"/>
  <c r="AI692" i="3"/>
  <c r="AG692" i="3"/>
  <c r="AF692" i="3"/>
  <c r="AD692" i="3"/>
  <c r="AE692" i="3"/>
  <c r="AC692" i="3"/>
  <c r="AB692" i="3"/>
  <c r="Z692" i="3"/>
  <c r="Y692" i="3"/>
  <c r="X692" i="3"/>
  <c r="W692" i="3"/>
  <c r="U692" i="3"/>
  <c r="T692" i="3"/>
  <c r="V692" i="3"/>
  <c r="R692" i="3"/>
  <c r="P692" i="3"/>
  <c r="S692" i="3"/>
  <c r="O692" i="3"/>
  <c r="Q692" i="3"/>
  <c r="N692" i="3"/>
  <c r="L692" i="3"/>
  <c r="J692" i="3"/>
  <c r="M692" i="3"/>
  <c r="I692" i="3"/>
  <c r="AP692" i="3"/>
  <c r="K692" i="3"/>
  <c r="AO692" i="3"/>
  <c r="L692" i="1"/>
  <c r="P692" i="1" s="1"/>
  <c r="AA692" i="1"/>
  <c r="W692" i="1"/>
  <c r="J693" i="1"/>
  <c r="I694" i="1"/>
  <c r="V693" i="1"/>
  <c r="G693" i="3"/>
  <c r="Y693" i="1"/>
  <c r="Z693" i="1" s="1"/>
  <c r="G693" i="2"/>
  <c r="R693" i="1"/>
  <c r="O693" i="1"/>
  <c r="S693" i="1"/>
  <c r="W693" i="1" s="1"/>
  <c r="AR693" i="2" l="1"/>
  <c r="AQ693" i="2"/>
  <c r="AM693" i="2"/>
  <c r="AN693" i="2"/>
  <c r="AL693" i="2"/>
  <c r="AK693" i="2"/>
  <c r="AI693" i="2"/>
  <c r="AJ693" i="2"/>
  <c r="AH693" i="2"/>
  <c r="AF693" i="2"/>
  <c r="AG693" i="2"/>
  <c r="AE693" i="2"/>
  <c r="AC693" i="2"/>
  <c r="AD693" i="2"/>
  <c r="AB693" i="2"/>
  <c r="X693" i="2"/>
  <c r="Z693" i="2"/>
  <c r="Y693" i="2"/>
  <c r="U693" i="2"/>
  <c r="T693" i="2"/>
  <c r="W693" i="2"/>
  <c r="V693" i="2"/>
  <c r="Q693" i="2"/>
  <c r="S693" i="2"/>
  <c r="O693" i="2"/>
  <c r="P693" i="2"/>
  <c r="R693" i="2"/>
  <c r="K693" i="2"/>
  <c r="L693" i="2"/>
  <c r="N693" i="2"/>
  <c r="M693" i="2"/>
  <c r="I693" i="2"/>
  <c r="AP693" i="2"/>
  <c r="J693" i="2"/>
  <c r="AO693" i="2"/>
  <c r="AR693" i="3"/>
  <c r="AQ693" i="3"/>
  <c r="AN693" i="3"/>
  <c r="AM693" i="3"/>
  <c r="AL693" i="3"/>
  <c r="AK693" i="3"/>
  <c r="AI693" i="3"/>
  <c r="AJ693" i="3"/>
  <c r="AH693" i="3"/>
  <c r="AG693" i="3"/>
  <c r="AF693" i="3"/>
  <c r="AD693" i="3"/>
  <c r="AC693" i="3"/>
  <c r="AE693" i="3"/>
  <c r="AB693" i="3"/>
  <c r="Z693" i="3"/>
  <c r="W693" i="3"/>
  <c r="U693" i="3"/>
  <c r="X693" i="3"/>
  <c r="Y693" i="3"/>
  <c r="T693" i="3"/>
  <c r="V693" i="3"/>
  <c r="R693" i="3"/>
  <c r="S693" i="3"/>
  <c r="Q693" i="3"/>
  <c r="O693" i="3"/>
  <c r="P693" i="3"/>
  <c r="M693" i="3"/>
  <c r="N693" i="3"/>
  <c r="L693" i="3"/>
  <c r="K693" i="3"/>
  <c r="AO693" i="3"/>
  <c r="J693" i="3"/>
  <c r="I693" i="3"/>
  <c r="AP693" i="3"/>
  <c r="L693" i="1"/>
  <c r="P693" i="1" s="1"/>
  <c r="AA693" i="1"/>
  <c r="J694" i="1"/>
  <c r="I695" i="1"/>
  <c r="V694" i="1"/>
  <c r="G694" i="3"/>
  <c r="Y694" i="1"/>
  <c r="Z694" i="1" s="1"/>
  <c r="G694" i="2"/>
  <c r="S694" i="1"/>
  <c r="W694" i="1" s="1"/>
  <c r="O694" i="1"/>
  <c r="R694" i="1"/>
  <c r="I696" i="1" l="1"/>
  <c r="J695" i="1"/>
  <c r="G695" i="3"/>
  <c r="V695" i="1"/>
  <c r="Y695" i="1"/>
  <c r="Z695" i="1" s="1"/>
  <c r="G695" i="2"/>
  <c r="R695" i="1"/>
  <c r="O695" i="1"/>
  <c r="S695" i="1"/>
  <c r="AR694" i="2"/>
  <c r="AQ694" i="2"/>
  <c r="AM694" i="2"/>
  <c r="AL694" i="2"/>
  <c r="AN694" i="2"/>
  <c r="AK694" i="2"/>
  <c r="AI694" i="2"/>
  <c r="AJ694" i="2"/>
  <c r="AH694" i="2"/>
  <c r="AF694" i="2"/>
  <c r="AG694" i="2"/>
  <c r="AE694" i="2"/>
  <c r="AD694" i="2"/>
  <c r="Z694" i="2"/>
  <c r="AC694" i="2"/>
  <c r="AB694" i="2"/>
  <c r="W694" i="2"/>
  <c r="Y694" i="2"/>
  <c r="X694" i="2"/>
  <c r="V694" i="2"/>
  <c r="U694" i="2"/>
  <c r="Q694" i="2"/>
  <c r="S694" i="2"/>
  <c r="T694" i="2"/>
  <c r="R694" i="2"/>
  <c r="M694" i="2"/>
  <c r="P694" i="2"/>
  <c r="O694" i="2"/>
  <c r="K694" i="2"/>
  <c r="L694" i="2"/>
  <c r="N694" i="2"/>
  <c r="J694" i="2"/>
  <c r="AO694" i="2"/>
  <c r="AP694" i="2"/>
  <c r="I694" i="2"/>
  <c r="AQ694" i="3"/>
  <c r="AR694" i="3"/>
  <c r="AN694" i="3"/>
  <c r="AM694" i="3"/>
  <c r="AL694" i="3"/>
  <c r="AI694" i="3"/>
  <c r="AK694" i="3"/>
  <c r="AJ694" i="3"/>
  <c r="AG694" i="3"/>
  <c r="AH694" i="3"/>
  <c r="AF694" i="3"/>
  <c r="AC694" i="3"/>
  <c r="AE694" i="3"/>
  <c r="AD694" i="3"/>
  <c r="AB694" i="3"/>
  <c r="Z694" i="3"/>
  <c r="Y694" i="3"/>
  <c r="X694" i="3"/>
  <c r="U694" i="3"/>
  <c r="W694" i="3"/>
  <c r="R694" i="3"/>
  <c r="T694" i="3"/>
  <c r="V694" i="3"/>
  <c r="Q694" i="3"/>
  <c r="S694" i="3"/>
  <c r="M694" i="3"/>
  <c r="O694" i="3"/>
  <c r="P694" i="3"/>
  <c r="K694" i="3"/>
  <c r="N694" i="3"/>
  <c r="L694" i="3"/>
  <c r="AO694" i="3"/>
  <c r="J694" i="3"/>
  <c r="I694" i="3"/>
  <c r="AP694" i="3"/>
  <c r="L694" i="1"/>
  <c r="P694" i="1" s="1"/>
  <c r="AA694" i="1"/>
  <c r="AR695" i="2" l="1"/>
  <c r="AQ695" i="2"/>
  <c r="AN695" i="2"/>
  <c r="AM695" i="2"/>
  <c r="AL695" i="2"/>
  <c r="AJ695" i="2"/>
  <c r="AK695" i="2"/>
  <c r="AI695" i="2"/>
  <c r="AH695" i="2"/>
  <c r="AF695" i="2"/>
  <c r="AE695" i="2"/>
  <c r="AG695" i="2"/>
  <c r="AD695" i="2"/>
  <c r="AB695" i="2"/>
  <c r="AC695" i="2"/>
  <c r="Z695" i="2"/>
  <c r="X695" i="2"/>
  <c r="V695" i="2"/>
  <c r="Y695" i="2"/>
  <c r="U695" i="2"/>
  <c r="W695" i="2"/>
  <c r="S695" i="2"/>
  <c r="T695" i="2"/>
  <c r="R695" i="2"/>
  <c r="Q695" i="2"/>
  <c r="P695" i="2"/>
  <c r="N695" i="2"/>
  <c r="O695" i="2"/>
  <c r="M695" i="2"/>
  <c r="L695" i="2"/>
  <c r="J695" i="2"/>
  <c r="AO695" i="2"/>
  <c r="I695" i="2"/>
  <c r="K695" i="2"/>
  <c r="AP695" i="2"/>
  <c r="L695" i="1"/>
  <c r="P695" i="1" s="1"/>
  <c r="AA695" i="1"/>
  <c r="AR695" i="3"/>
  <c r="AN695" i="3"/>
  <c r="AQ695" i="3"/>
  <c r="AM695" i="3"/>
  <c r="AL695" i="3"/>
  <c r="AK695" i="3"/>
  <c r="AJ695" i="3"/>
  <c r="AG695" i="3"/>
  <c r="AI695" i="3"/>
  <c r="AH695" i="3"/>
  <c r="AF695" i="3"/>
  <c r="AD695" i="3"/>
  <c r="AC695" i="3"/>
  <c r="AE695" i="3"/>
  <c r="AB695" i="3"/>
  <c r="X695" i="3"/>
  <c r="Z695" i="3"/>
  <c r="Y695" i="3"/>
  <c r="W695" i="3"/>
  <c r="R695" i="3"/>
  <c r="T695" i="3"/>
  <c r="U695" i="3"/>
  <c r="V695" i="3"/>
  <c r="Q695" i="3"/>
  <c r="S695" i="3"/>
  <c r="O695" i="3"/>
  <c r="P695" i="3"/>
  <c r="K695" i="3"/>
  <c r="N695" i="3"/>
  <c r="L695" i="3"/>
  <c r="M695" i="3"/>
  <c r="I695" i="3"/>
  <c r="AO695" i="3"/>
  <c r="J695" i="3"/>
  <c r="AP695" i="3"/>
  <c r="I697" i="1"/>
  <c r="J696" i="1"/>
  <c r="G696" i="3"/>
  <c r="V696" i="1"/>
  <c r="Y696" i="1"/>
  <c r="Z696" i="1" s="1"/>
  <c r="G696" i="2"/>
  <c r="O696" i="1"/>
  <c r="S696" i="1"/>
  <c r="W696" i="1" s="1"/>
  <c r="R696" i="1"/>
  <c r="W695" i="1"/>
  <c r="J697" i="1" l="1"/>
  <c r="I698" i="1"/>
  <c r="G697" i="3"/>
  <c r="V697" i="1"/>
  <c r="Y697" i="1"/>
  <c r="Z697" i="1" s="1"/>
  <c r="G697" i="2"/>
  <c r="R697" i="1"/>
  <c r="O697" i="1"/>
  <c r="S697" i="1"/>
  <c r="AR696" i="2"/>
  <c r="AQ696" i="2"/>
  <c r="AN696" i="2"/>
  <c r="AM696" i="2"/>
  <c r="AL696" i="2"/>
  <c r="AJ696" i="2"/>
  <c r="AK696" i="2"/>
  <c r="AF696" i="2"/>
  <c r="AI696" i="2"/>
  <c r="AH696" i="2"/>
  <c r="AE696" i="2"/>
  <c r="AG696" i="2"/>
  <c r="AD696" i="2"/>
  <c r="AB696" i="2"/>
  <c r="AC696" i="2"/>
  <c r="Z696" i="2"/>
  <c r="Y696" i="2"/>
  <c r="V696" i="2"/>
  <c r="X696" i="2"/>
  <c r="S696" i="2"/>
  <c r="U696" i="2"/>
  <c r="W696" i="2"/>
  <c r="R696" i="2"/>
  <c r="T696" i="2"/>
  <c r="Q696" i="2"/>
  <c r="P696" i="2"/>
  <c r="N696" i="2"/>
  <c r="M696" i="2"/>
  <c r="L696" i="2"/>
  <c r="O696" i="2"/>
  <c r="K696" i="2"/>
  <c r="J696" i="2"/>
  <c r="AO696" i="2"/>
  <c r="I696" i="2"/>
  <c r="AP696" i="2"/>
  <c r="L696" i="1"/>
  <c r="P696" i="1" s="1"/>
  <c r="AA696" i="1"/>
  <c r="AR696" i="3"/>
  <c r="AN696" i="3"/>
  <c r="AQ696" i="3"/>
  <c r="AM696" i="3"/>
  <c r="AL696" i="3"/>
  <c r="AK696" i="3"/>
  <c r="AI696" i="3"/>
  <c r="AJ696" i="3"/>
  <c r="AH696" i="3"/>
  <c r="AF696" i="3"/>
  <c r="AG696" i="3"/>
  <c r="AE696" i="3"/>
  <c r="AC696" i="3"/>
  <c r="AD696" i="3"/>
  <c r="Z696" i="3"/>
  <c r="AB696" i="3"/>
  <c r="X696" i="3"/>
  <c r="Y696" i="3"/>
  <c r="W696" i="3"/>
  <c r="V696" i="3"/>
  <c r="R696" i="3"/>
  <c r="U696" i="3"/>
  <c r="T696" i="3"/>
  <c r="Q696" i="3"/>
  <c r="S696" i="3"/>
  <c r="M696" i="3"/>
  <c r="P696" i="3"/>
  <c r="O696" i="3"/>
  <c r="K696" i="3"/>
  <c r="N696" i="3"/>
  <c r="L696" i="3"/>
  <c r="AO696" i="3"/>
  <c r="J696" i="3"/>
  <c r="I696" i="3"/>
  <c r="AP696" i="3"/>
  <c r="AR697" i="2" l="1"/>
  <c r="AQ697" i="2"/>
  <c r="AN697" i="2"/>
  <c r="AM697" i="2"/>
  <c r="AL697" i="2"/>
  <c r="AJ697" i="2"/>
  <c r="AK697" i="2"/>
  <c r="AI697" i="2"/>
  <c r="AH697" i="2"/>
  <c r="AG697" i="2"/>
  <c r="AE697" i="2"/>
  <c r="AF697" i="2"/>
  <c r="AB697" i="2"/>
  <c r="AD697" i="2"/>
  <c r="AC697" i="2"/>
  <c r="Y697" i="2"/>
  <c r="Z697" i="2"/>
  <c r="V697" i="2"/>
  <c r="W697" i="2"/>
  <c r="X697" i="2"/>
  <c r="S697" i="2"/>
  <c r="U697" i="2"/>
  <c r="R697" i="2"/>
  <c r="T697" i="2"/>
  <c r="P697" i="2"/>
  <c r="Q697" i="2"/>
  <c r="N697" i="2"/>
  <c r="M697" i="2"/>
  <c r="L697" i="2"/>
  <c r="O697" i="2"/>
  <c r="J697" i="2"/>
  <c r="K697" i="2"/>
  <c r="I697" i="2"/>
  <c r="AP697" i="2"/>
  <c r="AO697" i="2"/>
  <c r="W697" i="1"/>
  <c r="L697" i="1"/>
  <c r="P697" i="1" s="1"/>
  <c r="AA697" i="1"/>
  <c r="AR697" i="3"/>
  <c r="AN697" i="3"/>
  <c r="AQ697" i="3"/>
  <c r="AL697" i="3"/>
  <c r="AM697" i="3"/>
  <c r="AK697" i="3"/>
  <c r="AJ697" i="3"/>
  <c r="AG697" i="3"/>
  <c r="AH697" i="3"/>
  <c r="AI697" i="3"/>
  <c r="AF697" i="3"/>
  <c r="AE697" i="3"/>
  <c r="AD697" i="3"/>
  <c r="AB697" i="3"/>
  <c r="AC697" i="3"/>
  <c r="X697" i="3"/>
  <c r="Z697" i="3"/>
  <c r="Y697" i="3"/>
  <c r="V697" i="3"/>
  <c r="W697" i="3"/>
  <c r="U697" i="3"/>
  <c r="S697" i="3"/>
  <c r="T697" i="3"/>
  <c r="R697" i="3"/>
  <c r="P697" i="3"/>
  <c r="O697" i="3"/>
  <c r="Q697" i="3"/>
  <c r="N697" i="3"/>
  <c r="M697" i="3"/>
  <c r="K697" i="3"/>
  <c r="L697" i="3"/>
  <c r="AP697" i="3"/>
  <c r="AO697" i="3"/>
  <c r="J697" i="3"/>
  <c r="I697" i="3"/>
  <c r="J698" i="1"/>
  <c r="I699" i="1"/>
  <c r="V698" i="1"/>
  <c r="G698" i="3"/>
  <c r="Y698" i="1"/>
  <c r="Z698" i="1" s="1"/>
  <c r="G698" i="2"/>
  <c r="O698" i="1"/>
  <c r="S698" i="1"/>
  <c r="W698" i="1" s="1"/>
  <c r="R698" i="1"/>
  <c r="J699" i="1" l="1"/>
  <c r="I700" i="1"/>
  <c r="V699" i="1"/>
  <c r="G699" i="3"/>
  <c r="Y699" i="1"/>
  <c r="Z699" i="1" s="1"/>
  <c r="G699" i="2"/>
  <c r="O699" i="1"/>
  <c r="R699" i="1"/>
  <c r="S699" i="1"/>
  <c r="AR698" i="3"/>
  <c r="AQ698" i="3"/>
  <c r="AN698" i="3"/>
  <c r="AM698" i="3"/>
  <c r="AL698" i="3"/>
  <c r="AJ698" i="3"/>
  <c r="AK698" i="3"/>
  <c r="AI698" i="3"/>
  <c r="AF698" i="3"/>
  <c r="AH698" i="3"/>
  <c r="AE698" i="3"/>
  <c r="AG698" i="3"/>
  <c r="AD698" i="3"/>
  <c r="AC698" i="3"/>
  <c r="AA698" i="3"/>
  <c r="Z698" i="3"/>
  <c r="Y698" i="3"/>
  <c r="V698" i="3"/>
  <c r="X698" i="3"/>
  <c r="W698" i="3"/>
  <c r="S698" i="3"/>
  <c r="U698" i="3"/>
  <c r="T698" i="3"/>
  <c r="R698" i="3"/>
  <c r="N698" i="3"/>
  <c r="P698" i="3"/>
  <c r="O698" i="3"/>
  <c r="Q698" i="3"/>
  <c r="M698" i="3"/>
  <c r="I698" i="3"/>
  <c r="L698" i="3"/>
  <c r="AP698" i="3"/>
  <c r="AO698" i="3"/>
  <c r="J698" i="3"/>
  <c r="K698" i="3"/>
  <c r="AR698" i="2"/>
  <c r="AQ698" i="2"/>
  <c r="AN698" i="2"/>
  <c r="AM698" i="2"/>
  <c r="AL698" i="2"/>
  <c r="AJ698" i="2"/>
  <c r="AK698" i="2"/>
  <c r="AH698" i="2"/>
  <c r="AI698" i="2"/>
  <c r="AG698" i="2"/>
  <c r="AF698" i="2"/>
  <c r="AE698" i="2"/>
  <c r="AD698" i="2"/>
  <c r="AA698" i="2"/>
  <c r="AC698" i="2"/>
  <c r="Y698" i="2"/>
  <c r="Z698" i="2"/>
  <c r="X698" i="2"/>
  <c r="W698" i="2"/>
  <c r="V698" i="2"/>
  <c r="S698" i="2"/>
  <c r="U698" i="2"/>
  <c r="T698" i="2"/>
  <c r="P698" i="2"/>
  <c r="R698" i="2"/>
  <c r="Q698" i="2"/>
  <c r="N698" i="2"/>
  <c r="J698" i="2"/>
  <c r="M698" i="2"/>
  <c r="L698" i="2"/>
  <c r="O698" i="2"/>
  <c r="K698" i="2"/>
  <c r="I698" i="2"/>
  <c r="AP698" i="2"/>
  <c r="AO698" i="2"/>
  <c r="L698" i="1"/>
  <c r="P698" i="1" s="1"/>
  <c r="AA698" i="1"/>
  <c r="AR699" i="2" l="1"/>
  <c r="AQ699" i="2"/>
  <c r="AM699" i="2"/>
  <c r="AK699" i="2"/>
  <c r="AN699" i="2"/>
  <c r="AL699" i="2"/>
  <c r="AJ699" i="2"/>
  <c r="AH699" i="2"/>
  <c r="AI699" i="2"/>
  <c r="AG699" i="2"/>
  <c r="AF699" i="2"/>
  <c r="AE699" i="2"/>
  <c r="AD699" i="2"/>
  <c r="AA699" i="2"/>
  <c r="AC699" i="2"/>
  <c r="Y699" i="2"/>
  <c r="W699" i="2"/>
  <c r="X699" i="2"/>
  <c r="Z699" i="2"/>
  <c r="V699" i="2"/>
  <c r="U699" i="2"/>
  <c r="T699" i="2"/>
  <c r="R699" i="2"/>
  <c r="S699" i="2"/>
  <c r="P699" i="2"/>
  <c r="Q699" i="2"/>
  <c r="O699" i="2"/>
  <c r="N699" i="2"/>
  <c r="M699" i="2"/>
  <c r="L699" i="2"/>
  <c r="I699" i="2"/>
  <c r="K699" i="2"/>
  <c r="J699" i="2"/>
  <c r="AP699" i="2"/>
  <c r="AO699" i="2"/>
  <c r="L699" i="1"/>
  <c r="P699" i="1" s="1"/>
  <c r="AA699" i="1"/>
  <c r="AQ699" i="3"/>
  <c r="AR699" i="3"/>
  <c r="AN699" i="3"/>
  <c r="AM699" i="3"/>
  <c r="AL699" i="3"/>
  <c r="AJ699" i="3"/>
  <c r="AK699" i="3"/>
  <c r="AI699" i="3"/>
  <c r="AF699" i="3"/>
  <c r="AH699" i="3"/>
  <c r="AE699" i="3"/>
  <c r="AG699" i="3"/>
  <c r="AD699" i="3"/>
  <c r="AC699" i="3"/>
  <c r="AA699" i="3"/>
  <c r="Y699" i="3"/>
  <c r="Z699" i="3"/>
  <c r="V699" i="3"/>
  <c r="X699" i="3"/>
  <c r="W699" i="3"/>
  <c r="S699" i="3"/>
  <c r="U699" i="3"/>
  <c r="T699" i="3"/>
  <c r="R699" i="3"/>
  <c r="P699" i="3"/>
  <c r="N699" i="3"/>
  <c r="O699" i="3"/>
  <c r="Q699" i="3"/>
  <c r="M699" i="3"/>
  <c r="L699" i="3"/>
  <c r="J699" i="3"/>
  <c r="AP699" i="3"/>
  <c r="I699" i="3"/>
  <c r="AO699" i="3"/>
  <c r="K699" i="3"/>
  <c r="J700" i="1"/>
  <c r="I701" i="1"/>
  <c r="V700" i="1"/>
  <c r="Y700" i="1"/>
  <c r="Z700" i="1" s="1"/>
  <c r="G700" i="3"/>
  <c r="G700" i="2"/>
  <c r="S700" i="1"/>
  <c r="W700" i="1" s="1"/>
  <c r="O700" i="1"/>
  <c r="R700" i="1"/>
  <c r="W699" i="1"/>
  <c r="L700" i="1" l="1"/>
  <c r="P700" i="1" s="1"/>
  <c r="AA700" i="1"/>
  <c r="I702" i="1"/>
  <c r="J701" i="1"/>
  <c r="V701" i="1"/>
  <c r="G701" i="3"/>
  <c r="Y701" i="1"/>
  <c r="Z701" i="1" s="1"/>
  <c r="G701" i="2"/>
  <c r="R701" i="1"/>
  <c r="O701" i="1"/>
  <c r="S701" i="1"/>
  <c r="AR700" i="2"/>
  <c r="AQ700" i="2"/>
  <c r="AL700" i="2"/>
  <c r="AM700" i="2"/>
  <c r="AN700" i="2"/>
  <c r="AJ700" i="2"/>
  <c r="AH700" i="2"/>
  <c r="AK700" i="2"/>
  <c r="AG700" i="2"/>
  <c r="AI700" i="2"/>
  <c r="AF700" i="2"/>
  <c r="AE700" i="2"/>
  <c r="AD700" i="2"/>
  <c r="AC700" i="2"/>
  <c r="AA700" i="2"/>
  <c r="Z700" i="2"/>
  <c r="W700" i="2"/>
  <c r="X700" i="2"/>
  <c r="Y700" i="2"/>
  <c r="U700" i="2"/>
  <c r="T700" i="2"/>
  <c r="V700" i="2"/>
  <c r="P700" i="2"/>
  <c r="S700" i="2"/>
  <c r="R700" i="2"/>
  <c r="O700" i="2"/>
  <c r="Q700" i="2"/>
  <c r="N700" i="2"/>
  <c r="J700" i="2"/>
  <c r="M700" i="2"/>
  <c r="I700" i="2"/>
  <c r="K700" i="2"/>
  <c r="L700" i="2"/>
  <c r="AP700" i="2"/>
  <c r="AO700" i="2"/>
  <c r="AQ700" i="3"/>
  <c r="AR700" i="3"/>
  <c r="AN700" i="3"/>
  <c r="AM700" i="3"/>
  <c r="AL700" i="3"/>
  <c r="AJ700" i="3"/>
  <c r="AK700" i="3"/>
  <c r="AH700" i="3"/>
  <c r="AF700" i="3"/>
  <c r="AI700" i="3"/>
  <c r="AG700" i="3"/>
  <c r="AD700" i="3"/>
  <c r="AE700" i="3"/>
  <c r="AC700" i="3"/>
  <c r="AA700" i="3"/>
  <c r="Y700" i="3"/>
  <c r="Z700" i="3"/>
  <c r="X700" i="3"/>
  <c r="W700" i="3"/>
  <c r="S700" i="3"/>
  <c r="V700" i="3"/>
  <c r="U700" i="3"/>
  <c r="P700" i="3"/>
  <c r="T700" i="3"/>
  <c r="R700" i="3"/>
  <c r="Q700" i="3"/>
  <c r="L700" i="3"/>
  <c r="N700" i="3"/>
  <c r="O700" i="3"/>
  <c r="J700" i="3"/>
  <c r="M700" i="3"/>
  <c r="K700" i="3"/>
  <c r="AP700" i="3"/>
  <c r="I700" i="3"/>
  <c r="AO700" i="3"/>
  <c r="AR701" i="2" l="1"/>
  <c r="AQ701" i="2"/>
  <c r="AN701" i="2"/>
  <c r="AM701" i="2"/>
  <c r="AL701" i="2"/>
  <c r="AK701" i="2"/>
  <c r="AJ701" i="2"/>
  <c r="AH701" i="2"/>
  <c r="AI701" i="2"/>
  <c r="AG701" i="2"/>
  <c r="AC701" i="2"/>
  <c r="AF701" i="2"/>
  <c r="AE701" i="2"/>
  <c r="AD701" i="2"/>
  <c r="AA701" i="2"/>
  <c r="Z701" i="2"/>
  <c r="Y701" i="2"/>
  <c r="U701" i="2"/>
  <c r="W701" i="2"/>
  <c r="X701" i="2"/>
  <c r="T701" i="2"/>
  <c r="V701" i="2"/>
  <c r="R701" i="2"/>
  <c r="S701" i="2"/>
  <c r="Q701" i="2"/>
  <c r="O701" i="2"/>
  <c r="P701" i="2"/>
  <c r="M701" i="2"/>
  <c r="N701" i="2"/>
  <c r="L701" i="2"/>
  <c r="K701" i="2"/>
  <c r="I701" i="2"/>
  <c r="J701" i="2"/>
  <c r="AP701" i="2"/>
  <c r="AO701" i="2"/>
  <c r="AQ701" i="3"/>
  <c r="AR701" i="3"/>
  <c r="AN701" i="3"/>
  <c r="AM701" i="3"/>
  <c r="AL701" i="3"/>
  <c r="AK701" i="3"/>
  <c r="AH701" i="3"/>
  <c r="AJ701" i="3"/>
  <c r="AI701" i="3"/>
  <c r="AG701" i="3"/>
  <c r="AF701" i="3"/>
  <c r="AE701" i="3"/>
  <c r="AD701" i="3"/>
  <c r="AC701" i="3"/>
  <c r="AA701" i="3"/>
  <c r="W701" i="3"/>
  <c r="Y701" i="3"/>
  <c r="Z701" i="3"/>
  <c r="X701" i="3"/>
  <c r="U701" i="3"/>
  <c r="V701" i="3"/>
  <c r="T701" i="3"/>
  <c r="S701" i="3"/>
  <c r="R701" i="3"/>
  <c r="Q701" i="3"/>
  <c r="P701" i="3"/>
  <c r="O701" i="3"/>
  <c r="J701" i="3"/>
  <c r="M701" i="3"/>
  <c r="N701" i="3"/>
  <c r="L701" i="3"/>
  <c r="AO701" i="3"/>
  <c r="AP701" i="3"/>
  <c r="I701" i="3"/>
  <c r="K701" i="3"/>
  <c r="J702" i="1"/>
  <c r="I703" i="1"/>
  <c r="G702" i="3"/>
  <c r="V702" i="1"/>
  <c r="G702" i="2"/>
  <c r="Y702" i="1"/>
  <c r="Z702" i="1" s="1"/>
  <c r="S702" i="1"/>
  <c r="W702" i="1" s="1"/>
  <c r="O702" i="1"/>
  <c r="R702" i="1"/>
  <c r="L701" i="1"/>
  <c r="P701" i="1" s="1"/>
  <c r="AA701" i="1"/>
  <c r="W701" i="1"/>
  <c r="L702" i="1" l="1"/>
  <c r="P702" i="1" s="1"/>
  <c r="AA702" i="1"/>
  <c r="AR702" i="3"/>
  <c r="AQ702" i="3"/>
  <c r="AL702" i="3"/>
  <c r="AN702" i="3"/>
  <c r="AK702" i="3"/>
  <c r="AM702" i="3"/>
  <c r="AH702" i="3"/>
  <c r="AJ702" i="3"/>
  <c r="AI702" i="3"/>
  <c r="AG702" i="3"/>
  <c r="AF702" i="3"/>
  <c r="AD702" i="3"/>
  <c r="AE702" i="3"/>
  <c r="AC702" i="3"/>
  <c r="AA702" i="3"/>
  <c r="Y702" i="3"/>
  <c r="Z702" i="3"/>
  <c r="W702" i="3"/>
  <c r="X702" i="3"/>
  <c r="U702" i="3"/>
  <c r="T702" i="3"/>
  <c r="V702" i="3"/>
  <c r="S702" i="3"/>
  <c r="P702" i="3"/>
  <c r="R702" i="3"/>
  <c r="O702" i="3"/>
  <c r="Q702" i="3"/>
  <c r="J702" i="3"/>
  <c r="M702" i="3"/>
  <c r="N702" i="3"/>
  <c r="L702" i="3"/>
  <c r="K702" i="3"/>
  <c r="AP702" i="3"/>
  <c r="AO702" i="3"/>
  <c r="I702" i="3"/>
  <c r="J703" i="1"/>
  <c r="I704" i="1"/>
  <c r="V703" i="1"/>
  <c r="G703" i="3"/>
  <c r="Y703" i="1"/>
  <c r="Z703" i="1" s="1"/>
  <c r="G703" i="2"/>
  <c r="O703" i="1"/>
  <c r="R703" i="1"/>
  <c r="S703" i="1"/>
  <c r="W703" i="1" s="1"/>
  <c r="AR702" i="2"/>
  <c r="AQ702" i="2"/>
  <c r="AN702" i="2"/>
  <c r="AM702" i="2"/>
  <c r="AK702" i="2"/>
  <c r="AI702" i="2"/>
  <c r="AL702" i="2"/>
  <c r="AG702" i="2"/>
  <c r="AJ702" i="2"/>
  <c r="AH702" i="2"/>
  <c r="AF702" i="2"/>
  <c r="AC702" i="2"/>
  <c r="AE702" i="2"/>
  <c r="AD702" i="2"/>
  <c r="Z702" i="2"/>
  <c r="AA702" i="2"/>
  <c r="X702" i="2"/>
  <c r="Y702" i="2"/>
  <c r="U702" i="2"/>
  <c r="W702" i="2"/>
  <c r="T702" i="2"/>
  <c r="V702" i="2"/>
  <c r="Q702" i="2"/>
  <c r="R702" i="2"/>
  <c r="S702" i="2"/>
  <c r="M702" i="2"/>
  <c r="O702" i="2"/>
  <c r="P702" i="2"/>
  <c r="K702" i="2"/>
  <c r="N702" i="2"/>
  <c r="L702" i="2"/>
  <c r="AP702" i="2"/>
  <c r="I702" i="2"/>
  <c r="J702" i="2"/>
  <c r="AO702" i="2"/>
  <c r="AR703" i="2" l="1"/>
  <c r="AQ703" i="2"/>
  <c r="AN703" i="2"/>
  <c r="AM703" i="2"/>
  <c r="AK703" i="2"/>
  <c r="AL703" i="2"/>
  <c r="AI703" i="2"/>
  <c r="AJ703" i="2"/>
  <c r="AF703" i="2"/>
  <c r="AG703" i="2"/>
  <c r="AH703" i="2"/>
  <c r="AC703" i="2"/>
  <c r="AE703" i="2"/>
  <c r="AD703" i="2"/>
  <c r="X703" i="2"/>
  <c r="AA703" i="2"/>
  <c r="Z703" i="2"/>
  <c r="Y703" i="2"/>
  <c r="W703" i="2"/>
  <c r="U703" i="2"/>
  <c r="T703" i="2"/>
  <c r="V703" i="2"/>
  <c r="Q703" i="2"/>
  <c r="S703" i="2"/>
  <c r="R703" i="2"/>
  <c r="O703" i="2"/>
  <c r="P703" i="2"/>
  <c r="K703" i="2"/>
  <c r="N703" i="2"/>
  <c r="M703" i="2"/>
  <c r="L703" i="2"/>
  <c r="I703" i="2"/>
  <c r="AP703" i="2"/>
  <c r="J703" i="2"/>
  <c r="AO703" i="2"/>
  <c r="L703" i="1"/>
  <c r="P703" i="1" s="1"/>
  <c r="AA703" i="1"/>
  <c r="I705" i="1"/>
  <c r="J704" i="1"/>
  <c r="V704" i="1"/>
  <c r="G704" i="3"/>
  <c r="Y704" i="1"/>
  <c r="Z704" i="1" s="1"/>
  <c r="G704" i="2"/>
  <c r="O704" i="1"/>
  <c r="S704" i="1"/>
  <c r="W704" i="1" s="1"/>
  <c r="R704" i="1"/>
  <c r="AR703" i="3"/>
  <c r="AQ703" i="3"/>
  <c r="AM703" i="3"/>
  <c r="AL703" i="3"/>
  <c r="AN703" i="3"/>
  <c r="AK703" i="3"/>
  <c r="AI703" i="3"/>
  <c r="AH703" i="3"/>
  <c r="AJ703" i="3"/>
  <c r="AG703" i="3"/>
  <c r="AD703" i="3"/>
  <c r="AF703" i="3"/>
  <c r="AC703" i="3"/>
  <c r="AE703" i="3"/>
  <c r="AA703" i="3"/>
  <c r="Z703" i="3"/>
  <c r="W703" i="3"/>
  <c r="U703" i="3"/>
  <c r="X703" i="3"/>
  <c r="Y703" i="3"/>
  <c r="T703" i="3"/>
  <c r="V703" i="3"/>
  <c r="R703" i="3"/>
  <c r="S703" i="3"/>
  <c r="Q703" i="3"/>
  <c r="O703" i="3"/>
  <c r="P703" i="3"/>
  <c r="M703" i="3"/>
  <c r="L703" i="3"/>
  <c r="N703" i="3"/>
  <c r="K703" i="3"/>
  <c r="I703" i="3"/>
  <c r="AP703" i="3"/>
  <c r="J703" i="3"/>
  <c r="AO703" i="3"/>
  <c r="L704" i="1" l="1"/>
  <c r="P704" i="1" s="1"/>
  <c r="AA704" i="1"/>
  <c r="AR704" i="2"/>
  <c r="AQ704" i="2"/>
  <c r="AN704" i="2"/>
  <c r="AM704" i="2"/>
  <c r="AL704" i="2"/>
  <c r="AK704" i="2"/>
  <c r="AI704" i="2"/>
  <c r="AJ704" i="2"/>
  <c r="AH704" i="2"/>
  <c r="AF704" i="2"/>
  <c r="AG704" i="2"/>
  <c r="AE704" i="2"/>
  <c r="AD704" i="2"/>
  <c r="Z704" i="2"/>
  <c r="AC704" i="2"/>
  <c r="AA704" i="2"/>
  <c r="Y704" i="2"/>
  <c r="X704" i="2"/>
  <c r="W704" i="2"/>
  <c r="V704" i="2"/>
  <c r="U704" i="2"/>
  <c r="S704" i="2"/>
  <c r="T704" i="2"/>
  <c r="Q704" i="2"/>
  <c r="R704" i="2"/>
  <c r="M704" i="2"/>
  <c r="P704" i="2"/>
  <c r="K704" i="2"/>
  <c r="O704" i="2"/>
  <c r="N704" i="2"/>
  <c r="L704" i="2"/>
  <c r="AO704" i="2"/>
  <c r="AP704" i="2"/>
  <c r="I704" i="2"/>
  <c r="J704" i="2"/>
  <c r="AR704" i="3"/>
  <c r="AN704" i="3"/>
  <c r="AM704" i="3"/>
  <c r="AQ704" i="3"/>
  <c r="AL704" i="3"/>
  <c r="AI704" i="3"/>
  <c r="AK704" i="3"/>
  <c r="AJ704" i="3"/>
  <c r="AG704" i="3"/>
  <c r="AH704" i="3"/>
  <c r="AF704" i="3"/>
  <c r="AC704" i="3"/>
  <c r="AE704" i="3"/>
  <c r="AD704" i="3"/>
  <c r="Z704" i="3"/>
  <c r="AA704" i="3"/>
  <c r="Y704" i="3"/>
  <c r="X704" i="3"/>
  <c r="U704" i="3"/>
  <c r="V704" i="3"/>
  <c r="R704" i="3"/>
  <c r="T704" i="3"/>
  <c r="W704" i="3"/>
  <c r="Q704" i="3"/>
  <c r="S704" i="3"/>
  <c r="M704" i="3"/>
  <c r="O704" i="3"/>
  <c r="P704" i="3"/>
  <c r="K704" i="3"/>
  <c r="L704" i="3"/>
  <c r="N704" i="3"/>
  <c r="AO704" i="3"/>
  <c r="I704" i="3"/>
  <c r="J704" i="3"/>
  <c r="AP704" i="3"/>
  <c r="J705" i="1"/>
  <c r="I706" i="1"/>
  <c r="G705" i="3"/>
  <c r="Y705" i="1"/>
  <c r="Z705" i="1" s="1"/>
  <c r="V705" i="1"/>
  <c r="G705" i="2"/>
  <c r="R705" i="1"/>
  <c r="S705" i="1"/>
  <c r="W705" i="1" s="1"/>
  <c r="O705" i="1"/>
  <c r="I707" i="1" l="1"/>
  <c r="J706" i="1"/>
  <c r="V706" i="1"/>
  <c r="G706" i="3"/>
  <c r="Y706" i="1"/>
  <c r="Z706" i="1" s="1"/>
  <c r="G706" i="2"/>
  <c r="S706" i="1"/>
  <c r="W706" i="1" s="1"/>
  <c r="O706" i="1"/>
  <c r="R706" i="1"/>
  <c r="AR705" i="2"/>
  <c r="AQ705" i="2"/>
  <c r="AN705" i="2"/>
  <c r="AM705" i="2"/>
  <c r="AL705" i="2"/>
  <c r="AK705" i="2"/>
  <c r="AJ705" i="2"/>
  <c r="AI705" i="2"/>
  <c r="AH705" i="2"/>
  <c r="AF705" i="2"/>
  <c r="AE705" i="2"/>
  <c r="AG705" i="2"/>
  <c r="AD705" i="2"/>
  <c r="AC705" i="2"/>
  <c r="X705" i="2"/>
  <c r="AA705" i="2"/>
  <c r="Z705" i="2"/>
  <c r="V705" i="2"/>
  <c r="Y705" i="2"/>
  <c r="W705" i="2"/>
  <c r="U705" i="2"/>
  <c r="S705" i="2"/>
  <c r="T705" i="2"/>
  <c r="R705" i="2"/>
  <c r="Q705" i="2"/>
  <c r="P705" i="2"/>
  <c r="N705" i="2"/>
  <c r="O705" i="2"/>
  <c r="M705" i="2"/>
  <c r="L705" i="2"/>
  <c r="AO705" i="2"/>
  <c r="K705" i="2"/>
  <c r="I705" i="2"/>
  <c r="J705" i="2"/>
  <c r="AP705" i="2"/>
  <c r="L705" i="1"/>
  <c r="P705" i="1" s="1"/>
  <c r="AA705" i="1"/>
  <c r="AR705" i="3"/>
  <c r="AN705" i="3"/>
  <c r="AQ705" i="3"/>
  <c r="AM705" i="3"/>
  <c r="AL705" i="3"/>
  <c r="AK705" i="3"/>
  <c r="AI705" i="3"/>
  <c r="AJ705" i="3"/>
  <c r="AG705" i="3"/>
  <c r="AH705" i="3"/>
  <c r="AD705" i="3"/>
  <c r="AF705" i="3"/>
  <c r="AC705" i="3"/>
  <c r="AE705" i="3"/>
  <c r="X705" i="3"/>
  <c r="AA705" i="3"/>
  <c r="Z705" i="3"/>
  <c r="Y705" i="3"/>
  <c r="W705" i="3"/>
  <c r="V705" i="3"/>
  <c r="U705" i="3"/>
  <c r="R705" i="3"/>
  <c r="T705" i="3"/>
  <c r="Q705" i="3"/>
  <c r="S705" i="3"/>
  <c r="O705" i="3"/>
  <c r="P705" i="3"/>
  <c r="K705" i="3"/>
  <c r="L705" i="3"/>
  <c r="M705" i="3"/>
  <c r="N705" i="3"/>
  <c r="I705" i="3"/>
  <c r="AO705" i="3"/>
  <c r="AP705" i="3"/>
  <c r="J705" i="3"/>
  <c r="AR706" i="2" l="1"/>
  <c r="AQ706" i="2"/>
  <c r="AN706" i="2"/>
  <c r="AM706" i="2"/>
  <c r="AL706" i="2"/>
  <c r="AJ706" i="2"/>
  <c r="AK706" i="2"/>
  <c r="AH706" i="2"/>
  <c r="AF706" i="2"/>
  <c r="AI706" i="2"/>
  <c r="AE706" i="2"/>
  <c r="AG706" i="2"/>
  <c r="AD706" i="2"/>
  <c r="AC706" i="2"/>
  <c r="AA706" i="2"/>
  <c r="Z706" i="2"/>
  <c r="Y706" i="2"/>
  <c r="V706" i="2"/>
  <c r="X706" i="2"/>
  <c r="S706" i="2"/>
  <c r="W706" i="2"/>
  <c r="U706" i="2"/>
  <c r="R706" i="2"/>
  <c r="T706" i="2"/>
  <c r="N706" i="2"/>
  <c r="Q706" i="2"/>
  <c r="P706" i="2"/>
  <c r="L706" i="2"/>
  <c r="O706" i="2"/>
  <c r="M706" i="2"/>
  <c r="AO706" i="2"/>
  <c r="K706" i="2"/>
  <c r="I706" i="2"/>
  <c r="J706" i="2"/>
  <c r="AP706" i="2"/>
  <c r="AN706" i="3"/>
  <c r="AR706" i="3"/>
  <c r="AQ706" i="3"/>
  <c r="AM706" i="3"/>
  <c r="AL706" i="3"/>
  <c r="AI706" i="3"/>
  <c r="AK706" i="3"/>
  <c r="AJ706" i="3"/>
  <c r="AG706" i="3"/>
  <c r="AH706" i="3"/>
  <c r="AF706" i="3"/>
  <c r="AE706" i="3"/>
  <c r="AC706" i="3"/>
  <c r="AD706" i="3"/>
  <c r="Z706" i="3"/>
  <c r="X706" i="3"/>
  <c r="AA706" i="3"/>
  <c r="Y706" i="3"/>
  <c r="W706" i="3"/>
  <c r="V706" i="3"/>
  <c r="U706" i="3"/>
  <c r="R706" i="3"/>
  <c r="Q706" i="3"/>
  <c r="S706" i="3"/>
  <c r="T706" i="3"/>
  <c r="M706" i="3"/>
  <c r="P706" i="3"/>
  <c r="N706" i="3"/>
  <c r="K706" i="3"/>
  <c r="O706" i="3"/>
  <c r="L706" i="3"/>
  <c r="J706" i="3"/>
  <c r="I706" i="3"/>
  <c r="AO706" i="3"/>
  <c r="AP706" i="3"/>
  <c r="L706" i="1"/>
  <c r="P706" i="1" s="1"/>
  <c r="AA706" i="1"/>
  <c r="J707" i="1"/>
  <c r="I708" i="1"/>
  <c r="V707" i="1"/>
  <c r="G707" i="3"/>
  <c r="G707" i="2"/>
  <c r="Y707" i="1"/>
  <c r="Z707" i="1" s="1"/>
  <c r="R707" i="1"/>
  <c r="O707" i="1"/>
  <c r="S707" i="1"/>
  <c r="W707" i="1" s="1"/>
  <c r="J708" i="1" l="1"/>
  <c r="I709" i="1"/>
  <c r="V708" i="1"/>
  <c r="G708" i="3"/>
  <c r="Y708" i="1"/>
  <c r="Z708" i="1" s="1"/>
  <c r="G708" i="2"/>
  <c r="S708" i="1"/>
  <c r="W708" i="1" s="1"/>
  <c r="O708" i="1"/>
  <c r="R708" i="1"/>
  <c r="AR707" i="2"/>
  <c r="AQ707" i="2"/>
  <c r="AN707" i="2"/>
  <c r="AL707" i="2"/>
  <c r="AM707" i="2"/>
  <c r="AJ707" i="2"/>
  <c r="AK707" i="2"/>
  <c r="AH707" i="2"/>
  <c r="AI707" i="2"/>
  <c r="AF707" i="2"/>
  <c r="AE707" i="2"/>
  <c r="AG707" i="2"/>
  <c r="AD707" i="2"/>
  <c r="AA707" i="2"/>
  <c r="AC707" i="2"/>
  <c r="Z707" i="2"/>
  <c r="Y707" i="2"/>
  <c r="V707" i="2"/>
  <c r="X707" i="2"/>
  <c r="W707" i="2"/>
  <c r="S707" i="2"/>
  <c r="U707" i="2"/>
  <c r="R707" i="2"/>
  <c r="T707" i="2"/>
  <c r="P707" i="2"/>
  <c r="Q707" i="2"/>
  <c r="L707" i="2"/>
  <c r="N707" i="2"/>
  <c r="O707" i="2"/>
  <c r="M707" i="2"/>
  <c r="J707" i="2"/>
  <c r="K707" i="2"/>
  <c r="I707" i="2"/>
  <c r="AO707" i="2"/>
  <c r="AP707" i="2"/>
  <c r="AR707" i="3"/>
  <c r="AN707" i="3"/>
  <c r="AQ707" i="3"/>
  <c r="AM707" i="3"/>
  <c r="AL707" i="3"/>
  <c r="AK707" i="3"/>
  <c r="AJ707" i="3"/>
  <c r="AG707" i="3"/>
  <c r="AI707" i="3"/>
  <c r="AH707" i="3"/>
  <c r="AF707" i="3"/>
  <c r="AE707" i="3"/>
  <c r="AD707" i="3"/>
  <c r="AC707" i="3"/>
  <c r="Z707" i="3"/>
  <c r="X707" i="3"/>
  <c r="AA707" i="3"/>
  <c r="Y707" i="3"/>
  <c r="V707" i="3"/>
  <c r="W707" i="3"/>
  <c r="U707" i="3"/>
  <c r="S707" i="3"/>
  <c r="R707" i="3"/>
  <c r="T707" i="3"/>
  <c r="Q707" i="3"/>
  <c r="O707" i="3"/>
  <c r="P707" i="3"/>
  <c r="N707" i="3"/>
  <c r="K707" i="3"/>
  <c r="L707" i="3"/>
  <c r="M707" i="3"/>
  <c r="AP707" i="3"/>
  <c r="J707" i="3"/>
  <c r="I707" i="3"/>
  <c r="AO707" i="3"/>
  <c r="L707" i="1"/>
  <c r="P707" i="1" s="1"/>
  <c r="AA707" i="1"/>
  <c r="AR708" i="2" l="1"/>
  <c r="AQ708" i="2"/>
  <c r="AN708" i="2"/>
  <c r="AM708" i="2"/>
  <c r="AJ708" i="2"/>
  <c r="AL708" i="2"/>
  <c r="AK708" i="2"/>
  <c r="AH708" i="2"/>
  <c r="AI708" i="2"/>
  <c r="AF708" i="2"/>
  <c r="AG708" i="2"/>
  <c r="AD708" i="2"/>
  <c r="AE708" i="2"/>
  <c r="AA708" i="2"/>
  <c r="AB708" i="2"/>
  <c r="Z708" i="2"/>
  <c r="Y708" i="2"/>
  <c r="X708" i="2"/>
  <c r="W708" i="2"/>
  <c r="S708" i="2"/>
  <c r="U708" i="2"/>
  <c r="V708" i="2"/>
  <c r="P708" i="2"/>
  <c r="R708" i="2"/>
  <c r="T708" i="2"/>
  <c r="N708" i="2"/>
  <c r="Q708" i="2"/>
  <c r="J708" i="2"/>
  <c r="L708" i="2"/>
  <c r="O708" i="2"/>
  <c r="M708" i="2"/>
  <c r="K708" i="2"/>
  <c r="I708" i="2"/>
  <c r="AO708" i="2"/>
  <c r="AP708" i="2"/>
  <c r="AQ708" i="3"/>
  <c r="AR708" i="3"/>
  <c r="AN708" i="3"/>
  <c r="AM708" i="3"/>
  <c r="AL708" i="3"/>
  <c r="AK708" i="3"/>
  <c r="AJ708" i="3"/>
  <c r="AI708" i="3"/>
  <c r="AF708" i="3"/>
  <c r="AH708" i="3"/>
  <c r="AE708" i="3"/>
  <c r="AG708" i="3"/>
  <c r="AD708" i="3"/>
  <c r="AB708" i="3"/>
  <c r="AA708" i="3"/>
  <c r="Z708" i="3"/>
  <c r="Y708" i="3"/>
  <c r="W708" i="3"/>
  <c r="V708" i="3"/>
  <c r="X708" i="3"/>
  <c r="S708" i="3"/>
  <c r="U708" i="3"/>
  <c r="R708" i="3"/>
  <c r="T708" i="3"/>
  <c r="N708" i="3"/>
  <c r="Q708" i="3"/>
  <c r="O708" i="3"/>
  <c r="P708" i="3"/>
  <c r="I708" i="3"/>
  <c r="L708" i="3"/>
  <c r="M708" i="3"/>
  <c r="K708" i="3"/>
  <c r="AP708" i="3"/>
  <c r="J708" i="3"/>
  <c r="AO708" i="3"/>
  <c r="L708" i="1"/>
  <c r="P708" i="1" s="1"/>
  <c r="AA708" i="1"/>
  <c r="J709" i="1"/>
  <c r="I710" i="1"/>
  <c r="V709" i="1"/>
  <c r="G709" i="3"/>
  <c r="Y709" i="1"/>
  <c r="Z709" i="1" s="1"/>
  <c r="G709" i="2"/>
  <c r="R709" i="1"/>
  <c r="O709" i="1"/>
  <c r="S709" i="1"/>
  <c r="W709" i="1" s="1"/>
  <c r="L709" i="1" l="1"/>
  <c r="P709" i="1" s="1"/>
  <c r="AA709" i="1"/>
  <c r="J710" i="1"/>
  <c r="I711" i="1"/>
  <c r="V710" i="1"/>
  <c r="G710" i="3"/>
  <c r="Y710" i="1"/>
  <c r="Z710" i="1" s="1"/>
  <c r="G710" i="2"/>
  <c r="S710" i="1"/>
  <c r="O710" i="1"/>
  <c r="R710" i="1"/>
  <c r="AR709" i="2"/>
  <c r="AQ709" i="2"/>
  <c r="AN709" i="2"/>
  <c r="AK709" i="2"/>
  <c r="AM709" i="2"/>
  <c r="AL709" i="2"/>
  <c r="AH709" i="2"/>
  <c r="AJ709" i="2"/>
  <c r="AI709" i="2"/>
  <c r="AG709" i="2"/>
  <c r="AB709" i="2"/>
  <c r="AF709" i="2"/>
  <c r="AD709" i="2"/>
  <c r="AE709" i="2"/>
  <c r="AA709" i="2"/>
  <c r="Z709" i="2"/>
  <c r="Y709" i="2"/>
  <c r="W709" i="2"/>
  <c r="X709" i="2"/>
  <c r="U709" i="2"/>
  <c r="V709" i="2"/>
  <c r="T709" i="2"/>
  <c r="S709" i="2"/>
  <c r="R709" i="2"/>
  <c r="P709" i="2"/>
  <c r="Q709" i="2"/>
  <c r="O709" i="2"/>
  <c r="M709" i="2"/>
  <c r="L709" i="2"/>
  <c r="N709" i="2"/>
  <c r="J709" i="2"/>
  <c r="K709" i="2"/>
  <c r="I709" i="2"/>
  <c r="AO709" i="2"/>
  <c r="AP709" i="2"/>
  <c r="AQ709" i="3"/>
  <c r="AR709" i="3"/>
  <c r="AN709" i="3"/>
  <c r="AL709" i="3"/>
  <c r="AM709" i="3"/>
  <c r="AK709" i="3"/>
  <c r="AJ709" i="3"/>
  <c r="AF709" i="3"/>
  <c r="AI709" i="3"/>
  <c r="AH709" i="3"/>
  <c r="AE709" i="3"/>
  <c r="AG709" i="3"/>
  <c r="AB709" i="3"/>
  <c r="AD709" i="3"/>
  <c r="AA709" i="3"/>
  <c r="Y709" i="3"/>
  <c r="Z709" i="3"/>
  <c r="W709" i="3"/>
  <c r="V709" i="3"/>
  <c r="X709" i="3"/>
  <c r="S709" i="3"/>
  <c r="U709" i="3"/>
  <c r="R709" i="3"/>
  <c r="T709" i="3"/>
  <c r="P709" i="3"/>
  <c r="N709" i="3"/>
  <c r="Q709" i="3"/>
  <c r="O709" i="3"/>
  <c r="L709" i="3"/>
  <c r="M709" i="3"/>
  <c r="J709" i="3"/>
  <c r="K709" i="3"/>
  <c r="AP709" i="3"/>
  <c r="I709" i="3"/>
  <c r="AO709" i="3"/>
  <c r="W710" i="1" l="1"/>
  <c r="AR710" i="3"/>
  <c r="AQ710" i="3"/>
  <c r="AN710" i="3"/>
  <c r="AL710" i="3"/>
  <c r="AM710" i="3"/>
  <c r="AK710" i="3"/>
  <c r="AJ710" i="3"/>
  <c r="AH710" i="3"/>
  <c r="AI710" i="3"/>
  <c r="AF710" i="3"/>
  <c r="AG710" i="3"/>
  <c r="AB710" i="3"/>
  <c r="AE710" i="3"/>
  <c r="AD710" i="3"/>
  <c r="AA710" i="3"/>
  <c r="Y710" i="3"/>
  <c r="Z710" i="3"/>
  <c r="X710" i="3"/>
  <c r="W710" i="3"/>
  <c r="V710" i="3"/>
  <c r="S710" i="3"/>
  <c r="U710" i="3"/>
  <c r="T710" i="3"/>
  <c r="P710" i="3"/>
  <c r="R710" i="3"/>
  <c r="L710" i="3"/>
  <c r="N710" i="3"/>
  <c r="Q710" i="3"/>
  <c r="O710" i="3"/>
  <c r="M710" i="3"/>
  <c r="J710" i="3"/>
  <c r="K710" i="3"/>
  <c r="AP710" i="3"/>
  <c r="I710" i="3"/>
  <c r="AO710" i="3"/>
  <c r="I712" i="1"/>
  <c r="J711" i="1"/>
  <c r="V711" i="1"/>
  <c r="G711" i="3"/>
  <c r="Y711" i="1"/>
  <c r="Z711" i="1" s="1"/>
  <c r="G711" i="2"/>
  <c r="R711" i="1"/>
  <c r="O711" i="1"/>
  <c r="S711" i="1"/>
  <c r="W711" i="1" s="1"/>
  <c r="AR710" i="2"/>
  <c r="AQ710" i="2"/>
  <c r="AL710" i="2"/>
  <c r="AN710" i="2"/>
  <c r="AM710" i="2"/>
  <c r="AH710" i="2"/>
  <c r="AK710" i="2"/>
  <c r="AJ710" i="2"/>
  <c r="AG710" i="2"/>
  <c r="AI710" i="2"/>
  <c r="AF710" i="2"/>
  <c r="AE710" i="2"/>
  <c r="AD710" i="2"/>
  <c r="AA710" i="2"/>
  <c r="AB710" i="2"/>
  <c r="Z710" i="2"/>
  <c r="W710" i="2"/>
  <c r="Y710" i="2"/>
  <c r="X710" i="2"/>
  <c r="U710" i="2"/>
  <c r="T710" i="2"/>
  <c r="V710" i="2"/>
  <c r="S710" i="2"/>
  <c r="P710" i="2"/>
  <c r="Q710" i="2"/>
  <c r="O710" i="2"/>
  <c r="R710" i="2"/>
  <c r="M710" i="2"/>
  <c r="J710" i="2"/>
  <c r="N710" i="2"/>
  <c r="K710" i="2"/>
  <c r="I710" i="2"/>
  <c r="L710" i="2"/>
  <c r="AO710" i="2"/>
  <c r="AP710" i="2"/>
  <c r="L710" i="1"/>
  <c r="P710" i="1" s="1"/>
  <c r="AA710" i="1"/>
  <c r="J712" i="1" l="1"/>
  <c r="I713" i="1"/>
  <c r="G712" i="3"/>
  <c r="V712" i="1"/>
  <c r="Y712" i="1"/>
  <c r="Z712" i="1" s="1"/>
  <c r="G712" i="2"/>
  <c r="O712" i="1"/>
  <c r="R712" i="1"/>
  <c r="S712" i="1"/>
  <c r="AR711" i="3"/>
  <c r="AQ711" i="3"/>
  <c r="AN711" i="3"/>
  <c r="AL711" i="3"/>
  <c r="AK711" i="3"/>
  <c r="AM711" i="3"/>
  <c r="AH711" i="3"/>
  <c r="AJ711" i="3"/>
  <c r="AI711" i="3"/>
  <c r="AF711" i="3"/>
  <c r="AG711" i="3"/>
  <c r="AD711" i="3"/>
  <c r="AB711" i="3"/>
  <c r="AE711" i="3"/>
  <c r="AA711" i="3"/>
  <c r="W711" i="3"/>
  <c r="Y711" i="3"/>
  <c r="Z711" i="3"/>
  <c r="X711" i="3"/>
  <c r="V711" i="3"/>
  <c r="U711" i="3"/>
  <c r="T711" i="3"/>
  <c r="R711" i="3"/>
  <c r="S711" i="3"/>
  <c r="Q711" i="3"/>
  <c r="P711" i="3"/>
  <c r="O711" i="3"/>
  <c r="N711" i="3"/>
  <c r="M711" i="3"/>
  <c r="J711" i="3"/>
  <c r="L711" i="3"/>
  <c r="AO711" i="3"/>
  <c r="K711" i="3"/>
  <c r="AP711" i="3"/>
  <c r="I711" i="3"/>
  <c r="L711" i="1"/>
  <c r="P711" i="1" s="1"/>
  <c r="AA711" i="1"/>
  <c r="AR711" i="2"/>
  <c r="AQ711" i="2"/>
  <c r="AN711" i="2"/>
  <c r="AM711" i="2"/>
  <c r="AL711" i="2"/>
  <c r="AH711" i="2"/>
  <c r="AK711" i="2"/>
  <c r="AJ711" i="2"/>
  <c r="AG711" i="2"/>
  <c r="AI711" i="2"/>
  <c r="AF711" i="2"/>
  <c r="AE711" i="2"/>
  <c r="AD711" i="2"/>
  <c r="AB711" i="2"/>
  <c r="AA711" i="2"/>
  <c r="X711" i="2"/>
  <c r="U711" i="2"/>
  <c r="W711" i="2"/>
  <c r="Z711" i="2"/>
  <c r="Y711" i="2"/>
  <c r="T711" i="2"/>
  <c r="V711" i="2"/>
  <c r="S711" i="2"/>
  <c r="R711" i="2"/>
  <c r="Q711" i="2"/>
  <c r="O711" i="2"/>
  <c r="P711" i="2"/>
  <c r="M711" i="2"/>
  <c r="L711" i="2"/>
  <c r="N711" i="2"/>
  <c r="K711" i="2"/>
  <c r="J711" i="2"/>
  <c r="I711" i="2"/>
  <c r="AP711" i="2"/>
  <c r="AO711" i="2"/>
  <c r="AR712" i="2" l="1"/>
  <c r="AQ712" i="2"/>
  <c r="AN712" i="2"/>
  <c r="AM712" i="2"/>
  <c r="AI712" i="2"/>
  <c r="AL712" i="2"/>
  <c r="AK712" i="2"/>
  <c r="AJ712" i="2"/>
  <c r="AH712" i="2"/>
  <c r="AG712" i="2"/>
  <c r="AE712" i="2"/>
  <c r="AF712" i="2"/>
  <c r="AD712" i="2"/>
  <c r="AB712" i="2"/>
  <c r="Z712" i="2"/>
  <c r="AA712" i="2"/>
  <c r="X712" i="2"/>
  <c r="U712" i="2"/>
  <c r="W712" i="2"/>
  <c r="Y712" i="2"/>
  <c r="V712" i="2"/>
  <c r="T712" i="2"/>
  <c r="Q712" i="2"/>
  <c r="S712" i="2"/>
  <c r="R712" i="2"/>
  <c r="P712" i="2"/>
  <c r="M712" i="2"/>
  <c r="O712" i="2"/>
  <c r="N712" i="2"/>
  <c r="K712" i="2"/>
  <c r="L712" i="2"/>
  <c r="AP712" i="2"/>
  <c r="J712" i="2"/>
  <c r="I712" i="2"/>
  <c r="AO712" i="2"/>
  <c r="L712" i="1"/>
  <c r="P712" i="1" s="1"/>
  <c r="AA712" i="1"/>
  <c r="AR712" i="3"/>
  <c r="AQ712" i="3"/>
  <c r="AN712" i="3"/>
  <c r="AL712" i="3"/>
  <c r="AM712" i="3"/>
  <c r="AK712" i="3"/>
  <c r="AH712" i="3"/>
  <c r="AJ712" i="3"/>
  <c r="AI712" i="3"/>
  <c r="AF712" i="3"/>
  <c r="AG712" i="3"/>
  <c r="AD712" i="3"/>
  <c r="AE712" i="3"/>
  <c r="AB712" i="3"/>
  <c r="AA712" i="3"/>
  <c r="Y712" i="3"/>
  <c r="Z712" i="3"/>
  <c r="X712" i="3"/>
  <c r="W712" i="3"/>
  <c r="U712" i="3"/>
  <c r="T712" i="3"/>
  <c r="V712" i="3"/>
  <c r="P712" i="3"/>
  <c r="R712" i="3"/>
  <c r="S712" i="3"/>
  <c r="O712" i="3"/>
  <c r="Q712" i="3"/>
  <c r="N712" i="3"/>
  <c r="M712" i="3"/>
  <c r="J712" i="3"/>
  <c r="L712" i="3"/>
  <c r="K712" i="3"/>
  <c r="AP712" i="3"/>
  <c r="I712" i="3"/>
  <c r="AO712" i="3"/>
  <c r="I714" i="1"/>
  <c r="J713" i="1"/>
  <c r="V713" i="1"/>
  <c r="G713" i="3"/>
  <c r="Y713" i="1"/>
  <c r="Z713" i="1" s="1"/>
  <c r="G713" i="2"/>
  <c r="R713" i="1"/>
  <c r="O713" i="1"/>
  <c r="S713" i="1"/>
  <c r="W713" i="1" s="1"/>
  <c r="W712" i="1"/>
  <c r="J714" i="1" l="1"/>
  <c r="I715" i="1"/>
  <c r="V714" i="1"/>
  <c r="G714" i="3"/>
  <c r="Y714" i="1"/>
  <c r="Z714" i="1" s="1"/>
  <c r="G714" i="2"/>
  <c r="S714" i="1"/>
  <c r="W714" i="1" s="1"/>
  <c r="O714" i="1"/>
  <c r="R714" i="1"/>
  <c r="L713" i="1"/>
  <c r="P713" i="1" s="1"/>
  <c r="AA713" i="1"/>
  <c r="AR713" i="2"/>
  <c r="AQ713" i="2"/>
  <c r="AM713" i="2"/>
  <c r="AN713" i="2"/>
  <c r="AL713" i="2"/>
  <c r="AK713" i="2"/>
  <c r="AJ713" i="2"/>
  <c r="AI713" i="2"/>
  <c r="AH713" i="2"/>
  <c r="AG713" i="2"/>
  <c r="AE713" i="2"/>
  <c r="AF713" i="2"/>
  <c r="AD713" i="2"/>
  <c r="AB713" i="2"/>
  <c r="X713" i="2"/>
  <c r="Z713" i="2"/>
  <c r="AA713" i="2"/>
  <c r="Y713" i="2"/>
  <c r="V713" i="2"/>
  <c r="W713" i="2"/>
  <c r="T713" i="2"/>
  <c r="U713" i="2"/>
  <c r="Q713" i="2"/>
  <c r="S713" i="2"/>
  <c r="P713" i="2"/>
  <c r="R713" i="2"/>
  <c r="O713" i="2"/>
  <c r="N713" i="2"/>
  <c r="K713" i="2"/>
  <c r="M713" i="2"/>
  <c r="L713" i="2"/>
  <c r="I713" i="2"/>
  <c r="AP713" i="2"/>
  <c r="J713" i="2"/>
  <c r="AO713" i="2"/>
  <c r="AQ713" i="3"/>
  <c r="AR713" i="3"/>
  <c r="AN713" i="3"/>
  <c r="AM713" i="3"/>
  <c r="AL713" i="3"/>
  <c r="AK713" i="3"/>
  <c r="AI713" i="3"/>
  <c r="AH713" i="3"/>
  <c r="AJ713" i="3"/>
  <c r="AD713" i="3"/>
  <c r="AF713" i="3"/>
  <c r="AG713" i="3"/>
  <c r="AE713" i="3"/>
  <c r="AB713" i="3"/>
  <c r="AA713" i="3"/>
  <c r="W713" i="3"/>
  <c r="Z713" i="3"/>
  <c r="Y713" i="3"/>
  <c r="U713" i="3"/>
  <c r="X713" i="3"/>
  <c r="T713" i="3"/>
  <c r="V713" i="3"/>
  <c r="R713" i="3"/>
  <c r="S713" i="3"/>
  <c r="Q713" i="3"/>
  <c r="P713" i="3"/>
  <c r="O713" i="3"/>
  <c r="M713" i="3"/>
  <c r="N713" i="3"/>
  <c r="L713" i="3"/>
  <c r="K713" i="3"/>
  <c r="J713" i="3"/>
  <c r="AP713" i="3"/>
  <c r="I713" i="3"/>
  <c r="AO713" i="3"/>
  <c r="AR714" i="2" l="1"/>
  <c r="AQ714" i="2"/>
  <c r="AM714" i="2"/>
  <c r="AN714" i="2"/>
  <c r="AL714" i="2"/>
  <c r="AK714" i="2"/>
  <c r="AI714" i="2"/>
  <c r="AJ714" i="2"/>
  <c r="AH714" i="2"/>
  <c r="AG714" i="2"/>
  <c r="AF714" i="2"/>
  <c r="AE714" i="2"/>
  <c r="AD714" i="2"/>
  <c r="AB714" i="2"/>
  <c r="Z714" i="2"/>
  <c r="AA714" i="2"/>
  <c r="X714" i="2"/>
  <c r="W714" i="2"/>
  <c r="Y714" i="2"/>
  <c r="V714" i="2"/>
  <c r="U714" i="2"/>
  <c r="Q714" i="2"/>
  <c r="T714" i="2"/>
  <c r="S714" i="2"/>
  <c r="R714" i="2"/>
  <c r="P714" i="2"/>
  <c r="M714" i="2"/>
  <c r="O714" i="2"/>
  <c r="N714" i="2"/>
  <c r="K714" i="2"/>
  <c r="L714" i="2"/>
  <c r="AO714" i="2"/>
  <c r="AP714" i="2"/>
  <c r="I714" i="2"/>
  <c r="J714" i="2"/>
  <c r="AQ714" i="3"/>
  <c r="AR714" i="3"/>
  <c r="AN714" i="3"/>
  <c r="AM714" i="3"/>
  <c r="AL714" i="3"/>
  <c r="AI714" i="3"/>
  <c r="AK714" i="3"/>
  <c r="AJ714" i="3"/>
  <c r="AH714" i="3"/>
  <c r="AG714" i="3"/>
  <c r="AF714" i="3"/>
  <c r="AD714" i="3"/>
  <c r="AE714" i="3"/>
  <c r="AB714" i="3"/>
  <c r="Z714" i="3"/>
  <c r="AA714" i="3"/>
  <c r="Y714" i="3"/>
  <c r="X714" i="3"/>
  <c r="U714" i="3"/>
  <c r="W714" i="3"/>
  <c r="R714" i="3"/>
  <c r="T714" i="3"/>
  <c r="V714" i="3"/>
  <c r="Q714" i="3"/>
  <c r="S714" i="3"/>
  <c r="M714" i="3"/>
  <c r="P714" i="3"/>
  <c r="O714" i="3"/>
  <c r="L714" i="3"/>
  <c r="K714" i="3"/>
  <c r="N714" i="3"/>
  <c r="J714" i="3"/>
  <c r="I714" i="3"/>
  <c r="AO714" i="3"/>
  <c r="AP714" i="3"/>
  <c r="L714" i="1"/>
  <c r="P714" i="1" s="1"/>
  <c r="AA714" i="1"/>
  <c r="J715" i="1"/>
  <c r="I716" i="1"/>
  <c r="V715" i="1"/>
  <c r="Y715" i="1"/>
  <c r="Z715" i="1" s="1"/>
  <c r="G715" i="3"/>
  <c r="G715" i="2"/>
  <c r="O715" i="1"/>
  <c r="R715" i="1"/>
  <c r="S715" i="1"/>
  <c r="W715" i="1" s="1"/>
  <c r="L715" i="1" l="1"/>
  <c r="P715" i="1" s="1"/>
  <c r="AA715" i="1"/>
  <c r="I717" i="1"/>
  <c r="J716" i="1"/>
  <c r="V716" i="1"/>
  <c r="G716" i="3"/>
  <c r="Y716" i="1"/>
  <c r="Z716" i="1" s="1"/>
  <c r="G716" i="2"/>
  <c r="S716" i="1"/>
  <c r="O716" i="1"/>
  <c r="R716" i="1"/>
  <c r="AR715" i="2"/>
  <c r="AQ715" i="2"/>
  <c r="AN715" i="2"/>
  <c r="AM715" i="2"/>
  <c r="AL715" i="2"/>
  <c r="AK715" i="2"/>
  <c r="AJ715" i="2"/>
  <c r="AI715" i="2"/>
  <c r="AH715" i="2"/>
  <c r="AF715" i="2"/>
  <c r="AG715" i="2"/>
  <c r="AE715" i="2"/>
  <c r="AD715" i="2"/>
  <c r="AB715" i="2"/>
  <c r="X715" i="2"/>
  <c r="Z715" i="2"/>
  <c r="AA715" i="2"/>
  <c r="Y715" i="2"/>
  <c r="V715" i="2"/>
  <c r="W715" i="2"/>
  <c r="U715" i="2"/>
  <c r="T715" i="2"/>
  <c r="S715" i="2"/>
  <c r="R715" i="2"/>
  <c r="Q715" i="2"/>
  <c r="P715" i="2"/>
  <c r="N715" i="2"/>
  <c r="O715" i="2"/>
  <c r="M715" i="2"/>
  <c r="L715" i="2"/>
  <c r="K715" i="2"/>
  <c r="AO715" i="2"/>
  <c r="I715" i="2"/>
  <c r="J715" i="2"/>
  <c r="AP715" i="2"/>
  <c r="AR715" i="3"/>
  <c r="AN715" i="3"/>
  <c r="AQ715" i="3"/>
  <c r="AM715" i="3"/>
  <c r="AL715" i="3"/>
  <c r="AK715" i="3"/>
  <c r="AJ715" i="3"/>
  <c r="AG715" i="3"/>
  <c r="AI715" i="3"/>
  <c r="AH715" i="3"/>
  <c r="AD715" i="3"/>
  <c r="AF715" i="3"/>
  <c r="AE715" i="3"/>
  <c r="AB715" i="3"/>
  <c r="X715" i="3"/>
  <c r="AA715" i="3"/>
  <c r="Y715" i="3"/>
  <c r="Z715" i="3"/>
  <c r="W715" i="3"/>
  <c r="R715" i="3"/>
  <c r="T715" i="3"/>
  <c r="V715" i="3"/>
  <c r="U715" i="3"/>
  <c r="S715" i="3"/>
  <c r="Q715" i="3"/>
  <c r="P715" i="3"/>
  <c r="O715" i="3"/>
  <c r="L715" i="3"/>
  <c r="K715" i="3"/>
  <c r="M715" i="3"/>
  <c r="N715" i="3"/>
  <c r="I715" i="3"/>
  <c r="AO715" i="3"/>
  <c r="J715" i="3"/>
  <c r="AP715" i="3"/>
  <c r="W716" i="1" l="1"/>
  <c r="AR716" i="2"/>
  <c r="AQ716" i="2"/>
  <c r="AN716" i="2"/>
  <c r="AM716" i="2"/>
  <c r="AL716" i="2"/>
  <c r="AJ716" i="2"/>
  <c r="AK716" i="2"/>
  <c r="AI716" i="2"/>
  <c r="AF716" i="2"/>
  <c r="AH716" i="2"/>
  <c r="AG716" i="2"/>
  <c r="AE716" i="2"/>
  <c r="AD716" i="2"/>
  <c r="AB716" i="2"/>
  <c r="AA716" i="2"/>
  <c r="Z716" i="2"/>
  <c r="Y716" i="2"/>
  <c r="V716" i="2"/>
  <c r="X716" i="2"/>
  <c r="U716" i="2"/>
  <c r="S716" i="2"/>
  <c r="W716" i="2"/>
  <c r="R716" i="2"/>
  <c r="T716" i="2"/>
  <c r="N716" i="2"/>
  <c r="Q716" i="2"/>
  <c r="P716" i="2"/>
  <c r="L716" i="2"/>
  <c r="O716" i="2"/>
  <c r="M716" i="2"/>
  <c r="K716" i="2"/>
  <c r="AO716" i="2"/>
  <c r="I716" i="2"/>
  <c r="J716" i="2"/>
  <c r="AP716" i="2"/>
  <c r="AN716" i="3"/>
  <c r="AR716" i="3"/>
  <c r="AQ716" i="3"/>
  <c r="AM716" i="3"/>
  <c r="AL716" i="3"/>
  <c r="AI716" i="3"/>
  <c r="AK716" i="3"/>
  <c r="AJ716" i="3"/>
  <c r="AG716" i="3"/>
  <c r="AH716" i="3"/>
  <c r="AF716" i="3"/>
  <c r="AE716" i="3"/>
  <c r="AD716" i="3"/>
  <c r="Z716" i="3"/>
  <c r="AB716" i="3"/>
  <c r="X716" i="3"/>
  <c r="AA716" i="3"/>
  <c r="Y716" i="3"/>
  <c r="V716" i="3"/>
  <c r="R716" i="3"/>
  <c r="W716" i="3"/>
  <c r="U716" i="3"/>
  <c r="T716" i="3"/>
  <c r="S716" i="3"/>
  <c r="Q716" i="3"/>
  <c r="M716" i="3"/>
  <c r="P716" i="3"/>
  <c r="L716" i="3"/>
  <c r="K716" i="3"/>
  <c r="O716" i="3"/>
  <c r="N716" i="3"/>
  <c r="I716" i="3"/>
  <c r="AO716" i="3"/>
  <c r="J716" i="3"/>
  <c r="AP716" i="3"/>
  <c r="L716" i="1"/>
  <c r="P716" i="1" s="1"/>
  <c r="AA716" i="1"/>
  <c r="J717" i="1"/>
  <c r="I718" i="1"/>
  <c r="V717" i="1"/>
  <c r="G717" i="3"/>
  <c r="G717" i="2"/>
  <c r="Y717" i="1"/>
  <c r="Z717" i="1" s="1"/>
  <c r="R717" i="1"/>
  <c r="O717" i="1"/>
  <c r="S717" i="1"/>
  <c r="W717" i="1" s="1"/>
  <c r="AR717" i="3" l="1"/>
  <c r="AN717" i="3"/>
  <c r="AQ717" i="3"/>
  <c r="AM717" i="3"/>
  <c r="AL717" i="3"/>
  <c r="AK717" i="3"/>
  <c r="AJ717" i="3"/>
  <c r="AG717" i="3"/>
  <c r="AI717" i="3"/>
  <c r="AH717" i="3"/>
  <c r="AF717" i="3"/>
  <c r="AE717" i="3"/>
  <c r="AD717" i="3"/>
  <c r="AB717" i="3"/>
  <c r="Z717" i="3"/>
  <c r="X717" i="3"/>
  <c r="AA717" i="3"/>
  <c r="Y717" i="3"/>
  <c r="V717" i="3"/>
  <c r="W717" i="3"/>
  <c r="U717" i="3"/>
  <c r="S717" i="3"/>
  <c r="T717" i="3"/>
  <c r="R717" i="3"/>
  <c r="P717" i="3"/>
  <c r="O717" i="3"/>
  <c r="Q717" i="3"/>
  <c r="N717" i="3"/>
  <c r="L717" i="3"/>
  <c r="K717" i="3"/>
  <c r="M717" i="3"/>
  <c r="AP717" i="3"/>
  <c r="I717" i="3"/>
  <c r="AO717" i="3"/>
  <c r="J717" i="3"/>
  <c r="AR717" i="2"/>
  <c r="AQ717" i="2"/>
  <c r="AN717" i="2"/>
  <c r="AM717" i="2"/>
  <c r="AL717" i="2"/>
  <c r="AJ717" i="2"/>
  <c r="AK717" i="2"/>
  <c r="AI717" i="2"/>
  <c r="AF717" i="2"/>
  <c r="AG717" i="2"/>
  <c r="AE717" i="2"/>
  <c r="AH717" i="2"/>
  <c r="AB717" i="2"/>
  <c r="AD717" i="2"/>
  <c r="AA717" i="2"/>
  <c r="Y717" i="2"/>
  <c r="Z717" i="2"/>
  <c r="V717" i="2"/>
  <c r="X717" i="2"/>
  <c r="W717" i="2"/>
  <c r="U717" i="2"/>
  <c r="S717" i="2"/>
  <c r="R717" i="2"/>
  <c r="T717" i="2"/>
  <c r="P717" i="2"/>
  <c r="Q717" i="2"/>
  <c r="L717" i="2"/>
  <c r="O717" i="2"/>
  <c r="N717" i="2"/>
  <c r="M717" i="2"/>
  <c r="J717" i="2"/>
  <c r="K717" i="2"/>
  <c r="I717" i="2"/>
  <c r="AP717" i="2"/>
  <c r="AO717" i="2"/>
  <c r="L717" i="1"/>
  <c r="P717" i="1" s="1"/>
  <c r="AA717" i="1"/>
  <c r="J718" i="1"/>
  <c r="I719" i="1"/>
  <c r="V718" i="1"/>
  <c r="G718" i="3"/>
  <c r="Y718" i="1"/>
  <c r="Z718" i="1" s="1"/>
  <c r="G718" i="2"/>
  <c r="S718" i="1"/>
  <c r="W718" i="1" s="1"/>
  <c r="O718" i="1"/>
  <c r="R718" i="1"/>
  <c r="J719" i="1" l="1"/>
  <c r="I720" i="1"/>
  <c r="V719" i="1"/>
  <c r="G719" i="3"/>
  <c r="Y719" i="1"/>
  <c r="Z719" i="1" s="1"/>
  <c r="G719" i="2"/>
  <c r="R719" i="1"/>
  <c r="O719" i="1"/>
  <c r="S719" i="1"/>
  <c r="AR718" i="2"/>
  <c r="AQ718" i="2"/>
  <c r="AN718" i="2"/>
  <c r="AM718" i="2"/>
  <c r="AL718" i="2"/>
  <c r="AJ718" i="2"/>
  <c r="AK718" i="2"/>
  <c r="AH718" i="2"/>
  <c r="AI718" i="2"/>
  <c r="AF718" i="2"/>
  <c r="AG718" i="2"/>
  <c r="AE718" i="2"/>
  <c r="AA718" i="2"/>
  <c r="AB718" i="2"/>
  <c r="AC718" i="2"/>
  <c r="Y718" i="2"/>
  <c r="Z718" i="2"/>
  <c r="X718" i="2"/>
  <c r="W718" i="2"/>
  <c r="V718" i="2"/>
  <c r="U718" i="2"/>
  <c r="S718" i="2"/>
  <c r="T718" i="2"/>
  <c r="P718" i="2"/>
  <c r="R718" i="2"/>
  <c r="N718" i="2"/>
  <c r="Q718" i="2"/>
  <c r="J718" i="2"/>
  <c r="L718" i="2"/>
  <c r="O718" i="2"/>
  <c r="M718" i="2"/>
  <c r="K718" i="2"/>
  <c r="I718" i="2"/>
  <c r="AP718" i="2"/>
  <c r="AO718" i="2"/>
  <c r="AQ718" i="3"/>
  <c r="AR718" i="3"/>
  <c r="AM718" i="3"/>
  <c r="AN718" i="3"/>
  <c r="AJ718" i="3"/>
  <c r="AL718" i="3"/>
  <c r="AK718" i="3"/>
  <c r="AI718" i="3"/>
  <c r="AF718" i="3"/>
  <c r="AG718" i="3"/>
  <c r="AH718" i="3"/>
  <c r="AE718" i="3"/>
  <c r="AC718" i="3"/>
  <c r="AB718" i="3"/>
  <c r="AA718" i="3"/>
  <c r="Z718" i="3"/>
  <c r="Y718" i="3"/>
  <c r="V718" i="3"/>
  <c r="X718" i="3"/>
  <c r="W718" i="3"/>
  <c r="S718" i="3"/>
  <c r="U718" i="3"/>
  <c r="T718" i="3"/>
  <c r="R718" i="3"/>
  <c r="Q718" i="3"/>
  <c r="N718" i="3"/>
  <c r="P718" i="3"/>
  <c r="O718" i="3"/>
  <c r="I718" i="3"/>
  <c r="L718" i="3"/>
  <c r="M718" i="3"/>
  <c r="AP718" i="3"/>
  <c r="AO718" i="3"/>
  <c r="K718" i="3"/>
  <c r="J718" i="3"/>
  <c r="L718" i="1"/>
  <c r="P718" i="1" s="1"/>
  <c r="AA718" i="1"/>
  <c r="AQ719" i="3" l="1"/>
  <c r="AR719" i="3"/>
  <c r="AM719" i="3"/>
  <c r="AL719" i="3"/>
  <c r="AN719" i="3"/>
  <c r="AJ719" i="3"/>
  <c r="AK719" i="3"/>
  <c r="AI719" i="3"/>
  <c r="AF719" i="3"/>
  <c r="AH719" i="3"/>
  <c r="AE719" i="3"/>
  <c r="AG719" i="3"/>
  <c r="AB719" i="3"/>
  <c r="AC719" i="3"/>
  <c r="AA719" i="3"/>
  <c r="Y719" i="3"/>
  <c r="Z719" i="3"/>
  <c r="V719" i="3"/>
  <c r="X719" i="3"/>
  <c r="W719" i="3"/>
  <c r="S719" i="3"/>
  <c r="U719" i="3"/>
  <c r="R719" i="3"/>
  <c r="T719" i="3"/>
  <c r="P719" i="3"/>
  <c r="Q719" i="3"/>
  <c r="N719" i="3"/>
  <c r="O719" i="3"/>
  <c r="L719" i="3"/>
  <c r="M719" i="3"/>
  <c r="J719" i="3"/>
  <c r="I719" i="3"/>
  <c r="AP719" i="3"/>
  <c r="AO719" i="3"/>
  <c r="K719" i="3"/>
  <c r="AR719" i="2"/>
  <c r="AQ719" i="2"/>
  <c r="AK719" i="2"/>
  <c r="AM719" i="2"/>
  <c r="AN719" i="2"/>
  <c r="AL719" i="2"/>
  <c r="AH719" i="2"/>
  <c r="AJ719" i="2"/>
  <c r="AI719" i="2"/>
  <c r="AG719" i="2"/>
  <c r="AF719" i="2"/>
  <c r="AB719" i="2"/>
  <c r="AE719" i="2"/>
  <c r="AA719" i="2"/>
  <c r="AC719" i="2"/>
  <c r="Z719" i="2"/>
  <c r="Y719" i="2"/>
  <c r="W719" i="2"/>
  <c r="X719" i="2"/>
  <c r="V719" i="2"/>
  <c r="U719" i="2"/>
  <c r="T719" i="2"/>
  <c r="R719" i="2"/>
  <c r="S719" i="2"/>
  <c r="Q719" i="2"/>
  <c r="P719" i="2"/>
  <c r="O719" i="2"/>
  <c r="L719" i="2"/>
  <c r="N719" i="2"/>
  <c r="M719" i="2"/>
  <c r="K719" i="2"/>
  <c r="J719" i="2"/>
  <c r="I719" i="2"/>
  <c r="AO719" i="2"/>
  <c r="AP719" i="2"/>
  <c r="I721" i="1"/>
  <c r="J720" i="1"/>
  <c r="G720" i="3"/>
  <c r="V720" i="1"/>
  <c r="Y720" i="1"/>
  <c r="Z720" i="1" s="1"/>
  <c r="G720" i="2"/>
  <c r="S720" i="1"/>
  <c r="O720" i="1"/>
  <c r="R720" i="1"/>
  <c r="L719" i="1"/>
  <c r="P719" i="1" s="1"/>
  <c r="AA719" i="1"/>
  <c r="W719" i="1"/>
  <c r="AQ720" i="3" l="1"/>
  <c r="AR720" i="3"/>
  <c r="AN720" i="3"/>
  <c r="AM720" i="3"/>
  <c r="AJ720" i="3"/>
  <c r="AL720" i="3"/>
  <c r="AK720" i="3"/>
  <c r="AI720" i="3"/>
  <c r="AH720" i="3"/>
  <c r="AF720" i="3"/>
  <c r="AG720" i="3"/>
  <c r="AE720" i="3"/>
  <c r="AB720" i="3"/>
  <c r="AA720" i="3"/>
  <c r="AC720" i="3"/>
  <c r="Y720" i="3"/>
  <c r="Z720" i="3"/>
  <c r="W720" i="3"/>
  <c r="X720" i="3"/>
  <c r="S720" i="3"/>
  <c r="U720" i="3"/>
  <c r="V720" i="3"/>
  <c r="P720" i="3"/>
  <c r="R720" i="3"/>
  <c r="T720" i="3"/>
  <c r="L720" i="3"/>
  <c r="Q720" i="3"/>
  <c r="N720" i="3"/>
  <c r="O720" i="3"/>
  <c r="J720" i="3"/>
  <c r="K720" i="3"/>
  <c r="M720" i="3"/>
  <c r="I720" i="3"/>
  <c r="AP720" i="3"/>
  <c r="AO720" i="3"/>
  <c r="I722" i="1"/>
  <c r="J721" i="1"/>
  <c r="V721" i="1"/>
  <c r="G721" i="3"/>
  <c r="Y721" i="1"/>
  <c r="Z721" i="1" s="1"/>
  <c r="G721" i="2"/>
  <c r="R721" i="1"/>
  <c r="O721" i="1"/>
  <c r="S721" i="1"/>
  <c r="W721" i="1" s="1"/>
  <c r="W720" i="1"/>
  <c r="L720" i="1"/>
  <c r="P720" i="1" s="1"/>
  <c r="AA720" i="1"/>
  <c r="AR720" i="2"/>
  <c r="AQ720" i="2"/>
  <c r="AL720" i="2"/>
  <c r="AM720" i="2"/>
  <c r="AN720" i="2"/>
  <c r="AK720" i="2"/>
  <c r="AH720" i="2"/>
  <c r="AG720" i="2"/>
  <c r="AJ720" i="2"/>
  <c r="AI720" i="2"/>
  <c r="AF720" i="2"/>
  <c r="AE720" i="2"/>
  <c r="AC720" i="2"/>
  <c r="AB720" i="2"/>
  <c r="AA720" i="2"/>
  <c r="Z720" i="2"/>
  <c r="Y720" i="2"/>
  <c r="W720" i="2"/>
  <c r="X720" i="2"/>
  <c r="U720" i="2"/>
  <c r="T720" i="2"/>
  <c r="V720" i="2"/>
  <c r="P720" i="2"/>
  <c r="S720" i="2"/>
  <c r="O720" i="2"/>
  <c r="R720" i="2"/>
  <c r="Q720" i="2"/>
  <c r="J720" i="2"/>
  <c r="N720" i="2"/>
  <c r="M720" i="2"/>
  <c r="K720" i="2"/>
  <c r="L720" i="2"/>
  <c r="I720" i="2"/>
  <c r="AO720" i="2"/>
  <c r="AP720" i="2"/>
  <c r="J722" i="1" l="1"/>
  <c r="I723" i="1"/>
  <c r="G722" i="3"/>
  <c r="V722" i="1"/>
  <c r="Y722" i="1"/>
  <c r="Z722" i="1" s="1"/>
  <c r="G722" i="2"/>
  <c r="O722" i="1"/>
  <c r="R722" i="1"/>
  <c r="S722" i="1"/>
  <c r="AR721" i="2"/>
  <c r="AQ721" i="2"/>
  <c r="AN721" i="2"/>
  <c r="AM721" i="2"/>
  <c r="AL721" i="2"/>
  <c r="AK721" i="2"/>
  <c r="AH721" i="2"/>
  <c r="AJ721" i="2"/>
  <c r="AG721" i="2"/>
  <c r="AI721" i="2"/>
  <c r="AC721" i="2"/>
  <c r="AF721" i="2"/>
  <c r="AE721" i="2"/>
  <c r="AB721" i="2"/>
  <c r="AA721" i="2"/>
  <c r="Z721" i="2"/>
  <c r="U721" i="2"/>
  <c r="Y721" i="2"/>
  <c r="W721" i="2"/>
  <c r="X721" i="2"/>
  <c r="T721" i="2"/>
  <c r="V721" i="2"/>
  <c r="S721" i="2"/>
  <c r="R721" i="2"/>
  <c r="Q721" i="2"/>
  <c r="O721" i="2"/>
  <c r="P721" i="2"/>
  <c r="M721" i="2"/>
  <c r="L721" i="2"/>
  <c r="N721" i="2"/>
  <c r="K721" i="2"/>
  <c r="I721" i="2"/>
  <c r="J721" i="2"/>
  <c r="AP721" i="2"/>
  <c r="AO721" i="2"/>
  <c r="AQ721" i="3"/>
  <c r="AR721" i="3"/>
  <c r="AN721" i="3"/>
  <c r="AL721" i="3"/>
  <c r="AK721" i="3"/>
  <c r="AM721" i="3"/>
  <c r="AH721" i="3"/>
  <c r="AI721" i="3"/>
  <c r="AJ721" i="3"/>
  <c r="AG721" i="3"/>
  <c r="AF721" i="3"/>
  <c r="AE721" i="3"/>
  <c r="AB721" i="3"/>
  <c r="AC721" i="3"/>
  <c r="AA721" i="3"/>
  <c r="W721" i="3"/>
  <c r="Y721" i="3"/>
  <c r="Z721" i="3"/>
  <c r="X721" i="3"/>
  <c r="U721" i="3"/>
  <c r="V721" i="3"/>
  <c r="T721" i="3"/>
  <c r="S721" i="3"/>
  <c r="R721" i="3"/>
  <c r="Q721" i="3"/>
  <c r="P721" i="3"/>
  <c r="O721" i="3"/>
  <c r="J721" i="3"/>
  <c r="L721" i="3"/>
  <c r="N721" i="3"/>
  <c r="M721" i="3"/>
  <c r="AO721" i="3"/>
  <c r="I721" i="3"/>
  <c r="AP721" i="3"/>
  <c r="K721" i="3"/>
  <c r="L721" i="1"/>
  <c r="P721" i="1" s="1"/>
  <c r="AA721" i="1"/>
  <c r="AR722" i="2" l="1"/>
  <c r="AQ722" i="2"/>
  <c r="AN722" i="2"/>
  <c r="AM722" i="2"/>
  <c r="AI722" i="2"/>
  <c r="AL722" i="2"/>
  <c r="AK722" i="2"/>
  <c r="AJ722" i="2"/>
  <c r="AG722" i="2"/>
  <c r="AH722" i="2"/>
  <c r="AF722" i="2"/>
  <c r="AC722" i="2"/>
  <c r="AE722" i="2"/>
  <c r="AB722" i="2"/>
  <c r="Z722" i="2"/>
  <c r="AA722" i="2"/>
  <c r="X722" i="2"/>
  <c r="U722" i="2"/>
  <c r="Y722" i="2"/>
  <c r="W722" i="2"/>
  <c r="T722" i="2"/>
  <c r="V722" i="2"/>
  <c r="Q722" i="2"/>
  <c r="S722" i="2"/>
  <c r="R722" i="2"/>
  <c r="M722" i="2"/>
  <c r="O722" i="2"/>
  <c r="P722" i="2"/>
  <c r="K722" i="2"/>
  <c r="L722" i="2"/>
  <c r="N722" i="2"/>
  <c r="AP722" i="2"/>
  <c r="I722" i="2"/>
  <c r="J722" i="2"/>
  <c r="AO722" i="2"/>
  <c r="AR722" i="3"/>
  <c r="AQ722" i="3"/>
  <c r="AL722" i="3"/>
  <c r="AN722" i="3"/>
  <c r="AK722" i="3"/>
  <c r="AM722" i="3"/>
  <c r="AH722" i="3"/>
  <c r="AJ722" i="3"/>
  <c r="AI722" i="3"/>
  <c r="AG722" i="3"/>
  <c r="AF722" i="3"/>
  <c r="AE722" i="3"/>
  <c r="AC722" i="3"/>
  <c r="AA722" i="3"/>
  <c r="AB722" i="3"/>
  <c r="Y722" i="3"/>
  <c r="Z722" i="3"/>
  <c r="W722" i="3"/>
  <c r="X722" i="3"/>
  <c r="U722" i="3"/>
  <c r="V722" i="3"/>
  <c r="T722" i="3"/>
  <c r="P722" i="3"/>
  <c r="S722" i="3"/>
  <c r="R722" i="3"/>
  <c r="O722" i="3"/>
  <c r="Q722" i="3"/>
  <c r="J722" i="3"/>
  <c r="L722" i="3"/>
  <c r="N722" i="3"/>
  <c r="M722" i="3"/>
  <c r="I722" i="3"/>
  <c r="AP722" i="3"/>
  <c r="AO722" i="3"/>
  <c r="K722" i="3"/>
  <c r="L722" i="1"/>
  <c r="P722" i="1" s="1"/>
  <c r="AA722" i="1"/>
  <c r="J723" i="1"/>
  <c r="I724" i="1"/>
  <c r="V723" i="1"/>
  <c r="G723" i="3"/>
  <c r="Y723" i="1"/>
  <c r="Z723" i="1" s="1"/>
  <c r="G723" i="2"/>
  <c r="O723" i="1"/>
  <c r="R723" i="1"/>
  <c r="S723" i="1"/>
  <c r="W723" i="1" s="1"/>
  <c r="W722" i="1"/>
  <c r="J724" i="1" l="1"/>
  <c r="I725" i="1"/>
  <c r="V724" i="1"/>
  <c r="G724" i="3"/>
  <c r="Y724" i="1"/>
  <c r="Z724" i="1" s="1"/>
  <c r="G724" i="2"/>
  <c r="S724" i="1"/>
  <c r="W724" i="1" s="1"/>
  <c r="O724" i="1"/>
  <c r="R724" i="1"/>
  <c r="L723" i="1"/>
  <c r="P723" i="1" s="1"/>
  <c r="AA723" i="1"/>
  <c r="AR723" i="2"/>
  <c r="AQ723" i="2"/>
  <c r="AN723" i="2"/>
  <c r="AM723" i="2"/>
  <c r="AL723" i="2"/>
  <c r="AK723" i="2"/>
  <c r="AJ723" i="2"/>
  <c r="AI723" i="2"/>
  <c r="AH723" i="2"/>
  <c r="AG723" i="2"/>
  <c r="AF723" i="2"/>
  <c r="AC723" i="2"/>
  <c r="AE723" i="2"/>
  <c r="AB723" i="2"/>
  <c r="X723" i="2"/>
  <c r="AA723" i="2"/>
  <c r="Z723" i="2"/>
  <c r="Y723" i="2"/>
  <c r="T723" i="2"/>
  <c r="U723" i="2"/>
  <c r="W723" i="2"/>
  <c r="V723" i="2"/>
  <c r="Q723" i="2"/>
  <c r="S723" i="2"/>
  <c r="R723" i="2"/>
  <c r="P723" i="2"/>
  <c r="K723" i="2"/>
  <c r="O723" i="2"/>
  <c r="L723" i="2"/>
  <c r="N723" i="2"/>
  <c r="M723" i="2"/>
  <c r="I723" i="2"/>
  <c r="J723" i="2"/>
  <c r="AP723" i="2"/>
  <c r="AO723" i="2"/>
  <c r="AR723" i="3"/>
  <c r="AQ723" i="3"/>
  <c r="AM723" i="3"/>
  <c r="AL723" i="3"/>
  <c r="AN723" i="3"/>
  <c r="AK723" i="3"/>
  <c r="AI723" i="3"/>
  <c r="AH723" i="3"/>
  <c r="AJ723" i="3"/>
  <c r="AG723" i="3"/>
  <c r="AF723" i="3"/>
  <c r="AC723" i="3"/>
  <c r="AE723" i="3"/>
  <c r="AB723" i="3"/>
  <c r="AA723" i="3"/>
  <c r="W723" i="3"/>
  <c r="Z723" i="3"/>
  <c r="U723" i="3"/>
  <c r="Y723" i="3"/>
  <c r="X723" i="3"/>
  <c r="V723" i="3"/>
  <c r="T723" i="3"/>
  <c r="S723" i="3"/>
  <c r="R723" i="3"/>
  <c r="Q723" i="3"/>
  <c r="O723" i="3"/>
  <c r="P723" i="3"/>
  <c r="M723" i="3"/>
  <c r="L723" i="3"/>
  <c r="N723" i="3"/>
  <c r="K723" i="3"/>
  <c r="I723" i="3"/>
  <c r="AP723" i="3"/>
  <c r="AO723" i="3"/>
  <c r="J723" i="3"/>
  <c r="AR724" i="2" l="1"/>
  <c r="AQ724" i="2"/>
  <c r="AM724" i="2"/>
  <c r="AN724" i="2"/>
  <c r="AK724" i="2"/>
  <c r="AL724" i="2"/>
  <c r="AJ724" i="2"/>
  <c r="AI724" i="2"/>
  <c r="AH724" i="2"/>
  <c r="AG724" i="2"/>
  <c r="AE724" i="2"/>
  <c r="AF724" i="2"/>
  <c r="Z724" i="2"/>
  <c r="AC724" i="2"/>
  <c r="AB724" i="2"/>
  <c r="AA724" i="2"/>
  <c r="Y724" i="2"/>
  <c r="W724" i="2"/>
  <c r="X724" i="2"/>
  <c r="V724" i="2"/>
  <c r="U724" i="2"/>
  <c r="T724" i="2"/>
  <c r="Q724" i="2"/>
  <c r="S724" i="2"/>
  <c r="R724" i="2"/>
  <c r="M724" i="2"/>
  <c r="P724" i="2"/>
  <c r="K724" i="2"/>
  <c r="O724" i="2"/>
  <c r="L724" i="2"/>
  <c r="N724" i="2"/>
  <c r="AO724" i="2"/>
  <c r="J724" i="2"/>
  <c r="I724" i="2"/>
  <c r="AP724" i="2"/>
  <c r="AR724" i="3"/>
  <c r="AN724" i="3"/>
  <c r="AM724" i="3"/>
  <c r="AQ724" i="3"/>
  <c r="AL724" i="3"/>
  <c r="AK724" i="3"/>
  <c r="AI724" i="3"/>
  <c r="AJ724" i="3"/>
  <c r="AH724" i="3"/>
  <c r="AG724" i="3"/>
  <c r="AF724" i="3"/>
  <c r="AC724" i="3"/>
  <c r="AE724" i="3"/>
  <c r="AB724" i="3"/>
  <c r="Z724" i="3"/>
  <c r="Y724" i="3"/>
  <c r="AA724" i="3"/>
  <c r="X724" i="3"/>
  <c r="U724" i="3"/>
  <c r="W724" i="3"/>
  <c r="R724" i="3"/>
  <c r="V724" i="3"/>
  <c r="T724" i="3"/>
  <c r="Q724" i="3"/>
  <c r="S724" i="3"/>
  <c r="M724" i="3"/>
  <c r="O724" i="3"/>
  <c r="P724" i="3"/>
  <c r="N724" i="3"/>
  <c r="K724" i="3"/>
  <c r="L724" i="3"/>
  <c r="J724" i="3"/>
  <c r="I724" i="3"/>
  <c r="AO724" i="3"/>
  <c r="AP724" i="3"/>
  <c r="L724" i="1"/>
  <c r="P724" i="1" s="1"/>
  <c r="AA724" i="1"/>
  <c r="J725" i="1"/>
  <c r="I726" i="1"/>
  <c r="V725" i="1"/>
  <c r="Y725" i="1"/>
  <c r="Z725" i="1" s="1"/>
  <c r="G725" i="3"/>
  <c r="G725" i="2"/>
  <c r="O725" i="1"/>
  <c r="R725" i="1"/>
  <c r="S725" i="1"/>
  <c r="I727" i="1" l="1"/>
  <c r="J726" i="1"/>
  <c r="V726" i="1"/>
  <c r="G726" i="3"/>
  <c r="Y726" i="1"/>
  <c r="Z726" i="1" s="1"/>
  <c r="G726" i="2"/>
  <c r="S726" i="1"/>
  <c r="W726" i="1" s="1"/>
  <c r="O726" i="1"/>
  <c r="R726" i="1"/>
  <c r="W725" i="1"/>
  <c r="L725" i="1"/>
  <c r="P725" i="1" s="1"/>
  <c r="AA725" i="1"/>
  <c r="AR725" i="2"/>
  <c r="AQ725" i="2"/>
  <c r="AN725" i="2"/>
  <c r="AM725" i="2"/>
  <c r="AK725" i="2"/>
  <c r="AL725" i="2"/>
  <c r="AJ725" i="2"/>
  <c r="AI725" i="2"/>
  <c r="AH725" i="2"/>
  <c r="AF725" i="2"/>
  <c r="AE725" i="2"/>
  <c r="AG725" i="2"/>
  <c r="AC725" i="2"/>
  <c r="AB725" i="2"/>
  <c r="X725" i="2"/>
  <c r="AA725" i="2"/>
  <c r="V725" i="2"/>
  <c r="Z725" i="2"/>
  <c r="Y725" i="2"/>
  <c r="U725" i="2"/>
  <c r="W725" i="2"/>
  <c r="T725" i="2"/>
  <c r="S725" i="2"/>
  <c r="R725" i="2"/>
  <c r="P725" i="2"/>
  <c r="Q725" i="2"/>
  <c r="N725" i="2"/>
  <c r="M725" i="2"/>
  <c r="O725" i="2"/>
  <c r="L725" i="2"/>
  <c r="AO725" i="2"/>
  <c r="J725" i="2"/>
  <c r="I725" i="2"/>
  <c r="K725" i="2"/>
  <c r="AP725" i="2"/>
  <c r="AR725" i="3"/>
  <c r="AN725" i="3"/>
  <c r="AQ725" i="3"/>
  <c r="AM725" i="3"/>
  <c r="AK725" i="3"/>
  <c r="AL725" i="3"/>
  <c r="AJ725" i="3"/>
  <c r="AI725" i="3"/>
  <c r="AH725" i="3"/>
  <c r="AG725" i="3"/>
  <c r="AF725" i="3"/>
  <c r="AC725" i="3"/>
  <c r="AE725" i="3"/>
  <c r="AB725" i="3"/>
  <c r="X725" i="3"/>
  <c r="Y725" i="3"/>
  <c r="Z725" i="3"/>
  <c r="AA725" i="3"/>
  <c r="W725" i="3"/>
  <c r="R725" i="3"/>
  <c r="V725" i="3"/>
  <c r="T725" i="3"/>
  <c r="U725" i="3"/>
  <c r="Q725" i="3"/>
  <c r="S725" i="3"/>
  <c r="O725" i="3"/>
  <c r="P725" i="3"/>
  <c r="M725" i="3"/>
  <c r="L725" i="3"/>
  <c r="N725" i="3"/>
  <c r="K725" i="3"/>
  <c r="I725" i="3"/>
  <c r="J725" i="3"/>
  <c r="AP725" i="3"/>
  <c r="AO725" i="3"/>
  <c r="AR726" i="2" l="1"/>
  <c r="AQ726" i="2"/>
  <c r="AN726" i="2"/>
  <c r="AM726" i="2"/>
  <c r="AL726" i="2"/>
  <c r="AJ726" i="2"/>
  <c r="AK726" i="2"/>
  <c r="AI726" i="2"/>
  <c r="AF726" i="2"/>
  <c r="AH726" i="2"/>
  <c r="AE726" i="2"/>
  <c r="AG726" i="2"/>
  <c r="AB726" i="2"/>
  <c r="AC726" i="2"/>
  <c r="AA726" i="2"/>
  <c r="Z726" i="2"/>
  <c r="Y726" i="2"/>
  <c r="V726" i="2"/>
  <c r="X726" i="2"/>
  <c r="S726" i="2"/>
  <c r="U726" i="2"/>
  <c r="W726" i="2"/>
  <c r="R726" i="2"/>
  <c r="T726" i="2"/>
  <c r="N726" i="2"/>
  <c r="P726" i="2"/>
  <c r="Q726" i="2"/>
  <c r="L726" i="2"/>
  <c r="M726" i="2"/>
  <c r="O726" i="2"/>
  <c r="AO726" i="2"/>
  <c r="J726" i="2"/>
  <c r="I726" i="2"/>
  <c r="K726" i="2"/>
  <c r="AP726" i="2"/>
  <c r="AQ726" i="3"/>
  <c r="AR726" i="3"/>
  <c r="AN726" i="3"/>
  <c r="AM726" i="3"/>
  <c r="AL726" i="3"/>
  <c r="AK726" i="3"/>
  <c r="AI726" i="3"/>
  <c r="AJ726" i="3"/>
  <c r="AG726" i="3"/>
  <c r="AH726" i="3"/>
  <c r="AF726" i="3"/>
  <c r="AE726" i="3"/>
  <c r="AC726" i="3"/>
  <c r="Z726" i="3"/>
  <c r="AB726" i="3"/>
  <c r="AA726" i="3"/>
  <c r="X726" i="3"/>
  <c r="Y726" i="3"/>
  <c r="W726" i="3"/>
  <c r="V726" i="3"/>
  <c r="R726" i="3"/>
  <c r="U726" i="3"/>
  <c r="Q726" i="3"/>
  <c r="T726" i="3"/>
  <c r="S726" i="3"/>
  <c r="P726" i="3"/>
  <c r="M726" i="3"/>
  <c r="L726" i="3"/>
  <c r="N726" i="3"/>
  <c r="K726" i="3"/>
  <c r="O726" i="3"/>
  <c r="AO726" i="3"/>
  <c r="J726" i="3"/>
  <c r="I726" i="3"/>
  <c r="AP726" i="3"/>
  <c r="L726" i="1"/>
  <c r="P726" i="1" s="1"/>
  <c r="AA726" i="1"/>
  <c r="J727" i="1"/>
  <c r="I728" i="1"/>
  <c r="G727" i="3"/>
  <c r="V727" i="1"/>
  <c r="Y727" i="1"/>
  <c r="Z727" i="1" s="1"/>
  <c r="G727" i="2"/>
  <c r="R727" i="1"/>
  <c r="O727" i="1"/>
  <c r="S727" i="1"/>
  <c r="W727" i="1" s="1"/>
  <c r="J728" i="1" l="1"/>
  <c r="I729" i="1"/>
  <c r="V728" i="1"/>
  <c r="G728" i="3"/>
  <c r="Y728" i="1"/>
  <c r="Z728" i="1" s="1"/>
  <c r="G728" i="2"/>
  <c r="S728" i="1"/>
  <c r="W728" i="1" s="1"/>
  <c r="O728" i="1"/>
  <c r="R728" i="1"/>
  <c r="AR727" i="2"/>
  <c r="AQ727" i="2"/>
  <c r="AN727" i="2"/>
  <c r="AL727" i="2"/>
  <c r="AM727" i="2"/>
  <c r="AJ727" i="2"/>
  <c r="AK727" i="2"/>
  <c r="AI727" i="2"/>
  <c r="AH727" i="2"/>
  <c r="AE727" i="2"/>
  <c r="AG727" i="2"/>
  <c r="AB727" i="2"/>
  <c r="AF727" i="2"/>
  <c r="AC727" i="2"/>
  <c r="AA727" i="2"/>
  <c r="Y727" i="2"/>
  <c r="Z727" i="2"/>
  <c r="X727" i="2"/>
  <c r="V727" i="2"/>
  <c r="W727" i="2"/>
  <c r="S727" i="2"/>
  <c r="U727" i="2"/>
  <c r="R727" i="2"/>
  <c r="T727" i="2"/>
  <c r="P727" i="2"/>
  <c r="Q727" i="2"/>
  <c r="N727" i="2"/>
  <c r="L727" i="2"/>
  <c r="M727" i="2"/>
  <c r="O727" i="2"/>
  <c r="J727" i="2"/>
  <c r="I727" i="2"/>
  <c r="K727" i="2"/>
  <c r="AO727" i="2"/>
  <c r="AP727" i="2"/>
  <c r="L727" i="1"/>
  <c r="P727" i="1" s="1"/>
  <c r="AA727" i="1"/>
  <c r="AR727" i="3"/>
  <c r="AQ727" i="3"/>
  <c r="AN727" i="3"/>
  <c r="AL727" i="3"/>
  <c r="AM727" i="3"/>
  <c r="AK727" i="3"/>
  <c r="AJ727" i="3"/>
  <c r="AG727" i="3"/>
  <c r="AI727" i="3"/>
  <c r="AH727" i="3"/>
  <c r="AF727" i="3"/>
  <c r="AE727" i="3"/>
  <c r="AC727" i="3"/>
  <c r="AB727" i="3"/>
  <c r="AA727" i="3"/>
  <c r="X727" i="3"/>
  <c r="Z727" i="3"/>
  <c r="V727" i="3"/>
  <c r="Y727" i="3"/>
  <c r="W727" i="3"/>
  <c r="U727" i="3"/>
  <c r="S727" i="3"/>
  <c r="R727" i="3"/>
  <c r="T727" i="3"/>
  <c r="P727" i="3"/>
  <c r="Q727" i="3"/>
  <c r="O727" i="3"/>
  <c r="N727" i="3"/>
  <c r="M727" i="3"/>
  <c r="L727" i="3"/>
  <c r="K727" i="3"/>
  <c r="AP727" i="3"/>
  <c r="AO727" i="3"/>
  <c r="J727" i="3"/>
  <c r="I727" i="3"/>
  <c r="AR728" i="2" l="1"/>
  <c r="AQ728" i="2"/>
  <c r="AN728" i="2"/>
  <c r="AL728" i="2"/>
  <c r="AM728" i="2"/>
  <c r="AJ728" i="2"/>
  <c r="AK728" i="2"/>
  <c r="AH728" i="2"/>
  <c r="AI728" i="2"/>
  <c r="AG728" i="2"/>
  <c r="AF728" i="2"/>
  <c r="AD728" i="2"/>
  <c r="AC728" i="2"/>
  <c r="AA728" i="2"/>
  <c r="AB728" i="2"/>
  <c r="Y728" i="2"/>
  <c r="Z728" i="2"/>
  <c r="X728" i="2"/>
  <c r="W728" i="2"/>
  <c r="S728" i="2"/>
  <c r="V728" i="2"/>
  <c r="U728" i="2"/>
  <c r="P728" i="2"/>
  <c r="R728" i="2"/>
  <c r="T728" i="2"/>
  <c r="Q728" i="2"/>
  <c r="N728" i="2"/>
  <c r="O728" i="2"/>
  <c r="J728" i="2"/>
  <c r="L728" i="2"/>
  <c r="M728" i="2"/>
  <c r="K728" i="2"/>
  <c r="I728" i="2"/>
  <c r="AO728" i="2"/>
  <c r="AP728" i="2"/>
  <c r="AQ728" i="3"/>
  <c r="AR728" i="3"/>
  <c r="AN728" i="3"/>
  <c r="AL728" i="3"/>
  <c r="AM728" i="3"/>
  <c r="AJ728" i="3"/>
  <c r="AK728" i="3"/>
  <c r="AI728" i="3"/>
  <c r="AH728" i="3"/>
  <c r="AF728" i="3"/>
  <c r="AG728" i="3"/>
  <c r="AC728" i="3"/>
  <c r="AD728" i="3"/>
  <c r="AB728" i="3"/>
  <c r="AA728" i="3"/>
  <c r="Z728" i="3"/>
  <c r="Y728" i="3"/>
  <c r="X728" i="3"/>
  <c r="V728" i="3"/>
  <c r="S728" i="3"/>
  <c r="W728" i="3"/>
  <c r="U728" i="3"/>
  <c r="R728" i="3"/>
  <c r="T728" i="3"/>
  <c r="N728" i="3"/>
  <c r="P728" i="3"/>
  <c r="Q728" i="3"/>
  <c r="O728" i="3"/>
  <c r="M728" i="3"/>
  <c r="I728" i="3"/>
  <c r="L728" i="3"/>
  <c r="AP728" i="3"/>
  <c r="AO728" i="3"/>
  <c r="J728" i="3"/>
  <c r="K728" i="3"/>
  <c r="L728" i="1"/>
  <c r="P728" i="1" s="1"/>
  <c r="AA728" i="1"/>
  <c r="I730" i="1"/>
  <c r="J729" i="1"/>
  <c r="V729" i="1"/>
  <c r="G729" i="3"/>
  <c r="Y729" i="1"/>
  <c r="Z729" i="1" s="1"/>
  <c r="G729" i="2"/>
  <c r="R729" i="1"/>
  <c r="O729" i="1"/>
  <c r="S729" i="1"/>
  <c r="W729" i="1" s="1"/>
  <c r="L729" i="1" l="1"/>
  <c r="P729" i="1" s="1"/>
  <c r="AA729" i="1"/>
  <c r="J730" i="1"/>
  <c r="I731" i="1"/>
  <c r="V730" i="1"/>
  <c r="G730" i="3"/>
  <c r="Y730" i="1"/>
  <c r="Z730" i="1" s="1"/>
  <c r="G730" i="2"/>
  <c r="S730" i="1"/>
  <c r="O730" i="1"/>
  <c r="R730" i="1"/>
  <c r="AR729" i="2"/>
  <c r="AQ729" i="2"/>
  <c r="AK729" i="2"/>
  <c r="AL729" i="2"/>
  <c r="AN729" i="2"/>
  <c r="AM729" i="2"/>
  <c r="AH729" i="2"/>
  <c r="AJ729" i="2"/>
  <c r="AI729" i="2"/>
  <c r="AG729" i="2"/>
  <c r="AF729" i="2"/>
  <c r="AB729" i="2"/>
  <c r="AD729" i="2"/>
  <c r="AC729" i="2"/>
  <c r="AA729" i="2"/>
  <c r="Y729" i="2"/>
  <c r="Z729" i="2"/>
  <c r="W729" i="2"/>
  <c r="X729" i="2"/>
  <c r="U729" i="2"/>
  <c r="V729" i="2"/>
  <c r="T729" i="2"/>
  <c r="R729" i="2"/>
  <c r="S729" i="2"/>
  <c r="Q729" i="2"/>
  <c r="P729" i="2"/>
  <c r="O729" i="2"/>
  <c r="N729" i="2"/>
  <c r="L729" i="2"/>
  <c r="M729" i="2"/>
  <c r="K729" i="2"/>
  <c r="J729" i="2"/>
  <c r="I729" i="2"/>
  <c r="AP729" i="2"/>
  <c r="AO729" i="2"/>
  <c r="AQ729" i="3"/>
  <c r="AR729" i="3"/>
  <c r="AN729" i="3"/>
  <c r="AL729" i="3"/>
  <c r="AM729" i="3"/>
  <c r="AJ729" i="3"/>
  <c r="AK729" i="3"/>
  <c r="AH729" i="3"/>
  <c r="AF729" i="3"/>
  <c r="AG729" i="3"/>
  <c r="AI729" i="3"/>
  <c r="AB729" i="3"/>
  <c r="AC729" i="3"/>
  <c r="AD729" i="3"/>
  <c r="AA729" i="3"/>
  <c r="Z729" i="3"/>
  <c r="Y729" i="3"/>
  <c r="X729" i="3"/>
  <c r="V729" i="3"/>
  <c r="W729" i="3"/>
  <c r="S729" i="3"/>
  <c r="U729" i="3"/>
  <c r="R729" i="3"/>
  <c r="T729" i="3"/>
  <c r="P729" i="3"/>
  <c r="N729" i="3"/>
  <c r="Q729" i="3"/>
  <c r="O729" i="3"/>
  <c r="M729" i="3"/>
  <c r="L729" i="3"/>
  <c r="J729" i="3"/>
  <c r="K729" i="3"/>
  <c r="I729" i="3"/>
  <c r="AP729" i="3"/>
  <c r="AO729" i="3"/>
  <c r="AQ730" i="3" l="1"/>
  <c r="AR730" i="3"/>
  <c r="AN730" i="3"/>
  <c r="AM730" i="3"/>
  <c r="AL730" i="3"/>
  <c r="AJ730" i="3"/>
  <c r="AK730" i="3"/>
  <c r="AH730" i="3"/>
  <c r="AF730" i="3"/>
  <c r="AI730" i="3"/>
  <c r="AG730" i="3"/>
  <c r="AD730" i="3"/>
  <c r="AB730" i="3"/>
  <c r="AA730" i="3"/>
  <c r="AC730" i="3"/>
  <c r="Z730" i="3"/>
  <c r="Y730" i="3"/>
  <c r="X730" i="3"/>
  <c r="W730" i="3"/>
  <c r="U730" i="3"/>
  <c r="S730" i="3"/>
  <c r="V730" i="3"/>
  <c r="T730" i="3"/>
  <c r="P730" i="3"/>
  <c r="R730" i="3"/>
  <c r="L730" i="3"/>
  <c r="N730" i="3"/>
  <c r="Q730" i="3"/>
  <c r="O730" i="3"/>
  <c r="J730" i="3"/>
  <c r="M730" i="3"/>
  <c r="K730" i="3"/>
  <c r="I730" i="3"/>
  <c r="AP730" i="3"/>
  <c r="AO730" i="3"/>
  <c r="AR730" i="2"/>
  <c r="AQ730" i="2"/>
  <c r="AL730" i="2"/>
  <c r="AN730" i="2"/>
  <c r="AM730" i="2"/>
  <c r="AH730" i="2"/>
  <c r="AK730" i="2"/>
  <c r="AJ730" i="2"/>
  <c r="AG730" i="2"/>
  <c r="AI730" i="2"/>
  <c r="AF730" i="2"/>
  <c r="AD730" i="2"/>
  <c r="AC730" i="2"/>
  <c r="AB730" i="2"/>
  <c r="AA730" i="2"/>
  <c r="Z730" i="2"/>
  <c r="W730" i="2"/>
  <c r="X730" i="2"/>
  <c r="Y730" i="2"/>
  <c r="U730" i="2"/>
  <c r="V730" i="2"/>
  <c r="T730" i="2"/>
  <c r="P730" i="2"/>
  <c r="S730" i="2"/>
  <c r="O730" i="2"/>
  <c r="Q730" i="2"/>
  <c r="R730" i="2"/>
  <c r="N730" i="2"/>
  <c r="J730" i="2"/>
  <c r="M730" i="2"/>
  <c r="K730" i="2"/>
  <c r="L730" i="2"/>
  <c r="I730" i="2"/>
  <c r="AP730" i="2"/>
  <c r="AO730" i="2"/>
  <c r="I732" i="1"/>
  <c r="J731" i="1"/>
  <c r="G731" i="3"/>
  <c r="V731" i="1"/>
  <c r="Y731" i="1"/>
  <c r="Z731" i="1" s="1"/>
  <c r="G731" i="2"/>
  <c r="R731" i="1"/>
  <c r="O731" i="1"/>
  <c r="S731" i="1"/>
  <c r="L730" i="1"/>
  <c r="P730" i="1" s="1"/>
  <c r="AA730" i="1"/>
  <c r="W730" i="1"/>
  <c r="L731" i="1" l="1"/>
  <c r="P731" i="1" s="1"/>
  <c r="AA731" i="1"/>
  <c r="AQ731" i="3"/>
  <c r="AR731" i="3"/>
  <c r="AN731" i="3"/>
  <c r="AM731" i="3"/>
  <c r="AL731" i="3"/>
  <c r="AK731" i="3"/>
  <c r="AH731" i="3"/>
  <c r="AJ731" i="3"/>
  <c r="AI731" i="3"/>
  <c r="AF731" i="3"/>
  <c r="AG731" i="3"/>
  <c r="AD731" i="3"/>
  <c r="AB731" i="3"/>
  <c r="AA731" i="3"/>
  <c r="AC731" i="3"/>
  <c r="W731" i="3"/>
  <c r="Z731" i="3"/>
  <c r="Y731" i="3"/>
  <c r="X731" i="3"/>
  <c r="U731" i="3"/>
  <c r="V731" i="3"/>
  <c r="T731" i="3"/>
  <c r="S731" i="3"/>
  <c r="R731" i="3"/>
  <c r="P731" i="3"/>
  <c r="Q731" i="3"/>
  <c r="O731" i="3"/>
  <c r="J731" i="3"/>
  <c r="N731" i="3"/>
  <c r="M731" i="3"/>
  <c r="L731" i="3"/>
  <c r="AO731" i="3"/>
  <c r="K731" i="3"/>
  <c r="I731" i="3"/>
  <c r="AP731" i="3"/>
  <c r="J732" i="1"/>
  <c r="I733" i="1"/>
  <c r="V732" i="1"/>
  <c r="G732" i="3"/>
  <c r="Y732" i="1"/>
  <c r="Z732" i="1" s="1"/>
  <c r="G732" i="2"/>
  <c r="O732" i="1"/>
  <c r="R732" i="1"/>
  <c r="S732" i="1"/>
  <c r="W731" i="1"/>
  <c r="AR731" i="2"/>
  <c r="AQ731" i="2"/>
  <c r="AN731" i="2"/>
  <c r="AM731" i="2"/>
  <c r="AK731" i="2"/>
  <c r="AL731" i="2"/>
  <c r="AJ731" i="2"/>
  <c r="AH731" i="2"/>
  <c r="AG731" i="2"/>
  <c r="AI731" i="2"/>
  <c r="AF731" i="2"/>
  <c r="AC731" i="2"/>
  <c r="AD731" i="2"/>
  <c r="AB731" i="2"/>
  <c r="Z731" i="2"/>
  <c r="AA731" i="2"/>
  <c r="U731" i="2"/>
  <c r="W731" i="2"/>
  <c r="X731" i="2"/>
  <c r="Y731" i="2"/>
  <c r="V731" i="2"/>
  <c r="T731" i="2"/>
  <c r="R731" i="2"/>
  <c r="S731" i="2"/>
  <c r="Q731" i="2"/>
  <c r="O731" i="2"/>
  <c r="P731" i="2"/>
  <c r="M731" i="2"/>
  <c r="N731" i="2"/>
  <c r="L731" i="2"/>
  <c r="K731" i="2"/>
  <c r="J731" i="2"/>
  <c r="I731" i="2"/>
  <c r="AP731" i="2"/>
  <c r="AO731" i="2"/>
  <c r="AQ732" i="3" l="1"/>
  <c r="AR732" i="3"/>
  <c r="AL732" i="3"/>
  <c r="AM732" i="3"/>
  <c r="AN732" i="3"/>
  <c r="AK732" i="3"/>
  <c r="AI732" i="3"/>
  <c r="AH732" i="3"/>
  <c r="AJ732" i="3"/>
  <c r="AF732" i="3"/>
  <c r="AG732" i="3"/>
  <c r="AD732" i="3"/>
  <c r="AC732" i="3"/>
  <c r="AA732" i="3"/>
  <c r="AB732" i="3"/>
  <c r="Z732" i="3"/>
  <c r="Y732" i="3"/>
  <c r="X732" i="3"/>
  <c r="W732" i="3"/>
  <c r="U732" i="3"/>
  <c r="T732" i="3"/>
  <c r="V732" i="3"/>
  <c r="R732" i="3"/>
  <c r="P732" i="3"/>
  <c r="S732" i="3"/>
  <c r="Q732" i="3"/>
  <c r="O732" i="3"/>
  <c r="J732" i="3"/>
  <c r="N732" i="3"/>
  <c r="M732" i="3"/>
  <c r="L732" i="3"/>
  <c r="K732" i="3"/>
  <c r="I732" i="3"/>
  <c r="AO732" i="3"/>
  <c r="AP732" i="3"/>
  <c r="L732" i="1"/>
  <c r="P732" i="1" s="1"/>
  <c r="AA732" i="1"/>
  <c r="AR732" i="2"/>
  <c r="AQ732" i="2"/>
  <c r="AN732" i="2"/>
  <c r="AM732" i="2"/>
  <c r="AI732" i="2"/>
  <c r="AL732" i="2"/>
  <c r="AJ732" i="2"/>
  <c r="AK732" i="2"/>
  <c r="AG732" i="2"/>
  <c r="AH732" i="2"/>
  <c r="AF732" i="2"/>
  <c r="AC732" i="2"/>
  <c r="AB732" i="2"/>
  <c r="AD732" i="2"/>
  <c r="Z732" i="2"/>
  <c r="AA732" i="2"/>
  <c r="X732" i="2"/>
  <c r="U732" i="2"/>
  <c r="W732" i="2"/>
  <c r="Y732" i="2"/>
  <c r="V732" i="2"/>
  <c r="T732" i="2"/>
  <c r="Q732" i="2"/>
  <c r="R732" i="2"/>
  <c r="S732" i="2"/>
  <c r="M732" i="2"/>
  <c r="O732" i="2"/>
  <c r="P732" i="2"/>
  <c r="K732" i="2"/>
  <c r="N732" i="2"/>
  <c r="L732" i="2"/>
  <c r="I732" i="2"/>
  <c r="AP732" i="2"/>
  <c r="J732" i="2"/>
  <c r="AO732" i="2"/>
  <c r="J733" i="1"/>
  <c r="I734" i="1"/>
  <c r="V733" i="1"/>
  <c r="Y733" i="1"/>
  <c r="Z733" i="1" s="1"/>
  <c r="G733" i="3"/>
  <c r="G733" i="2"/>
  <c r="O733" i="1"/>
  <c r="R733" i="1"/>
  <c r="S733" i="1"/>
  <c r="W733" i="1" s="1"/>
  <c r="W732" i="1"/>
  <c r="L733" i="1" l="1"/>
  <c r="P733" i="1" s="1"/>
  <c r="AA733" i="1"/>
  <c r="AR733" i="2"/>
  <c r="AQ733" i="2"/>
  <c r="AM733" i="2"/>
  <c r="AN733" i="2"/>
  <c r="AL733" i="2"/>
  <c r="AJ733" i="2"/>
  <c r="AK733" i="2"/>
  <c r="AI733" i="2"/>
  <c r="AH733" i="2"/>
  <c r="AG733" i="2"/>
  <c r="AC733" i="2"/>
  <c r="AD733" i="2"/>
  <c r="AF733" i="2"/>
  <c r="AB733" i="2"/>
  <c r="X733" i="2"/>
  <c r="Z733" i="2"/>
  <c r="AA733" i="2"/>
  <c r="Y733" i="2"/>
  <c r="U733" i="2"/>
  <c r="V733" i="2"/>
  <c r="W733" i="2"/>
  <c r="Q733" i="2"/>
  <c r="T733" i="2"/>
  <c r="S733" i="2"/>
  <c r="P733" i="2"/>
  <c r="R733" i="2"/>
  <c r="O733" i="2"/>
  <c r="K733" i="2"/>
  <c r="N733" i="2"/>
  <c r="M733" i="2"/>
  <c r="L733" i="2"/>
  <c r="I733" i="2"/>
  <c r="AP733" i="2"/>
  <c r="J733" i="2"/>
  <c r="AO733" i="2"/>
  <c r="J734" i="1"/>
  <c r="I735" i="1"/>
  <c r="V734" i="1"/>
  <c r="G734" i="3"/>
  <c r="Y734" i="1"/>
  <c r="Z734" i="1" s="1"/>
  <c r="G734" i="2"/>
  <c r="S734" i="1"/>
  <c r="W734" i="1" s="1"/>
  <c r="O734" i="1"/>
  <c r="R734" i="1"/>
  <c r="AR733" i="3"/>
  <c r="AQ733" i="3"/>
  <c r="AM733" i="3"/>
  <c r="AL733" i="3"/>
  <c r="AN733" i="3"/>
  <c r="AK733" i="3"/>
  <c r="AI733" i="3"/>
  <c r="AH733" i="3"/>
  <c r="AJ733" i="3"/>
  <c r="AD733" i="3"/>
  <c r="AF733" i="3"/>
  <c r="AG733" i="3"/>
  <c r="AC733" i="3"/>
  <c r="AA733" i="3"/>
  <c r="AB733" i="3"/>
  <c r="W733" i="3"/>
  <c r="Z733" i="3"/>
  <c r="U733" i="3"/>
  <c r="Y733" i="3"/>
  <c r="X733" i="3"/>
  <c r="T733" i="3"/>
  <c r="V733" i="3"/>
  <c r="S733" i="3"/>
  <c r="R733" i="3"/>
  <c r="Q733" i="3"/>
  <c r="O733" i="3"/>
  <c r="P733" i="3"/>
  <c r="M733" i="3"/>
  <c r="N733" i="3"/>
  <c r="L733" i="3"/>
  <c r="K733" i="3"/>
  <c r="I733" i="3"/>
  <c r="J733" i="3"/>
  <c r="AO733" i="3"/>
  <c r="AP733" i="3"/>
  <c r="AQ734" i="2" l="1"/>
  <c r="AR734" i="2"/>
  <c r="AM734" i="2"/>
  <c r="AN734" i="2"/>
  <c r="AL734" i="2"/>
  <c r="AK734" i="2"/>
  <c r="AJ734" i="2"/>
  <c r="AI734" i="2"/>
  <c r="AH734" i="2"/>
  <c r="AG734" i="2"/>
  <c r="AF734" i="2"/>
  <c r="AD734" i="2"/>
  <c r="Z734" i="2"/>
  <c r="AC734" i="2"/>
  <c r="AB734" i="2"/>
  <c r="AA734" i="2"/>
  <c r="Y734" i="2"/>
  <c r="X734" i="2"/>
  <c r="W734" i="2"/>
  <c r="V734" i="2"/>
  <c r="U734" i="2"/>
  <c r="S734" i="2"/>
  <c r="Q734" i="2"/>
  <c r="T734" i="2"/>
  <c r="R734" i="2"/>
  <c r="M734" i="2"/>
  <c r="P734" i="2"/>
  <c r="O734" i="2"/>
  <c r="K734" i="2"/>
  <c r="N734" i="2"/>
  <c r="L734" i="2"/>
  <c r="AO734" i="2"/>
  <c r="I734" i="2"/>
  <c r="AP734" i="2"/>
  <c r="J734" i="2"/>
  <c r="AR734" i="3"/>
  <c r="AN734" i="3"/>
  <c r="AM734" i="3"/>
  <c r="AQ734" i="3"/>
  <c r="AL734" i="3"/>
  <c r="AI734" i="3"/>
  <c r="AK734" i="3"/>
  <c r="AJ734" i="3"/>
  <c r="AH734" i="3"/>
  <c r="AF734" i="3"/>
  <c r="AG734" i="3"/>
  <c r="AC734" i="3"/>
  <c r="AD734" i="3"/>
  <c r="AB734" i="3"/>
  <c r="Z734" i="3"/>
  <c r="AA734" i="3"/>
  <c r="Y734" i="3"/>
  <c r="X734" i="3"/>
  <c r="W734" i="3"/>
  <c r="U734" i="3"/>
  <c r="R734" i="3"/>
  <c r="T734" i="3"/>
  <c r="V734" i="3"/>
  <c r="Q734" i="3"/>
  <c r="S734" i="3"/>
  <c r="M734" i="3"/>
  <c r="O734" i="3"/>
  <c r="P734" i="3"/>
  <c r="K734" i="3"/>
  <c r="N734" i="3"/>
  <c r="L734" i="3"/>
  <c r="I734" i="3"/>
  <c r="J734" i="3"/>
  <c r="AO734" i="3"/>
  <c r="AP734" i="3"/>
  <c r="L734" i="1"/>
  <c r="P734" i="1" s="1"/>
  <c r="AA734" i="1"/>
  <c r="J735" i="1"/>
  <c r="I736" i="1"/>
  <c r="V735" i="1"/>
  <c r="G735" i="3"/>
  <c r="Y735" i="1"/>
  <c r="Z735" i="1" s="1"/>
  <c r="G735" i="2"/>
  <c r="R735" i="1"/>
  <c r="O735" i="1"/>
  <c r="S735" i="1"/>
  <c r="W735" i="1" s="1"/>
  <c r="L735" i="1" l="1"/>
  <c r="P735" i="1" s="1"/>
  <c r="AA735" i="1"/>
  <c r="I737" i="1"/>
  <c r="J736" i="1"/>
  <c r="V736" i="1"/>
  <c r="G736" i="3"/>
  <c r="Y736" i="1"/>
  <c r="Z736" i="1" s="1"/>
  <c r="G736" i="2"/>
  <c r="S736" i="1"/>
  <c r="O736" i="1"/>
  <c r="R736" i="1"/>
  <c r="AR735" i="2"/>
  <c r="AQ735" i="2"/>
  <c r="AN735" i="2"/>
  <c r="AM735" i="2"/>
  <c r="AK735" i="2"/>
  <c r="AL735" i="2"/>
  <c r="AJ735" i="2"/>
  <c r="AI735" i="2"/>
  <c r="AF735" i="2"/>
  <c r="AG735" i="2"/>
  <c r="AH735" i="2"/>
  <c r="AD735" i="2"/>
  <c r="AC735" i="2"/>
  <c r="AB735" i="2"/>
  <c r="Z735" i="2"/>
  <c r="X735" i="2"/>
  <c r="AA735" i="2"/>
  <c r="V735" i="2"/>
  <c r="Y735" i="2"/>
  <c r="W735" i="2"/>
  <c r="U735" i="2"/>
  <c r="S735" i="2"/>
  <c r="T735" i="2"/>
  <c r="R735" i="2"/>
  <c r="Q735" i="2"/>
  <c r="P735" i="2"/>
  <c r="N735" i="2"/>
  <c r="O735" i="2"/>
  <c r="M735" i="2"/>
  <c r="L735" i="2"/>
  <c r="AO735" i="2"/>
  <c r="I735" i="2"/>
  <c r="K735" i="2"/>
  <c r="J735" i="2"/>
  <c r="AP735" i="2"/>
  <c r="AR735" i="3"/>
  <c r="AN735" i="3"/>
  <c r="AM735" i="3"/>
  <c r="AQ735" i="3"/>
  <c r="AL735" i="3"/>
  <c r="AK735" i="3"/>
  <c r="AI735" i="3"/>
  <c r="AJ735" i="3"/>
  <c r="AH735" i="3"/>
  <c r="AD735" i="3"/>
  <c r="AF735" i="3"/>
  <c r="AG735" i="3"/>
  <c r="AC735" i="3"/>
  <c r="AB735" i="3"/>
  <c r="X735" i="3"/>
  <c r="AA735" i="3"/>
  <c r="Z735" i="3"/>
  <c r="Y735" i="3"/>
  <c r="W735" i="3"/>
  <c r="R735" i="3"/>
  <c r="U735" i="3"/>
  <c r="T735" i="3"/>
  <c r="V735" i="3"/>
  <c r="Q735" i="3"/>
  <c r="S735" i="3"/>
  <c r="O735" i="3"/>
  <c r="P735" i="3"/>
  <c r="K735" i="3"/>
  <c r="N735" i="3"/>
  <c r="M735" i="3"/>
  <c r="L735" i="3"/>
  <c r="I735" i="3"/>
  <c r="J735" i="3"/>
  <c r="AO735" i="3"/>
  <c r="AP735" i="3"/>
  <c r="W736" i="1" l="1"/>
  <c r="AR736" i="3"/>
  <c r="AN736" i="3"/>
  <c r="AM736" i="3"/>
  <c r="AQ736" i="3"/>
  <c r="AI736" i="3"/>
  <c r="AL736" i="3"/>
  <c r="AK736" i="3"/>
  <c r="AJ736" i="3"/>
  <c r="AH736" i="3"/>
  <c r="AG736" i="3"/>
  <c r="AF736" i="3"/>
  <c r="AD736" i="3"/>
  <c r="AC736" i="3"/>
  <c r="Z736" i="3"/>
  <c r="AB736" i="3"/>
  <c r="X736" i="3"/>
  <c r="AA736" i="3"/>
  <c r="Y736" i="3"/>
  <c r="W736" i="3"/>
  <c r="V736" i="3"/>
  <c r="R736" i="3"/>
  <c r="U736" i="3"/>
  <c r="T736" i="3"/>
  <c r="Q736" i="3"/>
  <c r="S736" i="3"/>
  <c r="M736" i="3"/>
  <c r="P736" i="3"/>
  <c r="L736" i="3"/>
  <c r="K736" i="3"/>
  <c r="O736" i="3"/>
  <c r="N736" i="3"/>
  <c r="I736" i="3"/>
  <c r="J736" i="3"/>
  <c r="AO736" i="3"/>
  <c r="AP736" i="3"/>
  <c r="J737" i="1"/>
  <c r="I738" i="1"/>
  <c r="G737" i="3"/>
  <c r="V737" i="1"/>
  <c r="G737" i="2"/>
  <c r="Y737" i="1"/>
  <c r="Z737" i="1" s="1"/>
  <c r="R737" i="1"/>
  <c r="O737" i="1"/>
  <c r="S737" i="1"/>
  <c r="AR736" i="2"/>
  <c r="AQ736" i="2"/>
  <c r="AN736" i="2"/>
  <c r="AM736" i="2"/>
  <c r="AJ736" i="2"/>
  <c r="AK736" i="2"/>
  <c r="AL736" i="2"/>
  <c r="AI736" i="2"/>
  <c r="AF736" i="2"/>
  <c r="AH736" i="2"/>
  <c r="AG736" i="2"/>
  <c r="AD736" i="2"/>
  <c r="AB736" i="2"/>
  <c r="AC736" i="2"/>
  <c r="AA736" i="2"/>
  <c r="Z736" i="2"/>
  <c r="Y736" i="2"/>
  <c r="V736" i="2"/>
  <c r="X736" i="2"/>
  <c r="S736" i="2"/>
  <c r="W736" i="2"/>
  <c r="U736" i="2"/>
  <c r="R736" i="2"/>
  <c r="T736" i="2"/>
  <c r="N736" i="2"/>
  <c r="Q736" i="2"/>
  <c r="P736" i="2"/>
  <c r="L736" i="2"/>
  <c r="O736" i="2"/>
  <c r="M736" i="2"/>
  <c r="J736" i="2"/>
  <c r="AO736" i="2"/>
  <c r="I736" i="2"/>
  <c r="K736" i="2"/>
  <c r="AP736" i="2"/>
  <c r="L736" i="1"/>
  <c r="P736" i="1" s="1"/>
  <c r="AA736" i="1"/>
  <c r="L737" i="1" l="1"/>
  <c r="P737" i="1" s="1"/>
  <c r="AA737" i="1"/>
  <c r="AR737" i="2"/>
  <c r="AQ737" i="2"/>
  <c r="AN737" i="2"/>
  <c r="AM737" i="2"/>
  <c r="AL737" i="2"/>
  <c r="AJ737" i="2"/>
  <c r="AK737" i="2"/>
  <c r="AI737" i="2"/>
  <c r="AH737" i="2"/>
  <c r="AG737" i="2"/>
  <c r="AF737" i="2"/>
  <c r="AB737" i="2"/>
  <c r="AD737" i="2"/>
  <c r="AA737" i="2"/>
  <c r="AC737" i="2"/>
  <c r="Y737" i="2"/>
  <c r="V737" i="2"/>
  <c r="Z737" i="2"/>
  <c r="X737" i="2"/>
  <c r="W737" i="2"/>
  <c r="S737" i="2"/>
  <c r="U737" i="2"/>
  <c r="T737" i="2"/>
  <c r="R737" i="2"/>
  <c r="P737" i="2"/>
  <c r="Q737" i="2"/>
  <c r="L737" i="2"/>
  <c r="O737" i="2"/>
  <c r="N737" i="2"/>
  <c r="M737" i="2"/>
  <c r="J737" i="2"/>
  <c r="I737" i="2"/>
  <c r="K737" i="2"/>
  <c r="AO737" i="2"/>
  <c r="AP737" i="2"/>
  <c r="AR737" i="3"/>
  <c r="AN737" i="3"/>
  <c r="AQ737" i="3"/>
  <c r="AM737" i="3"/>
  <c r="AK737" i="3"/>
  <c r="AL737" i="3"/>
  <c r="AJ737" i="3"/>
  <c r="AG737" i="3"/>
  <c r="AI737" i="3"/>
  <c r="AH737" i="3"/>
  <c r="AF737" i="3"/>
  <c r="AD737" i="3"/>
  <c r="AB737" i="3"/>
  <c r="AC737" i="3"/>
  <c r="X737" i="3"/>
  <c r="AA737" i="3"/>
  <c r="Z737" i="3"/>
  <c r="V737" i="3"/>
  <c r="W737" i="3"/>
  <c r="Y737" i="3"/>
  <c r="U737" i="3"/>
  <c r="S737" i="3"/>
  <c r="T737" i="3"/>
  <c r="R737" i="3"/>
  <c r="Q737" i="3"/>
  <c r="O737" i="3"/>
  <c r="P737" i="3"/>
  <c r="N737" i="3"/>
  <c r="L737" i="3"/>
  <c r="K737" i="3"/>
  <c r="M737" i="3"/>
  <c r="AO737" i="3"/>
  <c r="AP737" i="3"/>
  <c r="I737" i="3"/>
  <c r="J737" i="3"/>
  <c r="I739" i="1"/>
  <c r="J738" i="1"/>
  <c r="V738" i="1"/>
  <c r="G738" i="3"/>
  <c r="Y738" i="1"/>
  <c r="Z738" i="1" s="1"/>
  <c r="G738" i="2"/>
  <c r="S738" i="1"/>
  <c r="O738" i="1"/>
  <c r="R738" i="1"/>
  <c r="W737" i="1"/>
  <c r="L738" i="1" l="1"/>
  <c r="P738" i="1" s="1"/>
  <c r="AA738" i="1"/>
  <c r="J739" i="1"/>
  <c r="I740" i="1"/>
  <c r="V739" i="1"/>
  <c r="G739" i="3"/>
  <c r="Y739" i="1"/>
  <c r="Z739" i="1" s="1"/>
  <c r="G739" i="2"/>
  <c r="R739" i="1"/>
  <c r="O739" i="1"/>
  <c r="S739" i="1"/>
  <c r="W738" i="1"/>
  <c r="AR738" i="2"/>
  <c r="AQ738" i="2"/>
  <c r="AN738" i="2"/>
  <c r="AL738" i="2"/>
  <c r="AM738" i="2"/>
  <c r="AJ738" i="2"/>
  <c r="AK738" i="2"/>
  <c r="AI738" i="2"/>
  <c r="AH738" i="2"/>
  <c r="AG738" i="2"/>
  <c r="AE738" i="2"/>
  <c r="AD738" i="2"/>
  <c r="AA738" i="2"/>
  <c r="AB738" i="2"/>
  <c r="AC738" i="2"/>
  <c r="Y738" i="2"/>
  <c r="Z738" i="2"/>
  <c r="X738" i="2"/>
  <c r="W738" i="2"/>
  <c r="S738" i="2"/>
  <c r="V738" i="2"/>
  <c r="U738" i="2"/>
  <c r="P738" i="2"/>
  <c r="T738" i="2"/>
  <c r="R738" i="2"/>
  <c r="N738" i="2"/>
  <c r="Q738" i="2"/>
  <c r="M738" i="2"/>
  <c r="J738" i="2"/>
  <c r="L738" i="2"/>
  <c r="O738" i="2"/>
  <c r="I738" i="2"/>
  <c r="K738" i="2"/>
  <c r="AO738" i="2"/>
  <c r="AP738" i="2"/>
  <c r="AR738" i="3"/>
  <c r="AQ738" i="3"/>
  <c r="AN738" i="3"/>
  <c r="AM738" i="3"/>
  <c r="AJ738" i="3"/>
  <c r="AK738" i="3"/>
  <c r="AL738" i="3"/>
  <c r="AG738" i="3"/>
  <c r="AH738" i="3"/>
  <c r="AI738" i="3"/>
  <c r="AE738" i="3"/>
  <c r="AD738" i="3"/>
  <c r="AC738" i="3"/>
  <c r="AB738" i="3"/>
  <c r="AA738" i="3"/>
  <c r="Z738" i="3"/>
  <c r="Y738" i="3"/>
  <c r="V738" i="3"/>
  <c r="W738" i="3"/>
  <c r="X738" i="3"/>
  <c r="S738" i="3"/>
  <c r="U738" i="3"/>
  <c r="T738" i="3"/>
  <c r="R738" i="3"/>
  <c r="N738" i="3"/>
  <c r="Q738" i="3"/>
  <c r="O738" i="3"/>
  <c r="P738" i="3"/>
  <c r="L738" i="3"/>
  <c r="I738" i="3"/>
  <c r="M738" i="3"/>
  <c r="J738" i="3"/>
  <c r="AO738" i="3"/>
  <c r="AP738" i="3"/>
  <c r="K738" i="3"/>
  <c r="AR739" i="2" l="1"/>
  <c r="AQ739" i="2"/>
  <c r="AN739" i="2"/>
  <c r="AK739" i="2"/>
  <c r="AL739" i="2"/>
  <c r="AM739" i="2"/>
  <c r="AH739" i="2"/>
  <c r="AJ739" i="2"/>
  <c r="AI739" i="2"/>
  <c r="AG739" i="2"/>
  <c r="AB739" i="2"/>
  <c r="AE739" i="2"/>
  <c r="AD739" i="2"/>
  <c r="AA739" i="2"/>
  <c r="AC739" i="2"/>
  <c r="Y739" i="2"/>
  <c r="Z739" i="2"/>
  <c r="W739" i="2"/>
  <c r="X739" i="2"/>
  <c r="V739" i="2"/>
  <c r="U739" i="2"/>
  <c r="T739" i="2"/>
  <c r="S739" i="2"/>
  <c r="R739" i="2"/>
  <c r="Q739" i="2"/>
  <c r="P739" i="2"/>
  <c r="O739" i="2"/>
  <c r="M739" i="2"/>
  <c r="L739" i="2"/>
  <c r="N739" i="2"/>
  <c r="J739" i="2"/>
  <c r="I739" i="2"/>
  <c r="K739" i="2"/>
  <c r="AO739" i="2"/>
  <c r="AP739" i="2"/>
  <c r="AQ739" i="3"/>
  <c r="AR739" i="3"/>
  <c r="AN739" i="3"/>
  <c r="AM739" i="3"/>
  <c r="AJ739" i="3"/>
  <c r="AK739" i="3"/>
  <c r="AL739" i="3"/>
  <c r="AG739" i="3"/>
  <c r="AH739" i="3"/>
  <c r="AI739" i="3"/>
  <c r="AE739" i="3"/>
  <c r="AB739" i="3"/>
  <c r="AD739" i="3"/>
  <c r="AC739" i="3"/>
  <c r="AA739" i="3"/>
  <c r="Y739" i="3"/>
  <c r="Z739" i="3"/>
  <c r="V739" i="3"/>
  <c r="W739" i="3"/>
  <c r="X739" i="3"/>
  <c r="S739" i="3"/>
  <c r="U739" i="3"/>
  <c r="T739" i="3"/>
  <c r="R739" i="3"/>
  <c r="P739" i="3"/>
  <c r="N739" i="3"/>
  <c r="Q739" i="3"/>
  <c r="O739" i="3"/>
  <c r="M739" i="3"/>
  <c r="L739" i="3"/>
  <c r="J739" i="3"/>
  <c r="AO739" i="3"/>
  <c r="AP739" i="3"/>
  <c r="K739" i="3"/>
  <c r="I739" i="3"/>
  <c r="L739" i="1"/>
  <c r="P739" i="1" s="1"/>
  <c r="AA739" i="1"/>
  <c r="W739" i="1"/>
  <c r="J740" i="1"/>
  <c r="I741" i="1"/>
  <c r="V740" i="1"/>
  <c r="G740" i="3"/>
  <c r="Y740" i="1"/>
  <c r="Z740" i="1" s="1"/>
  <c r="G740" i="2"/>
  <c r="S740" i="1"/>
  <c r="W740" i="1" s="1"/>
  <c r="O740" i="1"/>
  <c r="R740" i="1"/>
  <c r="AQ740" i="3" l="1"/>
  <c r="AR740" i="3"/>
  <c r="AN740" i="3"/>
  <c r="AM740" i="3"/>
  <c r="AL740" i="3"/>
  <c r="AJ740" i="3"/>
  <c r="AK740" i="3"/>
  <c r="AI740" i="3"/>
  <c r="AH740" i="3"/>
  <c r="AG740" i="3"/>
  <c r="AB740" i="3"/>
  <c r="AD740" i="3"/>
  <c r="AE740" i="3"/>
  <c r="AA740" i="3"/>
  <c r="AC740" i="3"/>
  <c r="Y740" i="3"/>
  <c r="Z740" i="3"/>
  <c r="X740" i="3"/>
  <c r="V740" i="3"/>
  <c r="S740" i="3"/>
  <c r="U740" i="3"/>
  <c r="W740" i="3"/>
  <c r="P740" i="3"/>
  <c r="T740" i="3"/>
  <c r="R740" i="3"/>
  <c r="L740" i="3"/>
  <c r="N740" i="3"/>
  <c r="Q740" i="3"/>
  <c r="O740" i="3"/>
  <c r="J740" i="3"/>
  <c r="M740" i="3"/>
  <c r="K740" i="3"/>
  <c r="AO740" i="3"/>
  <c r="AP740" i="3"/>
  <c r="I740" i="3"/>
  <c r="AR740" i="2"/>
  <c r="AQ740" i="2"/>
  <c r="AN740" i="2"/>
  <c r="AL740" i="2"/>
  <c r="AM740" i="2"/>
  <c r="AH740" i="2"/>
  <c r="AJ740" i="2"/>
  <c r="AK740" i="2"/>
  <c r="AG740" i="2"/>
  <c r="AI740" i="2"/>
  <c r="AE740" i="2"/>
  <c r="AD740" i="2"/>
  <c r="AC740" i="2"/>
  <c r="AA740" i="2"/>
  <c r="AB740" i="2"/>
  <c r="Z740" i="2"/>
  <c r="X740" i="2"/>
  <c r="W740" i="2"/>
  <c r="Y740" i="2"/>
  <c r="U740" i="2"/>
  <c r="T740" i="2"/>
  <c r="V740" i="2"/>
  <c r="P740" i="2"/>
  <c r="S740" i="2"/>
  <c r="O740" i="2"/>
  <c r="R740" i="2"/>
  <c r="Q740" i="2"/>
  <c r="M740" i="2"/>
  <c r="J740" i="2"/>
  <c r="N740" i="2"/>
  <c r="I740" i="2"/>
  <c r="K740" i="2"/>
  <c r="L740" i="2"/>
  <c r="AO740" i="2"/>
  <c r="AP740" i="2"/>
  <c r="L740" i="1"/>
  <c r="P740" i="1" s="1"/>
  <c r="AA740" i="1"/>
  <c r="I742" i="1"/>
  <c r="J741" i="1"/>
  <c r="V741" i="1"/>
  <c r="G741" i="3"/>
  <c r="Y741" i="1"/>
  <c r="Z741" i="1" s="1"/>
  <c r="G741" i="2"/>
  <c r="R741" i="1"/>
  <c r="O741" i="1"/>
  <c r="S741" i="1"/>
  <c r="W741" i="1" s="1"/>
  <c r="J742" i="1" l="1"/>
  <c r="I743" i="1"/>
  <c r="V742" i="1"/>
  <c r="G742" i="3"/>
  <c r="Y742" i="1"/>
  <c r="Z742" i="1" s="1"/>
  <c r="G742" i="2"/>
  <c r="O742" i="1"/>
  <c r="R742" i="1"/>
  <c r="S742" i="1"/>
  <c r="AQ741" i="2"/>
  <c r="AR741" i="2"/>
  <c r="AN741" i="2"/>
  <c r="AL741" i="2"/>
  <c r="AM741" i="2"/>
  <c r="AH741" i="2"/>
  <c r="AJ741" i="2"/>
  <c r="AK741" i="2"/>
  <c r="AG741" i="2"/>
  <c r="AI741" i="2"/>
  <c r="AC741" i="2"/>
  <c r="AE741" i="2"/>
  <c r="AD741" i="2"/>
  <c r="AB741" i="2"/>
  <c r="AA741" i="2"/>
  <c r="Z741" i="2"/>
  <c r="U741" i="2"/>
  <c r="X741" i="2"/>
  <c r="W741" i="2"/>
  <c r="Y741" i="2"/>
  <c r="T741" i="2"/>
  <c r="V741" i="2"/>
  <c r="S741" i="2"/>
  <c r="R741" i="2"/>
  <c r="Q741" i="2"/>
  <c r="P741" i="2"/>
  <c r="O741" i="2"/>
  <c r="M741" i="2"/>
  <c r="N741" i="2"/>
  <c r="L741" i="2"/>
  <c r="K741" i="2"/>
  <c r="J741" i="2"/>
  <c r="I741" i="2"/>
  <c r="AP741" i="2"/>
  <c r="AO741" i="2"/>
  <c r="AQ741" i="3"/>
  <c r="AR741" i="3"/>
  <c r="AL741" i="3"/>
  <c r="AK741" i="3"/>
  <c r="AN741" i="3"/>
  <c r="AM741" i="3"/>
  <c r="AH741" i="3"/>
  <c r="AI741" i="3"/>
  <c r="AJ741" i="3"/>
  <c r="AG741" i="3"/>
  <c r="AE741" i="3"/>
  <c r="AB741" i="3"/>
  <c r="AD741" i="3"/>
  <c r="AA741" i="3"/>
  <c r="AC741" i="3"/>
  <c r="Z741" i="3"/>
  <c r="W741" i="3"/>
  <c r="Y741" i="3"/>
  <c r="X741" i="3"/>
  <c r="V741" i="3"/>
  <c r="U741" i="3"/>
  <c r="T741" i="3"/>
  <c r="S741" i="3"/>
  <c r="R741" i="3"/>
  <c r="P741" i="3"/>
  <c r="Q741" i="3"/>
  <c r="O741" i="3"/>
  <c r="J741" i="3"/>
  <c r="M741" i="3"/>
  <c r="L741" i="3"/>
  <c r="N741" i="3"/>
  <c r="AO741" i="3"/>
  <c r="I741" i="3"/>
  <c r="AP741" i="3"/>
  <c r="K741" i="3"/>
  <c r="L741" i="1"/>
  <c r="P741" i="1" s="1"/>
  <c r="AA741" i="1"/>
  <c r="AQ742" i="2" l="1"/>
  <c r="AR742" i="2"/>
  <c r="AN742" i="2"/>
  <c r="AM742" i="2"/>
  <c r="AI742" i="2"/>
  <c r="AL742" i="2"/>
  <c r="AK742" i="2"/>
  <c r="AJ742" i="2"/>
  <c r="AH742" i="2"/>
  <c r="AG742" i="2"/>
  <c r="AC742" i="2"/>
  <c r="AE742" i="2"/>
  <c r="AD742" i="2"/>
  <c r="AB742" i="2"/>
  <c r="Z742" i="2"/>
  <c r="AA742" i="2"/>
  <c r="X742" i="2"/>
  <c r="U742" i="2"/>
  <c r="W742" i="2"/>
  <c r="Y742" i="2"/>
  <c r="T742" i="2"/>
  <c r="V742" i="2"/>
  <c r="Q742" i="2"/>
  <c r="S742" i="2"/>
  <c r="R742" i="2"/>
  <c r="M742" i="2"/>
  <c r="P742" i="2"/>
  <c r="O742" i="2"/>
  <c r="K742" i="2"/>
  <c r="N742" i="2"/>
  <c r="L742" i="2"/>
  <c r="AP742" i="2"/>
  <c r="J742" i="2"/>
  <c r="I742" i="2"/>
  <c r="AO742" i="2"/>
  <c r="L742" i="1"/>
  <c r="P742" i="1" s="1"/>
  <c r="AA742" i="1"/>
  <c r="J743" i="1"/>
  <c r="I744" i="1"/>
  <c r="V743" i="1"/>
  <c r="G743" i="3"/>
  <c r="Y743" i="1"/>
  <c r="Z743" i="1" s="1"/>
  <c r="G743" i="2"/>
  <c r="R743" i="1"/>
  <c r="O743" i="1"/>
  <c r="S743" i="1"/>
  <c r="W743" i="1" s="1"/>
  <c r="AR742" i="3"/>
  <c r="AQ742" i="3"/>
  <c r="AN742" i="3"/>
  <c r="AL742" i="3"/>
  <c r="AM742" i="3"/>
  <c r="AK742" i="3"/>
  <c r="AJ742" i="3"/>
  <c r="AH742" i="3"/>
  <c r="AI742" i="3"/>
  <c r="AG742" i="3"/>
  <c r="AD742" i="3"/>
  <c r="AE742" i="3"/>
  <c r="AC742" i="3"/>
  <c r="AB742" i="3"/>
  <c r="AA742" i="3"/>
  <c r="Z742" i="3"/>
  <c r="Y742" i="3"/>
  <c r="X742" i="3"/>
  <c r="W742" i="3"/>
  <c r="U742" i="3"/>
  <c r="T742" i="3"/>
  <c r="V742" i="3"/>
  <c r="P742" i="3"/>
  <c r="S742" i="3"/>
  <c r="R742" i="3"/>
  <c r="O742" i="3"/>
  <c r="Q742" i="3"/>
  <c r="N742" i="3"/>
  <c r="J742" i="3"/>
  <c r="M742" i="3"/>
  <c r="L742" i="3"/>
  <c r="I742" i="3"/>
  <c r="AO742" i="3"/>
  <c r="AP742" i="3"/>
  <c r="K742" i="3"/>
  <c r="W742" i="1"/>
  <c r="AR743" i="2" l="1"/>
  <c r="AQ743" i="2"/>
  <c r="AM743" i="2"/>
  <c r="AN743" i="2"/>
  <c r="AL743" i="2"/>
  <c r="AJ743" i="2"/>
  <c r="AK743" i="2"/>
  <c r="AH743" i="2"/>
  <c r="AI743" i="2"/>
  <c r="AG743" i="2"/>
  <c r="AC743" i="2"/>
  <c r="AE743" i="2"/>
  <c r="AD743" i="2"/>
  <c r="AB743" i="2"/>
  <c r="X743" i="2"/>
  <c r="AA743" i="2"/>
  <c r="Z743" i="2"/>
  <c r="Y743" i="2"/>
  <c r="W743" i="2"/>
  <c r="U743" i="2"/>
  <c r="V743" i="2"/>
  <c r="Q743" i="2"/>
  <c r="T743" i="2"/>
  <c r="S743" i="2"/>
  <c r="P743" i="2"/>
  <c r="R743" i="2"/>
  <c r="K743" i="2"/>
  <c r="N743" i="2"/>
  <c r="M743" i="2"/>
  <c r="O743" i="2"/>
  <c r="L743" i="2"/>
  <c r="I743" i="2"/>
  <c r="AP743" i="2"/>
  <c r="J743" i="2"/>
  <c r="AO743" i="2"/>
  <c r="L743" i="1"/>
  <c r="P743" i="1" s="1"/>
  <c r="AA743" i="1"/>
  <c r="AR743" i="3"/>
  <c r="AQ743" i="3"/>
  <c r="AN743" i="3"/>
  <c r="AM743" i="3"/>
  <c r="AL743" i="3"/>
  <c r="AK743" i="3"/>
  <c r="AI743" i="3"/>
  <c r="AJ743" i="3"/>
  <c r="AH743" i="3"/>
  <c r="AD743" i="3"/>
  <c r="AG743" i="3"/>
  <c r="AC743" i="3"/>
  <c r="AE743" i="3"/>
  <c r="AB743" i="3"/>
  <c r="AA743" i="3"/>
  <c r="Z743" i="3"/>
  <c r="U743" i="3"/>
  <c r="X743" i="3"/>
  <c r="Y743" i="3"/>
  <c r="W743" i="3"/>
  <c r="T743" i="3"/>
  <c r="V743" i="3"/>
  <c r="S743" i="3"/>
  <c r="R743" i="3"/>
  <c r="Q743" i="3"/>
  <c r="P743" i="3"/>
  <c r="O743" i="3"/>
  <c r="M743" i="3"/>
  <c r="N743" i="3"/>
  <c r="L743" i="3"/>
  <c r="K743" i="3"/>
  <c r="J743" i="3"/>
  <c r="I743" i="3"/>
  <c r="AO743" i="3"/>
  <c r="AP743" i="3"/>
  <c r="J744" i="1"/>
  <c r="I745" i="1"/>
  <c r="V744" i="1"/>
  <c r="G744" i="3"/>
  <c r="Y744" i="1"/>
  <c r="Z744" i="1" s="1"/>
  <c r="G744" i="2"/>
  <c r="S744" i="1"/>
  <c r="O744" i="1"/>
  <c r="R744" i="1"/>
  <c r="L744" i="1" l="1"/>
  <c r="P744" i="1" s="1"/>
  <c r="AA744" i="1"/>
  <c r="I746" i="1"/>
  <c r="J745" i="1"/>
  <c r="V745" i="1"/>
  <c r="G745" i="3"/>
  <c r="Y745" i="1"/>
  <c r="Z745" i="1" s="1"/>
  <c r="G745" i="2"/>
  <c r="R745" i="1"/>
  <c r="O745" i="1"/>
  <c r="S745" i="1"/>
  <c r="W744" i="1"/>
  <c r="AR744" i="2"/>
  <c r="AQ744" i="2"/>
  <c r="AM744" i="2"/>
  <c r="AN744" i="2"/>
  <c r="AL744" i="2"/>
  <c r="AK744" i="2"/>
  <c r="AJ744" i="2"/>
  <c r="AI744" i="2"/>
  <c r="AH744" i="2"/>
  <c r="AG744" i="2"/>
  <c r="AE744" i="2"/>
  <c r="AD744" i="2"/>
  <c r="AB744" i="2"/>
  <c r="Z744" i="2"/>
  <c r="AC744" i="2"/>
  <c r="AA744" i="2"/>
  <c r="X744" i="2"/>
  <c r="W744" i="2"/>
  <c r="Y744" i="2"/>
  <c r="V744" i="2"/>
  <c r="U744" i="2"/>
  <c r="Q744" i="2"/>
  <c r="T744" i="2"/>
  <c r="S744" i="2"/>
  <c r="R744" i="2"/>
  <c r="M744" i="2"/>
  <c r="P744" i="2"/>
  <c r="K744" i="2"/>
  <c r="N744" i="2"/>
  <c r="O744" i="2"/>
  <c r="L744" i="2"/>
  <c r="I744" i="2"/>
  <c r="AO744" i="2"/>
  <c r="AP744" i="2"/>
  <c r="J744" i="2"/>
  <c r="AQ744" i="3"/>
  <c r="AR744" i="3"/>
  <c r="AN744" i="3"/>
  <c r="AM744" i="3"/>
  <c r="AL744" i="3"/>
  <c r="AI744" i="3"/>
  <c r="AK744" i="3"/>
  <c r="AJ744" i="3"/>
  <c r="AH744" i="3"/>
  <c r="AG744" i="3"/>
  <c r="AC744" i="3"/>
  <c r="AE744" i="3"/>
  <c r="AD744" i="3"/>
  <c r="AB744" i="3"/>
  <c r="Z744" i="3"/>
  <c r="Y744" i="3"/>
  <c r="AA744" i="3"/>
  <c r="X744" i="3"/>
  <c r="U744" i="3"/>
  <c r="W744" i="3"/>
  <c r="R744" i="3"/>
  <c r="T744" i="3"/>
  <c r="V744" i="3"/>
  <c r="Q744" i="3"/>
  <c r="S744" i="3"/>
  <c r="M744" i="3"/>
  <c r="P744" i="3"/>
  <c r="O744" i="3"/>
  <c r="K744" i="3"/>
  <c r="N744" i="3"/>
  <c r="L744" i="3"/>
  <c r="J744" i="3"/>
  <c r="I744" i="3"/>
  <c r="AO744" i="3"/>
  <c r="AP744" i="3"/>
  <c r="L745" i="1" l="1"/>
  <c r="P745" i="1" s="1"/>
  <c r="AA745" i="1"/>
  <c r="AR745" i="3"/>
  <c r="AN745" i="3"/>
  <c r="AQ745" i="3"/>
  <c r="AM745" i="3"/>
  <c r="AL745" i="3"/>
  <c r="AJ745" i="3"/>
  <c r="AK745" i="3"/>
  <c r="AI745" i="3"/>
  <c r="AH745" i="3"/>
  <c r="AD745" i="3"/>
  <c r="AG745" i="3"/>
  <c r="AC745" i="3"/>
  <c r="AE745" i="3"/>
  <c r="AB745" i="3"/>
  <c r="X745" i="3"/>
  <c r="Z745" i="3"/>
  <c r="Y745" i="3"/>
  <c r="AA745" i="3"/>
  <c r="W745" i="3"/>
  <c r="R745" i="3"/>
  <c r="T745" i="3"/>
  <c r="V745" i="3"/>
  <c r="U745" i="3"/>
  <c r="Q745" i="3"/>
  <c r="S745" i="3"/>
  <c r="P745" i="3"/>
  <c r="O745" i="3"/>
  <c r="K745" i="3"/>
  <c r="N745" i="3"/>
  <c r="M745" i="3"/>
  <c r="L745" i="3"/>
  <c r="I745" i="3"/>
  <c r="J745" i="3"/>
  <c r="AO745" i="3"/>
  <c r="AP745" i="3"/>
  <c r="I747" i="1"/>
  <c r="J746" i="1"/>
  <c r="V746" i="1"/>
  <c r="G746" i="3"/>
  <c r="Y746" i="1"/>
  <c r="Z746" i="1" s="1"/>
  <c r="G746" i="2"/>
  <c r="S746" i="1"/>
  <c r="W746" i="1" s="1"/>
  <c r="O746" i="1"/>
  <c r="R746" i="1"/>
  <c r="W745" i="1"/>
  <c r="AR745" i="2"/>
  <c r="AQ745" i="2"/>
  <c r="AN745" i="2"/>
  <c r="AM745" i="2"/>
  <c r="AL745" i="2"/>
  <c r="AK745" i="2"/>
  <c r="AJ745" i="2"/>
  <c r="AI745" i="2"/>
  <c r="AH745" i="2"/>
  <c r="AE745" i="2"/>
  <c r="AG745" i="2"/>
  <c r="AD745" i="2"/>
  <c r="AC745" i="2"/>
  <c r="AB745" i="2"/>
  <c r="Z745" i="2"/>
  <c r="X745" i="2"/>
  <c r="AA745" i="2"/>
  <c r="V745" i="2"/>
  <c r="Y745" i="2"/>
  <c r="U745" i="2"/>
  <c r="W745" i="2"/>
  <c r="T745" i="2"/>
  <c r="S745" i="2"/>
  <c r="R745" i="2"/>
  <c r="P745" i="2"/>
  <c r="Q745" i="2"/>
  <c r="N745" i="2"/>
  <c r="M745" i="2"/>
  <c r="O745" i="2"/>
  <c r="L745" i="2"/>
  <c r="I745" i="2"/>
  <c r="AO745" i="2"/>
  <c r="J745" i="2"/>
  <c r="K745" i="2"/>
  <c r="AP745" i="2"/>
  <c r="AR746" i="2" l="1"/>
  <c r="AQ746" i="2"/>
  <c r="AN746" i="2"/>
  <c r="AM746" i="2"/>
  <c r="AK746" i="2"/>
  <c r="AJ746" i="2"/>
  <c r="AL746" i="2"/>
  <c r="AI746" i="2"/>
  <c r="AH746" i="2"/>
  <c r="AE746" i="2"/>
  <c r="AG746" i="2"/>
  <c r="AD746" i="2"/>
  <c r="AB746" i="2"/>
  <c r="AC746" i="2"/>
  <c r="AA746" i="2"/>
  <c r="Z746" i="2"/>
  <c r="Y746" i="2"/>
  <c r="V746" i="2"/>
  <c r="X746" i="2"/>
  <c r="S746" i="2"/>
  <c r="U746" i="2"/>
  <c r="W746" i="2"/>
  <c r="R746" i="2"/>
  <c r="T746" i="2"/>
  <c r="Q746" i="2"/>
  <c r="N746" i="2"/>
  <c r="P746" i="2"/>
  <c r="O746" i="2"/>
  <c r="L746" i="2"/>
  <c r="M746" i="2"/>
  <c r="K746" i="2"/>
  <c r="I746" i="2"/>
  <c r="AO746" i="2"/>
  <c r="J746" i="2"/>
  <c r="AP746" i="2"/>
  <c r="AR746" i="3"/>
  <c r="AN746" i="3"/>
  <c r="AQ746" i="3"/>
  <c r="AM746" i="3"/>
  <c r="AL746" i="3"/>
  <c r="AI746" i="3"/>
  <c r="AK746" i="3"/>
  <c r="AJ746" i="3"/>
  <c r="AH746" i="3"/>
  <c r="AG746" i="3"/>
  <c r="AE746" i="3"/>
  <c r="AD746" i="3"/>
  <c r="AC746" i="3"/>
  <c r="Z746" i="3"/>
  <c r="AB746" i="3"/>
  <c r="X746" i="3"/>
  <c r="Y746" i="3"/>
  <c r="AA746" i="3"/>
  <c r="W746" i="3"/>
  <c r="V746" i="3"/>
  <c r="U746" i="3"/>
  <c r="R746" i="3"/>
  <c r="Q746" i="3"/>
  <c r="T746" i="3"/>
  <c r="S746" i="3"/>
  <c r="M746" i="3"/>
  <c r="P746" i="3"/>
  <c r="K746" i="3"/>
  <c r="N746" i="3"/>
  <c r="O746" i="3"/>
  <c r="L746" i="3"/>
  <c r="J746" i="3"/>
  <c r="I746" i="3"/>
  <c r="AO746" i="3"/>
  <c r="AP746" i="3"/>
  <c r="J747" i="1"/>
  <c r="I748" i="1"/>
  <c r="G747" i="3"/>
  <c r="V747" i="1"/>
  <c r="Y747" i="1"/>
  <c r="Z747" i="1" s="1"/>
  <c r="G747" i="2"/>
  <c r="R747" i="1"/>
  <c r="O747" i="1"/>
  <c r="S747" i="1"/>
  <c r="W747" i="1" s="1"/>
  <c r="L746" i="1"/>
  <c r="P746" i="1" s="1"/>
  <c r="AA746" i="1"/>
  <c r="L747" i="1" l="1"/>
  <c r="P747" i="1" s="1"/>
  <c r="AA747" i="1"/>
  <c r="AR747" i="3"/>
  <c r="AN747" i="3"/>
  <c r="AQ747" i="3"/>
  <c r="AM747" i="3"/>
  <c r="AL747" i="3"/>
  <c r="AK747" i="3"/>
  <c r="AJ747" i="3"/>
  <c r="AG747" i="3"/>
  <c r="AI747" i="3"/>
  <c r="AH747" i="3"/>
  <c r="AE747" i="3"/>
  <c r="AD747" i="3"/>
  <c r="AB747" i="3"/>
  <c r="AC747" i="3"/>
  <c r="X747" i="3"/>
  <c r="Z747" i="3"/>
  <c r="AA747" i="3"/>
  <c r="V747" i="3"/>
  <c r="W747" i="3"/>
  <c r="Y747" i="3"/>
  <c r="U747" i="3"/>
  <c r="S747" i="3"/>
  <c r="T747" i="3"/>
  <c r="R747" i="3"/>
  <c r="P747" i="3"/>
  <c r="O747" i="3"/>
  <c r="Q747" i="3"/>
  <c r="N747" i="3"/>
  <c r="L747" i="3"/>
  <c r="K747" i="3"/>
  <c r="M747" i="3"/>
  <c r="AP747" i="3"/>
  <c r="J747" i="3"/>
  <c r="I747" i="3"/>
  <c r="AO747" i="3"/>
  <c r="AR747" i="2"/>
  <c r="AQ747" i="2"/>
  <c r="AN747" i="2"/>
  <c r="AM747" i="2"/>
  <c r="AK747" i="2"/>
  <c r="AJ747" i="2"/>
  <c r="AL747" i="2"/>
  <c r="AI747" i="2"/>
  <c r="AH747" i="2"/>
  <c r="AG747" i="2"/>
  <c r="AE747" i="2"/>
  <c r="AB747" i="2"/>
  <c r="AD747" i="2"/>
  <c r="AA747" i="2"/>
  <c r="AC747" i="2"/>
  <c r="Y747" i="2"/>
  <c r="Z747" i="2"/>
  <c r="V747" i="2"/>
  <c r="X747" i="2"/>
  <c r="W747" i="2"/>
  <c r="S747" i="2"/>
  <c r="U747" i="2"/>
  <c r="R747" i="2"/>
  <c r="T747" i="2"/>
  <c r="P747" i="2"/>
  <c r="Q747" i="2"/>
  <c r="O747" i="2"/>
  <c r="L747" i="2"/>
  <c r="N747" i="2"/>
  <c r="M747" i="2"/>
  <c r="J747" i="2"/>
  <c r="K747" i="2"/>
  <c r="I747" i="2"/>
  <c r="AP747" i="2"/>
  <c r="AO747" i="2"/>
  <c r="J748" i="1"/>
  <c r="I749" i="1"/>
  <c r="V748" i="1"/>
  <c r="G748" i="3"/>
  <c r="Y748" i="1"/>
  <c r="Z748" i="1" s="1"/>
  <c r="G748" i="2"/>
  <c r="S748" i="1"/>
  <c r="O748" i="1"/>
  <c r="R748" i="1"/>
  <c r="AR748" i="3" l="1"/>
  <c r="AQ748" i="3"/>
  <c r="AN748" i="3"/>
  <c r="AM748" i="3"/>
  <c r="AL748" i="3"/>
  <c r="AJ748" i="3"/>
  <c r="AK748" i="3"/>
  <c r="AI748" i="3"/>
  <c r="AF748" i="3"/>
  <c r="AH748" i="3"/>
  <c r="AE748" i="3"/>
  <c r="AD748" i="3"/>
  <c r="AC748" i="3"/>
  <c r="AB748" i="3"/>
  <c r="AA748" i="3"/>
  <c r="Z748" i="3"/>
  <c r="Y748" i="3"/>
  <c r="V748" i="3"/>
  <c r="X748" i="3"/>
  <c r="W748" i="3"/>
  <c r="S748" i="3"/>
  <c r="U748" i="3"/>
  <c r="R748" i="3"/>
  <c r="T748" i="3"/>
  <c r="N748" i="3"/>
  <c r="P748" i="3"/>
  <c r="O748" i="3"/>
  <c r="Q748" i="3"/>
  <c r="L748" i="3"/>
  <c r="I748" i="3"/>
  <c r="M748" i="3"/>
  <c r="AO748" i="3"/>
  <c r="AP748" i="3"/>
  <c r="J748" i="3"/>
  <c r="K748" i="3"/>
  <c r="L748" i="1"/>
  <c r="P748" i="1" s="1"/>
  <c r="AA748" i="1"/>
  <c r="J749" i="1"/>
  <c r="I750" i="1"/>
  <c r="V749" i="1"/>
  <c r="G749" i="3"/>
  <c r="Y749" i="1"/>
  <c r="Z749" i="1" s="1"/>
  <c r="G749" i="2"/>
  <c r="O749" i="1"/>
  <c r="R749" i="1"/>
  <c r="S749" i="1"/>
  <c r="W749" i="1" s="1"/>
  <c r="AR748" i="2"/>
  <c r="AQ748" i="2"/>
  <c r="AN748" i="2"/>
  <c r="AM748" i="2"/>
  <c r="AL748" i="2"/>
  <c r="AK748" i="2"/>
  <c r="AJ748" i="2"/>
  <c r="AI748" i="2"/>
  <c r="AH748" i="2"/>
  <c r="AD748" i="2"/>
  <c r="AF748" i="2"/>
  <c r="AE748" i="2"/>
  <c r="AA748" i="2"/>
  <c r="AC748" i="2"/>
  <c r="AB748" i="2"/>
  <c r="Y748" i="2"/>
  <c r="Z748" i="2"/>
  <c r="X748" i="2"/>
  <c r="W748" i="2"/>
  <c r="V748" i="2"/>
  <c r="S748" i="2"/>
  <c r="U748" i="2"/>
  <c r="P748" i="2"/>
  <c r="R748" i="2"/>
  <c r="T748" i="2"/>
  <c r="Q748" i="2"/>
  <c r="N748" i="2"/>
  <c r="J748" i="2"/>
  <c r="O748" i="2"/>
  <c r="L748" i="2"/>
  <c r="M748" i="2"/>
  <c r="K748" i="2"/>
  <c r="I748" i="2"/>
  <c r="AP748" i="2"/>
  <c r="AO748" i="2"/>
  <c r="W748" i="1"/>
  <c r="AQ749" i="3" l="1"/>
  <c r="AR749" i="3"/>
  <c r="AN749" i="3"/>
  <c r="AM749" i="3"/>
  <c r="AL749" i="3"/>
  <c r="AJ749" i="3"/>
  <c r="AK749" i="3"/>
  <c r="AI749" i="3"/>
  <c r="AF749" i="3"/>
  <c r="AH749" i="3"/>
  <c r="AE749" i="3"/>
  <c r="AB749" i="3"/>
  <c r="AD749" i="3"/>
  <c r="AC749" i="3"/>
  <c r="AA749" i="3"/>
  <c r="Y749" i="3"/>
  <c r="Z749" i="3"/>
  <c r="V749" i="3"/>
  <c r="X749" i="3"/>
  <c r="W749" i="3"/>
  <c r="S749" i="3"/>
  <c r="U749" i="3"/>
  <c r="R749" i="3"/>
  <c r="T749" i="3"/>
  <c r="P749" i="3"/>
  <c r="N749" i="3"/>
  <c r="O749" i="3"/>
  <c r="Q749" i="3"/>
  <c r="L749" i="3"/>
  <c r="M749" i="3"/>
  <c r="J749" i="3"/>
  <c r="AO749" i="3"/>
  <c r="AP749" i="3"/>
  <c r="I749" i="3"/>
  <c r="K749" i="3"/>
  <c r="L749" i="1"/>
  <c r="P749" i="1" s="1"/>
  <c r="AA749" i="1"/>
  <c r="J750" i="1"/>
  <c r="I751" i="1"/>
  <c r="V750" i="1"/>
  <c r="G750" i="3"/>
  <c r="Y750" i="1"/>
  <c r="Z750" i="1" s="1"/>
  <c r="G750" i="2"/>
  <c r="O750" i="1"/>
  <c r="S750" i="1"/>
  <c r="W750" i="1" s="1"/>
  <c r="R750" i="1"/>
  <c r="AR749" i="2"/>
  <c r="AQ749" i="2"/>
  <c r="AM749" i="2"/>
  <c r="AL749" i="2"/>
  <c r="AK749" i="2"/>
  <c r="AN749" i="2"/>
  <c r="AJ749" i="2"/>
  <c r="AH749" i="2"/>
  <c r="AI749" i="2"/>
  <c r="AB749" i="2"/>
  <c r="AD749" i="2"/>
  <c r="AF749" i="2"/>
  <c r="AE749" i="2"/>
  <c r="AA749" i="2"/>
  <c r="AC749" i="2"/>
  <c r="Y749" i="2"/>
  <c r="W749" i="2"/>
  <c r="X749" i="2"/>
  <c r="Z749" i="2"/>
  <c r="V749" i="2"/>
  <c r="U749" i="2"/>
  <c r="T749" i="2"/>
  <c r="R749" i="2"/>
  <c r="S749" i="2"/>
  <c r="Q749" i="2"/>
  <c r="P749" i="2"/>
  <c r="O749" i="2"/>
  <c r="L749" i="2"/>
  <c r="N749" i="2"/>
  <c r="M749" i="2"/>
  <c r="K749" i="2"/>
  <c r="I749" i="2"/>
  <c r="J749" i="2"/>
  <c r="AP749" i="2"/>
  <c r="AO749" i="2"/>
  <c r="AR750" i="2" l="1"/>
  <c r="AQ750" i="2"/>
  <c r="AL750" i="2"/>
  <c r="AM750" i="2"/>
  <c r="AN750" i="2"/>
  <c r="AK750" i="2"/>
  <c r="AJ750" i="2"/>
  <c r="AH750" i="2"/>
  <c r="AI750" i="2"/>
  <c r="AF750" i="2"/>
  <c r="AE750" i="2"/>
  <c r="AD750" i="2"/>
  <c r="AC750" i="2"/>
  <c r="AA750" i="2"/>
  <c r="AB750" i="2"/>
  <c r="Z750" i="2"/>
  <c r="W750" i="2"/>
  <c r="X750" i="2"/>
  <c r="Y750" i="2"/>
  <c r="U750" i="2"/>
  <c r="T750" i="2"/>
  <c r="V750" i="2"/>
  <c r="S750" i="2"/>
  <c r="P750" i="2"/>
  <c r="R750" i="2"/>
  <c r="O750" i="2"/>
  <c r="Q750" i="2"/>
  <c r="J750" i="2"/>
  <c r="N750" i="2"/>
  <c r="M750" i="2"/>
  <c r="L750" i="2"/>
  <c r="K750" i="2"/>
  <c r="I750" i="2"/>
  <c r="AP750" i="2"/>
  <c r="AO750" i="2"/>
  <c r="AQ750" i="3"/>
  <c r="AR750" i="3"/>
  <c r="AM750" i="3"/>
  <c r="AN750" i="3"/>
  <c r="AL750" i="3"/>
  <c r="AK750" i="3"/>
  <c r="AJ750" i="3"/>
  <c r="AI750" i="3"/>
  <c r="AH750" i="3"/>
  <c r="AF750" i="3"/>
  <c r="AB750" i="3"/>
  <c r="AD750" i="3"/>
  <c r="AE750" i="3"/>
  <c r="AA750" i="3"/>
  <c r="AC750" i="3"/>
  <c r="Y750" i="3"/>
  <c r="Z750" i="3"/>
  <c r="X750" i="3"/>
  <c r="W750" i="3"/>
  <c r="S750" i="3"/>
  <c r="U750" i="3"/>
  <c r="V750" i="3"/>
  <c r="T750" i="3"/>
  <c r="P750" i="3"/>
  <c r="R750" i="3"/>
  <c r="Q750" i="3"/>
  <c r="L750" i="3"/>
  <c r="N750" i="3"/>
  <c r="O750" i="3"/>
  <c r="J750" i="3"/>
  <c r="K750" i="3"/>
  <c r="M750" i="3"/>
  <c r="AO750" i="3"/>
  <c r="AP750" i="3"/>
  <c r="I750" i="3"/>
  <c r="I752" i="1"/>
  <c r="J751" i="1"/>
  <c r="V751" i="1"/>
  <c r="G751" i="3"/>
  <c r="Y751" i="1"/>
  <c r="Z751" i="1" s="1"/>
  <c r="G751" i="2"/>
  <c r="R751" i="1"/>
  <c r="O751" i="1"/>
  <c r="S751" i="1"/>
  <c r="L750" i="1"/>
  <c r="P750" i="1" s="1"/>
  <c r="AA750" i="1"/>
  <c r="L751" i="1" l="1"/>
  <c r="P751" i="1" s="1"/>
  <c r="AA751" i="1"/>
  <c r="AR751" i="2"/>
  <c r="AQ751" i="2"/>
  <c r="AL751" i="2"/>
  <c r="AM751" i="2"/>
  <c r="AN751" i="2"/>
  <c r="AK751" i="2"/>
  <c r="AJ751" i="2"/>
  <c r="AH751" i="2"/>
  <c r="AI751" i="2"/>
  <c r="AF751" i="2"/>
  <c r="AC751" i="2"/>
  <c r="AE751" i="2"/>
  <c r="AD751" i="2"/>
  <c r="AB751" i="2"/>
  <c r="AA751" i="2"/>
  <c r="Z751" i="2"/>
  <c r="Y751" i="2"/>
  <c r="U751" i="2"/>
  <c r="W751" i="2"/>
  <c r="X751" i="2"/>
  <c r="T751" i="2"/>
  <c r="V751" i="2"/>
  <c r="S751" i="2"/>
  <c r="R751" i="2"/>
  <c r="Q751" i="2"/>
  <c r="O751" i="2"/>
  <c r="P751" i="2"/>
  <c r="M751" i="2"/>
  <c r="L751" i="2"/>
  <c r="N751" i="2"/>
  <c r="K751" i="2"/>
  <c r="I751" i="2"/>
  <c r="J751" i="2"/>
  <c r="AP751" i="2"/>
  <c r="AO751" i="2"/>
  <c r="AQ751" i="3"/>
  <c r="AR751" i="3"/>
  <c r="AN751" i="3"/>
  <c r="AM751" i="3"/>
  <c r="AL751" i="3"/>
  <c r="AK751" i="3"/>
  <c r="AH751" i="3"/>
  <c r="AJ751" i="3"/>
  <c r="AI751" i="3"/>
  <c r="AF751" i="3"/>
  <c r="AB751" i="3"/>
  <c r="AD751" i="3"/>
  <c r="AE751" i="3"/>
  <c r="AA751" i="3"/>
  <c r="AC751" i="3"/>
  <c r="W751" i="3"/>
  <c r="Y751" i="3"/>
  <c r="Z751" i="3"/>
  <c r="X751" i="3"/>
  <c r="U751" i="3"/>
  <c r="V751" i="3"/>
  <c r="T751" i="3"/>
  <c r="S751" i="3"/>
  <c r="R751" i="3"/>
  <c r="Q751" i="3"/>
  <c r="P751" i="3"/>
  <c r="O751" i="3"/>
  <c r="J751" i="3"/>
  <c r="L751" i="3"/>
  <c r="N751" i="3"/>
  <c r="M751" i="3"/>
  <c r="AO751" i="3"/>
  <c r="I751" i="3"/>
  <c r="K751" i="3"/>
  <c r="AP751" i="3"/>
  <c r="J752" i="1"/>
  <c r="I753" i="1"/>
  <c r="G752" i="3"/>
  <c r="V752" i="1"/>
  <c r="G752" i="2"/>
  <c r="Y752" i="1"/>
  <c r="Z752" i="1" s="1"/>
  <c r="S752" i="1"/>
  <c r="W752" i="1" s="1"/>
  <c r="O752" i="1"/>
  <c r="R752" i="1"/>
  <c r="W751" i="1"/>
  <c r="J753" i="1" l="1"/>
  <c r="I754" i="1"/>
  <c r="V753" i="1"/>
  <c r="G753" i="3"/>
  <c r="Y753" i="1"/>
  <c r="Z753" i="1" s="1"/>
  <c r="G753" i="2"/>
  <c r="O753" i="1"/>
  <c r="R753" i="1"/>
  <c r="S753" i="1"/>
  <c r="AQ752" i="2"/>
  <c r="AR752" i="2"/>
  <c r="AL752" i="2"/>
  <c r="AM752" i="2"/>
  <c r="AN752" i="2"/>
  <c r="AI752" i="2"/>
  <c r="AK752" i="2"/>
  <c r="AJ752" i="2"/>
  <c r="AH752" i="2"/>
  <c r="AC752" i="2"/>
  <c r="AE752" i="2"/>
  <c r="AF752" i="2"/>
  <c r="AD752" i="2"/>
  <c r="AB752" i="2"/>
  <c r="Z752" i="2"/>
  <c r="AA752" i="2"/>
  <c r="X752" i="2"/>
  <c r="Y752" i="2"/>
  <c r="U752" i="2"/>
  <c r="W752" i="2"/>
  <c r="T752" i="2"/>
  <c r="V752" i="2"/>
  <c r="Q752" i="2"/>
  <c r="S752" i="2"/>
  <c r="R752" i="2"/>
  <c r="M752" i="2"/>
  <c r="O752" i="2"/>
  <c r="P752" i="2"/>
  <c r="K752" i="2"/>
  <c r="L752" i="2"/>
  <c r="N752" i="2"/>
  <c r="J752" i="2"/>
  <c r="AP752" i="2"/>
  <c r="I752" i="2"/>
  <c r="AO752" i="2"/>
  <c r="L752" i="1"/>
  <c r="P752" i="1" s="1"/>
  <c r="AA752" i="1"/>
  <c r="AR752" i="3"/>
  <c r="AQ752" i="3"/>
  <c r="AL752" i="3"/>
  <c r="AN752" i="3"/>
  <c r="AK752" i="3"/>
  <c r="AM752" i="3"/>
  <c r="AH752" i="3"/>
  <c r="AJ752" i="3"/>
  <c r="AI752" i="3"/>
  <c r="AF752" i="3"/>
  <c r="AD752" i="3"/>
  <c r="AE752" i="3"/>
  <c r="AC752" i="3"/>
  <c r="AA752" i="3"/>
  <c r="AB752" i="3"/>
  <c r="Y752" i="3"/>
  <c r="Z752" i="3"/>
  <c r="X752" i="3"/>
  <c r="U752" i="3"/>
  <c r="T752" i="3"/>
  <c r="V752" i="3"/>
  <c r="W752" i="3"/>
  <c r="S752" i="3"/>
  <c r="P752" i="3"/>
  <c r="R752" i="3"/>
  <c r="O752" i="3"/>
  <c r="Q752" i="3"/>
  <c r="M752" i="3"/>
  <c r="J752" i="3"/>
  <c r="L752" i="3"/>
  <c r="N752" i="3"/>
  <c r="K752" i="3"/>
  <c r="AO752" i="3"/>
  <c r="AP752" i="3"/>
  <c r="I752" i="3"/>
  <c r="L753" i="1" l="1"/>
  <c r="P753" i="1" s="1"/>
  <c r="AA753" i="1"/>
  <c r="I755" i="1"/>
  <c r="J754" i="1"/>
  <c r="V754" i="1"/>
  <c r="G754" i="3"/>
  <c r="Y754" i="1"/>
  <c r="Z754" i="1" s="1"/>
  <c r="G754" i="2"/>
  <c r="S754" i="1"/>
  <c r="R754" i="1"/>
  <c r="O754" i="1"/>
  <c r="AR753" i="2"/>
  <c r="AQ753" i="2"/>
  <c r="AN753" i="2"/>
  <c r="AM753" i="2"/>
  <c r="AL753" i="2"/>
  <c r="AK753" i="2"/>
  <c r="AJ753" i="2"/>
  <c r="AI753" i="2"/>
  <c r="AH753" i="2"/>
  <c r="AC753" i="2"/>
  <c r="AE753" i="2"/>
  <c r="AD753" i="2"/>
  <c r="AF753" i="2"/>
  <c r="X753" i="2"/>
  <c r="AB753" i="2"/>
  <c r="AA753" i="2"/>
  <c r="Z753" i="2"/>
  <c r="Y753" i="2"/>
  <c r="W753" i="2"/>
  <c r="V753" i="2"/>
  <c r="U753" i="2"/>
  <c r="Q753" i="2"/>
  <c r="S753" i="2"/>
  <c r="T753" i="2"/>
  <c r="R753" i="2"/>
  <c r="P753" i="2"/>
  <c r="M753" i="2"/>
  <c r="K753" i="2"/>
  <c r="O753" i="2"/>
  <c r="L753" i="2"/>
  <c r="N753" i="2"/>
  <c r="I753" i="2"/>
  <c r="J753" i="2"/>
  <c r="AP753" i="2"/>
  <c r="AO753" i="2"/>
  <c r="AR753" i="3"/>
  <c r="AQ753" i="3"/>
  <c r="AM753" i="3"/>
  <c r="AL753" i="3"/>
  <c r="AN753" i="3"/>
  <c r="AK753" i="3"/>
  <c r="AI753" i="3"/>
  <c r="AH753" i="3"/>
  <c r="AJ753" i="3"/>
  <c r="AD753" i="3"/>
  <c r="AF753" i="3"/>
  <c r="AC753" i="3"/>
  <c r="AE753" i="3"/>
  <c r="AA753" i="3"/>
  <c r="AB753" i="3"/>
  <c r="Z753" i="3"/>
  <c r="U753" i="3"/>
  <c r="Y753" i="3"/>
  <c r="X753" i="3"/>
  <c r="W753" i="3"/>
  <c r="T753" i="3"/>
  <c r="V753" i="3"/>
  <c r="S753" i="3"/>
  <c r="R753" i="3"/>
  <c r="Q753" i="3"/>
  <c r="O753" i="3"/>
  <c r="P753" i="3"/>
  <c r="M753" i="3"/>
  <c r="L753" i="3"/>
  <c r="N753" i="3"/>
  <c r="K753" i="3"/>
  <c r="I753" i="3"/>
  <c r="AO753" i="3"/>
  <c r="AP753" i="3"/>
  <c r="J753" i="3"/>
  <c r="W753" i="1"/>
  <c r="AR754" i="3" l="1"/>
  <c r="AN754" i="3"/>
  <c r="AM754" i="3"/>
  <c r="AQ754" i="3"/>
  <c r="AL754" i="3"/>
  <c r="AI754" i="3"/>
  <c r="AK754" i="3"/>
  <c r="AJ754" i="3"/>
  <c r="AH754" i="3"/>
  <c r="AF754" i="3"/>
  <c r="AC754" i="3"/>
  <c r="AD754" i="3"/>
  <c r="AE754" i="3"/>
  <c r="AB754" i="3"/>
  <c r="Z754" i="3"/>
  <c r="AA754" i="3"/>
  <c r="Y754" i="3"/>
  <c r="X754" i="3"/>
  <c r="U754" i="3"/>
  <c r="W754" i="3"/>
  <c r="V754" i="3"/>
  <c r="R754" i="3"/>
  <c r="T754" i="3"/>
  <c r="Q754" i="3"/>
  <c r="S754" i="3"/>
  <c r="M754" i="3"/>
  <c r="O754" i="3"/>
  <c r="P754" i="3"/>
  <c r="K754" i="3"/>
  <c r="L754" i="3"/>
  <c r="N754" i="3"/>
  <c r="I754" i="3"/>
  <c r="AO754" i="3"/>
  <c r="J754" i="3"/>
  <c r="AP754" i="3"/>
  <c r="AR754" i="2"/>
  <c r="AQ754" i="2"/>
  <c r="AN754" i="2"/>
  <c r="AM754" i="2"/>
  <c r="AL754" i="2"/>
  <c r="AK754" i="2"/>
  <c r="AJ754" i="2"/>
  <c r="AI754" i="2"/>
  <c r="AH754" i="2"/>
  <c r="AF754" i="2"/>
  <c r="AE754" i="2"/>
  <c r="AD754" i="2"/>
  <c r="Z754" i="2"/>
  <c r="AC754" i="2"/>
  <c r="AB754" i="2"/>
  <c r="AA754" i="2"/>
  <c r="Y754" i="2"/>
  <c r="W754" i="2"/>
  <c r="X754" i="2"/>
  <c r="V754" i="2"/>
  <c r="U754" i="2"/>
  <c r="Q754" i="2"/>
  <c r="S754" i="2"/>
  <c r="R754" i="2"/>
  <c r="T754" i="2"/>
  <c r="P754" i="2"/>
  <c r="M754" i="2"/>
  <c r="N754" i="2"/>
  <c r="K754" i="2"/>
  <c r="O754" i="2"/>
  <c r="L754" i="2"/>
  <c r="AO754" i="2"/>
  <c r="J754" i="2"/>
  <c r="AP754" i="2"/>
  <c r="I754" i="2"/>
  <c r="J755" i="1"/>
  <c r="I756" i="1"/>
  <c r="V755" i="1"/>
  <c r="G755" i="3"/>
  <c r="Y755" i="1"/>
  <c r="Z755" i="1" s="1"/>
  <c r="G755" i="2"/>
  <c r="R755" i="1"/>
  <c r="O755" i="1"/>
  <c r="S755" i="1"/>
  <c r="W755" i="1" s="1"/>
  <c r="L754" i="1"/>
  <c r="P754" i="1" s="1"/>
  <c r="AA754" i="1"/>
  <c r="W754" i="1"/>
  <c r="AR755" i="3" l="1"/>
  <c r="AN755" i="3"/>
  <c r="AM755" i="3"/>
  <c r="AQ755" i="3"/>
  <c r="AL755" i="3"/>
  <c r="AK755" i="3"/>
  <c r="AI755" i="3"/>
  <c r="AJ755" i="3"/>
  <c r="AH755" i="3"/>
  <c r="AD755" i="3"/>
  <c r="AF755" i="3"/>
  <c r="AE755" i="3"/>
  <c r="AC755" i="3"/>
  <c r="AB755" i="3"/>
  <c r="X755" i="3"/>
  <c r="AA755" i="3"/>
  <c r="Z755" i="3"/>
  <c r="Y755" i="3"/>
  <c r="W755" i="3"/>
  <c r="V755" i="3"/>
  <c r="R755" i="3"/>
  <c r="T755" i="3"/>
  <c r="U755" i="3"/>
  <c r="Q755" i="3"/>
  <c r="S755" i="3"/>
  <c r="P755" i="3"/>
  <c r="O755" i="3"/>
  <c r="M755" i="3"/>
  <c r="K755" i="3"/>
  <c r="L755" i="3"/>
  <c r="N755" i="3"/>
  <c r="I755" i="3"/>
  <c r="AO755" i="3"/>
  <c r="AP755" i="3"/>
  <c r="J755" i="3"/>
  <c r="L755" i="1"/>
  <c r="P755" i="1" s="1"/>
  <c r="AA755" i="1"/>
  <c r="I757" i="1"/>
  <c r="J756" i="1"/>
  <c r="V756" i="1"/>
  <c r="G756" i="3"/>
  <c r="Y756" i="1"/>
  <c r="Z756" i="1" s="1"/>
  <c r="G756" i="2"/>
  <c r="O756" i="1"/>
  <c r="R756" i="1"/>
  <c r="S756" i="1"/>
  <c r="W756" i="1" s="1"/>
  <c r="AR755" i="2"/>
  <c r="AQ755" i="2"/>
  <c r="AN755" i="2"/>
  <c r="AM755" i="2"/>
  <c r="AL755" i="2"/>
  <c r="AJ755" i="2"/>
  <c r="AK755" i="2"/>
  <c r="AI755" i="2"/>
  <c r="AH755" i="2"/>
  <c r="AF755" i="2"/>
  <c r="AE755" i="2"/>
  <c r="AD755" i="2"/>
  <c r="AC755" i="2"/>
  <c r="AB755" i="2"/>
  <c r="X755" i="2"/>
  <c r="Z755" i="2"/>
  <c r="AA755" i="2"/>
  <c r="V755" i="2"/>
  <c r="Y755" i="2"/>
  <c r="W755" i="2"/>
  <c r="U755" i="2"/>
  <c r="T755" i="2"/>
  <c r="S755" i="2"/>
  <c r="R755" i="2"/>
  <c r="P755" i="2"/>
  <c r="Q755" i="2"/>
  <c r="N755" i="2"/>
  <c r="M755" i="2"/>
  <c r="O755" i="2"/>
  <c r="L755" i="2"/>
  <c r="I755" i="2"/>
  <c r="AO755" i="2"/>
  <c r="J755" i="2"/>
  <c r="K755" i="2"/>
  <c r="AP755" i="2"/>
  <c r="J757" i="1" l="1"/>
  <c r="I758" i="1"/>
  <c r="V757" i="1"/>
  <c r="G757" i="3"/>
  <c r="Y757" i="1"/>
  <c r="Z757" i="1" s="1"/>
  <c r="G757" i="2"/>
  <c r="R757" i="1"/>
  <c r="O757" i="1"/>
  <c r="S757" i="1"/>
  <c r="W757" i="1" s="1"/>
  <c r="AN756" i="3"/>
  <c r="AR756" i="3"/>
  <c r="AM756" i="3"/>
  <c r="AQ756" i="3"/>
  <c r="AL756" i="3"/>
  <c r="AI756" i="3"/>
  <c r="AK756" i="3"/>
  <c r="AJ756" i="3"/>
  <c r="AH756" i="3"/>
  <c r="AF756" i="3"/>
  <c r="AE756" i="3"/>
  <c r="AC756" i="3"/>
  <c r="AD756" i="3"/>
  <c r="AB756" i="3"/>
  <c r="Z756" i="3"/>
  <c r="X756" i="3"/>
  <c r="AA756" i="3"/>
  <c r="Y756" i="3"/>
  <c r="W756" i="3"/>
  <c r="V756" i="3"/>
  <c r="R756" i="3"/>
  <c r="U756" i="3"/>
  <c r="T756" i="3"/>
  <c r="Q756" i="3"/>
  <c r="S756" i="3"/>
  <c r="P756" i="3"/>
  <c r="M756" i="3"/>
  <c r="N756" i="3"/>
  <c r="K756" i="3"/>
  <c r="O756" i="3"/>
  <c r="L756" i="3"/>
  <c r="J756" i="3"/>
  <c r="I756" i="3"/>
  <c r="AO756" i="3"/>
  <c r="AP756" i="3"/>
  <c r="AR756" i="2"/>
  <c r="AQ756" i="2"/>
  <c r="AN756" i="2"/>
  <c r="AM756" i="2"/>
  <c r="AJ756" i="2"/>
  <c r="AL756" i="2"/>
  <c r="AK756" i="2"/>
  <c r="AH756" i="2"/>
  <c r="AF756" i="2"/>
  <c r="AI756" i="2"/>
  <c r="AE756" i="2"/>
  <c r="AD756" i="2"/>
  <c r="AB756" i="2"/>
  <c r="AC756" i="2"/>
  <c r="AA756" i="2"/>
  <c r="Z756" i="2"/>
  <c r="Y756" i="2"/>
  <c r="X756" i="2"/>
  <c r="V756" i="2"/>
  <c r="S756" i="2"/>
  <c r="W756" i="2"/>
  <c r="U756" i="2"/>
  <c r="R756" i="2"/>
  <c r="T756" i="2"/>
  <c r="N756" i="2"/>
  <c r="P756" i="2"/>
  <c r="Q756" i="2"/>
  <c r="L756" i="2"/>
  <c r="M756" i="2"/>
  <c r="O756" i="2"/>
  <c r="I756" i="2"/>
  <c r="AO756" i="2"/>
  <c r="J756" i="2"/>
  <c r="K756" i="2"/>
  <c r="AP756" i="2"/>
  <c r="L756" i="1"/>
  <c r="P756" i="1" s="1"/>
  <c r="AA756" i="1"/>
  <c r="AR757" i="3" l="1"/>
  <c r="AN757" i="3"/>
  <c r="AQ757" i="3"/>
  <c r="AM757" i="3"/>
  <c r="AL757" i="3"/>
  <c r="AK757" i="3"/>
  <c r="AJ757" i="3"/>
  <c r="AI757" i="3"/>
  <c r="AH757" i="3"/>
  <c r="AF757" i="3"/>
  <c r="AE757" i="3"/>
  <c r="AD757" i="3"/>
  <c r="AC757" i="3"/>
  <c r="AB757" i="3"/>
  <c r="Z757" i="3"/>
  <c r="X757" i="3"/>
  <c r="AA757" i="3"/>
  <c r="V757" i="3"/>
  <c r="W757" i="3"/>
  <c r="Y757" i="3"/>
  <c r="U757" i="3"/>
  <c r="S757" i="3"/>
  <c r="T757" i="3"/>
  <c r="R757" i="3"/>
  <c r="P757" i="3"/>
  <c r="Q757" i="3"/>
  <c r="N757" i="3"/>
  <c r="M757" i="3"/>
  <c r="K757" i="3"/>
  <c r="O757" i="3"/>
  <c r="L757" i="3"/>
  <c r="AP757" i="3"/>
  <c r="J757" i="3"/>
  <c r="I757" i="3"/>
  <c r="AO757" i="3"/>
  <c r="AR757" i="2"/>
  <c r="AQ757" i="2"/>
  <c r="AN757" i="2"/>
  <c r="AM757" i="2"/>
  <c r="AK757" i="2"/>
  <c r="AJ757" i="2"/>
  <c r="AL757" i="2"/>
  <c r="AI757" i="2"/>
  <c r="AH757" i="2"/>
  <c r="AF757" i="2"/>
  <c r="AE757" i="2"/>
  <c r="AB757" i="2"/>
  <c r="AD757" i="2"/>
  <c r="AA757" i="2"/>
  <c r="AC757" i="2"/>
  <c r="Z757" i="2"/>
  <c r="Y757" i="2"/>
  <c r="X757" i="2"/>
  <c r="V757" i="2"/>
  <c r="W757" i="2"/>
  <c r="S757" i="2"/>
  <c r="U757" i="2"/>
  <c r="R757" i="2"/>
  <c r="T757" i="2"/>
  <c r="P757" i="2"/>
  <c r="Q757" i="2"/>
  <c r="N757" i="2"/>
  <c r="L757" i="2"/>
  <c r="M757" i="2"/>
  <c r="O757" i="2"/>
  <c r="J757" i="2"/>
  <c r="I757" i="2"/>
  <c r="K757" i="2"/>
  <c r="AO757" i="2"/>
  <c r="AP757" i="2"/>
  <c r="L757" i="1"/>
  <c r="P757" i="1" s="1"/>
  <c r="AA757" i="1"/>
  <c r="J758" i="1"/>
  <c r="I759" i="1"/>
  <c r="V758" i="1"/>
  <c r="G758" i="3"/>
  <c r="Y758" i="1"/>
  <c r="Z758" i="1" s="1"/>
  <c r="G758" i="2"/>
  <c r="S758" i="1"/>
  <c r="O758" i="1"/>
  <c r="R758" i="1"/>
  <c r="L758" i="1" l="1"/>
  <c r="P758" i="1" s="1"/>
  <c r="AA758" i="1"/>
  <c r="J759" i="1"/>
  <c r="I760" i="1"/>
  <c r="V759" i="1"/>
  <c r="G759" i="3"/>
  <c r="Y759" i="1"/>
  <c r="Z759" i="1" s="1"/>
  <c r="G759" i="2"/>
  <c r="R759" i="1"/>
  <c r="O759" i="1"/>
  <c r="S759" i="1"/>
  <c r="AQ758" i="3"/>
  <c r="AR758" i="3"/>
  <c r="AN758" i="3"/>
  <c r="AM758" i="3"/>
  <c r="AL758" i="3"/>
  <c r="AJ758" i="3"/>
  <c r="AK758" i="3"/>
  <c r="AF758" i="3"/>
  <c r="AI758" i="3"/>
  <c r="AE758" i="3"/>
  <c r="AG758" i="3"/>
  <c r="AC758" i="3"/>
  <c r="AD758" i="3"/>
  <c r="AB758" i="3"/>
  <c r="AA758" i="3"/>
  <c r="Z758" i="3"/>
  <c r="Y758" i="3"/>
  <c r="V758" i="3"/>
  <c r="W758" i="3"/>
  <c r="X758" i="3"/>
  <c r="S758" i="3"/>
  <c r="U758" i="3"/>
  <c r="T758" i="3"/>
  <c r="R758" i="3"/>
  <c r="N758" i="3"/>
  <c r="P758" i="3"/>
  <c r="Q758" i="3"/>
  <c r="O758" i="3"/>
  <c r="L758" i="3"/>
  <c r="I758" i="3"/>
  <c r="M758" i="3"/>
  <c r="K758" i="3"/>
  <c r="AP758" i="3"/>
  <c r="J758" i="3"/>
  <c r="AO758" i="3"/>
  <c r="AR758" i="2"/>
  <c r="AQ758" i="2"/>
  <c r="AN758" i="2"/>
  <c r="AM758" i="2"/>
  <c r="AK758" i="2"/>
  <c r="AJ758" i="2"/>
  <c r="AL758" i="2"/>
  <c r="AI758" i="2"/>
  <c r="AF758" i="2"/>
  <c r="AG758" i="2"/>
  <c r="AD758" i="2"/>
  <c r="AE758" i="2"/>
  <c r="AB758" i="2"/>
  <c r="AA758" i="2"/>
  <c r="AC758" i="2"/>
  <c r="Z758" i="2"/>
  <c r="Y758" i="2"/>
  <c r="X758" i="2"/>
  <c r="W758" i="2"/>
  <c r="U758" i="2"/>
  <c r="S758" i="2"/>
  <c r="V758" i="2"/>
  <c r="P758" i="2"/>
  <c r="R758" i="2"/>
  <c r="T758" i="2"/>
  <c r="N758" i="2"/>
  <c r="Q758" i="2"/>
  <c r="J758" i="2"/>
  <c r="L758" i="2"/>
  <c r="M758" i="2"/>
  <c r="O758" i="2"/>
  <c r="I758" i="2"/>
  <c r="K758" i="2"/>
  <c r="AO758" i="2"/>
  <c r="AP758" i="2"/>
  <c r="W758" i="1"/>
  <c r="AR759" i="2" l="1"/>
  <c r="AQ759" i="2"/>
  <c r="AN759" i="2"/>
  <c r="AK759" i="2"/>
  <c r="AM759" i="2"/>
  <c r="AL759" i="2"/>
  <c r="AI759" i="2"/>
  <c r="AJ759" i="2"/>
  <c r="AG759" i="2"/>
  <c r="AF759" i="2"/>
  <c r="AB759" i="2"/>
  <c r="AD759" i="2"/>
  <c r="AE759" i="2"/>
  <c r="AC759" i="2"/>
  <c r="AA759" i="2"/>
  <c r="Z759" i="2"/>
  <c r="Y759" i="2"/>
  <c r="W759" i="2"/>
  <c r="X759" i="2"/>
  <c r="U759" i="2"/>
  <c r="V759" i="2"/>
  <c r="T759" i="2"/>
  <c r="R759" i="2"/>
  <c r="S759" i="2"/>
  <c r="P759" i="2"/>
  <c r="Q759" i="2"/>
  <c r="O759" i="2"/>
  <c r="N759" i="2"/>
  <c r="L759" i="2"/>
  <c r="M759" i="2"/>
  <c r="I759" i="2"/>
  <c r="J759" i="2"/>
  <c r="K759" i="2"/>
  <c r="AO759" i="2"/>
  <c r="AP759" i="2"/>
  <c r="AQ759" i="3"/>
  <c r="AR759" i="3"/>
  <c r="AN759" i="3"/>
  <c r="AL759" i="3"/>
  <c r="AM759" i="3"/>
  <c r="AJ759" i="3"/>
  <c r="AK759" i="3"/>
  <c r="AF759" i="3"/>
  <c r="AI759" i="3"/>
  <c r="AE759" i="3"/>
  <c r="AG759" i="3"/>
  <c r="AD759" i="3"/>
  <c r="AB759" i="3"/>
  <c r="AC759" i="3"/>
  <c r="AA759" i="3"/>
  <c r="Y759" i="3"/>
  <c r="Z759" i="3"/>
  <c r="V759" i="3"/>
  <c r="W759" i="3"/>
  <c r="X759" i="3"/>
  <c r="U759" i="3"/>
  <c r="S759" i="3"/>
  <c r="T759" i="3"/>
  <c r="R759" i="3"/>
  <c r="P759" i="3"/>
  <c r="N759" i="3"/>
  <c r="Q759" i="3"/>
  <c r="O759" i="3"/>
  <c r="L759" i="3"/>
  <c r="M759" i="3"/>
  <c r="J759" i="3"/>
  <c r="AO759" i="3"/>
  <c r="K759" i="3"/>
  <c r="AP759" i="3"/>
  <c r="I759" i="3"/>
  <c r="L759" i="1"/>
  <c r="P759" i="1" s="1"/>
  <c r="AA759" i="1"/>
  <c r="J760" i="1"/>
  <c r="I761" i="1"/>
  <c r="V760" i="1"/>
  <c r="G760" i="3"/>
  <c r="Y760" i="1"/>
  <c r="Z760" i="1" s="1"/>
  <c r="G760" i="2"/>
  <c r="S760" i="1"/>
  <c r="O760" i="1"/>
  <c r="R760" i="1"/>
  <c r="W759" i="1"/>
  <c r="AR760" i="3" l="1"/>
  <c r="AQ760" i="3"/>
  <c r="AN760" i="3"/>
  <c r="AL760" i="3"/>
  <c r="AM760" i="3"/>
  <c r="AJ760" i="3"/>
  <c r="AK760" i="3"/>
  <c r="AI760" i="3"/>
  <c r="AF760" i="3"/>
  <c r="AG760" i="3"/>
  <c r="AE760" i="3"/>
  <c r="AD760" i="3"/>
  <c r="AB760" i="3"/>
  <c r="AC760" i="3"/>
  <c r="AA760" i="3"/>
  <c r="Y760" i="3"/>
  <c r="Z760" i="3"/>
  <c r="X760" i="3"/>
  <c r="W760" i="3"/>
  <c r="U760" i="3"/>
  <c r="V760" i="3"/>
  <c r="S760" i="3"/>
  <c r="P760" i="3"/>
  <c r="T760" i="3"/>
  <c r="R760" i="3"/>
  <c r="L760" i="3"/>
  <c r="N760" i="3"/>
  <c r="Q760" i="3"/>
  <c r="O760" i="3"/>
  <c r="J760" i="3"/>
  <c r="M760" i="3"/>
  <c r="K760" i="3"/>
  <c r="AO760" i="3"/>
  <c r="AP760" i="3"/>
  <c r="I760" i="3"/>
  <c r="L760" i="1"/>
  <c r="P760" i="1" s="1"/>
  <c r="AA760" i="1"/>
  <c r="I762" i="1"/>
  <c r="J761" i="1"/>
  <c r="G761" i="3"/>
  <c r="V761" i="1"/>
  <c r="Y761" i="1"/>
  <c r="Z761" i="1" s="1"/>
  <c r="G761" i="2"/>
  <c r="R761" i="1"/>
  <c r="O761" i="1"/>
  <c r="S761" i="1"/>
  <c r="W761" i="1" s="1"/>
  <c r="W760" i="1"/>
  <c r="AR760" i="2"/>
  <c r="AQ760" i="2"/>
  <c r="AL760" i="2"/>
  <c r="AN760" i="2"/>
  <c r="AM760" i="2"/>
  <c r="AK760" i="2"/>
  <c r="AI760" i="2"/>
  <c r="AJ760" i="2"/>
  <c r="AG760" i="2"/>
  <c r="AF760" i="2"/>
  <c r="AD760" i="2"/>
  <c r="AE760" i="2"/>
  <c r="AC760" i="2"/>
  <c r="AB760" i="2"/>
  <c r="AA760" i="2"/>
  <c r="Z760" i="2"/>
  <c r="W760" i="2"/>
  <c r="X760" i="2"/>
  <c r="Y760" i="2"/>
  <c r="U760" i="2"/>
  <c r="T760" i="2"/>
  <c r="V760" i="2"/>
  <c r="P760" i="2"/>
  <c r="S760" i="2"/>
  <c r="Q760" i="2"/>
  <c r="O760" i="2"/>
  <c r="R760" i="2"/>
  <c r="J760" i="2"/>
  <c r="N760" i="2"/>
  <c r="M760" i="2"/>
  <c r="K760" i="2"/>
  <c r="L760" i="2"/>
  <c r="I760" i="2"/>
  <c r="AO760" i="2"/>
  <c r="AP760" i="2"/>
  <c r="J762" i="1" l="1"/>
  <c r="I763" i="1"/>
  <c r="G762" i="3"/>
  <c r="V762" i="1"/>
  <c r="Y762" i="1"/>
  <c r="Z762" i="1" s="1"/>
  <c r="G762" i="2"/>
  <c r="O762" i="1"/>
  <c r="R762" i="1"/>
  <c r="S762" i="1"/>
  <c r="AR761" i="2"/>
  <c r="AQ761" i="2"/>
  <c r="AN761" i="2"/>
  <c r="AL761" i="2"/>
  <c r="AM761" i="2"/>
  <c r="AK761" i="2"/>
  <c r="AJ761" i="2"/>
  <c r="AG761" i="2"/>
  <c r="AI761" i="2"/>
  <c r="AC761" i="2"/>
  <c r="AF761" i="2"/>
  <c r="AD761" i="2"/>
  <c r="AE761" i="2"/>
  <c r="AB761" i="2"/>
  <c r="AA761" i="2"/>
  <c r="U761" i="2"/>
  <c r="W761" i="2"/>
  <c r="X761" i="2"/>
  <c r="Y761" i="2"/>
  <c r="Z761" i="2"/>
  <c r="T761" i="2"/>
  <c r="V761" i="2"/>
  <c r="R761" i="2"/>
  <c r="S761" i="2"/>
  <c r="Q761" i="2"/>
  <c r="O761" i="2"/>
  <c r="P761" i="2"/>
  <c r="M761" i="2"/>
  <c r="N761" i="2"/>
  <c r="L761" i="2"/>
  <c r="K761" i="2"/>
  <c r="J761" i="2"/>
  <c r="I761" i="2"/>
  <c r="AP761" i="2"/>
  <c r="AO761" i="2"/>
  <c r="L761" i="1"/>
  <c r="P761" i="1" s="1"/>
  <c r="AA761" i="1"/>
  <c r="AR761" i="3"/>
  <c r="AQ761" i="3"/>
  <c r="AN761" i="3"/>
  <c r="AL761" i="3"/>
  <c r="AK761" i="3"/>
  <c r="AM761" i="3"/>
  <c r="AI761" i="3"/>
  <c r="AJ761" i="3"/>
  <c r="AG761" i="3"/>
  <c r="AF761" i="3"/>
  <c r="AE761" i="3"/>
  <c r="AD761" i="3"/>
  <c r="AB761" i="3"/>
  <c r="AC761" i="3"/>
  <c r="AA761" i="3"/>
  <c r="W761" i="3"/>
  <c r="Y761" i="3"/>
  <c r="Z761" i="3"/>
  <c r="X761" i="3"/>
  <c r="U761" i="3"/>
  <c r="V761" i="3"/>
  <c r="T761" i="3"/>
  <c r="R761" i="3"/>
  <c r="S761" i="3"/>
  <c r="P761" i="3"/>
  <c r="Q761" i="3"/>
  <c r="O761" i="3"/>
  <c r="N761" i="3"/>
  <c r="J761" i="3"/>
  <c r="L761" i="3"/>
  <c r="M761" i="3"/>
  <c r="AO761" i="3"/>
  <c r="K761" i="3"/>
  <c r="I761" i="3"/>
  <c r="AP761" i="3"/>
  <c r="AR762" i="2" l="1"/>
  <c r="AQ762" i="2"/>
  <c r="AN762" i="2"/>
  <c r="AL762" i="2"/>
  <c r="AM762" i="2"/>
  <c r="AI762" i="2"/>
  <c r="AK762" i="2"/>
  <c r="AJ762" i="2"/>
  <c r="AG762" i="2"/>
  <c r="AF762" i="2"/>
  <c r="AC762" i="2"/>
  <c r="AE762" i="2"/>
  <c r="AD762" i="2"/>
  <c r="AB762" i="2"/>
  <c r="Z762" i="2"/>
  <c r="AA762" i="2"/>
  <c r="X762" i="2"/>
  <c r="U762" i="2"/>
  <c r="W762" i="2"/>
  <c r="Y762" i="2"/>
  <c r="V762" i="2"/>
  <c r="T762" i="2"/>
  <c r="Q762" i="2"/>
  <c r="R762" i="2"/>
  <c r="S762" i="2"/>
  <c r="M762" i="2"/>
  <c r="O762" i="2"/>
  <c r="P762" i="2"/>
  <c r="K762" i="2"/>
  <c r="N762" i="2"/>
  <c r="L762" i="2"/>
  <c r="AP762" i="2"/>
  <c r="J762" i="2"/>
  <c r="I762" i="2"/>
  <c r="AO762" i="2"/>
  <c r="L762" i="1"/>
  <c r="P762" i="1" s="1"/>
  <c r="AA762" i="1"/>
  <c r="AR762" i="3"/>
  <c r="AQ762" i="3"/>
  <c r="AN762" i="3"/>
  <c r="AL762" i="3"/>
  <c r="AM762" i="3"/>
  <c r="AK762" i="3"/>
  <c r="AI762" i="3"/>
  <c r="AJ762" i="3"/>
  <c r="AG762" i="3"/>
  <c r="AF762" i="3"/>
  <c r="AD762" i="3"/>
  <c r="AE762" i="3"/>
  <c r="AC762" i="3"/>
  <c r="AB762" i="3"/>
  <c r="AA762" i="3"/>
  <c r="Y762" i="3"/>
  <c r="Z762" i="3"/>
  <c r="X762" i="3"/>
  <c r="W762" i="3"/>
  <c r="U762" i="3"/>
  <c r="T762" i="3"/>
  <c r="V762" i="3"/>
  <c r="R762" i="3"/>
  <c r="P762" i="3"/>
  <c r="S762" i="3"/>
  <c r="O762" i="3"/>
  <c r="Q762" i="3"/>
  <c r="N762" i="3"/>
  <c r="J762" i="3"/>
  <c r="L762" i="3"/>
  <c r="M762" i="3"/>
  <c r="AO762" i="3"/>
  <c r="K762" i="3"/>
  <c r="AP762" i="3"/>
  <c r="I762" i="3"/>
  <c r="I764" i="1"/>
  <c r="J763" i="1"/>
  <c r="V763" i="1"/>
  <c r="G763" i="3"/>
  <c r="Y763" i="1"/>
  <c r="Z763" i="1" s="1"/>
  <c r="G763" i="2"/>
  <c r="R763" i="1"/>
  <c r="O763" i="1"/>
  <c r="S763" i="1"/>
  <c r="W762" i="1"/>
  <c r="L763" i="1" l="1"/>
  <c r="P763" i="1" s="1"/>
  <c r="AA763" i="1"/>
  <c r="AR763" i="2"/>
  <c r="AQ763" i="2"/>
  <c r="AM763" i="2"/>
  <c r="AN763" i="2"/>
  <c r="AL763" i="2"/>
  <c r="AJ763" i="2"/>
  <c r="AK763" i="2"/>
  <c r="AI763" i="2"/>
  <c r="AG763" i="2"/>
  <c r="AF763" i="2"/>
  <c r="AC763" i="2"/>
  <c r="AD763" i="2"/>
  <c r="AE763" i="2"/>
  <c r="AB763" i="2"/>
  <c r="X763" i="2"/>
  <c r="AA763" i="2"/>
  <c r="Z763" i="2"/>
  <c r="Y763" i="2"/>
  <c r="V763" i="2"/>
  <c r="U763" i="2"/>
  <c r="W763" i="2"/>
  <c r="S763" i="2"/>
  <c r="Q763" i="2"/>
  <c r="T763" i="2"/>
  <c r="R763" i="2"/>
  <c r="P763" i="2"/>
  <c r="K763" i="2"/>
  <c r="N763" i="2"/>
  <c r="M763" i="2"/>
  <c r="L763" i="2"/>
  <c r="O763" i="2"/>
  <c r="I763" i="2"/>
  <c r="AP763" i="2"/>
  <c r="J763" i="2"/>
  <c r="AO763" i="2"/>
  <c r="J764" i="1"/>
  <c r="I765" i="1"/>
  <c r="V764" i="1"/>
  <c r="G764" i="3"/>
  <c r="Y764" i="1"/>
  <c r="Z764" i="1" s="1"/>
  <c r="G764" i="2"/>
  <c r="S764" i="1"/>
  <c r="O764" i="1"/>
  <c r="R764" i="1"/>
  <c r="W763" i="1"/>
  <c r="AQ763" i="3"/>
  <c r="AR763" i="3"/>
  <c r="AN763" i="3"/>
  <c r="AM763" i="3"/>
  <c r="AL763" i="3"/>
  <c r="AK763" i="3"/>
  <c r="AI763" i="3"/>
  <c r="AJ763" i="3"/>
  <c r="AG763" i="3"/>
  <c r="AD763" i="3"/>
  <c r="AF763" i="3"/>
  <c r="AC763" i="3"/>
  <c r="AE763" i="3"/>
  <c r="AB763" i="3"/>
  <c r="AA763" i="3"/>
  <c r="Z763" i="3"/>
  <c r="U763" i="3"/>
  <c r="X763" i="3"/>
  <c r="Y763" i="3"/>
  <c r="W763" i="3"/>
  <c r="T763" i="3"/>
  <c r="V763" i="3"/>
  <c r="R763" i="3"/>
  <c r="S763" i="3"/>
  <c r="Q763" i="3"/>
  <c r="O763" i="3"/>
  <c r="P763" i="3"/>
  <c r="M763" i="3"/>
  <c r="N763" i="3"/>
  <c r="L763" i="3"/>
  <c r="K763" i="3"/>
  <c r="J763" i="3"/>
  <c r="AO763" i="3"/>
  <c r="AP763" i="3"/>
  <c r="I763" i="3"/>
  <c r="W764" i="1" l="1"/>
  <c r="AR764" i="2"/>
  <c r="AQ764" i="2"/>
  <c r="AM764" i="2"/>
  <c r="AN764" i="2"/>
  <c r="AL764" i="2"/>
  <c r="AK764" i="2"/>
  <c r="AJ764" i="2"/>
  <c r="AI764" i="2"/>
  <c r="AG764" i="2"/>
  <c r="AE764" i="2"/>
  <c r="AF764" i="2"/>
  <c r="AD764" i="2"/>
  <c r="AC764" i="2"/>
  <c r="Z764" i="2"/>
  <c r="AB764" i="2"/>
  <c r="AA764" i="2"/>
  <c r="W764" i="2"/>
  <c r="X764" i="2"/>
  <c r="Y764" i="2"/>
  <c r="V764" i="2"/>
  <c r="U764" i="2"/>
  <c r="S764" i="2"/>
  <c r="Q764" i="2"/>
  <c r="T764" i="2"/>
  <c r="R764" i="2"/>
  <c r="M764" i="2"/>
  <c r="P764" i="2"/>
  <c r="O764" i="2"/>
  <c r="K764" i="2"/>
  <c r="N764" i="2"/>
  <c r="L764" i="2"/>
  <c r="AO764" i="2"/>
  <c r="AP764" i="2"/>
  <c r="I764" i="2"/>
  <c r="J764" i="2"/>
  <c r="AR764" i="3"/>
  <c r="AQ764" i="3"/>
  <c r="AN764" i="3"/>
  <c r="AM764" i="3"/>
  <c r="AL764" i="3"/>
  <c r="AI764" i="3"/>
  <c r="AK764" i="3"/>
  <c r="AJ764" i="3"/>
  <c r="AG764" i="3"/>
  <c r="AF764" i="3"/>
  <c r="AC764" i="3"/>
  <c r="AD764" i="3"/>
  <c r="AE764" i="3"/>
  <c r="AB764" i="3"/>
  <c r="Z764" i="3"/>
  <c r="AA764" i="3"/>
  <c r="Y764" i="3"/>
  <c r="X764" i="3"/>
  <c r="U764" i="3"/>
  <c r="W764" i="3"/>
  <c r="R764" i="3"/>
  <c r="T764" i="3"/>
  <c r="V764" i="3"/>
  <c r="Q764" i="3"/>
  <c r="S764" i="3"/>
  <c r="M764" i="3"/>
  <c r="O764" i="3"/>
  <c r="P764" i="3"/>
  <c r="K764" i="3"/>
  <c r="N764" i="3"/>
  <c r="L764" i="3"/>
  <c r="J764" i="3"/>
  <c r="AO764" i="3"/>
  <c r="I764" i="3"/>
  <c r="AP764" i="3"/>
  <c r="L764" i="1"/>
  <c r="P764" i="1" s="1"/>
  <c r="AA764" i="1"/>
  <c r="J765" i="1"/>
  <c r="I766" i="1"/>
  <c r="V765" i="1"/>
  <c r="Y765" i="1"/>
  <c r="Z765" i="1" s="1"/>
  <c r="G765" i="3"/>
  <c r="G765" i="2"/>
  <c r="O765" i="1"/>
  <c r="R765" i="1"/>
  <c r="S765" i="1"/>
  <c r="W765" i="1" s="1"/>
  <c r="I767" i="1" l="1"/>
  <c r="J766" i="1"/>
  <c r="V766" i="1"/>
  <c r="G766" i="3"/>
  <c r="Y766" i="1"/>
  <c r="Z766" i="1" s="1"/>
  <c r="G766" i="2"/>
  <c r="S766" i="1"/>
  <c r="W766" i="1" s="1"/>
  <c r="R766" i="1"/>
  <c r="O766" i="1"/>
  <c r="AR765" i="3"/>
  <c r="AN765" i="3"/>
  <c r="AQ765" i="3"/>
  <c r="AM765" i="3"/>
  <c r="AL765" i="3"/>
  <c r="AK765" i="3"/>
  <c r="AI765" i="3"/>
  <c r="AJ765" i="3"/>
  <c r="AF765" i="3"/>
  <c r="AD765" i="3"/>
  <c r="AG765" i="3"/>
  <c r="AC765" i="3"/>
  <c r="AE765" i="3"/>
  <c r="AB765" i="3"/>
  <c r="X765" i="3"/>
  <c r="AA765" i="3"/>
  <c r="Y765" i="3"/>
  <c r="Z765" i="3"/>
  <c r="W765" i="3"/>
  <c r="R765" i="3"/>
  <c r="U765" i="3"/>
  <c r="T765" i="3"/>
  <c r="V765" i="3"/>
  <c r="S765" i="3"/>
  <c r="Q765" i="3"/>
  <c r="O765" i="3"/>
  <c r="P765" i="3"/>
  <c r="K765" i="3"/>
  <c r="N765" i="3"/>
  <c r="L765" i="3"/>
  <c r="M765" i="3"/>
  <c r="I765" i="3"/>
  <c r="J765" i="3"/>
  <c r="AO765" i="3"/>
  <c r="AP765" i="3"/>
  <c r="AR765" i="2"/>
  <c r="AQ765" i="2"/>
  <c r="AN765" i="2"/>
  <c r="AM765" i="2"/>
  <c r="AL765" i="2"/>
  <c r="AJ765" i="2"/>
  <c r="AK765" i="2"/>
  <c r="AI765" i="2"/>
  <c r="AF765" i="2"/>
  <c r="AE765" i="2"/>
  <c r="AG765" i="2"/>
  <c r="AD765" i="2"/>
  <c r="AC765" i="2"/>
  <c r="AB765" i="2"/>
  <c r="X765" i="2"/>
  <c r="AA765" i="2"/>
  <c r="Z765" i="2"/>
  <c r="Y765" i="2"/>
  <c r="V765" i="2"/>
  <c r="U765" i="2"/>
  <c r="W765" i="2"/>
  <c r="S765" i="2"/>
  <c r="T765" i="2"/>
  <c r="R765" i="2"/>
  <c r="Q765" i="2"/>
  <c r="P765" i="2"/>
  <c r="N765" i="2"/>
  <c r="O765" i="2"/>
  <c r="M765" i="2"/>
  <c r="L765" i="2"/>
  <c r="J765" i="2"/>
  <c r="K765" i="2"/>
  <c r="AO765" i="2"/>
  <c r="I765" i="2"/>
  <c r="AP765" i="2"/>
  <c r="L765" i="1"/>
  <c r="P765" i="1" s="1"/>
  <c r="AA765" i="1"/>
  <c r="AR766" i="2" l="1"/>
  <c r="AQ766" i="2"/>
  <c r="AN766" i="2"/>
  <c r="AM766" i="2"/>
  <c r="AJ766" i="2"/>
  <c r="AL766" i="2"/>
  <c r="AK766" i="2"/>
  <c r="AF766" i="2"/>
  <c r="AI766" i="2"/>
  <c r="AE766" i="2"/>
  <c r="AG766" i="2"/>
  <c r="AD766" i="2"/>
  <c r="AB766" i="2"/>
  <c r="AC766" i="2"/>
  <c r="AA766" i="2"/>
  <c r="Z766" i="2"/>
  <c r="Y766" i="2"/>
  <c r="V766" i="2"/>
  <c r="X766" i="2"/>
  <c r="W766" i="2"/>
  <c r="S766" i="2"/>
  <c r="U766" i="2"/>
  <c r="R766" i="2"/>
  <c r="T766" i="2"/>
  <c r="N766" i="2"/>
  <c r="Q766" i="2"/>
  <c r="P766" i="2"/>
  <c r="L766" i="2"/>
  <c r="O766" i="2"/>
  <c r="M766" i="2"/>
  <c r="I766" i="2"/>
  <c r="J766" i="2"/>
  <c r="K766" i="2"/>
  <c r="AO766" i="2"/>
  <c r="AP766" i="2"/>
  <c r="AR766" i="3"/>
  <c r="AN766" i="3"/>
  <c r="AM766" i="3"/>
  <c r="AQ766" i="3"/>
  <c r="AL766" i="3"/>
  <c r="AK766" i="3"/>
  <c r="AI766" i="3"/>
  <c r="AJ766" i="3"/>
  <c r="AG766" i="3"/>
  <c r="AF766" i="3"/>
  <c r="AE766" i="3"/>
  <c r="AC766" i="3"/>
  <c r="AD766" i="3"/>
  <c r="Z766" i="3"/>
  <c r="AB766" i="3"/>
  <c r="X766" i="3"/>
  <c r="AA766" i="3"/>
  <c r="Y766" i="3"/>
  <c r="W766" i="3"/>
  <c r="V766" i="3"/>
  <c r="R766" i="3"/>
  <c r="U766" i="3"/>
  <c r="S766" i="3"/>
  <c r="Q766" i="3"/>
  <c r="T766" i="3"/>
  <c r="M766" i="3"/>
  <c r="P766" i="3"/>
  <c r="O766" i="3"/>
  <c r="K766" i="3"/>
  <c r="N766" i="3"/>
  <c r="L766" i="3"/>
  <c r="I766" i="3"/>
  <c r="J766" i="3"/>
  <c r="AO766" i="3"/>
  <c r="AP766" i="3"/>
  <c r="L766" i="1"/>
  <c r="P766" i="1" s="1"/>
  <c r="AA766" i="1"/>
  <c r="J767" i="1"/>
  <c r="I768" i="1"/>
  <c r="V767" i="1"/>
  <c r="G767" i="3"/>
  <c r="Y767" i="1"/>
  <c r="Z767" i="1" s="1"/>
  <c r="G767" i="2"/>
  <c r="R767" i="1"/>
  <c r="O767" i="1"/>
  <c r="S767" i="1"/>
  <c r="W767" i="1" s="1"/>
  <c r="AR767" i="2" l="1"/>
  <c r="AQ767" i="2"/>
  <c r="AN767" i="2"/>
  <c r="AM767" i="2"/>
  <c r="AJ767" i="2"/>
  <c r="AL767" i="2"/>
  <c r="AK767" i="2"/>
  <c r="AI767" i="2"/>
  <c r="AE767" i="2"/>
  <c r="AG767" i="2"/>
  <c r="AB767" i="2"/>
  <c r="AD767" i="2"/>
  <c r="AF767" i="2"/>
  <c r="AA767" i="2"/>
  <c r="AC767" i="2"/>
  <c r="Y767" i="2"/>
  <c r="Z767" i="2"/>
  <c r="V767" i="2"/>
  <c r="X767" i="2"/>
  <c r="W767" i="2"/>
  <c r="S767" i="2"/>
  <c r="U767" i="2"/>
  <c r="R767" i="2"/>
  <c r="T767" i="2"/>
  <c r="P767" i="2"/>
  <c r="Q767" i="2"/>
  <c r="M767" i="2"/>
  <c r="L767" i="2"/>
  <c r="O767" i="2"/>
  <c r="N767" i="2"/>
  <c r="J767" i="2"/>
  <c r="I767" i="2"/>
  <c r="K767" i="2"/>
  <c r="AP767" i="2"/>
  <c r="AO767" i="2"/>
  <c r="AR767" i="3"/>
  <c r="AN767" i="3"/>
  <c r="AQ767" i="3"/>
  <c r="AM767" i="3"/>
  <c r="AL767" i="3"/>
  <c r="AK767" i="3"/>
  <c r="AJ767" i="3"/>
  <c r="AG767" i="3"/>
  <c r="AI767" i="3"/>
  <c r="AF767" i="3"/>
  <c r="AE767" i="3"/>
  <c r="AD767" i="3"/>
  <c r="AC767" i="3"/>
  <c r="AB767" i="3"/>
  <c r="Z767" i="3"/>
  <c r="X767" i="3"/>
  <c r="AA767" i="3"/>
  <c r="Y767" i="3"/>
  <c r="W767" i="3"/>
  <c r="V767" i="3"/>
  <c r="U767" i="3"/>
  <c r="S767" i="3"/>
  <c r="R767" i="3"/>
  <c r="T767" i="3"/>
  <c r="Q767" i="3"/>
  <c r="P767" i="3"/>
  <c r="N767" i="3"/>
  <c r="O767" i="3"/>
  <c r="K767" i="3"/>
  <c r="L767" i="3"/>
  <c r="M767" i="3"/>
  <c r="AP767" i="3"/>
  <c r="I767" i="3"/>
  <c r="J767" i="3"/>
  <c r="AO767" i="3"/>
  <c r="J768" i="1"/>
  <c r="I769" i="1"/>
  <c r="V768" i="1"/>
  <c r="G768" i="3"/>
  <c r="Y768" i="1"/>
  <c r="Z768" i="1" s="1"/>
  <c r="G768" i="2"/>
  <c r="O768" i="1"/>
  <c r="R768" i="1"/>
  <c r="S768" i="1"/>
  <c r="L767" i="1"/>
  <c r="P767" i="1" s="1"/>
  <c r="AA767" i="1"/>
  <c r="W768" i="1" l="1"/>
  <c r="AQ768" i="3"/>
  <c r="AR768" i="3"/>
  <c r="AM768" i="3"/>
  <c r="AN768" i="3"/>
  <c r="AJ768" i="3"/>
  <c r="AK768" i="3"/>
  <c r="AL768" i="3"/>
  <c r="AH768" i="3"/>
  <c r="AF768" i="3"/>
  <c r="AG768" i="3"/>
  <c r="AE768" i="3"/>
  <c r="AC768" i="3"/>
  <c r="AD768" i="3"/>
  <c r="AB768" i="3"/>
  <c r="AA768" i="3"/>
  <c r="Z768" i="3"/>
  <c r="Y768" i="3"/>
  <c r="W768" i="3"/>
  <c r="V768" i="3"/>
  <c r="X768" i="3"/>
  <c r="S768" i="3"/>
  <c r="U768" i="3"/>
  <c r="R768" i="3"/>
  <c r="T768" i="3"/>
  <c r="Q768" i="3"/>
  <c r="P768" i="3"/>
  <c r="N768" i="3"/>
  <c r="O768" i="3"/>
  <c r="M768" i="3"/>
  <c r="I768" i="3"/>
  <c r="L768" i="3"/>
  <c r="AP768" i="3"/>
  <c r="K768" i="3"/>
  <c r="J768" i="3"/>
  <c r="AO768" i="3"/>
  <c r="L768" i="1"/>
  <c r="P768" i="1" s="1"/>
  <c r="AA768" i="1"/>
  <c r="J769" i="1"/>
  <c r="V769" i="1"/>
  <c r="I770" i="1"/>
  <c r="G769" i="3"/>
  <c r="Y769" i="1"/>
  <c r="Z769" i="1" s="1"/>
  <c r="G769" i="2"/>
  <c r="O769" i="1"/>
  <c r="R769" i="1"/>
  <c r="S769" i="1"/>
  <c r="AR768" i="2"/>
  <c r="AQ768" i="2"/>
  <c r="AN768" i="2"/>
  <c r="AM768" i="2"/>
  <c r="AL768" i="2"/>
  <c r="AK768" i="2"/>
  <c r="AJ768" i="2"/>
  <c r="AH768" i="2"/>
  <c r="AG768" i="2"/>
  <c r="AF768" i="2"/>
  <c r="AE768" i="2"/>
  <c r="AD768" i="2"/>
  <c r="AA768" i="2"/>
  <c r="AC768" i="2"/>
  <c r="Y768" i="2"/>
  <c r="AB768" i="2"/>
  <c r="Z768" i="2"/>
  <c r="X768" i="2"/>
  <c r="W768" i="2"/>
  <c r="V768" i="2"/>
  <c r="S768" i="2"/>
  <c r="U768" i="2"/>
  <c r="P768" i="2"/>
  <c r="R768" i="2"/>
  <c r="T768" i="2"/>
  <c r="N768" i="2"/>
  <c r="Q768" i="2"/>
  <c r="J768" i="2"/>
  <c r="M768" i="2"/>
  <c r="L768" i="2"/>
  <c r="O768" i="2"/>
  <c r="I768" i="2"/>
  <c r="K768" i="2"/>
  <c r="AP768" i="2"/>
  <c r="AO768" i="2"/>
  <c r="AR769" i="2" l="1"/>
  <c r="AQ769" i="2"/>
  <c r="AK769" i="2"/>
  <c r="AM769" i="2"/>
  <c r="AN769" i="2"/>
  <c r="AL769" i="2"/>
  <c r="AH769" i="2"/>
  <c r="AJ769" i="2"/>
  <c r="AG769" i="2"/>
  <c r="AF769" i="2"/>
  <c r="AE769" i="2"/>
  <c r="AB769" i="2"/>
  <c r="AD769" i="2"/>
  <c r="AA769" i="2"/>
  <c r="AC769" i="2"/>
  <c r="Z769" i="2"/>
  <c r="Y769" i="2"/>
  <c r="X769" i="2"/>
  <c r="W769" i="2"/>
  <c r="V769" i="2"/>
  <c r="U769" i="2"/>
  <c r="T769" i="2"/>
  <c r="S769" i="2"/>
  <c r="R769" i="2"/>
  <c r="P769" i="2"/>
  <c r="Q769" i="2"/>
  <c r="O769" i="2"/>
  <c r="M769" i="2"/>
  <c r="L769" i="2"/>
  <c r="N769" i="2"/>
  <c r="J769" i="2"/>
  <c r="I769" i="2"/>
  <c r="K769" i="2"/>
  <c r="AO769" i="2"/>
  <c r="AP769" i="2"/>
  <c r="AQ769" i="3"/>
  <c r="AR769" i="3"/>
  <c r="AM769" i="3"/>
  <c r="AN769" i="3"/>
  <c r="AJ769" i="3"/>
  <c r="AK769" i="3"/>
  <c r="AL769" i="3"/>
  <c r="AH769" i="3"/>
  <c r="AF769" i="3"/>
  <c r="AG769" i="3"/>
  <c r="AE769" i="3"/>
  <c r="AB769" i="3"/>
  <c r="AC769" i="3"/>
  <c r="AD769" i="3"/>
  <c r="AA769" i="3"/>
  <c r="Y769" i="3"/>
  <c r="Z769" i="3"/>
  <c r="W769" i="3"/>
  <c r="V769" i="3"/>
  <c r="X769" i="3"/>
  <c r="S769" i="3"/>
  <c r="U769" i="3"/>
  <c r="R769" i="3"/>
  <c r="T769" i="3"/>
  <c r="P769" i="3"/>
  <c r="Q769" i="3"/>
  <c r="N769" i="3"/>
  <c r="O769" i="3"/>
  <c r="L769" i="3"/>
  <c r="M769" i="3"/>
  <c r="J769" i="3"/>
  <c r="AO769" i="3"/>
  <c r="I769" i="3"/>
  <c r="AP769" i="3"/>
  <c r="K769" i="3"/>
  <c r="I771" i="1"/>
  <c r="J770" i="1"/>
  <c r="V770" i="1"/>
  <c r="G770" i="3"/>
  <c r="Y770" i="1"/>
  <c r="Z770" i="1" s="1"/>
  <c r="G770" i="2"/>
  <c r="S770" i="1"/>
  <c r="R770" i="1"/>
  <c r="O770" i="1"/>
  <c r="L769" i="1"/>
  <c r="P769" i="1" s="1"/>
  <c r="AA769" i="1"/>
  <c r="W769" i="1"/>
  <c r="AQ770" i="2" l="1"/>
  <c r="AR770" i="2"/>
  <c r="AL770" i="2"/>
  <c r="AM770" i="2"/>
  <c r="AN770" i="2"/>
  <c r="AK770" i="2"/>
  <c r="AH770" i="2"/>
  <c r="AG770" i="2"/>
  <c r="AJ770" i="2"/>
  <c r="AF770" i="2"/>
  <c r="AE770" i="2"/>
  <c r="AD770" i="2"/>
  <c r="AC770" i="2"/>
  <c r="AA770" i="2"/>
  <c r="AB770" i="2"/>
  <c r="Z770" i="2"/>
  <c r="Y770" i="2"/>
  <c r="X770" i="2"/>
  <c r="W770" i="2"/>
  <c r="U770" i="2"/>
  <c r="T770" i="2"/>
  <c r="V770" i="2"/>
  <c r="P770" i="2"/>
  <c r="S770" i="2"/>
  <c r="O770" i="2"/>
  <c r="R770" i="2"/>
  <c r="Q770" i="2"/>
  <c r="N770" i="2"/>
  <c r="J770" i="2"/>
  <c r="M770" i="2"/>
  <c r="L770" i="2"/>
  <c r="I770" i="2"/>
  <c r="K770" i="2"/>
  <c r="AO770" i="2"/>
  <c r="AP770" i="2"/>
  <c r="L770" i="1"/>
  <c r="P770" i="1" s="1"/>
  <c r="AA770" i="1"/>
  <c r="I772" i="1"/>
  <c r="J771" i="1"/>
  <c r="G771" i="3"/>
  <c r="V771" i="1"/>
  <c r="Y771" i="1"/>
  <c r="Z771" i="1" s="1"/>
  <c r="G771" i="2"/>
  <c r="R771" i="1"/>
  <c r="O771" i="1"/>
  <c r="S771" i="1"/>
  <c r="AQ770" i="3"/>
  <c r="AR770" i="3"/>
  <c r="AN770" i="3"/>
  <c r="AM770" i="3"/>
  <c r="AJ770" i="3"/>
  <c r="AK770" i="3"/>
  <c r="AL770" i="3"/>
  <c r="AH770" i="3"/>
  <c r="AF770" i="3"/>
  <c r="AG770" i="3"/>
  <c r="AB770" i="3"/>
  <c r="AE770" i="3"/>
  <c r="AD770" i="3"/>
  <c r="AA770" i="3"/>
  <c r="AC770" i="3"/>
  <c r="Y770" i="3"/>
  <c r="Z770" i="3"/>
  <c r="W770" i="3"/>
  <c r="X770" i="3"/>
  <c r="S770" i="3"/>
  <c r="V770" i="3"/>
  <c r="U770" i="3"/>
  <c r="T770" i="3"/>
  <c r="P770" i="3"/>
  <c r="R770" i="3"/>
  <c r="L770" i="3"/>
  <c r="Q770" i="3"/>
  <c r="N770" i="3"/>
  <c r="O770" i="3"/>
  <c r="J770" i="3"/>
  <c r="M770" i="3"/>
  <c r="K770" i="3"/>
  <c r="AO770" i="3"/>
  <c r="I770" i="3"/>
  <c r="AP770" i="3"/>
  <c r="W770" i="1"/>
  <c r="W771" i="1" l="1"/>
  <c r="AQ771" i="3"/>
  <c r="AR771" i="3"/>
  <c r="AL771" i="3"/>
  <c r="AN771" i="3"/>
  <c r="AK771" i="3"/>
  <c r="AM771" i="3"/>
  <c r="AH771" i="3"/>
  <c r="AJ771" i="3"/>
  <c r="AG771" i="3"/>
  <c r="AF771" i="3"/>
  <c r="AB771" i="3"/>
  <c r="AE771" i="3"/>
  <c r="AD771" i="3"/>
  <c r="AA771" i="3"/>
  <c r="AC771" i="3"/>
  <c r="W771" i="3"/>
  <c r="Y771" i="3"/>
  <c r="Z771" i="3"/>
  <c r="X771" i="3"/>
  <c r="V771" i="3"/>
  <c r="U771" i="3"/>
  <c r="T771" i="3"/>
  <c r="S771" i="3"/>
  <c r="R771" i="3"/>
  <c r="P771" i="3"/>
  <c r="Q771" i="3"/>
  <c r="O771" i="3"/>
  <c r="L771" i="3"/>
  <c r="J771" i="3"/>
  <c r="M771" i="3"/>
  <c r="N771" i="3"/>
  <c r="AO771" i="3"/>
  <c r="I771" i="3"/>
  <c r="K771" i="3"/>
  <c r="AP771" i="3"/>
  <c r="L771" i="1"/>
  <c r="P771" i="1" s="1"/>
  <c r="AA771" i="1"/>
  <c r="AR771" i="2"/>
  <c r="AQ771" i="2"/>
  <c r="AN771" i="2"/>
  <c r="AM771" i="2"/>
  <c r="AL771" i="2"/>
  <c r="AK771" i="2"/>
  <c r="AH771" i="2"/>
  <c r="AJ771" i="2"/>
  <c r="AG771" i="2"/>
  <c r="AF771" i="2"/>
  <c r="AC771" i="2"/>
  <c r="AE771" i="2"/>
  <c r="AD771" i="2"/>
  <c r="AB771" i="2"/>
  <c r="Z771" i="2"/>
  <c r="AA771" i="2"/>
  <c r="U771" i="2"/>
  <c r="Y771" i="2"/>
  <c r="X771" i="2"/>
  <c r="W771" i="2"/>
  <c r="T771" i="2"/>
  <c r="V771" i="2"/>
  <c r="S771" i="2"/>
  <c r="R771" i="2"/>
  <c r="Q771" i="2"/>
  <c r="P771" i="2"/>
  <c r="O771" i="2"/>
  <c r="M771" i="2"/>
  <c r="N771" i="2"/>
  <c r="L771" i="2"/>
  <c r="K771" i="2"/>
  <c r="J771" i="2"/>
  <c r="I771" i="2"/>
  <c r="AP771" i="2"/>
  <c r="AO771" i="2"/>
  <c r="J772" i="1"/>
  <c r="I773" i="1"/>
  <c r="G772" i="3"/>
  <c r="V772" i="1"/>
  <c r="G772" i="2"/>
  <c r="Y772" i="1"/>
  <c r="Z772" i="1" s="1"/>
  <c r="S772" i="1"/>
  <c r="W772" i="1" s="1"/>
  <c r="O772" i="1"/>
  <c r="R772" i="1"/>
  <c r="AR772" i="2" l="1"/>
  <c r="AQ772" i="2"/>
  <c r="AN772" i="2"/>
  <c r="AL772" i="2"/>
  <c r="AM772" i="2"/>
  <c r="AK772" i="2"/>
  <c r="AJ772" i="2"/>
  <c r="AG772" i="2"/>
  <c r="AH772" i="2"/>
  <c r="AC772" i="2"/>
  <c r="AF772" i="2"/>
  <c r="AE772" i="2"/>
  <c r="AB772" i="2"/>
  <c r="AD772" i="2"/>
  <c r="Z772" i="2"/>
  <c r="AA772" i="2"/>
  <c r="X772" i="2"/>
  <c r="U772" i="2"/>
  <c r="Y772" i="2"/>
  <c r="W772" i="2"/>
  <c r="T772" i="2"/>
  <c r="V772" i="2"/>
  <c r="Q772" i="2"/>
  <c r="S772" i="2"/>
  <c r="R772" i="2"/>
  <c r="M772" i="2"/>
  <c r="P772" i="2"/>
  <c r="O772" i="2"/>
  <c r="K772" i="2"/>
  <c r="N772" i="2"/>
  <c r="L772" i="2"/>
  <c r="AP772" i="2"/>
  <c r="J772" i="2"/>
  <c r="I772" i="2"/>
  <c r="AO772" i="2"/>
  <c r="L772" i="1"/>
  <c r="P772" i="1" s="1"/>
  <c r="AA772" i="1"/>
  <c r="AR772" i="3"/>
  <c r="AQ772" i="3"/>
  <c r="AL772" i="3"/>
  <c r="AN772" i="3"/>
  <c r="AM772" i="3"/>
  <c r="AK772" i="3"/>
  <c r="AH772" i="3"/>
  <c r="AJ772" i="3"/>
  <c r="AG772" i="3"/>
  <c r="AF772" i="3"/>
  <c r="AD772" i="3"/>
  <c r="AE772" i="3"/>
  <c r="AC772" i="3"/>
  <c r="AA772" i="3"/>
  <c r="AB772" i="3"/>
  <c r="Y772" i="3"/>
  <c r="Z772" i="3"/>
  <c r="W772" i="3"/>
  <c r="X772" i="3"/>
  <c r="U772" i="3"/>
  <c r="V772" i="3"/>
  <c r="T772" i="3"/>
  <c r="P772" i="3"/>
  <c r="S772" i="3"/>
  <c r="R772" i="3"/>
  <c r="O772" i="3"/>
  <c r="Q772" i="3"/>
  <c r="L772" i="3"/>
  <c r="J772" i="3"/>
  <c r="M772" i="3"/>
  <c r="N772" i="3"/>
  <c r="AO772" i="3"/>
  <c r="I772" i="3"/>
  <c r="AP772" i="3"/>
  <c r="K772" i="3"/>
  <c r="J773" i="1"/>
  <c r="I774" i="1"/>
  <c r="V773" i="1"/>
  <c r="G773" i="3"/>
  <c r="Y773" i="1"/>
  <c r="Z773" i="1" s="1"/>
  <c r="G773" i="2"/>
  <c r="R773" i="1"/>
  <c r="O773" i="1"/>
  <c r="S773" i="1"/>
  <c r="W773" i="1" s="1"/>
  <c r="J774" i="1" l="1"/>
  <c r="I775" i="1"/>
  <c r="V774" i="1"/>
  <c r="G774" i="3"/>
  <c r="Y774" i="1"/>
  <c r="Z774" i="1" s="1"/>
  <c r="G774" i="2"/>
  <c r="S774" i="1"/>
  <c r="W774" i="1" s="1"/>
  <c r="O774" i="1"/>
  <c r="R774" i="1"/>
  <c r="AR773" i="2"/>
  <c r="AQ773" i="2"/>
  <c r="AN773" i="2"/>
  <c r="AM773" i="2"/>
  <c r="AL773" i="2"/>
  <c r="AK773" i="2"/>
  <c r="AJ773" i="2"/>
  <c r="AH773" i="2"/>
  <c r="AG773" i="2"/>
  <c r="AC773" i="2"/>
  <c r="AF773" i="2"/>
  <c r="AE773" i="2"/>
  <c r="AD773" i="2"/>
  <c r="AB773" i="2"/>
  <c r="X773" i="2"/>
  <c r="Z773" i="2"/>
  <c r="AA773" i="2"/>
  <c r="Y773" i="2"/>
  <c r="W773" i="2"/>
  <c r="V773" i="2"/>
  <c r="U773" i="2"/>
  <c r="T773" i="2"/>
  <c r="Q773" i="2"/>
  <c r="S773" i="2"/>
  <c r="P773" i="2"/>
  <c r="R773" i="2"/>
  <c r="K773" i="2"/>
  <c r="N773" i="2"/>
  <c r="M773" i="2"/>
  <c r="O773" i="2"/>
  <c r="L773" i="2"/>
  <c r="I773" i="2"/>
  <c r="AP773" i="2"/>
  <c r="J773" i="2"/>
  <c r="AO773" i="2"/>
  <c r="AR773" i="3"/>
  <c r="AQ773" i="3"/>
  <c r="AM773" i="3"/>
  <c r="AN773" i="3"/>
  <c r="AL773" i="3"/>
  <c r="AK773" i="3"/>
  <c r="AH773" i="3"/>
  <c r="AJ773" i="3"/>
  <c r="AG773" i="3"/>
  <c r="AD773" i="3"/>
  <c r="AF773" i="3"/>
  <c r="AE773" i="3"/>
  <c r="AC773" i="3"/>
  <c r="AB773" i="3"/>
  <c r="AA773" i="3"/>
  <c r="Z773" i="3"/>
  <c r="U773" i="3"/>
  <c r="Y773" i="3"/>
  <c r="W773" i="3"/>
  <c r="X773" i="3"/>
  <c r="V773" i="3"/>
  <c r="T773" i="3"/>
  <c r="S773" i="3"/>
  <c r="R773" i="3"/>
  <c r="Q773" i="3"/>
  <c r="O773" i="3"/>
  <c r="P773" i="3"/>
  <c r="M773" i="3"/>
  <c r="L773" i="3"/>
  <c r="N773" i="3"/>
  <c r="K773" i="3"/>
  <c r="AO773" i="3"/>
  <c r="I773" i="3"/>
  <c r="AP773" i="3"/>
  <c r="J773" i="3"/>
  <c r="L773" i="1"/>
  <c r="P773" i="1" s="1"/>
  <c r="AA773" i="1"/>
  <c r="AR774" i="2" l="1"/>
  <c r="AQ774" i="2"/>
  <c r="AM774" i="2"/>
  <c r="AN774" i="2"/>
  <c r="AL774" i="2"/>
  <c r="AK774" i="2"/>
  <c r="AJ774" i="2"/>
  <c r="AH774" i="2"/>
  <c r="AG774" i="2"/>
  <c r="AF774" i="2"/>
  <c r="AE774" i="2"/>
  <c r="AD774" i="2"/>
  <c r="Z774" i="2"/>
  <c r="AB774" i="2"/>
  <c r="AC774" i="2"/>
  <c r="AA774" i="2"/>
  <c r="X774" i="2"/>
  <c r="Y774" i="2"/>
  <c r="W774" i="2"/>
  <c r="V774" i="2"/>
  <c r="U774" i="2"/>
  <c r="T774" i="2"/>
  <c r="Q774" i="2"/>
  <c r="S774" i="2"/>
  <c r="R774" i="2"/>
  <c r="M774" i="2"/>
  <c r="P774" i="2"/>
  <c r="K774" i="2"/>
  <c r="N774" i="2"/>
  <c r="O774" i="2"/>
  <c r="L774" i="2"/>
  <c r="AO774" i="2"/>
  <c r="AP774" i="2"/>
  <c r="J774" i="2"/>
  <c r="I774" i="2"/>
  <c r="AR774" i="3"/>
  <c r="AN774" i="3"/>
  <c r="AM774" i="3"/>
  <c r="AQ774" i="3"/>
  <c r="AL774" i="3"/>
  <c r="AJ774" i="3"/>
  <c r="AK774" i="3"/>
  <c r="AH774" i="3"/>
  <c r="AG774" i="3"/>
  <c r="AF774" i="3"/>
  <c r="AD774" i="3"/>
  <c r="AE774" i="3"/>
  <c r="AC774" i="3"/>
  <c r="AB774" i="3"/>
  <c r="Z774" i="3"/>
  <c r="Y774" i="3"/>
  <c r="AA774" i="3"/>
  <c r="X774" i="3"/>
  <c r="U774" i="3"/>
  <c r="R774" i="3"/>
  <c r="W774" i="3"/>
  <c r="V774" i="3"/>
  <c r="T774" i="3"/>
  <c r="Q774" i="3"/>
  <c r="S774" i="3"/>
  <c r="M774" i="3"/>
  <c r="O774" i="3"/>
  <c r="P774" i="3"/>
  <c r="N774" i="3"/>
  <c r="K774" i="3"/>
  <c r="L774" i="3"/>
  <c r="J774" i="3"/>
  <c r="AO774" i="3"/>
  <c r="I774" i="3"/>
  <c r="AP774" i="3"/>
  <c r="L774" i="1"/>
  <c r="P774" i="1" s="1"/>
  <c r="AA774" i="1"/>
  <c r="J775" i="1"/>
  <c r="I776" i="1"/>
  <c r="V775" i="1"/>
  <c r="G775" i="3"/>
  <c r="Y775" i="1"/>
  <c r="Z775" i="1" s="1"/>
  <c r="G775" i="2"/>
  <c r="R775" i="1"/>
  <c r="O775" i="1"/>
  <c r="S775" i="1"/>
  <c r="W775" i="1" s="1"/>
  <c r="L775" i="1" l="1"/>
  <c r="P775" i="1" s="1"/>
  <c r="AA775" i="1"/>
  <c r="I777" i="1"/>
  <c r="J776" i="1"/>
  <c r="V776" i="1"/>
  <c r="G776" i="3"/>
  <c r="Y776" i="1"/>
  <c r="Z776" i="1" s="1"/>
  <c r="G776" i="2"/>
  <c r="R776" i="1"/>
  <c r="S776" i="1"/>
  <c r="O776" i="1"/>
  <c r="AR775" i="2"/>
  <c r="AQ775" i="2"/>
  <c r="AN775" i="2"/>
  <c r="AM775" i="2"/>
  <c r="AL775" i="2"/>
  <c r="AK775" i="2"/>
  <c r="AJ775" i="2"/>
  <c r="AF775" i="2"/>
  <c r="AE775" i="2"/>
  <c r="AG775" i="2"/>
  <c r="AH775" i="2"/>
  <c r="AD775" i="2"/>
  <c r="AB775" i="2"/>
  <c r="AC775" i="2"/>
  <c r="X775" i="2"/>
  <c r="AA775" i="2"/>
  <c r="Z775" i="2"/>
  <c r="V775" i="2"/>
  <c r="Y775" i="2"/>
  <c r="U775" i="2"/>
  <c r="W775" i="2"/>
  <c r="T775" i="2"/>
  <c r="S775" i="2"/>
  <c r="R775" i="2"/>
  <c r="P775" i="2"/>
  <c r="Q775" i="2"/>
  <c r="N775" i="2"/>
  <c r="M775" i="2"/>
  <c r="O775" i="2"/>
  <c r="L775" i="2"/>
  <c r="AO775" i="2"/>
  <c r="K775" i="2"/>
  <c r="J775" i="2"/>
  <c r="I775" i="2"/>
  <c r="AP775" i="2"/>
  <c r="AR775" i="3"/>
  <c r="AN775" i="3"/>
  <c r="AQ775" i="3"/>
  <c r="AM775" i="3"/>
  <c r="AK775" i="3"/>
  <c r="AL775" i="3"/>
  <c r="AJ775" i="3"/>
  <c r="AH775" i="3"/>
  <c r="AD775" i="3"/>
  <c r="AG775" i="3"/>
  <c r="AF775" i="3"/>
  <c r="AE775" i="3"/>
  <c r="AC775" i="3"/>
  <c r="AB775" i="3"/>
  <c r="X775" i="3"/>
  <c r="Y775" i="3"/>
  <c r="Z775" i="3"/>
  <c r="AA775" i="3"/>
  <c r="W775" i="3"/>
  <c r="U775" i="3"/>
  <c r="R775" i="3"/>
  <c r="V775" i="3"/>
  <c r="T775" i="3"/>
  <c r="Q775" i="3"/>
  <c r="S775" i="3"/>
  <c r="O775" i="3"/>
  <c r="P775" i="3"/>
  <c r="N775" i="3"/>
  <c r="K775" i="3"/>
  <c r="M775" i="3"/>
  <c r="L775" i="3"/>
  <c r="I775" i="3"/>
  <c r="J775" i="3"/>
  <c r="AO775" i="3"/>
  <c r="AP775" i="3"/>
  <c r="J777" i="1" l="1"/>
  <c r="I778" i="1"/>
  <c r="V777" i="1"/>
  <c r="G777" i="3"/>
  <c r="Y777" i="1"/>
  <c r="Z777" i="1" s="1"/>
  <c r="G777" i="2"/>
  <c r="R777" i="1"/>
  <c r="O777" i="1"/>
  <c r="S777" i="1"/>
  <c r="AR776" i="2"/>
  <c r="AQ776" i="2"/>
  <c r="AN776" i="2"/>
  <c r="AM776" i="2"/>
  <c r="AJ776" i="2"/>
  <c r="AL776" i="2"/>
  <c r="AK776" i="2"/>
  <c r="AF776" i="2"/>
  <c r="AH776" i="2"/>
  <c r="AE776" i="2"/>
  <c r="AG776" i="2"/>
  <c r="AD776" i="2"/>
  <c r="AB776" i="2"/>
  <c r="AC776" i="2"/>
  <c r="AA776" i="2"/>
  <c r="Z776" i="2"/>
  <c r="Y776" i="2"/>
  <c r="V776" i="2"/>
  <c r="X776" i="2"/>
  <c r="S776" i="2"/>
  <c r="U776" i="2"/>
  <c r="W776" i="2"/>
  <c r="R776" i="2"/>
  <c r="T776" i="2"/>
  <c r="N776" i="2"/>
  <c r="P776" i="2"/>
  <c r="Q776" i="2"/>
  <c r="L776" i="2"/>
  <c r="M776" i="2"/>
  <c r="O776" i="2"/>
  <c r="AO776" i="2"/>
  <c r="K776" i="2"/>
  <c r="J776" i="2"/>
  <c r="I776" i="2"/>
  <c r="AP776" i="2"/>
  <c r="AQ776" i="3"/>
  <c r="AN776" i="3"/>
  <c r="AR776" i="3"/>
  <c r="AM776" i="3"/>
  <c r="AL776" i="3"/>
  <c r="AK776" i="3"/>
  <c r="AJ776" i="3"/>
  <c r="AH776" i="3"/>
  <c r="AG776" i="3"/>
  <c r="AF776" i="3"/>
  <c r="AE776" i="3"/>
  <c r="AD776" i="3"/>
  <c r="AC776" i="3"/>
  <c r="Z776" i="3"/>
  <c r="AB776" i="3"/>
  <c r="AA776" i="3"/>
  <c r="X776" i="3"/>
  <c r="Y776" i="3"/>
  <c r="W776" i="3"/>
  <c r="V776" i="3"/>
  <c r="U776" i="3"/>
  <c r="R776" i="3"/>
  <c r="T776" i="3"/>
  <c r="Q776" i="3"/>
  <c r="S776" i="3"/>
  <c r="M776" i="3"/>
  <c r="P776" i="3"/>
  <c r="O776" i="3"/>
  <c r="N776" i="3"/>
  <c r="K776" i="3"/>
  <c r="L776" i="3"/>
  <c r="J776" i="3"/>
  <c r="AO776" i="3"/>
  <c r="I776" i="3"/>
  <c r="AP776" i="3"/>
  <c r="L776" i="1"/>
  <c r="P776" i="1" s="1"/>
  <c r="AA776" i="1"/>
  <c r="W776" i="1"/>
  <c r="AR777" i="3" l="1"/>
  <c r="AQ777" i="3"/>
  <c r="AN777" i="3"/>
  <c r="AL777" i="3"/>
  <c r="AM777" i="3"/>
  <c r="AK777" i="3"/>
  <c r="AJ777" i="3"/>
  <c r="AG777" i="3"/>
  <c r="AH777" i="3"/>
  <c r="AF777" i="3"/>
  <c r="AE777" i="3"/>
  <c r="AD777" i="3"/>
  <c r="AB777" i="3"/>
  <c r="AC777" i="3"/>
  <c r="AA777" i="3"/>
  <c r="X777" i="3"/>
  <c r="Z777" i="3"/>
  <c r="V777" i="3"/>
  <c r="Y777" i="3"/>
  <c r="W777" i="3"/>
  <c r="U777" i="3"/>
  <c r="S777" i="3"/>
  <c r="R777" i="3"/>
  <c r="T777" i="3"/>
  <c r="Q777" i="3"/>
  <c r="P777" i="3"/>
  <c r="N777" i="3"/>
  <c r="O777" i="3"/>
  <c r="K777" i="3"/>
  <c r="M777" i="3"/>
  <c r="L777" i="3"/>
  <c r="AP777" i="3"/>
  <c r="J777" i="3"/>
  <c r="AO777" i="3"/>
  <c r="I777" i="3"/>
  <c r="AR777" i="2"/>
  <c r="AQ777" i="2"/>
  <c r="AN777" i="2"/>
  <c r="AM777" i="2"/>
  <c r="AJ777" i="2"/>
  <c r="AL777" i="2"/>
  <c r="AK777" i="2"/>
  <c r="AH777" i="2"/>
  <c r="AE777" i="2"/>
  <c r="AG777" i="2"/>
  <c r="AF777" i="2"/>
  <c r="AB777" i="2"/>
  <c r="AD777" i="2"/>
  <c r="AC777" i="2"/>
  <c r="AA777" i="2"/>
  <c r="Y777" i="2"/>
  <c r="Z777" i="2"/>
  <c r="V777" i="2"/>
  <c r="X777" i="2"/>
  <c r="W777" i="2"/>
  <c r="S777" i="2"/>
  <c r="U777" i="2"/>
  <c r="R777" i="2"/>
  <c r="T777" i="2"/>
  <c r="P777" i="2"/>
  <c r="Q777" i="2"/>
  <c r="L777" i="2"/>
  <c r="N777" i="2"/>
  <c r="M777" i="2"/>
  <c r="O777" i="2"/>
  <c r="J777" i="2"/>
  <c r="I777" i="2"/>
  <c r="K777" i="2"/>
  <c r="AO777" i="2"/>
  <c r="AP777" i="2"/>
  <c r="L777" i="1"/>
  <c r="P777" i="1" s="1"/>
  <c r="AA777" i="1"/>
  <c r="J778" i="1"/>
  <c r="I779" i="1"/>
  <c r="V778" i="1"/>
  <c r="G778" i="3"/>
  <c r="Y778" i="1"/>
  <c r="Z778" i="1" s="1"/>
  <c r="G778" i="2"/>
  <c r="S778" i="1"/>
  <c r="O778" i="1"/>
  <c r="R778" i="1"/>
  <c r="W777" i="1"/>
  <c r="L778" i="1" l="1"/>
  <c r="P778" i="1" s="1"/>
  <c r="AA778" i="1"/>
  <c r="I780" i="1"/>
  <c r="J779" i="1"/>
  <c r="V779" i="1"/>
  <c r="G779" i="3"/>
  <c r="Y779" i="1"/>
  <c r="Z779" i="1" s="1"/>
  <c r="G779" i="2"/>
  <c r="R779" i="1"/>
  <c r="O779" i="1"/>
  <c r="S779" i="1"/>
  <c r="W778" i="1"/>
  <c r="AR778" i="2"/>
  <c r="AQ778" i="2"/>
  <c r="AN778" i="2"/>
  <c r="AM778" i="2"/>
  <c r="AL778" i="2"/>
  <c r="AK778" i="2"/>
  <c r="AH778" i="2"/>
  <c r="AI778" i="2"/>
  <c r="AG778" i="2"/>
  <c r="AD778" i="2"/>
  <c r="AF778" i="2"/>
  <c r="AE778" i="2"/>
  <c r="AC778" i="2"/>
  <c r="AA778" i="2"/>
  <c r="AB778" i="2"/>
  <c r="Y778" i="2"/>
  <c r="Z778" i="2"/>
  <c r="X778" i="2"/>
  <c r="W778" i="2"/>
  <c r="S778" i="2"/>
  <c r="U778" i="2"/>
  <c r="V778" i="2"/>
  <c r="P778" i="2"/>
  <c r="R778" i="2"/>
  <c r="T778" i="2"/>
  <c r="Q778" i="2"/>
  <c r="N778" i="2"/>
  <c r="O778" i="2"/>
  <c r="J778" i="2"/>
  <c r="L778" i="2"/>
  <c r="M778" i="2"/>
  <c r="K778" i="2"/>
  <c r="I778" i="2"/>
  <c r="AO778" i="2"/>
  <c r="AP778" i="2"/>
  <c r="AQ778" i="3"/>
  <c r="AR778" i="3"/>
  <c r="AN778" i="3"/>
  <c r="AL778" i="3"/>
  <c r="AM778" i="3"/>
  <c r="AK778" i="3"/>
  <c r="AF778" i="3"/>
  <c r="AI778" i="3"/>
  <c r="AH778" i="3"/>
  <c r="AE778" i="3"/>
  <c r="AG778" i="3"/>
  <c r="AD778" i="3"/>
  <c r="AC778" i="3"/>
  <c r="AB778" i="3"/>
  <c r="AA778" i="3"/>
  <c r="Z778" i="3"/>
  <c r="Y778" i="3"/>
  <c r="X778" i="3"/>
  <c r="W778" i="3"/>
  <c r="V778" i="3"/>
  <c r="S778" i="3"/>
  <c r="U778" i="3"/>
  <c r="R778" i="3"/>
  <c r="T778" i="3"/>
  <c r="N778" i="3"/>
  <c r="Q778" i="3"/>
  <c r="O778" i="3"/>
  <c r="P778" i="3"/>
  <c r="I778" i="3"/>
  <c r="M778" i="3"/>
  <c r="L778" i="3"/>
  <c r="AP778" i="3"/>
  <c r="J778" i="3"/>
  <c r="K778" i="3"/>
  <c r="AO778" i="3"/>
  <c r="AQ779" i="3" l="1"/>
  <c r="AR779" i="3"/>
  <c r="AN779" i="3"/>
  <c r="AL779" i="3"/>
  <c r="AM779" i="3"/>
  <c r="AK779" i="3"/>
  <c r="AI779" i="3"/>
  <c r="AF779" i="3"/>
  <c r="AH779" i="3"/>
  <c r="AE779" i="3"/>
  <c r="AG779" i="3"/>
  <c r="AB779" i="3"/>
  <c r="AD779" i="3"/>
  <c r="AC779" i="3"/>
  <c r="AA779" i="3"/>
  <c r="Z779" i="3"/>
  <c r="Y779" i="3"/>
  <c r="X779" i="3"/>
  <c r="W779" i="3"/>
  <c r="V779" i="3"/>
  <c r="S779" i="3"/>
  <c r="U779" i="3"/>
  <c r="R779" i="3"/>
  <c r="T779" i="3"/>
  <c r="P779" i="3"/>
  <c r="N779" i="3"/>
  <c r="Q779" i="3"/>
  <c r="O779" i="3"/>
  <c r="M779" i="3"/>
  <c r="L779" i="3"/>
  <c r="J779" i="3"/>
  <c r="K779" i="3"/>
  <c r="I779" i="3"/>
  <c r="AO779" i="3"/>
  <c r="AP779" i="3"/>
  <c r="L779" i="1"/>
  <c r="P779" i="1" s="1"/>
  <c r="AA779" i="1"/>
  <c r="AR779" i="2"/>
  <c r="AQ779" i="2"/>
  <c r="AK779" i="2"/>
  <c r="AN779" i="2"/>
  <c r="AM779" i="2"/>
  <c r="AL779" i="2"/>
  <c r="AH779" i="2"/>
  <c r="AI779" i="2"/>
  <c r="AG779" i="2"/>
  <c r="AB779" i="2"/>
  <c r="AD779" i="2"/>
  <c r="AF779" i="2"/>
  <c r="AE779" i="2"/>
  <c r="AC779" i="2"/>
  <c r="AA779" i="2"/>
  <c r="Y779" i="2"/>
  <c r="Z779" i="2"/>
  <c r="W779" i="2"/>
  <c r="X779" i="2"/>
  <c r="U779" i="2"/>
  <c r="V779" i="2"/>
  <c r="T779" i="2"/>
  <c r="S779" i="2"/>
  <c r="R779" i="2"/>
  <c r="Q779" i="2"/>
  <c r="P779" i="2"/>
  <c r="O779" i="2"/>
  <c r="L779" i="2"/>
  <c r="N779" i="2"/>
  <c r="M779" i="2"/>
  <c r="K779" i="2"/>
  <c r="I779" i="2"/>
  <c r="J779" i="2"/>
  <c r="AP779" i="2"/>
  <c r="AO779" i="2"/>
  <c r="J780" i="1"/>
  <c r="I781" i="1"/>
  <c r="G780" i="3"/>
  <c r="Y780" i="1"/>
  <c r="Z780" i="1" s="1"/>
  <c r="V780" i="1"/>
  <c r="G780" i="2"/>
  <c r="S780" i="1"/>
  <c r="W780" i="1" s="1"/>
  <c r="O780" i="1"/>
  <c r="R780" i="1"/>
  <c r="W779" i="1"/>
  <c r="AQ780" i="3" l="1"/>
  <c r="AR780" i="3"/>
  <c r="AN780" i="3"/>
  <c r="AM780" i="3"/>
  <c r="AL780" i="3"/>
  <c r="AK780" i="3"/>
  <c r="AI780" i="3"/>
  <c r="AH780" i="3"/>
  <c r="AF780" i="3"/>
  <c r="AG780" i="3"/>
  <c r="AB780" i="3"/>
  <c r="AE780" i="3"/>
  <c r="AD780" i="3"/>
  <c r="AA780" i="3"/>
  <c r="AC780" i="3"/>
  <c r="Z780" i="3"/>
  <c r="Y780" i="3"/>
  <c r="X780" i="3"/>
  <c r="W780" i="3"/>
  <c r="S780" i="3"/>
  <c r="V780" i="3"/>
  <c r="U780" i="3"/>
  <c r="P780" i="3"/>
  <c r="R780" i="3"/>
  <c r="T780" i="3"/>
  <c r="L780" i="3"/>
  <c r="N780" i="3"/>
  <c r="Q780" i="3"/>
  <c r="O780" i="3"/>
  <c r="J780" i="3"/>
  <c r="K780" i="3"/>
  <c r="M780" i="3"/>
  <c r="I780" i="3"/>
  <c r="AO780" i="3"/>
  <c r="AP780" i="3"/>
  <c r="I782" i="1"/>
  <c r="J781" i="1"/>
  <c r="V781" i="1"/>
  <c r="G781" i="3"/>
  <c r="Y781" i="1"/>
  <c r="Z781" i="1" s="1"/>
  <c r="G781" i="2"/>
  <c r="O781" i="1"/>
  <c r="R781" i="1"/>
  <c r="S781" i="1"/>
  <c r="W781" i="1" s="1"/>
  <c r="AR780" i="2"/>
  <c r="AQ780" i="2"/>
  <c r="AL780" i="2"/>
  <c r="AN780" i="2"/>
  <c r="AM780" i="2"/>
  <c r="AK780" i="2"/>
  <c r="AH780" i="2"/>
  <c r="AI780" i="2"/>
  <c r="AG780" i="2"/>
  <c r="AF780" i="2"/>
  <c r="AD780" i="2"/>
  <c r="AE780" i="2"/>
  <c r="AC780" i="2"/>
  <c r="AA780" i="2"/>
  <c r="AB780" i="2"/>
  <c r="Z780" i="2"/>
  <c r="W780" i="2"/>
  <c r="Y780" i="2"/>
  <c r="X780" i="2"/>
  <c r="U780" i="2"/>
  <c r="V780" i="2"/>
  <c r="T780" i="2"/>
  <c r="S780" i="2"/>
  <c r="P780" i="2"/>
  <c r="O780" i="2"/>
  <c r="Q780" i="2"/>
  <c r="R780" i="2"/>
  <c r="M780" i="2"/>
  <c r="J780" i="2"/>
  <c r="N780" i="2"/>
  <c r="K780" i="2"/>
  <c r="L780" i="2"/>
  <c r="I780" i="2"/>
  <c r="AP780" i="2"/>
  <c r="AO780" i="2"/>
  <c r="L780" i="1"/>
  <c r="P780" i="1" s="1"/>
  <c r="AA780" i="1"/>
  <c r="J782" i="1" l="1"/>
  <c r="I783" i="1"/>
  <c r="V782" i="1"/>
  <c r="G782" i="3"/>
  <c r="G782" i="2"/>
  <c r="Y782" i="1"/>
  <c r="Z782" i="1" s="1"/>
  <c r="R782" i="1"/>
  <c r="O782" i="1"/>
  <c r="S782" i="1"/>
  <c r="AR781" i="2"/>
  <c r="AQ781" i="2"/>
  <c r="AM781" i="2"/>
  <c r="AN781" i="2"/>
  <c r="AK781" i="2"/>
  <c r="AL781" i="2"/>
  <c r="AI781" i="2"/>
  <c r="AH781" i="2"/>
  <c r="AG781" i="2"/>
  <c r="AF781" i="2"/>
  <c r="AC781" i="2"/>
  <c r="AD781" i="2"/>
  <c r="AE781" i="2"/>
  <c r="AB781" i="2"/>
  <c r="AA781" i="2"/>
  <c r="Z781" i="2"/>
  <c r="U781" i="2"/>
  <c r="W781" i="2"/>
  <c r="Y781" i="2"/>
  <c r="X781" i="2"/>
  <c r="V781" i="2"/>
  <c r="T781" i="2"/>
  <c r="S781" i="2"/>
  <c r="R781" i="2"/>
  <c r="Q781" i="2"/>
  <c r="O781" i="2"/>
  <c r="P781" i="2"/>
  <c r="M781" i="2"/>
  <c r="L781" i="2"/>
  <c r="N781" i="2"/>
  <c r="K781" i="2"/>
  <c r="J781" i="2"/>
  <c r="I781" i="2"/>
  <c r="AP781" i="2"/>
  <c r="AO781" i="2"/>
  <c r="AQ781" i="3"/>
  <c r="AR781" i="3"/>
  <c r="AN781" i="3"/>
  <c r="AM781" i="3"/>
  <c r="AL781" i="3"/>
  <c r="AK781" i="3"/>
  <c r="AH781" i="3"/>
  <c r="AI781" i="3"/>
  <c r="AF781" i="3"/>
  <c r="AG781" i="3"/>
  <c r="AB781" i="3"/>
  <c r="AE781" i="3"/>
  <c r="AD781" i="3"/>
  <c r="AA781" i="3"/>
  <c r="AC781" i="3"/>
  <c r="W781" i="3"/>
  <c r="Z781" i="3"/>
  <c r="Y781" i="3"/>
  <c r="X781" i="3"/>
  <c r="V781" i="3"/>
  <c r="U781" i="3"/>
  <c r="T781" i="3"/>
  <c r="R781" i="3"/>
  <c r="S781" i="3"/>
  <c r="P781" i="3"/>
  <c r="Q781" i="3"/>
  <c r="O781" i="3"/>
  <c r="M781" i="3"/>
  <c r="L781" i="3"/>
  <c r="J781" i="3"/>
  <c r="N781" i="3"/>
  <c r="K781" i="3"/>
  <c r="I781" i="3"/>
  <c r="AO781" i="3"/>
  <c r="AP781" i="3"/>
  <c r="L781" i="1"/>
  <c r="P781" i="1" s="1"/>
  <c r="AA781" i="1"/>
  <c r="AR782" i="2" l="1"/>
  <c r="AQ782" i="2"/>
  <c r="AM782" i="2"/>
  <c r="AN782" i="2"/>
  <c r="AL782" i="2"/>
  <c r="AI782" i="2"/>
  <c r="AK782" i="2"/>
  <c r="AH782" i="2"/>
  <c r="AG782" i="2"/>
  <c r="AF782" i="2"/>
  <c r="AE782" i="2"/>
  <c r="AC782" i="2"/>
  <c r="AD782" i="2"/>
  <c r="Z782" i="2"/>
  <c r="AA782" i="2"/>
  <c r="AB782" i="2"/>
  <c r="X782" i="2"/>
  <c r="U782" i="2"/>
  <c r="W782" i="2"/>
  <c r="Y782" i="2"/>
  <c r="V782" i="2"/>
  <c r="T782" i="2"/>
  <c r="Q782" i="2"/>
  <c r="S782" i="2"/>
  <c r="R782" i="2"/>
  <c r="M782" i="2"/>
  <c r="O782" i="2"/>
  <c r="P782" i="2"/>
  <c r="K782" i="2"/>
  <c r="L782" i="2"/>
  <c r="N782" i="2"/>
  <c r="AP782" i="2"/>
  <c r="J782" i="2"/>
  <c r="I782" i="2"/>
  <c r="AO782" i="2"/>
  <c r="L782" i="1"/>
  <c r="P782" i="1" s="1"/>
  <c r="AA782" i="1"/>
  <c r="AR782" i="3"/>
  <c r="AQ782" i="3"/>
  <c r="AL782" i="3"/>
  <c r="AN782" i="3"/>
  <c r="AM782" i="3"/>
  <c r="AK782" i="3"/>
  <c r="AH782" i="3"/>
  <c r="AI782" i="3"/>
  <c r="AG782" i="3"/>
  <c r="AF782" i="3"/>
  <c r="AD782" i="3"/>
  <c r="AE782" i="3"/>
  <c r="AC782" i="3"/>
  <c r="AA782" i="3"/>
  <c r="AB782" i="3"/>
  <c r="Z782" i="3"/>
  <c r="Y782" i="3"/>
  <c r="W782" i="3"/>
  <c r="X782" i="3"/>
  <c r="U782" i="3"/>
  <c r="T782" i="3"/>
  <c r="V782" i="3"/>
  <c r="P782" i="3"/>
  <c r="R782" i="3"/>
  <c r="S782" i="3"/>
  <c r="Q782" i="3"/>
  <c r="O782" i="3"/>
  <c r="M782" i="3"/>
  <c r="L782" i="3"/>
  <c r="J782" i="3"/>
  <c r="N782" i="3"/>
  <c r="K782" i="3"/>
  <c r="I782" i="3"/>
  <c r="AO782" i="3"/>
  <c r="AP782" i="3"/>
  <c r="J783" i="1"/>
  <c r="I784" i="1"/>
  <c r="V783" i="1"/>
  <c r="G783" i="3"/>
  <c r="Y783" i="1"/>
  <c r="Z783" i="1" s="1"/>
  <c r="G783" i="2"/>
  <c r="R783" i="1"/>
  <c r="O783" i="1"/>
  <c r="S783" i="1"/>
  <c r="W782" i="1"/>
  <c r="L783" i="1" l="1"/>
  <c r="P783" i="1" s="1"/>
  <c r="AA783" i="1"/>
  <c r="W783" i="1"/>
  <c r="AR783" i="2"/>
  <c r="AQ783" i="2"/>
  <c r="AM783" i="2"/>
  <c r="AN783" i="2"/>
  <c r="AL783" i="2"/>
  <c r="AI783" i="2"/>
  <c r="AK783" i="2"/>
  <c r="AH783" i="2"/>
  <c r="AF783" i="2"/>
  <c r="AG783" i="2"/>
  <c r="AE783" i="2"/>
  <c r="AC783" i="2"/>
  <c r="AD783" i="2"/>
  <c r="AB783" i="2"/>
  <c r="X783" i="2"/>
  <c r="Z783" i="2"/>
  <c r="AA783" i="2"/>
  <c r="Y783" i="2"/>
  <c r="V783" i="2"/>
  <c r="W783" i="2"/>
  <c r="U783" i="2"/>
  <c r="Q783" i="2"/>
  <c r="S783" i="2"/>
  <c r="T783" i="2"/>
  <c r="P783" i="2"/>
  <c r="R783" i="2"/>
  <c r="N783" i="2"/>
  <c r="O783" i="2"/>
  <c r="M783" i="2"/>
  <c r="K783" i="2"/>
  <c r="L783" i="2"/>
  <c r="I783" i="2"/>
  <c r="AP783" i="2"/>
  <c r="J783" i="2"/>
  <c r="AO783" i="2"/>
  <c r="J784" i="1"/>
  <c r="V784" i="1"/>
  <c r="I785" i="1"/>
  <c r="Y784" i="1"/>
  <c r="Z784" i="1" s="1"/>
  <c r="G784" i="3"/>
  <c r="G784" i="2"/>
  <c r="S784" i="1"/>
  <c r="W784" i="1" s="1"/>
  <c r="O784" i="1"/>
  <c r="R784" i="1"/>
  <c r="AR783" i="3"/>
  <c r="AQ783" i="3"/>
  <c r="AM783" i="3"/>
  <c r="AL783" i="3"/>
  <c r="AN783" i="3"/>
  <c r="AK783" i="3"/>
  <c r="AI783" i="3"/>
  <c r="AH783" i="3"/>
  <c r="AG783" i="3"/>
  <c r="AF783" i="3"/>
  <c r="AD783" i="3"/>
  <c r="AC783" i="3"/>
  <c r="AE783" i="3"/>
  <c r="AA783" i="3"/>
  <c r="AB783" i="3"/>
  <c r="Z783" i="3"/>
  <c r="U783" i="3"/>
  <c r="Y783" i="3"/>
  <c r="X783" i="3"/>
  <c r="T783" i="3"/>
  <c r="W783" i="3"/>
  <c r="V783" i="3"/>
  <c r="S783" i="3"/>
  <c r="R783" i="3"/>
  <c r="Q783" i="3"/>
  <c r="O783" i="3"/>
  <c r="P783" i="3"/>
  <c r="M783" i="3"/>
  <c r="L783" i="3"/>
  <c r="N783" i="3"/>
  <c r="K783" i="3"/>
  <c r="I783" i="3"/>
  <c r="AO783" i="3"/>
  <c r="J783" i="3"/>
  <c r="AP783" i="3"/>
  <c r="AQ784" i="2" l="1"/>
  <c r="AR784" i="2"/>
  <c r="AM784" i="2"/>
  <c r="AN784" i="2"/>
  <c r="AL784" i="2"/>
  <c r="AI784" i="2"/>
  <c r="AK784" i="2"/>
  <c r="AH784" i="2"/>
  <c r="AG784" i="2"/>
  <c r="AE784" i="2"/>
  <c r="AF784" i="2"/>
  <c r="AD784" i="2"/>
  <c r="Z784" i="2"/>
  <c r="AC784" i="2"/>
  <c r="AB784" i="2"/>
  <c r="AA784" i="2"/>
  <c r="X784" i="2"/>
  <c r="Y784" i="2"/>
  <c r="W784" i="2"/>
  <c r="V784" i="2"/>
  <c r="U784" i="2"/>
  <c r="Q784" i="2"/>
  <c r="S784" i="2"/>
  <c r="T784" i="2"/>
  <c r="P784" i="2"/>
  <c r="M784" i="2"/>
  <c r="R784" i="2"/>
  <c r="N784" i="2"/>
  <c r="O784" i="2"/>
  <c r="K784" i="2"/>
  <c r="L784" i="2"/>
  <c r="AO784" i="2"/>
  <c r="AP784" i="2"/>
  <c r="J784" i="2"/>
  <c r="I784" i="2"/>
  <c r="AR784" i="3"/>
  <c r="AN784" i="3"/>
  <c r="AM784" i="3"/>
  <c r="AQ784" i="3"/>
  <c r="AL784" i="3"/>
  <c r="AI784" i="3"/>
  <c r="AK784" i="3"/>
  <c r="AG784" i="3"/>
  <c r="AH784" i="3"/>
  <c r="AF784" i="3"/>
  <c r="AC784" i="3"/>
  <c r="AE784" i="3"/>
  <c r="AD784" i="3"/>
  <c r="AB784" i="3"/>
  <c r="Z784" i="3"/>
  <c r="AA784" i="3"/>
  <c r="Y784" i="3"/>
  <c r="X784" i="3"/>
  <c r="U784" i="3"/>
  <c r="W784" i="3"/>
  <c r="R784" i="3"/>
  <c r="T784" i="3"/>
  <c r="V784" i="3"/>
  <c r="Q784" i="3"/>
  <c r="S784" i="3"/>
  <c r="P784" i="3"/>
  <c r="M784" i="3"/>
  <c r="O784" i="3"/>
  <c r="K784" i="3"/>
  <c r="L784" i="3"/>
  <c r="N784" i="3"/>
  <c r="I784" i="3"/>
  <c r="AO784" i="3"/>
  <c r="J784" i="3"/>
  <c r="AP784" i="3"/>
  <c r="L784" i="1"/>
  <c r="P784" i="1" s="1"/>
  <c r="AA784" i="1"/>
  <c r="J785" i="1"/>
  <c r="I786" i="1"/>
  <c r="V785" i="1"/>
  <c r="G785" i="3"/>
  <c r="Y785" i="1"/>
  <c r="Z785" i="1" s="1"/>
  <c r="G785" i="2"/>
  <c r="O785" i="1"/>
  <c r="R785" i="1"/>
  <c r="S785" i="1"/>
  <c r="W785" i="1" s="1"/>
  <c r="L785" i="1" l="1"/>
  <c r="P785" i="1" s="1"/>
  <c r="AA785" i="1"/>
  <c r="I787" i="1"/>
  <c r="J786" i="1"/>
  <c r="G786" i="3"/>
  <c r="V786" i="1"/>
  <c r="Y786" i="1"/>
  <c r="Z786" i="1" s="1"/>
  <c r="G786" i="2"/>
  <c r="S786" i="1"/>
  <c r="R786" i="1"/>
  <c r="O786" i="1"/>
  <c r="AR785" i="2"/>
  <c r="AQ785" i="2"/>
  <c r="AN785" i="2"/>
  <c r="AM785" i="2"/>
  <c r="AL785" i="2"/>
  <c r="AK785" i="2"/>
  <c r="AH785" i="2"/>
  <c r="AI785" i="2"/>
  <c r="AF785" i="2"/>
  <c r="AE785" i="2"/>
  <c r="AG785" i="2"/>
  <c r="AD785" i="2"/>
  <c r="AB785" i="2"/>
  <c r="AC785" i="2"/>
  <c r="Z785" i="2"/>
  <c r="X785" i="2"/>
  <c r="AA785" i="2"/>
  <c r="V785" i="2"/>
  <c r="Y785" i="2"/>
  <c r="W785" i="2"/>
  <c r="U785" i="2"/>
  <c r="S785" i="2"/>
  <c r="T785" i="2"/>
  <c r="R785" i="2"/>
  <c r="P785" i="2"/>
  <c r="Q785" i="2"/>
  <c r="N785" i="2"/>
  <c r="M785" i="2"/>
  <c r="O785" i="2"/>
  <c r="L785" i="2"/>
  <c r="AO785" i="2"/>
  <c r="K785" i="2"/>
  <c r="J785" i="2"/>
  <c r="I785" i="2"/>
  <c r="AP785" i="2"/>
  <c r="AR785" i="3"/>
  <c r="AN785" i="3"/>
  <c r="AM785" i="3"/>
  <c r="AQ785" i="3"/>
  <c r="AL785" i="3"/>
  <c r="AK785" i="3"/>
  <c r="AG785" i="3"/>
  <c r="AI785" i="3"/>
  <c r="AH785" i="3"/>
  <c r="AF785" i="3"/>
  <c r="AD785" i="3"/>
  <c r="AC785" i="3"/>
  <c r="AE785" i="3"/>
  <c r="AB785" i="3"/>
  <c r="X785" i="3"/>
  <c r="AA785" i="3"/>
  <c r="Z785" i="3"/>
  <c r="Y785" i="3"/>
  <c r="R785" i="3"/>
  <c r="W785" i="3"/>
  <c r="T785" i="3"/>
  <c r="U785" i="3"/>
  <c r="V785" i="3"/>
  <c r="Q785" i="3"/>
  <c r="S785" i="3"/>
  <c r="P785" i="3"/>
  <c r="O785" i="3"/>
  <c r="K785" i="3"/>
  <c r="M785" i="3"/>
  <c r="L785" i="3"/>
  <c r="N785" i="3"/>
  <c r="I785" i="3"/>
  <c r="AO785" i="3"/>
  <c r="J785" i="3"/>
  <c r="AP785" i="3"/>
  <c r="L786" i="1" l="1"/>
  <c r="P786" i="1" s="1"/>
  <c r="AA786" i="1"/>
  <c r="J787" i="1"/>
  <c r="I788" i="1"/>
  <c r="V787" i="1"/>
  <c r="G787" i="3"/>
  <c r="G787" i="2"/>
  <c r="Y787" i="1"/>
  <c r="Z787" i="1" s="1"/>
  <c r="R787" i="1"/>
  <c r="O787" i="1"/>
  <c r="S787" i="1"/>
  <c r="AR786" i="2"/>
  <c r="AQ786" i="2"/>
  <c r="AN786" i="2"/>
  <c r="AM786" i="2"/>
  <c r="AK786" i="2"/>
  <c r="AL786" i="2"/>
  <c r="AF786" i="2"/>
  <c r="AH786" i="2"/>
  <c r="AI786" i="2"/>
  <c r="AE786" i="2"/>
  <c r="AG786" i="2"/>
  <c r="AD786" i="2"/>
  <c r="AB786" i="2"/>
  <c r="AC786" i="2"/>
  <c r="AA786" i="2"/>
  <c r="Z786" i="2"/>
  <c r="Y786" i="2"/>
  <c r="X786" i="2"/>
  <c r="V786" i="2"/>
  <c r="S786" i="2"/>
  <c r="W786" i="2"/>
  <c r="U786" i="2"/>
  <c r="R786" i="2"/>
  <c r="T786" i="2"/>
  <c r="N786" i="2"/>
  <c r="P786" i="2"/>
  <c r="Q786" i="2"/>
  <c r="L786" i="2"/>
  <c r="M786" i="2"/>
  <c r="O786" i="2"/>
  <c r="AO786" i="2"/>
  <c r="K786" i="2"/>
  <c r="J786" i="2"/>
  <c r="I786" i="2"/>
  <c r="AP786" i="2"/>
  <c r="AR786" i="3"/>
  <c r="AN786" i="3"/>
  <c r="AM786" i="3"/>
  <c r="AQ786" i="3"/>
  <c r="AI786" i="3"/>
  <c r="AK786" i="3"/>
  <c r="AL786" i="3"/>
  <c r="AH786" i="3"/>
  <c r="AG786" i="3"/>
  <c r="AF786" i="3"/>
  <c r="AE786" i="3"/>
  <c r="AC786" i="3"/>
  <c r="AD786" i="3"/>
  <c r="Z786" i="3"/>
  <c r="AB786" i="3"/>
  <c r="X786" i="3"/>
  <c r="AA786" i="3"/>
  <c r="Y786" i="3"/>
  <c r="W786" i="3"/>
  <c r="V786" i="3"/>
  <c r="R786" i="3"/>
  <c r="U786" i="3"/>
  <c r="Q786" i="3"/>
  <c r="S786" i="3"/>
  <c r="T786" i="3"/>
  <c r="P786" i="3"/>
  <c r="M786" i="3"/>
  <c r="K786" i="3"/>
  <c r="O786" i="3"/>
  <c r="L786" i="3"/>
  <c r="N786" i="3"/>
  <c r="I786" i="3"/>
  <c r="AO786" i="3"/>
  <c r="J786" i="3"/>
  <c r="AP786" i="3"/>
  <c r="W786" i="1"/>
  <c r="AR787" i="3" l="1"/>
  <c r="AN787" i="3"/>
  <c r="AQ787" i="3"/>
  <c r="AM787" i="3"/>
  <c r="AL787" i="3"/>
  <c r="AK787" i="3"/>
  <c r="AG787" i="3"/>
  <c r="AH787" i="3"/>
  <c r="AI787" i="3"/>
  <c r="AF787" i="3"/>
  <c r="AE787" i="3"/>
  <c r="AD787" i="3"/>
  <c r="AB787" i="3"/>
  <c r="AC787" i="3"/>
  <c r="X787" i="3"/>
  <c r="AA787" i="3"/>
  <c r="Z787" i="3"/>
  <c r="V787" i="3"/>
  <c r="Y787" i="3"/>
  <c r="W787" i="3"/>
  <c r="U787" i="3"/>
  <c r="S787" i="3"/>
  <c r="T787" i="3"/>
  <c r="R787" i="3"/>
  <c r="Q787" i="3"/>
  <c r="P787" i="3"/>
  <c r="N787" i="3"/>
  <c r="M787" i="3"/>
  <c r="K787" i="3"/>
  <c r="O787" i="3"/>
  <c r="L787" i="3"/>
  <c r="AP787" i="3"/>
  <c r="I787" i="3"/>
  <c r="AO787" i="3"/>
  <c r="J787" i="3"/>
  <c r="L787" i="1"/>
  <c r="P787" i="1" s="1"/>
  <c r="AA787" i="1"/>
  <c r="I789" i="1"/>
  <c r="J788" i="1"/>
  <c r="V788" i="1"/>
  <c r="G788" i="3"/>
  <c r="Y788" i="1"/>
  <c r="Z788" i="1" s="1"/>
  <c r="G788" i="2"/>
  <c r="O788" i="1"/>
  <c r="R788" i="1"/>
  <c r="S788" i="1"/>
  <c r="AR787" i="2"/>
  <c r="AQ787" i="2"/>
  <c r="AN787" i="2"/>
  <c r="AM787" i="2"/>
  <c r="AL787" i="2"/>
  <c r="AK787" i="2"/>
  <c r="AH787" i="2"/>
  <c r="AI787" i="2"/>
  <c r="AG787" i="2"/>
  <c r="AE787" i="2"/>
  <c r="AB787" i="2"/>
  <c r="AD787" i="2"/>
  <c r="AF787" i="2"/>
  <c r="AA787" i="2"/>
  <c r="AC787" i="2"/>
  <c r="Y787" i="2"/>
  <c r="Z787" i="2"/>
  <c r="X787" i="2"/>
  <c r="V787" i="2"/>
  <c r="W787" i="2"/>
  <c r="U787" i="2"/>
  <c r="S787" i="2"/>
  <c r="T787" i="2"/>
  <c r="R787" i="2"/>
  <c r="P787" i="2"/>
  <c r="Q787" i="2"/>
  <c r="L787" i="2"/>
  <c r="N787" i="2"/>
  <c r="M787" i="2"/>
  <c r="O787" i="2"/>
  <c r="J787" i="2"/>
  <c r="K787" i="2"/>
  <c r="I787" i="2"/>
  <c r="AO787" i="2"/>
  <c r="AP787" i="2"/>
  <c r="W787" i="1"/>
  <c r="AR788" i="2" l="1"/>
  <c r="AQ788" i="2"/>
  <c r="AN788" i="2"/>
  <c r="AM788" i="2"/>
  <c r="AL788" i="2"/>
  <c r="AJ788" i="2"/>
  <c r="AH788" i="2"/>
  <c r="AI788" i="2"/>
  <c r="AG788" i="2"/>
  <c r="AF788" i="2"/>
  <c r="AE788" i="2"/>
  <c r="AD788" i="2"/>
  <c r="AB788" i="2"/>
  <c r="AA788" i="2"/>
  <c r="AC788" i="2"/>
  <c r="Y788" i="2"/>
  <c r="Z788" i="2"/>
  <c r="X788" i="2"/>
  <c r="W788" i="2"/>
  <c r="U788" i="2"/>
  <c r="S788" i="2"/>
  <c r="V788" i="2"/>
  <c r="P788" i="2"/>
  <c r="T788" i="2"/>
  <c r="R788" i="2"/>
  <c r="N788" i="2"/>
  <c r="Q788" i="2"/>
  <c r="J788" i="2"/>
  <c r="L788" i="2"/>
  <c r="M788" i="2"/>
  <c r="O788" i="2"/>
  <c r="I788" i="2"/>
  <c r="K788" i="2"/>
  <c r="AO788" i="2"/>
  <c r="AP788" i="2"/>
  <c r="AR788" i="3"/>
  <c r="AQ788" i="3"/>
  <c r="AN788" i="3"/>
  <c r="AM788" i="3"/>
  <c r="AL788" i="3"/>
  <c r="AJ788" i="3"/>
  <c r="AF788" i="3"/>
  <c r="AH788" i="3"/>
  <c r="AI788" i="3"/>
  <c r="AG788" i="3"/>
  <c r="AE788" i="3"/>
  <c r="AD788" i="3"/>
  <c r="AC788" i="3"/>
  <c r="AB788" i="3"/>
  <c r="AA788" i="3"/>
  <c r="Z788" i="3"/>
  <c r="Y788" i="3"/>
  <c r="V788" i="3"/>
  <c r="X788" i="3"/>
  <c r="W788" i="3"/>
  <c r="U788" i="3"/>
  <c r="S788" i="3"/>
  <c r="T788" i="3"/>
  <c r="R788" i="3"/>
  <c r="N788" i="3"/>
  <c r="Q788" i="3"/>
  <c r="P788" i="3"/>
  <c r="O788" i="3"/>
  <c r="I788" i="3"/>
  <c r="M788" i="3"/>
  <c r="L788" i="3"/>
  <c r="J788" i="3"/>
  <c r="AP788" i="3"/>
  <c r="K788" i="3"/>
  <c r="AO788" i="3"/>
  <c r="L788" i="1"/>
  <c r="P788" i="1" s="1"/>
  <c r="AA788" i="1"/>
  <c r="W788" i="1"/>
  <c r="J789" i="1"/>
  <c r="I790" i="1"/>
  <c r="V789" i="1"/>
  <c r="Y789" i="1"/>
  <c r="Z789" i="1" s="1"/>
  <c r="G789" i="3"/>
  <c r="G789" i="2"/>
  <c r="R789" i="1"/>
  <c r="O789" i="1"/>
  <c r="S789" i="1"/>
  <c r="W789" i="1" s="1"/>
  <c r="AR789" i="2" l="1"/>
  <c r="AQ789" i="2"/>
  <c r="AN789" i="2"/>
  <c r="AM789" i="2"/>
  <c r="AL789" i="2"/>
  <c r="AJ789" i="2"/>
  <c r="AH789" i="2"/>
  <c r="AI789" i="2"/>
  <c r="AG789" i="2"/>
  <c r="AF789" i="2"/>
  <c r="AB789" i="2"/>
  <c r="AE789" i="2"/>
  <c r="AD789" i="2"/>
  <c r="AA789" i="2"/>
  <c r="AC789" i="2"/>
  <c r="Y789" i="2"/>
  <c r="Z789" i="2"/>
  <c r="W789" i="2"/>
  <c r="X789" i="2"/>
  <c r="U789" i="2"/>
  <c r="V789" i="2"/>
  <c r="T789" i="2"/>
  <c r="R789" i="2"/>
  <c r="S789" i="2"/>
  <c r="P789" i="2"/>
  <c r="Q789" i="2"/>
  <c r="O789" i="2"/>
  <c r="N789" i="2"/>
  <c r="L789" i="2"/>
  <c r="M789" i="2"/>
  <c r="I789" i="2"/>
  <c r="J789" i="2"/>
  <c r="K789" i="2"/>
  <c r="AO789" i="2"/>
  <c r="AP789" i="2"/>
  <c r="AQ789" i="3"/>
  <c r="AR789" i="3"/>
  <c r="AN789" i="3"/>
  <c r="AM789" i="3"/>
  <c r="AL789" i="3"/>
  <c r="AJ789" i="3"/>
  <c r="AI789" i="3"/>
  <c r="AF789" i="3"/>
  <c r="AH789" i="3"/>
  <c r="AG789" i="3"/>
  <c r="AE789" i="3"/>
  <c r="AB789" i="3"/>
  <c r="AD789" i="3"/>
  <c r="AC789" i="3"/>
  <c r="AA789" i="3"/>
  <c r="Y789" i="3"/>
  <c r="Z789" i="3"/>
  <c r="W789" i="3"/>
  <c r="V789" i="3"/>
  <c r="X789" i="3"/>
  <c r="U789" i="3"/>
  <c r="S789" i="3"/>
  <c r="T789" i="3"/>
  <c r="R789" i="3"/>
  <c r="P789" i="3"/>
  <c r="N789" i="3"/>
  <c r="Q789" i="3"/>
  <c r="O789" i="3"/>
  <c r="M789" i="3"/>
  <c r="L789" i="3"/>
  <c r="J789" i="3"/>
  <c r="AO789" i="3"/>
  <c r="AP789" i="3"/>
  <c r="K789" i="3"/>
  <c r="I789" i="3"/>
  <c r="L789" i="1"/>
  <c r="P789" i="1" s="1"/>
  <c r="AA789" i="1"/>
  <c r="J790" i="1"/>
  <c r="I791" i="1"/>
  <c r="V790" i="1"/>
  <c r="G790" i="3"/>
  <c r="Y790" i="1"/>
  <c r="Z790" i="1" s="1"/>
  <c r="G790" i="2"/>
  <c r="R790" i="1"/>
  <c r="S790" i="1"/>
  <c r="W790" i="1" s="1"/>
  <c r="O790" i="1"/>
  <c r="I792" i="1" l="1"/>
  <c r="J791" i="1"/>
  <c r="V791" i="1"/>
  <c r="G791" i="3"/>
  <c r="Y791" i="1"/>
  <c r="Z791" i="1" s="1"/>
  <c r="G791" i="2"/>
  <c r="R791" i="1"/>
  <c r="O791" i="1"/>
  <c r="S791" i="1"/>
  <c r="W791" i="1" s="1"/>
  <c r="AR790" i="2"/>
  <c r="AQ790" i="2"/>
  <c r="AN790" i="2"/>
  <c r="AL790" i="2"/>
  <c r="AM790" i="2"/>
  <c r="AJ790" i="2"/>
  <c r="AH790" i="2"/>
  <c r="AG790" i="2"/>
  <c r="AI790" i="2"/>
  <c r="AF790" i="2"/>
  <c r="AE790" i="2"/>
  <c r="AD790" i="2"/>
  <c r="AC790" i="2"/>
  <c r="AB790" i="2"/>
  <c r="AA790" i="2"/>
  <c r="Z790" i="2"/>
  <c r="W790" i="2"/>
  <c r="Y790" i="2"/>
  <c r="X790" i="2"/>
  <c r="U790" i="2"/>
  <c r="T790" i="2"/>
  <c r="V790" i="2"/>
  <c r="P790" i="2"/>
  <c r="S790" i="2"/>
  <c r="O790" i="2"/>
  <c r="Q790" i="2"/>
  <c r="R790" i="2"/>
  <c r="J790" i="2"/>
  <c r="N790" i="2"/>
  <c r="M790" i="2"/>
  <c r="I790" i="2"/>
  <c r="L790" i="2"/>
  <c r="K790" i="2"/>
  <c r="AO790" i="2"/>
  <c r="AP790" i="2"/>
  <c r="AQ790" i="3"/>
  <c r="AR790" i="3"/>
  <c r="AN790" i="3"/>
  <c r="AM790" i="3"/>
  <c r="AL790" i="3"/>
  <c r="AJ790" i="3"/>
  <c r="AH790" i="3"/>
  <c r="AF790" i="3"/>
  <c r="AI790" i="3"/>
  <c r="AG790" i="3"/>
  <c r="AB790" i="3"/>
  <c r="AD790" i="3"/>
  <c r="AE790" i="3"/>
  <c r="AC790" i="3"/>
  <c r="AA790" i="3"/>
  <c r="Y790" i="3"/>
  <c r="Z790" i="3"/>
  <c r="W790" i="3"/>
  <c r="X790" i="3"/>
  <c r="V790" i="3"/>
  <c r="U790" i="3"/>
  <c r="S790" i="3"/>
  <c r="T790" i="3"/>
  <c r="R790" i="3"/>
  <c r="P790" i="3"/>
  <c r="L790" i="3"/>
  <c r="N790" i="3"/>
  <c r="Q790" i="3"/>
  <c r="O790" i="3"/>
  <c r="J790" i="3"/>
  <c r="M790" i="3"/>
  <c r="K790" i="3"/>
  <c r="AO790" i="3"/>
  <c r="AP790" i="3"/>
  <c r="I790" i="3"/>
  <c r="L790" i="1"/>
  <c r="P790" i="1" s="1"/>
  <c r="AA790" i="1"/>
  <c r="AQ791" i="2" l="1"/>
  <c r="AR791" i="2"/>
  <c r="AN791" i="2"/>
  <c r="AM791" i="2"/>
  <c r="AL791" i="2"/>
  <c r="AJ791" i="2"/>
  <c r="AH791" i="2"/>
  <c r="AI791" i="2"/>
  <c r="AG791" i="2"/>
  <c r="AC791" i="2"/>
  <c r="AF791" i="2"/>
  <c r="AE791" i="2"/>
  <c r="AD791" i="2"/>
  <c r="AB791" i="2"/>
  <c r="AA791" i="2"/>
  <c r="Z791" i="2"/>
  <c r="U791" i="2"/>
  <c r="W791" i="2"/>
  <c r="Y791" i="2"/>
  <c r="X791" i="2"/>
  <c r="T791" i="2"/>
  <c r="V791" i="2"/>
  <c r="R791" i="2"/>
  <c r="S791" i="2"/>
  <c r="Q791" i="2"/>
  <c r="O791" i="2"/>
  <c r="P791" i="2"/>
  <c r="M791" i="2"/>
  <c r="N791" i="2"/>
  <c r="L791" i="2"/>
  <c r="K791" i="2"/>
  <c r="I791" i="2"/>
  <c r="J791" i="2"/>
  <c r="AP791" i="2"/>
  <c r="AO791" i="2"/>
  <c r="AQ791" i="3"/>
  <c r="AR791" i="3"/>
  <c r="AN791" i="3"/>
  <c r="AL791" i="3"/>
  <c r="AM791" i="3"/>
  <c r="AH791" i="3"/>
  <c r="AJ791" i="3"/>
  <c r="AI791" i="3"/>
  <c r="AG791" i="3"/>
  <c r="AF791" i="3"/>
  <c r="AE791" i="3"/>
  <c r="AB791" i="3"/>
  <c r="AD791" i="3"/>
  <c r="AC791" i="3"/>
  <c r="AA791" i="3"/>
  <c r="Z791" i="3"/>
  <c r="W791" i="3"/>
  <c r="Y791" i="3"/>
  <c r="X791" i="3"/>
  <c r="V791" i="3"/>
  <c r="U791" i="3"/>
  <c r="T791" i="3"/>
  <c r="R791" i="3"/>
  <c r="S791" i="3"/>
  <c r="Q791" i="3"/>
  <c r="P791" i="3"/>
  <c r="O791" i="3"/>
  <c r="J791" i="3"/>
  <c r="M791" i="3"/>
  <c r="N791" i="3"/>
  <c r="L791" i="3"/>
  <c r="I791" i="3"/>
  <c r="AO791" i="3"/>
  <c r="K791" i="3"/>
  <c r="AP791" i="3"/>
  <c r="L791" i="1"/>
  <c r="P791" i="1" s="1"/>
  <c r="AA791" i="1"/>
  <c r="J792" i="1"/>
  <c r="I793" i="1"/>
  <c r="V792" i="1"/>
  <c r="Y792" i="1"/>
  <c r="Z792" i="1" s="1"/>
  <c r="G792" i="3"/>
  <c r="G792" i="2"/>
  <c r="S792" i="1"/>
  <c r="W792" i="1" s="1"/>
  <c r="O792" i="1"/>
  <c r="R792" i="1"/>
  <c r="J793" i="1" l="1"/>
  <c r="I794" i="1"/>
  <c r="V793" i="1"/>
  <c r="G793" i="3"/>
  <c r="Y793" i="1"/>
  <c r="Z793" i="1" s="1"/>
  <c r="G793" i="2"/>
  <c r="R793" i="1"/>
  <c r="O793" i="1"/>
  <c r="S793" i="1"/>
  <c r="AQ792" i="2"/>
  <c r="AR792" i="2"/>
  <c r="AN792" i="2"/>
  <c r="AM792" i="2"/>
  <c r="AI792" i="2"/>
  <c r="AL792" i="2"/>
  <c r="AG792" i="2"/>
  <c r="AH792" i="2"/>
  <c r="AJ792" i="2"/>
  <c r="AF792" i="2"/>
  <c r="AC792" i="2"/>
  <c r="AE792" i="2"/>
  <c r="AD792" i="2"/>
  <c r="AB792" i="2"/>
  <c r="Z792" i="2"/>
  <c r="AA792" i="2"/>
  <c r="X792" i="2"/>
  <c r="U792" i="2"/>
  <c r="W792" i="2"/>
  <c r="Y792" i="2"/>
  <c r="T792" i="2"/>
  <c r="V792" i="2"/>
  <c r="S792" i="2"/>
  <c r="Q792" i="2"/>
  <c r="R792" i="2"/>
  <c r="M792" i="2"/>
  <c r="O792" i="2"/>
  <c r="P792" i="2"/>
  <c r="K792" i="2"/>
  <c r="N792" i="2"/>
  <c r="L792" i="2"/>
  <c r="AP792" i="2"/>
  <c r="I792" i="2"/>
  <c r="J792" i="2"/>
  <c r="AO792" i="2"/>
  <c r="AR792" i="3"/>
  <c r="AQ792" i="3"/>
  <c r="AN792" i="3"/>
  <c r="AL792" i="3"/>
  <c r="AM792" i="3"/>
  <c r="AH792" i="3"/>
  <c r="AJ792" i="3"/>
  <c r="AI792" i="3"/>
  <c r="AG792" i="3"/>
  <c r="AF792" i="3"/>
  <c r="AD792" i="3"/>
  <c r="AE792" i="3"/>
  <c r="AC792" i="3"/>
  <c r="AB792" i="3"/>
  <c r="AA792" i="3"/>
  <c r="Z792" i="3"/>
  <c r="Y792" i="3"/>
  <c r="X792" i="3"/>
  <c r="W792" i="3"/>
  <c r="U792" i="3"/>
  <c r="T792" i="3"/>
  <c r="V792" i="3"/>
  <c r="R792" i="3"/>
  <c r="P792" i="3"/>
  <c r="S792" i="3"/>
  <c r="O792" i="3"/>
  <c r="Q792" i="3"/>
  <c r="N792" i="3"/>
  <c r="L792" i="3"/>
  <c r="J792" i="3"/>
  <c r="M792" i="3"/>
  <c r="I792" i="3"/>
  <c r="AO792" i="3"/>
  <c r="AP792" i="3"/>
  <c r="K792" i="3"/>
  <c r="L792" i="1"/>
  <c r="P792" i="1" s="1"/>
  <c r="AA792" i="1"/>
  <c r="AR793" i="2" l="1"/>
  <c r="AQ793" i="2"/>
  <c r="AM793" i="2"/>
  <c r="AN793" i="2"/>
  <c r="AL793" i="2"/>
  <c r="AI793" i="2"/>
  <c r="AJ793" i="2"/>
  <c r="AF793" i="2"/>
  <c r="AG793" i="2"/>
  <c r="AH793" i="2"/>
  <c r="AC793" i="2"/>
  <c r="AE793" i="2"/>
  <c r="AD793" i="2"/>
  <c r="AB793" i="2"/>
  <c r="X793" i="2"/>
  <c r="AA793" i="2"/>
  <c r="Z793" i="2"/>
  <c r="Y793" i="2"/>
  <c r="U793" i="2"/>
  <c r="W793" i="2"/>
  <c r="V793" i="2"/>
  <c r="S793" i="2"/>
  <c r="Q793" i="2"/>
  <c r="T793" i="2"/>
  <c r="R793" i="2"/>
  <c r="P793" i="2"/>
  <c r="K793" i="2"/>
  <c r="O793" i="2"/>
  <c r="N793" i="2"/>
  <c r="L793" i="2"/>
  <c r="M793" i="2"/>
  <c r="I793" i="2"/>
  <c r="AP793" i="2"/>
  <c r="J793" i="2"/>
  <c r="AO793" i="2"/>
  <c r="AR793" i="3"/>
  <c r="AQ793" i="3"/>
  <c r="AN793" i="3"/>
  <c r="AM793" i="3"/>
  <c r="AL793" i="3"/>
  <c r="AI793" i="3"/>
  <c r="AH793" i="3"/>
  <c r="AJ793" i="3"/>
  <c r="AG793" i="3"/>
  <c r="AD793" i="3"/>
  <c r="AF793" i="3"/>
  <c r="AC793" i="3"/>
  <c r="AE793" i="3"/>
  <c r="AB793" i="3"/>
  <c r="AA793" i="3"/>
  <c r="Z793" i="3"/>
  <c r="U793" i="3"/>
  <c r="X793" i="3"/>
  <c r="W793" i="3"/>
  <c r="Y793" i="3"/>
  <c r="T793" i="3"/>
  <c r="V793" i="3"/>
  <c r="R793" i="3"/>
  <c r="S793" i="3"/>
  <c r="Q793" i="3"/>
  <c r="O793" i="3"/>
  <c r="P793" i="3"/>
  <c r="M793" i="3"/>
  <c r="N793" i="3"/>
  <c r="L793" i="3"/>
  <c r="K793" i="3"/>
  <c r="J793" i="3"/>
  <c r="I793" i="3"/>
  <c r="AO793" i="3"/>
  <c r="AP793" i="3"/>
  <c r="L793" i="1"/>
  <c r="P793" i="1" s="1"/>
  <c r="AA793" i="1"/>
  <c r="J794" i="1"/>
  <c r="I795" i="1"/>
  <c r="V794" i="1"/>
  <c r="Y794" i="1"/>
  <c r="Z794" i="1" s="1"/>
  <c r="G794" i="3"/>
  <c r="G794" i="2"/>
  <c r="S794" i="1"/>
  <c r="O794" i="1"/>
  <c r="R794" i="1"/>
  <c r="W793" i="1"/>
  <c r="L794" i="1" l="1"/>
  <c r="P794" i="1" s="1"/>
  <c r="AA794" i="1"/>
  <c r="I796" i="1"/>
  <c r="J795" i="1"/>
  <c r="V795" i="1"/>
  <c r="G795" i="3"/>
  <c r="Y795" i="1"/>
  <c r="Z795" i="1" s="1"/>
  <c r="G795" i="2"/>
  <c r="R795" i="1"/>
  <c r="O795" i="1"/>
  <c r="S795" i="1"/>
  <c r="W794" i="1"/>
  <c r="AR794" i="2"/>
  <c r="AQ794" i="2"/>
  <c r="AM794" i="2"/>
  <c r="AL794" i="2"/>
  <c r="AN794" i="2"/>
  <c r="AI794" i="2"/>
  <c r="AJ794" i="2"/>
  <c r="AH794" i="2"/>
  <c r="AF794" i="2"/>
  <c r="AG794" i="2"/>
  <c r="AE794" i="2"/>
  <c r="AD794" i="2"/>
  <c r="Z794" i="2"/>
  <c r="AB794" i="2"/>
  <c r="AC794" i="2"/>
  <c r="AA794" i="2"/>
  <c r="W794" i="2"/>
  <c r="Y794" i="2"/>
  <c r="X794" i="2"/>
  <c r="V794" i="2"/>
  <c r="U794" i="2"/>
  <c r="S794" i="2"/>
  <c r="Q794" i="2"/>
  <c r="T794" i="2"/>
  <c r="R794" i="2"/>
  <c r="M794" i="2"/>
  <c r="P794" i="2"/>
  <c r="K794" i="2"/>
  <c r="O794" i="2"/>
  <c r="N794" i="2"/>
  <c r="L794" i="2"/>
  <c r="J794" i="2"/>
  <c r="AO794" i="2"/>
  <c r="AP794" i="2"/>
  <c r="I794" i="2"/>
  <c r="AQ794" i="3"/>
  <c r="AR794" i="3"/>
  <c r="AN794" i="3"/>
  <c r="AM794" i="3"/>
  <c r="AL794" i="3"/>
  <c r="AI794" i="3"/>
  <c r="AJ794" i="3"/>
  <c r="AG794" i="3"/>
  <c r="AH794" i="3"/>
  <c r="AF794" i="3"/>
  <c r="AC794" i="3"/>
  <c r="AE794" i="3"/>
  <c r="AD794" i="3"/>
  <c r="AB794" i="3"/>
  <c r="Z794" i="3"/>
  <c r="Y794" i="3"/>
  <c r="AA794" i="3"/>
  <c r="X794" i="3"/>
  <c r="U794" i="3"/>
  <c r="R794" i="3"/>
  <c r="T794" i="3"/>
  <c r="W794" i="3"/>
  <c r="V794" i="3"/>
  <c r="Q794" i="3"/>
  <c r="S794" i="3"/>
  <c r="M794" i="3"/>
  <c r="O794" i="3"/>
  <c r="P794" i="3"/>
  <c r="K794" i="3"/>
  <c r="N794" i="3"/>
  <c r="L794" i="3"/>
  <c r="J794" i="3"/>
  <c r="I794" i="3"/>
  <c r="AO794" i="3"/>
  <c r="AP794" i="3"/>
  <c r="AR795" i="2" l="1"/>
  <c r="AQ795" i="2"/>
  <c r="AN795" i="2"/>
  <c r="AM795" i="2"/>
  <c r="AL795" i="2"/>
  <c r="AJ795" i="2"/>
  <c r="AI795" i="2"/>
  <c r="AH795" i="2"/>
  <c r="AF795" i="2"/>
  <c r="AE795" i="2"/>
  <c r="AG795" i="2"/>
  <c r="AD795" i="2"/>
  <c r="AC795" i="2"/>
  <c r="AB795" i="2"/>
  <c r="Z795" i="2"/>
  <c r="X795" i="2"/>
  <c r="AA795" i="2"/>
  <c r="V795" i="2"/>
  <c r="Y795" i="2"/>
  <c r="U795" i="2"/>
  <c r="W795" i="2"/>
  <c r="S795" i="2"/>
  <c r="T795" i="2"/>
  <c r="R795" i="2"/>
  <c r="Q795" i="2"/>
  <c r="P795" i="2"/>
  <c r="N795" i="2"/>
  <c r="O795" i="2"/>
  <c r="M795" i="2"/>
  <c r="L795" i="2"/>
  <c r="J795" i="2"/>
  <c r="AO795" i="2"/>
  <c r="I795" i="2"/>
  <c r="K795" i="2"/>
  <c r="AP795" i="2"/>
  <c r="L795" i="1"/>
  <c r="P795" i="1" s="1"/>
  <c r="AA795" i="1"/>
  <c r="AR795" i="3"/>
  <c r="AN795" i="3"/>
  <c r="AQ795" i="3"/>
  <c r="AM795" i="3"/>
  <c r="AL795" i="3"/>
  <c r="AI795" i="3"/>
  <c r="AJ795" i="3"/>
  <c r="AG795" i="3"/>
  <c r="AH795" i="3"/>
  <c r="AD795" i="3"/>
  <c r="AF795" i="3"/>
  <c r="AC795" i="3"/>
  <c r="AE795" i="3"/>
  <c r="AB795" i="3"/>
  <c r="X795" i="3"/>
  <c r="Z795" i="3"/>
  <c r="Y795" i="3"/>
  <c r="AA795" i="3"/>
  <c r="W795" i="3"/>
  <c r="R795" i="3"/>
  <c r="T795" i="3"/>
  <c r="U795" i="3"/>
  <c r="V795" i="3"/>
  <c r="Q795" i="3"/>
  <c r="S795" i="3"/>
  <c r="O795" i="3"/>
  <c r="P795" i="3"/>
  <c r="K795" i="3"/>
  <c r="N795" i="3"/>
  <c r="L795" i="3"/>
  <c r="M795" i="3"/>
  <c r="I795" i="3"/>
  <c r="J795" i="3"/>
  <c r="AO795" i="3"/>
  <c r="AP795" i="3"/>
  <c r="I797" i="1"/>
  <c r="J796" i="1"/>
  <c r="V796" i="1"/>
  <c r="G796" i="3"/>
  <c r="Y796" i="1"/>
  <c r="Z796" i="1" s="1"/>
  <c r="G796" i="2"/>
  <c r="O796" i="1"/>
  <c r="R796" i="1"/>
  <c r="S796" i="1"/>
  <c r="W796" i="1" s="1"/>
  <c r="W795" i="1"/>
  <c r="J797" i="1" l="1"/>
  <c r="I798" i="1"/>
  <c r="V797" i="1"/>
  <c r="G797" i="3"/>
  <c r="Y797" i="1"/>
  <c r="Z797" i="1" s="1"/>
  <c r="G797" i="2"/>
  <c r="O797" i="1"/>
  <c r="R797" i="1"/>
  <c r="S797" i="1"/>
  <c r="W797" i="1" s="1"/>
  <c r="AR796" i="3"/>
  <c r="AN796" i="3"/>
  <c r="AQ796" i="3"/>
  <c r="AM796" i="3"/>
  <c r="AL796" i="3"/>
  <c r="AI796" i="3"/>
  <c r="AJ796" i="3"/>
  <c r="AG796" i="3"/>
  <c r="AH796" i="3"/>
  <c r="AF796" i="3"/>
  <c r="AE796" i="3"/>
  <c r="AC796" i="3"/>
  <c r="AD796" i="3"/>
  <c r="Z796" i="3"/>
  <c r="AB796" i="3"/>
  <c r="X796" i="3"/>
  <c r="Y796" i="3"/>
  <c r="AA796" i="3"/>
  <c r="V796" i="3"/>
  <c r="R796" i="3"/>
  <c r="W796" i="3"/>
  <c r="U796" i="3"/>
  <c r="T796" i="3"/>
  <c r="Q796" i="3"/>
  <c r="S796" i="3"/>
  <c r="M796" i="3"/>
  <c r="P796" i="3"/>
  <c r="K796" i="3"/>
  <c r="N796" i="3"/>
  <c r="L796" i="3"/>
  <c r="O796" i="3"/>
  <c r="J796" i="3"/>
  <c r="I796" i="3"/>
  <c r="AO796" i="3"/>
  <c r="AP796" i="3"/>
  <c r="AR796" i="2"/>
  <c r="AQ796" i="2"/>
  <c r="AN796" i="2"/>
  <c r="AM796" i="2"/>
  <c r="AL796" i="2"/>
  <c r="AJ796" i="2"/>
  <c r="AH796" i="2"/>
  <c r="AF796" i="2"/>
  <c r="AI796" i="2"/>
  <c r="AE796" i="2"/>
  <c r="AG796" i="2"/>
  <c r="AD796" i="2"/>
  <c r="AB796" i="2"/>
  <c r="AC796" i="2"/>
  <c r="AA796" i="2"/>
  <c r="Z796" i="2"/>
  <c r="Y796" i="2"/>
  <c r="V796" i="2"/>
  <c r="X796" i="2"/>
  <c r="S796" i="2"/>
  <c r="U796" i="2"/>
  <c r="W796" i="2"/>
  <c r="R796" i="2"/>
  <c r="T796" i="2"/>
  <c r="Q796" i="2"/>
  <c r="P796" i="2"/>
  <c r="N796" i="2"/>
  <c r="O796" i="2"/>
  <c r="M796" i="2"/>
  <c r="L796" i="2"/>
  <c r="K796" i="2"/>
  <c r="J796" i="2"/>
  <c r="AO796" i="2"/>
  <c r="I796" i="2"/>
  <c r="AP796" i="2"/>
  <c r="L796" i="1"/>
  <c r="P796" i="1" s="1"/>
  <c r="AA796" i="1"/>
  <c r="AR797" i="3" l="1"/>
  <c r="AN797" i="3"/>
  <c r="AQ797" i="3"/>
  <c r="AL797" i="3"/>
  <c r="AM797" i="3"/>
  <c r="AJ797" i="3"/>
  <c r="AG797" i="3"/>
  <c r="AI797" i="3"/>
  <c r="AH797" i="3"/>
  <c r="AF797" i="3"/>
  <c r="AE797" i="3"/>
  <c r="AD797" i="3"/>
  <c r="AC797" i="3"/>
  <c r="AB797" i="3"/>
  <c r="X797" i="3"/>
  <c r="Z797" i="3"/>
  <c r="AA797" i="3"/>
  <c r="V797" i="3"/>
  <c r="Y797" i="3"/>
  <c r="W797" i="3"/>
  <c r="U797" i="3"/>
  <c r="S797" i="3"/>
  <c r="T797" i="3"/>
  <c r="R797" i="3"/>
  <c r="P797" i="3"/>
  <c r="Q797" i="3"/>
  <c r="N797" i="3"/>
  <c r="M797" i="3"/>
  <c r="K797" i="3"/>
  <c r="L797" i="3"/>
  <c r="O797" i="3"/>
  <c r="AP797" i="3"/>
  <c r="J797" i="3"/>
  <c r="I797" i="3"/>
  <c r="AO797" i="3"/>
  <c r="L797" i="1"/>
  <c r="P797" i="1" s="1"/>
  <c r="AA797" i="1"/>
  <c r="J798" i="1"/>
  <c r="I799" i="1"/>
  <c r="V798" i="1"/>
  <c r="G798" i="3"/>
  <c r="Y798" i="1"/>
  <c r="Z798" i="1" s="1"/>
  <c r="G798" i="2"/>
  <c r="S798" i="1"/>
  <c r="W798" i="1" s="1"/>
  <c r="R798" i="1"/>
  <c r="O798" i="1"/>
  <c r="AR797" i="2"/>
  <c r="AQ797" i="2"/>
  <c r="AN797" i="2"/>
  <c r="AM797" i="2"/>
  <c r="AJ797" i="2"/>
  <c r="AL797" i="2"/>
  <c r="AH797" i="2"/>
  <c r="AI797" i="2"/>
  <c r="AF797" i="2"/>
  <c r="AE797" i="2"/>
  <c r="AG797" i="2"/>
  <c r="AB797" i="2"/>
  <c r="AD797" i="2"/>
  <c r="AA797" i="2"/>
  <c r="AC797" i="2"/>
  <c r="Y797" i="2"/>
  <c r="Z797" i="2"/>
  <c r="V797" i="2"/>
  <c r="W797" i="2"/>
  <c r="X797" i="2"/>
  <c r="S797" i="2"/>
  <c r="U797" i="2"/>
  <c r="R797" i="2"/>
  <c r="T797" i="2"/>
  <c r="P797" i="2"/>
  <c r="Q797" i="2"/>
  <c r="O797" i="2"/>
  <c r="M797" i="2"/>
  <c r="L797" i="2"/>
  <c r="N797" i="2"/>
  <c r="J797" i="2"/>
  <c r="K797" i="2"/>
  <c r="I797" i="2"/>
  <c r="AP797" i="2"/>
  <c r="AO797" i="2"/>
  <c r="AR798" i="2" l="1"/>
  <c r="AQ798" i="2"/>
  <c r="AN798" i="2"/>
  <c r="AM798" i="2"/>
  <c r="AJ798" i="2"/>
  <c r="AK798" i="2"/>
  <c r="AH798" i="2"/>
  <c r="AI798" i="2"/>
  <c r="AG798" i="2"/>
  <c r="AF798" i="2"/>
  <c r="AD798" i="2"/>
  <c r="AE798" i="2"/>
  <c r="AA798" i="2"/>
  <c r="AC798" i="2"/>
  <c r="AB798" i="2"/>
  <c r="Y798" i="2"/>
  <c r="Z798" i="2"/>
  <c r="X798" i="2"/>
  <c r="W798" i="2"/>
  <c r="V798" i="2"/>
  <c r="S798" i="2"/>
  <c r="U798" i="2"/>
  <c r="P798" i="2"/>
  <c r="R798" i="2"/>
  <c r="T798" i="2"/>
  <c r="Q798" i="2"/>
  <c r="N798" i="2"/>
  <c r="J798" i="2"/>
  <c r="O798" i="2"/>
  <c r="M798" i="2"/>
  <c r="L798" i="2"/>
  <c r="K798" i="2"/>
  <c r="I798" i="2"/>
  <c r="AP798" i="2"/>
  <c r="AO798" i="2"/>
  <c r="AR798" i="3"/>
  <c r="AQ798" i="3"/>
  <c r="AN798" i="3"/>
  <c r="AM798" i="3"/>
  <c r="AK798" i="3"/>
  <c r="AJ798" i="3"/>
  <c r="AI798" i="3"/>
  <c r="AF798" i="3"/>
  <c r="AH798" i="3"/>
  <c r="AE798" i="3"/>
  <c r="AG798" i="3"/>
  <c r="AC798" i="3"/>
  <c r="AD798" i="3"/>
  <c r="AB798" i="3"/>
  <c r="AA798" i="3"/>
  <c r="Z798" i="3"/>
  <c r="Y798" i="3"/>
  <c r="V798" i="3"/>
  <c r="X798" i="3"/>
  <c r="W798" i="3"/>
  <c r="S798" i="3"/>
  <c r="U798" i="3"/>
  <c r="T798" i="3"/>
  <c r="R798" i="3"/>
  <c r="N798" i="3"/>
  <c r="P798" i="3"/>
  <c r="O798" i="3"/>
  <c r="Q798" i="3"/>
  <c r="M798" i="3"/>
  <c r="I798" i="3"/>
  <c r="L798" i="3"/>
  <c r="AP798" i="3"/>
  <c r="J798" i="3"/>
  <c r="K798" i="3"/>
  <c r="AO798" i="3"/>
  <c r="L798" i="1"/>
  <c r="P798" i="1" s="1"/>
  <c r="AA798" i="1"/>
  <c r="J799" i="1"/>
  <c r="V799" i="1"/>
  <c r="I800" i="1"/>
  <c r="G799" i="3"/>
  <c r="Y799" i="1"/>
  <c r="Z799" i="1" s="1"/>
  <c r="G799" i="2"/>
  <c r="R799" i="1"/>
  <c r="O799" i="1"/>
  <c r="S799" i="1"/>
  <c r="J800" i="1" l="1"/>
  <c r="I801" i="1"/>
  <c r="V800" i="1"/>
  <c r="G800" i="3"/>
  <c r="Y800" i="1"/>
  <c r="Z800" i="1" s="1"/>
  <c r="G800" i="2"/>
  <c r="S800" i="1"/>
  <c r="W800" i="1" s="1"/>
  <c r="O800" i="1"/>
  <c r="R800" i="1"/>
  <c r="AR799" i="2"/>
  <c r="AQ799" i="2"/>
  <c r="AM799" i="2"/>
  <c r="AK799" i="2"/>
  <c r="AN799" i="2"/>
  <c r="AH799" i="2"/>
  <c r="AJ799" i="2"/>
  <c r="AI799" i="2"/>
  <c r="AG799" i="2"/>
  <c r="AB799" i="2"/>
  <c r="AF799" i="2"/>
  <c r="AD799" i="2"/>
  <c r="AE799" i="2"/>
  <c r="AA799" i="2"/>
  <c r="AC799" i="2"/>
  <c r="Y799" i="2"/>
  <c r="W799" i="2"/>
  <c r="X799" i="2"/>
  <c r="Z799" i="2"/>
  <c r="V799" i="2"/>
  <c r="U799" i="2"/>
  <c r="T799" i="2"/>
  <c r="R799" i="2"/>
  <c r="S799" i="2"/>
  <c r="P799" i="2"/>
  <c r="Q799" i="2"/>
  <c r="O799" i="2"/>
  <c r="N799" i="2"/>
  <c r="M799" i="2"/>
  <c r="L799" i="2"/>
  <c r="I799" i="2"/>
  <c r="K799" i="2"/>
  <c r="J799" i="2"/>
  <c r="AP799" i="2"/>
  <c r="AO799" i="2"/>
  <c r="L799" i="1"/>
  <c r="P799" i="1" s="1"/>
  <c r="AA799" i="1"/>
  <c r="W799" i="1"/>
  <c r="AQ799" i="3"/>
  <c r="AR799" i="3"/>
  <c r="AN799" i="3"/>
  <c r="AM799" i="3"/>
  <c r="AK799" i="3"/>
  <c r="AJ799" i="3"/>
  <c r="AF799" i="3"/>
  <c r="AI799" i="3"/>
  <c r="AH799" i="3"/>
  <c r="AE799" i="3"/>
  <c r="AG799" i="3"/>
  <c r="AB799" i="3"/>
  <c r="AC799" i="3"/>
  <c r="AD799" i="3"/>
  <c r="AA799" i="3"/>
  <c r="Y799" i="3"/>
  <c r="Z799" i="3"/>
  <c r="V799" i="3"/>
  <c r="X799" i="3"/>
  <c r="W799" i="3"/>
  <c r="S799" i="3"/>
  <c r="U799" i="3"/>
  <c r="T799" i="3"/>
  <c r="R799" i="3"/>
  <c r="P799" i="3"/>
  <c r="N799" i="3"/>
  <c r="O799" i="3"/>
  <c r="Q799" i="3"/>
  <c r="M799" i="3"/>
  <c r="L799" i="3"/>
  <c r="J799" i="3"/>
  <c r="AO799" i="3"/>
  <c r="AP799" i="3"/>
  <c r="I799" i="3"/>
  <c r="K799" i="3"/>
  <c r="AR800" i="2" l="1"/>
  <c r="AQ800" i="2"/>
  <c r="AM800" i="2"/>
  <c r="AN800" i="2"/>
  <c r="AK800" i="2"/>
  <c r="AH800" i="2"/>
  <c r="AJ800" i="2"/>
  <c r="AG800" i="2"/>
  <c r="AI800" i="2"/>
  <c r="AE800" i="2"/>
  <c r="AF800" i="2"/>
  <c r="AD800" i="2"/>
  <c r="AC800" i="2"/>
  <c r="AA800" i="2"/>
  <c r="AB800" i="2"/>
  <c r="Z800" i="2"/>
  <c r="W800" i="2"/>
  <c r="X800" i="2"/>
  <c r="Y800" i="2"/>
  <c r="U800" i="2"/>
  <c r="T800" i="2"/>
  <c r="V800" i="2"/>
  <c r="P800" i="2"/>
  <c r="S800" i="2"/>
  <c r="O800" i="2"/>
  <c r="R800" i="2"/>
  <c r="Q800" i="2"/>
  <c r="N800" i="2"/>
  <c r="J800" i="2"/>
  <c r="M800" i="2"/>
  <c r="I800" i="2"/>
  <c r="K800" i="2"/>
  <c r="L800" i="2"/>
  <c r="AP800" i="2"/>
  <c r="AO800" i="2"/>
  <c r="AQ800" i="3"/>
  <c r="AR800" i="3"/>
  <c r="AM800" i="3"/>
  <c r="AN800" i="3"/>
  <c r="AK800" i="3"/>
  <c r="AJ800" i="3"/>
  <c r="AH800" i="3"/>
  <c r="AF800" i="3"/>
  <c r="AI800" i="3"/>
  <c r="AG800" i="3"/>
  <c r="AB800" i="3"/>
  <c r="AE800" i="3"/>
  <c r="AD800" i="3"/>
  <c r="AA800" i="3"/>
  <c r="AC800" i="3"/>
  <c r="Y800" i="3"/>
  <c r="Z800" i="3"/>
  <c r="W800" i="3"/>
  <c r="X800" i="3"/>
  <c r="S800" i="3"/>
  <c r="V800" i="3"/>
  <c r="U800" i="3"/>
  <c r="P800" i="3"/>
  <c r="T800" i="3"/>
  <c r="R800" i="3"/>
  <c r="Q800" i="3"/>
  <c r="L800" i="3"/>
  <c r="N800" i="3"/>
  <c r="O800" i="3"/>
  <c r="J800" i="3"/>
  <c r="M800" i="3"/>
  <c r="K800" i="3"/>
  <c r="AO800" i="3"/>
  <c r="AP800" i="3"/>
  <c r="I800" i="3"/>
  <c r="L800" i="1"/>
  <c r="P800" i="1" s="1"/>
  <c r="AA800" i="1"/>
  <c r="I802" i="1"/>
  <c r="J801" i="1"/>
  <c r="V801" i="1"/>
  <c r="G801" i="3"/>
  <c r="G801" i="2"/>
  <c r="Y801" i="1"/>
  <c r="Z801" i="1" s="1"/>
  <c r="O801" i="1"/>
  <c r="R801" i="1"/>
  <c r="S801" i="1"/>
  <c r="W801" i="1" s="1"/>
  <c r="L801" i="1" l="1"/>
  <c r="P801" i="1" s="1"/>
  <c r="AA801" i="1"/>
  <c r="AR801" i="2"/>
  <c r="AQ801" i="2"/>
  <c r="AM801" i="2"/>
  <c r="AN801" i="2"/>
  <c r="AK801" i="2"/>
  <c r="AH801" i="2"/>
  <c r="AJ801" i="2"/>
  <c r="AG801" i="2"/>
  <c r="AI801" i="2"/>
  <c r="AF801" i="2"/>
  <c r="AC801" i="2"/>
  <c r="AE801" i="2"/>
  <c r="AD801" i="2"/>
  <c r="AB801" i="2"/>
  <c r="AA801" i="2"/>
  <c r="Z801" i="2"/>
  <c r="Y801" i="2"/>
  <c r="U801" i="2"/>
  <c r="W801" i="2"/>
  <c r="X801" i="2"/>
  <c r="T801" i="2"/>
  <c r="V801" i="2"/>
  <c r="R801" i="2"/>
  <c r="S801" i="2"/>
  <c r="Q801" i="2"/>
  <c r="O801" i="2"/>
  <c r="P801" i="2"/>
  <c r="M801" i="2"/>
  <c r="N801" i="2"/>
  <c r="L801" i="2"/>
  <c r="K801" i="2"/>
  <c r="I801" i="2"/>
  <c r="J801" i="2"/>
  <c r="AP801" i="2"/>
  <c r="AO801" i="2"/>
  <c r="J802" i="1"/>
  <c r="I803" i="1"/>
  <c r="V802" i="1"/>
  <c r="G802" i="3"/>
  <c r="G802" i="2"/>
  <c r="Y802" i="1"/>
  <c r="Z802" i="1" s="1"/>
  <c r="R802" i="1"/>
  <c r="O802" i="1"/>
  <c r="S802" i="1"/>
  <c r="AQ801" i="3"/>
  <c r="AR801" i="3"/>
  <c r="AM801" i="3"/>
  <c r="AK801" i="3"/>
  <c r="AN801" i="3"/>
  <c r="AH801" i="3"/>
  <c r="AJ801" i="3"/>
  <c r="AI801" i="3"/>
  <c r="AF801" i="3"/>
  <c r="AG801" i="3"/>
  <c r="AD801" i="3"/>
  <c r="AB801" i="3"/>
  <c r="AE801" i="3"/>
  <c r="AA801" i="3"/>
  <c r="AC801" i="3"/>
  <c r="W801" i="3"/>
  <c r="Y801" i="3"/>
  <c r="Z801" i="3"/>
  <c r="X801" i="3"/>
  <c r="U801" i="3"/>
  <c r="V801" i="3"/>
  <c r="T801" i="3"/>
  <c r="S801" i="3"/>
  <c r="R801" i="3"/>
  <c r="Q801" i="3"/>
  <c r="P801" i="3"/>
  <c r="O801" i="3"/>
  <c r="J801" i="3"/>
  <c r="M801" i="3"/>
  <c r="N801" i="3"/>
  <c r="L801" i="3"/>
  <c r="AO801" i="3"/>
  <c r="I801" i="3"/>
  <c r="K801" i="3"/>
  <c r="AP801" i="3"/>
  <c r="AQ802" i="2" l="1"/>
  <c r="AR802" i="2"/>
  <c r="AM802" i="2"/>
  <c r="AN802" i="2"/>
  <c r="AK802" i="2"/>
  <c r="AJ802" i="2"/>
  <c r="AI802" i="2"/>
  <c r="AH802" i="2"/>
  <c r="AG802" i="2"/>
  <c r="AC802" i="2"/>
  <c r="AE802" i="2"/>
  <c r="AF802" i="2"/>
  <c r="AB802" i="2"/>
  <c r="AD802" i="2"/>
  <c r="Z802" i="2"/>
  <c r="AA802" i="2"/>
  <c r="X802" i="2"/>
  <c r="Y802" i="2"/>
  <c r="U802" i="2"/>
  <c r="W802" i="2"/>
  <c r="T802" i="2"/>
  <c r="V802" i="2"/>
  <c r="Q802" i="2"/>
  <c r="R802" i="2"/>
  <c r="S802" i="2"/>
  <c r="M802" i="2"/>
  <c r="O802" i="2"/>
  <c r="P802" i="2"/>
  <c r="K802" i="2"/>
  <c r="N802" i="2"/>
  <c r="L802" i="2"/>
  <c r="AP802" i="2"/>
  <c r="I802" i="2"/>
  <c r="J802" i="2"/>
  <c r="AO802" i="2"/>
  <c r="L802" i="1"/>
  <c r="P802" i="1" s="1"/>
  <c r="AA802" i="1"/>
  <c r="J803" i="1"/>
  <c r="I804" i="1"/>
  <c r="V803" i="1"/>
  <c r="G803" i="3"/>
  <c r="Y803" i="1"/>
  <c r="Z803" i="1" s="1"/>
  <c r="G803" i="2"/>
  <c r="R803" i="1"/>
  <c r="O803" i="1"/>
  <c r="S803" i="1"/>
  <c r="W803" i="1" s="1"/>
  <c r="W802" i="1"/>
  <c r="AR802" i="3"/>
  <c r="AQ802" i="3"/>
  <c r="AN802" i="3"/>
  <c r="AM802" i="3"/>
  <c r="AK802" i="3"/>
  <c r="AH802" i="3"/>
  <c r="AJ802" i="3"/>
  <c r="AI802" i="3"/>
  <c r="AG802" i="3"/>
  <c r="AF802" i="3"/>
  <c r="AD802" i="3"/>
  <c r="AE802" i="3"/>
  <c r="AC802" i="3"/>
  <c r="AA802" i="3"/>
  <c r="AB802" i="3"/>
  <c r="Y802" i="3"/>
  <c r="Z802" i="3"/>
  <c r="W802" i="3"/>
  <c r="X802" i="3"/>
  <c r="U802" i="3"/>
  <c r="T802" i="3"/>
  <c r="V802" i="3"/>
  <c r="S802" i="3"/>
  <c r="P802" i="3"/>
  <c r="R802" i="3"/>
  <c r="O802" i="3"/>
  <c r="Q802" i="3"/>
  <c r="J802" i="3"/>
  <c r="M802" i="3"/>
  <c r="N802" i="3"/>
  <c r="L802" i="3"/>
  <c r="K802" i="3"/>
  <c r="AO802" i="3"/>
  <c r="AP802" i="3"/>
  <c r="I802" i="3"/>
  <c r="AR803" i="2" l="1"/>
  <c r="AQ803" i="2"/>
  <c r="AN803" i="2"/>
  <c r="AM803" i="2"/>
  <c r="AK803" i="2"/>
  <c r="AJ803" i="2"/>
  <c r="AI803" i="2"/>
  <c r="AH803" i="2"/>
  <c r="AG803" i="2"/>
  <c r="AC803" i="2"/>
  <c r="AE803" i="2"/>
  <c r="AF803" i="2"/>
  <c r="AD803" i="2"/>
  <c r="AB803" i="2"/>
  <c r="X803" i="2"/>
  <c r="AA803" i="2"/>
  <c r="Z803" i="2"/>
  <c r="Y803" i="2"/>
  <c r="W803" i="2"/>
  <c r="U803" i="2"/>
  <c r="V803" i="2"/>
  <c r="Q803" i="2"/>
  <c r="T803" i="2"/>
  <c r="S803" i="2"/>
  <c r="R803" i="2"/>
  <c r="P803" i="2"/>
  <c r="K803" i="2"/>
  <c r="O803" i="2"/>
  <c r="N803" i="2"/>
  <c r="M803" i="2"/>
  <c r="L803" i="2"/>
  <c r="I803" i="2"/>
  <c r="AP803" i="2"/>
  <c r="J803" i="2"/>
  <c r="AO803" i="2"/>
  <c r="AR803" i="3"/>
  <c r="AQ803" i="3"/>
  <c r="AM803" i="3"/>
  <c r="AN803" i="3"/>
  <c r="AK803" i="3"/>
  <c r="AI803" i="3"/>
  <c r="AH803" i="3"/>
  <c r="AJ803" i="3"/>
  <c r="AD803" i="3"/>
  <c r="AG803" i="3"/>
  <c r="AF803" i="3"/>
  <c r="AC803" i="3"/>
  <c r="AE803" i="3"/>
  <c r="AA803" i="3"/>
  <c r="AB803" i="3"/>
  <c r="Z803" i="3"/>
  <c r="U803" i="3"/>
  <c r="W803" i="3"/>
  <c r="Y803" i="3"/>
  <c r="X803" i="3"/>
  <c r="T803" i="3"/>
  <c r="V803" i="3"/>
  <c r="R803" i="3"/>
  <c r="S803" i="3"/>
  <c r="Q803" i="3"/>
  <c r="O803" i="3"/>
  <c r="P803" i="3"/>
  <c r="M803" i="3"/>
  <c r="L803" i="3"/>
  <c r="N803" i="3"/>
  <c r="K803" i="3"/>
  <c r="I803" i="3"/>
  <c r="AO803" i="3"/>
  <c r="AP803" i="3"/>
  <c r="J803" i="3"/>
  <c r="L803" i="1"/>
  <c r="P803" i="1" s="1"/>
  <c r="AA803" i="1"/>
  <c r="I805" i="1"/>
  <c r="J804" i="1"/>
  <c r="V804" i="1"/>
  <c r="G804" i="3"/>
  <c r="Y804" i="1"/>
  <c r="Z804" i="1" s="1"/>
  <c r="G804" i="2"/>
  <c r="S804" i="1"/>
  <c r="W804" i="1" s="1"/>
  <c r="O804" i="1"/>
  <c r="R804" i="1"/>
  <c r="L804" i="1" l="1"/>
  <c r="P804" i="1" s="1"/>
  <c r="AA804" i="1"/>
  <c r="J805" i="1"/>
  <c r="I806" i="1"/>
  <c r="V805" i="1"/>
  <c r="G805" i="3"/>
  <c r="Y805" i="1"/>
  <c r="Z805" i="1" s="1"/>
  <c r="G805" i="2"/>
  <c r="R805" i="1"/>
  <c r="O805" i="1"/>
  <c r="S805" i="1"/>
  <c r="AR804" i="2"/>
  <c r="AQ804" i="2"/>
  <c r="AN804" i="2"/>
  <c r="AM804" i="2"/>
  <c r="AK804" i="2"/>
  <c r="AJ804" i="2"/>
  <c r="AI804" i="2"/>
  <c r="AH804" i="2"/>
  <c r="AG804" i="2"/>
  <c r="AF804" i="2"/>
  <c r="AE804" i="2"/>
  <c r="AD804" i="2"/>
  <c r="Z804" i="2"/>
  <c r="AB804" i="2"/>
  <c r="AC804" i="2"/>
  <c r="AA804" i="2"/>
  <c r="Y804" i="2"/>
  <c r="X804" i="2"/>
  <c r="W804" i="2"/>
  <c r="V804" i="2"/>
  <c r="U804" i="2"/>
  <c r="Q804" i="2"/>
  <c r="T804" i="2"/>
  <c r="S804" i="2"/>
  <c r="M804" i="2"/>
  <c r="R804" i="2"/>
  <c r="P804" i="2"/>
  <c r="K804" i="2"/>
  <c r="O804" i="2"/>
  <c r="N804" i="2"/>
  <c r="L804" i="2"/>
  <c r="AO804" i="2"/>
  <c r="AP804" i="2"/>
  <c r="I804" i="2"/>
  <c r="J804" i="2"/>
  <c r="AR804" i="3"/>
  <c r="AN804" i="3"/>
  <c r="AM804" i="3"/>
  <c r="AQ804" i="3"/>
  <c r="AI804" i="3"/>
  <c r="AK804" i="3"/>
  <c r="AJ804" i="3"/>
  <c r="AH804" i="3"/>
  <c r="AG804" i="3"/>
  <c r="AF804" i="3"/>
  <c r="AD804" i="3"/>
  <c r="AC804" i="3"/>
  <c r="AE804" i="3"/>
  <c r="AB804" i="3"/>
  <c r="Z804" i="3"/>
  <c r="AA804" i="3"/>
  <c r="Y804" i="3"/>
  <c r="X804" i="3"/>
  <c r="U804" i="3"/>
  <c r="W804" i="3"/>
  <c r="V804" i="3"/>
  <c r="R804" i="3"/>
  <c r="T804" i="3"/>
  <c r="Q804" i="3"/>
  <c r="S804" i="3"/>
  <c r="M804" i="3"/>
  <c r="O804" i="3"/>
  <c r="P804" i="3"/>
  <c r="K804" i="3"/>
  <c r="L804" i="3"/>
  <c r="N804" i="3"/>
  <c r="I804" i="3"/>
  <c r="AO804" i="3"/>
  <c r="J804" i="3"/>
  <c r="AP804" i="3"/>
  <c r="AQ805" i="2" l="1"/>
  <c r="AR805" i="2"/>
  <c r="AN805" i="2"/>
  <c r="AM805" i="2"/>
  <c r="AK805" i="2"/>
  <c r="AJ805" i="2"/>
  <c r="AI805" i="2"/>
  <c r="AH805" i="2"/>
  <c r="AF805" i="2"/>
  <c r="AG805" i="2"/>
  <c r="AE805" i="2"/>
  <c r="AD805" i="2"/>
  <c r="AB805" i="2"/>
  <c r="AC805" i="2"/>
  <c r="X805" i="2"/>
  <c r="AA805" i="2"/>
  <c r="Z805" i="2"/>
  <c r="V805" i="2"/>
  <c r="Y805" i="2"/>
  <c r="W805" i="2"/>
  <c r="U805" i="2"/>
  <c r="T805" i="2"/>
  <c r="S805" i="2"/>
  <c r="R805" i="2"/>
  <c r="Q805" i="2"/>
  <c r="P805" i="2"/>
  <c r="N805" i="2"/>
  <c r="O805" i="2"/>
  <c r="M805" i="2"/>
  <c r="L805" i="2"/>
  <c r="AO805" i="2"/>
  <c r="K805" i="2"/>
  <c r="I805" i="2"/>
  <c r="J805" i="2"/>
  <c r="AP805" i="2"/>
  <c r="AR805" i="3"/>
  <c r="AN805" i="3"/>
  <c r="AQ805" i="3"/>
  <c r="AM805" i="3"/>
  <c r="AK805" i="3"/>
  <c r="AJ805" i="3"/>
  <c r="AG805" i="3"/>
  <c r="AH805" i="3"/>
  <c r="AI805" i="3"/>
  <c r="AD805" i="3"/>
  <c r="AF805" i="3"/>
  <c r="AE805" i="3"/>
  <c r="AC805" i="3"/>
  <c r="AB805" i="3"/>
  <c r="X805" i="3"/>
  <c r="AA805" i="3"/>
  <c r="Z805" i="3"/>
  <c r="Y805" i="3"/>
  <c r="V805" i="3"/>
  <c r="U805" i="3"/>
  <c r="R805" i="3"/>
  <c r="T805" i="3"/>
  <c r="W805" i="3"/>
  <c r="Q805" i="3"/>
  <c r="S805" i="3"/>
  <c r="O805" i="3"/>
  <c r="P805" i="3"/>
  <c r="K805" i="3"/>
  <c r="L805" i="3"/>
  <c r="M805" i="3"/>
  <c r="N805" i="3"/>
  <c r="I805" i="3"/>
  <c r="AO805" i="3"/>
  <c r="AP805" i="3"/>
  <c r="J805" i="3"/>
  <c r="L805" i="1"/>
  <c r="P805" i="1" s="1"/>
  <c r="AA805" i="1"/>
  <c r="I807" i="1"/>
  <c r="J806" i="1"/>
  <c r="G806" i="3"/>
  <c r="V806" i="1"/>
  <c r="Y806" i="1"/>
  <c r="Z806" i="1" s="1"/>
  <c r="G806" i="2"/>
  <c r="S806" i="1"/>
  <c r="W806" i="1" s="1"/>
  <c r="O806" i="1"/>
  <c r="R806" i="1"/>
  <c r="W805" i="1"/>
  <c r="AR806" i="3" l="1"/>
  <c r="AN806" i="3"/>
  <c r="AQ806" i="3"/>
  <c r="AM806" i="3"/>
  <c r="AI806" i="3"/>
  <c r="AK806" i="3"/>
  <c r="AJ806" i="3"/>
  <c r="AG806" i="3"/>
  <c r="AH806" i="3"/>
  <c r="AF806" i="3"/>
  <c r="AE806" i="3"/>
  <c r="AD806" i="3"/>
  <c r="AC806" i="3"/>
  <c r="AB806" i="3"/>
  <c r="Z806" i="3"/>
  <c r="X806" i="3"/>
  <c r="AA806" i="3"/>
  <c r="Y806" i="3"/>
  <c r="W806" i="3"/>
  <c r="V806" i="3"/>
  <c r="U806" i="3"/>
  <c r="R806" i="3"/>
  <c r="Q806" i="3"/>
  <c r="S806" i="3"/>
  <c r="T806" i="3"/>
  <c r="M806" i="3"/>
  <c r="P806" i="3"/>
  <c r="N806" i="3"/>
  <c r="K806" i="3"/>
  <c r="L806" i="3"/>
  <c r="O806" i="3"/>
  <c r="J806" i="3"/>
  <c r="I806" i="3"/>
  <c r="AO806" i="3"/>
  <c r="AP806" i="3"/>
  <c r="J807" i="1"/>
  <c r="I808" i="1"/>
  <c r="V807" i="1"/>
  <c r="G807" i="3"/>
  <c r="Y807" i="1"/>
  <c r="Z807" i="1" s="1"/>
  <c r="G807" i="2"/>
  <c r="R807" i="1"/>
  <c r="O807" i="1"/>
  <c r="S807" i="1"/>
  <c r="W807" i="1" s="1"/>
  <c r="AR806" i="2"/>
  <c r="AQ806" i="2"/>
  <c r="AN806" i="2"/>
  <c r="AM806" i="2"/>
  <c r="AJ806" i="2"/>
  <c r="AK806" i="2"/>
  <c r="AF806" i="2"/>
  <c r="AH806" i="2"/>
  <c r="AI806" i="2"/>
  <c r="AG806" i="2"/>
  <c r="AE806" i="2"/>
  <c r="AD806" i="2"/>
  <c r="AB806" i="2"/>
  <c r="AC806" i="2"/>
  <c r="AA806" i="2"/>
  <c r="Z806" i="2"/>
  <c r="Y806" i="2"/>
  <c r="V806" i="2"/>
  <c r="X806" i="2"/>
  <c r="S806" i="2"/>
  <c r="W806" i="2"/>
  <c r="U806" i="2"/>
  <c r="R806" i="2"/>
  <c r="T806" i="2"/>
  <c r="N806" i="2"/>
  <c r="Q806" i="2"/>
  <c r="P806" i="2"/>
  <c r="L806" i="2"/>
  <c r="O806" i="2"/>
  <c r="M806" i="2"/>
  <c r="AO806" i="2"/>
  <c r="K806" i="2"/>
  <c r="I806" i="2"/>
  <c r="J806" i="2"/>
  <c r="AP806" i="2"/>
  <c r="L806" i="1"/>
  <c r="P806" i="1" s="1"/>
  <c r="AA806" i="1"/>
  <c r="J808" i="1" l="1"/>
  <c r="I809" i="1"/>
  <c r="V808" i="1"/>
  <c r="G808" i="3"/>
  <c r="G808" i="2"/>
  <c r="Y808" i="1"/>
  <c r="Z808" i="1" s="1"/>
  <c r="S808" i="1"/>
  <c r="W808" i="1" s="1"/>
  <c r="O808" i="1"/>
  <c r="R808" i="1"/>
  <c r="AR807" i="2"/>
  <c r="AQ807" i="2"/>
  <c r="AN807" i="2"/>
  <c r="AM807" i="2"/>
  <c r="AJ807" i="2"/>
  <c r="AK807" i="2"/>
  <c r="AI807" i="2"/>
  <c r="AH807" i="2"/>
  <c r="AF807" i="2"/>
  <c r="AG807" i="2"/>
  <c r="AE807" i="2"/>
  <c r="AB807" i="2"/>
  <c r="AD807" i="2"/>
  <c r="AA807" i="2"/>
  <c r="AC807" i="2"/>
  <c r="Z807" i="2"/>
  <c r="Y807" i="2"/>
  <c r="V807" i="2"/>
  <c r="X807" i="2"/>
  <c r="W807" i="2"/>
  <c r="S807" i="2"/>
  <c r="U807" i="2"/>
  <c r="R807" i="2"/>
  <c r="T807" i="2"/>
  <c r="P807" i="2"/>
  <c r="Q807" i="2"/>
  <c r="L807" i="2"/>
  <c r="N807" i="2"/>
  <c r="O807" i="2"/>
  <c r="M807" i="2"/>
  <c r="J807" i="2"/>
  <c r="K807" i="2"/>
  <c r="I807" i="2"/>
  <c r="AO807" i="2"/>
  <c r="AP807" i="2"/>
  <c r="AR807" i="3"/>
  <c r="AN807" i="3"/>
  <c r="AQ807" i="3"/>
  <c r="AM807" i="3"/>
  <c r="AK807" i="3"/>
  <c r="AJ807" i="3"/>
  <c r="AG807" i="3"/>
  <c r="AI807" i="3"/>
  <c r="AH807" i="3"/>
  <c r="AF807" i="3"/>
  <c r="AE807" i="3"/>
  <c r="AD807" i="3"/>
  <c r="AB807" i="3"/>
  <c r="AC807" i="3"/>
  <c r="Z807" i="3"/>
  <c r="X807" i="3"/>
  <c r="AA807" i="3"/>
  <c r="V807" i="3"/>
  <c r="Y807" i="3"/>
  <c r="U807" i="3"/>
  <c r="W807" i="3"/>
  <c r="S807" i="3"/>
  <c r="R807" i="3"/>
  <c r="T807" i="3"/>
  <c r="Q807" i="3"/>
  <c r="P807" i="3"/>
  <c r="N807" i="3"/>
  <c r="K807" i="3"/>
  <c r="L807" i="3"/>
  <c r="M807" i="3"/>
  <c r="O807" i="3"/>
  <c r="AP807" i="3"/>
  <c r="J807" i="3"/>
  <c r="I807" i="3"/>
  <c r="AO807" i="3"/>
  <c r="L807" i="1"/>
  <c r="P807" i="1" s="1"/>
  <c r="AA807" i="1"/>
  <c r="AR808" i="2" l="1"/>
  <c r="AQ808" i="2"/>
  <c r="AN808" i="2"/>
  <c r="AL808" i="2"/>
  <c r="AJ808" i="2"/>
  <c r="AK808" i="2"/>
  <c r="AH808" i="2"/>
  <c r="AI808" i="2"/>
  <c r="AF808" i="2"/>
  <c r="AG808" i="2"/>
  <c r="AD808" i="2"/>
  <c r="AE808" i="2"/>
  <c r="AA808" i="2"/>
  <c r="AB808" i="2"/>
  <c r="AC808" i="2"/>
  <c r="Z808" i="2"/>
  <c r="Y808" i="2"/>
  <c r="X808" i="2"/>
  <c r="W808" i="2"/>
  <c r="S808" i="2"/>
  <c r="U808" i="2"/>
  <c r="V808" i="2"/>
  <c r="P808" i="2"/>
  <c r="R808" i="2"/>
  <c r="T808" i="2"/>
  <c r="N808" i="2"/>
  <c r="Q808" i="2"/>
  <c r="J808" i="2"/>
  <c r="L808" i="2"/>
  <c r="O808" i="2"/>
  <c r="M808" i="2"/>
  <c r="K808" i="2"/>
  <c r="I808" i="2"/>
  <c r="AO808" i="2"/>
  <c r="AP808" i="2"/>
  <c r="AQ808" i="3"/>
  <c r="AR808" i="3"/>
  <c r="AN808" i="3"/>
  <c r="AJ808" i="3"/>
  <c r="AL808" i="3"/>
  <c r="AK808" i="3"/>
  <c r="AI808" i="3"/>
  <c r="AF808" i="3"/>
  <c r="AG808" i="3"/>
  <c r="AH808" i="3"/>
  <c r="AE808" i="3"/>
  <c r="AD808" i="3"/>
  <c r="AC808" i="3"/>
  <c r="AB808" i="3"/>
  <c r="AA808" i="3"/>
  <c r="Z808" i="3"/>
  <c r="Y808" i="3"/>
  <c r="V808" i="3"/>
  <c r="W808" i="3"/>
  <c r="X808" i="3"/>
  <c r="S808" i="3"/>
  <c r="U808" i="3"/>
  <c r="R808" i="3"/>
  <c r="T808" i="3"/>
  <c r="N808" i="3"/>
  <c r="Q808" i="3"/>
  <c r="O808" i="3"/>
  <c r="P808" i="3"/>
  <c r="I808" i="3"/>
  <c r="L808" i="3"/>
  <c r="M808" i="3"/>
  <c r="K808" i="3"/>
  <c r="AP808" i="3"/>
  <c r="J808" i="3"/>
  <c r="AO808" i="3"/>
  <c r="L808" i="1"/>
  <c r="P808" i="1" s="1"/>
  <c r="AA808" i="1"/>
  <c r="J809" i="1"/>
  <c r="I810" i="1"/>
  <c r="V809" i="1"/>
  <c r="Y809" i="1"/>
  <c r="Z809" i="1" s="1"/>
  <c r="G809" i="3"/>
  <c r="G809" i="2"/>
  <c r="R809" i="1"/>
  <c r="O809" i="1"/>
  <c r="S809" i="1"/>
  <c r="W809" i="1" s="1"/>
  <c r="L809" i="1" l="1"/>
  <c r="P809" i="1" s="1"/>
  <c r="AA809" i="1"/>
  <c r="J810" i="1"/>
  <c r="I811" i="1"/>
  <c r="V810" i="1"/>
  <c r="G810" i="3"/>
  <c r="Y810" i="1"/>
  <c r="Z810" i="1" s="1"/>
  <c r="G810" i="2"/>
  <c r="S810" i="1"/>
  <c r="W810" i="1" s="1"/>
  <c r="O810" i="1"/>
  <c r="R810" i="1"/>
  <c r="AR809" i="2"/>
  <c r="AQ809" i="2"/>
  <c r="AN809" i="2"/>
  <c r="AK809" i="2"/>
  <c r="AL809" i="2"/>
  <c r="AH809" i="2"/>
  <c r="AJ809" i="2"/>
  <c r="AI809" i="2"/>
  <c r="AG809" i="2"/>
  <c r="AF809" i="2"/>
  <c r="AB809" i="2"/>
  <c r="AD809" i="2"/>
  <c r="AE809" i="2"/>
  <c r="AC809" i="2"/>
  <c r="AA809" i="2"/>
  <c r="Z809" i="2"/>
  <c r="Y809" i="2"/>
  <c r="W809" i="2"/>
  <c r="X809" i="2"/>
  <c r="U809" i="2"/>
  <c r="V809" i="2"/>
  <c r="T809" i="2"/>
  <c r="S809" i="2"/>
  <c r="R809" i="2"/>
  <c r="P809" i="2"/>
  <c r="Q809" i="2"/>
  <c r="O809" i="2"/>
  <c r="M809" i="2"/>
  <c r="L809" i="2"/>
  <c r="N809" i="2"/>
  <c r="J809" i="2"/>
  <c r="K809" i="2"/>
  <c r="I809" i="2"/>
  <c r="AO809" i="2"/>
  <c r="AP809" i="2"/>
  <c r="AQ809" i="3"/>
  <c r="AR809" i="3"/>
  <c r="AN809" i="3"/>
  <c r="AJ809" i="3"/>
  <c r="AL809" i="3"/>
  <c r="AK809" i="3"/>
  <c r="AI809" i="3"/>
  <c r="AF809" i="3"/>
  <c r="AH809" i="3"/>
  <c r="AG809" i="3"/>
  <c r="AE809" i="3"/>
  <c r="AB809" i="3"/>
  <c r="AD809" i="3"/>
  <c r="AC809" i="3"/>
  <c r="AA809" i="3"/>
  <c r="Y809" i="3"/>
  <c r="Z809" i="3"/>
  <c r="V809" i="3"/>
  <c r="W809" i="3"/>
  <c r="X809" i="3"/>
  <c r="S809" i="3"/>
  <c r="U809" i="3"/>
  <c r="R809" i="3"/>
  <c r="T809" i="3"/>
  <c r="P809" i="3"/>
  <c r="N809" i="3"/>
  <c r="Q809" i="3"/>
  <c r="O809" i="3"/>
  <c r="L809" i="3"/>
  <c r="M809" i="3"/>
  <c r="J809" i="3"/>
  <c r="AO809" i="3"/>
  <c r="K809" i="3"/>
  <c r="AP809" i="3"/>
  <c r="I809" i="3"/>
  <c r="AR810" i="2" l="1"/>
  <c r="AQ810" i="2"/>
  <c r="AL810" i="2"/>
  <c r="AN810" i="2"/>
  <c r="AH810" i="2"/>
  <c r="AK810" i="2"/>
  <c r="AJ810" i="2"/>
  <c r="AG810" i="2"/>
  <c r="AI810" i="2"/>
  <c r="AD810" i="2"/>
  <c r="AE810" i="2"/>
  <c r="AF810" i="2"/>
  <c r="AC810" i="2"/>
  <c r="AA810" i="2"/>
  <c r="AB810" i="2"/>
  <c r="Z810" i="2"/>
  <c r="W810" i="2"/>
  <c r="Y810" i="2"/>
  <c r="X810" i="2"/>
  <c r="U810" i="2"/>
  <c r="T810" i="2"/>
  <c r="V810" i="2"/>
  <c r="S810" i="2"/>
  <c r="P810" i="2"/>
  <c r="Q810" i="2"/>
  <c r="O810" i="2"/>
  <c r="R810" i="2"/>
  <c r="M810" i="2"/>
  <c r="J810" i="2"/>
  <c r="N810" i="2"/>
  <c r="K810" i="2"/>
  <c r="I810" i="2"/>
  <c r="L810" i="2"/>
  <c r="AO810" i="2"/>
  <c r="AP810" i="2"/>
  <c r="AR810" i="3"/>
  <c r="AQ810" i="3"/>
  <c r="AN810" i="3"/>
  <c r="AJ810" i="3"/>
  <c r="AL810" i="3"/>
  <c r="AK810" i="3"/>
  <c r="AI810" i="3"/>
  <c r="AH810" i="3"/>
  <c r="AF810" i="3"/>
  <c r="AG810" i="3"/>
  <c r="AE810" i="3"/>
  <c r="AB810" i="3"/>
  <c r="AD810" i="3"/>
  <c r="AA810" i="3"/>
  <c r="AC810" i="3"/>
  <c r="Y810" i="3"/>
  <c r="Z810" i="3"/>
  <c r="X810" i="3"/>
  <c r="W810" i="3"/>
  <c r="V810" i="3"/>
  <c r="S810" i="3"/>
  <c r="U810" i="3"/>
  <c r="T810" i="3"/>
  <c r="P810" i="3"/>
  <c r="R810" i="3"/>
  <c r="L810" i="3"/>
  <c r="N810" i="3"/>
  <c r="Q810" i="3"/>
  <c r="O810" i="3"/>
  <c r="M810" i="3"/>
  <c r="J810" i="3"/>
  <c r="K810" i="3"/>
  <c r="AO810" i="3"/>
  <c r="AP810" i="3"/>
  <c r="I810" i="3"/>
  <c r="L810" i="1"/>
  <c r="P810" i="1" s="1"/>
  <c r="AA810" i="1"/>
  <c r="I812" i="1"/>
  <c r="J811" i="1"/>
  <c r="V811" i="1"/>
  <c r="G811" i="3"/>
  <c r="G811" i="2"/>
  <c r="Y811" i="1"/>
  <c r="Z811" i="1" s="1"/>
  <c r="R811" i="1"/>
  <c r="O811" i="1"/>
  <c r="S811" i="1"/>
  <c r="W811" i="1" s="1"/>
  <c r="J812" i="1" l="1"/>
  <c r="I813" i="1"/>
  <c r="V812" i="1"/>
  <c r="G812" i="3"/>
  <c r="Y812" i="1"/>
  <c r="Z812" i="1" s="1"/>
  <c r="G812" i="2"/>
  <c r="S812" i="1"/>
  <c r="W812" i="1" s="1"/>
  <c r="O812" i="1"/>
  <c r="R812" i="1"/>
  <c r="AR811" i="3"/>
  <c r="AQ811" i="3"/>
  <c r="AN811" i="3"/>
  <c r="AL811" i="3"/>
  <c r="AK811" i="3"/>
  <c r="AH811" i="3"/>
  <c r="AI811" i="3"/>
  <c r="AJ811" i="3"/>
  <c r="AG811" i="3"/>
  <c r="AF811" i="3"/>
  <c r="AE811" i="3"/>
  <c r="AB811" i="3"/>
  <c r="AD811" i="3"/>
  <c r="AA811" i="3"/>
  <c r="AC811" i="3"/>
  <c r="Y811" i="3"/>
  <c r="Z811" i="3"/>
  <c r="W811" i="3"/>
  <c r="X811" i="3"/>
  <c r="V811" i="3"/>
  <c r="U811" i="3"/>
  <c r="T811" i="3"/>
  <c r="R811" i="3"/>
  <c r="S811" i="3"/>
  <c r="Q811" i="3"/>
  <c r="P811" i="3"/>
  <c r="O811" i="3"/>
  <c r="N811" i="3"/>
  <c r="M811" i="3"/>
  <c r="J811" i="3"/>
  <c r="L811" i="3"/>
  <c r="AO811" i="3"/>
  <c r="K811" i="3"/>
  <c r="I811" i="3"/>
  <c r="AP811" i="3"/>
  <c r="AR811" i="2"/>
  <c r="AQ811" i="2"/>
  <c r="AN811" i="2"/>
  <c r="AL811" i="2"/>
  <c r="AH811" i="2"/>
  <c r="AJ811" i="2"/>
  <c r="AK811" i="2"/>
  <c r="AG811" i="2"/>
  <c r="AI811" i="2"/>
  <c r="AC811" i="2"/>
  <c r="AD811" i="2"/>
  <c r="AE811" i="2"/>
  <c r="AF811" i="2"/>
  <c r="AB811" i="2"/>
  <c r="AA811" i="2"/>
  <c r="X811" i="2"/>
  <c r="U811" i="2"/>
  <c r="W811" i="2"/>
  <c r="Z811" i="2"/>
  <c r="Y811" i="2"/>
  <c r="T811" i="2"/>
  <c r="V811" i="2"/>
  <c r="S811" i="2"/>
  <c r="R811" i="2"/>
  <c r="Q811" i="2"/>
  <c r="O811" i="2"/>
  <c r="P811" i="2"/>
  <c r="M811" i="2"/>
  <c r="L811" i="2"/>
  <c r="N811" i="2"/>
  <c r="K811" i="2"/>
  <c r="J811" i="2"/>
  <c r="I811" i="2"/>
  <c r="AP811" i="2"/>
  <c r="AO811" i="2"/>
  <c r="L811" i="1"/>
  <c r="P811" i="1" s="1"/>
  <c r="AA811" i="1"/>
  <c r="L812" i="1" l="1"/>
  <c r="P812" i="1" s="1"/>
  <c r="AA812" i="1"/>
  <c r="AR812" i="2"/>
  <c r="AQ812" i="2"/>
  <c r="AN812" i="2"/>
  <c r="AL812" i="2"/>
  <c r="AJ812" i="2"/>
  <c r="AK812" i="2"/>
  <c r="AI812" i="2"/>
  <c r="AG812" i="2"/>
  <c r="AH812" i="2"/>
  <c r="AF812" i="2"/>
  <c r="AC812" i="2"/>
  <c r="AE812" i="2"/>
  <c r="AD812" i="2"/>
  <c r="Z812" i="2"/>
  <c r="AB812" i="2"/>
  <c r="AA812" i="2"/>
  <c r="X812" i="2"/>
  <c r="U812" i="2"/>
  <c r="W812" i="2"/>
  <c r="Y812" i="2"/>
  <c r="V812" i="2"/>
  <c r="T812" i="2"/>
  <c r="Q812" i="2"/>
  <c r="S812" i="2"/>
  <c r="R812" i="2"/>
  <c r="P812" i="2"/>
  <c r="M812" i="2"/>
  <c r="O812" i="2"/>
  <c r="N812" i="2"/>
  <c r="K812" i="2"/>
  <c r="L812" i="2"/>
  <c r="AP812" i="2"/>
  <c r="J812" i="2"/>
  <c r="I812" i="2"/>
  <c r="AO812" i="2"/>
  <c r="I814" i="1"/>
  <c r="J813" i="1"/>
  <c r="V813" i="1"/>
  <c r="G813" i="3"/>
  <c r="Y813" i="1"/>
  <c r="Z813" i="1" s="1"/>
  <c r="G813" i="2"/>
  <c r="O813" i="1"/>
  <c r="R813" i="1"/>
  <c r="S813" i="1"/>
  <c r="AR812" i="3"/>
  <c r="AQ812" i="3"/>
  <c r="AN812" i="3"/>
  <c r="AL812" i="3"/>
  <c r="AK812" i="3"/>
  <c r="AH812" i="3"/>
  <c r="AJ812" i="3"/>
  <c r="AI812" i="3"/>
  <c r="AG812" i="3"/>
  <c r="AF812" i="3"/>
  <c r="AD812" i="3"/>
  <c r="AE812" i="3"/>
  <c r="AC812" i="3"/>
  <c r="AB812" i="3"/>
  <c r="AA812" i="3"/>
  <c r="Y812" i="3"/>
  <c r="Z812" i="3"/>
  <c r="W812" i="3"/>
  <c r="X812" i="3"/>
  <c r="U812" i="3"/>
  <c r="T812" i="3"/>
  <c r="V812" i="3"/>
  <c r="P812" i="3"/>
  <c r="R812" i="3"/>
  <c r="S812" i="3"/>
  <c r="O812" i="3"/>
  <c r="Q812" i="3"/>
  <c r="N812" i="3"/>
  <c r="M812" i="3"/>
  <c r="J812" i="3"/>
  <c r="L812" i="3"/>
  <c r="AO812" i="3"/>
  <c r="K812" i="3"/>
  <c r="AP812" i="3"/>
  <c r="I812" i="3"/>
  <c r="AQ813" i="3" l="1"/>
  <c r="AR813" i="3"/>
  <c r="AN813" i="3"/>
  <c r="AL813" i="3"/>
  <c r="AK813" i="3"/>
  <c r="AI813" i="3"/>
  <c r="AH813" i="3"/>
  <c r="AJ813" i="3"/>
  <c r="AD813" i="3"/>
  <c r="AG813" i="3"/>
  <c r="AF813" i="3"/>
  <c r="AC813" i="3"/>
  <c r="AE813" i="3"/>
  <c r="AB813" i="3"/>
  <c r="AA813" i="3"/>
  <c r="Z813" i="3"/>
  <c r="U813" i="3"/>
  <c r="W813" i="3"/>
  <c r="X813" i="3"/>
  <c r="Y813" i="3"/>
  <c r="T813" i="3"/>
  <c r="V813" i="3"/>
  <c r="R813" i="3"/>
  <c r="S813" i="3"/>
  <c r="Q813" i="3"/>
  <c r="P813" i="3"/>
  <c r="O813" i="3"/>
  <c r="M813" i="3"/>
  <c r="N813" i="3"/>
  <c r="L813" i="3"/>
  <c r="K813" i="3"/>
  <c r="J813" i="3"/>
  <c r="AO813" i="3"/>
  <c r="AP813" i="3"/>
  <c r="I813" i="3"/>
  <c r="AR813" i="2"/>
  <c r="AQ813" i="2"/>
  <c r="AN813" i="2"/>
  <c r="AL813" i="2"/>
  <c r="AK813" i="2"/>
  <c r="AI813" i="2"/>
  <c r="AJ813" i="2"/>
  <c r="AH813" i="2"/>
  <c r="AG813" i="2"/>
  <c r="AF813" i="2"/>
  <c r="AC813" i="2"/>
  <c r="AD813" i="2"/>
  <c r="AE813" i="2"/>
  <c r="AB813" i="2"/>
  <c r="X813" i="2"/>
  <c r="Z813" i="2"/>
  <c r="AA813" i="2"/>
  <c r="Y813" i="2"/>
  <c r="V813" i="2"/>
  <c r="W813" i="2"/>
  <c r="U813" i="2"/>
  <c r="Q813" i="2"/>
  <c r="T813" i="2"/>
  <c r="S813" i="2"/>
  <c r="P813" i="2"/>
  <c r="R813" i="2"/>
  <c r="N813" i="2"/>
  <c r="K813" i="2"/>
  <c r="M813" i="2"/>
  <c r="L813" i="2"/>
  <c r="O813" i="2"/>
  <c r="I813" i="2"/>
  <c r="AP813" i="2"/>
  <c r="J813" i="2"/>
  <c r="AO813" i="2"/>
  <c r="L813" i="1"/>
  <c r="P813" i="1" s="1"/>
  <c r="AA813" i="1"/>
  <c r="W813" i="1"/>
  <c r="J814" i="1"/>
  <c r="I815" i="1"/>
  <c r="V814" i="1"/>
  <c r="Y814" i="1"/>
  <c r="Z814" i="1" s="1"/>
  <c r="G814" i="3"/>
  <c r="G814" i="2"/>
  <c r="S814" i="1"/>
  <c r="W814" i="1" s="1"/>
  <c r="R814" i="1"/>
  <c r="O814" i="1"/>
  <c r="L814" i="1" l="1"/>
  <c r="P814" i="1" s="1"/>
  <c r="AA814" i="1"/>
  <c r="AR814" i="2"/>
  <c r="AQ814" i="2"/>
  <c r="AN814" i="2"/>
  <c r="AL814" i="2"/>
  <c r="AK814" i="2"/>
  <c r="AI814" i="2"/>
  <c r="AJ814" i="2"/>
  <c r="AH814" i="2"/>
  <c r="AG814" i="2"/>
  <c r="AE814" i="2"/>
  <c r="AF814" i="2"/>
  <c r="AD814" i="2"/>
  <c r="AB814" i="2"/>
  <c r="AC814" i="2"/>
  <c r="Z814" i="2"/>
  <c r="AA814" i="2"/>
  <c r="X814" i="2"/>
  <c r="W814" i="2"/>
  <c r="Y814" i="2"/>
  <c r="V814" i="2"/>
  <c r="U814" i="2"/>
  <c r="Q814" i="2"/>
  <c r="T814" i="2"/>
  <c r="S814" i="2"/>
  <c r="P814" i="2"/>
  <c r="M814" i="2"/>
  <c r="R814" i="2"/>
  <c r="O814" i="2"/>
  <c r="N814" i="2"/>
  <c r="K814" i="2"/>
  <c r="L814" i="2"/>
  <c r="AO814" i="2"/>
  <c r="AP814" i="2"/>
  <c r="I814" i="2"/>
  <c r="J814" i="2"/>
  <c r="AQ814" i="3"/>
  <c r="AR814" i="3"/>
  <c r="AN814" i="3"/>
  <c r="AL814" i="3"/>
  <c r="AK814" i="3"/>
  <c r="AI814" i="3"/>
  <c r="AJ814" i="3"/>
  <c r="AH814" i="3"/>
  <c r="AG814" i="3"/>
  <c r="AF814" i="3"/>
  <c r="AC814" i="3"/>
  <c r="AE814" i="3"/>
  <c r="AD814" i="3"/>
  <c r="AB814" i="3"/>
  <c r="Z814" i="3"/>
  <c r="AA814" i="3"/>
  <c r="Y814" i="3"/>
  <c r="X814" i="3"/>
  <c r="U814" i="3"/>
  <c r="W814" i="3"/>
  <c r="R814" i="3"/>
  <c r="T814" i="3"/>
  <c r="V814" i="3"/>
  <c r="Q814" i="3"/>
  <c r="S814" i="3"/>
  <c r="M814" i="3"/>
  <c r="P814" i="3"/>
  <c r="O814" i="3"/>
  <c r="L814" i="3"/>
  <c r="K814" i="3"/>
  <c r="N814" i="3"/>
  <c r="J814" i="3"/>
  <c r="AO814" i="3"/>
  <c r="I814" i="3"/>
  <c r="AP814" i="3"/>
  <c r="J815" i="1"/>
  <c r="I816" i="1"/>
  <c r="Y815" i="1"/>
  <c r="Z815" i="1" s="1"/>
  <c r="V815" i="1"/>
  <c r="G815" i="3"/>
  <c r="G815" i="2"/>
  <c r="R815" i="1"/>
  <c r="O815" i="1"/>
  <c r="S815" i="1"/>
  <c r="W815" i="1" s="1"/>
  <c r="I817" i="1" l="1"/>
  <c r="J816" i="1"/>
  <c r="V816" i="1"/>
  <c r="G816" i="3"/>
  <c r="Y816" i="1"/>
  <c r="Z816" i="1" s="1"/>
  <c r="G816" i="2"/>
  <c r="R816" i="1"/>
  <c r="S816" i="1"/>
  <c r="W816" i="1" s="1"/>
  <c r="O816" i="1"/>
  <c r="AR815" i="3"/>
  <c r="AN815" i="3"/>
  <c r="AQ815" i="3"/>
  <c r="AK815" i="3"/>
  <c r="AL815" i="3"/>
  <c r="AJ815" i="3"/>
  <c r="AI815" i="3"/>
  <c r="AH815" i="3"/>
  <c r="AG815" i="3"/>
  <c r="AF815" i="3"/>
  <c r="AD815" i="3"/>
  <c r="AC815" i="3"/>
  <c r="AE815" i="3"/>
  <c r="AB815" i="3"/>
  <c r="X815" i="3"/>
  <c r="AA815" i="3"/>
  <c r="Y815" i="3"/>
  <c r="Z815" i="3"/>
  <c r="R815" i="3"/>
  <c r="T815" i="3"/>
  <c r="V815" i="3"/>
  <c r="W815" i="3"/>
  <c r="U815" i="3"/>
  <c r="S815" i="3"/>
  <c r="Q815" i="3"/>
  <c r="P815" i="3"/>
  <c r="O815" i="3"/>
  <c r="L815" i="3"/>
  <c r="K815" i="3"/>
  <c r="M815" i="3"/>
  <c r="N815" i="3"/>
  <c r="I815" i="3"/>
  <c r="J815" i="3"/>
  <c r="AO815" i="3"/>
  <c r="AP815" i="3"/>
  <c r="L815" i="1"/>
  <c r="P815" i="1" s="1"/>
  <c r="AA815" i="1"/>
  <c r="AR815" i="2"/>
  <c r="AQ815" i="2"/>
  <c r="AN815" i="2"/>
  <c r="AL815" i="2"/>
  <c r="AK815" i="2"/>
  <c r="AJ815" i="2"/>
  <c r="AI815" i="2"/>
  <c r="AH815" i="2"/>
  <c r="AF815" i="2"/>
  <c r="AE815" i="2"/>
  <c r="AG815" i="2"/>
  <c r="AD815" i="2"/>
  <c r="AB815" i="2"/>
  <c r="AC815" i="2"/>
  <c r="X815" i="2"/>
  <c r="Z815" i="2"/>
  <c r="AA815" i="2"/>
  <c r="Y815" i="2"/>
  <c r="V815" i="2"/>
  <c r="W815" i="2"/>
  <c r="U815" i="2"/>
  <c r="T815" i="2"/>
  <c r="S815" i="2"/>
  <c r="R815" i="2"/>
  <c r="Q815" i="2"/>
  <c r="P815" i="2"/>
  <c r="N815" i="2"/>
  <c r="O815" i="2"/>
  <c r="M815" i="2"/>
  <c r="L815" i="2"/>
  <c r="K815" i="2"/>
  <c r="AO815" i="2"/>
  <c r="I815" i="2"/>
  <c r="J815" i="2"/>
  <c r="AP815" i="2"/>
  <c r="AN816" i="3" l="1"/>
  <c r="AR816" i="3"/>
  <c r="AQ816" i="3"/>
  <c r="AL816" i="3"/>
  <c r="AK816" i="3"/>
  <c r="AI816" i="3"/>
  <c r="AJ816" i="3"/>
  <c r="AG816" i="3"/>
  <c r="AH816" i="3"/>
  <c r="AF816" i="3"/>
  <c r="AE816" i="3"/>
  <c r="AC816" i="3"/>
  <c r="AD816" i="3"/>
  <c r="Z816" i="3"/>
  <c r="AB816" i="3"/>
  <c r="X816" i="3"/>
  <c r="AA816" i="3"/>
  <c r="Y816" i="3"/>
  <c r="W816" i="3"/>
  <c r="V816" i="3"/>
  <c r="R816" i="3"/>
  <c r="U816" i="3"/>
  <c r="T816" i="3"/>
  <c r="S816" i="3"/>
  <c r="Q816" i="3"/>
  <c r="M816" i="3"/>
  <c r="P816" i="3"/>
  <c r="O816" i="3"/>
  <c r="L816" i="3"/>
  <c r="K816" i="3"/>
  <c r="N816" i="3"/>
  <c r="I816" i="3"/>
  <c r="J816" i="3"/>
  <c r="AO816" i="3"/>
  <c r="AP816" i="3"/>
  <c r="L816" i="1"/>
  <c r="P816" i="1" s="1"/>
  <c r="AA816" i="1"/>
  <c r="AR816" i="2"/>
  <c r="AQ816" i="2"/>
  <c r="AN816" i="2"/>
  <c r="AL816" i="2"/>
  <c r="AJ816" i="2"/>
  <c r="AK816" i="2"/>
  <c r="AF816" i="2"/>
  <c r="AH816" i="2"/>
  <c r="AI816" i="2"/>
  <c r="AE816" i="2"/>
  <c r="AG816" i="2"/>
  <c r="AD816" i="2"/>
  <c r="AB816" i="2"/>
  <c r="AC816" i="2"/>
  <c r="AA816" i="2"/>
  <c r="Z816" i="2"/>
  <c r="Y816" i="2"/>
  <c r="V816" i="2"/>
  <c r="X816" i="2"/>
  <c r="U816" i="2"/>
  <c r="S816" i="2"/>
  <c r="W816" i="2"/>
  <c r="R816" i="2"/>
  <c r="T816" i="2"/>
  <c r="N816" i="2"/>
  <c r="Q816" i="2"/>
  <c r="P816" i="2"/>
  <c r="L816" i="2"/>
  <c r="O816" i="2"/>
  <c r="M816" i="2"/>
  <c r="K816" i="2"/>
  <c r="AO816" i="2"/>
  <c r="I816" i="2"/>
  <c r="J816" i="2"/>
  <c r="AP816" i="2"/>
  <c r="J817" i="1"/>
  <c r="I818" i="1"/>
  <c r="V817" i="1"/>
  <c r="G817" i="3"/>
  <c r="Y817" i="1"/>
  <c r="Z817" i="1" s="1"/>
  <c r="G817" i="2"/>
  <c r="O817" i="1"/>
  <c r="R817" i="1"/>
  <c r="S817" i="1"/>
  <c r="W817" i="1" s="1"/>
  <c r="J818" i="1" l="1"/>
  <c r="I819" i="1"/>
  <c r="V818" i="1"/>
  <c r="G818" i="3"/>
  <c r="Y818" i="1"/>
  <c r="Z818" i="1" s="1"/>
  <c r="G818" i="2"/>
  <c r="S818" i="1"/>
  <c r="W818" i="1" s="1"/>
  <c r="R818" i="1"/>
  <c r="O818" i="1"/>
  <c r="AR817" i="2"/>
  <c r="AQ817" i="2"/>
  <c r="AN817" i="2"/>
  <c r="AL817" i="2"/>
  <c r="AJ817" i="2"/>
  <c r="AK817" i="2"/>
  <c r="AH817" i="2"/>
  <c r="AI817" i="2"/>
  <c r="AE817" i="2"/>
  <c r="AG817" i="2"/>
  <c r="AB817" i="2"/>
  <c r="AF817" i="2"/>
  <c r="AD817" i="2"/>
  <c r="AA817" i="2"/>
  <c r="AC817" i="2"/>
  <c r="Y817" i="2"/>
  <c r="Z817" i="2"/>
  <c r="V817" i="2"/>
  <c r="X817" i="2"/>
  <c r="W817" i="2"/>
  <c r="U817" i="2"/>
  <c r="S817" i="2"/>
  <c r="R817" i="2"/>
  <c r="T817" i="2"/>
  <c r="P817" i="2"/>
  <c r="Q817" i="2"/>
  <c r="L817" i="2"/>
  <c r="O817" i="2"/>
  <c r="N817" i="2"/>
  <c r="M817" i="2"/>
  <c r="J817" i="2"/>
  <c r="K817" i="2"/>
  <c r="I817" i="2"/>
  <c r="AP817" i="2"/>
  <c r="AO817" i="2"/>
  <c r="AR817" i="3"/>
  <c r="AN817" i="3"/>
  <c r="AQ817" i="3"/>
  <c r="AL817" i="3"/>
  <c r="AK817" i="3"/>
  <c r="AJ817" i="3"/>
  <c r="AG817" i="3"/>
  <c r="AI817" i="3"/>
  <c r="AH817" i="3"/>
  <c r="AF817" i="3"/>
  <c r="AE817" i="3"/>
  <c r="AD817" i="3"/>
  <c r="AC817" i="3"/>
  <c r="AB817" i="3"/>
  <c r="Z817" i="3"/>
  <c r="X817" i="3"/>
  <c r="AA817" i="3"/>
  <c r="V817" i="3"/>
  <c r="Y817" i="3"/>
  <c r="U817" i="3"/>
  <c r="W817" i="3"/>
  <c r="S817" i="3"/>
  <c r="T817" i="3"/>
  <c r="R817" i="3"/>
  <c r="P817" i="3"/>
  <c r="Q817" i="3"/>
  <c r="N817" i="3"/>
  <c r="O817" i="3"/>
  <c r="L817" i="3"/>
  <c r="K817" i="3"/>
  <c r="M817" i="3"/>
  <c r="AP817" i="3"/>
  <c r="I817" i="3"/>
  <c r="J817" i="3"/>
  <c r="AO817" i="3"/>
  <c r="L817" i="1"/>
  <c r="P817" i="1" s="1"/>
  <c r="AA817" i="1"/>
  <c r="AR818" i="2" l="1"/>
  <c r="AQ818" i="2"/>
  <c r="AL818" i="2"/>
  <c r="AM818" i="2"/>
  <c r="AJ818" i="2"/>
  <c r="AK818" i="2"/>
  <c r="AH818" i="2"/>
  <c r="AI818" i="2"/>
  <c r="AG818" i="2"/>
  <c r="AF818" i="2"/>
  <c r="AE818" i="2"/>
  <c r="AD818" i="2"/>
  <c r="AA818" i="2"/>
  <c r="AB818" i="2"/>
  <c r="AC818" i="2"/>
  <c r="Y818" i="2"/>
  <c r="Z818" i="2"/>
  <c r="X818" i="2"/>
  <c r="W818" i="2"/>
  <c r="V818" i="2"/>
  <c r="U818" i="2"/>
  <c r="S818" i="2"/>
  <c r="P818" i="2"/>
  <c r="R818" i="2"/>
  <c r="T818" i="2"/>
  <c r="N818" i="2"/>
  <c r="Q818" i="2"/>
  <c r="J818" i="2"/>
  <c r="L818" i="2"/>
  <c r="O818" i="2"/>
  <c r="M818" i="2"/>
  <c r="K818" i="2"/>
  <c r="I818" i="2"/>
  <c r="AP818" i="2"/>
  <c r="AO818" i="2"/>
  <c r="AQ818" i="3"/>
  <c r="AR818" i="3"/>
  <c r="AM818" i="3"/>
  <c r="AL818" i="3"/>
  <c r="AJ818" i="3"/>
  <c r="AK818" i="3"/>
  <c r="AH818" i="3"/>
  <c r="AF818" i="3"/>
  <c r="AG818" i="3"/>
  <c r="AI818" i="3"/>
  <c r="AE818" i="3"/>
  <c r="AD818" i="3"/>
  <c r="AC818" i="3"/>
  <c r="AB818" i="3"/>
  <c r="AA818" i="3"/>
  <c r="Z818" i="3"/>
  <c r="Y818" i="3"/>
  <c r="V818" i="3"/>
  <c r="X818" i="3"/>
  <c r="W818" i="3"/>
  <c r="S818" i="3"/>
  <c r="U818" i="3"/>
  <c r="T818" i="3"/>
  <c r="R818" i="3"/>
  <c r="Q818" i="3"/>
  <c r="N818" i="3"/>
  <c r="P818" i="3"/>
  <c r="O818" i="3"/>
  <c r="I818" i="3"/>
  <c r="L818" i="3"/>
  <c r="M818" i="3"/>
  <c r="AP818" i="3"/>
  <c r="K818" i="3"/>
  <c r="J818" i="3"/>
  <c r="AO818" i="3"/>
  <c r="L818" i="1"/>
  <c r="P818" i="1" s="1"/>
  <c r="AA818" i="1"/>
  <c r="J819" i="1"/>
  <c r="I820" i="1"/>
  <c r="V819" i="1"/>
  <c r="Y819" i="1"/>
  <c r="Z819" i="1" s="1"/>
  <c r="G819" i="3"/>
  <c r="G819" i="2"/>
  <c r="R819" i="1"/>
  <c r="O819" i="1"/>
  <c r="S819" i="1"/>
  <c r="W819" i="1" s="1"/>
  <c r="I821" i="1" l="1"/>
  <c r="J820" i="1"/>
  <c r="V820" i="1"/>
  <c r="Y820" i="1"/>
  <c r="Z820" i="1" s="1"/>
  <c r="G820" i="3"/>
  <c r="G820" i="2"/>
  <c r="S820" i="1"/>
  <c r="W820" i="1" s="1"/>
  <c r="O820" i="1"/>
  <c r="R820" i="1"/>
  <c r="L819" i="1"/>
  <c r="P819" i="1" s="1"/>
  <c r="AA819" i="1"/>
  <c r="AR819" i="2"/>
  <c r="AQ819" i="2"/>
  <c r="AK819" i="2"/>
  <c r="AL819" i="2"/>
  <c r="AM819" i="2"/>
  <c r="AH819" i="2"/>
  <c r="AJ819" i="2"/>
  <c r="AI819" i="2"/>
  <c r="AG819" i="2"/>
  <c r="AF819" i="2"/>
  <c r="AE819" i="2"/>
  <c r="AB819" i="2"/>
  <c r="AD819" i="2"/>
  <c r="AA819" i="2"/>
  <c r="AC819" i="2"/>
  <c r="Z819" i="2"/>
  <c r="Y819" i="2"/>
  <c r="W819" i="2"/>
  <c r="X819" i="2"/>
  <c r="V819" i="2"/>
  <c r="U819" i="2"/>
  <c r="T819" i="2"/>
  <c r="R819" i="2"/>
  <c r="S819" i="2"/>
  <c r="Q819" i="2"/>
  <c r="P819" i="2"/>
  <c r="O819" i="2"/>
  <c r="L819" i="2"/>
  <c r="N819" i="2"/>
  <c r="M819" i="2"/>
  <c r="K819" i="2"/>
  <c r="J819" i="2"/>
  <c r="I819" i="2"/>
  <c r="AO819" i="2"/>
  <c r="AP819" i="2"/>
  <c r="AQ819" i="3"/>
  <c r="AR819" i="3"/>
  <c r="AM819" i="3"/>
  <c r="AL819" i="3"/>
  <c r="AJ819" i="3"/>
  <c r="AK819" i="3"/>
  <c r="AH819" i="3"/>
  <c r="AF819" i="3"/>
  <c r="AG819" i="3"/>
  <c r="AI819" i="3"/>
  <c r="AE819" i="3"/>
  <c r="AB819" i="3"/>
  <c r="AD819" i="3"/>
  <c r="AC819" i="3"/>
  <c r="AA819" i="3"/>
  <c r="Y819" i="3"/>
  <c r="Z819" i="3"/>
  <c r="V819" i="3"/>
  <c r="X819" i="3"/>
  <c r="W819" i="3"/>
  <c r="S819" i="3"/>
  <c r="U819" i="3"/>
  <c r="R819" i="3"/>
  <c r="T819" i="3"/>
  <c r="P819" i="3"/>
  <c r="Q819" i="3"/>
  <c r="N819" i="3"/>
  <c r="O819" i="3"/>
  <c r="L819" i="3"/>
  <c r="M819" i="3"/>
  <c r="J819" i="3"/>
  <c r="AO819" i="3"/>
  <c r="I819" i="3"/>
  <c r="AP819" i="3"/>
  <c r="K819" i="3"/>
  <c r="AR820" i="2" l="1"/>
  <c r="AQ820" i="2"/>
  <c r="AL820" i="2"/>
  <c r="AM820" i="2"/>
  <c r="AK820" i="2"/>
  <c r="AH820" i="2"/>
  <c r="AJ820" i="2"/>
  <c r="AG820" i="2"/>
  <c r="AI820" i="2"/>
  <c r="AF820" i="2"/>
  <c r="AE820" i="2"/>
  <c r="AD820" i="2"/>
  <c r="AC820" i="2"/>
  <c r="AB820" i="2"/>
  <c r="AA820" i="2"/>
  <c r="Z820" i="2"/>
  <c r="Y820" i="2"/>
  <c r="W820" i="2"/>
  <c r="X820" i="2"/>
  <c r="U820" i="2"/>
  <c r="T820" i="2"/>
  <c r="V820" i="2"/>
  <c r="P820" i="2"/>
  <c r="S820" i="2"/>
  <c r="O820" i="2"/>
  <c r="Q820" i="2"/>
  <c r="R820" i="2"/>
  <c r="J820" i="2"/>
  <c r="N820" i="2"/>
  <c r="M820" i="2"/>
  <c r="K820" i="2"/>
  <c r="L820" i="2"/>
  <c r="I820" i="2"/>
  <c r="AO820" i="2"/>
  <c r="AP820" i="2"/>
  <c r="AQ820" i="3"/>
  <c r="AR820" i="3"/>
  <c r="AM820" i="3"/>
  <c r="AL820" i="3"/>
  <c r="AJ820" i="3"/>
  <c r="AK820" i="3"/>
  <c r="AH820" i="3"/>
  <c r="AF820" i="3"/>
  <c r="AI820" i="3"/>
  <c r="AG820" i="3"/>
  <c r="AB820" i="3"/>
  <c r="AD820" i="3"/>
  <c r="AE820" i="3"/>
  <c r="AA820" i="3"/>
  <c r="AC820" i="3"/>
  <c r="Y820" i="3"/>
  <c r="Z820" i="3"/>
  <c r="X820" i="3"/>
  <c r="W820" i="3"/>
  <c r="S820" i="3"/>
  <c r="U820" i="3"/>
  <c r="V820" i="3"/>
  <c r="P820" i="3"/>
  <c r="R820" i="3"/>
  <c r="T820" i="3"/>
  <c r="L820" i="3"/>
  <c r="Q820" i="3"/>
  <c r="N820" i="3"/>
  <c r="O820" i="3"/>
  <c r="J820" i="3"/>
  <c r="K820" i="3"/>
  <c r="M820" i="3"/>
  <c r="AO820" i="3"/>
  <c r="I820" i="3"/>
  <c r="AP820" i="3"/>
  <c r="L820" i="1"/>
  <c r="P820" i="1" s="1"/>
  <c r="AA820" i="1"/>
  <c r="I822" i="1"/>
  <c r="J821" i="1"/>
  <c r="V821" i="1"/>
  <c r="G821" i="3"/>
  <c r="Y821" i="1"/>
  <c r="Z821" i="1" s="1"/>
  <c r="G821" i="2"/>
  <c r="R821" i="1"/>
  <c r="O821" i="1"/>
  <c r="S821" i="1"/>
  <c r="W821" i="1" s="1"/>
  <c r="J822" i="1" l="1"/>
  <c r="I823" i="1"/>
  <c r="V822" i="1"/>
  <c r="G822" i="3"/>
  <c r="G822" i="2"/>
  <c r="Y822" i="1"/>
  <c r="Z822" i="1" s="1"/>
  <c r="O822" i="1"/>
  <c r="R822" i="1"/>
  <c r="S822" i="1"/>
  <c r="AR821" i="2"/>
  <c r="AQ821" i="2"/>
  <c r="AM821" i="2"/>
  <c r="AL821" i="2"/>
  <c r="AJ821" i="2"/>
  <c r="AK821" i="2"/>
  <c r="AH821" i="2"/>
  <c r="AG821" i="2"/>
  <c r="AI821" i="2"/>
  <c r="AF821" i="2"/>
  <c r="AC821" i="2"/>
  <c r="AE821" i="2"/>
  <c r="AD821" i="2"/>
  <c r="AB821" i="2"/>
  <c r="AA821" i="2"/>
  <c r="Z821" i="2"/>
  <c r="U821" i="2"/>
  <c r="Y821" i="2"/>
  <c r="W821" i="2"/>
  <c r="X821" i="2"/>
  <c r="T821" i="2"/>
  <c r="V821" i="2"/>
  <c r="S821" i="2"/>
  <c r="R821" i="2"/>
  <c r="Q821" i="2"/>
  <c r="O821" i="2"/>
  <c r="P821" i="2"/>
  <c r="M821" i="2"/>
  <c r="L821" i="2"/>
  <c r="N821" i="2"/>
  <c r="K821" i="2"/>
  <c r="I821" i="2"/>
  <c r="J821" i="2"/>
  <c r="AP821" i="2"/>
  <c r="AO821" i="2"/>
  <c r="AQ821" i="3"/>
  <c r="AR821" i="3"/>
  <c r="AM821" i="3"/>
  <c r="AL821" i="3"/>
  <c r="AK821" i="3"/>
  <c r="AH821" i="3"/>
  <c r="AJ821" i="3"/>
  <c r="AI821" i="3"/>
  <c r="AF821" i="3"/>
  <c r="AG821" i="3"/>
  <c r="AB821" i="3"/>
  <c r="AD821" i="3"/>
  <c r="AE821" i="3"/>
  <c r="AC821" i="3"/>
  <c r="AA821" i="3"/>
  <c r="Y821" i="3"/>
  <c r="Z821" i="3"/>
  <c r="W821" i="3"/>
  <c r="X821" i="3"/>
  <c r="U821" i="3"/>
  <c r="V821" i="3"/>
  <c r="T821" i="3"/>
  <c r="S821" i="3"/>
  <c r="R821" i="3"/>
  <c r="Q821" i="3"/>
  <c r="P821" i="3"/>
  <c r="O821" i="3"/>
  <c r="J821" i="3"/>
  <c r="L821" i="3"/>
  <c r="N821" i="3"/>
  <c r="M821" i="3"/>
  <c r="AO821" i="3"/>
  <c r="I821" i="3"/>
  <c r="K821" i="3"/>
  <c r="AP821" i="3"/>
  <c r="L821" i="1"/>
  <c r="P821" i="1" s="1"/>
  <c r="AA821" i="1"/>
  <c r="AR822" i="3" l="1"/>
  <c r="AQ822" i="3"/>
  <c r="AL822" i="3"/>
  <c r="AM822" i="3"/>
  <c r="AK822" i="3"/>
  <c r="AI822" i="3"/>
  <c r="AH822" i="3"/>
  <c r="AJ822" i="3"/>
  <c r="AG822" i="3"/>
  <c r="AF822" i="3"/>
  <c r="AD822" i="3"/>
  <c r="AE822" i="3"/>
  <c r="AC822" i="3"/>
  <c r="AA822" i="3"/>
  <c r="AB822" i="3"/>
  <c r="Y822" i="3"/>
  <c r="Z822" i="3"/>
  <c r="W822" i="3"/>
  <c r="X822" i="3"/>
  <c r="U822" i="3"/>
  <c r="V822" i="3"/>
  <c r="T822" i="3"/>
  <c r="P822" i="3"/>
  <c r="S822" i="3"/>
  <c r="R822" i="3"/>
  <c r="O822" i="3"/>
  <c r="Q822" i="3"/>
  <c r="J822" i="3"/>
  <c r="L822" i="3"/>
  <c r="N822" i="3"/>
  <c r="M822" i="3"/>
  <c r="AO822" i="3"/>
  <c r="I822" i="3"/>
  <c r="AP822" i="3"/>
  <c r="K822" i="3"/>
  <c r="L822" i="1"/>
  <c r="P822" i="1" s="1"/>
  <c r="AA822" i="1"/>
  <c r="AR822" i="2"/>
  <c r="AQ822" i="2"/>
  <c r="AM822" i="2"/>
  <c r="AL822" i="2"/>
  <c r="AJ822" i="2"/>
  <c r="AK822" i="2"/>
  <c r="AI822" i="2"/>
  <c r="AG822" i="2"/>
  <c r="AH822" i="2"/>
  <c r="AC822" i="2"/>
  <c r="AF822" i="2"/>
  <c r="AE822" i="2"/>
  <c r="AB822" i="2"/>
  <c r="AD822" i="2"/>
  <c r="Z822" i="2"/>
  <c r="AA822" i="2"/>
  <c r="X822" i="2"/>
  <c r="U822" i="2"/>
  <c r="Y822" i="2"/>
  <c r="W822" i="2"/>
  <c r="T822" i="2"/>
  <c r="V822" i="2"/>
  <c r="Q822" i="2"/>
  <c r="S822" i="2"/>
  <c r="R822" i="2"/>
  <c r="M822" i="2"/>
  <c r="O822" i="2"/>
  <c r="P822" i="2"/>
  <c r="K822" i="2"/>
  <c r="L822" i="2"/>
  <c r="N822" i="2"/>
  <c r="AP822" i="2"/>
  <c r="I822" i="2"/>
  <c r="J822" i="2"/>
  <c r="AO822" i="2"/>
  <c r="J823" i="1"/>
  <c r="I824" i="1"/>
  <c r="V823" i="1"/>
  <c r="G823" i="3"/>
  <c r="G823" i="2"/>
  <c r="Y823" i="1"/>
  <c r="Z823" i="1" s="1"/>
  <c r="R823" i="1"/>
  <c r="O823" i="1"/>
  <c r="S823" i="1"/>
  <c r="W822" i="1"/>
  <c r="J824" i="1" l="1"/>
  <c r="I825" i="1"/>
  <c r="V824" i="1"/>
  <c r="Y824" i="1"/>
  <c r="Z824" i="1" s="1"/>
  <c r="G824" i="3"/>
  <c r="G824" i="2"/>
  <c r="S824" i="1"/>
  <c r="W824" i="1" s="1"/>
  <c r="O824" i="1"/>
  <c r="R824" i="1"/>
  <c r="AR823" i="3"/>
  <c r="AQ823" i="3"/>
  <c r="AM823" i="3"/>
  <c r="AL823" i="3"/>
  <c r="AK823" i="3"/>
  <c r="AI823" i="3"/>
  <c r="AH823" i="3"/>
  <c r="AJ823" i="3"/>
  <c r="AD823" i="3"/>
  <c r="AG823" i="3"/>
  <c r="AF823" i="3"/>
  <c r="AE823" i="3"/>
  <c r="AC823" i="3"/>
  <c r="AB823" i="3"/>
  <c r="AA823" i="3"/>
  <c r="Z823" i="3"/>
  <c r="U823" i="3"/>
  <c r="Y823" i="3"/>
  <c r="W823" i="3"/>
  <c r="X823" i="3"/>
  <c r="V823" i="3"/>
  <c r="T823" i="3"/>
  <c r="S823" i="3"/>
  <c r="R823" i="3"/>
  <c r="Q823" i="3"/>
  <c r="O823" i="3"/>
  <c r="P823" i="3"/>
  <c r="M823" i="3"/>
  <c r="L823" i="3"/>
  <c r="N823" i="3"/>
  <c r="K823" i="3"/>
  <c r="AO823" i="3"/>
  <c r="I823" i="3"/>
  <c r="AP823" i="3"/>
  <c r="J823" i="3"/>
  <c r="L823" i="1"/>
  <c r="P823" i="1" s="1"/>
  <c r="AA823" i="1"/>
  <c r="W823" i="1"/>
  <c r="AR823" i="2"/>
  <c r="AQ823" i="2"/>
  <c r="AM823" i="2"/>
  <c r="AL823" i="2"/>
  <c r="AI823" i="2"/>
  <c r="AJ823" i="2"/>
  <c r="AK823" i="2"/>
  <c r="AH823" i="2"/>
  <c r="AG823" i="2"/>
  <c r="AC823" i="2"/>
  <c r="AF823" i="2"/>
  <c r="AE823" i="2"/>
  <c r="AD823" i="2"/>
  <c r="AB823" i="2"/>
  <c r="X823" i="2"/>
  <c r="AA823" i="2"/>
  <c r="Z823" i="2"/>
  <c r="Y823" i="2"/>
  <c r="U823" i="2"/>
  <c r="W823" i="2"/>
  <c r="V823" i="2"/>
  <c r="T823" i="2"/>
  <c r="Q823" i="2"/>
  <c r="S823" i="2"/>
  <c r="P823" i="2"/>
  <c r="R823" i="2"/>
  <c r="K823" i="2"/>
  <c r="O823" i="2"/>
  <c r="L823" i="2"/>
  <c r="N823" i="2"/>
  <c r="M823" i="2"/>
  <c r="I823" i="2"/>
  <c r="J823" i="2"/>
  <c r="AP823" i="2"/>
  <c r="AO823" i="2"/>
  <c r="AR824" i="3" l="1"/>
  <c r="AM824" i="3"/>
  <c r="AQ824" i="3"/>
  <c r="AL824" i="3"/>
  <c r="AI824" i="3"/>
  <c r="AK824" i="3"/>
  <c r="AJ824" i="3"/>
  <c r="AH824" i="3"/>
  <c r="AG824" i="3"/>
  <c r="AF824" i="3"/>
  <c r="AE824" i="3"/>
  <c r="AC824" i="3"/>
  <c r="AD824" i="3"/>
  <c r="AB824" i="3"/>
  <c r="Z824" i="3"/>
  <c r="Y824" i="3"/>
  <c r="AA824" i="3"/>
  <c r="X824" i="3"/>
  <c r="U824" i="3"/>
  <c r="W824" i="3"/>
  <c r="R824" i="3"/>
  <c r="V824" i="3"/>
  <c r="T824" i="3"/>
  <c r="Q824" i="3"/>
  <c r="S824" i="3"/>
  <c r="M824" i="3"/>
  <c r="O824" i="3"/>
  <c r="P824" i="3"/>
  <c r="N824" i="3"/>
  <c r="K824" i="3"/>
  <c r="L824" i="3"/>
  <c r="J824" i="3"/>
  <c r="AO824" i="3"/>
  <c r="I824" i="3"/>
  <c r="AP824" i="3"/>
  <c r="AR824" i="2"/>
  <c r="AQ824" i="2"/>
  <c r="AM824" i="2"/>
  <c r="AL824" i="2"/>
  <c r="AK824" i="2"/>
  <c r="AI824" i="2"/>
  <c r="AJ824" i="2"/>
  <c r="AH824" i="2"/>
  <c r="AG824" i="2"/>
  <c r="AE824" i="2"/>
  <c r="AF824" i="2"/>
  <c r="AD824" i="2"/>
  <c r="Z824" i="2"/>
  <c r="AC824" i="2"/>
  <c r="AB824" i="2"/>
  <c r="AA824" i="2"/>
  <c r="Y824" i="2"/>
  <c r="W824" i="2"/>
  <c r="X824" i="2"/>
  <c r="V824" i="2"/>
  <c r="U824" i="2"/>
  <c r="T824" i="2"/>
  <c r="Q824" i="2"/>
  <c r="S824" i="2"/>
  <c r="R824" i="2"/>
  <c r="M824" i="2"/>
  <c r="P824" i="2"/>
  <c r="K824" i="2"/>
  <c r="O824" i="2"/>
  <c r="L824" i="2"/>
  <c r="N824" i="2"/>
  <c r="AO824" i="2"/>
  <c r="J824" i="2"/>
  <c r="I824" i="2"/>
  <c r="AP824" i="2"/>
  <c r="L824" i="1"/>
  <c r="P824" i="1" s="1"/>
  <c r="AA824" i="1"/>
  <c r="J825" i="1"/>
  <c r="I826" i="1"/>
  <c r="V825" i="1"/>
  <c r="Y825" i="1"/>
  <c r="Z825" i="1" s="1"/>
  <c r="G825" i="3"/>
  <c r="G825" i="2"/>
  <c r="R825" i="1"/>
  <c r="O825" i="1"/>
  <c r="S825" i="1"/>
  <c r="W825" i="1" s="1"/>
  <c r="L825" i="1" l="1"/>
  <c r="P825" i="1" s="1"/>
  <c r="AA825" i="1"/>
  <c r="I827" i="1"/>
  <c r="J826" i="1"/>
  <c r="V826" i="1"/>
  <c r="G826" i="3"/>
  <c r="Y826" i="1"/>
  <c r="Z826" i="1" s="1"/>
  <c r="G826" i="2"/>
  <c r="S826" i="1"/>
  <c r="O826" i="1"/>
  <c r="R826" i="1"/>
  <c r="AR825" i="2"/>
  <c r="AQ825" i="2"/>
  <c r="AM825" i="2"/>
  <c r="AK825" i="2"/>
  <c r="AL825" i="2"/>
  <c r="AJ825" i="2"/>
  <c r="AI825" i="2"/>
  <c r="AE825" i="2"/>
  <c r="AH825" i="2"/>
  <c r="AG825" i="2"/>
  <c r="AF825" i="2"/>
  <c r="AD825" i="2"/>
  <c r="AC825" i="2"/>
  <c r="X825" i="2"/>
  <c r="AB825" i="2"/>
  <c r="AA825" i="2"/>
  <c r="V825" i="2"/>
  <c r="Z825" i="2"/>
  <c r="Y825" i="2"/>
  <c r="U825" i="2"/>
  <c r="W825" i="2"/>
  <c r="T825" i="2"/>
  <c r="S825" i="2"/>
  <c r="R825" i="2"/>
  <c r="P825" i="2"/>
  <c r="Q825" i="2"/>
  <c r="N825" i="2"/>
  <c r="M825" i="2"/>
  <c r="O825" i="2"/>
  <c r="L825" i="2"/>
  <c r="AO825" i="2"/>
  <c r="J825" i="2"/>
  <c r="I825" i="2"/>
  <c r="K825" i="2"/>
  <c r="AP825" i="2"/>
  <c r="AR825" i="3"/>
  <c r="AQ825" i="3"/>
  <c r="AM825" i="3"/>
  <c r="AL825" i="3"/>
  <c r="AK825" i="3"/>
  <c r="AI825" i="3"/>
  <c r="AJ825" i="3"/>
  <c r="AH825" i="3"/>
  <c r="AD825" i="3"/>
  <c r="AG825" i="3"/>
  <c r="AF825" i="3"/>
  <c r="AE825" i="3"/>
  <c r="AC825" i="3"/>
  <c r="AB825" i="3"/>
  <c r="X825" i="3"/>
  <c r="Y825" i="3"/>
  <c r="Z825" i="3"/>
  <c r="AA825" i="3"/>
  <c r="W825" i="3"/>
  <c r="R825" i="3"/>
  <c r="V825" i="3"/>
  <c r="T825" i="3"/>
  <c r="U825" i="3"/>
  <c r="Q825" i="3"/>
  <c r="S825" i="3"/>
  <c r="O825" i="3"/>
  <c r="P825" i="3"/>
  <c r="M825" i="3"/>
  <c r="L825" i="3"/>
  <c r="N825" i="3"/>
  <c r="K825" i="3"/>
  <c r="I825" i="3"/>
  <c r="J825" i="3"/>
  <c r="AO825" i="3"/>
  <c r="AP825" i="3"/>
  <c r="AR826" i="2" l="1"/>
  <c r="AQ826" i="2"/>
  <c r="AM826" i="2"/>
  <c r="AJ826" i="2"/>
  <c r="AK826" i="2"/>
  <c r="AL826" i="2"/>
  <c r="AI826" i="2"/>
  <c r="AF826" i="2"/>
  <c r="AH826" i="2"/>
  <c r="AE826" i="2"/>
  <c r="AG826" i="2"/>
  <c r="AD826" i="2"/>
  <c r="AB826" i="2"/>
  <c r="AC826" i="2"/>
  <c r="AA826" i="2"/>
  <c r="Z826" i="2"/>
  <c r="Y826" i="2"/>
  <c r="V826" i="2"/>
  <c r="X826" i="2"/>
  <c r="S826" i="2"/>
  <c r="U826" i="2"/>
  <c r="W826" i="2"/>
  <c r="R826" i="2"/>
  <c r="T826" i="2"/>
  <c r="N826" i="2"/>
  <c r="P826" i="2"/>
  <c r="Q826" i="2"/>
  <c r="L826" i="2"/>
  <c r="M826" i="2"/>
  <c r="O826" i="2"/>
  <c r="AO826" i="2"/>
  <c r="J826" i="2"/>
  <c r="I826" i="2"/>
  <c r="K826" i="2"/>
  <c r="AP826" i="2"/>
  <c r="W826" i="1"/>
  <c r="AQ826" i="3"/>
  <c r="AR826" i="3"/>
  <c r="AM826" i="3"/>
  <c r="AL826" i="3"/>
  <c r="AI826" i="3"/>
  <c r="AK826" i="3"/>
  <c r="AJ826" i="3"/>
  <c r="AH826" i="3"/>
  <c r="AG826" i="3"/>
  <c r="AF826" i="3"/>
  <c r="AE826" i="3"/>
  <c r="AD826" i="3"/>
  <c r="AC826" i="3"/>
  <c r="Z826" i="3"/>
  <c r="AB826" i="3"/>
  <c r="AA826" i="3"/>
  <c r="X826" i="3"/>
  <c r="Y826" i="3"/>
  <c r="W826" i="3"/>
  <c r="V826" i="3"/>
  <c r="R826" i="3"/>
  <c r="U826" i="3"/>
  <c r="Q826" i="3"/>
  <c r="T826" i="3"/>
  <c r="S826" i="3"/>
  <c r="P826" i="3"/>
  <c r="M826" i="3"/>
  <c r="L826" i="3"/>
  <c r="O826" i="3"/>
  <c r="N826" i="3"/>
  <c r="K826" i="3"/>
  <c r="J826" i="3"/>
  <c r="AO826" i="3"/>
  <c r="I826" i="3"/>
  <c r="AP826" i="3"/>
  <c r="L826" i="1"/>
  <c r="P826" i="1" s="1"/>
  <c r="AA826" i="1"/>
  <c r="J827" i="1"/>
  <c r="I828" i="1"/>
  <c r="V827" i="1"/>
  <c r="G827" i="3"/>
  <c r="Y827" i="1"/>
  <c r="Z827" i="1" s="1"/>
  <c r="G827" i="2"/>
  <c r="R827" i="1"/>
  <c r="O827" i="1"/>
  <c r="S827" i="1"/>
  <c r="W827" i="1" s="1"/>
  <c r="J828" i="1" l="1"/>
  <c r="I829" i="1"/>
  <c r="V828" i="1"/>
  <c r="G828" i="3"/>
  <c r="Y828" i="1"/>
  <c r="Z828" i="1" s="1"/>
  <c r="G828" i="2"/>
  <c r="S828" i="1"/>
  <c r="W828" i="1" s="1"/>
  <c r="O828" i="1"/>
  <c r="R828" i="1"/>
  <c r="AR827" i="2"/>
  <c r="AQ827" i="2"/>
  <c r="AM827" i="2"/>
  <c r="AL827" i="2"/>
  <c r="AJ827" i="2"/>
  <c r="AK827" i="2"/>
  <c r="AI827" i="2"/>
  <c r="AH827" i="2"/>
  <c r="AE827" i="2"/>
  <c r="AG827" i="2"/>
  <c r="AB827" i="2"/>
  <c r="AD827" i="2"/>
  <c r="AF827" i="2"/>
  <c r="AC827" i="2"/>
  <c r="AA827" i="2"/>
  <c r="Y827" i="2"/>
  <c r="Z827" i="2"/>
  <c r="X827" i="2"/>
  <c r="V827" i="2"/>
  <c r="W827" i="2"/>
  <c r="S827" i="2"/>
  <c r="U827" i="2"/>
  <c r="R827" i="2"/>
  <c r="T827" i="2"/>
  <c r="P827" i="2"/>
  <c r="Q827" i="2"/>
  <c r="N827" i="2"/>
  <c r="L827" i="2"/>
  <c r="M827" i="2"/>
  <c r="O827" i="2"/>
  <c r="J827" i="2"/>
  <c r="I827" i="2"/>
  <c r="K827" i="2"/>
  <c r="AO827" i="2"/>
  <c r="AP827" i="2"/>
  <c r="AR827" i="3"/>
  <c r="AQ827" i="3"/>
  <c r="AM827" i="3"/>
  <c r="AK827" i="3"/>
  <c r="AL827" i="3"/>
  <c r="AJ827" i="3"/>
  <c r="AG827" i="3"/>
  <c r="AI827" i="3"/>
  <c r="AH827" i="3"/>
  <c r="AF827" i="3"/>
  <c r="AE827" i="3"/>
  <c r="AD827" i="3"/>
  <c r="AC827" i="3"/>
  <c r="AB827" i="3"/>
  <c r="AA827" i="3"/>
  <c r="X827" i="3"/>
  <c r="Z827" i="3"/>
  <c r="V827" i="3"/>
  <c r="Y827" i="3"/>
  <c r="W827" i="3"/>
  <c r="U827" i="3"/>
  <c r="S827" i="3"/>
  <c r="R827" i="3"/>
  <c r="T827" i="3"/>
  <c r="P827" i="3"/>
  <c r="Q827" i="3"/>
  <c r="N827" i="3"/>
  <c r="M827" i="3"/>
  <c r="L827" i="3"/>
  <c r="O827" i="3"/>
  <c r="K827" i="3"/>
  <c r="AP827" i="3"/>
  <c r="J827" i="3"/>
  <c r="AO827" i="3"/>
  <c r="I827" i="3"/>
  <c r="L827" i="1"/>
  <c r="P827" i="1" s="1"/>
  <c r="AA827" i="1"/>
  <c r="AR828" i="2" l="1"/>
  <c r="AQ828" i="2"/>
  <c r="AN828" i="2"/>
  <c r="AL828" i="2"/>
  <c r="AM828" i="2"/>
  <c r="AJ828" i="2"/>
  <c r="AK828" i="2"/>
  <c r="AH828" i="2"/>
  <c r="AI828" i="2"/>
  <c r="AG828" i="2"/>
  <c r="AD828" i="2"/>
  <c r="AE828" i="2"/>
  <c r="AF828" i="2"/>
  <c r="AC828" i="2"/>
  <c r="AA828" i="2"/>
  <c r="AB828" i="2"/>
  <c r="Y828" i="2"/>
  <c r="Z828" i="2"/>
  <c r="X828" i="2"/>
  <c r="W828" i="2"/>
  <c r="S828" i="2"/>
  <c r="V828" i="2"/>
  <c r="U828" i="2"/>
  <c r="P828" i="2"/>
  <c r="R828" i="2"/>
  <c r="T828" i="2"/>
  <c r="Q828" i="2"/>
  <c r="N828" i="2"/>
  <c r="O828" i="2"/>
  <c r="J828" i="2"/>
  <c r="L828" i="2"/>
  <c r="M828" i="2"/>
  <c r="K828" i="2"/>
  <c r="I828" i="2"/>
  <c r="AP828" i="2"/>
  <c r="AQ828" i="3"/>
  <c r="AR828" i="3"/>
  <c r="AN828" i="3"/>
  <c r="AM828" i="3"/>
  <c r="AJ828" i="3"/>
  <c r="AK828" i="3"/>
  <c r="AL828" i="3"/>
  <c r="AI828" i="3"/>
  <c r="AG828" i="3"/>
  <c r="AF828" i="3"/>
  <c r="AH828" i="3"/>
  <c r="AE828" i="3"/>
  <c r="AC828" i="3"/>
  <c r="AD828" i="3"/>
  <c r="AB828" i="3"/>
  <c r="AA828" i="3"/>
  <c r="Z828" i="3"/>
  <c r="Y828" i="3"/>
  <c r="X828" i="3"/>
  <c r="V828" i="3"/>
  <c r="W828" i="3"/>
  <c r="S828" i="3"/>
  <c r="U828" i="3"/>
  <c r="R828" i="3"/>
  <c r="T828" i="3"/>
  <c r="N828" i="3"/>
  <c r="P828" i="3"/>
  <c r="Q828" i="3"/>
  <c r="O828" i="3"/>
  <c r="M828" i="3"/>
  <c r="I828" i="3"/>
  <c r="L828" i="3"/>
  <c r="AP828" i="3"/>
  <c r="J828" i="3"/>
  <c r="K828" i="3"/>
  <c r="L828" i="1"/>
  <c r="P828" i="1" s="1"/>
  <c r="AA828" i="1"/>
  <c r="I830" i="1"/>
  <c r="J829" i="1"/>
  <c r="V829" i="1"/>
  <c r="Y829" i="1"/>
  <c r="Z829" i="1" s="1"/>
  <c r="G829" i="3"/>
  <c r="G829" i="2"/>
  <c r="O829" i="1"/>
  <c r="R829" i="1"/>
  <c r="S829" i="1"/>
  <c r="W829" i="1" l="1"/>
  <c r="L829" i="1"/>
  <c r="P829" i="1" s="1"/>
  <c r="AA829" i="1"/>
  <c r="AR829" i="2"/>
  <c r="AQ829" i="2"/>
  <c r="AN829" i="2"/>
  <c r="AK829" i="2"/>
  <c r="AL829" i="2"/>
  <c r="AM829" i="2"/>
  <c r="AH829" i="2"/>
  <c r="AJ829" i="2"/>
  <c r="AI829" i="2"/>
  <c r="AG829" i="2"/>
  <c r="AF829" i="2"/>
  <c r="AB829" i="2"/>
  <c r="AD829" i="2"/>
  <c r="AE829" i="2"/>
  <c r="AC829" i="2"/>
  <c r="AA829" i="2"/>
  <c r="Y829" i="2"/>
  <c r="Z829" i="2"/>
  <c r="W829" i="2"/>
  <c r="X829" i="2"/>
  <c r="U829" i="2"/>
  <c r="V829" i="2"/>
  <c r="T829" i="2"/>
  <c r="R829" i="2"/>
  <c r="S829" i="2"/>
  <c r="Q829" i="2"/>
  <c r="P829" i="2"/>
  <c r="O829" i="2"/>
  <c r="N829" i="2"/>
  <c r="L829" i="2"/>
  <c r="M829" i="2"/>
  <c r="K829" i="2"/>
  <c r="J829" i="2"/>
  <c r="I829" i="2"/>
  <c r="AP829" i="2"/>
  <c r="J830" i="1"/>
  <c r="I831" i="1"/>
  <c r="V830" i="1"/>
  <c r="G830" i="3"/>
  <c r="Y830" i="1"/>
  <c r="Z830" i="1" s="1"/>
  <c r="G830" i="2"/>
  <c r="S830" i="1"/>
  <c r="R830" i="1"/>
  <c r="O830" i="1"/>
  <c r="AQ829" i="3"/>
  <c r="AR829" i="3"/>
  <c r="AN829" i="3"/>
  <c r="AM829" i="3"/>
  <c r="AJ829" i="3"/>
  <c r="AK829" i="3"/>
  <c r="AL829" i="3"/>
  <c r="AI829" i="3"/>
  <c r="AG829" i="3"/>
  <c r="AF829" i="3"/>
  <c r="AH829" i="3"/>
  <c r="AE829" i="3"/>
  <c r="AB829" i="3"/>
  <c r="AC829" i="3"/>
  <c r="AD829" i="3"/>
  <c r="AA829" i="3"/>
  <c r="Z829" i="3"/>
  <c r="Y829" i="3"/>
  <c r="X829" i="3"/>
  <c r="V829" i="3"/>
  <c r="W829" i="3"/>
  <c r="S829" i="3"/>
  <c r="U829" i="3"/>
  <c r="R829" i="3"/>
  <c r="T829" i="3"/>
  <c r="P829" i="3"/>
  <c r="N829" i="3"/>
  <c r="Q829" i="3"/>
  <c r="O829" i="3"/>
  <c r="M829" i="3"/>
  <c r="L829" i="3"/>
  <c r="J829" i="3"/>
  <c r="K829" i="3"/>
  <c r="I829" i="3"/>
  <c r="AP829" i="3"/>
  <c r="AR830" i="2" l="1"/>
  <c r="AQ830" i="2"/>
  <c r="AN830" i="2"/>
  <c r="AL830" i="2"/>
  <c r="AM830" i="2"/>
  <c r="AH830" i="2"/>
  <c r="AJ830" i="2"/>
  <c r="AK830" i="2"/>
  <c r="AG830" i="2"/>
  <c r="AI830" i="2"/>
  <c r="AF830" i="2"/>
  <c r="AD830" i="2"/>
  <c r="AE830" i="2"/>
  <c r="AC830" i="2"/>
  <c r="AB830" i="2"/>
  <c r="AA830" i="2"/>
  <c r="Z830" i="2"/>
  <c r="W830" i="2"/>
  <c r="X830" i="2"/>
  <c r="Y830" i="2"/>
  <c r="U830" i="2"/>
  <c r="V830" i="2"/>
  <c r="T830" i="2"/>
  <c r="P830" i="2"/>
  <c r="S830" i="2"/>
  <c r="O830" i="2"/>
  <c r="R830" i="2"/>
  <c r="Q830" i="2"/>
  <c r="N830" i="2"/>
  <c r="J830" i="2"/>
  <c r="M830" i="2"/>
  <c r="K830" i="2"/>
  <c r="L830" i="2"/>
  <c r="I830" i="2"/>
  <c r="AP830" i="2"/>
  <c r="W830" i="1"/>
  <c r="AQ830" i="3"/>
  <c r="AR830" i="3"/>
  <c r="AN830" i="3"/>
  <c r="AM830" i="3"/>
  <c r="AL830" i="3"/>
  <c r="AJ830" i="3"/>
  <c r="AK830" i="3"/>
  <c r="AH830" i="3"/>
  <c r="AI830" i="3"/>
  <c r="AG830" i="3"/>
  <c r="AF830" i="3"/>
  <c r="AD830" i="3"/>
  <c r="AB830" i="3"/>
  <c r="AE830" i="3"/>
  <c r="AA830" i="3"/>
  <c r="AC830" i="3"/>
  <c r="Z830" i="3"/>
  <c r="Y830" i="3"/>
  <c r="X830" i="3"/>
  <c r="W830" i="3"/>
  <c r="U830" i="3"/>
  <c r="S830" i="3"/>
  <c r="V830" i="3"/>
  <c r="T830" i="3"/>
  <c r="P830" i="3"/>
  <c r="R830" i="3"/>
  <c r="L830" i="3"/>
  <c r="N830" i="3"/>
  <c r="Q830" i="3"/>
  <c r="O830" i="3"/>
  <c r="J830" i="3"/>
  <c r="M830" i="3"/>
  <c r="K830" i="3"/>
  <c r="I830" i="3"/>
  <c r="AP830" i="3"/>
  <c r="L830" i="1"/>
  <c r="P830" i="1" s="1"/>
  <c r="AA830" i="1"/>
  <c r="I832" i="1"/>
  <c r="J831" i="1"/>
  <c r="V831" i="1"/>
  <c r="G831" i="3"/>
  <c r="Y831" i="1"/>
  <c r="Z831" i="1" s="1"/>
  <c r="G831" i="2"/>
  <c r="R831" i="1"/>
  <c r="O831" i="1"/>
  <c r="S831" i="1"/>
  <c r="W831" i="1" s="1"/>
  <c r="L831" i="1" l="1"/>
  <c r="P831" i="1" s="1"/>
  <c r="AA831" i="1"/>
  <c r="J832" i="1"/>
  <c r="I833" i="1"/>
  <c r="V832" i="1"/>
  <c r="G832" i="3"/>
  <c r="G832" i="2"/>
  <c r="Y832" i="1"/>
  <c r="Z832" i="1" s="1"/>
  <c r="S832" i="1"/>
  <c r="O832" i="1"/>
  <c r="R832" i="1"/>
  <c r="AR831" i="2"/>
  <c r="AQ831" i="2"/>
  <c r="AN831" i="2"/>
  <c r="AL831" i="2"/>
  <c r="AM831" i="2"/>
  <c r="AH831" i="2"/>
  <c r="AJ831" i="2"/>
  <c r="AK831" i="2"/>
  <c r="AG831" i="2"/>
  <c r="AI831" i="2"/>
  <c r="AF831" i="2"/>
  <c r="AC831" i="2"/>
  <c r="AD831" i="2"/>
  <c r="AE831" i="2"/>
  <c r="AB831" i="2"/>
  <c r="Z831" i="2"/>
  <c r="AA831" i="2"/>
  <c r="U831" i="2"/>
  <c r="W831" i="2"/>
  <c r="X831" i="2"/>
  <c r="Y831" i="2"/>
  <c r="V831" i="2"/>
  <c r="T831" i="2"/>
  <c r="R831" i="2"/>
  <c r="S831" i="2"/>
  <c r="Q831" i="2"/>
  <c r="O831" i="2"/>
  <c r="P831" i="2"/>
  <c r="M831" i="2"/>
  <c r="N831" i="2"/>
  <c r="L831" i="2"/>
  <c r="K831" i="2"/>
  <c r="J831" i="2"/>
  <c r="I831" i="2"/>
  <c r="AP831" i="2"/>
  <c r="AQ831" i="3"/>
  <c r="AR831" i="3"/>
  <c r="AN831" i="3"/>
  <c r="AL831" i="3"/>
  <c r="AK831" i="3"/>
  <c r="AM831" i="3"/>
  <c r="AH831" i="3"/>
  <c r="AJ831" i="3"/>
  <c r="AI831" i="3"/>
  <c r="AG831" i="3"/>
  <c r="AF831" i="3"/>
  <c r="AD831" i="3"/>
  <c r="AB831" i="3"/>
  <c r="AE831" i="3"/>
  <c r="AA831" i="3"/>
  <c r="AC831" i="3"/>
  <c r="Z831" i="3"/>
  <c r="Y831" i="3"/>
  <c r="W831" i="3"/>
  <c r="X831" i="3"/>
  <c r="U831" i="3"/>
  <c r="V831" i="3"/>
  <c r="T831" i="3"/>
  <c r="S831" i="3"/>
  <c r="R831" i="3"/>
  <c r="P831" i="3"/>
  <c r="Q831" i="3"/>
  <c r="O831" i="3"/>
  <c r="N831" i="3"/>
  <c r="M831" i="3"/>
  <c r="L831" i="3"/>
  <c r="K831" i="3"/>
  <c r="I831" i="3"/>
  <c r="J831" i="3"/>
  <c r="AP831" i="3"/>
  <c r="AR832" i="2" l="1"/>
  <c r="AQ832" i="2"/>
  <c r="AN832" i="2"/>
  <c r="AM832" i="2"/>
  <c r="AL832" i="2"/>
  <c r="AJ832" i="2"/>
  <c r="AK832" i="2"/>
  <c r="AI832" i="2"/>
  <c r="AH832" i="2"/>
  <c r="AG832" i="2"/>
  <c r="AF832" i="2"/>
  <c r="AE832" i="2"/>
  <c r="AC832" i="2"/>
  <c r="AB832" i="2"/>
  <c r="AD832" i="2"/>
  <c r="Z832" i="2"/>
  <c r="AA832" i="2"/>
  <c r="X832" i="2"/>
  <c r="U832" i="2"/>
  <c r="W832" i="2"/>
  <c r="Y832" i="2"/>
  <c r="V832" i="2"/>
  <c r="T832" i="2"/>
  <c r="Q832" i="2"/>
  <c r="R832" i="2"/>
  <c r="S832" i="2"/>
  <c r="M832" i="2"/>
  <c r="O832" i="2"/>
  <c r="P832" i="2"/>
  <c r="K832" i="2"/>
  <c r="N832" i="2"/>
  <c r="L832" i="2"/>
  <c r="I832" i="2"/>
  <c r="AP832" i="2"/>
  <c r="J832" i="2"/>
  <c r="AQ832" i="3"/>
  <c r="AR832" i="3"/>
  <c r="AN832" i="3"/>
  <c r="AL832" i="3"/>
  <c r="AK832" i="3"/>
  <c r="AM832" i="3"/>
  <c r="AJ832" i="3"/>
  <c r="AH832" i="3"/>
  <c r="AI832" i="3"/>
  <c r="AG832" i="3"/>
  <c r="AF832" i="3"/>
  <c r="AD832" i="3"/>
  <c r="AE832" i="3"/>
  <c r="AC832" i="3"/>
  <c r="AA832" i="3"/>
  <c r="AB832" i="3"/>
  <c r="Z832" i="3"/>
  <c r="Y832" i="3"/>
  <c r="W832" i="3"/>
  <c r="X832" i="3"/>
  <c r="U832" i="3"/>
  <c r="T832" i="3"/>
  <c r="V832" i="3"/>
  <c r="R832" i="3"/>
  <c r="P832" i="3"/>
  <c r="S832" i="3"/>
  <c r="Q832" i="3"/>
  <c r="O832" i="3"/>
  <c r="J832" i="3"/>
  <c r="N832" i="3"/>
  <c r="M832" i="3"/>
  <c r="L832" i="3"/>
  <c r="K832" i="3"/>
  <c r="I832" i="3"/>
  <c r="AP832" i="3"/>
  <c r="L832" i="1"/>
  <c r="P832" i="1" s="1"/>
  <c r="AA832" i="1"/>
  <c r="J833" i="1"/>
  <c r="I834" i="1"/>
  <c r="V833" i="1"/>
  <c r="G833" i="3"/>
  <c r="Y833" i="1"/>
  <c r="Z833" i="1" s="1"/>
  <c r="G833" i="2"/>
  <c r="O833" i="1"/>
  <c r="R833" i="1"/>
  <c r="S833" i="1"/>
  <c r="W833" i="1" s="1"/>
  <c r="W832" i="1"/>
  <c r="L833" i="1" l="1"/>
  <c r="P833" i="1" s="1"/>
  <c r="AA833" i="1"/>
  <c r="J834" i="1"/>
  <c r="I835" i="1"/>
  <c r="V834" i="1"/>
  <c r="Y834" i="1"/>
  <c r="Z834" i="1" s="1"/>
  <c r="G834" i="3"/>
  <c r="G834" i="2"/>
  <c r="S834" i="1"/>
  <c r="O834" i="1"/>
  <c r="R834" i="1"/>
  <c r="AR833" i="2"/>
  <c r="AQ833" i="2"/>
  <c r="AM833" i="2"/>
  <c r="AN833" i="2"/>
  <c r="AL833" i="2"/>
  <c r="AI833" i="2"/>
  <c r="AJ833" i="2"/>
  <c r="AK833" i="2"/>
  <c r="AH833" i="2"/>
  <c r="AG833" i="2"/>
  <c r="AE833" i="2"/>
  <c r="AC833" i="2"/>
  <c r="AF833" i="2"/>
  <c r="AD833" i="2"/>
  <c r="AB833" i="2"/>
  <c r="X833" i="2"/>
  <c r="Z833" i="2"/>
  <c r="AA833" i="2"/>
  <c r="Y833" i="2"/>
  <c r="U833" i="2"/>
  <c r="V833" i="2"/>
  <c r="W833" i="2"/>
  <c r="Q833" i="2"/>
  <c r="T833" i="2"/>
  <c r="S833" i="2"/>
  <c r="R833" i="2"/>
  <c r="P833" i="2"/>
  <c r="O833" i="2"/>
  <c r="K833" i="2"/>
  <c r="N833" i="2"/>
  <c r="M833" i="2"/>
  <c r="L833" i="2"/>
  <c r="I833" i="2"/>
  <c r="AP833" i="2"/>
  <c r="J833" i="2"/>
  <c r="AR833" i="3"/>
  <c r="AQ833" i="3"/>
  <c r="AN833" i="3"/>
  <c r="AM833" i="3"/>
  <c r="AL833" i="3"/>
  <c r="AK833" i="3"/>
  <c r="AI833" i="3"/>
  <c r="AJ833" i="3"/>
  <c r="AH833" i="3"/>
  <c r="AF833" i="3"/>
  <c r="AD833" i="3"/>
  <c r="AG833" i="3"/>
  <c r="AC833" i="3"/>
  <c r="AE833" i="3"/>
  <c r="AA833" i="3"/>
  <c r="AB833" i="3"/>
  <c r="Z833" i="3"/>
  <c r="U833" i="3"/>
  <c r="W833" i="3"/>
  <c r="Y833" i="3"/>
  <c r="X833" i="3"/>
  <c r="T833" i="3"/>
  <c r="V833" i="3"/>
  <c r="S833" i="3"/>
  <c r="R833" i="3"/>
  <c r="Q833" i="3"/>
  <c r="O833" i="3"/>
  <c r="P833" i="3"/>
  <c r="M833" i="3"/>
  <c r="N833" i="3"/>
  <c r="L833" i="3"/>
  <c r="K833" i="3"/>
  <c r="I833" i="3"/>
  <c r="J833" i="3"/>
  <c r="AP833" i="3"/>
  <c r="W834" i="1" l="1"/>
  <c r="J835" i="1"/>
  <c r="I836" i="1"/>
  <c r="V835" i="1"/>
  <c r="Y835" i="1"/>
  <c r="Z835" i="1" s="1"/>
  <c r="G835" i="3"/>
  <c r="G835" i="2"/>
  <c r="O835" i="1"/>
  <c r="R835" i="1"/>
  <c r="S835" i="1"/>
  <c r="AR834" i="3"/>
  <c r="AN834" i="3"/>
  <c r="AM834" i="3"/>
  <c r="AQ834" i="3"/>
  <c r="AL834" i="3"/>
  <c r="AI834" i="3"/>
  <c r="AK834" i="3"/>
  <c r="AJ834" i="3"/>
  <c r="AH834" i="3"/>
  <c r="AF834" i="3"/>
  <c r="AG834" i="3"/>
  <c r="AC834" i="3"/>
  <c r="AD834" i="3"/>
  <c r="AE834" i="3"/>
  <c r="AB834" i="3"/>
  <c r="Z834" i="3"/>
  <c r="AA834" i="3"/>
  <c r="Y834" i="3"/>
  <c r="X834" i="3"/>
  <c r="U834" i="3"/>
  <c r="W834" i="3"/>
  <c r="R834" i="3"/>
  <c r="T834" i="3"/>
  <c r="V834" i="3"/>
  <c r="Q834" i="3"/>
  <c r="S834" i="3"/>
  <c r="M834" i="3"/>
  <c r="O834" i="3"/>
  <c r="P834" i="3"/>
  <c r="K834" i="3"/>
  <c r="N834" i="3"/>
  <c r="L834" i="3"/>
  <c r="I834" i="3"/>
  <c r="J834" i="3"/>
  <c r="AP834" i="3"/>
  <c r="AQ834" i="2"/>
  <c r="AR834" i="2"/>
  <c r="AM834" i="2"/>
  <c r="AN834" i="2"/>
  <c r="AL834" i="2"/>
  <c r="AK834" i="2"/>
  <c r="AI834" i="2"/>
  <c r="AJ834" i="2"/>
  <c r="AH834" i="2"/>
  <c r="AG834" i="2"/>
  <c r="AE834" i="2"/>
  <c r="AF834" i="2"/>
  <c r="AD834" i="2"/>
  <c r="Z834" i="2"/>
  <c r="AC834" i="2"/>
  <c r="AB834" i="2"/>
  <c r="AA834" i="2"/>
  <c r="Y834" i="2"/>
  <c r="X834" i="2"/>
  <c r="W834" i="2"/>
  <c r="V834" i="2"/>
  <c r="U834" i="2"/>
  <c r="S834" i="2"/>
  <c r="Q834" i="2"/>
  <c r="T834" i="2"/>
  <c r="M834" i="2"/>
  <c r="R834" i="2"/>
  <c r="P834" i="2"/>
  <c r="O834" i="2"/>
  <c r="K834" i="2"/>
  <c r="N834" i="2"/>
  <c r="L834" i="2"/>
  <c r="I834" i="2"/>
  <c r="AP834" i="2"/>
  <c r="J834" i="2"/>
  <c r="L834" i="1"/>
  <c r="P834" i="1" s="1"/>
  <c r="AA834" i="1"/>
  <c r="AR835" i="3" l="1"/>
  <c r="AN835" i="3"/>
  <c r="AM835" i="3"/>
  <c r="AQ835" i="3"/>
  <c r="AL835" i="3"/>
  <c r="AJ835" i="3"/>
  <c r="AK835" i="3"/>
  <c r="AI835" i="3"/>
  <c r="AH835" i="3"/>
  <c r="AF835" i="3"/>
  <c r="AD835" i="3"/>
  <c r="AG835" i="3"/>
  <c r="AC835" i="3"/>
  <c r="AE835" i="3"/>
  <c r="AB835" i="3"/>
  <c r="X835" i="3"/>
  <c r="AA835" i="3"/>
  <c r="Z835" i="3"/>
  <c r="Y835" i="3"/>
  <c r="R835" i="3"/>
  <c r="W835" i="3"/>
  <c r="U835" i="3"/>
  <c r="T835" i="3"/>
  <c r="V835" i="3"/>
  <c r="Q835" i="3"/>
  <c r="S835" i="3"/>
  <c r="O835" i="3"/>
  <c r="P835" i="3"/>
  <c r="K835" i="3"/>
  <c r="N835" i="3"/>
  <c r="M835" i="3"/>
  <c r="L835" i="3"/>
  <c r="I835" i="3"/>
  <c r="J835" i="3"/>
  <c r="AP835" i="3"/>
  <c r="AR835" i="2"/>
  <c r="AQ835" i="2"/>
  <c r="AN835" i="2"/>
  <c r="AM835" i="2"/>
  <c r="AL835" i="2"/>
  <c r="AK835" i="2"/>
  <c r="AJ835" i="2"/>
  <c r="AI835" i="2"/>
  <c r="AH835" i="2"/>
  <c r="AE835" i="2"/>
  <c r="AG835" i="2"/>
  <c r="AF835" i="2"/>
  <c r="AD835" i="2"/>
  <c r="AC835" i="2"/>
  <c r="AB835" i="2"/>
  <c r="Z835" i="2"/>
  <c r="X835" i="2"/>
  <c r="AA835" i="2"/>
  <c r="V835" i="2"/>
  <c r="Y835" i="2"/>
  <c r="W835" i="2"/>
  <c r="U835" i="2"/>
  <c r="S835" i="2"/>
  <c r="T835" i="2"/>
  <c r="R835" i="2"/>
  <c r="Q835" i="2"/>
  <c r="P835" i="2"/>
  <c r="N835" i="2"/>
  <c r="O835" i="2"/>
  <c r="M835" i="2"/>
  <c r="L835" i="2"/>
  <c r="I835" i="2"/>
  <c r="K835" i="2"/>
  <c r="J835" i="2"/>
  <c r="AP835" i="2"/>
  <c r="L835" i="1"/>
  <c r="P835" i="1" s="1"/>
  <c r="AA835" i="1"/>
  <c r="I837" i="1"/>
  <c r="J836" i="1"/>
  <c r="V836" i="1"/>
  <c r="G836" i="3"/>
  <c r="G836" i="2"/>
  <c r="Y836" i="1"/>
  <c r="Z836" i="1" s="1"/>
  <c r="O836" i="1"/>
  <c r="R836" i="1"/>
  <c r="S836" i="1"/>
  <c r="W836" i="1" s="1"/>
  <c r="W835" i="1"/>
  <c r="L836" i="1" l="1"/>
  <c r="P836" i="1" s="1"/>
  <c r="AA836" i="1"/>
  <c r="J837" i="1"/>
  <c r="I838" i="1"/>
  <c r="V837" i="1"/>
  <c r="G837" i="3"/>
  <c r="G837" i="2"/>
  <c r="Y837" i="1"/>
  <c r="Z837" i="1" s="1"/>
  <c r="O837" i="1"/>
  <c r="R837" i="1"/>
  <c r="S837" i="1"/>
  <c r="AR836" i="2"/>
  <c r="AQ836" i="2"/>
  <c r="AN836" i="2"/>
  <c r="AM836" i="2"/>
  <c r="AK836" i="2"/>
  <c r="AJ836" i="2"/>
  <c r="AL836" i="2"/>
  <c r="AF836" i="2"/>
  <c r="AI836" i="2"/>
  <c r="AE836" i="2"/>
  <c r="AH836" i="2"/>
  <c r="AG836" i="2"/>
  <c r="AD836" i="2"/>
  <c r="AB836" i="2"/>
  <c r="AC836" i="2"/>
  <c r="AA836" i="2"/>
  <c r="Z836" i="2"/>
  <c r="Y836" i="2"/>
  <c r="V836" i="2"/>
  <c r="X836" i="2"/>
  <c r="S836" i="2"/>
  <c r="W836" i="2"/>
  <c r="U836" i="2"/>
  <c r="R836" i="2"/>
  <c r="T836" i="2"/>
  <c r="N836" i="2"/>
  <c r="Q836" i="2"/>
  <c r="P836" i="2"/>
  <c r="L836" i="2"/>
  <c r="O836" i="2"/>
  <c r="M836" i="2"/>
  <c r="J836" i="2"/>
  <c r="I836" i="2"/>
  <c r="K836" i="2"/>
  <c r="AP836" i="2"/>
  <c r="AR836" i="3"/>
  <c r="AN836" i="3"/>
  <c r="AM836" i="3"/>
  <c r="AQ836" i="3"/>
  <c r="AL836" i="3"/>
  <c r="AI836" i="3"/>
  <c r="AK836" i="3"/>
  <c r="AJ836" i="3"/>
  <c r="AH836" i="3"/>
  <c r="AF836" i="3"/>
  <c r="AG836" i="3"/>
  <c r="AE836" i="3"/>
  <c r="AD836" i="3"/>
  <c r="Z836" i="3"/>
  <c r="AC836" i="3"/>
  <c r="AB836" i="3"/>
  <c r="X836" i="3"/>
  <c r="AA836" i="3"/>
  <c r="W836" i="3"/>
  <c r="Y836" i="3"/>
  <c r="V836" i="3"/>
  <c r="R836" i="3"/>
  <c r="U836" i="3"/>
  <c r="T836" i="3"/>
  <c r="Q836" i="3"/>
  <c r="S836" i="3"/>
  <c r="M836" i="3"/>
  <c r="P836" i="3"/>
  <c r="L836" i="3"/>
  <c r="K836" i="3"/>
  <c r="O836" i="3"/>
  <c r="N836" i="3"/>
  <c r="I836" i="3"/>
  <c r="J836" i="3"/>
  <c r="AP836" i="3"/>
  <c r="AR837" i="2" l="1"/>
  <c r="AQ837" i="2"/>
  <c r="AN837" i="2"/>
  <c r="AM837" i="2"/>
  <c r="AK837" i="2"/>
  <c r="AJ837" i="2"/>
  <c r="AL837" i="2"/>
  <c r="AH837" i="2"/>
  <c r="AI837" i="2"/>
  <c r="AG837" i="2"/>
  <c r="AE837" i="2"/>
  <c r="AF837" i="2"/>
  <c r="AB837" i="2"/>
  <c r="AD837" i="2"/>
  <c r="AA837" i="2"/>
  <c r="AC837" i="2"/>
  <c r="Y837" i="2"/>
  <c r="V837" i="2"/>
  <c r="Z837" i="2"/>
  <c r="X837" i="2"/>
  <c r="W837" i="2"/>
  <c r="S837" i="2"/>
  <c r="U837" i="2"/>
  <c r="T837" i="2"/>
  <c r="R837" i="2"/>
  <c r="P837" i="2"/>
  <c r="Q837" i="2"/>
  <c r="L837" i="2"/>
  <c r="O837" i="2"/>
  <c r="N837" i="2"/>
  <c r="M837" i="2"/>
  <c r="J837" i="2"/>
  <c r="I837" i="2"/>
  <c r="K837" i="2"/>
  <c r="AP837" i="2"/>
  <c r="L837" i="1"/>
  <c r="P837" i="1" s="1"/>
  <c r="AA837" i="1"/>
  <c r="I839" i="1"/>
  <c r="J838" i="1"/>
  <c r="V838" i="1"/>
  <c r="G838" i="3"/>
  <c r="Y838" i="1"/>
  <c r="Z838" i="1" s="1"/>
  <c r="G838" i="2"/>
  <c r="S838" i="1"/>
  <c r="W838" i="1" s="1"/>
  <c r="O838" i="1"/>
  <c r="R838" i="1"/>
  <c r="W837" i="1"/>
  <c r="AR837" i="3"/>
  <c r="AN837" i="3"/>
  <c r="AQ837" i="3"/>
  <c r="AL837" i="3"/>
  <c r="AM837" i="3"/>
  <c r="AK837" i="3"/>
  <c r="AJ837" i="3"/>
  <c r="AG837" i="3"/>
  <c r="AI837" i="3"/>
  <c r="AH837" i="3"/>
  <c r="AF837" i="3"/>
  <c r="AE837" i="3"/>
  <c r="AD837" i="3"/>
  <c r="AB837" i="3"/>
  <c r="AC837" i="3"/>
  <c r="X837" i="3"/>
  <c r="AA837" i="3"/>
  <c r="Z837" i="3"/>
  <c r="V837" i="3"/>
  <c r="Y837" i="3"/>
  <c r="W837" i="3"/>
  <c r="U837" i="3"/>
  <c r="S837" i="3"/>
  <c r="T837" i="3"/>
  <c r="R837" i="3"/>
  <c r="Q837" i="3"/>
  <c r="P837" i="3"/>
  <c r="N837" i="3"/>
  <c r="L837" i="3"/>
  <c r="O837" i="3"/>
  <c r="M837" i="3"/>
  <c r="J837" i="3"/>
  <c r="AP837" i="3"/>
  <c r="K837" i="3"/>
  <c r="I837" i="3"/>
  <c r="AR838" i="3" l="1"/>
  <c r="AQ838" i="3"/>
  <c r="AN838" i="3"/>
  <c r="AM838" i="3"/>
  <c r="AL838" i="3"/>
  <c r="AJ838" i="3"/>
  <c r="AK838" i="3"/>
  <c r="AI838" i="3"/>
  <c r="AF838" i="3"/>
  <c r="AH838" i="3"/>
  <c r="AG838" i="3"/>
  <c r="AE838" i="3"/>
  <c r="AD838" i="3"/>
  <c r="AC838" i="3"/>
  <c r="AB838" i="3"/>
  <c r="AA838" i="3"/>
  <c r="Z838" i="3"/>
  <c r="Y838" i="3"/>
  <c r="V838" i="3"/>
  <c r="X838" i="3"/>
  <c r="W838" i="3"/>
  <c r="S838" i="3"/>
  <c r="U838" i="3"/>
  <c r="T838" i="3"/>
  <c r="R838" i="3"/>
  <c r="N838" i="3"/>
  <c r="Q838" i="3"/>
  <c r="O838" i="3"/>
  <c r="P838" i="3"/>
  <c r="L838" i="3"/>
  <c r="I838" i="3"/>
  <c r="M838" i="3"/>
  <c r="J838" i="3"/>
  <c r="K838" i="3"/>
  <c r="AO838" i="3"/>
  <c r="AR838" i="2"/>
  <c r="AQ838" i="2"/>
  <c r="AN838" i="2"/>
  <c r="AM838" i="2"/>
  <c r="AL838" i="2"/>
  <c r="AK838" i="2"/>
  <c r="AJ838" i="2"/>
  <c r="AH838" i="2"/>
  <c r="AI838" i="2"/>
  <c r="AG838" i="2"/>
  <c r="AF838" i="2"/>
  <c r="AE838" i="2"/>
  <c r="AD838" i="2"/>
  <c r="AA838" i="2"/>
  <c r="AB838" i="2"/>
  <c r="AC838" i="2"/>
  <c r="Y838" i="2"/>
  <c r="Z838" i="2"/>
  <c r="X838" i="2"/>
  <c r="W838" i="2"/>
  <c r="S838" i="2"/>
  <c r="V838" i="2"/>
  <c r="U838" i="2"/>
  <c r="P838" i="2"/>
  <c r="T838" i="2"/>
  <c r="R838" i="2"/>
  <c r="N838" i="2"/>
  <c r="Q838" i="2"/>
  <c r="M838" i="2"/>
  <c r="J838" i="2"/>
  <c r="L838" i="2"/>
  <c r="O838" i="2"/>
  <c r="I838" i="2"/>
  <c r="K838" i="2"/>
  <c r="AO838" i="2"/>
  <c r="L838" i="1"/>
  <c r="P838" i="1" s="1"/>
  <c r="AA838" i="1"/>
  <c r="J839" i="1"/>
  <c r="I840" i="1"/>
  <c r="V839" i="1"/>
  <c r="Y839" i="1"/>
  <c r="Z839" i="1" s="1"/>
  <c r="G839" i="3"/>
  <c r="G839" i="2"/>
  <c r="O839" i="1"/>
  <c r="R839" i="1"/>
  <c r="S839" i="1"/>
  <c r="W839" i="1" s="1"/>
  <c r="J840" i="1" l="1"/>
  <c r="I841" i="1"/>
  <c r="V840" i="1"/>
  <c r="Y840" i="1"/>
  <c r="Z840" i="1" s="1"/>
  <c r="G840" i="3"/>
  <c r="G840" i="2"/>
  <c r="S840" i="1"/>
  <c r="W840" i="1" s="1"/>
  <c r="R840" i="1"/>
  <c r="O840" i="1"/>
  <c r="AQ839" i="3"/>
  <c r="AR839" i="3"/>
  <c r="AN839" i="3"/>
  <c r="AM839" i="3"/>
  <c r="AL839" i="3"/>
  <c r="AJ839" i="3"/>
  <c r="AK839" i="3"/>
  <c r="AI839" i="3"/>
  <c r="AG839" i="3"/>
  <c r="AF839" i="3"/>
  <c r="AH839" i="3"/>
  <c r="AE839" i="3"/>
  <c r="AB839" i="3"/>
  <c r="AD839" i="3"/>
  <c r="AC839" i="3"/>
  <c r="AA839" i="3"/>
  <c r="Y839" i="3"/>
  <c r="Z839" i="3"/>
  <c r="V839" i="3"/>
  <c r="X839" i="3"/>
  <c r="W839" i="3"/>
  <c r="S839" i="3"/>
  <c r="U839" i="3"/>
  <c r="T839" i="3"/>
  <c r="R839" i="3"/>
  <c r="P839" i="3"/>
  <c r="N839" i="3"/>
  <c r="Q839" i="3"/>
  <c r="O839" i="3"/>
  <c r="M839" i="3"/>
  <c r="L839" i="3"/>
  <c r="J839" i="3"/>
  <c r="AO839" i="3"/>
  <c r="K839" i="3"/>
  <c r="I839" i="3"/>
  <c r="AR839" i="2"/>
  <c r="AQ839" i="2"/>
  <c r="AM839" i="2"/>
  <c r="AL839" i="2"/>
  <c r="AK839" i="2"/>
  <c r="AN839" i="2"/>
  <c r="AJ839" i="2"/>
  <c r="AH839" i="2"/>
  <c r="AI839" i="2"/>
  <c r="AG839" i="2"/>
  <c r="AF839" i="2"/>
  <c r="AB839" i="2"/>
  <c r="AE839" i="2"/>
  <c r="AD839" i="2"/>
  <c r="AA839" i="2"/>
  <c r="AC839" i="2"/>
  <c r="Y839" i="2"/>
  <c r="Z839" i="2"/>
  <c r="W839" i="2"/>
  <c r="X839" i="2"/>
  <c r="V839" i="2"/>
  <c r="U839" i="2"/>
  <c r="T839" i="2"/>
  <c r="S839" i="2"/>
  <c r="R839" i="2"/>
  <c r="Q839" i="2"/>
  <c r="P839" i="2"/>
  <c r="O839" i="2"/>
  <c r="M839" i="2"/>
  <c r="L839" i="2"/>
  <c r="N839" i="2"/>
  <c r="J839" i="2"/>
  <c r="I839" i="2"/>
  <c r="K839" i="2"/>
  <c r="AO839" i="2"/>
  <c r="L839" i="1"/>
  <c r="P839" i="1" s="1"/>
  <c r="AA839" i="1"/>
  <c r="L840" i="1" l="1"/>
  <c r="P840" i="1" s="1"/>
  <c r="AA840" i="1"/>
  <c r="I842" i="1"/>
  <c r="J841" i="1"/>
  <c r="V841" i="1"/>
  <c r="G841" i="3"/>
  <c r="Y841" i="1"/>
  <c r="Z841" i="1" s="1"/>
  <c r="G841" i="2"/>
  <c r="O841" i="1"/>
  <c r="R841" i="1"/>
  <c r="S841" i="1"/>
  <c r="AR840" i="2"/>
  <c r="AQ840" i="2"/>
  <c r="AL840" i="2"/>
  <c r="AM840" i="2"/>
  <c r="AN840" i="2"/>
  <c r="AK840" i="2"/>
  <c r="AJ840" i="2"/>
  <c r="AH840" i="2"/>
  <c r="AI840" i="2"/>
  <c r="AG840" i="2"/>
  <c r="AF840" i="2"/>
  <c r="AE840" i="2"/>
  <c r="AD840" i="2"/>
  <c r="AC840" i="2"/>
  <c r="AA840" i="2"/>
  <c r="AB840" i="2"/>
  <c r="Z840" i="2"/>
  <c r="X840" i="2"/>
  <c r="W840" i="2"/>
  <c r="Y840" i="2"/>
  <c r="U840" i="2"/>
  <c r="T840" i="2"/>
  <c r="V840" i="2"/>
  <c r="P840" i="2"/>
  <c r="S840" i="2"/>
  <c r="O840" i="2"/>
  <c r="R840" i="2"/>
  <c r="Q840" i="2"/>
  <c r="M840" i="2"/>
  <c r="J840" i="2"/>
  <c r="N840" i="2"/>
  <c r="I840" i="2"/>
  <c r="K840" i="2"/>
  <c r="L840" i="2"/>
  <c r="AO840" i="2"/>
  <c r="AQ840" i="3"/>
  <c r="AR840" i="3"/>
  <c r="AM840" i="3"/>
  <c r="AN840" i="3"/>
  <c r="AK840" i="3"/>
  <c r="AJ840" i="3"/>
  <c r="AL840" i="3"/>
  <c r="AI840" i="3"/>
  <c r="AH840" i="3"/>
  <c r="AG840" i="3"/>
  <c r="AF840" i="3"/>
  <c r="AB840" i="3"/>
  <c r="AD840" i="3"/>
  <c r="AE840" i="3"/>
  <c r="AA840" i="3"/>
  <c r="AC840" i="3"/>
  <c r="Y840" i="3"/>
  <c r="Z840" i="3"/>
  <c r="X840" i="3"/>
  <c r="W840" i="3"/>
  <c r="V840" i="3"/>
  <c r="S840" i="3"/>
  <c r="U840" i="3"/>
  <c r="P840" i="3"/>
  <c r="T840" i="3"/>
  <c r="R840" i="3"/>
  <c r="L840" i="3"/>
  <c r="N840" i="3"/>
  <c r="Q840" i="3"/>
  <c r="O840" i="3"/>
  <c r="J840" i="3"/>
  <c r="M840" i="3"/>
  <c r="K840" i="3"/>
  <c r="AO840" i="3"/>
  <c r="I840" i="3"/>
  <c r="AQ841" i="3" l="1"/>
  <c r="AR841" i="3"/>
  <c r="AM841" i="3"/>
  <c r="AN841" i="3"/>
  <c r="AL841" i="3"/>
  <c r="AK841" i="3"/>
  <c r="AH841" i="3"/>
  <c r="AJ841" i="3"/>
  <c r="AG841" i="3"/>
  <c r="AI841" i="3"/>
  <c r="AF841" i="3"/>
  <c r="AE841" i="3"/>
  <c r="AB841" i="3"/>
  <c r="AD841" i="3"/>
  <c r="AA841" i="3"/>
  <c r="AC841" i="3"/>
  <c r="Z841" i="3"/>
  <c r="Y841" i="3"/>
  <c r="W841" i="3"/>
  <c r="X841" i="3"/>
  <c r="V841" i="3"/>
  <c r="U841" i="3"/>
  <c r="T841" i="3"/>
  <c r="S841" i="3"/>
  <c r="R841" i="3"/>
  <c r="P841" i="3"/>
  <c r="Q841" i="3"/>
  <c r="O841" i="3"/>
  <c r="M841" i="3"/>
  <c r="L841" i="3"/>
  <c r="N841" i="3"/>
  <c r="I841" i="3"/>
  <c r="J841" i="3"/>
  <c r="AO841" i="3"/>
  <c r="K841" i="3"/>
  <c r="W841" i="1"/>
  <c r="J842" i="1"/>
  <c r="I843" i="1"/>
  <c r="V842" i="1"/>
  <c r="G842" i="3"/>
  <c r="Y842" i="1"/>
  <c r="Z842" i="1" s="1"/>
  <c r="G842" i="2"/>
  <c r="O842" i="1"/>
  <c r="R842" i="1"/>
  <c r="S842" i="1"/>
  <c r="W842" i="1" s="1"/>
  <c r="AQ841" i="2"/>
  <c r="AR841" i="2"/>
  <c r="AL841" i="2"/>
  <c r="AM841" i="2"/>
  <c r="AN841" i="2"/>
  <c r="AK841" i="2"/>
  <c r="AJ841" i="2"/>
  <c r="AH841" i="2"/>
  <c r="AI841" i="2"/>
  <c r="AG841" i="2"/>
  <c r="AF841" i="2"/>
  <c r="AC841" i="2"/>
  <c r="AE841" i="2"/>
  <c r="AD841" i="2"/>
  <c r="AA841" i="2"/>
  <c r="AB841" i="2"/>
  <c r="Z841" i="2"/>
  <c r="U841" i="2"/>
  <c r="X841" i="2"/>
  <c r="W841" i="2"/>
  <c r="Y841" i="2"/>
  <c r="T841" i="2"/>
  <c r="V841" i="2"/>
  <c r="S841" i="2"/>
  <c r="R841" i="2"/>
  <c r="Q841" i="2"/>
  <c r="P841" i="2"/>
  <c r="O841" i="2"/>
  <c r="M841" i="2"/>
  <c r="N841" i="2"/>
  <c r="L841" i="2"/>
  <c r="K841" i="2"/>
  <c r="J841" i="2"/>
  <c r="I841" i="2"/>
  <c r="AO841" i="2"/>
  <c r="L841" i="1"/>
  <c r="P841" i="1" s="1"/>
  <c r="AA841" i="1"/>
  <c r="J843" i="1" l="1"/>
  <c r="I844" i="1"/>
  <c r="V843" i="1"/>
  <c r="G843" i="3"/>
  <c r="Y843" i="1"/>
  <c r="Z843" i="1" s="1"/>
  <c r="G843" i="2"/>
  <c r="O843" i="1"/>
  <c r="R843" i="1"/>
  <c r="S843" i="1"/>
  <c r="AQ842" i="2"/>
  <c r="AR842" i="2"/>
  <c r="AL842" i="2"/>
  <c r="AM842" i="2"/>
  <c r="AN842" i="2"/>
  <c r="AK842" i="2"/>
  <c r="AI842" i="2"/>
  <c r="AJ842" i="2"/>
  <c r="AG842" i="2"/>
  <c r="AH842" i="2"/>
  <c r="AF842" i="2"/>
  <c r="AC842" i="2"/>
  <c r="AE842" i="2"/>
  <c r="AD842" i="2"/>
  <c r="AB842" i="2"/>
  <c r="Z842" i="2"/>
  <c r="AA842" i="2"/>
  <c r="X842" i="2"/>
  <c r="U842" i="2"/>
  <c r="W842" i="2"/>
  <c r="Y842" i="2"/>
  <c r="T842" i="2"/>
  <c r="V842" i="2"/>
  <c r="Q842" i="2"/>
  <c r="S842" i="2"/>
  <c r="R842" i="2"/>
  <c r="M842" i="2"/>
  <c r="P842" i="2"/>
  <c r="O842" i="2"/>
  <c r="K842" i="2"/>
  <c r="N842" i="2"/>
  <c r="L842" i="2"/>
  <c r="J842" i="2"/>
  <c r="I842" i="2"/>
  <c r="AO842" i="2"/>
  <c r="AR842" i="3"/>
  <c r="AQ842" i="3"/>
  <c r="AL842" i="3"/>
  <c r="AN842" i="3"/>
  <c r="AK842" i="3"/>
  <c r="AM842" i="3"/>
  <c r="AH842" i="3"/>
  <c r="AJ842" i="3"/>
  <c r="AI842" i="3"/>
  <c r="AG842" i="3"/>
  <c r="AF842" i="3"/>
  <c r="AD842" i="3"/>
  <c r="AE842" i="3"/>
  <c r="AC842" i="3"/>
  <c r="AB842" i="3"/>
  <c r="AA842" i="3"/>
  <c r="Z842" i="3"/>
  <c r="Y842" i="3"/>
  <c r="X842" i="3"/>
  <c r="W842" i="3"/>
  <c r="U842" i="3"/>
  <c r="T842" i="3"/>
  <c r="V842" i="3"/>
  <c r="P842" i="3"/>
  <c r="S842" i="3"/>
  <c r="R842" i="3"/>
  <c r="O842" i="3"/>
  <c r="Q842" i="3"/>
  <c r="N842" i="3"/>
  <c r="J842" i="3"/>
  <c r="M842" i="3"/>
  <c r="L842" i="3"/>
  <c r="I842" i="3"/>
  <c r="AO842" i="3"/>
  <c r="K842" i="3"/>
  <c r="L842" i="1"/>
  <c r="P842" i="1" s="1"/>
  <c r="AA842" i="1"/>
  <c r="AR843" i="3" l="1"/>
  <c r="AQ843" i="3"/>
  <c r="AM843" i="3"/>
  <c r="AL843" i="3"/>
  <c r="AK843" i="3"/>
  <c r="AN843" i="3"/>
  <c r="AI843" i="3"/>
  <c r="AH843" i="3"/>
  <c r="AJ843" i="3"/>
  <c r="AD843" i="3"/>
  <c r="AG843" i="3"/>
  <c r="AF843" i="3"/>
  <c r="AC843" i="3"/>
  <c r="AE843" i="3"/>
  <c r="AB843" i="3"/>
  <c r="AA843" i="3"/>
  <c r="Z843" i="3"/>
  <c r="U843" i="3"/>
  <c r="X843" i="3"/>
  <c r="W843" i="3"/>
  <c r="Y843" i="3"/>
  <c r="T843" i="3"/>
  <c r="V843" i="3"/>
  <c r="S843" i="3"/>
  <c r="R843" i="3"/>
  <c r="Q843" i="3"/>
  <c r="P843" i="3"/>
  <c r="O843" i="3"/>
  <c r="M843" i="3"/>
  <c r="N843" i="3"/>
  <c r="L843" i="3"/>
  <c r="K843" i="3"/>
  <c r="I843" i="3"/>
  <c r="J843" i="3"/>
  <c r="AO843" i="3"/>
  <c r="L843" i="1"/>
  <c r="P843" i="1" s="1"/>
  <c r="AA843" i="1"/>
  <c r="AR843" i="2"/>
  <c r="AQ843" i="2"/>
  <c r="AN843" i="2"/>
  <c r="AM843" i="2"/>
  <c r="AL843" i="2"/>
  <c r="AI843" i="2"/>
  <c r="AK843" i="2"/>
  <c r="AJ843" i="2"/>
  <c r="AG843" i="2"/>
  <c r="AF843" i="2"/>
  <c r="AH843" i="2"/>
  <c r="AC843" i="2"/>
  <c r="AE843" i="2"/>
  <c r="AD843" i="2"/>
  <c r="AB843" i="2"/>
  <c r="X843" i="2"/>
  <c r="AA843" i="2"/>
  <c r="Z843" i="2"/>
  <c r="Y843" i="2"/>
  <c r="W843" i="2"/>
  <c r="U843" i="2"/>
  <c r="V843" i="2"/>
  <c r="Q843" i="2"/>
  <c r="T843" i="2"/>
  <c r="S843" i="2"/>
  <c r="P843" i="2"/>
  <c r="R843" i="2"/>
  <c r="K843" i="2"/>
  <c r="N843" i="2"/>
  <c r="M843" i="2"/>
  <c r="O843" i="2"/>
  <c r="L843" i="2"/>
  <c r="I843" i="2"/>
  <c r="J843" i="2"/>
  <c r="AO843" i="2"/>
  <c r="J844" i="1"/>
  <c r="I845" i="1"/>
  <c r="V844" i="1"/>
  <c r="Y844" i="1"/>
  <c r="Z844" i="1" s="1"/>
  <c r="G844" i="3"/>
  <c r="G844" i="2"/>
  <c r="S844" i="1"/>
  <c r="W844" i="1" s="1"/>
  <c r="O844" i="1"/>
  <c r="R844" i="1"/>
  <c r="W843" i="1"/>
  <c r="L844" i="1" l="1"/>
  <c r="P844" i="1" s="1"/>
  <c r="AA844" i="1"/>
  <c r="I846" i="1"/>
  <c r="J845" i="1"/>
  <c r="G845" i="3"/>
  <c r="V845" i="1"/>
  <c r="Y845" i="1"/>
  <c r="Z845" i="1" s="1"/>
  <c r="G845" i="2"/>
  <c r="O845" i="1"/>
  <c r="R845" i="1"/>
  <c r="S845" i="1"/>
  <c r="AR844" i="3"/>
  <c r="AQ844" i="3"/>
  <c r="AN844" i="3"/>
  <c r="AM844" i="3"/>
  <c r="AL844" i="3"/>
  <c r="AI844" i="3"/>
  <c r="AK844" i="3"/>
  <c r="AJ844" i="3"/>
  <c r="AH844" i="3"/>
  <c r="AG844" i="3"/>
  <c r="AF844" i="3"/>
  <c r="AC844" i="3"/>
  <c r="AE844" i="3"/>
  <c r="AD844" i="3"/>
  <c r="AB844" i="3"/>
  <c r="Z844" i="3"/>
  <c r="Y844" i="3"/>
  <c r="AA844" i="3"/>
  <c r="X844" i="3"/>
  <c r="U844" i="3"/>
  <c r="W844" i="3"/>
  <c r="R844" i="3"/>
  <c r="T844" i="3"/>
  <c r="V844" i="3"/>
  <c r="Q844" i="3"/>
  <c r="S844" i="3"/>
  <c r="M844" i="3"/>
  <c r="P844" i="3"/>
  <c r="O844" i="3"/>
  <c r="K844" i="3"/>
  <c r="N844" i="3"/>
  <c r="L844" i="3"/>
  <c r="I844" i="3"/>
  <c r="J844" i="3"/>
  <c r="AO844" i="3"/>
  <c r="AR844" i="2"/>
  <c r="AQ844" i="2"/>
  <c r="AN844" i="2"/>
  <c r="AM844" i="2"/>
  <c r="AL844" i="2"/>
  <c r="AI844" i="2"/>
  <c r="AK844" i="2"/>
  <c r="AJ844" i="2"/>
  <c r="AH844" i="2"/>
  <c r="AG844" i="2"/>
  <c r="AE844" i="2"/>
  <c r="AF844" i="2"/>
  <c r="AD844" i="2"/>
  <c r="AB844" i="2"/>
  <c r="Z844" i="2"/>
  <c r="AC844" i="2"/>
  <c r="AA844" i="2"/>
  <c r="X844" i="2"/>
  <c r="W844" i="2"/>
  <c r="Y844" i="2"/>
  <c r="V844" i="2"/>
  <c r="U844" i="2"/>
  <c r="Q844" i="2"/>
  <c r="T844" i="2"/>
  <c r="S844" i="2"/>
  <c r="M844" i="2"/>
  <c r="P844" i="2"/>
  <c r="R844" i="2"/>
  <c r="K844" i="2"/>
  <c r="N844" i="2"/>
  <c r="O844" i="2"/>
  <c r="L844" i="2"/>
  <c r="I844" i="2"/>
  <c r="AO844" i="2"/>
  <c r="J844" i="2"/>
  <c r="AR845" i="2" l="1"/>
  <c r="AQ845" i="2"/>
  <c r="AN845" i="2"/>
  <c r="AM845" i="2"/>
  <c r="AL845" i="2"/>
  <c r="AJ845" i="2"/>
  <c r="AI845" i="2"/>
  <c r="AK845" i="2"/>
  <c r="AH845" i="2"/>
  <c r="AE845" i="2"/>
  <c r="AG845" i="2"/>
  <c r="AD845" i="2"/>
  <c r="AF845" i="2"/>
  <c r="AC845" i="2"/>
  <c r="AB845" i="2"/>
  <c r="Z845" i="2"/>
  <c r="X845" i="2"/>
  <c r="AA845" i="2"/>
  <c r="V845" i="2"/>
  <c r="Y845" i="2"/>
  <c r="U845" i="2"/>
  <c r="W845" i="2"/>
  <c r="T845" i="2"/>
  <c r="S845" i="2"/>
  <c r="R845" i="2"/>
  <c r="P845" i="2"/>
  <c r="Q845" i="2"/>
  <c r="N845" i="2"/>
  <c r="M845" i="2"/>
  <c r="O845" i="2"/>
  <c r="L845" i="2"/>
  <c r="I845" i="2"/>
  <c r="AO845" i="2"/>
  <c r="J845" i="2"/>
  <c r="K845" i="2"/>
  <c r="L845" i="1"/>
  <c r="P845" i="1" s="1"/>
  <c r="AA845" i="1"/>
  <c r="AR845" i="3"/>
  <c r="AN845" i="3"/>
  <c r="AQ845" i="3"/>
  <c r="AM845" i="3"/>
  <c r="AK845" i="3"/>
  <c r="AL845" i="3"/>
  <c r="AJ845" i="3"/>
  <c r="AH845" i="3"/>
  <c r="AI845" i="3"/>
  <c r="AD845" i="3"/>
  <c r="AG845" i="3"/>
  <c r="AF845" i="3"/>
  <c r="AC845" i="3"/>
  <c r="AE845" i="3"/>
  <c r="AB845" i="3"/>
  <c r="X845" i="3"/>
  <c r="Z845" i="3"/>
  <c r="Y845" i="3"/>
  <c r="AA845" i="3"/>
  <c r="T845" i="3"/>
  <c r="W845" i="3"/>
  <c r="V845" i="3"/>
  <c r="U845" i="3"/>
  <c r="Q845" i="3"/>
  <c r="S845" i="3"/>
  <c r="R845" i="3"/>
  <c r="P845" i="3"/>
  <c r="O845" i="3"/>
  <c r="K845" i="3"/>
  <c r="N845" i="3"/>
  <c r="M845" i="3"/>
  <c r="L845" i="3"/>
  <c r="I845" i="3"/>
  <c r="J845" i="3"/>
  <c r="AO845" i="3"/>
  <c r="I847" i="1"/>
  <c r="J846" i="1"/>
  <c r="V846" i="1"/>
  <c r="G846" i="3"/>
  <c r="Y846" i="1"/>
  <c r="Z846" i="1" s="1"/>
  <c r="G846" i="2"/>
  <c r="S846" i="1"/>
  <c r="W846" i="1" s="1"/>
  <c r="O846" i="1"/>
  <c r="R846" i="1"/>
  <c r="W845" i="1"/>
  <c r="J847" i="1" l="1"/>
  <c r="I848" i="1"/>
  <c r="V847" i="1"/>
  <c r="G847" i="3"/>
  <c r="Y847" i="1"/>
  <c r="Z847" i="1" s="1"/>
  <c r="G847" i="2"/>
  <c r="O847" i="1"/>
  <c r="R847" i="1"/>
  <c r="S847" i="1"/>
  <c r="AR846" i="2"/>
  <c r="AQ846" i="2"/>
  <c r="AN846" i="2"/>
  <c r="AM846" i="2"/>
  <c r="AJ846" i="2"/>
  <c r="AL846" i="2"/>
  <c r="AK846" i="2"/>
  <c r="AH846" i="2"/>
  <c r="AF846" i="2"/>
  <c r="AI846" i="2"/>
  <c r="AE846" i="2"/>
  <c r="AG846" i="2"/>
  <c r="AD846" i="2"/>
  <c r="AB846" i="2"/>
  <c r="AC846" i="2"/>
  <c r="AA846" i="2"/>
  <c r="Z846" i="2"/>
  <c r="Y846" i="2"/>
  <c r="V846" i="2"/>
  <c r="X846" i="2"/>
  <c r="S846" i="2"/>
  <c r="U846" i="2"/>
  <c r="W846" i="2"/>
  <c r="R846" i="2"/>
  <c r="T846" i="2"/>
  <c r="Q846" i="2"/>
  <c r="N846" i="2"/>
  <c r="P846" i="2"/>
  <c r="O846" i="2"/>
  <c r="L846" i="2"/>
  <c r="M846" i="2"/>
  <c r="K846" i="2"/>
  <c r="I846" i="2"/>
  <c r="AO846" i="2"/>
  <c r="J846" i="2"/>
  <c r="AR846" i="3"/>
  <c r="AN846" i="3"/>
  <c r="AQ846" i="3"/>
  <c r="AM846" i="3"/>
  <c r="AI846" i="3"/>
  <c r="AK846" i="3"/>
  <c r="AL846" i="3"/>
  <c r="AJ846" i="3"/>
  <c r="AH846" i="3"/>
  <c r="AG846" i="3"/>
  <c r="AF846" i="3"/>
  <c r="AE846" i="3"/>
  <c r="AD846" i="3"/>
  <c r="Z846" i="3"/>
  <c r="AB846" i="3"/>
  <c r="AC846" i="3"/>
  <c r="X846" i="3"/>
  <c r="AA846" i="3"/>
  <c r="W846" i="3"/>
  <c r="Y846" i="3"/>
  <c r="V846" i="3"/>
  <c r="U846" i="3"/>
  <c r="R846" i="3"/>
  <c r="Q846" i="3"/>
  <c r="T846" i="3"/>
  <c r="S846" i="3"/>
  <c r="M846" i="3"/>
  <c r="P846" i="3"/>
  <c r="K846" i="3"/>
  <c r="N846" i="3"/>
  <c r="O846" i="3"/>
  <c r="L846" i="3"/>
  <c r="I846" i="3"/>
  <c r="J846" i="3"/>
  <c r="AO846" i="3"/>
  <c r="L846" i="1"/>
  <c r="P846" i="1" s="1"/>
  <c r="AA846" i="1"/>
  <c r="L847" i="1" l="1"/>
  <c r="P847" i="1" s="1"/>
  <c r="AA847" i="1"/>
  <c r="AR847" i="2"/>
  <c r="AQ847" i="2"/>
  <c r="AN847" i="2"/>
  <c r="AM847" i="2"/>
  <c r="AK847" i="2"/>
  <c r="AJ847" i="2"/>
  <c r="AL847" i="2"/>
  <c r="AH847" i="2"/>
  <c r="AI847" i="2"/>
  <c r="AE847" i="2"/>
  <c r="AG847" i="2"/>
  <c r="AB847" i="2"/>
  <c r="AD847" i="2"/>
  <c r="AF847" i="2"/>
  <c r="AA847" i="2"/>
  <c r="AC847" i="2"/>
  <c r="Y847" i="2"/>
  <c r="Z847" i="2"/>
  <c r="V847" i="2"/>
  <c r="X847" i="2"/>
  <c r="S847" i="2"/>
  <c r="U847" i="2"/>
  <c r="W847" i="2"/>
  <c r="R847" i="2"/>
  <c r="T847" i="2"/>
  <c r="P847" i="2"/>
  <c r="Q847" i="2"/>
  <c r="O847" i="2"/>
  <c r="L847" i="2"/>
  <c r="N847" i="2"/>
  <c r="M847" i="2"/>
  <c r="J847" i="2"/>
  <c r="K847" i="2"/>
  <c r="I847" i="2"/>
  <c r="AO847" i="2"/>
  <c r="J848" i="1"/>
  <c r="I849" i="1"/>
  <c r="V848" i="1"/>
  <c r="G848" i="3"/>
  <c r="Y848" i="1"/>
  <c r="Z848" i="1" s="1"/>
  <c r="G848" i="2"/>
  <c r="S848" i="1"/>
  <c r="W848" i="1" s="1"/>
  <c r="O848" i="1"/>
  <c r="R848" i="1"/>
  <c r="AR847" i="3"/>
  <c r="AN847" i="3"/>
  <c r="AQ847" i="3"/>
  <c r="AM847" i="3"/>
  <c r="AK847" i="3"/>
  <c r="AL847" i="3"/>
  <c r="AJ847" i="3"/>
  <c r="AG847" i="3"/>
  <c r="AH847" i="3"/>
  <c r="AI847" i="3"/>
  <c r="AF847" i="3"/>
  <c r="AE847" i="3"/>
  <c r="AD847" i="3"/>
  <c r="AC847" i="3"/>
  <c r="AB847" i="3"/>
  <c r="X847" i="3"/>
  <c r="Z847" i="3"/>
  <c r="AA847" i="3"/>
  <c r="Y847" i="3"/>
  <c r="V847" i="3"/>
  <c r="U847" i="3"/>
  <c r="W847" i="3"/>
  <c r="S847" i="3"/>
  <c r="R847" i="3"/>
  <c r="T847" i="3"/>
  <c r="P847" i="3"/>
  <c r="Q847" i="3"/>
  <c r="N847" i="3"/>
  <c r="L847" i="3"/>
  <c r="M847" i="3"/>
  <c r="O847" i="3"/>
  <c r="I847" i="3"/>
  <c r="J847" i="3"/>
  <c r="K847" i="3"/>
  <c r="AO847" i="3"/>
  <c r="W847" i="1"/>
  <c r="AR848" i="2" l="1"/>
  <c r="AN848" i="2"/>
  <c r="AM848" i="2"/>
  <c r="AK848" i="2"/>
  <c r="AJ848" i="2"/>
  <c r="AL848" i="2"/>
  <c r="AH848" i="2"/>
  <c r="AI848" i="2"/>
  <c r="AG848" i="2"/>
  <c r="AD848" i="2"/>
  <c r="AF848" i="2"/>
  <c r="AE848" i="2"/>
  <c r="AA848" i="2"/>
  <c r="AC848" i="2"/>
  <c r="AB848" i="2"/>
  <c r="Y848" i="2"/>
  <c r="Z848" i="2"/>
  <c r="X848" i="2"/>
  <c r="W848" i="2"/>
  <c r="V848" i="2"/>
  <c r="S848" i="2"/>
  <c r="U848" i="2"/>
  <c r="P848" i="2"/>
  <c r="R848" i="2"/>
  <c r="T848" i="2"/>
  <c r="Q848" i="2"/>
  <c r="N848" i="2"/>
  <c r="J848" i="2"/>
  <c r="O848" i="2"/>
  <c r="L848" i="2"/>
  <c r="M848" i="2"/>
  <c r="K848" i="2"/>
  <c r="I848" i="2"/>
  <c r="AO848" i="2"/>
  <c r="AP848" i="2"/>
  <c r="AR848" i="3"/>
  <c r="AN848" i="3"/>
  <c r="AM848" i="3"/>
  <c r="AL848" i="3"/>
  <c r="AJ848" i="3"/>
  <c r="AK848" i="3"/>
  <c r="AI848" i="3"/>
  <c r="AF848" i="3"/>
  <c r="AH848" i="3"/>
  <c r="AE848" i="3"/>
  <c r="AG848" i="3"/>
  <c r="AD848" i="3"/>
  <c r="AC848" i="3"/>
  <c r="AB848" i="3"/>
  <c r="AA848" i="3"/>
  <c r="Z848" i="3"/>
  <c r="Y848" i="3"/>
  <c r="V848" i="3"/>
  <c r="X848" i="3"/>
  <c r="W848" i="3"/>
  <c r="S848" i="3"/>
  <c r="U848" i="3"/>
  <c r="R848" i="3"/>
  <c r="T848" i="3"/>
  <c r="N848" i="3"/>
  <c r="P848" i="3"/>
  <c r="O848" i="3"/>
  <c r="Q848" i="3"/>
  <c r="L848" i="3"/>
  <c r="I848" i="3"/>
  <c r="M848" i="3"/>
  <c r="AP848" i="3"/>
  <c r="J848" i="3"/>
  <c r="K848" i="3"/>
  <c r="AO848" i="3"/>
  <c r="L848" i="1"/>
  <c r="P848" i="1" s="1"/>
  <c r="AA848" i="1"/>
  <c r="J849" i="1"/>
  <c r="I850" i="1"/>
  <c r="V849" i="1"/>
  <c r="Y849" i="1"/>
  <c r="Z849" i="1" s="1"/>
  <c r="G849" i="3"/>
  <c r="G849" i="2"/>
  <c r="O849" i="1"/>
  <c r="R849" i="1"/>
  <c r="S849" i="1"/>
  <c r="W849" i="1" s="1"/>
  <c r="J850" i="1" l="1"/>
  <c r="I851" i="1"/>
  <c r="V850" i="1"/>
  <c r="Y850" i="1"/>
  <c r="Z850" i="1" s="1"/>
  <c r="G850" i="3"/>
  <c r="G850" i="2"/>
  <c r="S850" i="1"/>
  <c r="W850" i="1" s="1"/>
  <c r="O850" i="1"/>
  <c r="R850" i="1"/>
  <c r="L849" i="1"/>
  <c r="P849" i="1" s="1"/>
  <c r="AA849" i="1"/>
  <c r="AR849" i="2"/>
  <c r="AN849" i="2"/>
  <c r="AK849" i="2"/>
  <c r="AM849" i="2"/>
  <c r="AL849" i="2"/>
  <c r="AH849" i="2"/>
  <c r="AJ849" i="2"/>
  <c r="AI849" i="2"/>
  <c r="AG849" i="2"/>
  <c r="AB849" i="2"/>
  <c r="AD849" i="2"/>
  <c r="AF849" i="2"/>
  <c r="AE849" i="2"/>
  <c r="AA849" i="2"/>
  <c r="AC849" i="2"/>
  <c r="Y849" i="2"/>
  <c r="W849" i="2"/>
  <c r="Z849" i="2"/>
  <c r="X849" i="2"/>
  <c r="V849" i="2"/>
  <c r="U849" i="2"/>
  <c r="T849" i="2"/>
  <c r="R849" i="2"/>
  <c r="S849" i="2"/>
  <c r="Q849" i="2"/>
  <c r="P849" i="2"/>
  <c r="O849" i="2"/>
  <c r="L849" i="2"/>
  <c r="N849" i="2"/>
  <c r="M849" i="2"/>
  <c r="K849" i="2"/>
  <c r="I849" i="2"/>
  <c r="J849" i="2"/>
  <c r="AO849" i="2"/>
  <c r="AP849" i="2"/>
  <c r="AR849" i="3"/>
  <c r="AN849" i="3"/>
  <c r="AL849" i="3"/>
  <c r="AM849" i="3"/>
  <c r="AJ849" i="3"/>
  <c r="AK849" i="3"/>
  <c r="AI849" i="3"/>
  <c r="AF849" i="3"/>
  <c r="AH849" i="3"/>
  <c r="AG849" i="3"/>
  <c r="AE849" i="3"/>
  <c r="AB849" i="3"/>
  <c r="AD849" i="3"/>
  <c r="AC849" i="3"/>
  <c r="AA849" i="3"/>
  <c r="Y849" i="3"/>
  <c r="Z849" i="3"/>
  <c r="V849" i="3"/>
  <c r="X849" i="3"/>
  <c r="W849" i="3"/>
  <c r="S849" i="3"/>
  <c r="U849" i="3"/>
  <c r="R849" i="3"/>
  <c r="T849" i="3"/>
  <c r="P849" i="3"/>
  <c r="N849" i="3"/>
  <c r="O849" i="3"/>
  <c r="Q849" i="3"/>
  <c r="L849" i="3"/>
  <c r="M849" i="3"/>
  <c r="J849" i="3"/>
  <c r="K849" i="3"/>
  <c r="AO849" i="3"/>
  <c r="AP849" i="3"/>
  <c r="I849" i="3"/>
  <c r="L850" i="1" l="1"/>
  <c r="P850" i="1" s="1"/>
  <c r="AA850" i="1"/>
  <c r="AR850" i="2"/>
  <c r="AL850" i="2"/>
  <c r="AN850" i="2"/>
  <c r="AM850" i="2"/>
  <c r="AK850" i="2"/>
  <c r="AH850" i="2"/>
  <c r="AJ850" i="2"/>
  <c r="AG850" i="2"/>
  <c r="AI850" i="2"/>
  <c r="AE850" i="2"/>
  <c r="AD850" i="2"/>
  <c r="AF850" i="2"/>
  <c r="AC850" i="2"/>
  <c r="AB850" i="2"/>
  <c r="Z850" i="2"/>
  <c r="AA850" i="2"/>
  <c r="W850" i="2"/>
  <c r="X850" i="2"/>
  <c r="Y850" i="2"/>
  <c r="U850" i="2"/>
  <c r="T850" i="2"/>
  <c r="V850" i="2"/>
  <c r="S850" i="2"/>
  <c r="P850" i="2"/>
  <c r="O850" i="2"/>
  <c r="Q850" i="2"/>
  <c r="R850" i="2"/>
  <c r="J850" i="2"/>
  <c r="N850" i="2"/>
  <c r="M850" i="2"/>
  <c r="L850" i="2"/>
  <c r="K850" i="2"/>
  <c r="I850" i="2"/>
  <c r="AO850" i="2"/>
  <c r="AP850" i="2"/>
  <c r="AR850" i="3"/>
  <c r="AN850" i="3"/>
  <c r="AL850" i="3"/>
  <c r="AM850" i="3"/>
  <c r="AJ850" i="3"/>
  <c r="AK850" i="3"/>
  <c r="AI850" i="3"/>
  <c r="AH850" i="3"/>
  <c r="AG850" i="3"/>
  <c r="AF850" i="3"/>
  <c r="AB850" i="3"/>
  <c r="AD850" i="3"/>
  <c r="AE850" i="3"/>
  <c r="AC850" i="3"/>
  <c r="AA850" i="3"/>
  <c r="Y850" i="3"/>
  <c r="Z850" i="3"/>
  <c r="X850" i="3"/>
  <c r="W850" i="3"/>
  <c r="S850" i="3"/>
  <c r="U850" i="3"/>
  <c r="V850" i="3"/>
  <c r="T850" i="3"/>
  <c r="P850" i="3"/>
  <c r="R850" i="3"/>
  <c r="Q850" i="3"/>
  <c r="L850" i="3"/>
  <c r="N850" i="3"/>
  <c r="O850" i="3"/>
  <c r="J850" i="3"/>
  <c r="K850" i="3"/>
  <c r="M850" i="3"/>
  <c r="AO850" i="3"/>
  <c r="AP850" i="3"/>
  <c r="I850" i="3"/>
  <c r="I852" i="1"/>
  <c r="J851" i="1"/>
  <c r="V851" i="1"/>
  <c r="G851" i="3"/>
  <c r="Y851" i="1"/>
  <c r="Z851" i="1" s="1"/>
  <c r="G851" i="2"/>
  <c r="O851" i="1"/>
  <c r="R851" i="1"/>
  <c r="S851" i="1"/>
  <c r="W851" i="1" s="1"/>
  <c r="L851" i="1" l="1"/>
  <c r="P851" i="1" s="1"/>
  <c r="AA851" i="1"/>
  <c r="AR851" i="2"/>
  <c r="AL851" i="2"/>
  <c r="AN851" i="2"/>
  <c r="AM851" i="2"/>
  <c r="AH851" i="2"/>
  <c r="AK851" i="2"/>
  <c r="AJ851" i="2"/>
  <c r="AG851" i="2"/>
  <c r="AI851" i="2"/>
  <c r="AF851" i="2"/>
  <c r="AC851" i="2"/>
  <c r="AE851" i="2"/>
  <c r="AD851" i="2"/>
  <c r="AB851" i="2"/>
  <c r="Z851" i="2"/>
  <c r="AA851" i="2"/>
  <c r="Y851" i="2"/>
  <c r="U851" i="2"/>
  <c r="W851" i="2"/>
  <c r="X851" i="2"/>
  <c r="T851" i="2"/>
  <c r="V851" i="2"/>
  <c r="S851" i="2"/>
  <c r="R851" i="2"/>
  <c r="Q851" i="2"/>
  <c r="O851" i="2"/>
  <c r="P851" i="2"/>
  <c r="M851" i="2"/>
  <c r="L851" i="2"/>
  <c r="N851" i="2"/>
  <c r="K851" i="2"/>
  <c r="I851" i="2"/>
  <c r="J851" i="2"/>
  <c r="AP851" i="2"/>
  <c r="AO851" i="2"/>
  <c r="J852" i="1"/>
  <c r="I853" i="1"/>
  <c r="V852" i="1"/>
  <c r="G852" i="3"/>
  <c r="Y852" i="1"/>
  <c r="Z852" i="1" s="1"/>
  <c r="G852" i="2"/>
  <c r="S852" i="1"/>
  <c r="W852" i="1" s="1"/>
  <c r="O852" i="1"/>
  <c r="R852" i="1"/>
  <c r="AR851" i="3"/>
  <c r="AN851" i="3"/>
  <c r="AL851" i="3"/>
  <c r="AK851" i="3"/>
  <c r="AM851" i="3"/>
  <c r="AI851" i="3"/>
  <c r="AH851" i="3"/>
  <c r="AJ851" i="3"/>
  <c r="AG851" i="3"/>
  <c r="AF851" i="3"/>
  <c r="AB851" i="3"/>
  <c r="AD851" i="3"/>
  <c r="AE851" i="3"/>
  <c r="AC851" i="3"/>
  <c r="AA851" i="3"/>
  <c r="Y851" i="3"/>
  <c r="Z851" i="3"/>
  <c r="W851" i="3"/>
  <c r="X851" i="3"/>
  <c r="U851" i="3"/>
  <c r="V851" i="3"/>
  <c r="T851" i="3"/>
  <c r="S851" i="3"/>
  <c r="R851" i="3"/>
  <c r="Q851" i="3"/>
  <c r="P851" i="3"/>
  <c r="O851" i="3"/>
  <c r="L851" i="3"/>
  <c r="N851" i="3"/>
  <c r="M851" i="3"/>
  <c r="K851" i="3"/>
  <c r="AO851" i="3"/>
  <c r="I851" i="3"/>
  <c r="J851" i="3"/>
  <c r="AP851" i="3"/>
  <c r="AR852" i="3" l="1"/>
  <c r="AN852" i="3"/>
  <c r="AL852" i="3"/>
  <c r="AM852" i="3"/>
  <c r="AK852" i="3"/>
  <c r="AI852" i="3"/>
  <c r="AH852" i="3"/>
  <c r="AJ852" i="3"/>
  <c r="AG852" i="3"/>
  <c r="AF852" i="3"/>
  <c r="AD852" i="3"/>
  <c r="AE852" i="3"/>
  <c r="AC852" i="3"/>
  <c r="AA852" i="3"/>
  <c r="AB852" i="3"/>
  <c r="Y852" i="3"/>
  <c r="Z852" i="3"/>
  <c r="W852" i="3"/>
  <c r="X852" i="3"/>
  <c r="U852" i="3"/>
  <c r="T852" i="3"/>
  <c r="V852" i="3"/>
  <c r="S852" i="3"/>
  <c r="P852" i="3"/>
  <c r="R852" i="3"/>
  <c r="O852" i="3"/>
  <c r="Q852" i="3"/>
  <c r="M852" i="3"/>
  <c r="J852" i="3"/>
  <c r="L852" i="3"/>
  <c r="N852" i="3"/>
  <c r="K852" i="3"/>
  <c r="AO852" i="3"/>
  <c r="AP852" i="3"/>
  <c r="I852" i="3"/>
  <c r="AR852" i="2"/>
  <c r="AL852" i="2"/>
  <c r="AN852" i="2"/>
  <c r="AM852" i="2"/>
  <c r="AK852" i="2"/>
  <c r="AJ852" i="2"/>
  <c r="AI852" i="2"/>
  <c r="AH852" i="2"/>
  <c r="AG852" i="2"/>
  <c r="AF852" i="2"/>
  <c r="AC852" i="2"/>
  <c r="AE852" i="2"/>
  <c r="AD852" i="2"/>
  <c r="AB852" i="2"/>
  <c r="Z852" i="2"/>
  <c r="AA852" i="2"/>
  <c r="X852" i="2"/>
  <c r="Y852" i="2"/>
  <c r="U852" i="2"/>
  <c r="W852" i="2"/>
  <c r="T852" i="2"/>
  <c r="V852" i="2"/>
  <c r="Q852" i="2"/>
  <c r="S852" i="2"/>
  <c r="R852" i="2"/>
  <c r="M852" i="2"/>
  <c r="O852" i="2"/>
  <c r="P852" i="2"/>
  <c r="K852" i="2"/>
  <c r="L852" i="2"/>
  <c r="N852" i="2"/>
  <c r="J852" i="2"/>
  <c r="AP852" i="2"/>
  <c r="I852" i="2"/>
  <c r="AO852" i="2"/>
  <c r="L852" i="1"/>
  <c r="P852" i="1" s="1"/>
  <c r="AA852" i="1"/>
  <c r="J853" i="1"/>
  <c r="I854" i="1"/>
  <c r="V853" i="1"/>
  <c r="G853" i="3"/>
  <c r="Y853" i="1"/>
  <c r="Z853" i="1" s="1"/>
  <c r="G853" i="2"/>
  <c r="O853" i="1"/>
  <c r="R853" i="1"/>
  <c r="S853" i="1"/>
  <c r="AR853" i="3" l="1"/>
  <c r="AN853" i="3"/>
  <c r="AM853" i="3"/>
  <c r="AL853" i="3"/>
  <c r="AK853" i="3"/>
  <c r="AI853" i="3"/>
  <c r="AH853" i="3"/>
  <c r="AJ853" i="3"/>
  <c r="AD853" i="3"/>
  <c r="AF853" i="3"/>
  <c r="AG853" i="3"/>
  <c r="AC853" i="3"/>
  <c r="AE853" i="3"/>
  <c r="AA853" i="3"/>
  <c r="AB853" i="3"/>
  <c r="Z853" i="3"/>
  <c r="U853" i="3"/>
  <c r="Y853" i="3"/>
  <c r="W853" i="3"/>
  <c r="X853" i="3"/>
  <c r="T853" i="3"/>
  <c r="V853" i="3"/>
  <c r="S853" i="3"/>
  <c r="R853" i="3"/>
  <c r="Q853" i="3"/>
  <c r="O853" i="3"/>
  <c r="P853" i="3"/>
  <c r="M853" i="3"/>
  <c r="L853" i="3"/>
  <c r="N853" i="3"/>
  <c r="K853" i="3"/>
  <c r="J853" i="3"/>
  <c r="I853" i="3"/>
  <c r="AO853" i="3"/>
  <c r="AP853" i="3"/>
  <c r="I855" i="1"/>
  <c r="J854" i="1"/>
  <c r="V854" i="1"/>
  <c r="Y854" i="1"/>
  <c r="Z854" i="1" s="1"/>
  <c r="G854" i="3"/>
  <c r="G854" i="2"/>
  <c r="S854" i="1"/>
  <c r="O854" i="1"/>
  <c r="R854" i="1"/>
  <c r="L853" i="1"/>
  <c r="P853" i="1" s="1"/>
  <c r="AA853" i="1"/>
  <c r="W853" i="1"/>
  <c r="AR853" i="2"/>
  <c r="AM853" i="2"/>
  <c r="AL853" i="2"/>
  <c r="AN853" i="2"/>
  <c r="AJ853" i="2"/>
  <c r="AI853" i="2"/>
  <c r="AK853" i="2"/>
  <c r="AH853" i="2"/>
  <c r="AF853" i="2"/>
  <c r="AG853" i="2"/>
  <c r="AC853" i="2"/>
  <c r="AE853" i="2"/>
  <c r="AD853" i="2"/>
  <c r="X853" i="2"/>
  <c r="AB853" i="2"/>
  <c r="Z853" i="2"/>
  <c r="AA853" i="2"/>
  <c r="Y853" i="2"/>
  <c r="V853" i="2"/>
  <c r="U853" i="2"/>
  <c r="W853" i="2"/>
  <c r="Q853" i="2"/>
  <c r="S853" i="2"/>
  <c r="T853" i="2"/>
  <c r="R853" i="2"/>
  <c r="P853" i="2"/>
  <c r="M853" i="2"/>
  <c r="K853" i="2"/>
  <c r="O853" i="2"/>
  <c r="L853" i="2"/>
  <c r="N853" i="2"/>
  <c r="I853" i="2"/>
  <c r="J853" i="2"/>
  <c r="AP853" i="2"/>
  <c r="AO853" i="2"/>
  <c r="L854" i="1" l="1"/>
  <c r="P854" i="1" s="1"/>
  <c r="AA854" i="1"/>
  <c r="J855" i="1"/>
  <c r="I856" i="1"/>
  <c r="V855" i="1"/>
  <c r="Y855" i="1"/>
  <c r="Z855" i="1" s="1"/>
  <c r="G855" i="3"/>
  <c r="G855" i="2"/>
  <c r="O855" i="1"/>
  <c r="R855" i="1"/>
  <c r="S855" i="1"/>
  <c r="W854" i="1"/>
  <c r="AR854" i="2"/>
  <c r="AM854" i="2"/>
  <c r="AN854" i="2"/>
  <c r="AL854" i="2"/>
  <c r="AK854" i="2"/>
  <c r="AJ854" i="2"/>
  <c r="AI854" i="2"/>
  <c r="AF854" i="2"/>
  <c r="AH854" i="2"/>
  <c r="AG854" i="2"/>
  <c r="AE854" i="2"/>
  <c r="AD854" i="2"/>
  <c r="Z854" i="2"/>
  <c r="AC854" i="2"/>
  <c r="AA854" i="2"/>
  <c r="AB854" i="2"/>
  <c r="Y854" i="2"/>
  <c r="W854" i="2"/>
  <c r="X854" i="2"/>
  <c r="V854" i="2"/>
  <c r="U854" i="2"/>
  <c r="Q854" i="2"/>
  <c r="S854" i="2"/>
  <c r="T854" i="2"/>
  <c r="P854" i="2"/>
  <c r="M854" i="2"/>
  <c r="R854" i="2"/>
  <c r="N854" i="2"/>
  <c r="K854" i="2"/>
  <c r="O854" i="2"/>
  <c r="L854" i="2"/>
  <c r="AO854" i="2"/>
  <c r="J854" i="2"/>
  <c r="AP854" i="2"/>
  <c r="I854" i="2"/>
  <c r="AR854" i="3"/>
  <c r="AN854" i="3"/>
  <c r="AM854" i="3"/>
  <c r="AL854" i="3"/>
  <c r="AI854" i="3"/>
  <c r="AK854" i="3"/>
  <c r="AJ854" i="3"/>
  <c r="AH854" i="3"/>
  <c r="AF854" i="3"/>
  <c r="AG854" i="3"/>
  <c r="AC854" i="3"/>
  <c r="AD854" i="3"/>
  <c r="AE854" i="3"/>
  <c r="AB854" i="3"/>
  <c r="Z854" i="3"/>
  <c r="AA854" i="3"/>
  <c r="Y854" i="3"/>
  <c r="X854" i="3"/>
  <c r="U854" i="3"/>
  <c r="W854" i="3"/>
  <c r="V854" i="3"/>
  <c r="R854" i="3"/>
  <c r="T854" i="3"/>
  <c r="Q854" i="3"/>
  <c r="S854" i="3"/>
  <c r="M854" i="3"/>
  <c r="O854" i="3"/>
  <c r="P854" i="3"/>
  <c r="K854" i="3"/>
  <c r="L854" i="3"/>
  <c r="N854" i="3"/>
  <c r="J854" i="3"/>
  <c r="I854" i="3"/>
  <c r="AO854" i="3"/>
  <c r="AP854" i="3"/>
  <c r="AR855" i="2" l="1"/>
  <c r="AN855" i="2"/>
  <c r="AM855" i="2"/>
  <c r="AL855" i="2"/>
  <c r="AJ855" i="2"/>
  <c r="AK855" i="2"/>
  <c r="AI855" i="2"/>
  <c r="AH855" i="2"/>
  <c r="AG855" i="2"/>
  <c r="AE855" i="2"/>
  <c r="AD855" i="2"/>
  <c r="AF855" i="2"/>
  <c r="AC855" i="2"/>
  <c r="AB855" i="2"/>
  <c r="AA855" i="2"/>
  <c r="X855" i="2"/>
  <c r="Z855" i="2"/>
  <c r="V855" i="2"/>
  <c r="Y855" i="2"/>
  <c r="W855" i="2"/>
  <c r="U855" i="2"/>
  <c r="T855" i="2"/>
  <c r="S855" i="2"/>
  <c r="R855" i="2"/>
  <c r="P855" i="2"/>
  <c r="Q855" i="2"/>
  <c r="N855" i="2"/>
  <c r="M855" i="2"/>
  <c r="O855" i="2"/>
  <c r="L855" i="2"/>
  <c r="I855" i="2"/>
  <c r="AO855" i="2"/>
  <c r="J855" i="2"/>
  <c r="K855" i="2"/>
  <c r="AP855" i="2"/>
  <c r="I857" i="1"/>
  <c r="J856" i="1"/>
  <c r="V856" i="1"/>
  <c r="G856" i="3"/>
  <c r="Y856" i="1"/>
  <c r="Z856" i="1" s="1"/>
  <c r="G856" i="2"/>
  <c r="R856" i="1"/>
  <c r="S856" i="1"/>
  <c r="W856" i="1" s="1"/>
  <c r="O856" i="1"/>
  <c r="AR855" i="3"/>
  <c r="AN855" i="3"/>
  <c r="AM855" i="3"/>
  <c r="AL855" i="3"/>
  <c r="AK855" i="3"/>
  <c r="AI855" i="3"/>
  <c r="AJ855" i="3"/>
  <c r="AH855" i="3"/>
  <c r="AD855" i="3"/>
  <c r="AF855" i="3"/>
  <c r="AG855" i="3"/>
  <c r="AE855" i="3"/>
  <c r="AC855" i="3"/>
  <c r="AB855" i="3"/>
  <c r="X855" i="3"/>
  <c r="AA855" i="3"/>
  <c r="Z855" i="3"/>
  <c r="Y855" i="3"/>
  <c r="V855" i="3"/>
  <c r="T855" i="3"/>
  <c r="W855" i="3"/>
  <c r="U855" i="3"/>
  <c r="Q855" i="3"/>
  <c r="S855" i="3"/>
  <c r="R855" i="3"/>
  <c r="P855" i="3"/>
  <c r="O855" i="3"/>
  <c r="M855" i="3"/>
  <c r="K855" i="3"/>
  <c r="L855" i="3"/>
  <c r="N855" i="3"/>
  <c r="I855" i="3"/>
  <c r="J855" i="3"/>
  <c r="AO855" i="3"/>
  <c r="AP855" i="3"/>
  <c r="L855" i="1"/>
  <c r="P855" i="1" s="1"/>
  <c r="AA855" i="1"/>
  <c r="W855" i="1"/>
  <c r="L856" i="1" l="1"/>
  <c r="P856" i="1" s="1"/>
  <c r="AA856" i="1"/>
  <c r="AR856" i="2"/>
  <c r="AN856" i="2"/>
  <c r="AM856" i="2"/>
  <c r="AJ856" i="2"/>
  <c r="AL856" i="2"/>
  <c r="AK856" i="2"/>
  <c r="AF856" i="2"/>
  <c r="AH856" i="2"/>
  <c r="AI856" i="2"/>
  <c r="AG856" i="2"/>
  <c r="AE856" i="2"/>
  <c r="AD856" i="2"/>
  <c r="AB856" i="2"/>
  <c r="AC856" i="2"/>
  <c r="AA856" i="2"/>
  <c r="Z856" i="2"/>
  <c r="Y856" i="2"/>
  <c r="X856" i="2"/>
  <c r="V856" i="2"/>
  <c r="S856" i="2"/>
  <c r="W856" i="2"/>
  <c r="U856" i="2"/>
  <c r="R856" i="2"/>
  <c r="T856" i="2"/>
  <c r="N856" i="2"/>
  <c r="P856" i="2"/>
  <c r="Q856" i="2"/>
  <c r="L856" i="2"/>
  <c r="M856" i="2"/>
  <c r="O856" i="2"/>
  <c r="I856" i="2"/>
  <c r="AO856" i="2"/>
  <c r="J856" i="2"/>
  <c r="K856" i="2"/>
  <c r="AP856" i="2"/>
  <c r="J857" i="1"/>
  <c r="I858" i="1"/>
  <c r="V857" i="1"/>
  <c r="G857" i="3"/>
  <c r="G857" i="2"/>
  <c r="Y857" i="1"/>
  <c r="Z857" i="1" s="1"/>
  <c r="O857" i="1"/>
  <c r="R857" i="1"/>
  <c r="S857" i="1"/>
  <c r="W857" i="1" s="1"/>
  <c r="AN856" i="3"/>
  <c r="AR856" i="3"/>
  <c r="AM856" i="3"/>
  <c r="AL856" i="3"/>
  <c r="AK856" i="3"/>
  <c r="AI856" i="3"/>
  <c r="AJ856" i="3"/>
  <c r="AH856" i="3"/>
  <c r="AF856" i="3"/>
  <c r="AG856" i="3"/>
  <c r="AE856" i="3"/>
  <c r="AD856" i="3"/>
  <c r="AB856" i="3"/>
  <c r="Z856" i="3"/>
  <c r="AC856" i="3"/>
  <c r="X856" i="3"/>
  <c r="AA856" i="3"/>
  <c r="Y856" i="3"/>
  <c r="W856" i="3"/>
  <c r="V856" i="3"/>
  <c r="R856" i="3"/>
  <c r="U856" i="3"/>
  <c r="T856" i="3"/>
  <c r="Q856" i="3"/>
  <c r="S856" i="3"/>
  <c r="P856" i="3"/>
  <c r="M856" i="3"/>
  <c r="N856" i="3"/>
  <c r="K856" i="3"/>
  <c r="O856" i="3"/>
  <c r="L856" i="3"/>
  <c r="I856" i="3"/>
  <c r="J856" i="3"/>
  <c r="AO856" i="3"/>
  <c r="AP856" i="3"/>
  <c r="AR857" i="2" l="1"/>
  <c r="AN857" i="2"/>
  <c r="AM857" i="2"/>
  <c r="AJ857" i="2"/>
  <c r="AL857" i="2"/>
  <c r="AK857" i="2"/>
  <c r="AI857" i="2"/>
  <c r="AG857" i="2"/>
  <c r="AE857" i="2"/>
  <c r="AH857" i="2"/>
  <c r="AF857" i="2"/>
  <c r="AB857" i="2"/>
  <c r="AD857" i="2"/>
  <c r="AA857" i="2"/>
  <c r="AC857" i="2"/>
  <c r="Z857" i="2"/>
  <c r="Y857" i="2"/>
  <c r="X857" i="2"/>
  <c r="V857" i="2"/>
  <c r="S857" i="2"/>
  <c r="W857" i="2"/>
  <c r="U857" i="2"/>
  <c r="R857" i="2"/>
  <c r="T857" i="2"/>
  <c r="P857" i="2"/>
  <c r="Q857" i="2"/>
  <c r="N857" i="2"/>
  <c r="L857" i="2"/>
  <c r="M857" i="2"/>
  <c r="O857" i="2"/>
  <c r="J857" i="2"/>
  <c r="I857" i="2"/>
  <c r="K857" i="2"/>
  <c r="AP857" i="2"/>
  <c r="AO857" i="2"/>
  <c r="AR857" i="3"/>
  <c r="AN857" i="3"/>
  <c r="AM857" i="3"/>
  <c r="AL857" i="3"/>
  <c r="AK857" i="3"/>
  <c r="AJ857" i="3"/>
  <c r="AG857" i="3"/>
  <c r="AI857" i="3"/>
  <c r="AH857" i="3"/>
  <c r="AF857" i="3"/>
  <c r="AE857" i="3"/>
  <c r="AD857" i="3"/>
  <c r="AB857" i="3"/>
  <c r="AC857" i="3"/>
  <c r="Z857" i="3"/>
  <c r="X857" i="3"/>
  <c r="AA857" i="3"/>
  <c r="V857" i="3"/>
  <c r="Y857" i="3"/>
  <c r="W857" i="3"/>
  <c r="U857" i="3"/>
  <c r="S857" i="3"/>
  <c r="T857" i="3"/>
  <c r="R857" i="3"/>
  <c r="P857" i="3"/>
  <c r="Q857" i="3"/>
  <c r="N857" i="3"/>
  <c r="M857" i="3"/>
  <c r="O857" i="3"/>
  <c r="L857" i="3"/>
  <c r="AP857" i="3"/>
  <c r="K857" i="3"/>
  <c r="I857" i="3"/>
  <c r="J857" i="3"/>
  <c r="AO857" i="3"/>
  <c r="L857" i="1"/>
  <c r="P857" i="1" s="1"/>
  <c r="AA857" i="1"/>
  <c r="J858" i="1"/>
  <c r="I859" i="1"/>
  <c r="V858" i="1"/>
  <c r="G858" i="3"/>
  <c r="Y858" i="1"/>
  <c r="Z858" i="1" s="1"/>
  <c r="G858" i="2"/>
  <c r="S858" i="1"/>
  <c r="O858" i="1"/>
  <c r="R858" i="1"/>
  <c r="W858" i="1" l="1"/>
  <c r="L858" i="1"/>
  <c r="P858" i="1" s="1"/>
  <c r="AA858" i="1"/>
  <c r="J859" i="1"/>
  <c r="I860" i="1"/>
  <c r="V859" i="1"/>
  <c r="Y859" i="1"/>
  <c r="Z859" i="1" s="1"/>
  <c r="G859" i="3"/>
  <c r="G859" i="2"/>
  <c r="O859" i="1"/>
  <c r="R859" i="1"/>
  <c r="S859" i="1"/>
  <c r="W859" i="1" s="1"/>
  <c r="AQ858" i="2"/>
  <c r="AN858" i="2"/>
  <c r="AM858" i="2"/>
  <c r="AK858" i="2"/>
  <c r="AJ858" i="2"/>
  <c r="AL858" i="2"/>
  <c r="AH858" i="2"/>
  <c r="AI858" i="2"/>
  <c r="AG858" i="2"/>
  <c r="AF858" i="2"/>
  <c r="AD858" i="2"/>
  <c r="AE858" i="2"/>
  <c r="AB858" i="2"/>
  <c r="AA858" i="2"/>
  <c r="AC858" i="2"/>
  <c r="Z858" i="2"/>
  <c r="Y858" i="2"/>
  <c r="X858" i="2"/>
  <c r="W858" i="2"/>
  <c r="U858" i="2"/>
  <c r="S858" i="2"/>
  <c r="V858" i="2"/>
  <c r="P858" i="2"/>
  <c r="R858" i="2"/>
  <c r="T858" i="2"/>
  <c r="N858" i="2"/>
  <c r="Q858" i="2"/>
  <c r="J858" i="2"/>
  <c r="L858" i="2"/>
  <c r="M858" i="2"/>
  <c r="O858" i="2"/>
  <c r="I858" i="2"/>
  <c r="K858" i="2"/>
  <c r="AP858" i="2"/>
  <c r="AO858" i="2"/>
  <c r="AQ858" i="3"/>
  <c r="AN858" i="3"/>
  <c r="AM858" i="3"/>
  <c r="AJ858" i="3"/>
  <c r="AK858" i="3"/>
  <c r="AL858" i="3"/>
  <c r="AF858" i="3"/>
  <c r="AI858" i="3"/>
  <c r="AH858" i="3"/>
  <c r="AG858" i="3"/>
  <c r="AE858" i="3"/>
  <c r="AC858" i="3"/>
  <c r="AD858" i="3"/>
  <c r="AB858" i="3"/>
  <c r="AA858" i="3"/>
  <c r="Z858" i="3"/>
  <c r="Y858" i="3"/>
  <c r="V858" i="3"/>
  <c r="W858" i="3"/>
  <c r="X858" i="3"/>
  <c r="S858" i="3"/>
  <c r="U858" i="3"/>
  <c r="T858" i="3"/>
  <c r="R858" i="3"/>
  <c r="N858" i="3"/>
  <c r="P858" i="3"/>
  <c r="Q858" i="3"/>
  <c r="O858" i="3"/>
  <c r="L858" i="3"/>
  <c r="I858" i="3"/>
  <c r="M858" i="3"/>
  <c r="AP858" i="3"/>
  <c r="K858" i="3"/>
  <c r="J858" i="3"/>
  <c r="AO858" i="3"/>
  <c r="AQ859" i="2" l="1"/>
  <c r="AN859" i="2"/>
  <c r="AK859" i="2"/>
  <c r="AM859" i="2"/>
  <c r="AL859" i="2"/>
  <c r="AH859" i="2"/>
  <c r="AJ859" i="2"/>
  <c r="AI859" i="2"/>
  <c r="AG859" i="2"/>
  <c r="AF859" i="2"/>
  <c r="AB859" i="2"/>
  <c r="AD859" i="2"/>
  <c r="AE859" i="2"/>
  <c r="AC859" i="2"/>
  <c r="AA859" i="2"/>
  <c r="Z859" i="2"/>
  <c r="Y859" i="2"/>
  <c r="W859" i="2"/>
  <c r="X859" i="2"/>
  <c r="U859" i="2"/>
  <c r="V859" i="2"/>
  <c r="T859" i="2"/>
  <c r="R859" i="2"/>
  <c r="S859" i="2"/>
  <c r="P859" i="2"/>
  <c r="Q859" i="2"/>
  <c r="O859" i="2"/>
  <c r="N859" i="2"/>
  <c r="L859" i="2"/>
  <c r="M859" i="2"/>
  <c r="I859" i="2"/>
  <c r="J859" i="2"/>
  <c r="K859" i="2"/>
  <c r="AO859" i="2"/>
  <c r="AP859" i="2"/>
  <c r="L859" i="1"/>
  <c r="P859" i="1" s="1"/>
  <c r="AA859" i="1"/>
  <c r="AQ859" i="3"/>
  <c r="AN859" i="3"/>
  <c r="AM859" i="3"/>
  <c r="AJ859" i="3"/>
  <c r="AK859" i="3"/>
  <c r="AL859" i="3"/>
  <c r="AF859" i="3"/>
  <c r="AI859" i="3"/>
  <c r="AH859" i="3"/>
  <c r="AG859" i="3"/>
  <c r="AE859" i="3"/>
  <c r="AD859" i="3"/>
  <c r="AB859" i="3"/>
  <c r="AC859" i="3"/>
  <c r="AA859" i="3"/>
  <c r="Y859" i="3"/>
  <c r="Z859" i="3"/>
  <c r="V859" i="3"/>
  <c r="W859" i="3"/>
  <c r="X859" i="3"/>
  <c r="U859" i="3"/>
  <c r="S859" i="3"/>
  <c r="R859" i="3"/>
  <c r="T859" i="3"/>
  <c r="P859" i="3"/>
  <c r="N859" i="3"/>
  <c r="Q859" i="3"/>
  <c r="O859" i="3"/>
  <c r="L859" i="3"/>
  <c r="M859" i="3"/>
  <c r="J859" i="3"/>
  <c r="AO859" i="3"/>
  <c r="AP859" i="3"/>
  <c r="I859" i="3"/>
  <c r="K859" i="3"/>
  <c r="J860" i="1"/>
  <c r="I861" i="1"/>
  <c r="V860" i="1"/>
  <c r="Y860" i="1"/>
  <c r="Z860" i="1" s="1"/>
  <c r="G860" i="3"/>
  <c r="G860" i="2"/>
  <c r="S860" i="1"/>
  <c r="W860" i="1" s="1"/>
  <c r="O860" i="1"/>
  <c r="R860" i="1"/>
  <c r="L860" i="1" l="1"/>
  <c r="P860" i="1" s="1"/>
  <c r="AA860" i="1"/>
  <c r="I862" i="1"/>
  <c r="J861" i="1"/>
  <c r="V861" i="1"/>
  <c r="G861" i="3"/>
  <c r="Y861" i="1"/>
  <c r="Z861" i="1" s="1"/>
  <c r="G861" i="2"/>
  <c r="O861" i="1"/>
  <c r="R861" i="1"/>
  <c r="S861" i="1"/>
  <c r="AQ860" i="2"/>
  <c r="AL860" i="2"/>
  <c r="AN860" i="2"/>
  <c r="AM860" i="2"/>
  <c r="AK860" i="2"/>
  <c r="AH860" i="2"/>
  <c r="AG860" i="2"/>
  <c r="AI860" i="2"/>
  <c r="AJ860" i="2"/>
  <c r="AF860" i="2"/>
  <c r="AD860" i="2"/>
  <c r="AE860" i="2"/>
  <c r="AC860" i="2"/>
  <c r="AB860" i="2"/>
  <c r="AA860" i="2"/>
  <c r="Z860" i="2"/>
  <c r="W860" i="2"/>
  <c r="X860" i="2"/>
  <c r="Y860" i="2"/>
  <c r="U860" i="2"/>
  <c r="T860" i="2"/>
  <c r="V860" i="2"/>
  <c r="P860" i="2"/>
  <c r="S860" i="2"/>
  <c r="R860" i="2"/>
  <c r="Q860" i="2"/>
  <c r="O860" i="2"/>
  <c r="J860" i="2"/>
  <c r="N860" i="2"/>
  <c r="M860" i="2"/>
  <c r="K860" i="2"/>
  <c r="L860" i="2"/>
  <c r="I860" i="2"/>
  <c r="AO860" i="2"/>
  <c r="AP860" i="2"/>
  <c r="AQ860" i="3"/>
  <c r="AN860" i="3"/>
  <c r="AM860" i="3"/>
  <c r="AL860" i="3"/>
  <c r="AJ860" i="3"/>
  <c r="AK860" i="3"/>
  <c r="AH860" i="3"/>
  <c r="AF860" i="3"/>
  <c r="AI860" i="3"/>
  <c r="AG860" i="3"/>
  <c r="AE860" i="3"/>
  <c r="AD860" i="3"/>
  <c r="AB860" i="3"/>
  <c r="AA860" i="3"/>
  <c r="AC860" i="3"/>
  <c r="Y860" i="3"/>
  <c r="Z860" i="3"/>
  <c r="X860" i="3"/>
  <c r="W860" i="3"/>
  <c r="U860" i="3"/>
  <c r="V860" i="3"/>
  <c r="S860" i="3"/>
  <c r="P860" i="3"/>
  <c r="R860" i="3"/>
  <c r="T860" i="3"/>
  <c r="L860" i="3"/>
  <c r="N860" i="3"/>
  <c r="Q860" i="3"/>
  <c r="O860" i="3"/>
  <c r="J860" i="3"/>
  <c r="M860" i="3"/>
  <c r="K860" i="3"/>
  <c r="AO860" i="3"/>
  <c r="AP860" i="3"/>
  <c r="I860" i="3"/>
  <c r="AQ861" i="3" l="1"/>
  <c r="AN861" i="3"/>
  <c r="AL861" i="3"/>
  <c r="AK861" i="3"/>
  <c r="AM861" i="3"/>
  <c r="AH861" i="3"/>
  <c r="AJ861" i="3"/>
  <c r="AG861" i="3"/>
  <c r="AI861" i="3"/>
  <c r="AF861" i="3"/>
  <c r="AE861" i="3"/>
  <c r="AD861" i="3"/>
  <c r="AB861" i="3"/>
  <c r="AA861" i="3"/>
  <c r="AC861" i="3"/>
  <c r="Y861" i="3"/>
  <c r="Z861" i="3"/>
  <c r="W861" i="3"/>
  <c r="X861" i="3"/>
  <c r="U861" i="3"/>
  <c r="V861" i="3"/>
  <c r="T861" i="3"/>
  <c r="R861" i="3"/>
  <c r="S861" i="3"/>
  <c r="P861" i="3"/>
  <c r="Q861" i="3"/>
  <c r="O861" i="3"/>
  <c r="N861" i="3"/>
  <c r="L861" i="3"/>
  <c r="M861" i="3"/>
  <c r="AO861" i="3"/>
  <c r="K861" i="3"/>
  <c r="J861" i="3"/>
  <c r="I861" i="3"/>
  <c r="AP861" i="3"/>
  <c r="L861" i="1"/>
  <c r="P861" i="1" s="1"/>
  <c r="AA861" i="1"/>
  <c r="W861" i="1"/>
  <c r="J862" i="1"/>
  <c r="I863" i="1"/>
  <c r="G862" i="3"/>
  <c r="V862" i="1"/>
  <c r="Y862" i="1"/>
  <c r="Z862" i="1" s="1"/>
  <c r="G862" i="2"/>
  <c r="O862" i="1"/>
  <c r="R862" i="1"/>
  <c r="S862" i="1"/>
  <c r="AQ861" i="2"/>
  <c r="AN861" i="2"/>
  <c r="AM861" i="2"/>
  <c r="AL861" i="2"/>
  <c r="AK861" i="2"/>
  <c r="AH861" i="2"/>
  <c r="AJ861" i="2"/>
  <c r="AG861" i="2"/>
  <c r="AI861" i="2"/>
  <c r="AC861" i="2"/>
  <c r="AF861" i="2"/>
  <c r="AD861" i="2"/>
  <c r="AE861" i="2"/>
  <c r="AB861" i="2"/>
  <c r="AA861" i="2"/>
  <c r="U861" i="2"/>
  <c r="W861" i="2"/>
  <c r="X861" i="2"/>
  <c r="Y861" i="2"/>
  <c r="Z861" i="2"/>
  <c r="T861" i="2"/>
  <c r="V861" i="2"/>
  <c r="R861" i="2"/>
  <c r="S861" i="2"/>
  <c r="Q861" i="2"/>
  <c r="O861" i="2"/>
  <c r="P861" i="2"/>
  <c r="M861" i="2"/>
  <c r="N861" i="2"/>
  <c r="L861" i="2"/>
  <c r="K861" i="2"/>
  <c r="J861" i="2"/>
  <c r="I861" i="2"/>
  <c r="AP861" i="2"/>
  <c r="AO861" i="2"/>
  <c r="AQ862" i="2" l="1"/>
  <c r="AN862" i="2"/>
  <c r="AL862" i="2"/>
  <c r="AM862" i="2"/>
  <c r="AK862" i="2"/>
  <c r="AJ862" i="2"/>
  <c r="AI862" i="2"/>
  <c r="AG862" i="2"/>
  <c r="AH862" i="2"/>
  <c r="AF862" i="2"/>
  <c r="AC862" i="2"/>
  <c r="AE862" i="2"/>
  <c r="AD862" i="2"/>
  <c r="AB862" i="2"/>
  <c r="Z862" i="2"/>
  <c r="AA862" i="2"/>
  <c r="X862" i="2"/>
  <c r="U862" i="2"/>
  <c r="W862" i="2"/>
  <c r="Y862" i="2"/>
  <c r="V862" i="2"/>
  <c r="T862" i="2"/>
  <c r="Q862" i="2"/>
  <c r="R862" i="2"/>
  <c r="S862" i="2"/>
  <c r="M862" i="2"/>
  <c r="O862" i="2"/>
  <c r="P862" i="2"/>
  <c r="K862" i="2"/>
  <c r="N862" i="2"/>
  <c r="L862" i="2"/>
  <c r="AP862" i="2"/>
  <c r="J862" i="2"/>
  <c r="I862" i="2"/>
  <c r="AO862" i="2"/>
  <c r="AQ862" i="3"/>
  <c r="AL862" i="3"/>
  <c r="AN862" i="3"/>
  <c r="AK862" i="3"/>
  <c r="AM862" i="3"/>
  <c r="AH862" i="3"/>
  <c r="AJ862" i="3"/>
  <c r="AG862" i="3"/>
  <c r="AI862" i="3"/>
  <c r="AF862" i="3"/>
  <c r="AD862" i="3"/>
  <c r="AE862" i="3"/>
  <c r="AC862" i="3"/>
  <c r="AB862" i="3"/>
  <c r="AA862" i="3"/>
  <c r="Y862" i="3"/>
  <c r="Z862" i="3"/>
  <c r="W862" i="3"/>
  <c r="X862" i="3"/>
  <c r="U862" i="3"/>
  <c r="T862" i="3"/>
  <c r="V862" i="3"/>
  <c r="P862" i="3"/>
  <c r="R862" i="3"/>
  <c r="S862" i="3"/>
  <c r="O862" i="3"/>
  <c r="Q862" i="3"/>
  <c r="N862" i="3"/>
  <c r="J862" i="3"/>
  <c r="L862" i="3"/>
  <c r="M862" i="3"/>
  <c r="AO862" i="3"/>
  <c r="AP862" i="3"/>
  <c r="K862" i="3"/>
  <c r="I862" i="3"/>
  <c r="J863" i="1"/>
  <c r="V863" i="1"/>
  <c r="G863" i="3"/>
  <c r="Y863" i="1"/>
  <c r="Z863" i="1" s="1"/>
  <c r="G863" i="2"/>
  <c r="O863" i="1"/>
  <c r="B32" i="1" s="1"/>
  <c r="R863" i="1"/>
  <c r="S863" i="1"/>
  <c r="W862" i="1"/>
  <c r="L862" i="1"/>
  <c r="P862" i="1" s="1"/>
  <c r="AA862" i="1"/>
  <c r="AQ863" i="2" l="1"/>
  <c r="AN863" i="2"/>
  <c r="AM863" i="2"/>
  <c r="AL863" i="2"/>
  <c r="AI863" i="2"/>
  <c r="AK863" i="2"/>
  <c r="AJ863" i="2"/>
  <c r="AH863" i="2"/>
  <c r="AF863" i="2"/>
  <c r="AG863" i="2"/>
  <c r="AC863" i="2"/>
  <c r="AD863" i="2"/>
  <c r="AE863" i="2"/>
  <c r="AB863" i="2"/>
  <c r="X863" i="2"/>
  <c r="AA863" i="2"/>
  <c r="Z863" i="2"/>
  <c r="Y863" i="2"/>
  <c r="W863" i="2"/>
  <c r="V863" i="2"/>
  <c r="U863" i="2"/>
  <c r="S863" i="2"/>
  <c r="Q863" i="2"/>
  <c r="T863" i="2"/>
  <c r="R863" i="2"/>
  <c r="P863" i="2"/>
  <c r="K863" i="2"/>
  <c r="N863" i="2"/>
  <c r="M863" i="2"/>
  <c r="L863" i="2"/>
  <c r="O863" i="2"/>
  <c r="I863" i="2"/>
  <c r="AP863" i="2"/>
  <c r="J863" i="2"/>
  <c r="AO863" i="2"/>
  <c r="AB863" i="1"/>
  <c r="Z4" i="1"/>
  <c r="AQ863" i="3"/>
  <c r="AM863" i="3"/>
  <c r="AL863" i="3"/>
  <c r="AN863" i="3"/>
  <c r="AK863" i="3"/>
  <c r="AI863" i="3"/>
  <c r="AH863" i="3"/>
  <c r="AJ863" i="3"/>
  <c r="AG863" i="3"/>
  <c r="AD863" i="3"/>
  <c r="AF863" i="3"/>
  <c r="AC863" i="3"/>
  <c r="AE863" i="3"/>
  <c r="AB863" i="3"/>
  <c r="AA863" i="3"/>
  <c r="Z863" i="3"/>
  <c r="U863" i="3"/>
  <c r="W863" i="3"/>
  <c r="X863" i="3"/>
  <c r="Y863" i="3"/>
  <c r="T863" i="3"/>
  <c r="V863" i="3"/>
  <c r="R863" i="3"/>
  <c r="S863" i="3"/>
  <c r="Q863" i="3"/>
  <c r="O863" i="3"/>
  <c r="P863" i="3"/>
  <c r="M863" i="3"/>
  <c r="N863" i="3"/>
  <c r="L863" i="3"/>
  <c r="K863" i="3"/>
  <c r="AO863" i="3"/>
  <c r="AP863" i="3"/>
  <c r="J863" i="3"/>
  <c r="I863" i="3"/>
  <c r="K863" i="1"/>
  <c r="J4" i="1"/>
  <c r="L863" i="1"/>
  <c r="AA863" i="1"/>
  <c r="AA4" i="1" s="1"/>
  <c r="T863" i="1"/>
  <c r="W863" i="1"/>
  <c r="W4" i="1" s="1"/>
  <c r="B31" i="1" l="1"/>
  <c r="L4" i="1"/>
  <c r="M863" i="1" s="1"/>
  <c r="P863" i="1"/>
  <c r="P4" i="1" s="1"/>
  <c r="B41" i="1" s="1"/>
  <c r="K862" i="1"/>
  <c r="AC863" i="1"/>
  <c r="E863" i="2" s="1"/>
  <c r="AB862" i="1"/>
  <c r="T862" i="1"/>
  <c r="U863" i="1"/>
  <c r="E863" i="3" l="1"/>
  <c r="N863" i="1"/>
  <c r="T861" i="1"/>
  <c r="U862" i="1"/>
  <c r="AC862" i="1"/>
  <c r="E862" i="2" s="1"/>
  <c r="AB861" i="1"/>
  <c r="F863" i="2"/>
  <c r="AR863" i="2" s="1"/>
  <c r="H863" i="2"/>
  <c r="M862" i="1"/>
  <c r="K861" i="1"/>
  <c r="B35" i="1"/>
  <c r="B39" i="1"/>
  <c r="F862" i="2" l="1"/>
  <c r="AR862" i="2" s="1"/>
  <c r="H862" i="2"/>
  <c r="M861" i="1"/>
  <c r="K860" i="1"/>
  <c r="E862" i="3"/>
  <c r="N862" i="1"/>
  <c r="AC861" i="1"/>
  <c r="E861" i="2" s="1"/>
  <c r="AB860" i="1"/>
  <c r="U861" i="1"/>
  <c r="T860" i="1"/>
  <c r="F863" i="3"/>
  <c r="AR863" i="3" s="1"/>
  <c r="H863" i="3"/>
  <c r="F861" i="2" l="1"/>
  <c r="AR861" i="2" s="1"/>
  <c r="H861" i="2"/>
  <c r="F862" i="3"/>
  <c r="AR862" i="3" s="1"/>
  <c r="H862" i="3"/>
  <c r="M860" i="1"/>
  <c r="K859" i="1"/>
  <c r="E861" i="3"/>
  <c r="N861" i="1"/>
  <c r="AC860" i="1"/>
  <c r="E860" i="2" s="1"/>
  <c r="AB859" i="1"/>
  <c r="T859" i="1"/>
  <c r="U860" i="1"/>
  <c r="F860" i="2" l="1"/>
  <c r="AR860" i="2" s="1"/>
  <c r="H860" i="2"/>
  <c r="M859" i="1"/>
  <c r="K858" i="1"/>
  <c r="F861" i="3"/>
  <c r="AR861" i="3" s="1"/>
  <c r="H861" i="3"/>
  <c r="E860" i="3"/>
  <c r="N860" i="1"/>
  <c r="T858" i="1"/>
  <c r="U859" i="1"/>
  <c r="AC859" i="1"/>
  <c r="E859" i="2" s="1"/>
  <c r="AB858" i="1"/>
  <c r="T857" i="1" l="1"/>
  <c r="U858" i="1"/>
  <c r="M858" i="1"/>
  <c r="K857" i="1"/>
  <c r="E859" i="3"/>
  <c r="N859" i="1"/>
  <c r="F860" i="3"/>
  <c r="AR860" i="3" s="1"/>
  <c r="H860" i="3"/>
  <c r="AC858" i="1"/>
  <c r="E858" i="2" s="1"/>
  <c r="AB857" i="1"/>
  <c r="F859" i="2"/>
  <c r="AR859" i="2" s="1"/>
  <c r="H859" i="2"/>
  <c r="AC857" i="1" l="1"/>
  <c r="E857" i="2" s="1"/>
  <c r="AB856" i="1"/>
  <c r="F859" i="3"/>
  <c r="AR859" i="3" s="1"/>
  <c r="H859" i="3"/>
  <c r="M857" i="1"/>
  <c r="K856" i="1"/>
  <c r="F858" i="2"/>
  <c r="AR858" i="2" s="1"/>
  <c r="H858" i="2"/>
  <c r="E858" i="3"/>
  <c r="N858" i="1"/>
  <c r="T856" i="1"/>
  <c r="U857" i="1"/>
  <c r="F858" i="3" l="1"/>
  <c r="AR858" i="3" s="1"/>
  <c r="H858" i="3"/>
  <c r="AC856" i="1"/>
  <c r="E856" i="2" s="1"/>
  <c r="AB855" i="1"/>
  <c r="M856" i="1"/>
  <c r="K855" i="1"/>
  <c r="E857" i="3"/>
  <c r="N857" i="1"/>
  <c r="T855" i="1"/>
  <c r="U856" i="1"/>
  <c r="F857" i="2"/>
  <c r="AQ857" i="2" s="1"/>
  <c r="H857" i="2"/>
  <c r="T854" i="1" l="1"/>
  <c r="U855" i="1"/>
  <c r="F857" i="3"/>
  <c r="AQ857" i="3" s="1"/>
  <c r="H857" i="3"/>
  <c r="M855" i="1"/>
  <c r="K854" i="1"/>
  <c r="E856" i="3"/>
  <c r="N856" i="1"/>
  <c r="AC855" i="1"/>
  <c r="E855" i="2" s="1"/>
  <c r="AB854" i="1"/>
  <c r="F856" i="2"/>
  <c r="AQ856" i="2" s="1"/>
  <c r="H856" i="2"/>
  <c r="AC854" i="1" l="1"/>
  <c r="E854" i="2" s="1"/>
  <c r="AB853" i="1"/>
  <c r="M854" i="1"/>
  <c r="K853" i="1"/>
  <c r="F855" i="2"/>
  <c r="AQ855" i="2" s="1"/>
  <c r="H855" i="2"/>
  <c r="F856" i="3"/>
  <c r="AQ856" i="3" s="1"/>
  <c r="H856" i="3"/>
  <c r="E855" i="3"/>
  <c r="N855" i="1"/>
  <c r="T853" i="1"/>
  <c r="U854" i="1"/>
  <c r="M853" i="1" l="1"/>
  <c r="K852" i="1"/>
  <c r="AC853" i="1"/>
  <c r="E853" i="2" s="1"/>
  <c r="AB852" i="1"/>
  <c r="F855" i="3"/>
  <c r="AQ855" i="3" s="1"/>
  <c r="H855" i="3"/>
  <c r="E854" i="3"/>
  <c r="N854" i="1"/>
  <c r="T852" i="1"/>
  <c r="U853" i="1"/>
  <c r="F854" i="2"/>
  <c r="AQ854" i="2" s="1"/>
  <c r="H854" i="2"/>
  <c r="T851" i="1" l="1"/>
  <c r="U852" i="1"/>
  <c r="AC852" i="1"/>
  <c r="E852" i="2" s="1"/>
  <c r="AB851" i="1"/>
  <c r="M852" i="1"/>
  <c r="K851" i="1"/>
  <c r="F854" i="3"/>
  <c r="AQ854" i="3" s="1"/>
  <c r="H854" i="3"/>
  <c r="F853" i="2"/>
  <c r="AQ853" i="2" s="1"/>
  <c r="H853" i="2"/>
  <c r="E853" i="3"/>
  <c r="N853" i="1"/>
  <c r="F852" i="2" l="1"/>
  <c r="AQ852" i="2" s="1"/>
  <c r="H852" i="2"/>
  <c r="M851" i="1"/>
  <c r="K850" i="1"/>
  <c r="E852" i="3"/>
  <c r="N852" i="1"/>
  <c r="AC851" i="1"/>
  <c r="E851" i="2" s="1"/>
  <c r="AB850" i="1"/>
  <c r="F853" i="3"/>
  <c r="AQ853" i="3" s="1"/>
  <c r="H853" i="3"/>
  <c r="U851" i="1"/>
  <c r="T850" i="1"/>
  <c r="AC850" i="1" l="1"/>
  <c r="E850" i="2" s="1"/>
  <c r="AB849" i="1"/>
  <c r="M850" i="1"/>
  <c r="K849" i="1"/>
  <c r="F851" i="2"/>
  <c r="AQ851" i="2" s="1"/>
  <c r="H851" i="2"/>
  <c r="F852" i="3"/>
  <c r="AQ852" i="3" s="1"/>
  <c r="H852" i="3"/>
  <c r="E851" i="3"/>
  <c r="N851" i="1"/>
  <c r="T849" i="1"/>
  <c r="U850" i="1"/>
  <c r="F851" i="3" l="1"/>
  <c r="AQ851" i="3" s="1"/>
  <c r="H851" i="3"/>
  <c r="E850" i="3"/>
  <c r="N850" i="1"/>
  <c r="M849" i="1"/>
  <c r="K848" i="1"/>
  <c r="AC849" i="1"/>
  <c r="E849" i="2" s="1"/>
  <c r="AB848" i="1"/>
  <c r="T848" i="1"/>
  <c r="U849" i="1"/>
  <c r="F850" i="2"/>
  <c r="AQ850" i="2" s="1"/>
  <c r="H850" i="2"/>
  <c r="T847" i="1" l="1"/>
  <c r="U848" i="1"/>
  <c r="AC848" i="1"/>
  <c r="E848" i="2" s="1"/>
  <c r="AB847" i="1"/>
  <c r="F849" i="2"/>
  <c r="AQ849" i="2" s="1"/>
  <c r="H849" i="2"/>
  <c r="M848" i="1"/>
  <c r="K847" i="1"/>
  <c r="E849" i="3"/>
  <c r="N849" i="1"/>
  <c r="F850" i="3"/>
  <c r="AQ850" i="3" s="1"/>
  <c r="H850" i="3"/>
  <c r="AC847" i="1" l="1"/>
  <c r="E847" i="2" s="1"/>
  <c r="AB846" i="1"/>
  <c r="F849" i="3"/>
  <c r="AQ849" i="3" s="1"/>
  <c r="H849" i="3"/>
  <c r="M847" i="1"/>
  <c r="K846" i="1"/>
  <c r="E848" i="3"/>
  <c r="N848" i="1"/>
  <c r="F848" i="2"/>
  <c r="AQ848" i="2" s="1"/>
  <c r="H848" i="2"/>
  <c r="T846" i="1"/>
  <c r="U847" i="1"/>
  <c r="F848" i="3" l="1"/>
  <c r="AQ848" i="3" s="1"/>
  <c r="H848" i="3"/>
  <c r="M846" i="1"/>
  <c r="K845" i="1"/>
  <c r="E847" i="3"/>
  <c r="N847" i="1"/>
  <c r="AC846" i="1"/>
  <c r="E846" i="2" s="1"/>
  <c r="AB845" i="1"/>
  <c r="T845" i="1"/>
  <c r="U846" i="1"/>
  <c r="F847" i="2"/>
  <c r="AP847" i="2" s="1"/>
  <c r="H847" i="2"/>
  <c r="F847" i="3" l="1"/>
  <c r="AP847" i="3" s="1"/>
  <c r="H847" i="3"/>
  <c r="F846" i="2"/>
  <c r="AP846" i="2" s="1"/>
  <c r="H846" i="2"/>
  <c r="T844" i="1"/>
  <c r="U845" i="1"/>
  <c r="AC845" i="1"/>
  <c r="E845" i="2" s="1"/>
  <c r="AB844" i="1"/>
  <c r="M845" i="1"/>
  <c r="K844" i="1"/>
  <c r="E846" i="3"/>
  <c r="N846" i="1"/>
  <c r="M844" i="1" l="1"/>
  <c r="K843" i="1"/>
  <c r="E845" i="3"/>
  <c r="N845" i="1"/>
  <c r="AC844" i="1"/>
  <c r="E844" i="2" s="1"/>
  <c r="AB843" i="1"/>
  <c r="F845" i="2"/>
  <c r="AP845" i="2" s="1"/>
  <c r="H845" i="2"/>
  <c r="T843" i="1"/>
  <c r="U844" i="1"/>
  <c r="F846" i="3"/>
  <c r="AP846" i="3" s="1"/>
  <c r="H846" i="3"/>
  <c r="F844" i="2" l="1"/>
  <c r="AP844" i="2" s="1"/>
  <c r="H844" i="2"/>
  <c r="F845" i="3"/>
  <c r="AP845" i="3" s="1"/>
  <c r="H845" i="3"/>
  <c r="T842" i="1"/>
  <c r="U843" i="1"/>
  <c r="AC843" i="1"/>
  <c r="E843" i="2" s="1"/>
  <c r="AB842" i="1"/>
  <c r="M843" i="1"/>
  <c r="K842" i="1"/>
  <c r="E844" i="3"/>
  <c r="N844" i="1"/>
  <c r="M842" i="1" l="1"/>
  <c r="K841" i="1"/>
  <c r="E843" i="3"/>
  <c r="N843" i="1"/>
  <c r="AC842" i="1"/>
  <c r="E842" i="2" s="1"/>
  <c r="AB841" i="1"/>
  <c r="F843" i="2"/>
  <c r="AP843" i="2" s="1"/>
  <c r="H843" i="2"/>
  <c r="T841" i="1"/>
  <c r="U842" i="1"/>
  <c r="F844" i="3"/>
  <c r="AP844" i="3" s="1"/>
  <c r="H844" i="3"/>
  <c r="U841" i="1" l="1"/>
  <c r="T840" i="1"/>
  <c r="F842" i="2"/>
  <c r="AP842" i="2" s="1"/>
  <c r="H842" i="2"/>
  <c r="M841" i="1"/>
  <c r="K840" i="1"/>
  <c r="AC841" i="1"/>
  <c r="E841" i="2" s="1"/>
  <c r="AB840" i="1"/>
  <c r="F843" i="3"/>
  <c r="AP843" i="3" s="1"/>
  <c r="H843" i="3"/>
  <c r="E842" i="3"/>
  <c r="N842" i="1"/>
  <c r="F841" i="2" l="1"/>
  <c r="AP841" i="2" s="1"/>
  <c r="H841" i="2"/>
  <c r="M840" i="1"/>
  <c r="K839" i="1"/>
  <c r="E841" i="3"/>
  <c r="N841" i="1"/>
  <c r="T839" i="1"/>
  <c r="U840" i="1"/>
  <c r="AC840" i="1"/>
  <c r="E840" i="2" s="1"/>
  <c r="AB839" i="1"/>
  <c r="F842" i="3"/>
  <c r="AP842" i="3" s="1"/>
  <c r="H842" i="3"/>
  <c r="F840" i="2" l="1"/>
  <c r="AP840" i="2" s="1"/>
  <c r="H840" i="2"/>
  <c r="M839" i="1"/>
  <c r="K838" i="1"/>
  <c r="AC839" i="1"/>
  <c r="E839" i="2" s="1"/>
  <c r="AB838" i="1"/>
  <c r="T838" i="1"/>
  <c r="U839" i="1"/>
  <c r="F841" i="3"/>
  <c r="AP841" i="3" s="1"/>
  <c r="H841" i="3"/>
  <c r="E840" i="3"/>
  <c r="N840" i="1"/>
  <c r="E839" i="3" l="1"/>
  <c r="N839" i="1"/>
  <c r="F839" i="2"/>
  <c r="AP839" i="2" s="1"/>
  <c r="H839" i="2"/>
  <c r="T837" i="1"/>
  <c r="U838" i="1"/>
  <c r="AC838" i="1"/>
  <c r="E838" i="2" s="1"/>
  <c r="AB837" i="1"/>
  <c r="M838" i="1"/>
  <c r="K837" i="1"/>
  <c r="F840" i="3"/>
  <c r="AP840" i="3" s="1"/>
  <c r="H840" i="3"/>
  <c r="E838" i="3" l="1"/>
  <c r="N838" i="1"/>
  <c r="F838" i="2"/>
  <c r="AP838" i="2" s="1"/>
  <c r="H838" i="2"/>
  <c r="T836" i="1"/>
  <c r="U837" i="1"/>
  <c r="M837" i="1"/>
  <c r="K836" i="1"/>
  <c r="AC837" i="1"/>
  <c r="E837" i="2" s="1"/>
  <c r="AB836" i="1"/>
  <c r="F839" i="3"/>
  <c r="AP839" i="3" s="1"/>
  <c r="H839" i="3"/>
  <c r="F837" i="2" l="1"/>
  <c r="AO837" i="2" s="1"/>
  <c r="H837" i="2"/>
  <c r="U836" i="1"/>
  <c r="T835" i="1"/>
  <c r="AC836" i="1"/>
  <c r="E836" i="2" s="1"/>
  <c r="AB835" i="1"/>
  <c r="E837" i="3"/>
  <c r="N837" i="1"/>
  <c r="M836" i="1"/>
  <c r="K835" i="1"/>
  <c r="F838" i="3"/>
  <c r="AP838" i="3" s="1"/>
  <c r="H838" i="3"/>
  <c r="E836" i="3" l="1"/>
  <c r="N836" i="1"/>
  <c r="AC835" i="1"/>
  <c r="E835" i="2" s="1"/>
  <c r="AB834" i="1"/>
  <c r="F836" i="2"/>
  <c r="AO836" i="2" s="1"/>
  <c r="H836" i="2"/>
  <c r="M835" i="1"/>
  <c r="K834" i="1"/>
  <c r="F837" i="3"/>
  <c r="AO837" i="3" s="1"/>
  <c r="H837" i="3"/>
  <c r="T834" i="1"/>
  <c r="U835" i="1"/>
  <c r="AC834" i="1" l="1"/>
  <c r="E834" i="2" s="1"/>
  <c r="AB833" i="1"/>
  <c r="F835" i="2"/>
  <c r="AO835" i="2" s="1"/>
  <c r="H835" i="2"/>
  <c r="M834" i="1"/>
  <c r="K833" i="1"/>
  <c r="E835" i="3"/>
  <c r="N835" i="1"/>
  <c r="T833" i="1"/>
  <c r="U834" i="1"/>
  <c r="F836" i="3"/>
  <c r="AO836" i="3" s="1"/>
  <c r="H836" i="3"/>
  <c r="T832" i="1" l="1"/>
  <c r="U833" i="1"/>
  <c r="M833" i="1"/>
  <c r="K832" i="1"/>
  <c r="F835" i="3"/>
  <c r="AO835" i="3" s="1"/>
  <c r="H835" i="3"/>
  <c r="E834" i="3"/>
  <c r="N834" i="1"/>
  <c r="AC833" i="1"/>
  <c r="E833" i="2" s="1"/>
  <c r="AB832" i="1"/>
  <c r="F834" i="2"/>
  <c r="AO834" i="2" s="1"/>
  <c r="H834" i="2"/>
  <c r="E833" i="3" l="1"/>
  <c r="N833" i="1"/>
  <c r="AC832" i="1"/>
  <c r="E832" i="2" s="1"/>
  <c r="AB831" i="1"/>
  <c r="F833" i="2"/>
  <c r="AO833" i="2" s="1"/>
  <c r="H833" i="2"/>
  <c r="F834" i="3"/>
  <c r="AO834" i="3" s="1"/>
  <c r="H834" i="3"/>
  <c r="M832" i="1"/>
  <c r="K831" i="1"/>
  <c r="T831" i="1"/>
  <c r="U832" i="1"/>
  <c r="M831" i="1" l="1"/>
  <c r="K830" i="1"/>
  <c r="F832" i="2"/>
  <c r="AO832" i="2" s="1"/>
  <c r="H832" i="2"/>
  <c r="E832" i="3"/>
  <c r="N832" i="1"/>
  <c r="AC831" i="1"/>
  <c r="E831" i="2" s="1"/>
  <c r="AB830" i="1"/>
  <c r="U831" i="1"/>
  <c r="T830" i="1"/>
  <c r="F833" i="3"/>
  <c r="AO833" i="3" s="1"/>
  <c r="H833" i="3"/>
  <c r="AC830" i="1" l="1"/>
  <c r="E830" i="2" s="1"/>
  <c r="AB829" i="1"/>
  <c r="F831" i="2"/>
  <c r="AO831" i="2" s="1"/>
  <c r="H831" i="2"/>
  <c r="M830" i="1"/>
  <c r="K829" i="1"/>
  <c r="T829" i="1"/>
  <c r="U830" i="1"/>
  <c r="F832" i="3"/>
  <c r="AO832" i="3" s="1"/>
  <c r="H832" i="3"/>
  <c r="E831" i="3"/>
  <c r="N831" i="1"/>
  <c r="T828" i="1" l="1"/>
  <c r="U829" i="1"/>
  <c r="E830" i="3"/>
  <c r="N830" i="1"/>
  <c r="AC829" i="1"/>
  <c r="E829" i="2" s="1"/>
  <c r="AB828" i="1"/>
  <c r="M829" i="1"/>
  <c r="K828" i="1"/>
  <c r="F831" i="3"/>
  <c r="AO831" i="3" s="1"/>
  <c r="H831" i="3"/>
  <c r="F830" i="2"/>
  <c r="AO830" i="2" s="1"/>
  <c r="H830" i="2"/>
  <c r="E829" i="3" l="1"/>
  <c r="N829" i="1"/>
  <c r="M828" i="1"/>
  <c r="K827" i="1"/>
  <c r="AC828" i="1"/>
  <c r="E828" i="2" s="1"/>
  <c r="AB827" i="1"/>
  <c r="F829" i="2"/>
  <c r="AO829" i="2" s="1"/>
  <c r="H829" i="2"/>
  <c r="F830" i="3"/>
  <c r="AO830" i="3" s="1"/>
  <c r="H830" i="3"/>
  <c r="T827" i="1"/>
  <c r="U828" i="1"/>
  <c r="AC827" i="1" l="1"/>
  <c r="E827" i="2" s="1"/>
  <c r="AB826" i="1"/>
  <c r="F828" i="2"/>
  <c r="AO828" i="2" s="1"/>
  <c r="H828" i="2"/>
  <c r="M827" i="1"/>
  <c r="K826" i="1"/>
  <c r="E828" i="3"/>
  <c r="N828" i="1"/>
  <c r="T826" i="1"/>
  <c r="U827" i="1"/>
  <c r="F829" i="3"/>
  <c r="AO829" i="3" s="1"/>
  <c r="H829" i="3"/>
  <c r="T825" i="1" l="1"/>
  <c r="U826" i="1"/>
  <c r="M826" i="1"/>
  <c r="K825" i="1"/>
  <c r="F828" i="3"/>
  <c r="AO828" i="3" s="1"/>
  <c r="H828" i="3"/>
  <c r="E827" i="3"/>
  <c r="N827" i="1"/>
  <c r="AC826" i="1"/>
  <c r="E826" i="2" s="1"/>
  <c r="AB825" i="1"/>
  <c r="F827" i="2"/>
  <c r="AN827" i="2" s="1"/>
  <c r="H827" i="2"/>
  <c r="AC825" i="1" l="1"/>
  <c r="E825" i="2" s="1"/>
  <c r="AB824" i="1"/>
  <c r="F826" i="2"/>
  <c r="AN826" i="2" s="1"/>
  <c r="H826" i="2"/>
  <c r="M825" i="1"/>
  <c r="K824" i="1"/>
  <c r="F827" i="3"/>
  <c r="AN827" i="3" s="1"/>
  <c r="H827" i="3"/>
  <c r="E826" i="3"/>
  <c r="N826" i="1"/>
  <c r="T824" i="1"/>
  <c r="U825" i="1"/>
  <c r="F826" i="3" l="1"/>
  <c r="AN826" i="3" s="1"/>
  <c r="H826" i="3"/>
  <c r="M824" i="1"/>
  <c r="K823" i="1"/>
  <c r="E825" i="3"/>
  <c r="N825" i="1"/>
  <c r="AC824" i="1"/>
  <c r="E824" i="2" s="1"/>
  <c r="AB823" i="1"/>
  <c r="T823" i="1"/>
  <c r="U824" i="1"/>
  <c r="F825" i="2"/>
  <c r="AN825" i="2" s="1"/>
  <c r="H825" i="2"/>
  <c r="F824" i="2" l="1"/>
  <c r="AN824" i="2" s="1"/>
  <c r="H824" i="2"/>
  <c r="E824" i="3"/>
  <c r="N824" i="1"/>
  <c r="T822" i="1"/>
  <c r="U823" i="1"/>
  <c r="AC823" i="1"/>
  <c r="E823" i="2" s="1"/>
  <c r="AB822" i="1"/>
  <c r="F825" i="3"/>
  <c r="AN825" i="3" s="1"/>
  <c r="H825" i="3"/>
  <c r="M823" i="1"/>
  <c r="K822" i="1"/>
  <c r="AC822" i="1" l="1"/>
  <c r="E822" i="2" s="1"/>
  <c r="AB821" i="1"/>
  <c r="F823" i="2"/>
  <c r="AN823" i="2" s="1"/>
  <c r="H823" i="2"/>
  <c r="U822" i="1"/>
  <c r="T821" i="1"/>
  <c r="F824" i="3"/>
  <c r="AN824" i="3" s="1"/>
  <c r="H824" i="3"/>
  <c r="M822" i="1"/>
  <c r="K821" i="1"/>
  <c r="E823" i="3"/>
  <c r="N823" i="1"/>
  <c r="E822" i="3" l="1"/>
  <c r="N822" i="1"/>
  <c r="U821" i="1"/>
  <c r="T820" i="1"/>
  <c r="M821" i="1"/>
  <c r="K820" i="1"/>
  <c r="AC821" i="1"/>
  <c r="E821" i="2" s="1"/>
  <c r="AB820" i="1"/>
  <c r="F823" i="3"/>
  <c r="AN823" i="3" s="1"/>
  <c r="H823" i="3"/>
  <c r="F822" i="2"/>
  <c r="AN822" i="2" s="1"/>
  <c r="H822" i="2"/>
  <c r="AC820" i="1" l="1"/>
  <c r="E820" i="2" s="1"/>
  <c r="AB819" i="1"/>
  <c r="M820" i="1"/>
  <c r="K819" i="1"/>
  <c r="E821" i="3"/>
  <c r="N821" i="1"/>
  <c r="T819" i="1"/>
  <c r="U820" i="1"/>
  <c r="F821" i="2"/>
  <c r="AN821" i="2" s="1"/>
  <c r="H821" i="2"/>
  <c r="F822" i="3"/>
  <c r="AN822" i="3" s="1"/>
  <c r="H822" i="3"/>
  <c r="F821" i="3" l="1"/>
  <c r="AN821" i="3" s="1"/>
  <c r="H821" i="3"/>
  <c r="E820" i="3"/>
  <c r="N820" i="1"/>
  <c r="AC819" i="1"/>
  <c r="E819" i="2" s="1"/>
  <c r="AB818" i="1"/>
  <c r="T818" i="1"/>
  <c r="U819" i="1"/>
  <c r="M819" i="1"/>
  <c r="K818" i="1"/>
  <c r="F820" i="2"/>
  <c r="AN820" i="2" s="1"/>
  <c r="H820" i="2"/>
  <c r="AC818" i="1" l="1"/>
  <c r="E818" i="2" s="1"/>
  <c r="AB817" i="1"/>
  <c r="M818" i="1"/>
  <c r="K817" i="1"/>
  <c r="F819" i="2"/>
  <c r="AN819" i="2" s="1"/>
  <c r="H819" i="2"/>
  <c r="F820" i="3"/>
  <c r="AN820" i="3" s="1"/>
  <c r="H820" i="3"/>
  <c r="E819" i="3"/>
  <c r="N819" i="1"/>
  <c r="T817" i="1"/>
  <c r="U818" i="1"/>
  <c r="F819" i="3" l="1"/>
  <c r="AN819" i="3" s="1"/>
  <c r="H819" i="3"/>
  <c r="E818" i="3"/>
  <c r="N818" i="1"/>
  <c r="AC817" i="1"/>
  <c r="E817" i="2" s="1"/>
  <c r="AB816" i="1"/>
  <c r="M817" i="1"/>
  <c r="K816" i="1"/>
  <c r="T816" i="1"/>
  <c r="U817" i="1"/>
  <c r="F818" i="2"/>
  <c r="AN818" i="2" s="1"/>
  <c r="H818" i="2"/>
  <c r="M816" i="1" l="1"/>
  <c r="K815" i="1"/>
  <c r="E817" i="3"/>
  <c r="N817" i="1"/>
  <c r="AC816" i="1"/>
  <c r="E816" i="2" s="1"/>
  <c r="AB815" i="1"/>
  <c r="T815" i="1"/>
  <c r="U816" i="1"/>
  <c r="F817" i="2"/>
  <c r="AM817" i="2" s="1"/>
  <c r="H817" i="2"/>
  <c r="F818" i="3"/>
  <c r="AN818" i="3" s="1"/>
  <c r="H818" i="3"/>
  <c r="T814" i="1" l="1"/>
  <c r="U815" i="1"/>
  <c r="AC815" i="1"/>
  <c r="E815" i="2" s="1"/>
  <c r="AB814" i="1"/>
  <c r="F816" i="2"/>
  <c r="AM816" i="2" s="1"/>
  <c r="H816" i="2"/>
  <c r="F817" i="3"/>
  <c r="AM817" i="3" s="1"/>
  <c r="H817" i="3"/>
  <c r="M815" i="1"/>
  <c r="K814" i="1"/>
  <c r="E816" i="3"/>
  <c r="N816" i="1"/>
  <c r="F815" i="2" l="1"/>
  <c r="AM815" i="2" s="1"/>
  <c r="H815" i="2"/>
  <c r="M814" i="1"/>
  <c r="K813" i="1"/>
  <c r="AC814" i="1"/>
  <c r="E814" i="2" s="1"/>
  <c r="AB813" i="1"/>
  <c r="E815" i="3"/>
  <c r="N815" i="1"/>
  <c r="F816" i="3"/>
  <c r="AM816" i="3" s="1"/>
  <c r="H816" i="3"/>
  <c r="T813" i="1"/>
  <c r="U814" i="1"/>
  <c r="F815" i="3" l="1"/>
  <c r="AM815" i="3" s="1"/>
  <c r="H815" i="3"/>
  <c r="AC813" i="1"/>
  <c r="E813" i="2" s="1"/>
  <c r="AB812" i="1"/>
  <c r="F814" i="2"/>
  <c r="AM814" i="2" s="1"/>
  <c r="H814" i="2"/>
  <c r="M813" i="1"/>
  <c r="K812" i="1"/>
  <c r="E814" i="3"/>
  <c r="N814" i="1"/>
  <c r="T812" i="1"/>
  <c r="U813" i="1"/>
  <c r="M812" i="1" l="1"/>
  <c r="K811" i="1"/>
  <c r="AC812" i="1"/>
  <c r="E812" i="2" s="1"/>
  <c r="AB811" i="1"/>
  <c r="F814" i="3"/>
  <c r="AM814" i="3" s="1"/>
  <c r="H814" i="3"/>
  <c r="E813" i="3"/>
  <c r="N813" i="1"/>
  <c r="F813" i="2"/>
  <c r="AM813" i="2" s="1"/>
  <c r="H813" i="2"/>
  <c r="T811" i="1"/>
  <c r="U812" i="1"/>
  <c r="AC811" i="1" l="1"/>
  <c r="E811" i="2" s="1"/>
  <c r="AB810" i="1"/>
  <c r="M811" i="1"/>
  <c r="K810" i="1"/>
  <c r="F813" i="3"/>
  <c r="AM813" i="3" s="1"/>
  <c r="H813" i="3"/>
  <c r="F812" i="2"/>
  <c r="AM812" i="2" s="1"/>
  <c r="H812" i="2"/>
  <c r="U811" i="1"/>
  <c r="T810" i="1"/>
  <c r="E812" i="3"/>
  <c r="N812" i="1"/>
  <c r="E811" i="3" l="1"/>
  <c r="N811" i="1"/>
  <c r="T809" i="1"/>
  <c r="U810" i="1"/>
  <c r="M810" i="1"/>
  <c r="K809" i="1"/>
  <c r="AC810" i="1"/>
  <c r="E810" i="2" s="1"/>
  <c r="AB809" i="1"/>
  <c r="F812" i="3"/>
  <c r="AM812" i="3" s="1"/>
  <c r="H812" i="3"/>
  <c r="F811" i="2"/>
  <c r="AM811" i="2" s="1"/>
  <c r="H811" i="2"/>
  <c r="AC809" i="1" l="1"/>
  <c r="E809" i="2" s="1"/>
  <c r="AB808" i="1"/>
  <c r="F810" i="2"/>
  <c r="AM810" i="2" s="1"/>
  <c r="H810" i="2"/>
  <c r="M809" i="1"/>
  <c r="K808" i="1"/>
  <c r="E810" i="3"/>
  <c r="N810" i="1"/>
  <c r="T808" i="1"/>
  <c r="U809" i="1"/>
  <c r="F811" i="3"/>
  <c r="AM811" i="3" s="1"/>
  <c r="H811" i="3"/>
  <c r="U808" i="1" l="1"/>
  <c r="T807" i="1"/>
  <c r="M808" i="1"/>
  <c r="K807" i="1"/>
  <c r="AC808" i="1"/>
  <c r="E808" i="2" s="1"/>
  <c r="AB807" i="1"/>
  <c r="F810" i="3"/>
  <c r="AM810" i="3" s="1"/>
  <c r="H810" i="3"/>
  <c r="E809" i="3"/>
  <c r="N809" i="1"/>
  <c r="F809" i="2"/>
  <c r="AM809" i="2" s="1"/>
  <c r="H809" i="2"/>
  <c r="F809" i="3" l="1"/>
  <c r="AM809" i="3" s="1"/>
  <c r="H809" i="3"/>
  <c r="F808" i="2"/>
  <c r="AM808" i="2" s="1"/>
  <c r="H808" i="2"/>
  <c r="T806" i="1"/>
  <c r="U807" i="1"/>
  <c r="AC807" i="1"/>
  <c r="E807" i="2" s="1"/>
  <c r="AB806" i="1"/>
  <c r="M807" i="1"/>
  <c r="K806" i="1"/>
  <c r="E808" i="3"/>
  <c r="N808" i="1"/>
  <c r="M806" i="1" l="1"/>
  <c r="K805" i="1"/>
  <c r="E807" i="3"/>
  <c r="N807" i="1"/>
  <c r="AC806" i="1"/>
  <c r="E806" i="2" s="1"/>
  <c r="AB805" i="1"/>
  <c r="F807" i="2"/>
  <c r="AL807" i="2" s="1"/>
  <c r="H807" i="2"/>
  <c r="T805" i="1"/>
  <c r="U806" i="1"/>
  <c r="F808" i="3"/>
  <c r="AM808" i="3" s="1"/>
  <c r="H808" i="3"/>
  <c r="T804" i="1" l="1"/>
  <c r="U805" i="1"/>
  <c r="F806" i="2"/>
  <c r="AL806" i="2" s="1"/>
  <c r="H806" i="2"/>
  <c r="F807" i="3"/>
  <c r="AL807" i="3" s="1"/>
  <c r="H807" i="3"/>
  <c r="AC805" i="1"/>
  <c r="E805" i="2" s="1"/>
  <c r="AB804" i="1"/>
  <c r="M805" i="1"/>
  <c r="K804" i="1"/>
  <c r="E806" i="3"/>
  <c r="N806" i="1"/>
  <c r="M804" i="1" l="1"/>
  <c r="K803" i="1"/>
  <c r="E805" i="3"/>
  <c r="N805" i="1"/>
  <c r="AC804" i="1"/>
  <c r="E804" i="2" s="1"/>
  <c r="AB803" i="1"/>
  <c r="F805" i="2"/>
  <c r="AL805" i="2" s="1"/>
  <c r="H805" i="2"/>
  <c r="F806" i="3"/>
  <c r="AL806" i="3" s="1"/>
  <c r="H806" i="3"/>
  <c r="T803" i="1"/>
  <c r="U804" i="1"/>
  <c r="AC803" i="1" l="1"/>
  <c r="E803" i="2" s="1"/>
  <c r="AB802" i="1"/>
  <c r="F804" i="2"/>
  <c r="AL804" i="2" s="1"/>
  <c r="H804" i="2"/>
  <c r="F805" i="3"/>
  <c r="AL805" i="3" s="1"/>
  <c r="H805" i="3"/>
  <c r="M803" i="1"/>
  <c r="K802" i="1"/>
  <c r="T802" i="1"/>
  <c r="U803" i="1"/>
  <c r="E804" i="3"/>
  <c r="N804" i="1"/>
  <c r="E803" i="3" l="1"/>
  <c r="N803" i="1"/>
  <c r="T801" i="1"/>
  <c r="U802" i="1"/>
  <c r="AC802" i="1"/>
  <c r="E802" i="2" s="1"/>
  <c r="AB801" i="1"/>
  <c r="M802" i="1"/>
  <c r="K801" i="1"/>
  <c r="F804" i="3"/>
  <c r="AL804" i="3" s="1"/>
  <c r="H804" i="3"/>
  <c r="F803" i="2"/>
  <c r="AL803" i="2" s="1"/>
  <c r="H803" i="2"/>
  <c r="E802" i="3" l="1"/>
  <c r="N802" i="1"/>
  <c r="AC801" i="1"/>
  <c r="E801" i="2" s="1"/>
  <c r="AB800" i="1"/>
  <c r="M801" i="1"/>
  <c r="K800" i="1"/>
  <c r="F802" i="2"/>
  <c r="AL802" i="2" s="1"/>
  <c r="H802" i="2"/>
  <c r="U801" i="1"/>
  <c r="T800" i="1"/>
  <c r="F803" i="3"/>
  <c r="AL803" i="3" s="1"/>
  <c r="H803" i="3"/>
  <c r="AC800" i="1" l="1"/>
  <c r="E800" i="2" s="1"/>
  <c r="AB799" i="1"/>
  <c r="T799" i="1"/>
  <c r="U800" i="1"/>
  <c r="M800" i="1"/>
  <c r="K799" i="1"/>
  <c r="E801" i="3"/>
  <c r="N801" i="1"/>
  <c r="F801" i="2"/>
  <c r="AL801" i="2" s="1"/>
  <c r="H801" i="2"/>
  <c r="F802" i="3"/>
  <c r="AL802" i="3" s="1"/>
  <c r="H802" i="3"/>
  <c r="M799" i="1" l="1"/>
  <c r="K798" i="1"/>
  <c r="E800" i="3"/>
  <c r="N800" i="1"/>
  <c r="T798" i="1"/>
  <c r="U799" i="1"/>
  <c r="AC799" i="1"/>
  <c r="E799" i="2" s="1"/>
  <c r="AB798" i="1"/>
  <c r="F801" i="3"/>
  <c r="AL801" i="3" s="1"/>
  <c r="H801" i="3"/>
  <c r="F800" i="2"/>
  <c r="AL800" i="2" s="1"/>
  <c r="H800" i="2"/>
  <c r="F800" i="3" l="1"/>
  <c r="AL800" i="3" s="1"/>
  <c r="H800" i="3"/>
  <c r="AC798" i="1"/>
  <c r="E798" i="2" s="1"/>
  <c r="AB797" i="1"/>
  <c r="M798" i="1"/>
  <c r="K797" i="1"/>
  <c r="F799" i="2"/>
  <c r="AL799" i="2" s="1"/>
  <c r="H799" i="2"/>
  <c r="T797" i="1"/>
  <c r="U798" i="1"/>
  <c r="E799" i="3"/>
  <c r="N799" i="1"/>
  <c r="E798" i="3" l="1"/>
  <c r="N798" i="1"/>
  <c r="T796" i="1"/>
  <c r="U797" i="1"/>
  <c r="M797" i="1"/>
  <c r="K796" i="1"/>
  <c r="AC797" i="1"/>
  <c r="E797" i="2" s="1"/>
  <c r="AB796" i="1"/>
  <c r="F798" i="2"/>
  <c r="AL798" i="2" s="1"/>
  <c r="H798" i="2"/>
  <c r="F799" i="3"/>
  <c r="AL799" i="3" s="1"/>
  <c r="H799" i="3"/>
  <c r="AC796" i="1" l="1"/>
  <c r="E796" i="2" s="1"/>
  <c r="AB795" i="1"/>
  <c r="M796" i="1"/>
  <c r="K795" i="1"/>
  <c r="T795" i="1"/>
  <c r="U796" i="1"/>
  <c r="F797" i="2"/>
  <c r="AK797" i="2" s="1"/>
  <c r="H797" i="2"/>
  <c r="E797" i="3"/>
  <c r="N797" i="1"/>
  <c r="F798" i="3"/>
  <c r="AL798" i="3" s="1"/>
  <c r="H798" i="3"/>
  <c r="F797" i="3" l="1"/>
  <c r="AK797" i="3" s="1"/>
  <c r="H797" i="3"/>
  <c r="E796" i="3"/>
  <c r="N796" i="1"/>
  <c r="M795" i="1"/>
  <c r="K794" i="1"/>
  <c r="AC795" i="1"/>
  <c r="E795" i="2" s="1"/>
  <c r="AB794" i="1"/>
  <c r="T794" i="1"/>
  <c r="U795" i="1"/>
  <c r="F796" i="2"/>
  <c r="AK796" i="2" s="1"/>
  <c r="H796" i="2"/>
  <c r="M794" i="1" l="1"/>
  <c r="K793" i="1"/>
  <c r="T793" i="1"/>
  <c r="U794" i="1"/>
  <c r="AC794" i="1"/>
  <c r="E794" i="2" s="1"/>
  <c r="AB793" i="1"/>
  <c r="F795" i="2"/>
  <c r="AK795" i="2" s="1"/>
  <c r="H795" i="2"/>
  <c r="E795" i="3"/>
  <c r="N795" i="1"/>
  <c r="F796" i="3"/>
  <c r="AK796" i="3" s="1"/>
  <c r="H796" i="3"/>
  <c r="AC793" i="1" l="1"/>
  <c r="E793" i="2" s="1"/>
  <c r="AB792" i="1"/>
  <c r="U793" i="1"/>
  <c r="T792" i="1"/>
  <c r="F795" i="3"/>
  <c r="AK795" i="3" s="1"/>
  <c r="H795" i="3"/>
  <c r="F794" i="2"/>
  <c r="AK794" i="2" s="1"/>
  <c r="H794" i="2"/>
  <c r="M793" i="1"/>
  <c r="K792" i="1"/>
  <c r="E794" i="3"/>
  <c r="N794" i="1"/>
  <c r="E793" i="3" l="1"/>
  <c r="N793" i="1"/>
  <c r="M792" i="1"/>
  <c r="K791" i="1"/>
  <c r="T791" i="1"/>
  <c r="U792" i="1"/>
  <c r="AC792" i="1"/>
  <c r="E792" i="2" s="1"/>
  <c r="AB791" i="1"/>
  <c r="F794" i="3"/>
  <c r="AK794" i="3" s="1"/>
  <c r="H794" i="3"/>
  <c r="F793" i="2"/>
  <c r="AK793" i="2" s="1"/>
  <c r="H793" i="2"/>
  <c r="AC791" i="1" l="1"/>
  <c r="E791" i="2" s="1"/>
  <c r="AB790" i="1"/>
  <c r="M791" i="1"/>
  <c r="K790" i="1"/>
  <c r="F792" i="2"/>
  <c r="AK792" i="2" s="1"/>
  <c r="H792" i="2"/>
  <c r="U791" i="1"/>
  <c r="T790" i="1"/>
  <c r="E792" i="3"/>
  <c r="N792" i="1"/>
  <c r="F793" i="3"/>
  <c r="AK793" i="3" s="1"/>
  <c r="H793" i="3"/>
  <c r="M790" i="1" l="1"/>
  <c r="K789" i="1"/>
  <c r="E791" i="3"/>
  <c r="N791" i="1"/>
  <c r="F792" i="3"/>
  <c r="AK792" i="3" s="1"/>
  <c r="H792" i="3"/>
  <c r="AC790" i="1"/>
  <c r="E790" i="2" s="1"/>
  <c r="AB789" i="1"/>
  <c r="T789" i="1"/>
  <c r="U790" i="1"/>
  <c r="F791" i="2"/>
  <c r="AK791" i="2" s="1"/>
  <c r="H791" i="2"/>
  <c r="F790" i="2" l="1"/>
  <c r="AK790" i="2" s="1"/>
  <c r="H790" i="2"/>
  <c r="T788" i="1"/>
  <c r="U789" i="1"/>
  <c r="AC789" i="1"/>
  <c r="E789" i="2" s="1"/>
  <c r="AB788" i="1"/>
  <c r="F791" i="3"/>
  <c r="AK791" i="3" s="1"/>
  <c r="H791" i="3"/>
  <c r="M789" i="1"/>
  <c r="K788" i="1"/>
  <c r="E790" i="3"/>
  <c r="N790" i="1"/>
  <c r="E789" i="3" l="1"/>
  <c r="N789" i="1"/>
  <c r="M788" i="1"/>
  <c r="K787" i="1"/>
  <c r="AC788" i="1"/>
  <c r="E788" i="2" s="1"/>
  <c r="AB787" i="1"/>
  <c r="T787" i="1"/>
  <c r="U788" i="1"/>
  <c r="F789" i="2"/>
  <c r="AK789" i="2" s="1"/>
  <c r="H789" i="2"/>
  <c r="F790" i="3"/>
  <c r="AK790" i="3" s="1"/>
  <c r="H790" i="3"/>
  <c r="T786" i="1" l="1"/>
  <c r="U787" i="1"/>
  <c r="AC787" i="1"/>
  <c r="E787" i="2" s="1"/>
  <c r="AB786" i="1"/>
  <c r="M787" i="1"/>
  <c r="K786" i="1"/>
  <c r="F788" i="2"/>
  <c r="AK788" i="2" s="1"/>
  <c r="H788" i="2"/>
  <c r="E788" i="3"/>
  <c r="N788" i="1"/>
  <c r="F789" i="3"/>
  <c r="AK789" i="3" s="1"/>
  <c r="H789" i="3"/>
  <c r="F787" i="2" l="1"/>
  <c r="AJ787" i="2" s="1"/>
  <c r="H787" i="2"/>
  <c r="F788" i="3"/>
  <c r="AK788" i="3" s="1"/>
  <c r="H788" i="3"/>
  <c r="E787" i="3"/>
  <c r="N787" i="1"/>
  <c r="M786" i="1"/>
  <c r="K785" i="1"/>
  <c r="AC786" i="1"/>
  <c r="E786" i="2" s="1"/>
  <c r="AB785" i="1"/>
  <c r="T785" i="1"/>
  <c r="U786" i="1"/>
  <c r="AC785" i="1" l="1"/>
  <c r="E785" i="2" s="1"/>
  <c r="AB784" i="1"/>
  <c r="E786" i="3"/>
  <c r="N786" i="1"/>
  <c r="F787" i="3"/>
  <c r="AJ787" i="3" s="1"/>
  <c r="H787" i="3"/>
  <c r="F786" i="2"/>
  <c r="AJ786" i="2" s="1"/>
  <c r="H786" i="2"/>
  <c r="M785" i="1"/>
  <c r="K784" i="1"/>
  <c r="T784" i="1"/>
  <c r="U785" i="1"/>
  <c r="M784" i="1" l="1"/>
  <c r="K783" i="1"/>
  <c r="E785" i="3"/>
  <c r="N785" i="1"/>
  <c r="F786" i="3"/>
  <c r="AJ786" i="3" s="1"/>
  <c r="H786" i="3"/>
  <c r="AC784" i="1"/>
  <c r="E784" i="2" s="1"/>
  <c r="AB783" i="1"/>
  <c r="T783" i="1"/>
  <c r="U784" i="1"/>
  <c r="F785" i="2"/>
  <c r="AJ785" i="2" s="1"/>
  <c r="H785" i="2"/>
  <c r="T782" i="1" l="1"/>
  <c r="U783" i="1"/>
  <c r="AC783" i="1"/>
  <c r="E783" i="2" s="1"/>
  <c r="AB782" i="1"/>
  <c r="F784" i="2"/>
  <c r="AJ784" i="2" s="1"/>
  <c r="H784" i="2"/>
  <c r="F785" i="3"/>
  <c r="AJ785" i="3" s="1"/>
  <c r="H785" i="3"/>
  <c r="M783" i="1"/>
  <c r="K782" i="1"/>
  <c r="E784" i="3"/>
  <c r="N784" i="1"/>
  <c r="F783" i="2" l="1"/>
  <c r="AJ783" i="2" s="1"/>
  <c r="H783" i="2"/>
  <c r="M782" i="1"/>
  <c r="K781" i="1"/>
  <c r="E783" i="3"/>
  <c r="N783" i="1"/>
  <c r="AC782" i="1"/>
  <c r="E782" i="2" s="1"/>
  <c r="AB781" i="1"/>
  <c r="F784" i="3"/>
  <c r="AJ784" i="3" s="1"/>
  <c r="H784" i="3"/>
  <c r="T781" i="1"/>
  <c r="U782" i="1"/>
  <c r="F782" i="2" l="1"/>
  <c r="AJ782" i="2" s="1"/>
  <c r="H782" i="2"/>
  <c r="AC781" i="1"/>
  <c r="E781" i="2" s="1"/>
  <c r="AB780" i="1"/>
  <c r="F783" i="3"/>
  <c r="AJ783" i="3" s="1"/>
  <c r="H783" i="3"/>
  <c r="M781" i="1"/>
  <c r="K780" i="1"/>
  <c r="E782" i="3"/>
  <c r="N782" i="1"/>
  <c r="U781" i="1"/>
  <c r="T780" i="1"/>
  <c r="F782" i="3" l="1"/>
  <c r="AJ782" i="3" s="1"/>
  <c r="H782" i="3"/>
  <c r="E781" i="3"/>
  <c r="N781" i="1"/>
  <c r="M780" i="1"/>
  <c r="K779" i="1"/>
  <c r="AC780" i="1"/>
  <c r="E780" i="2" s="1"/>
  <c r="AB779" i="1"/>
  <c r="F781" i="2"/>
  <c r="AJ781" i="2" s="1"/>
  <c r="H781" i="2"/>
  <c r="T779" i="1"/>
  <c r="U780" i="1"/>
  <c r="E780" i="3" l="1"/>
  <c r="N780" i="1"/>
  <c r="F781" i="3"/>
  <c r="AJ781" i="3" s="1"/>
  <c r="H781" i="3"/>
  <c r="AC779" i="1"/>
  <c r="E779" i="2" s="1"/>
  <c r="AB778" i="1"/>
  <c r="M779" i="1"/>
  <c r="K778" i="1"/>
  <c r="F780" i="2"/>
  <c r="AJ780" i="2" s="1"/>
  <c r="H780" i="2"/>
  <c r="U779" i="1"/>
  <c r="T778" i="1"/>
  <c r="E779" i="3" l="1"/>
  <c r="N779" i="1"/>
  <c r="AC778" i="1"/>
  <c r="E778" i="2" s="1"/>
  <c r="AB777" i="1"/>
  <c r="M778" i="1"/>
  <c r="K777" i="1"/>
  <c r="F779" i="2"/>
  <c r="AJ779" i="2" s="1"/>
  <c r="H779" i="2"/>
  <c r="T777" i="1"/>
  <c r="U778" i="1"/>
  <c r="F780" i="3"/>
  <c r="AJ780" i="3" s="1"/>
  <c r="H780" i="3"/>
  <c r="T776" i="1" l="1"/>
  <c r="U777" i="1"/>
  <c r="M777" i="1"/>
  <c r="K776" i="1"/>
  <c r="E778" i="3"/>
  <c r="N778" i="1"/>
  <c r="AC777" i="1"/>
  <c r="E777" i="2" s="1"/>
  <c r="AB776" i="1"/>
  <c r="F778" i="2"/>
  <c r="AJ778" i="2" s="1"/>
  <c r="H778" i="2"/>
  <c r="F779" i="3"/>
  <c r="AJ779" i="3" s="1"/>
  <c r="H779" i="3"/>
  <c r="F778" i="3" l="1"/>
  <c r="AJ778" i="3" s="1"/>
  <c r="H778" i="3"/>
  <c r="M776" i="1"/>
  <c r="K775" i="1"/>
  <c r="E777" i="3"/>
  <c r="N777" i="1"/>
  <c r="F777" i="2"/>
  <c r="AI777" i="2" s="1"/>
  <c r="H777" i="2"/>
  <c r="AC776" i="1"/>
  <c r="E776" i="2" s="1"/>
  <c r="AB775" i="1"/>
  <c r="T775" i="1"/>
  <c r="U776" i="1"/>
  <c r="AC775" i="1" l="1"/>
  <c r="E775" i="2" s="1"/>
  <c r="AB774" i="1"/>
  <c r="E776" i="3"/>
  <c r="N776" i="1"/>
  <c r="F776" i="2"/>
  <c r="AI776" i="2" s="1"/>
  <c r="H776" i="2"/>
  <c r="F777" i="3"/>
  <c r="AI777" i="3" s="1"/>
  <c r="H777" i="3"/>
  <c r="M775" i="1"/>
  <c r="K774" i="1"/>
  <c r="T774" i="1"/>
  <c r="U775" i="1"/>
  <c r="M774" i="1" l="1"/>
  <c r="K773" i="1"/>
  <c r="F776" i="3"/>
  <c r="AI776" i="3" s="1"/>
  <c r="H776" i="3"/>
  <c r="E775" i="3"/>
  <c r="N775" i="1"/>
  <c r="AC774" i="1"/>
  <c r="E774" i="2" s="1"/>
  <c r="AB773" i="1"/>
  <c r="T773" i="1"/>
  <c r="U774" i="1"/>
  <c r="F775" i="2"/>
  <c r="AI775" i="2" s="1"/>
  <c r="H775" i="2"/>
  <c r="F774" i="2" l="1"/>
  <c r="AI774" i="2" s="1"/>
  <c r="H774" i="2"/>
  <c r="F775" i="3"/>
  <c r="AI775" i="3" s="1"/>
  <c r="H775" i="3"/>
  <c r="T772" i="1"/>
  <c r="U773" i="1"/>
  <c r="M773" i="1"/>
  <c r="K772" i="1"/>
  <c r="AC773" i="1"/>
  <c r="E773" i="2" s="1"/>
  <c r="AB772" i="1"/>
  <c r="E774" i="3"/>
  <c r="N774" i="1"/>
  <c r="M772" i="1" l="1"/>
  <c r="K771" i="1"/>
  <c r="F773" i="2"/>
  <c r="AI773" i="2" s="1"/>
  <c r="H773" i="2"/>
  <c r="AC772" i="1"/>
  <c r="E772" i="2" s="1"/>
  <c r="AB771" i="1"/>
  <c r="E773" i="3"/>
  <c r="N773" i="1"/>
  <c r="T771" i="1"/>
  <c r="U772" i="1"/>
  <c r="F774" i="3"/>
  <c r="AI774" i="3" s="1"/>
  <c r="H774" i="3"/>
  <c r="U771" i="1" l="1"/>
  <c r="T770" i="1"/>
  <c r="AC771" i="1"/>
  <c r="E771" i="2" s="1"/>
  <c r="AB770" i="1"/>
  <c r="F773" i="3"/>
  <c r="AI773" i="3" s="1"/>
  <c r="H773" i="3"/>
  <c r="F772" i="2"/>
  <c r="AI772" i="2" s="1"/>
  <c r="H772" i="2"/>
  <c r="M771" i="1"/>
  <c r="K770" i="1"/>
  <c r="E772" i="3"/>
  <c r="N772" i="1"/>
  <c r="E771" i="3" l="1"/>
  <c r="N771" i="1"/>
  <c r="M770" i="1"/>
  <c r="K769" i="1"/>
  <c r="F771" i="2"/>
  <c r="AI771" i="2" s="1"/>
  <c r="H771" i="2"/>
  <c r="T769" i="1"/>
  <c r="U770" i="1"/>
  <c r="AC770" i="1"/>
  <c r="E770" i="2" s="1"/>
  <c r="AB769" i="1"/>
  <c r="F772" i="3"/>
  <c r="AI772" i="3" s="1"/>
  <c r="H772" i="3"/>
  <c r="AC769" i="1" l="1"/>
  <c r="E769" i="2" s="1"/>
  <c r="AB768" i="1"/>
  <c r="F770" i="2"/>
  <c r="AI770" i="2" s="1"/>
  <c r="H770" i="2"/>
  <c r="T768" i="1"/>
  <c r="U769" i="1"/>
  <c r="M769" i="1"/>
  <c r="K768" i="1"/>
  <c r="E770" i="3"/>
  <c r="N770" i="1"/>
  <c r="F771" i="3"/>
  <c r="AI771" i="3" s="1"/>
  <c r="H771" i="3"/>
  <c r="F770" i="3" l="1"/>
  <c r="AI770" i="3" s="1"/>
  <c r="H770" i="3"/>
  <c r="E769" i="3"/>
  <c r="N769" i="1"/>
  <c r="AC768" i="1"/>
  <c r="E768" i="2" s="1"/>
  <c r="AB767" i="1"/>
  <c r="M768" i="1"/>
  <c r="K767" i="1"/>
  <c r="T767" i="1"/>
  <c r="U768" i="1"/>
  <c r="F769" i="2"/>
  <c r="AI769" i="2" s="1"/>
  <c r="H769" i="2"/>
  <c r="AC767" i="1" l="1"/>
  <c r="E767" i="2" s="1"/>
  <c r="AB766" i="1"/>
  <c r="T766" i="1"/>
  <c r="U767" i="1"/>
  <c r="M767" i="1"/>
  <c r="K766" i="1"/>
  <c r="E768" i="3"/>
  <c r="N768" i="1"/>
  <c r="F768" i="2"/>
  <c r="AI768" i="2" s="1"/>
  <c r="H768" i="2"/>
  <c r="F769" i="3"/>
  <c r="AI769" i="3" s="1"/>
  <c r="H769" i="3"/>
  <c r="F768" i="3" l="1"/>
  <c r="AI768" i="3" s="1"/>
  <c r="H768" i="3"/>
  <c r="AC766" i="1"/>
  <c r="E766" i="2" s="1"/>
  <c r="AB765" i="1"/>
  <c r="M766" i="1"/>
  <c r="K765" i="1"/>
  <c r="E767" i="3"/>
  <c r="N767" i="1"/>
  <c r="T765" i="1"/>
  <c r="U766" i="1"/>
  <c r="F767" i="2"/>
  <c r="AH767" i="2" s="1"/>
  <c r="H767" i="2"/>
  <c r="F767" i="3" l="1"/>
  <c r="AH767" i="3" s="1"/>
  <c r="H767" i="3"/>
  <c r="F766" i="2"/>
  <c r="AH766" i="2" s="1"/>
  <c r="H766" i="2"/>
  <c r="M765" i="1"/>
  <c r="K764" i="1"/>
  <c r="AC765" i="1"/>
  <c r="E765" i="2" s="1"/>
  <c r="AB764" i="1"/>
  <c r="U765" i="1"/>
  <c r="T764" i="1"/>
  <c r="E766" i="3"/>
  <c r="N766" i="1"/>
  <c r="T763" i="1" l="1"/>
  <c r="U764" i="1"/>
  <c r="F765" i="2"/>
  <c r="AH765" i="2" s="1"/>
  <c r="H765" i="2"/>
  <c r="E765" i="3"/>
  <c r="N765" i="1"/>
  <c r="AC764" i="1"/>
  <c r="E764" i="2" s="1"/>
  <c r="AB763" i="1"/>
  <c r="M764" i="1"/>
  <c r="K763" i="1"/>
  <c r="F766" i="3"/>
  <c r="AH766" i="3" s="1"/>
  <c r="H766" i="3"/>
  <c r="M763" i="1" l="1"/>
  <c r="K762" i="1"/>
  <c r="E764" i="3"/>
  <c r="N764" i="1"/>
  <c r="AC763" i="1"/>
  <c r="E763" i="2" s="1"/>
  <c r="AB762" i="1"/>
  <c r="F764" i="2"/>
  <c r="AH764" i="2" s="1"/>
  <c r="H764" i="2"/>
  <c r="F765" i="3"/>
  <c r="AH765" i="3" s="1"/>
  <c r="H765" i="3"/>
  <c r="T762" i="1"/>
  <c r="U763" i="1"/>
  <c r="AC762" i="1" l="1"/>
  <c r="E762" i="2" s="1"/>
  <c r="AB761" i="1"/>
  <c r="M762" i="1"/>
  <c r="K761" i="1"/>
  <c r="F763" i="2"/>
  <c r="AH763" i="2" s="1"/>
  <c r="H763" i="2"/>
  <c r="F764" i="3"/>
  <c r="AH764" i="3" s="1"/>
  <c r="H764" i="3"/>
  <c r="T761" i="1"/>
  <c r="U762" i="1"/>
  <c r="E763" i="3"/>
  <c r="N763" i="1"/>
  <c r="U761" i="1" l="1"/>
  <c r="T760" i="1"/>
  <c r="AC761" i="1"/>
  <c r="E761" i="2" s="1"/>
  <c r="AB760" i="1"/>
  <c r="M761" i="1"/>
  <c r="K760" i="1"/>
  <c r="E762" i="3"/>
  <c r="N762" i="1"/>
  <c r="F763" i="3"/>
  <c r="AH763" i="3" s="1"/>
  <c r="H763" i="3"/>
  <c r="F762" i="2"/>
  <c r="AH762" i="2" s="1"/>
  <c r="H762" i="2"/>
  <c r="F761" i="2" l="1"/>
  <c r="AH761" i="2" s="1"/>
  <c r="H761" i="2"/>
  <c r="F762" i="3"/>
  <c r="AH762" i="3" s="1"/>
  <c r="H762" i="3"/>
  <c r="M760" i="1"/>
  <c r="K759" i="1"/>
  <c r="E761" i="3"/>
  <c r="N761" i="1"/>
  <c r="T759" i="1"/>
  <c r="U760" i="1"/>
  <c r="AC760" i="1"/>
  <c r="E760" i="2" s="1"/>
  <c r="AB759" i="1"/>
  <c r="M759" i="1" l="1"/>
  <c r="K758" i="1"/>
  <c r="AC759" i="1"/>
  <c r="E759" i="2" s="1"/>
  <c r="AB758" i="1"/>
  <c r="T758" i="1"/>
  <c r="U759" i="1"/>
  <c r="F761" i="3"/>
  <c r="AH761" i="3" s="1"/>
  <c r="H761" i="3"/>
  <c r="E760" i="3"/>
  <c r="N760" i="1"/>
  <c r="F760" i="2"/>
  <c r="AH760" i="2" s="1"/>
  <c r="H760" i="2"/>
  <c r="F760" i="3" l="1"/>
  <c r="AH760" i="3" s="1"/>
  <c r="H760" i="3"/>
  <c r="F759" i="2"/>
  <c r="AH759" i="2" s="1"/>
  <c r="H759" i="2"/>
  <c r="AC758" i="1"/>
  <c r="E758" i="2" s="1"/>
  <c r="AB757" i="1"/>
  <c r="M758" i="1"/>
  <c r="K757" i="1"/>
  <c r="T757" i="1"/>
  <c r="U758" i="1"/>
  <c r="E759" i="3"/>
  <c r="N759" i="1"/>
  <c r="AC757" i="1" l="1"/>
  <c r="E757" i="2" s="1"/>
  <c r="AB756" i="1"/>
  <c r="T756" i="1"/>
  <c r="U757" i="1"/>
  <c r="M757" i="1"/>
  <c r="K756" i="1"/>
  <c r="E758" i="3"/>
  <c r="N758" i="1"/>
  <c r="F758" i="2"/>
  <c r="AH758" i="2" s="1"/>
  <c r="H758" i="2"/>
  <c r="F759" i="3"/>
  <c r="AH759" i="3" s="1"/>
  <c r="H759" i="3"/>
  <c r="E757" i="3" l="1"/>
  <c r="N757" i="1"/>
  <c r="F758" i="3"/>
  <c r="AH758" i="3" s="1"/>
  <c r="H758" i="3"/>
  <c r="M756" i="1"/>
  <c r="K755" i="1"/>
  <c r="T755" i="1"/>
  <c r="U756" i="1"/>
  <c r="AC756" i="1"/>
  <c r="E756" i="2" s="1"/>
  <c r="AB755" i="1"/>
  <c r="F757" i="2"/>
  <c r="AG757" i="2" s="1"/>
  <c r="H757" i="2"/>
  <c r="F756" i="2" l="1"/>
  <c r="AG756" i="2" s="1"/>
  <c r="H756" i="2"/>
  <c r="E756" i="3"/>
  <c r="N756" i="1"/>
  <c r="AC755" i="1"/>
  <c r="E755" i="2" s="1"/>
  <c r="AB754" i="1"/>
  <c r="T754" i="1"/>
  <c r="U755" i="1"/>
  <c r="M755" i="1"/>
  <c r="K754" i="1"/>
  <c r="F757" i="3"/>
  <c r="AG757" i="3" s="1"/>
  <c r="H757" i="3"/>
  <c r="T753" i="1" l="1"/>
  <c r="U754" i="1"/>
  <c r="F755" i="2"/>
  <c r="AG755" i="2" s="1"/>
  <c r="H755" i="2"/>
  <c r="M754" i="1"/>
  <c r="K753" i="1"/>
  <c r="E755" i="3"/>
  <c r="N755" i="1"/>
  <c r="AC754" i="1"/>
  <c r="E754" i="2" s="1"/>
  <c r="AB753" i="1"/>
  <c r="F756" i="3"/>
  <c r="AG756" i="3" s="1"/>
  <c r="H756" i="3"/>
  <c r="AC753" i="1" l="1"/>
  <c r="E753" i="2" s="1"/>
  <c r="AB752" i="1"/>
  <c r="M753" i="1"/>
  <c r="K752" i="1"/>
  <c r="F754" i="2"/>
  <c r="AG754" i="2" s="1"/>
  <c r="H754" i="2"/>
  <c r="F755" i="3"/>
  <c r="AG755" i="3" s="1"/>
  <c r="H755" i="3"/>
  <c r="E754" i="3"/>
  <c r="N754" i="1"/>
  <c r="T752" i="1"/>
  <c r="U753" i="1"/>
  <c r="E753" i="3" l="1"/>
  <c r="N753" i="1"/>
  <c r="F754" i="3"/>
  <c r="AG754" i="3" s="1"/>
  <c r="H754" i="3"/>
  <c r="M752" i="1"/>
  <c r="K751" i="1"/>
  <c r="AC752" i="1"/>
  <c r="E752" i="2" s="1"/>
  <c r="AB751" i="1"/>
  <c r="T751" i="1"/>
  <c r="U752" i="1"/>
  <c r="F753" i="2"/>
  <c r="AG753" i="2" s="1"/>
  <c r="H753" i="2"/>
  <c r="U751" i="1" l="1"/>
  <c r="T750" i="1"/>
  <c r="F752" i="2"/>
  <c r="AG752" i="2" s="1"/>
  <c r="H752" i="2"/>
  <c r="M751" i="1"/>
  <c r="K750" i="1"/>
  <c r="E752" i="3"/>
  <c r="N752" i="1"/>
  <c r="AC751" i="1"/>
  <c r="E751" i="2" s="1"/>
  <c r="AB750" i="1"/>
  <c r="F753" i="3"/>
  <c r="AG753" i="3" s="1"/>
  <c r="H753" i="3"/>
  <c r="F752" i="3" l="1"/>
  <c r="AG752" i="3" s="1"/>
  <c r="H752" i="3"/>
  <c r="M750" i="1"/>
  <c r="K749" i="1"/>
  <c r="F751" i="2"/>
  <c r="AG751" i="2" s="1"/>
  <c r="H751" i="2"/>
  <c r="T749" i="1"/>
  <c r="U750" i="1"/>
  <c r="AC750" i="1"/>
  <c r="E750" i="2" s="1"/>
  <c r="AB749" i="1"/>
  <c r="E751" i="3"/>
  <c r="N751" i="1"/>
  <c r="AC749" i="1" l="1"/>
  <c r="E749" i="2" s="1"/>
  <c r="AB748" i="1"/>
  <c r="T748" i="1"/>
  <c r="U749" i="1"/>
  <c r="E750" i="3"/>
  <c r="N750" i="1"/>
  <c r="F750" i="2"/>
  <c r="AG750" i="2" s="1"/>
  <c r="H750" i="2"/>
  <c r="M749" i="1"/>
  <c r="K748" i="1"/>
  <c r="F751" i="3"/>
  <c r="AG751" i="3" s="1"/>
  <c r="H751" i="3"/>
  <c r="M748" i="1" l="1"/>
  <c r="K747" i="1"/>
  <c r="AC748" i="1"/>
  <c r="E748" i="2" s="1"/>
  <c r="AB747" i="1"/>
  <c r="E749" i="3"/>
  <c r="N749" i="1"/>
  <c r="F750" i="3"/>
  <c r="AG750" i="3" s="1"/>
  <c r="H750" i="3"/>
  <c r="T747" i="1"/>
  <c r="U748" i="1"/>
  <c r="F749" i="2"/>
  <c r="AG749" i="2" s="1"/>
  <c r="H749" i="2"/>
  <c r="F748" i="2" l="1"/>
  <c r="AG748" i="2" s="1"/>
  <c r="H748" i="2"/>
  <c r="F749" i="3"/>
  <c r="AG749" i="3" s="1"/>
  <c r="H749" i="3"/>
  <c r="AC747" i="1"/>
  <c r="E747" i="2" s="1"/>
  <c r="AB746" i="1"/>
  <c r="M747" i="1"/>
  <c r="K746" i="1"/>
  <c r="T746" i="1"/>
  <c r="U747" i="1"/>
  <c r="E748" i="3"/>
  <c r="N748" i="1"/>
  <c r="AC746" i="1" l="1"/>
  <c r="E746" i="2" s="1"/>
  <c r="AB745" i="1"/>
  <c r="M746" i="1"/>
  <c r="K745" i="1"/>
  <c r="F747" i="2"/>
  <c r="AF747" i="2" s="1"/>
  <c r="H747" i="2"/>
  <c r="T745" i="1"/>
  <c r="U746" i="1"/>
  <c r="E747" i="3"/>
  <c r="N747" i="1"/>
  <c r="F748" i="3"/>
  <c r="AG748" i="3" s="1"/>
  <c r="H748" i="3"/>
  <c r="E746" i="3" l="1"/>
  <c r="N746" i="1"/>
  <c r="F747" i="3"/>
  <c r="AF747" i="3" s="1"/>
  <c r="H747" i="3"/>
  <c r="T744" i="1"/>
  <c r="U745" i="1"/>
  <c r="M745" i="1"/>
  <c r="K744" i="1"/>
  <c r="AC745" i="1"/>
  <c r="E745" i="2" s="1"/>
  <c r="AB744" i="1"/>
  <c r="F746" i="2"/>
  <c r="AF746" i="2" s="1"/>
  <c r="H746" i="2"/>
  <c r="AC744" i="1" l="1"/>
  <c r="E744" i="2" s="1"/>
  <c r="AB743" i="1"/>
  <c r="M744" i="1"/>
  <c r="K743" i="1"/>
  <c r="E745" i="3"/>
  <c r="N745" i="1"/>
  <c r="T743" i="1"/>
  <c r="U744" i="1"/>
  <c r="F745" i="2"/>
  <c r="AF745" i="2" s="1"/>
  <c r="H745" i="2"/>
  <c r="F746" i="3"/>
  <c r="AF746" i="3" s="1"/>
  <c r="H746" i="3"/>
  <c r="M743" i="1" l="1"/>
  <c r="K742" i="1"/>
  <c r="E744" i="3"/>
  <c r="N744" i="1"/>
  <c r="AC743" i="1"/>
  <c r="E743" i="2" s="1"/>
  <c r="AB742" i="1"/>
  <c r="T742" i="1"/>
  <c r="U743" i="1"/>
  <c r="F745" i="3"/>
  <c r="AF745" i="3" s="1"/>
  <c r="H745" i="3"/>
  <c r="F744" i="2"/>
  <c r="AF744" i="2" s="1"/>
  <c r="H744" i="2"/>
  <c r="T741" i="1" l="1"/>
  <c r="U742" i="1"/>
  <c r="F743" i="2"/>
  <c r="AF743" i="2" s="1"/>
  <c r="H743" i="2"/>
  <c r="AC742" i="1"/>
  <c r="E742" i="2" s="1"/>
  <c r="AB741" i="1"/>
  <c r="F744" i="3"/>
  <c r="AF744" i="3" s="1"/>
  <c r="H744" i="3"/>
  <c r="M742" i="1"/>
  <c r="K741" i="1"/>
  <c r="E743" i="3"/>
  <c r="N743" i="1"/>
  <c r="E742" i="3" l="1"/>
  <c r="N742" i="1"/>
  <c r="M741" i="1"/>
  <c r="K740" i="1"/>
  <c r="AC741" i="1"/>
  <c r="E741" i="2" s="1"/>
  <c r="AB740" i="1"/>
  <c r="F742" i="2"/>
  <c r="AF742" i="2" s="1"/>
  <c r="H742" i="2"/>
  <c r="F743" i="3"/>
  <c r="AF743" i="3" s="1"/>
  <c r="H743" i="3"/>
  <c r="U741" i="1"/>
  <c r="T740" i="1"/>
  <c r="AC740" i="1" l="1"/>
  <c r="E740" i="2" s="1"/>
  <c r="AB739" i="1"/>
  <c r="F741" i="2"/>
  <c r="AF741" i="2" s="1"/>
  <c r="H741" i="2"/>
  <c r="M740" i="1"/>
  <c r="K739" i="1"/>
  <c r="E741" i="3"/>
  <c r="N741" i="1"/>
  <c r="T739" i="1"/>
  <c r="U740" i="1"/>
  <c r="F742" i="3"/>
  <c r="AF742" i="3" s="1"/>
  <c r="H742" i="3"/>
  <c r="M739" i="1" l="1"/>
  <c r="K738" i="1"/>
  <c r="T738" i="1"/>
  <c r="U739" i="1"/>
  <c r="F741" i="3"/>
  <c r="AF741" i="3" s="1"/>
  <c r="H741" i="3"/>
  <c r="AC739" i="1"/>
  <c r="E739" i="2" s="1"/>
  <c r="AB738" i="1"/>
  <c r="E740" i="3"/>
  <c r="N740" i="1"/>
  <c r="F740" i="2"/>
  <c r="AF740" i="2" s="1"/>
  <c r="H740" i="2"/>
  <c r="F740" i="3" l="1"/>
  <c r="AF740" i="3" s="1"/>
  <c r="H740" i="3"/>
  <c r="M738" i="1"/>
  <c r="K737" i="1"/>
  <c r="AC738" i="1"/>
  <c r="E738" i="2" s="1"/>
  <c r="AB737" i="1"/>
  <c r="F739" i="2"/>
  <c r="AF739" i="2" s="1"/>
  <c r="H739" i="2"/>
  <c r="T737" i="1"/>
  <c r="U738" i="1"/>
  <c r="E739" i="3"/>
  <c r="N739" i="1"/>
  <c r="AC737" i="1" l="1"/>
  <c r="E737" i="2" s="1"/>
  <c r="AB736" i="1"/>
  <c r="E738" i="3"/>
  <c r="N738" i="1"/>
  <c r="T736" i="1"/>
  <c r="U737" i="1"/>
  <c r="F738" i="2"/>
  <c r="AF738" i="2" s="1"/>
  <c r="H738" i="2"/>
  <c r="M737" i="1"/>
  <c r="K736" i="1"/>
  <c r="F739" i="3"/>
  <c r="AF739" i="3" s="1"/>
  <c r="H739" i="3"/>
  <c r="E737" i="3" l="1"/>
  <c r="N737" i="1"/>
  <c r="U736" i="1"/>
  <c r="T735" i="1"/>
  <c r="AC736" i="1"/>
  <c r="E736" i="2" s="1"/>
  <c r="AB735" i="1"/>
  <c r="M736" i="1"/>
  <c r="K735" i="1"/>
  <c r="F738" i="3"/>
  <c r="AF738" i="3" s="1"/>
  <c r="H738" i="3"/>
  <c r="F737" i="2"/>
  <c r="AE737" i="2" s="1"/>
  <c r="H737" i="2"/>
  <c r="E736" i="3" l="1"/>
  <c r="N736" i="1"/>
  <c r="F736" i="2"/>
  <c r="AE736" i="2" s="1"/>
  <c r="H736" i="2"/>
  <c r="T734" i="1"/>
  <c r="U735" i="1"/>
  <c r="M735" i="1"/>
  <c r="K734" i="1"/>
  <c r="AC735" i="1"/>
  <c r="E735" i="2" s="1"/>
  <c r="AB734" i="1"/>
  <c r="F737" i="3"/>
  <c r="AE737" i="3" s="1"/>
  <c r="H737" i="3"/>
  <c r="AC734" i="1" l="1"/>
  <c r="E734" i="2" s="1"/>
  <c r="AB733" i="1"/>
  <c r="M734" i="1"/>
  <c r="K733" i="1"/>
  <c r="E735" i="3"/>
  <c r="N735" i="1"/>
  <c r="T733" i="1"/>
  <c r="U734" i="1"/>
  <c r="F735" i="2"/>
  <c r="AE735" i="2" s="1"/>
  <c r="H735" i="2"/>
  <c r="F736" i="3"/>
  <c r="AE736" i="3" s="1"/>
  <c r="H736" i="3"/>
  <c r="E734" i="3" l="1"/>
  <c r="N734" i="1"/>
  <c r="M733" i="1"/>
  <c r="K732" i="1"/>
  <c r="AC733" i="1"/>
  <c r="E733" i="2" s="1"/>
  <c r="AB732" i="1"/>
  <c r="T732" i="1"/>
  <c r="U733" i="1"/>
  <c r="F735" i="3"/>
  <c r="AE735" i="3" s="1"/>
  <c r="H735" i="3"/>
  <c r="F734" i="2"/>
  <c r="AE734" i="2" s="1"/>
  <c r="H734" i="2"/>
  <c r="T731" i="1" l="1"/>
  <c r="U732" i="1"/>
  <c r="AC732" i="1"/>
  <c r="E732" i="2" s="1"/>
  <c r="AB731" i="1"/>
  <c r="M732" i="1"/>
  <c r="K731" i="1"/>
  <c r="F733" i="2"/>
  <c r="AE733" i="2" s="1"/>
  <c r="H733" i="2"/>
  <c r="E733" i="3"/>
  <c r="N733" i="1"/>
  <c r="F734" i="3"/>
  <c r="AE734" i="3" s="1"/>
  <c r="H734" i="3"/>
  <c r="F733" i="3" l="1"/>
  <c r="AE733" i="3" s="1"/>
  <c r="H733" i="3"/>
  <c r="M731" i="1"/>
  <c r="K730" i="1"/>
  <c r="E732" i="3"/>
  <c r="N732" i="1"/>
  <c r="AC731" i="1"/>
  <c r="E731" i="2" s="1"/>
  <c r="AB730" i="1"/>
  <c r="F732" i="2"/>
  <c r="AE732" i="2" s="1"/>
  <c r="H732" i="2"/>
  <c r="U731" i="1"/>
  <c r="T730" i="1"/>
  <c r="F731" i="2" l="1"/>
  <c r="AE731" i="2" s="1"/>
  <c r="H731" i="2"/>
  <c r="M730" i="1"/>
  <c r="K729" i="1"/>
  <c r="AC730" i="1"/>
  <c r="E730" i="2" s="1"/>
  <c r="AB729" i="1"/>
  <c r="F732" i="3"/>
  <c r="AE732" i="3" s="1"/>
  <c r="H732" i="3"/>
  <c r="E731" i="3"/>
  <c r="N731" i="1"/>
  <c r="T729" i="1"/>
  <c r="U730" i="1"/>
  <c r="F731" i="3" l="1"/>
  <c r="AE731" i="3" s="1"/>
  <c r="H731" i="3"/>
  <c r="F730" i="2"/>
  <c r="AE730" i="2" s="1"/>
  <c r="H730" i="2"/>
  <c r="AC729" i="1"/>
  <c r="E729" i="2" s="1"/>
  <c r="AB728" i="1"/>
  <c r="M729" i="1"/>
  <c r="K728" i="1"/>
  <c r="E730" i="3"/>
  <c r="N730" i="1"/>
  <c r="T728" i="1"/>
  <c r="U729" i="1"/>
  <c r="M728" i="1" l="1"/>
  <c r="K727" i="1"/>
  <c r="AC728" i="1"/>
  <c r="E728" i="2" s="1"/>
  <c r="AB727" i="1"/>
  <c r="F730" i="3"/>
  <c r="AE730" i="3" s="1"/>
  <c r="H730" i="3"/>
  <c r="E729" i="3"/>
  <c r="N729" i="1"/>
  <c r="F729" i="2"/>
  <c r="AE729" i="2" s="1"/>
  <c r="H729" i="2"/>
  <c r="T727" i="1"/>
  <c r="U728" i="1"/>
  <c r="F729" i="3" l="1"/>
  <c r="AE729" i="3" s="1"/>
  <c r="H729" i="3"/>
  <c r="F728" i="2"/>
  <c r="AE728" i="2" s="1"/>
  <c r="H728" i="2"/>
  <c r="M727" i="1"/>
  <c r="K726" i="1"/>
  <c r="AC727" i="1"/>
  <c r="E727" i="2" s="1"/>
  <c r="AB726" i="1"/>
  <c r="T726" i="1"/>
  <c r="U727" i="1"/>
  <c r="E728" i="3"/>
  <c r="N728" i="1"/>
  <c r="F727" i="2" l="1"/>
  <c r="AD727" i="2" s="1"/>
  <c r="H727" i="2"/>
  <c r="E727" i="3"/>
  <c r="N727" i="1"/>
  <c r="T725" i="1"/>
  <c r="U726" i="1"/>
  <c r="AC726" i="1"/>
  <c r="E726" i="2" s="1"/>
  <c r="AB725" i="1"/>
  <c r="M726" i="1"/>
  <c r="K725" i="1"/>
  <c r="F728" i="3"/>
  <c r="AE728" i="3" s="1"/>
  <c r="H728" i="3"/>
  <c r="T724" i="1" l="1"/>
  <c r="U725" i="1"/>
  <c r="F726" i="2"/>
  <c r="AD726" i="2" s="1"/>
  <c r="H726" i="2"/>
  <c r="M725" i="1"/>
  <c r="K724" i="1"/>
  <c r="E726" i="3"/>
  <c r="N726" i="1"/>
  <c r="AC725" i="1"/>
  <c r="E725" i="2" s="1"/>
  <c r="AB724" i="1"/>
  <c r="F727" i="3"/>
  <c r="AD727" i="3" s="1"/>
  <c r="H727" i="3"/>
  <c r="AC724" i="1" l="1"/>
  <c r="E724" i="2" s="1"/>
  <c r="AB723" i="1"/>
  <c r="F725" i="2"/>
  <c r="AD725" i="2" s="1"/>
  <c r="H725" i="2"/>
  <c r="F726" i="3"/>
  <c r="AD726" i="3" s="1"/>
  <c r="H726" i="3"/>
  <c r="M724" i="1"/>
  <c r="K723" i="1"/>
  <c r="E725" i="3"/>
  <c r="N725" i="1"/>
  <c r="T723" i="1"/>
  <c r="U724" i="1"/>
  <c r="F725" i="3" l="1"/>
  <c r="AD725" i="3" s="1"/>
  <c r="H725" i="3"/>
  <c r="M723" i="1"/>
  <c r="K722" i="1"/>
  <c r="E724" i="3"/>
  <c r="N724" i="1"/>
  <c r="AC723" i="1"/>
  <c r="E723" i="2" s="1"/>
  <c r="AB722" i="1"/>
  <c r="T722" i="1"/>
  <c r="U723" i="1"/>
  <c r="F724" i="2"/>
  <c r="AD724" i="2" s="1"/>
  <c r="H724" i="2"/>
  <c r="U722" i="1" l="1"/>
  <c r="T721" i="1"/>
  <c r="E723" i="3"/>
  <c r="N723" i="1"/>
  <c r="AC722" i="1"/>
  <c r="E722" i="2" s="1"/>
  <c r="AB721" i="1"/>
  <c r="F724" i="3"/>
  <c r="AD724" i="3" s="1"/>
  <c r="H724" i="3"/>
  <c r="F723" i="2"/>
  <c r="AD723" i="2" s="1"/>
  <c r="H723" i="2"/>
  <c r="M722" i="1"/>
  <c r="K721" i="1"/>
  <c r="F722" i="2" l="1"/>
  <c r="AD722" i="2" s="1"/>
  <c r="H722" i="2"/>
  <c r="AC721" i="1"/>
  <c r="E721" i="2" s="1"/>
  <c r="AB720" i="1"/>
  <c r="F723" i="3"/>
  <c r="AD723" i="3" s="1"/>
  <c r="H723" i="3"/>
  <c r="M721" i="1"/>
  <c r="K720" i="1"/>
  <c r="U721" i="1"/>
  <c r="T720" i="1"/>
  <c r="E722" i="3"/>
  <c r="N722" i="1"/>
  <c r="M720" i="1" l="1"/>
  <c r="K719" i="1"/>
  <c r="T719" i="1"/>
  <c r="U720" i="1"/>
  <c r="E721" i="3"/>
  <c r="N721" i="1"/>
  <c r="AC720" i="1"/>
  <c r="E720" i="2" s="1"/>
  <c r="AB719" i="1"/>
  <c r="F721" i="2"/>
  <c r="AD721" i="2" s="1"/>
  <c r="H721" i="2"/>
  <c r="F722" i="3"/>
  <c r="AD722" i="3" s="1"/>
  <c r="H722" i="3"/>
  <c r="F720" i="2" l="1"/>
  <c r="AD720" i="2" s="1"/>
  <c r="H720" i="2"/>
  <c r="AC719" i="1"/>
  <c r="E719" i="2" s="1"/>
  <c r="AB718" i="1"/>
  <c r="F721" i="3"/>
  <c r="AD721" i="3" s="1"/>
  <c r="H721" i="3"/>
  <c r="T718" i="1"/>
  <c r="U719" i="1"/>
  <c r="M719" i="1"/>
  <c r="K718" i="1"/>
  <c r="E720" i="3"/>
  <c r="N720" i="1"/>
  <c r="F719" i="2" l="1"/>
  <c r="AD719" i="2" s="1"/>
  <c r="H719" i="2"/>
  <c r="E719" i="3"/>
  <c r="N719" i="1"/>
  <c r="M718" i="1"/>
  <c r="K717" i="1"/>
  <c r="T717" i="1"/>
  <c r="U718" i="1"/>
  <c r="AC718" i="1"/>
  <c r="E718" i="2" s="1"/>
  <c r="AB717" i="1"/>
  <c r="F720" i="3"/>
  <c r="AD720" i="3" s="1"/>
  <c r="H720" i="3"/>
  <c r="AC717" i="1" l="1"/>
  <c r="E717" i="2" s="1"/>
  <c r="AB716" i="1"/>
  <c r="M717" i="1"/>
  <c r="K716" i="1"/>
  <c r="F719" i="3"/>
  <c r="AD719" i="3" s="1"/>
  <c r="H719" i="3"/>
  <c r="T716" i="1"/>
  <c r="U717" i="1"/>
  <c r="F718" i="2"/>
  <c r="AD718" i="2" s="1"/>
  <c r="H718" i="2"/>
  <c r="E718" i="3"/>
  <c r="N718" i="1"/>
  <c r="T715" i="1" l="1"/>
  <c r="U716" i="1"/>
  <c r="E717" i="3"/>
  <c r="N717" i="1"/>
  <c r="M716" i="1"/>
  <c r="K715" i="1"/>
  <c r="AC716" i="1"/>
  <c r="E716" i="2" s="1"/>
  <c r="AB715" i="1"/>
  <c r="F718" i="3"/>
  <c r="AD718" i="3" s="1"/>
  <c r="H718" i="3"/>
  <c r="F717" i="2"/>
  <c r="AC717" i="2" s="1"/>
  <c r="H717" i="2"/>
  <c r="E716" i="3" l="1"/>
  <c r="N716" i="1"/>
  <c r="F716" i="2"/>
  <c r="AC716" i="2" s="1"/>
  <c r="H716" i="2"/>
  <c r="M715" i="1"/>
  <c r="K714" i="1"/>
  <c r="AC715" i="1"/>
  <c r="E715" i="2" s="1"/>
  <c r="AB714" i="1"/>
  <c r="F717" i="3"/>
  <c r="AC717" i="3" s="1"/>
  <c r="H717" i="3"/>
  <c r="T714" i="1"/>
  <c r="U715" i="1"/>
  <c r="F715" i="2" l="1"/>
  <c r="AC715" i="2" s="1"/>
  <c r="H715" i="2"/>
  <c r="M714" i="1"/>
  <c r="K713" i="1"/>
  <c r="AC714" i="1"/>
  <c r="E714" i="2" s="1"/>
  <c r="AB713" i="1"/>
  <c r="E715" i="3"/>
  <c r="N715" i="1"/>
  <c r="T713" i="1"/>
  <c r="U714" i="1"/>
  <c r="F716" i="3"/>
  <c r="AC716" i="3" s="1"/>
  <c r="H716" i="3"/>
  <c r="AC713" i="1" l="1"/>
  <c r="E713" i="2" s="1"/>
  <c r="AB712" i="1"/>
  <c r="T712" i="1"/>
  <c r="U713" i="1"/>
  <c r="F715" i="3"/>
  <c r="AC715" i="3" s="1"/>
  <c r="H715" i="3"/>
  <c r="F714" i="2"/>
  <c r="AC714" i="2" s="1"/>
  <c r="H714" i="2"/>
  <c r="M713" i="1"/>
  <c r="K712" i="1"/>
  <c r="E714" i="3"/>
  <c r="N714" i="1"/>
  <c r="T711" i="1" l="1"/>
  <c r="U712" i="1"/>
  <c r="M712" i="1"/>
  <c r="K711" i="1"/>
  <c r="E713" i="3"/>
  <c r="N713" i="1"/>
  <c r="AC712" i="1"/>
  <c r="E712" i="2" s="1"/>
  <c r="AB711" i="1"/>
  <c r="F714" i="3"/>
  <c r="AC714" i="3" s="1"/>
  <c r="H714" i="3"/>
  <c r="F713" i="2"/>
  <c r="AC713" i="2" s="1"/>
  <c r="H713" i="2"/>
  <c r="AC711" i="1" l="1"/>
  <c r="E711" i="2" s="1"/>
  <c r="AB710" i="1"/>
  <c r="F712" i="2"/>
  <c r="AC712" i="2" s="1"/>
  <c r="H712" i="2"/>
  <c r="F713" i="3"/>
  <c r="AC713" i="3" s="1"/>
  <c r="H713" i="3"/>
  <c r="M711" i="1"/>
  <c r="K710" i="1"/>
  <c r="E712" i="3"/>
  <c r="N712" i="1"/>
  <c r="U711" i="1"/>
  <c r="T710" i="1"/>
  <c r="F712" i="3" l="1"/>
  <c r="AC712" i="3" s="1"/>
  <c r="H712" i="3"/>
  <c r="M710" i="1"/>
  <c r="K709" i="1"/>
  <c r="E711" i="3"/>
  <c r="N711" i="1"/>
  <c r="T709" i="1"/>
  <c r="U710" i="1"/>
  <c r="AC710" i="1"/>
  <c r="E710" i="2" s="1"/>
  <c r="AB709" i="1"/>
  <c r="F711" i="2"/>
  <c r="AC711" i="2" s="1"/>
  <c r="H711" i="2"/>
  <c r="F710" i="2" l="1"/>
  <c r="AC710" i="2" s="1"/>
  <c r="H710" i="2"/>
  <c r="AC709" i="1"/>
  <c r="E709" i="2" s="1"/>
  <c r="AB708" i="1"/>
  <c r="T708" i="1"/>
  <c r="U709" i="1"/>
  <c r="F711" i="3"/>
  <c r="AC711" i="3" s="1"/>
  <c r="H711" i="3"/>
  <c r="M709" i="1"/>
  <c r="K708" i="1"/>
  <c r="E710" i="3"/>
  <c r="N710" i="1"/>
  <c r="M708" i="1" l="1"/>
  <c r="K707" i="1"/>
  <c r="E709" i="3"/>
  <c r="N709" i="1"/>
  <c r="F709" i="2"/>
  <c r="AC709" i="2" s="1"/>
  <c r="H709" i="2"/>
  <c r="U708" i="1"/>
  <c r="T707" i="1"/>
  <c r="AC708" i="1"/>
  <c r="E708" i="2" s="1"/>
  <c r="AB707" i="1"/>
  <c r="F710" i="3"/>
  <c r="AC710" i="3" s="1"/>
  <c r="H710" i="3"/>
  <c r="F709" i="3" l="1"/>
  <c r="AC709" i="3" s="1"/>
  <c r="H709" i="3"/>
  <c r="AC707" i="1"/>
  <c r="E707" i="2" s="1"/>
  <c r="AB706" i="1"/>
  <c r="M707" i="1"/>
  <c r="K706" i="1"/>
  <c r="F708" i="2"/>
  <c r="AC708" i="2" s="1"/>
  <c r="H708" i="2"/>
  <c r="T706" i="1"/>
  <c r="U707" i="1"/>
  <c r="E708" i="3"/>
  <c r="N708" i="1"/>
  <c r="M706" i="1" l="1"/>
  <c r="K705" i="1"/>
  <c r="AC706" i="1"/>
  <c r="E706" i="2" s="1"/>
  <c r="AB705" i="1"/>
  <c r="T705" i="1"/>
  <c r="U706" i="1"/>
  <c r="E707" i="3"/>
  <c r="N707" i="1"/>
  <c r="F707" i="2"/>
  <c r="AB707" i="2" s="1"/>
  <c r="H707" i="2"/>
  <c r="F708" i="3"/>
  <c r="AC708" i="3" s="1"/>
  <c r="H708" i="3"/>
  <c r="F707" i="3" l="1"/>
  <c r="AB707" i="3" s="1"/>
  <c r="H707" i="3"/>
  <c r="AC705" i="1"/>
  <c r="E705" i="2" s="1"/>
  <c r="AB704" i="1"/>
  <c r="T704" i="1"/>
  <c r="U705" i="1"/>
  <c r="F706" i="2"/>
  <c r="AB706" i="2" s="1"/>
  <c r="H706" i="2"/>
  <c r="M705" i="1"/>
  <c r="K704" i="1"/>
  <c r="E706" i="3"/>
  <c r="N706" i="1"/>
  <c r="E705" i="3" l="1"/>
  <c r="N705" i="1"/>
  <c r="AC704" i="1"/>
  <c r="E704" i="2" s="1"/>
  <c r="AB703" i="1"/>
  <c r="M704" i="1"/>
  <c r="K703" i="1"/>
  <c r="T703" i="1"/>
  <c r="U704" i="1"/>
  <c r="F705" i="2"/>
  <c r="AB705" i="2" s="1"/>
  <c r="H705" i="2"/>
  <c r="F706" i="3"/>
  <c r="AB706" i="3" s="1"/>
  <c r="H706" i="3"/>
  <c r="F704" i="2" l="1"/>
  <c r="AB704" i="2" s="1"/>
  <c r="H704" i="2"/>
  <c r="T702" i="1"/>
  <c r="U703" i="1"/>
  <c r="M703" i="1"/>
  <c r="K702" i="1"/>
  <c r="E704" i="3"/>
  <c r="N704" i="1"/>
  <c r="AC703" i="1"/>
  <c r="E703" i="2" s="1"/>
  <c r="AB702" i="1"/>
  <c r="F705" i="3"/>
  <c r="AB705" i="3" s="1"/>
  <c r="H705" i="3"/>
  <c r="F704" i="3" l="1"/>
  <c r="AB704" i="3" s="1"/>
  <c r="H704" i="3"/>
  <c r="T701" i="1"/>
  <c r="U702" i="1"/>
  <c r="AC702" i="1"/>
  <c r="E702" i="2" s="1"/>
  <c r="AB701" i="1"/>
  <c r="E703" i="3"/>
  <c r="N703" i="1"/>
  <c r="F703" i="2"/>
  <c r="AB703" i="2" s="1"/>
  <c r="H703" i="2"/>
  <c r="M702" i="1"/>
  <c r="K701" i="1"/>
  <c r="F702" i="2" l="1"/>
  <c r="AB702" i="2" s="1"/>
  <c r="H702" i="2"/>
  <c r="U701" i="1"/>
  <c r="T700" i="1"/>
  <c r="F703" i="3"/>
  <c r="AB703" i="3" s="1"/>
  <c r="H703" i="3"/>
  <c r="AC701" i="1"/>
  <c r="E701" i="2" s="1"/>
  <c r="AB700" i="1"/>
  <c r="M701" i="1"/>
  <c r="K700" i="1"/>
  <c r="E702" i="3"/>
  <c r="N702" i="1"/>
  <c r="E701" i="3" l="1"/>
  <c r="N701" i="1"/>
  <c r="F701" i="2"/>
  <c r="AB701" i="2" s="1"/>
  <c r="H701" i="2"/>
  <c r="T699" i="1"/>
  <c r="U700" i="1"/>
  <c r="M700" i="1"/>
  <c r="K699" i="1"/>
  <c r="AC700" i="1"/>
  <c r="E700" i="2" s="1"/>
  <c r="AB699" i="1"/>
  <c r="F702" i="3"/>
  <c r="AB702" i="3" s="1"/>
  <c r="H702" i="3"/>
  <c r="F700" i="2" l="1"/>
  <c r="AB700" i="2" s="1"/>
  <c r="H700" i="2"/>
  <c r="M699" i="1"/>
  <c r="K698" i="1"/>
  <c r="T698" i="1"/>
  <c r="U699" i="1"/>
  <c r="AC699" i="1"/>
  <c r="E699" i="2" s="1"/>
  <c r="AB698" i="1"/>
  <c r="E700" i="3"/>
  <c r="N700" i="1"/>
  <c r="F701" i="3"/>
  <c r="AB701" i="3" s="1"/>
  <c r="H701" i="3"/>
  <c r="AC698" i="1" l="1"/>
  <c r="E698" i="2" s="1"/>
  <c r="AB697" i="1"/>
  <c r="M698" i="1"/>
  <c r="K697" i="1"/>
  <c r="F700" i="3"/>
  <c r="AB700" i="3" s="1"/>
  <c r="H700" i="3"/>
  <c r="F699" i="2"/>
  <c r="AB699" i="2" s="1"/>
  <c r="H699" i="2"/>
  <c r="T697" i="1"/>
  <c r="U698" i="1"/>
  <c r="E699" i="3"/>
  <c r="N699" i="1"/>
  <c r="T696" i="1" l="1"/>
  <c r="U697" i="1"/>
  <c r="M697" i="1"/>
  <c r="K696" i="1"/>
  <c r="E698" i="3"/>
  <c r="N698" i="1"/>
  <c r="AC697" i="1"/>
  <c r="E697" i="2" s="1"/>
  <c r="AB696" i="1"/>
  <c r="F699" i="3"/>
  <c r="AB699" i="3" s="1"/>
  <c r="H699" i="3"/>
  <c r="F698" i="2"/>
  <c r="AB698" i="2" s="1"/>
  <c r="H698" i="2"/>
  <c r="F698" i="3" l="1"/>
  <c r="AB698" i="3" s="1"/>
  <c r="H698" i="3"/>
  <c r="F697" i="2"/>
  <c r="AA697" i="2" s="1"/>
  <c r="H697" i="2"/>
  <c r="AC696" i="1"/>
  <c r="E696" i="2" s="1"/>
  <c r="AB695" i="1"/>
  <c r="M696" i="1"/>
  <c r="K695" i="1"/>
  <c r="E697" i="3"/>
  <c r="N697" i="1"/>
  <c r="T695" i="1"/>
  <c r="U696" i="1"/>
  <c r="F696" i="2" l="1"/>
  <c r="AA696" i="2" s="1"/>
  <c r="H696" i="2"/>
  <c r="F697" i="3"/>
  <c r="AA697" i="3" s="1"/>
  <c r="H697" i="3"/>
  <c r="M695" i="1"/>
  <c r="K694" i="1"/>
  <c r="E696" i="3"/>
  <c r="N696" i="1"/>
  <c r="AC695" i="1"/>
  <c r="E695" i="2" s="1"/>
  <c r="AB694" i="1"/>
  <c r="T694" i="1"/>
  <c r="U695" i="1"/>
  <c r="F695" i="2" l="1"/>
  <c r="AA695" i="2" s="1"/>
  <c r="H695" i="2"/>
  <c r="M694" i="1"/>
  <c r="K693" i="1"/>
  <c r="AC694" i="1"/>
  <c r="E694" i="2" s="1"/>
  <c r="AB693" i="1"/>
  <c r="F696" i="3"/>
  <c r="AA696" i="3" s="1"/>
  <c r="H696" i="3"/>
  <c r="E695" i="3"/>
  <c r="N695" i="1"/>
  <c r="T693" i="1"/>
  <c r="U694" i="1"/>
  <c r="E694" i="3" l="1"/>
  <c r="N694" i="1"/>
  <c r="AC693" i="1"/>
  <c r="E693" i="2" s="1"/>
  <c r="AB692" i="1"/>
  <c r="F695" i="3"/>
  <c r="AA695" i="3" s="1"/>
  <c r="H695" i="3"/>
  <c r="F694" i="2"/>
  <c r="AA694" i="2" s="1"/>
  <c r="H694" i="2"/>
  <c r="M693" i="1"/>
  <c r="K692" i="1"/>
  <c r="U693" i="1"/>
  <c r="T692" i="1"/>
  <c r="E693" i="3" l="1"/>
  <c r="N693" i="1"/>
  <c r="T691" i="1"/>
  <c r="U692" i="1"/>
  <c r="M692" i="1"/>
  <c r="K691" i="1"/>
  <c r="AC692" i="1"/>
  <c r="E692" i="2" s="1"/>
  <c r="AB691" i="1"/>
  <c r="F693" i="2"/>
  <c r="AA693" i="2" s="1"/>
  <c r="H693" i="2"/>
  <c r="F694" i="3"/>
  <c r="AA694" i="3" s="1"/>
  <c r="H694" i="3"/>
  <c r="AC691" i="1" l="1"/>
  <c r="E691" i="2" s="1"/>
  <c r="AB690" i="1"/>
  <c r="U691" i="1"/>
  <c r="T690" i="1"/>
  <c r="F692" i="2"/>
  <c r="AA692" i="2" s="1"/>
  <c r="H692" i="2"/>
  <c r="M691" i="1"/>
  <c r="K690" i="1"/>
  <c r="E692" i="3"/>
  <c r="N692" i="1"/>
  <c r="F693" i="3"/>
  <c r="AA693" i="3" s="1"/>
  <c r="H693" i="3"/>
  <c r="F692" i="3" l="1"/>
  <c r="AA692" i="3" s="1"/>
  <c r="H692" i="3"/>
  <c r="E691" i="3"/>
  <c r="N691" i="1"/>
  <c r="M690" i="1"/>
  <c r="K689" i="1"/>
  <c r="T689" i="1"/>
  <c r="U690" i="1"/>
  <c r="AC690" i="1"/>
  <c r="E690" i="2" s="1"/>
  <c r="AB689" i="1"/>
  <c r="F691" i="2"/>
  <c r="AA691" i="2" s="1"/>
  <c r="H691" i="2"/>
  <c r="T688" i="1" l="1"/>
  <c r="U689" i="1"/>
  <c r="F691" i="3"/>
  <c r="AA691" i="3" s="1"/>
  <c r="H691" i="3"/>
  <c r="F690" i="2"/>
  <c r="AA690" i="2" s="1"/>
  <c r="H690" i="2"/>
  <c r="E690" i="3"/>
  <c r="N690" i="1"/>
  <c r="AC689" i="1"/>
  <c r="E689" i="2" s="1"/>
  <c r="AB688" i="1"/>
  <c r="M689" i="1"/>
  <c r="K688" i="1"/>
  <c r="AC688" i="1" l="1"/>
  <c r="E688" i="2" s="1"/>
  <c r="AB687" i="1"/>
  <c r="M688" i="1"/>
  <c r="K687" i="1"/>
  <c r="F689" i="2"/>
  <c r="AA689" i="2" s="1"/>
  <c r="H689" i="2"/>
  <c r="F690" i="3"/>
  <c r="AA690" i="3" s="1"/>
  <c r="H690" i="3"/>
  <c r="E689" i="3"/>
  <c r="N689" i="1"/>
  <c r="T687" i="1"/>
  <c r="U688" i="1"/>
  <c r="M687" i="1" l="1"/>
  <c r="K686" i="1"/>
  <c r="F689" i="3"/>
  <c r="AA689" i="3" s="1"/>
  <c r="H689" i="3"/>
  <c r="E688" i="3"/>
  <c r="N688" i="1"/>
  <c r="AC687" i="1"/>
  <c r="E687" i="2" s="1"/>
  <c r="AB686" i="1"/>
  <c r="T686" i="1"/>
  <c r="U687" i="1"/>
  <c r="F688" i="2"/>
  <c r="AA688" i="2" s="1"/>
  <c r="H688" i="2"/>
  <c r="F687" i="2" l="1"/>
  <c r="Z687" i="2" s="1"/>
  <c r="H687" i="2"/>
  <c r="F688" i="3"/>
  <c r="AA688" i="3" s="1"/>
  <c r="H688" i="3"/>
  <c r="M686" i="1"/>
  <c r="K685" i="1"/>
  <c r="T685" i="1"/>
  <c r="U686" i="1"/>
  <c r="AC686" i="1"/>
  <c r="E686" i="2" s="1"/>
  <c r="AB685" i="1"/>
  <c r="E687" i="3"/>
  <c r="N687" i="1"/>
  <c r="AC685" i="1" l="1"/>
  <c r="E685" i="2" s="1"/>
  <c r="AB684" i="1"/>
  <c r="T684" i="1"/>
  <c r="U685" i="1"/>
  <c r="F686" i="2"/>
  <c r="Z686" i="2" s="1"/>
  <c r="H686" i="2"/>
  <c r="M685" i="1"/>
  <c r="K684" i="1"/>
  <c r="E686" i="3"/>
  <c r="N686" i="1"/>
  <c r="F687" i="3"/>
  <c r="Z687" i="3" s="1"/>
  <c r="H687" i="3"/>
  <c r="M684" i="1" l="1"/>
  <c r="K683" i="1"/>
  <c r="F686" i="3"/>
  <c r="Z686" i="3" s="1"/>
  <c r="H686" i="3"/>
  <c r="E685" i="3"/>
  <c r="N685" i="1"/>
  <c r="T683" i="1"/>
  <c r="U684" i="1"/>
  <c r="AC684" i="1"/>
  <c r="E684" i="2" s="1"/>
  <c r="AB683" i="1"/>
  <c r="F685" i="2"/>
  <c r="Z685" i="2" s="1"/>
  <c r="H685" i="2"/>
  <c r="F684" i="2" l="1"/>
  <c r="Z684" i="2" s="1"/>
  <c r="H684" i="2"/>
  <c r="T682" i="1"/>
  <c r="U683" i="1"/>
  <c r="AC683" i="1"/>
  <c r="E683" i="2" s="1"/>
  <c r="AB682" i="1"/>
  <c r="F685" i="3"/>
  <c r="Z685" i="3" s="1"/>
  <c r="H685" i="3"/>
  <c r="M683" i="1"/>
  <c r="K682" i="1"/>
  <c r="E684" i="3"/>
  <c r="N684" i="1"/>
  <c r="E683" i="3" l="1"/>
  <c r="N683" i="1"/>
  <c r="AC682" i="1"/>
  <c r="E682" i="2" s="1"/>
  <c r="AB681" i="1"/>
  <c r="M682" i="1"/>
  <c r="K681" i="1"/>
  <c r="F683" i="2"/>
  <c r="Z683" i="2" s="1"/>
  <c r="H683" i="2"/>
  <c r="T681" i="1"/>
  <c r="U682" i="1"/>
  <c r="F684" i="3"/>
  <c r="Z684" i="3" s="1"/>
  <c r="H684" i="3"/>
  <c r="M681" i="1" l="1"/>
  <c r="E681" i="3" s="1"/>
  <c r="K680" i="1"/>
  <c r="AC681" i="1"/>
  <c r="E681" i="2" s="1"/>
  <c r="AB680" i="1"/>
  <c r="U681" i="1"/>
  <c r="T680" i="1"/>
  <c r="E682" i="3"/>
  <c r="N682" i="1"/>
  <c r="B30" i="1" s="1"/>
  <c r="F682" i="2"/>
  <c r="Z682" i="2" s="1"/>
  <c r="H682" i="2"/>
  <c r="F683" i="3"/>
  <c r="Z683" i="3" s="1"/>
  <c r="H683" i="3"/>
  <c r="T679" i="1" l="1"/>
  <c r="U680" i="1"/>
  <c r="F681" i="2"/>
  <c r="Z681" i="2" s="1"/>
  <c r="H681" i="2"/>
  <c r="F682" i="3"/>
  <c r="Z682" i="3" s="1"/>
  <c r="H682" i="3"/>
  <c r="AC680" i="1"/>
  <c r="E680" i="2" s="1"/>
  <c r="AB679" i="1"/>
  <c r="M680" i="1"/>
  <c r="E680" i="3" s="1"/>
  <c r="K679" i="1"/>
  <c r="F681" i="3"/>
  <c r="Z681" i="3" s="1"/>
  <c r="H681" i="3"/>
  <c r="F680" i="3" l="1"/>
  <c r="Z680" i="3" s="1"/>
  <c r="H680" i="3"/>
  <c r="F680" i="2"/>
  <c r="Z680" i="2" s="1"/>
  <c r="H680" i="2"/>
  <c r="M679" i="1"/>
  <c r="E679" i="3" s="1"/>
  <c r="K678" i="1"/>
  <c r="AC679" i="1"/>
  <c r="E679" i="2" s="1"/>
  <c r="AB678" i="1"/>
  <c r="U679" i="1"/>
  <c r="T678" i="1"/>
  <c r="F679" i="3" l="1"/>
  <c r="Z679" i="3" s="1"/>
  <c r="H679" i="3"/>
  <c r="U678" i="1"/>
  <c r="T677" i="1"/>
  <c r="AC678" i="1"/>
  <c r="E678" i="2" s="1"/>
  <c r="AB677" i="1"/>
  <c r="F679" i="2"/>
  <c r="Z679" i="2" s="1"/>
  <c r="H679" i="2"/>
  <c r="M678" i="1"/>
  <c r="E678" i="3" s="1"/>
  <c r="K677" i="1"/>
  <c r="M677" i="1" l="1"/>
  <c r="E677" i="3" s="1"/>
  <c r="K676" i="1"/>
  <c r="F678" i="3"/>
  <c r="Z678" i="3" s="1"/>
  <c r="H678" i="3"/>
  <c r="AC677" i="1"/>
  <c r="E677" i="2" s="1"/>
  <c r="AB676" i="1"/>
  <c r="F678" i="2"/>
  <c r="Z678" i="2" s="1"/>
  <c r="H678" i="2"/>
  <c r="T676" i="1"/>
  <c r="U677" i="1"/>
  <c r="T675" i="1" l="1"/>
  <c r="U676" i="1"/>
  <c r="AC676" i="1"/>
  <c r="E676" i="2" s="1"/>
  <c r="AB675" i="1"/>
  <c r="F677" i="2"/>
  <c r="Y677" i="2" s="1"/>
  <c r="H677" i="2"/>
  <c r="M676" i="1"/>
  <c r="E676" i="3" s="1"/>
  <c r="K675" i="1"/>
  <c r="F677" i="3"/>
  <c r="Y677" i="3" s="1"/>
  <c r="H677" i="3"/>
  <c r="F676" i="3" l="1"/>
  <c r="Y676" i="3" s="1"/>
  <c r="H676" i="3"/>
  <c r="AC675" i="1"/>
  <c r="E675" i="2" s="1"/>
  <c r="AB674" i="1"/>
  <c r="M675" i="1"/>
  <c r="E675" i="3" s="1"/>
  <c r="K674" i="1"/>
  <c r="F676" i="2"/>
  <c r="Y676" i="2" s="1"/>
  <c r="H676" i="2"/>
  <c r="U675" i="1"/>
  <c r="T674" i="1"/>
  <c r="T673" i="1" l="1"/>
  <c r="U674" i="1"/>
  <c r="M674" i="1"/>
  <c r="E674" i="3" s="1"/>
  <c r="K673" i="1"/>
  <c r="F675" i="3"/>
  <c r="Y675" i="3" s="1"/>
  <c r="H675" i="3"/>
  <c r="AC674" i="1"/>
  <c r="E674" i="2" s="1"/>
  <c r="AB673" i="1"/>
  <c r="F675" i="2"/>
  <c r="Y675" i="2" s="1"/>
  <c r="H675" i="2"/>
  <c r="F674" i="2" l="1"/>
  <c r="Y674" i="2" s="1"/>
  <c r="H674" i="2"/>
  <c r="M673" i="1"/>
  <c r="E673" i="3" s="1"/>
  <c r="K672" i="1"/>
  <c r="AC673" i="1"/>
  <c r="E673" i="2" s="1"/>
  <c r="AB672" i="1"/>
  <c r="F674" i="3"/>
  <c r="Y674" i="3" s="1"/>
  <c r="H674" i="3"/>
  <c r="T672" i="1"/>
  <c r="U673" i="1"/>
  <c r="T671" i="1" l="1"/>
  <c r="U672" i="1"/>
  <c r="AC672" i="1"/>
  <c r="E672" i="2" s="1"/>
  <c r="AB671" i="1"/>
  <c r="M672" i="1"/>
  <c r="E672" i="3" s="1"/>
  <c r="K671" i="1"/>
  <c r="F673" i="2"/>
  <c r="Y673" i="2" s="1"/>
  <c r="H673" i="2"/>
  <c r="F673" i="3"/>
  <c r="Y673" i="3" s="1"/>
  <c r="H673" i="3"/>
  <c r="M671" i="1" l="1"/>
  <c r="E671" i="3" s="1"/>
  <c r="K670" i="1"/>
  <c r="AC671" i="1"/>
  <c r="E671" i="2" s="1"/>
  <c r="AB670" i="1"/>
  <c r="F672" i="3"/>
  <c r="Y672" i="3" s="1"/>
  <c r="H672" i="3"/>
  <c r="F672" i="2"/>
  <c r="Y672" i="2" s="1"/>
  <c r="H672" i="2"/>
  <c r="T670" i="1"/>
  <c r="U671" i="1"/>
  <c r="T669" i="1" l="1"/>
  <c r="U670" i="1"/>
  <c r="AC670" i="1"/>
  <c r="E670" i="2" s="1"/>
  <c r="AB669" i="1"/>
  <c r="M670" i="1"/>
  <c r="E670" i="3" s="1"/>
  <c r="K669" i="1"/>
  <c r="F671" i="2"/>
  <c r="Y671" i="2" s="1"/>
  <c r="H671" i="2"/>
  <c r="F671" i="3"/>
  <c r="Y671" i="3" s="1"/>
  <c r="H671" i="3"/>
  <c r="M669" i="1" l="1"/>
  <c r="E669" i="3" s="1"/>
  <c r="K668" i="1"/>
  <c r="F670" i="3"/>
  <c r="Y670" i="3" s="1"/>
  <c r="H670" i="3"/>
  <c r="AC669" i="1"/>
  <c r="E669" i="2" s="1"/>
  <c r="AB668" i="1"/>
  <c r="F670" i="2"/>
  <c r="Y670" i="2" s="1"/>
  <c r="H670" i="2"/>
  <c r="T668" i="1"/>
  <c r="U669" i="1"/>
  <c r="U668" i="1" l="1"/>
  <c r="T667" i="1"/>
  <c r="F669" i="2"/>
  <c r="Y669" i="2" s="1"/>
  <c r="H669" i="2"/>
  <c r="M668" i="1"/>
  <c r="E668" i="3" s="1"/>
  <c r="K667" i="1"/>
  <c r="AC668" i="1"/>
  <c r="E668" i="2" s="1"/>
  <c r="AB667" i="1"/>
  <c r="F669" i="3"/>
  <c r="Y669" i="3" s="1"/>
  <c r="H669" i="3"/>
  <c r="F668" i="3" l="1"/>
  <c r="Y668" i="3" s="1"/>
  <c r="H668" i="3"/>
  <c r="F668" i="2"/>
  <c r="Y668" i="2" s="1"/>
  <c r="H668" i="2"/>
  <c r="T666" i="1"/>
  <c r="U667" i="1"/>
  <c r="AC667" i="1"/>
  <c r="E667" i="2" s="1"/>
  <c r="AB666" i="1"/>
  <c r="M667" i="1"/>
  <c r="E667" i="3" s="1"/>
  <c r="K666" i="1"/>
  <c r="AC666" i="1" l="1"/>
  <c r="E666" i="2" s="1"/>
  <c r="AB665" i="1"/>
  <c r="F667" i="3"/>
  <c r="X667" i="3" s="1"/>
  <c r="H667" i="3"/>
  <c r="T665" i="1"/>
  <c r="U666" i="1"/>
  <c r="M666" i="1"/>
  <c r="E666" i="3" s="1"/>
  <c r="K665" i="1"/>
  <c r="F667" i="2"/>
  <c r="X667" i="2" s="1"/>
  <c r="H667" i="2"/>
  <c r="M665" i="1" l="1"/>
  <c r="E665" i="3" s="1"/>
  <c r="K664" i="1"/>
  <c r="AC665" i="1"/>
  <c r="E665" i="2" s="1"/>
  <c r="AB664" i="1"/>
  <c r="F666" i="3"/>
  <c r="X666" i="3" s="1"/>
  <c r="H666" i="3"/>
  <c r="T664" i="1"/>
  <c r="U665" i="1"/>
  <c r="F666" i="2"/>
  <c r="X666" i="2" s="1"/>
  <c r="H666" i="2"/>
  <c r="T663" i="1" l="1"/>
  <c r="U664" i="1"/>
  <c r="AC664" i="1"/>
  <c r="E664" i="2" s="1"/>
  <c r="AB663" i="1"/>
  <c r="F665" i="2"/>
  <c r="X665" i="2" s="1"/>
  <c r="H665" i="2"/>
  <c r="M664" i="1"/>
  <c r="E664" i="3" s="1"/>
  <c r="K663" i="1"/>
  <c r="F665" i="3"/>
  <c r="X665" i="3" s="1"/>
  <c r="H665" i="3"/>
  <c r="M663" i="1" l="1"/>
  <c r="E663" i="3" s="1"/>
  <c r="K662" i="1"/>
  <c r="F664" i="3"/>
  <c r="X664" i="3" s="1"/>
  <c r="H664" i="3"/>
  <c r="AC663" i="1"/>
  <c r="E663" i="2" s="1"/>
  <c r="AB662" i="1"/>
  <c r="F664" i="2"/>
  <c r="X664" i="2" s="1"/>
  <c r="H664" i="2"/>
  <c r="T662" i="1"/>
  <c r="U663" i="1"/>
  <c r="AC662" i="1" l="1"/>
  <c r="E662" i="2" s="1"/>
  <c r="AB661" i="1"/>
  <c r="M662" i="1"/>
  <c r="E662" i="3" s="1"/>
  <c r="K661" i="1"/>
  <c r="T661" i="1"/>
  <c r="U662" i="1"/>
  <c r="F663" i="2"/>
  <c r="X663" i="2" s="1"/>
  <c r="H663" i="2"/>
  <c r="F663" i="3"/>
  <c r="X663" i="3" s="1"/>
  <c r="H663" i="3"/>
  <c r="T660" i="1" l="1"/>
  <c r="U661" i="1"/>
  <c r="M661" i="1"/>
  <c r="E661" i="3" s="1"/>
  <c r="K660" i="1"/>
  <c r="F662" i="3"/>
  <c r="X662" i="3" s="1"/>
  <c r="H662" i="3"/>
  <c r="AC661" i="1"/>
  <c r="E661" i="2" s="1"/>
  <c r="AB660" i="1"/>
  <c r="F662" i="2"/>
  <c r="X662" i="2" s="1"/>
  <c r="H662" i="2"/>
  <c r="F661" i="2" l="1"/>
  <c r="X661" i="2" s="1"/>
  <c r="H661" i="2"/>
  <c r="AC660" i="1"/>
  <c r="E660" i="2" s="1"/>
  <c r="AB659" i="1"/>
  <c r="M660" i="1"/>
  <c r="E660" i="3" s="1"/>
  <c r="K659" i="1"/>
  <c r="F661" i="3"/>
  <c r="X661" i="3" s="1"/>
  <c r="H661" i="3"/>
  <c r="U660" i="1"/>
  <c r="T659" i="1"/>
  <c r="F660" i="3" l="1"/>
  <c r="X660" i="3" s="1"/>
  <c r="H660" i="3"/>
  <c r="AC659" i="1"/>
  <c r="E659" i="2" s="1"/>
  <c r="AB658" i="1"/>
  <c r="T658" i="1"/>
  <c r="U659" i="1"/>
  <c r="M659" i="1"/>
  <c r="E659" i="3" s="1"/>
  <c r="K658" i="1"/>
  <c r="F660" i="2"/>
  <c r="X660" i="2" s="1"/>
  <c r="H660" i="2"/>
  <c r="M658" i="1" l="1"/>
  <c r="E658" i="3" s="1"/>
  <c r="K657" i="1"/>
  <c r="U658" i="1"/>
  <c r="T657" i="1"/>
  <c r="F659" i="3"/>
  <c r="X659" i="3" s="1"/>
  <c r="H659" i="3"/>
  <c r="AC658" i="1"/>
  <c r="E658" i="2" s="1"/>
  <c r="AB657" i="1"/>
  <c r="F659" i="2"/>
  <c r="X659" i="2" s="1"/>
  <c r="H659" i="2"/>
  <c r="F658" i="2" l="1"/>
  <c r="X658" i="2" s="1"/>
  <c r="H658" i="2"/>
  <c r="AC657" i="1"/>
  <c r="E657" i="2" s="1"/>
  <c r="AB656" i="1"/>
  <c r="T656" i="1"/>
  <c r="U657" i="1"/>
  <c r="M657" i="1"/>
  <c r="K656" i="1"/>
  <c r="F658" i="3"/>
  <c r="X658" i="3" s="1"/>
  <c r="H658" i="3"/>
  <c r="M656" i="1" l="1"/>
  <c r="E656" i="3" s="1"/>
  <c r="K655" i="1"/>
  <c r="T655" i="1"/>
  <c r="U656" i="1"/>
  <c r="E657" i="3"/>
  <c r="B48" i="1"/>
  <c r="AC656" i="1"/>
  <c r="E656" i="2" s="1"/>
  <c r="AB655" i="1"/>
  <c r="F657" i="2"/>
  <c r="W657" i="2" s="1"/>
  <c r="H657" i="2"/>
  <c r="U655" i="1" l="1"/>
  <c r="T654" i="1"/>
  <c r="AC655" i="1"/>
  <c r="E655" i="2" s="1"/>
  <c r="AB654" i="1"/>
  <c r="F657" i="3"/>
  <c r="W657" i="3" s="1"/>
  <c r="H657" i="3"/>
  <c r="M655" i="1"/>
  <c r="E655" i="3" s="1"/>
  <c r="K654" i="1"/>
  <c r="F656" i="2"/>
  <c r="W656" i="2" s="1"/>
  <c r="H656" i="2"/>
  <c r="F656" i="3"/>
  <c r="W656" i="3" s="1"/>
  <c r="H656" i="3"/>
  <c r="F655" i="3" l="1"/>
  <c r="W655" i="3" s="1"/>
  <c r="H655" i="3"/>
  <c r="AC654" i="1"/>
  <c r="E654" i="2" s="1"/>
  <c r="AB653" i="1"/>
  <c r="T653" i="1"/>
  <c r="U654" i="1"/>
  <c r="M654" i="1"/>
  <c r="E654" i="3" s="1"/>
  <c r="K653" i="1"/>
  <c r="F655" i="2"/>
  <c r="W655" i="2" s="1"/>
  <c r="H655" i="2"/>
  <c r="T652" i="1" l="1"/>
  <c r="U653" i="1"/>
  <c r="M653" i="1"/>
  <c r="E653" i="3" s="1"/>
  <c r="K652" i="1"/>
  <c r="AC653" i="1"/>
  <c r="E653" i="2" s="1"/>
  <c r="AB652" i="1"/>
  <c r="F654" i="3"/>
  <c r="W654" i="3" s="1"/>
  <c r="H654" i="3"/>
  <c r="F654" i="2"/>
  <c r="W654" i="2" s="1"/>
  <c r="H654" i="2"/>
  <c r="AC652" i="1" l="1"/>
  <c r="E652" i="2" s="1"/>
  <c r="AB651" i="1"/>
  <c r="M652" i="1"/>
  <c r="E652" i="3" s="1"/>
  <c r="K651" i="1"/>
  <c r="F653" i="2"/>
  <c r="W653" i="2" s="1"/>
  <c r="H653" i="2"/>
  <c r="F653" i="3"/>
  <c r="W653" i="3" s="1"/>
  <c r="H653" i="3"/>
  <c r="T651" i="1"/>
  <c r="U652" i="1"/>
  <c r="M651" i="1" l="1"/>
  <c r="E651" i="3" s="1"/>
  <c r="K650" i="1"/>
  <c r="AC651" i="1"/>
  <c r="E651" i="2" s="1"/>
  <c r="AB650" i="1"/>
  <c r="T650" i="1"/>
  <c r="U651" i="1"/>
  <c r="F652" i="3"/>
  <c r="W652" i="3" s="1"/>
  <c r="H652" i="3"/>
  <c r="F652" i="2"/>
  <c r="W652" i="2" s="1"/>
  <c r="H652" i="2"/>
  <c r="T649" i="1" l="1"/>
  <c r="U650" i="1"/>
  <c r="AC650" i="1"/>
  <c r="E650" i="2" s="1"/>
  <c r="AB649" i="1"/>
  <c r="F651" i="2"/>
  <c r="W651" i="2" s="1"/>
  <c r="H651" i="2"/>
  <c r="M650" i="1"/>
  <c r="E650" i="3" s="1"/>
  <c r="K649" i="1"/>
  <c r="F651" i="3"/>
  <c r="W651" i="3" s="1"/>
  <c r="H651" i="3"/>
  <c r="M649" i="1" l="1"/>
  <c r="E649" i="3" s="1"/>
  <c r="K648" i="1"/>
  <c r="F650" i="3"/>
  <c r="W650" i="3" s="1"/>
  <c r="H650" i="3"/>
  <c r="AC649" i="1"/>
  <c r="E649" i="2" s="1"/>
  <c r="AB648" i="1"/>
  <c r="F650" i="2"/>
  <c r="W650" i="2" s="1"/>
  <c r="H650" i="2"/>
  <c r="T648" i="1"/>
  <c r="U649" i="1"/>
  <c r="AC648" i="1" l="1"/>
  <c r="E648" i="2" s="1"/>
  <c r="AB647" i="1"/>
  <c r="M648" i="1"/>
  <c r="E648" i="3" s="1"/>
  <c r="K647" i="1"/>
  <c r="T647" i="1"/>
  <c r="U648" i="1"/>
  <c r="F649" i="2"/>
  <c r="W649" i="2" s="1"/>
  <c r="H649" i="2"/>
  <c r="F649" i="3"/>
  <c r="W649" i="3" s="1"/>
  <c r="H649" i="3"/>
  <c r="T646" i="1" l="1"/>
  <c r="U647" i="1"/>
  <c r="M647" i="1"/>
  <c r="E647" i="3" s="1"/>
  <c r="K646" i="1"/>
  <c r="F648" i="3"/>
  <c r="W648" i="3" s="1"/>
  <c r="H648" i="3"/>
  <c r="AC647" i="1"/>
  <c r="E647" i="2" s="1"/>
  <c r="AB646" i="1"/>
  <c r="F648" i="2"/>
  <c r="W648" i="2" s="1"/>
  <c r="H648" i="2"/>
  <c r="F647" i="3" l="1"/>
  <c r="V647" i="3" s="1"/>
  <c r="H647" i="3"/>
  <c r="F647" i="2"/>
  <c r="V647" i="2" s="1"/>
  <c r="H647" i="2"/>
  <c r="M646" i="1"/>
  <c r="E646" i="3" s="1"/>
  <c r="K645" i="1"/>
  <c r="AC646" i="1"/>
  <c r="E646" i="2" s="1"/>
  <c r="AB645" i="1"/>
  <c r="T645" i="1"/>
  <c r="U646" i="1"/>
  <c r="T644" i="1" l="1"/>
  <c r="U645" i="1"/>
  <c r="AC645" i="1"/>
  <c r="E645" i="2" s="1"/>
  <c r="AB644" i="1"/>
  <c r="M645" i="1"/>
  <c r="E645" i="3" s="1"/>
  <c r="K644" i="1"/>
  <c r="F646" i="2"/>
  <c r="V646" i="2" s="1"/>
  <c r="H646" i="2"/>
  <c r="F646" i="3"/>
  <c r="V646" i="3" s="1"/>
  <c r="H646" i="3"/>
  <c r="M644" i="1" l="1"/>
  <c r="E644" i="3" s="1"/>
  <c r="K643" i="1"/>
  <c r="AC644" i="1"/>
  <c r="E644" i="2" s="1"/>
  <c r="AB643" i="1"/>
  <c r="F645" i="3"/>
  <c r="V645" i="3" s="1"/>
  <c r="H645" i="3"/>
  <c r="F645" i="2"/>
  <c r="V645" i="2" s="1"/>
  <c r="H645" i="2"/>
  <c r="T643" i="1"/>
  <c r="U644" i="1"/>
  <c r="T642" i="1" l="1"/>
  <c r="U643" i="1"/>
  <c r="AC643" i="1"/>
  <c r="E643" i="2" s="1"/>
  <c r="AB642" i="1"/>
  <c r="F644" i="2"/>
  <c r="V644" i="2" s="1"/>
  <c r="H644" i="2"/>
  <c r="M643" i="1"/>
  <c r="E643" i="3" s="1"/>
  <c r="K642" i="1"/>
  <c r="F644" i="3"/>
  <c r="V644" i="3" s="1"/>
  <c r="H644" i="3"/>
  <c r="M642" i="1" l="1"/>
  <c r="E642" i="3" s="1"/>
  <c r="K641" i="1"/>
  <c r="F643" i="3"/>
  <c r="V643" i="3" s="1"/>
  <c r="H643" i="3"/>
  <c r="AC642" i="1"/>
  <c r="E642" i="2" s="1"/>
  <c r="AB641" i="1"/>
  <c r="F643" i="2"/>
  <c r="V643" i="2" s="1"/>
  <c r="H643" i="2"/>
  <c r="T641" i="1"/>
  <c r="U642" i="1"/>
  <c r="F642" i="2" l="1"/>
  <c r="V642" i="2" s="1"/>
  <c r="H642" i="2"/>
  <c r="M641" i="1"/>
  <c r="E641" i="3" s="1"/>
  <c r="K640" i="1"/>
  <c r="T640" i="1"/>
  <c r="U641" i="1"/>
  <c r="AC641" i="1"/>
  <c r="E641" i="2" s="1"/>
  <c r="AB640" i="1"/>
  <c r="F642" i="3"/>
  <c r="V642" i="3" s="1"/>
  <c r="H642" i="3"/>
  <c r="F641" i="2" l="1"/>
  <c r="V641" i="2" s="1"/>
  <c r="H641" i="2"/>
  <c r="M640" i="1"/>
  <c r="E640" i="3" s="1"/>
  <c r="K639" i="1"/>
  <c r="AC640" i="1"/>
  <c r="E640" i="2" s="1"/>
  <c r="AB639" i="1"/>
  <c r="T639" i="1"/>
  <c r="U640" i="1"/>
  <c r="F641" i="3"/>
  <c r="V641" i="3" s="1"/>
  <c r="H641" i="3"/>
  <c r="F640" i="2" l="1"/>
  <c r="V640" i="2" s="1"/>
  <c r="H640" i="2"/>
  <c r="F640" i="3"/>
  <c r="V640" i="3" s="1"/>
  <c r="H640" i="3"/>
  <c r="T638" i="1"/>
  <c r="U639" i="1"/>
  <c r="AC639" i="1"/>
  <c r="E639" i="2" s="1"/>
  <c r="AB638" i="1"/>
  <c r="M639" i="1"/>
  <c r="E639" i="3" s="1"/>
  <c r="K638" i="1"/>
  <c r="AC638" i="1" l="1"/>
  <c r="E638" i="2" s="1"/>
  <c r="AB637" i="1"/>
  <c r="F639" i="3"/>
  <c r="V639" i="3" s="1"/>
  <c r="H639" i="3"/>
  <c r="M638" i="1"/>
  <c r="E638" i="3" s="1"/>
  <c r="K637" i="1"/>
  <c r="F639" i="2"/>
  <c r="V639" i="2" s="1"/>
  <c r="H639" i="2"/>
  <c r="U638" i="1"/>
  <c r="T637" i="1"/>
  <c r="F638" i="3" l="1"/>
  <c r="V638" i="3" s="1"/>
  <c r="H638" i="3"/>
  <c r="T636" i="1"/>
  <c r="U637" i="1"/>
  <c r="M637" i="1"/>
  <c r="E637" i="3" s="1"/>
  <c r="K636" i="1"/>
  <c r="AC637" i="1"/>
  <c r="E637" i="2" s="1"/>
  <c r="AB636" i="1"/>
  <c r="F638" i="2"/>
  <c r="V638" i="2" s="1"/>
  <c r="H638" i="2"/>
  <c r="AC636" i="1" l="1"/>
  <c r="E636" i="2" s="1"/>
  <c r="AB635" i="1"/>
  <c r="F637" i="2"/>
  <c r="U637" i="2" s="1"/>
  <c r="H637" i="2"/>
  <c r="M636" i="1"/>
  <c r="E636" i="3" s="1"/>
  <c r="K635" i="1"/>
  <c r="F637" i="3"/>
  <c r="U637" i="3" s="1"/>
  <c r="H637" i="3"/>
  <c r="T635" i="1"/>
  <c r="U636" i="1"/>
  <c r="F636" i="3" l="1"/>
  <c r="U636" i="3" s="1"/>
  <c r="H636" i="3"/>
  <c r="T634" i="1"/>
  <c r="U635" i="1"/>
  <c r="M635" i="1"/>
  <c r="E635" i="3" s="1"/>
  <c r="K634" i="1"/>
  <c r="AC635" i="1"/>
  <c r="E635" i="2" s="1"/>
  <c r="AB634" i="1"/>
  <c r="F636" i="2"/>
  <c r="U636" i="2" s="1"/>
  <c r="H636" i="2"/>
  <c r="M634" i="1" l="1"/>
  <c r="E634" i="3" s="1"/>
  <c r="K633" i="1"/>
  <c r="F635" i="2"/>
  <c r="U635" i="2" s="1"/>
  <c r="H635" i="2"/>
  <c r="AC634" i="1"/>
  <c r="E634" i="2" s="1"/>
  <c r="AB633" i="1"/>
  <c r="F635" i="3"/>
  <c r="U635" i="3" s="1"/>
  <c r="H635" i="3"/>
  <c r="T633" i="1"/>
  <c r="U634" i="1"/>
  <c r="T632" i="1" l="1"/>
  <c r="U633" i="1"/>
  <c r="AC633" i="1"/>
  <c r="E633" i="2" s="1"/>
  <c r="AB632" i="1"/>
  <c r="F634" i="2"/>
  <c r="U634" i="2" s="1"/>
  <c r="H634" i="2"/>
  <c r="M633" i="1"/>
  <c r="E633" i="3" s="1"/>
  <c r="K632" i="1"/>
  <c r="F634" i="3"/>
  <c r="U634" i="3" s="1"/>
  <c r="H634" i="3"/>
  <c r="F633" i="3" l="1"/>
  <c r="U633" i="3" s="1"/>
  <c r="H633" i="3"/>
  <c r="AC632" i="1"/>
  <c r="E632" i="2" s="1"/>
  <c r="AB631" i="1"/>
  <c r="M632" i="1"/>
  <c r="E632" i="3" s="1"/>
  <c r="K631" i="1"/>
  <c r="F633" i="2"/>
  <c r="U633" i="2" s="1"/>
  <c r="H633" i="2"/>
  <c r="T631" i="1"/>
  <c r="U632" i="1"/>
  <c r="M631" i="1" l="1"/>
  <c r="E631" i="3" s="1"/>
  <c r="K630" i="1"/>
  <c r="F632" i="2"/>
  <c r="U632" i="2" s="1"/>
  <c r="H632" i="2"/>
  <c r="T630" i="1"/>
  <c r="U631" i="1"/>
  <c r="F632" i="3"/>
  <c r="U632" i="3" s="1"/>
  <c r="H632" i="3"/>
  <c r="AC631" i="1"/>
  <c r="E631" i="2" s="1"/>
  <c r="AB630" i="1"/>
  <c r="AC630" i="1" l="1"/>
  <c r="E630" i="2" s="1"/>
  <c r="AB629" i="1"/>
  <c r="M630" i="1"/>
  <c r="E630" i="3" s="1"/>
  <c r="K629" i="1"/>
  <c r="F631" i="2"/>
  <c r="U631" i="2" s="1"/>
  <c r="H631" i="2"/>
  <c r="U630" i="1"/>
  <c r="T629" i="1"/>
  <c r="F631" i="3"/>
  <c r="U631" i="3" s="1"/>
  <c r="H631" i="3"/>
  <c r="T628" i="1" l="1"/>
  <c r="U629" i="1"/>
  <c r="F630" i="3"/>
  <c r="U630" i="3" s="1"/>
  <c r="H630" i="3"/>
  <c r="AC629" i="1"/>
  <c r="E629" i="2" s="1"/>
  <c r="AB628" i="1"/>
  <c r="M629" i="1"/>
  <c r="E629" i="3" s="1"/>
  <c r="K628" i="1"/>
  <c r="F630" i="2"/>
  <c r="U630" i="2" s="1"/>
  <c r="H630" i="2"/>
  <c r="M628" i="1" l="1"/>
  <c r="E628" i="3" s="1"/>
  <c r="K627" i="1"/>
  <c r="AC628" i="1"/>
  <c r="E628" i="2" s="1"/>
  <c r="AB627" i="1"/>
  <c r="F629" i="3"/>
  <c r="U629" i="3" s="1"/>
  <c r="H629" i="3"/>
  <c r="F629" i="2"/>
  <c r="U629" i="2" s="1"/>
  <c r="H629" i="2"/>
  <c r="T627" i="1"/>
  <c r="U628" i="1"/>
  <c r="T626" i="1" l="1"/>
  <c r="U627" i="1"/>
  <c r="AC627" i="1"/>
  <c r="E627" i="2" s="1"/>
  <c r="AB626" i="1"/>
  <c r="F628" i="2"/>
  <c r="U628" i="2" s="1"/>
  <c r="H628" i="2"/>
  <c r="M627" i="1"/>
  <c r="E627" i="3" s="1"/>
  <c r="K626" i="1"/>
  <c r="F628" i="3"/>
  <c r="U628" i="3" s="1"/>
  <c r="H628" i="3"/>
  <c r="F627" i="3" l="1"/>
  <c r="T627" i="3" s="1"/>
  <c r="H627" i="3"/>
  <c r="AC626" i="1"/>
  <c r="E626" i="2" s="1"/>
  <c r="AB625" i="1"/>
  <c r="M626" i="1"/>
  <c r="E626" i="3" s="1"/>
  <c r="K625" i="1"/>
  <c r="F627" i="2"/>
  <c r="T627" i="2" s="1"/>
  <c r="H627" i="2"/>
  <c r="T625" i="1"/>
  <c r="U626" i="1"/>
  <c r="T624" i="1" l="1"/>
  <c r="U625" i="1"/>
  <c r="M625" i="1"/>
  <c r="E625" i="3" s="1"/>
  <c r="K624" i="1"/>
  <c r="F626" i="3"/>
  <c r="T626" i="3" s="1"/>
  <c r="H626" i="3"/>
  <c r="AC625" i="1"/>
  <c r="E625" i="2" s="1"/>
  <c r="AB624" i="1"/>
  <c r="F626" i="2"/>
  <c r="T626" i="2" s="1"/>
  <c r="H626" i="2"/>
  <c r="F625" i="2" l="1"/>
  <c r="T625" i="2" s="1"/>
  <c r="H625" i="2"/>
  <c r="AC624" i="1"/>
  <c r="E624" i="2" s="1"/>
  <c r="AB623" i="1"/>
  <c r="M624" i="1"/>
  <c r="E624" i="3" s="1"/>
  <c r="K623" i="1"/>
  <c r="F625" i="3"/>
  <c r="T625" i="3" s="1"/>
  <c r="H625" i="3"/>
  <c r="T623" i="1"/>
  <c r="U624" i="1"/>
  <c r="AC623" i="1" l="1"/>
  <c r="E623" i="2" s="1"/>
  <c r="AB622" i="1"/>
  <c r="T622" i="1"/>
  <c r="U623" i="1"/>
  <c r="M623" i="1"/>
  <c r="E623" i="3" s="1"/>
  <c r="K622" i="1"/>
  <c r="F624" i="3"/>
  <c r="T624" i="3" s="1"/>
  <c r="H624" i="3"/>
  <c r="F624" i="2"/>
  <c r="T624" i="2" s="1"/>
  <c r="H624" i="2"/>
  <c r="T621" i="1" l="1"/>
  <c r="U622" i="1"/>
  <c r="F623" i="3"/>
  <c r="T623" i="3" s="1"/>
  <c r="H623" i="3"/>
  <c r="AC622" i="1"/>
  <c r="E622" i="2" s="1"/>
  <c r="AB621" i="1"/>
  <c r="M622" i="1"/>
  <c r="E622" i="3" s="1"/>
  <c r="K621" i="1"/>
  <c r="F623" i="2"/>
  <c r="T623" i="2" s="1"/>
  <c r="H623" i="2"/>
  <c r="M621" i="1" l="1"/>
  <c r="E621" i="3" s="1"/>
  <c r="K620" i="1"/>
  <c r="AC621" i="1"/>
  <c r="E621" i="2" s="1"/>
  <c r="AB620" i="1"/>
  <c r="F622" i="3"/>
  <c r="T622" i="3" s="1"/>
  <c r="H622" i="3"/>
  <c r="F622" i="2"/>
  <c r="T622" i="2" s="1"/>
  <c r="H622" i="2"/>
  <c r="T620" i="1"/>
  <c r="U621" i="1"/>
  <c r="T619" i="1" l="1"/>
  <c r="U620" i="1"/>
  <c r="AC620" i="1"/>
  <c r="E620" i="2" s="1"/>
  <c r="AB619" i="1"/>
  <c r="F621" i="2"/>
  <c r="T621" i="2" s="1"/>
  <c r="H621" i="2"/>
  <c r="M620" i="1"/>
  <c r="E620" i="3" s="1"/>
  <c r="K619" i="1"/>
  <c r="F621" i="3"/>
  <c r="T621" i="3" s="1"/>
  <c r="H621" i="3"/>
  <c r="M619" i="1" l="1"/>
  <c r="E619" i="3" s="1"/>
  <c r="K618" i="1"/>
  <c r="AC619" i="1"/>
  <c r="E619" i="2" s="1"/>
  <c r="AB618" i="1"/>
  <c r="F620" i="3"/>
  <c r="T620" i="3" s="1"/>
  <c r="H620" i="3"/>
  <c r="F620" i="2"/>
  <c r="T620" i="2" s="1"/>
  <c r="H620" i="2"/>
  <c r="T618" i="1"/>
  <c r="U619" i="1"/>
  <c r="F619" i="2" l="1"/>
  <c r="T619" i="2" s="1"/>
  <c r="H619" i="2"/>
  <c r="T617" i="1"/>
  <c r="U618" i="1"/>
  <c r="M618" i="1"/>
  <c r="E618" i="3" s="1"/>
  <c r="K617" i="1"/>
  <c r="AC618" i="1"/>
  <c r="E618" i="2" s="1"/>
  <c r="AB617" i="1"/>
  <c r="F619" i="3"/>
  <c r="T619" i="3" s="1"/>
  <c r="H619" i="3"/>
  <c r="AC617" i="1" l="1"/>
  <c r="E617" i="2" s="1"/>
  <c r="AB616" i="1"/>
  <c r="M617" i="1"/>
  <c r="E617" i="3" s="1"/>
  <c r="K616" i="1"/>
  <c r="F618" i="2"/>
  <c r="T618" i="2" s="1"/>
  <c r="H618" i="2"/>
  <c r="F618" i="3"/>
  <c r="T618" i="3" s="1"/>
  <c r="H618" i="3"/>
  <c r="T616" i="1"/>
  <c r="U617" i="1"/>
  <c r="M616" i="1" l="1"/>
  <c r="E616" i="3" s="1"/>
  <c r="K615" i="1"/>
  <c r="AC616" i="1"/>
  <c r="E616" i="2" s="1"/>
  <c r="AB615" i="1"/>
  <c r="T615" i="1"/>
  <c r="U616" i="1"/>
  <c r="F617" i="3"/>
  <c r="S617" i="3" s="1"/>
  <c r="H617" i="3"/>
  <c r="F617" i="2"/>
  <c r="S617" i="2" s="1"/>
  <c r="H617" i="2"/>
  <c r="T614" i="1" l="1"/>
  <c r="U615" i="1"/>
  <c r="AC615" i="1"/>
  <c r="E615" i="2" s="1"/>
  <c r="AB614" i="1"/>
  <c r="F616" i="2"/>
  <c r="S616" i="2" s="1"/>
  <c r="H616" i="2"/>
  <c r="M615" i="1"/>
  <c r="E615" i="3" s="1"/>
  <c r="K614" i="1"/>
  <c r="F616" i="3"/>
  <c r="S616" i="3" s="1"/>
  <c r="H616" i="3"/>
  <c r="M614" i="1" l="1"/>
  <c r="E614" i="3" s="1"/>
  <c r="K613" i="1"/>
  <c r="AC614" i="1"/>
  <c r="E614" i="2" s="1"/>
  <c r="AB613" i="1"/>
  <c r="F615" i="3"/>
  <c r="S615" i="3" s="1"/>
  <c r="H615" i="3"/>
  <c r="F615" i="2"/>
  <c r="S615" i="2" s="1"/>
  <c r="H615" i="2"/>
  <c r="T613" i="1"/>
  <c r="U614" i="1"/>
  <c r="T612" i="1" l="1"/>
  <c r="U613" i="1"/>
  <c r="AC613" i="1"/>
  <c r="E613" i="2" s="1"/>
  <c r="AB612" i="1"/>
  <c r="F614" i="2"/>
  <c r="S614" i="2" s="1"/>
  <c r="H614" i="2"/>
  <c r="M613" i="1"/>
  <c r="E613" i="3" s="1"/>
  <c r="K612" i="1"/>
  <c r="F614" i="3"/>
  <c r="S614" i="3" s="1"/>
  <c r="H614" i="3"/>
  <c r="M612" i="1" l="1"/>
  <c r="E612" i="3" s="1"/>
  <c r="K611" i="1"/>
  <c r="F613" i="3"/>
  <c r="S613" i="3" s="1"/>
  <c r="H613" i="3"/>
  <c r="AC612" i="1"/>
  <c r="E612" i="2" s="1"/>
  <c r="AB611" i="1"/>
  <c r="F613" i="2"/>
  <c r="S613" i="2" s="1"/>
  <c r="H613" i="2"/>
  <c r="T611" i="1"/>
  <c r="U612" i="1"/>
  <c r="AC611" i="1" l="1"/>
  <c r="E611" i="2" s="1"/>
  <c r="AB610" i="1"/>
  <c r="M611" i="1"/>
  <c r="E611" i="3" s="1"/>
  <c r="K610" i="1"/>
  <c r="T610" i="1"/>
  <c r="U611" i="1"/>
  <c r="F612" i="2"/>
  <c r="S612" i="2" s="1"/>
  <c r="H612" i="2"/>
  <c r="F612" i="3"/>
  <c r="S612" i="3" s="1"/>
  <c r="H612" i="3"/>
  <c r="T609" i="1" l="1"/>
  <c r="U610" i="1"/>
  <c r="M610" i="1"/>
  <c r="E610" i="3" s="1"/>
  <c r="K609" i="1"/>
  <c r="F611" i="3"/>
  <c r="S611" i="3" s="1"/>
  <c r="H611" i="3"/>
  <c r="AC610" i="1"/>
  <c r="E610" i="2" s="1"/>
  <c r="AB609" i="1"/>
  <c r="F611" i="2"/>
  <c r="S611" i="2" s="1"/>
  <c r="H611" i="2"/>
  <c r="M609" i="1" l="1"/>
  <c r="E609" i="3" s="1"/>
  <c r="K608" i="1"/>
  <c r="AC609" i="1"/>
  <c r="E609" i="2" s="1"/>
  <c r="AB608" i="1"/>
  <c r="F610" i="2"/>
  <c r="S610" i="2" s="1"/>
  <c r="H610" i="2"/>
  <c r="F610" i="3"/>
  <c r="S610" i="3" s="1"/>
  <c r="H610" i="3"/>
  <c r="U609" i="1"/>
  <c r="T608" i="1"/>
  <c r="AC608" i="1" l="1"/>
  <c r="E608" i="2" s="1"/>
  <c r="AB607" i="1"/>
  <c r="T607" i="1"/>
  <c r="U608" i="1"/>
  <c r="F609" i="2"/>
  <c r="S609" i="2" s="1"/>
  <c r="H609" i="2"/>
  <c r="M608" i="1"/>
  <c r="E608" i="3" s="1"/>
  <c r="K607" i="1"/>
  <c r="F609" i="3"/>
  <c r="S609" i="3" s="1"/>
  <c r="H609" i="3"/>
  <c r="F608" i="3" l="1"/>
  <c r="S608" i="3" s="1"/>
  <c r="H608" i="3"/>
  <c r="T606" i="1"/>
  <c r="U607" i="1"/>
  <c r="AC607" i="1"/>
  <c r="E607" i="2" s="1"/>
  <c r="AB606" i="1"/>
  <c r="M607" i="1"/>
  <c r="E607" i="3" s="1"/>
  <c r="K606" i="1"/>
  <c r="F608" i="2"/>
  <c r="S608" i="2" s="1"/>
  <c r="H608" i="2"/>
  <c r="F607" i="2" l="1"/>
  <c r="R607" i="2" s="1"/>
  <c r="H607" i="2"/>
  <c r="M606" i="1"/>
  <c r="E606" i="3" s="1"/>
  <c r="K605" i="1"/>
  <c r="F607" i="3"/>
  <c r="R607" i="3" s="1"/>
  <c r="H607" i="3"/>
  <c r="AC606" i="1"/>
  <c r="E606" i="2" s="1"/>
  <c r="AB605" i="1"/>
  <c r="T605" i="1"/>
  <c r="U606" i="1"/>
  <c r="T604" i="1" l="1"/>
  <c r="U605" i="1"/>
  <c r="F606" i="2"/>
  <c r="R606" i="2" s="1"/>
  <c r="H606" i="2"/>
  <c r="AC605" i="1"/>
  <c r="E605" i="2" s="1"/>
  <c r="AB604" i="1"/>
  <c r="M605" i="1"/>
  <c r="E605" i="3" s="1"/>
  <c r="K604" i="1"/>
  <c r="F606" i="3"/>
  <c r="R606" i="3" s="1"/>
  <c r="H606" i="3"/>
  <c r="AC604" i="1" l="1"/>
  <c r="E604" i="2" s="1"/>
  <c r="AB603" i="1"/>
  <c r="M604" i="1"/>
  <c r="E604" i="3" s="1"/>
  <c r="K603" i="1"/>
  <c r="F605" i="3"/>
  <c r="R605" i="3" s="1"/>
  <c r="H605" i="3"/>
  <c r="F605" i="2"/>
  <c r="R605" i="2" s="1"/>
  <c r="H605" i="2"/>
  <c r="T603" i="1"/>
  <c r="U604" i="1"/>
  <c r="T602" i="1" l="1"/>
  <c r="U603" i="1"/>
  <c r="M603" i="1"/>
  <c r="E603" i="3" s="1"/>
  <c r="K602" i="1"/>
  <c r="F604" i="3"/>
  <c r="R604" i="3" s="1"/>
  <c r="H604" i="3"/>
  <c r="AC603" i="1"/>
  <c r="E603" i="2" s="1"/>
  <c r="AB602" i="1"/>
  <c r="F604" i="2"/>
  <c r="R604" i="2" s="1"/>
  <c r="H604" i="2"/>
  <c r="M602" i="1" l="1"/>
  <c r="E602" i="3" s="1"/>
  <c r="K601" i="1"/>
  <c r="F603" i="2"/>
  <c r="R603" i="2" s="1"/>
  <c r="H603" i="2"/>
  <c r="AC602" i="1"/>
  <c r="E602" i="2" s="1"/>
  <c r="AB601" i="1"/>
  <c r="F603" i="3"/>
  <c r="R603" i="3" s="1"/>
  <c r="H603" i="3"/>
  <c r="T601" i="1"/>
  <c r="U602" i="1"/>
  <c r="T600" i="1" l="1"/>
  <c r="U601" i="1"/>
  <c r="AC601" i="1"/>
  <c r="E601" i="2" s="1"/>
  <c r="AB600" i="1"/>
  <c r="F602" i="2"/>
  <c r="R602" i="2" s="1"/>
  <c r="H602" i="2"/>
  <c r="M601" i="1"/>
  <c r="E601" i="3" s="1"/>
  <c r="K600" i="1"/>
  <c r="F602" i="3"/>
  <c r="R602" i="3" s="1"/>
  <c r="H602" i="3"/>
  <c r="F601" i="3" l="1"/>
  <c r="R601" i="3" s="1"/>
  <c r="H601" i="3"/>
  <c r="AC600" i="1"/>
  <c r="E600" i="2" s="1"/>
  <c r="AB599" i="1"/>
  <c r="M600" i="1"/>
  <c r="E600" i="3" s="1"/>
  <c r="K599" i="1"/>
  <c r="F601" i="2"/>
  <c r="R601" i="2" s="1"/>
  <c r="H601" i="2"/>
  <c r="T599" i="1"/>
  <c r="U600" i="1"/>
  <c r="F600" i="3" l="1"/>
  <c r="R600" i="3" s="1"/>
  <c r="H600" i="3"/>
  <c r="AC599" i="1"/>
  <c r="E599" i="2" s="1"/>
  <c r="AB598" i="1"/>
  <c r="T598" i="1"/>
  <c r="U599" i="1"/>
  <c r="M599" i="1"/>
  <c r="E599" i="3" s="1"/>
  <c r="K598" i="1"/>
  <c r="F600" i="2"/>
  <c r="R600" i="2" s="1"/>
  <c r="H600" i="2"/>
  <c r="M598" i="1" l="1"/>
  <c r="E598" i="3" s="1"/>
  <c r="K597" i="1"/>
  <c r="F599" i="3"/>
  <c r="R599" i="3" s="1"/>
  <c r="H599" i="3"/>
  <c r="T597" i="1"/>
  <c r="U598" i="1"/>
  <c r="AC598" i="1"/>
  <c r="E598" i="2" s="1"/>
  <c r="AB597" i="1"/>
  <c r="F599" i="2"/>
  <c r="R599" i="2" s="1"/>
  <c r="H599" i="2"/>
  <c r="F598" i="2" l="1"/>
  <c r="R598" i="2" s="1"/>
  <c r="H598" i="2"/>
  <c r="T596" i="1"/>
  <c r="U597" i="1"/>
  <c r="AC597" i="1"/>
  <c r="E597" i="2" s="1"/>
  <c r="AB596" i="1"/>
  <c r="M597" i="1"/>
  <c r="E597" i="3" s="1"/>
  <c r="K596" i="1"/>
  <c r="F598" i="3"/>
  <c r="R598" i="3" s="1"/>
  <c r="H598" i="3"/>
  <c r="M596" i="1" l="1"/>
  <c r="E596" i="3" s="1"/>
  <c r="K595" i="1"/>
  <c r="AC596" i="1"/>
  <c r="E596" i="2" s="1"/>
  <c r="AB595" i="1"/>
  <c r="F597" i="3"/>
  <c r="Q597" i="3" s="1"/>
  <c r="H597" i="3"/>
  <c r="F597" i="2"/>
  <c r="Q597" i="2" s="1"/>
  <c r="H597" i="2"/>
  <c r="T595" i="1"/>
  <c r="U596" i="1"/>
  <c r="T594" i="1" l="1"/>
  <c r="U595" i="1"/>
  <c r="F596" i="2"/>
  <c r="Q596" i="2" s="1"/>
  <c r="H596" i="2"/>
  <c r="M595" i="1"/>
  <c r="E595" i="3" s="1"/>
  <c r="K594" i="1"/>
  <c r="AC595" i="1"/>
  <c r="E595" i="2" s="1"/>
  <c r="AB594" i="1"/>
  <c r="F596" i="3"/>
  <c r="Q596" i="3" s="1"/>
  <c r="H596" i="3"/>
  <c r="F595" i="2" l="1"/>
  <c r="Q595" i="2" s="1"/>
  <c r="H595" i="2"/>
  <c r="AC594" i="1"/>
  <c r="E594" i="2" s="1"/>
  <c r="AB593" i="1"/>
  <c r="F595" i="3"/>
  <c r="Q595" i="3" s="1"/>
  <c r="H595" i="3"/>
  <c r="M594" i="1"/>
  <c r="E594" i="3" s="1"/>
  <c r="K593" i="1"/>
  <c r="T593" i="1"/>
  <c r="U594" i="1"/>
  <c r="T592" i="1" l="1"/>
  <c r="U593" i="1"/>
  <c r="F594" i="2"/>
  <c r="Q594" i="2" s="1"/>
  <c r="H594" i="2"/>
  <c r="M593" i="1"/>
  <c r="E593" i="3" s="1"/>
  <c r="K592" i="1"/>
  <c r="F594" i="3"/>
  <c r="Q594" i="3" s="1"/>
  <c r="H594" i="3"/>
  <c r="AC593" i="1"/>
  <c r="E593" i="2" s="1"/>
  <c r="AB592" i="1"/>
  <c r="AC592" i="1" l="1"/>
  <c r="E592" i="2" s="1"/>
  <c r="AB591" i="1"/>
  <c r="M592" i="1"/>
  <c r="E592" i="3" s="1"/>
  <c r="K591" i="1"/>
  <c r="F593" i="2"/>
  <c r="Q593" i="2" s="1"/>
  <c r="H593" i="2"/>
  <c r="F593" i="3"/>
  <c r="Q593" i="3" s="1"/>
  <c r="H593" i="3"/>
  <c r="T591" i="1"/>
  <c r="U592" i="1"/>
  <c r="T590" i="1" l="1"/>
  <c r="U591" i="1"/>
  <c r="F592" i="3"/>
  <c r="Q592" i="3" s="1"/>
  <c r="H592" i="3"/>
  <c r="M591" i="1"/>
  <c r="E591" i="3" s="1"/>
  <c r="K590" i="1"/>
  <c r="AC591" i="1"/>
  <c r="E591" i="2" s="1"/>
  <c r="AB590" i="1"/>
  <c r="F592" i="2"/>
  <c r="Q592" i="2" s="1"/>
  <c r="H592" i="2"/>
  <c r="F591" i="2" l="1"/>
  <c r="Q591" i="2" s="1"/>
  <c r="H591" i="2"/>
  <c r="M590" i="1"/>
  <c r="E590" i="3" s="1"/>
  <c r="K589" i="1"/>
  <c r="AC590" i="1"/>
  <c r="E590" i="2" s="1"/>
  <c r="AB589" i="1"/>
  <c r="F591" i="3"/>
  <c r="Q591" i="3" s="1"/>
  <c r="H591" i="3"/>
  <c r="T589" i="1"/>
  <c r="U590" i="1"/>
  <c r="F590" i="2" l="1"/>
  <c r="Q590" i="2" s="1"/>
  <c r="H590" i="2"/>
  <c r="AC589" i="1"/>
  <c r="E589" i="2" s="1"/>
  <c r="AB588" i="1"/>
  <c r="M589" i="1"/>
  <c r="E589" i="3" s="1"/>
  <c r="K588" i="1"/>
  <c r="T588" i="1"/>
  <c r="U589" i="1"/>
  <c r="F590" i="3"/>
  <c r="Q590" i="3" s="1"/>
  <c r="H590" i="3"/>
  <c r="F589" i="3" l="1"/>
  <c r="Q589" i="3" s="1"/>
  <c r="H589" i="3"/>
  <c r="U588" i="1"/>
  <c r="T587" i="1"/>
  <c r="M588" i="1"/>
  <c r="E588" i="3" s="1"/>
  <c r="K587" i="1"/>
  <c r="AC588" i="1"/>
  <c r="E588" i="2" s="1"/>
  <c r="AB587" i="1"/>
  <c r="F589" i="2"/>
  <c r="Q589" i="2" s="1"/>
  <c r="H589" i="2"/>
  <c r="AC587" i="1" l="1"/>
  <c r="E587" i="2" s="1"/>
  <c r="AB586" i="1"/>
  <c r="M587" i="1"/>
  <c r="E587" i="3" s="1"/>
  <c r="K586" i="1"/>
  <c r="F588" i="2"/>
  <c r="Q588" i="2" s="1"/>
  <c r="H588" i="2"/>
  <c r="F588" i="3"/>
  <c r="Q588" i="3" s="1"/>
  <c r="H588" i="3"/>
  <c r="T586" i="1"/>
  <c r="U587" i="1"/>
  <c r="T585" i="1" l="1"/>
  <c r="U586" i="1"/>
  <c r="M586" i="1"/>
  <c r="E586" i="3" s="1"/>
  <c r="K585" i="1"/>
  <c r="AC586" i="1"/>
  <c r="E586" i="2" s="1"/>
  <c r="AB585" i="1"/>
  <c r="F587" i="3"/>
  <c r="P587" i="3" s="1"/>
  <c r="H587" i="3"/>
  <c r="F587" i="2"/>
  <c r="P587" i="2" s="1"/>
  <c r="H587" i="2"/>
  <c r="AC585" i="1" l="1"/>
  <c r="E585" i="2" s="1"/>
  <c r="AB584" i="1"/>
  <c r="M585" i="1"/>
  <c r="E585" i="3" s="1"/>
  <c r="K584" i="1"/>
  <c r="F586" i="2"/>
  <c r="P586" i="2" s="1"/>
  <c r="H586" i="2"/>
  <c r="F586" i="3"/>
  <c r="P586" i="3" s="1"/>
  <c r="H586" i="3"/>
  <c r="T584" i="1"/>
  <c r="U585" i="1"/>
  <c r="T583" i="1" l="1"/>
  <c r="U584" i="1"/>
  <c r="M584" i="1"/>
  <c r="E584" i="3" s="1"/>
  <c r="K583" i="1"/>
  <c r="F585" i="3"/>
  <c r="P585" i="3" s="1"/>
  <c r="H585" i="3"/>
  <c r="AC584" i="1"/>
  <c r="E584" i="2" s="1"/>
  <c r="AB583" i="1"/>
  <c r="F585" i="2"/>
  <c r="P585" i="2" s="1"/>
  <c r="H585" i="2"/>
  <c r="F584" i="2" l="1"/>
  <c r="P584" i="2" s="1"/>
  <c r="H584" i="2"/>
  <c r="M583" i="1"/>
  <c r="E583" i="3" s="1"/>
  <c r="K582" i="1"/>
  <c r="AC583" i="1"/>
  <c r="E583" i="2" s="1"/>
  <c r="AB582" i="1"/>
  <c r="F584" i="3"/>
  <c r="P584" i="3" s="1"/>
  <c r="H584" i="3"/>
  <c r="T582" i="1"/>
  <c r="U583" i="1"/>
  <c r="T581" i="1" l="1"/>
  <c r="U582" i="1"/>
  <c r="F583" i="2"/>
  <c r="P583" i="2" s="1"/>
  <c r="H583" i="2"/>
  <c r="M582" i="1"/>
  <c r="E582" i="3" s="1"/>
  <c r="K581" i="1"/>
  <c r="AC582" i="1"/>
  <c r="E582" i="2" s="1"/>
  <c r="AB581" i="1"/>
  <c r="F583" i="3"/>
  <c r="P583" i="3" s="1"/>
  <c r="H583" i="3"/>
  <c r="F582" i="2" l="1"/>
  <c r="P582" i="2" s="1"/>
  <c r="H582" i="2"/>
  <c r="AC581" i="1"/>
  <c r="E581" i="2" s="1"/>
  <c r="AB580" i="1"/>
  <c r="M581" i="1"/>
  <c r="E581" i="3" s="1"/>
  <c r="K580" i="1"/>
  <c r="F582" i="3"/>
  <c r="P582" i="3" s="1"/>
  <c r="H582" i="3"/>
  <c r="T580" i="1"/>
  <c r="U581" i="1"/>
  <c r="U580" i="1" l="1"/>
  <c r="T579" i="1"/>
  <c r="M580" i="1"/>
  <c r="E580" i="3" s="1"/>
  <c r="K579" i="1"/>
  <c r="AC580" i="1"/>
  <c r="E580" i="2" s="1"/>
  <c r="AB579" i="1"/>
  <c r="F581" i="3"/>
  <c r="P581" i="3" s="1"/>
  <c r="H581" i="3"/>
  <c r="F581" i="2"/>
  <c r="P581" i="2" s="1"/>
  <c r="H581" i="2"/>
  <c r="AC579" i="1" l="1"/>
  <c r="E579" i="2" s="1"/>
  <c r="AB578" i="1"/>
  <c r="F580" i="2"/>
  <c r="P580" i="2" s="1"/>
  <c r="H580" i="2"/>
  <c r="M579" i="1"/>
  <c r="E579" i="3" s="1"/>
  <c r="K578" i="1"/>
  <c r="F580" i="3"/>
  <c r="P580" i="3" s="1"/>
  <c r="H580" i="3"/>
  <c r="T578" i="1"/>
  <c r="U579" i="1"/>
  <c r="T577" i="1" l="1"/>
  <c r="U578" i="1"/>
  <c r="M578" i="1"/>
  <c r="E578" i="3" s="1"/>
  <c r="K577" i="1"/>
  <c r="AC578" i="1"/>
  <c r="E578" i="2" s="1"/>
  <c r="AB577" i="1"/>
  <c r="F579" i="3"/>
  <c r="P579" i="3" s="1"/>
  <c r="H579" i="3"/>
  <c r="F579" i="2"/>
  <c r="P579" i="2" s="1"/>
  <c r="H579" i="2"/>
  <c r="F578" i="2" l="1"/>
  <c r="P578" i="2" s="1"/>
  <c r="H578" i="2"/>
  <c r="M577" i="1"/>
  <c r="E577" i="3" s="1"/>
  <c r="K576" i="1"/>
  <c r="AC577" i="1"/>
  <c r="E577" i="2" s="1"/>
  <c r="AB576" i="1"/>
  <c r="F578" i="3"/>
  <c r="P578" i="3" s="1"/>
  <c r="H578" i="3"/>
  <c r="T576" i="1"/>
  <c r="U577" i="1"/>
  <c r="M576" i="1" l="1"/>
  <c r="E576" i="3" s="1"/>
  <c r="K575" i="1"/>
  <c r="T575" i="1"/>
  <c r="U576" i="1"/>
  <c r="F577" i="2"/>
  <c r="O577" i="2" s="1"/>
  <c r="H577" i="2"/>
  <c r="F577" i="3"/>
  <c r="O577" i="3" s="1"/>
  <c r="H577" i="3"/>
  <c r="AC576" i="1"/>
  <c r="E576" i="2" s="1"/>
  <c r="AB575" i="1"/>
  <c r="AC575" i="1" l="1"/>
  <c r="E575" i="2" s="1"/>
  <c r="AB574" i="1"/>
  <c r="F576" i="2"/>
  <c r="O576" i="2" s="1"/>
  <c r="H576" i="2"/>
  <c r="T574" i="1"/>
  <c r="U575" i="1"/>
  <c r="M575" i="1"/>
  <c r="E575" i="3" s="1"/>
  <c r="K574" i="1"/>
  <c r="F576" i="3"/>
  <c r="O576" i="3" s="1"/>
  <c r="H576" i="3"/>
  <c r="F575" i="3" l="1"/>
  <c r="O575" i="3" s="1"/>
  <c r="H575" i="3"/>
  <c r="T573" i="1"/>
  <c r="U574" i="1"/>
  <c r="M574" i="1"/>
  <c r="E574" i="3" s="1"/>
  <c r="K573" i="1"/>
  <c r="AC574" i="1"/>
  <c r="E574" i="2" s="1"/>
  <c r="AB573" i="1"/>
  <c r="F575" i="2"/>
  <c r="O575" i="2" s="1"/>
  <c r="H575" i="2"/>
  <c r="AC573" i="1" l="1"/>
  <c r="E573" i="2" s="1"/>
  <c r="AB572" i="1"/>
  <c r="F574" i="2"/>
  <c r="O574" i="2" s="1"/>
  <c r="H574" i="2"/>
  <c r="M573" i="1"/>
  <c r="E573" i="3" s="1"/>
  <c r="K572" i="1"/>
  <c r="F574" i="3"/>
  <c r="O574" i="3" s="1"/>
  <c r="H574" i="3"/>
  <c r="T572" i="1"/>
  <c r="U573" i="1"/>
  <c r="M572" i="1" l="1"/>
  <c r="E572" i="3" s="1"/>
  <c r="K571" i="1"/>
  <c r="T571" i="1"/>
  <c r="U572" i="1"/>
  <c r="F573" i="3"/>
  <c r="O573" i="3" s="1"/>
  <c r="H573" i="3"/>
  <c r="AC572" i="1"/>
  <c r="E572" i="2" s="1"/>
  <c r="AB571" i="1"/>
  <c r="F573" i="2"/>
  <c r="O573" i="2" s="1"/>
  <c r="H573" i="2"/>
  <c r="F572" i="2" l="1"/>
  <c r="O572" i="2" s="1"/>
  <c r="H572" i="2"/>
  <c r="AC571" i="1"/>
  <c r="E571" i="2" s="1"/>
  <c r="AB570" i="1"/>
  <c r="T570" i="1"/>
  <c r="U571" i="1"/>
  <c r="M571" i="1"/>
  <c r="E571" i="3" s="1"/>
  <c r="K570" i="1"/>
  <c r="F572" i="3"/>
  <c r="O572" i="3" s="1"/>
  <c r="H572" i="3"/>
  <c r="M570" i="1" l="1"/>
  <c r="E570" i="3" s="1"/>
  <c r="K569" i="1"/>
  <c r="F571" i="3"/>
  <c r="O571" i="3" s="1"/>
  <c r="H571" i="3"/>
  <c r="T569" i="1"/>
  <c r="U570" i="1"/>
  <c r="AC570" i="1"/>
  <c r="E570" i="2" s="1"/>
  <c r="AB569" i="1"/>
  <c r="F571" i="2"/>
  <c r="O571" i="2" s="1"/>
  <c r="H571" i="2"/>
  <c r="AC569" i="1" l="1"/>
  <c r="E569" i="2" s="1"/>
  <c r="AB568" i="1"/>
  <c r="F570" i="2"/>
  <c r="O570" i="2" s="1"/>
  <c r="H570" i="2"/>
  <c r="T568" i="1"/>
  <c r="U569" i="1"/>
  <c r="M569" i="1"/>
  <c r="E569" i="3" s="1"/>
  <c r="K568" i="1"/>
  <c r="F570" i="3"/>
  <c r="O570" i="3" s="1"/>
  <c r="H570" i="3"/>
  <c r="M568" i="1" l="1"/>
  <c r="E568" i="3" s="1"/>
  <c r="K567" i="1"/>
  <c r="F569" i="3"/>
  <c r="O569" i="3" s="1"/>
  <c r="H569" i="3"/>
  <c r="T567" i="1"/>
  <c r="U568" i="1"/>
  <c r="AC568" i="1"/>
  <c r="E568" i="2" s="1"/>
  <c r="AB567" i="1"/>
  <c r="F569" i="2"/>
  <c r="O569" i="2" s="1"/>
  <c r="H569" i="2"/>
  <c r="AC567" i="1" l="1"/>
  <c r="E567" i="2" s="1"/>
  <c r="AB566" i="1"/>
  <c r="T566" i="1"/>
  <c r="U567" i="1"/>
  <c r="F568" i="2"/>
  <c r="O568" i="2" s="1"/>
  <c r="H568" i="2"/>
  <c r="M567" i="1"/>
  <c r="E567" i="3" s="1"/>
  <c r="K566" i="1"/>
  <c r="F568" i="3"/>
  <c r="O568" i="3" s="1"/>
  <c r="H568" i="3"/>
  <c r="F567" i="3" l="1"/>
  <c r="N567" i="3" s="1"/>
  <c r="H567" i="3"/>
  <c r="M566" i="1"/>
  <c r="E566" i="3" s="1"/>
  <c r="K565" i="1"/>
  <c r="T565" i="1"/>
  <c r="U566" i="1"/>
  <c r="AC566" i="1"/>
  <c r="E566" i="2" s="1"/>
  <c r="AB565" i="1"/>
  <c r="F567" i="2"/>
  <c r="N567" i="2" s="1"/>
  <c r="H567" i="2"/>
  <c r="AC565" i="1" l="1"/>
  <c r="E565" i="2" s="1"/>
  <c r="AB564" i="1"/>
  <c r="T564" i="1"/>
  <c r="U565" i="1"/>
  <c r="M565" i="1"/>
  <c r="E565" i="3" s="1"/>
  <c r="K564" i="1"/>
  <c r="F566" i="2"/>
  <c r="N566" i="2" s="1"/>
  <c r="H566" i="2"/>
  <c r="F566" i="3"/>
  <c r="N566" i="3" s="1"/>
  <c r="H566" i="3"/>
  <c r="T563" i="1" l="1"/>
  <c r="U564" i="1"/>
  <c r="F565" i="3"/>
  <c r="N565" i="3" s="1"/>
  <c r="H565" i="3"/>
  <c r="AC564" i="1"/>
  <c r="E564" i="2" s="1"/>
  <c r="AB563" i="1"/>
  <c r="M564" i="1"/>
  <c r="E564" i="3" s="1"/>
  <c r="K563" i="1"/>
  <c r="F565" i="2"/>
  <c r="N565" i="2" s="1"/>
  <c r="H565" i="2"/>
  <c r="M563" i="1" l="1"/>
  <c r="E563" i="3" s="1"/>
  <c r="K562" i="1"/>
  <c r="F564" i="2"/>
  <c r="N564" i="2" s="1"/>
  <c r="H564" i="2"/>
  <c r="F564" i="3"/>
  <c r="N564" i="3" s="1"/>
  <c r="H564" i="3"/>
  <c r="AC563" i="1"/>
  <c r="E563" i="2" s="1"/>
  <c r="AB562" i="1"/>
  <c r="T562" i="1"/>
  <c r="U563" i="1"/>
  <c r="T561" i="1" l="1"/>
  <c r="U562" i="1"/>
  <c r="AC562" i="1"/>
  <c r="E562" i="2" s="1"/>
  <c r="AB561" i="1"/>
  <c r="M562" i="1"/>
  <c r="E562" i="3" s="1"/>
  <c r="K561" i="1"/>
  <c r="F563" i="2"/>
  <c r="N563" i="2" s="1"/>
  <c r="H563" i="2"/>
  <c r="F563" i="3"/>
  <c r="N563" i="3" s="1"/>
  <c r="H563" i="3"/>
  <c r="M561" i="1" l="1"/>
  <c r="E561" i="3" s="1"/>
  <c r="K560" i="1"/>
  <c r="F562" i="3"/>
  <c r="N562" i="3" s="1"/>
  <c r="H562" i="3"/>
  <c r="AC561" i="1"/>
  <c r="E561" i="2" s="1"/>
  <c r="AB560" i="1"/>
  <c r="F562" i="2"/>
  <c r="N562" i="2" s="1"/>
  <c r="H562" i="2"/>
  <c r="T560" i="1"/>
  <c r="U561" i="1"/>
  <c r="T559" i="1" l="1"/>
  <c r="U560" i="1"/>
  <c r="AC560" i="1"/>
  <c r="E560" i="2" s="1"/>
  <c r="AB559" i="1"/>
  <c r="F561" i="2"/>
  <c r="N561" i="2" s="1"/>
  <c r="H561" i="2"/>
  <c r="M560" i="1"/>
  <c r="E560" i="3" s="1"/>
  <c r="K559" i="1"/>
  <c r="F561" i="3"/>
  <c r="N561" i="3" s="1"/>
  <c r="H561" i="3"/>
  <c r="F560" i="3" l="1"/>
  <c r="N560" i="3" s="1"/>
  <c r="H560" i="3"/>
  <c r="M559" i="1"/>
  <c r="E559" i="3" s="1"/>
  <c r="K558" i="1"/>
  <c r="AC559" i="1"/>
  <c r="E559" i="2" s="1"/>
  <c r="AB558" i="1"/>
  <c r="F560" i="2"/>
  <c r="N560" i="2" s="1"/>
  <c r="H560" i="2"/>
  <c r="U559" i="1"/>
  <c r="T558" i="1"/>
  <c r="F559" i="2" l="1"/>
  <c r="N559" i="2" s="1"/>
  <c r="H559" i="2"/>
  <c r="T557" i="1"/>
  <c r="U558" i="1"/>
  <c r="AC558" i="1"/>
  <c r="E558" i="2" s="1"/>
  <c r="AB557" i="1"/>
  <c r="M558" i="1"/>
  <c r="E558" i="3" s="1"/>
  <c r="K557" i="1"/>
  <c r="F559" i="3"/>
  <c r="N559" i="3" s="1"/>
  <c r="H559" i="3"/>
  <c r="M557" i="1" l="1"/>
  <c r="E557" i="3" s="1"/>
  <c r="K556" i="1"/>
  <c r="AC557" i="1"/>
  <c r="E557" i="2" s="1"/>
  <c r="AB556" i="1"/>
  <c r="F558" i="3"/>
  <c r="N558" i="3" s="1"/>
  <c r="H558" i="3"/>
  <c r="F558" i="2"/>
  <c r="N558" i="2" s="1"/>
  <c r="H558" i="2"/>
  <c r="T556" i="1"/>
  <c r="U557" i="1"/>
  <c r="AC556" i="1" l="1"/>
  <c r="E556" i="2" s="1"/>
  <c r="AB555" i="1"/>
  <c r="M556" i="1"/>
  <c r="E556" i="3" s="1"/>
  <c r="K555" i="1"/>
  <c r="T555" i="1"/>
  <c r="U556" i="1"/>
  <c r="F557" i="2"/>
  <c r="M557" i="2" s="1"/>
  <c r="H557" i="2"/>
  <c r="F557" i="3"/>
  <c r="M557" i="3" s="1"/>
  <c r="H557" i="3"/>
  <c r="T554" i="1" l="1"/>
  <c r="U555" i="1"/>
  <c r="M555" i="1"/>
  <c r="E555" i="3" s="1"/>
  <c r="K554" i="1"/>
  <c r="F556" i="3"/>
  <c r="M556" i="3" s="1"/>
  <c r="H556" i="3"/>
  <c r="AC555" i="1"/>
  <c r="E555" i="2" s="1"/>
  <c r="AB554" i="1"/>
  <c r="F556" i="2"/>
  <c r="M556" i="2" s="1"/>
  <c r="H556" i="2"/>
  <c r="AC554" i="1" l="1"/>
  <c r="E554" i="2" s="1"/>
  <c r="AB553" i="1"/>
  <c r="F555" i="2"/>
  <c r="M555" i="2" s="1"/>
  <c r="H555" i="2"/>
  <c r="M554" i="1"/>
  <c r="E554" i="3" s="1"/>
  <c r="K553" i="1"/>
  <c r="F555" i="3"/>
  <c r="M555" i="3" s="1"/>
  <c r="H555" i="3"/>
  <c r="T553" i="1"/>
  <c r="U554" i="1"/>
  <c r="T552" i="1" l="1"/>
  <c r="U553" i="1"/>
  <c r="M553" i="1"/>
  <c r="E553" i="3" s="1"/>
  <c r="K552" i="1"/>
  <c r="F554" i="3"/>
  <c r="M554" i="3" s="1"/>
  <c r="H554" i="3"/>
  <c r="AC553" i="1"/>
  <c r="E553" i="2" s="1"/>
  <c r="AB552" i="1"/>
  <c r="F554" i="2"/>
  <c r="M554" i="2" s="1"/>
  <c r="H554" i="2"/>
  <c r="M552" i="1" l="1"/>
  <c r="E552" i="3" s="1"/>
  <c r="K551" i="1"/>
  <c r="AC552" i="1"/>
  <c r="E552" i="2" s="1"/>
  <c r="AB551" i="1"/>
  <c r="F553" i="2"/>
  <c r="M553" i="2" s="1"/>
  <c r="H553" i="2"/>
  <c r="F553" i="3"/>
  <c r="M553" i="3" s="1"/>
  <c r="H553" i="3"/>
  <c r="T551" i="1"/>
  <c r="U552" i="1"/>
  <c r="F552" i="2" l="1"/>
  <c r="M552" i="2" s="1"/>
  <c r="H552" i="2"/>
  <c r="T550" i="1"/>
  <c r="U551" i="1"/>
  <c r="M551" i="1"/>
  <c r="E551" i="3" s="1"/>
  <c r="K550" i="1"/>
  <c r="AC551" i="1"/>
  <c r="E551" i="2" s="1"/>
  <c r="AB550" i="1"/>
  <c r="F552" i="3"/>
  <c r="M552" i="3" s="1"/>
  <c r="H552" i="3"/>
  <c r="AC550" i="1" l="1"/>
  <c r="E550" i="2" s="1"/>
  <c r="AB549" i="1"/>
  <c r="F551" i="2"/>
  <c r="M551" i="2" s="1"/>
  <c r="H551" i="2"/>
  <c r="M550" i="1"/>
  <c r="E550" i="3" s="1"/>
  <c r="K549" i="1"/>
  <c r="F551" i="3"/>
  <c r="M551" i="3" s="1"/>
  <c r="H551" i="3"/>
  <c r="T549" i="1"/>
  <c r="U550" i="1"/>
  <c r="F550" i="3" l="1"/>
  <c r="M550" i="3" s="1"/>
  <c r="H550" i="3"/>
  <c r="T548" i="1"/>
  <c r="U549" i="1"/>
  <c r="M549" i="1"/>
  <c r="E549" i="3" s="1"/>
  <c r="K548" i="1"/>
  <c r="AC549" i="1"/>
  <c r="E549" i="2" s="1"/>
  <c r="AB548" i="1"/>
  <c r="F550" i="2"/>
  <c r="M550" i="2" s="1"/>
  <c r="H550" i="2"/>
  <c r="F549" i="2" l="1"/>
  <c r="M549" i="2" s="1"/>
  <c r="H549" i="2"/>
  <c r="AC548" i="1"/>
  <c r="E548" i="2" s="1"/>
  <c r="AB547" i="1"/>
  <c r="M548" i="1"/>
  <c r="E548" i="3" s="1"/>
  <c r="K547" i="1"/>
  <c r="F549" i="3"/>
  <c r="M549" i="3" s="1"/>
  <c r="H549" i="3"/>
  <c r="T547" i="1"/>
  <c r="U548" i="1"/>
  <c r="T546" i="1" l="1"/>
  <c r="U547" i="1"/>
  <c r="M547" i="1"/>
  <c r="E547" i="3" s="1"/>
  <c r="K546" i="1"/>
  <c r="AC547" i="1"/>
  <c r="E547" i="2" s="1"/>
  <c r="AB546" i="1"/>
  <c r="F548" i="3"/>
  <c r="M548" i="3" s="1"/>
  <c r="H548" i="3"/>
  <c r="F548" i="2"/>
  <c r="M548" i="2" s="1"/>
  <c r="H548" i="2"/>
  <c r="AC546" i="1" l="1"/>
  <c r="E546" i="2" s="1"/>
  <c r="AB545" i="1"/>
  <c r="F547" i="2"/>
  <c r="L547" i="2" s="1"/>
  <c r="H547" i="2"/>
  <c r="M546" i="1"/>
  <c r="E546" i="3" s="1"/>
  <c r="K545" i="1"/>
  <c r="F547" i="3"/>
  <c r="L547" i="3" s="1"/>
  <c r="H547" i="3"/>
  <c r="T545" i="1"/>
  <c r="U546" i="1"/>
  <c r="T544" i="1" l="1"/>
  <c r="U545" i="1"/>
  <c r="M545" i="1"/>
  <c r="E545" i="3" s="1"/>
  <c r="K544" i="1"/>
  <c r="F546" i="3"/>
  <c r="L546" i="3" s="1"/>
  <c r="H546" i="3"/>
  <c r="AC545" i="1"/>
  <c r="E545" i="2" s="1"/>
  <c r="AB544" i="1"/>
  <c r="F546" i="2"/>
  <c r="L546" i="2" s="1"/>
  <c r="H546" i="2"/>
  <c r="AC544" i="1" l="1"/>
  <c r="E544" i="2" s="1"/>
  <c r="AB543" i="1"/>
  <c r="F545" i="2"/>
  <c r="L545" i="2" s="1"/>
  <c r="H545" i="2"/>
  <c r="M544" i="1"/>
  <c r="E544" i="3" s="1"/>
  <c r="K543" i="1"/>
  <c r="F545" i="3"/>
  <c r="L545" i="3" s="1"/>
  <c r="H545" i="3"/>
  <c r="T543" i="1"/>
  <c r="U544" i="1"/>
  <c r="M543" i="1" l="1"/>
  <c r="E543" i="3" s="1"/>
  <c r="K542" i="1"/>
  <c r="T542" i="1"/>
  <c r="U543" i="1"/>
  <c r="F544" i="3"/>
  <c r="L544" i="3" s="1"/>
  <c r="H544" i="3"/>
  <c r="AC543" i="1"/>
  <c r="E543" i="2" s="1"/>
  <c r="AB542" i="1"/>
  <c r="F544" i="2"/>
  <c r="L544" i="2" s="1"/>
  <c r="H544" i="2"/>
  <c r="F543" i="2" l="1"/>
  <c r="L543" i="2" s="1"/>
  <c r="H543" i="2"/>
  <c r="M542" i="1"/>
  <c r="E542" i="3" s="1"/>
  <c r="K541" i="1"/>
  <c r="AC542" i="1"/>
  <c r="E542" i="2" s="1"/>
  <c r="AB541" i="1"/>
  <c r="T541" i="1"/>
  <c r="U542" i="1"/>
  <c r="F543" i="3"/>
  <c r="L543" i="3" s="1"/>
  <c r="H543" i="3"/>
  <c r="AC541" i="1" l="1"/>
  <c r="E541" i="2" s="1"/>
  <c r="AB540" i="1"/>
  <c r="T540" i="1"/>
  <c r="U541" i="1"/>
  <c r="F542" i="2"/>
  <c r="L542" i="2" s="1"/>
  <c r="H542" i="2"/>
  <c r="M541" i="1"/>
  <c r="E541" i="3" s="1"/>
  <c r="K540" i="1"/>
  <c r="F542" i="3"/>
  <c r="L542" i="3" s="1"/>
  <c r="H542" i="3"/>
  <c r="M540" i="1" l="1"/>
  <c r="E540" i="3" s="1"/>
  <c r="K539" i="1"/>
  <c r="F541" i="3"/>
  <c r="L541" i="3" s="1"/>
  <c r="H541" i="3"/>
  <c r="T539" i="1"/>
  <c r="U540" i="1"/>
  <c r="AC540" i="1"/>
  <c r="E540" i="2" s="1"/>
  <c r="AB539" i="1"/>
  <c r="F541" i="2"/>
  <c r="L541" i="2" s="1"/>
  <c r="H541" i="2"/>
  <c r="F540" i="2" l="1"/>
  <c r="L540" i="2" s="1"/>
  <c r="H540" i="2"/>
  <c r="AC539" i="1"/>
  <c r="E539" i="2" s="1"/>
  <c r="AB538" i="1"/>
  <c r="T538" i="1"/>
  <c r="U539" i="1"/>
  <c r="M539" i="1"/>
  <c r="E539" i="3" s="1"/>
  <c r="K538" i="1"/>
  <c r="F540" i="3"/>
  <c r="L540" i="3" s="1"/>
  <c r="H540" i="3"/>
  <c r="M538" i="1" l="1"/>
  <c r="E538" i="3" s="1"/>
  <c r="K537" i="1"/>
  <c r="U538" i="1"/>
  <c r="T537" i="1"/>
  <c r="F539" i="3"/>
  <c r="L539" i="3" s="1"/>
  <c r="H539" i="3"/>
  <c r="AC538" i="1"/>
  <c r="E538" i="2" s="1"/>
  <c r="AB537" i="1"/>
  <c r="F539" i="2"/>
  <c r="L539" i="2" s="1"/>
  <c r="H539" i="2"/>
  <c r="AC537" i="1" l="1"/>
  <c r="E537" i="2" s="1"/>
  <c r="AB536" i="1"/>
  <c r="F538" i="2"/>
  <c r="L538" i="2" s="1"/>
  <c r="H538" i="2"/>
  <c r="T536" i="1"/>
  <c r="U537" i="1"/>
  <c r="M537" i="1"/>
  <c r="E537" i="3" s="1"/>
  <c r="K536" i="1"/>
  <c r="F538" i="3"/>
  <c r="L538" i="3" s="1"/>
  <c r="H538" i="3"/>
  <c r="F537" i="3" l="1"/>
  <c r="K537" i="3" s="1"/>
  <c r="H537" i="3"/>
  <c r="M536" i="1"/>
  <c r="E536" i="3" s="1"/>
  <c r="K535" i="1"/>
  <c r="T535" i="1"/>
  <c r="U536" i="1"/>
  <c r="AC536" i="1"/>
  <c r="E536" i="2" s="1"/>
  <c r="AB535" i="1"/>
  <c r="F537" i="2"/>
  <c r="K537" i="2" s="1"/>
  <c r="H537" i="2"/>
  <c r="AC535" i="1" l="1"/>
  <c r="E535" i="2" s="1"/>
  <c r="AB534" i="1"/>
  <c r="T534" i="1"/>
  <c r="U535" i="1"/>
  <c r="F536" i="2"/>
  <c r="K536" i="2" s="1"/>
  <c r="H536" i="2"/>
  <c r="M535" i="1"/>
  <c r="E535" i="3" s="1"/>
  <c r="K534" i="1"/>
  <c r="F536" i="3"/>
  <c r="K536" i="3" s="1"/>
  <c r="H536" i="3"/>
  <c r="F535" i="3" l="1"/>
  <c r="K535" i="3" s="1"/>
  <c r="H535" i="3"/>
  <c r="T533" i="1"/>
  <c r="U534" i="1"/>
  <c r="AC534" i="1"/>
  <c r="E534" i="2" s="1"/>
  <c r="AB533" i="1"/>
  <c r="M534" i="1"/>
  <c r="E534" i="3" s="1"/>
  <c r="K533" i="1"/>
  <c r="F535" i="2"/>
  <c r="K535" i="2" s="1"/>
  <c r="H535" i="2"/>
  <c r="M533" i="1" l="1"/>
  <c r="E533" i="3" s="1"/>
  <c r="K532" i="1"/>
  <c r="T532" i="1"/>
  <c r="U533" i="1"/>
  <c r="F534" i="2"/>
  <c r="K534" i="2" s="1"/>
  <c r="H534" i="2"/>
  <c r="F534" i="3"/>
  <c r="K534" i="3" s="1"/>
  <c r="H534" i="3"/>
  <c r="AC533" i="1"/>
  <c r="E533" i="2" s="1"/>
  <c r="AB532" i="1"/>
  <c r="AC532" i="1" l="1"/>
  <c r="E532" i="2" s="1"/>
  <c r="AB531" i="1"/>
  <c r="M532" i="1"/>
  <c r="E532" i="3" s="1"/>
  <c r="K531" i="1"/>
  <c r="F533" i="2"/>
  <c r="K533" i="2" s="1"/>
  <c r="H533" i="2"/>
  <c r="T531" i="1"/>
  <c r="U532" i="1"/>
  <c r="F533" i="3"/>
  <c r="K533" i="3" s="1"/>
  <c r="H533" i="3"/>
  <c r="F532" i="3" l="1"/>
  <c r="K532" i="3" s="1"/>
  <c r="H532" i="3"/>
  <c r="AC531" i="1"/>
  <c r="E531" i="2" s="1"/>
  <c r="AB530" i="1"/>
  <c r="T530" i="1"/>
  <c r="U531" i="1"/>
  <c r="M531" i="1"/>
  <c r="E531" i="3" s="1"/>
  <c r="K530" i="1"/>
  <c r="F532" i="2"/>
  <c r="K532" i="2" s="1"/>
  <c r="H532" i="2"/>
  <c r="M530" i="1" l="1"/>
  <c r="E530" i="3" s="1"/>
  <c r="K529" i="1"/>
  <c r="F531" i="3"/>
  <c r="K531" i="3" s="1"/>
  <c r="H531" i="3"/>
  <c r="U530" i="1"/>
  <c r="T529" i="1"/>
  <c r="AC530" i="1"/>
  <c r="E530" i="2" s="1"/>
  <c r="AB529" i="1"/>
  <c r="F531" i="2"/>
  <c r="K531" i="2" s="1"/>
  <c r="H531" i="2"/>
  <c r="F530" i="2" l="1"/>
  <c r="K530" i="2" s="1"/>
  <c r="H530" i="2"/>
  <c r="M529" i="1"/>
  <c r="E529" i="3" s="1"/>
  <c r="K528" i="1"/>
  <c r="AC529" i="1"/>
  <c r="E529" i="2" s="1"/>
  <c r="AB528" i="1"/>
  <c r="T528" i="1"/>
  <c r="U529" i="1"/>
  <c r="F530" i="3"/>
  <c r="K530" i="3" s="1"/>
  <c r="H530" i="3"/>
  <c r="AC528" i="1" l="1"/>
  <c r="E528" i="2" s="1"/>
  <c r="AB527" i="1"/>
  <c r="T527" i="1"/>
  <c r="U528" i="1"/>
  <c r="F529" i="2"/>
  <c r="K529" i="2" s="1"/>
  <c r="H529" i="2"/>
  <c r="M528" i="1"/>
  <c r="E528" i="3" s="1"/>
  <c r="K527" i="1"/>
  <c r="F529" i="3"/>
  <c r="K529" i="3" s="1"/>
  <c r="H529" i="3"/>
  <c r="M527" i="1" l="1"/>
  <c r="E527" i="3" s="1"/>
  <c r="K526" i="1"/>
  <c r="F528" i="3"/>
  <c r="K528" i="3" s="1"/>
  <c r="H528" i="3"/>
  <c r="T526" i="1"/>
  <c r="U527" i="1"/>
  <c r="AC527" i="1"/>
  <c r="E527" i="2" s="1"/>
  <c r="AB526" i="1"/>
  <c r="F528" i="2"/>
  <c r="K528" i="2" s="1"/>
  <c r="H528" i="2"/>
  <c r="F527" i="2" l="1"/>
  <c r="J527" i="2" s="1"/>
  <c r="H527" i="2"/>
  <c r="T525" i="1"/>
  <c r="U526" i="1"/>
  <c r="AC526" i="1"/>
  <c r="E526" i="2" s="1"/>
  <c r="AB525" i="1"/>
  <c r="M526" i="1"/>
  <c r="E526" i="3" s="1"/>
  <c r="K525" i="1"/>
  <c r="F527" i="3"/>
  <c r="J527" i="3" s="1"/>
  <c r="H527" i="3"/>
  <c r="F526" i="2" l="1"/>
  <c r="J526" i="2" s="1"/>
  <c r="H526" i="2"/>
  <c r="M525" i="1"/>
  <c r="E525" i="3" s="1"/>
  <c r="K524" i="1"/>
  <c r="F526" i="3"/>
  <c r="J526" i="3" s="1"/>
  <c r="H526" i="3"/>
  <c r="AC525" i="1"/>
  <c r="E525" i="2" s="1"/>
  <c r="AB524" i="1"/>
  <c r="T524" i="1"/>
  <c r="U525" i="1"/>
  <c r="T523" i="1" l="1"/>
  <c r="U524" i="1"/>
  <c r="F525" i="2"/>
  <c r="J525" i="2" s="1"/>
  <c r="H525" i="2"/>
  <c r="M524" i="1"/>
  <c r="E524" i="3" s="1"/>
  <c r="K523" i="1"/>
  <c r="AC524" i="1"/>
  <c r="E524" i="2" s="1"/>
  <c r="AB523" i="1"/>
  <c r="F525" i="3"/>
  <c r="J525" i="3" s="1"/>
  <c r="H525" i="3"/>
  <c r="F524" i="3" l="1"/>
  <c r="J524" i="3" s="1"/>
  <c r="H524" i="3"/>
  <c r="F524" i="2"/>
  <c r="J524" i="2" s="1"/>
  <c r="H524" i="2"/>
  <c r="AC523" i="1"/>
  <c r="E523" i="2" s="1"/>
  <c r="AB522" i="1"/>
  <c r="M523" i="1"/>
  <c r="E523" i="3" s="1"/>
  <c r="K522" i="1"/>
  <c r="T522" i="1"/>
  <c r="U523" i="1"/>
  <c r="T521" i="1" l="1"/>
  <c r="U522" i="1"/>
  <c r="M522" i="1"/>
  <c r="E522" i="3" s="1"/>
  <c r="K521" i="1"/>
  <c r="F523" i="2"/>
  <c r="J523" i="2" s="1"/>
  <c r="H523" i="2"/>
  <c r="F523" i="3"/>
  <c r="J523" i="3" s="1"/>
  <c r="H523" i="3"/>
  <c r="AC522" i="1"/>
  <c r="E522" i="2" s="1"/>
  <c r="AB521" i="1"/>
  <c r="F522" i="2" l="1"/>
  <c r="J522" i="2" s="1"/>
  <c r="H522" i="2"/>
  <c r="AC521" i="1"/>
  <c r="E521" i="2" s="1"/>
  <c r="AB520" i="1"/>
  <c r="M521" i="1"/>
  <c r="E521" i="3" s="1"/>
  <c r="K520" i="1"/>
  <c r="F522" i="3"/>
  <c r="J522" i="3" s="1"/>
  <c r="H522" i="3"/>
  <c r="T520" i="1"/>
  <c r="U521" i="1"/>
  <c r="AC520" i="1" l="1"/>
  <c r="E520" i="2" s="1"/>
  <c r="AB519" i="1"/>
  <c r="T519" i="1"/>
  <c r="U520" i="1"/>
  <c r="F521" i="3"/>
  <c r="J521" i="3" s="1"/>
  <c r="H521" i="3"/>
  <c r="F521" i="2"/>
  <c r="J521" i="2" s="1"/>
  <c r="H521" i="2"/>
  <c r="M520" i="1"/>
  <c r="E520" i="3" s="1"/>
  <c r="K519" i="1"/>
  <c r="M519" i="1" l="1"/>
  <c r="E519" i="3" s="1"/>
  <c r="K518" i="1"/>
  <c r="F520" i="3"/>
  <c r="J520" i="3" s="1"/>
  <c r="H520" i="3"/>
  <c r="T518" i="1"/>
  <c r="U519" i="1"/>
  <c r="AC519" i="1"/>
  <c r="E519" i="2" s="1"/>
  <c r="AB518" i="1"/>
  <c r="F520" i="2"/>
  <c r="J520" i="2" s="1"/>
  <c r="H520" i="2"/>
  <c r="AC518" i="1" l="1"/>
  <c r="E518" i="2" s="1"/>
  <c r="AB517" i="1"/>
  <c r="M518" i="1"/>
  <c r="E518" i="3" s="1"/>
  <c r="K517" i="1"/>
  <c r="F519" i="2"/>
  <c r="J519" i="2" s="1"/>
  <c r="H519" i="2"/>
  <c r="T517" i="1"/>
  <c r="U518" i="1"/>
  <c r="F519" i="3"/>
  <c r="J519" i="3" s="1"/>
  <c r="H519" i="3"/>
  <c r="T516" i="1" l="1"/>
  <c r="U517" i="1"/>
  <c r="M517" i="1"/>
  <c r="E517" i="3" s="1"/>
  <c r="K516" i="1"/>
  <c r="F518" i="3"/>
  <c r="J518" i="3" s="1"/>
  <c r="H518" i="3"/>
  <c r="AC517" i="1"/>
  <c r="E517" i="2" s="1"/>
  <c r="AB516" i="1"/>
  <c r="F518" i="2"/>
  <c r="J518" i="2" s="1"/>
  <c r="H518" i="2"/>
  <c r="AC516" i="1" l="1"/>
  <c r="E516" i="2" s="1"/>
  <c r="AB515" i="1"/>
  <c r="M516" i="1"/>
  <c r="E516" i="3" s="1"/>
  <c r="K515" i="1"/>
  <c r="F517" i="2"/>
  <c r="I517" i="2" s="1"/>
  <c r="H517" i="2"/>
  <c r="F517" i="3"/>
  <c r="I517" i="3" s="1"/>
  <c r="H517" i="3"/>
  <c r="T515" i="1"/>
  <c r="U516" i="1"/>
  <c r="T514" i="1" l="1"/>
  <c r="U515" i="1"/>
  <c r="M515" i="1"/>
  <c r="E515" i="3" s="1"/>
  <c r="K514" i="1"/>
  <c r="AC515" i="1"/>
  <c r="E515" i="2" s="1"/>
  <c r="AB514" i="1"/>
  <c r="F516" i="3"/>
  <c r="I516" i="3" s="1"/>
  <c r="H516" i="3"/>
  <c r="F516" i="2"/>
  <c r="I516" i="2" s="1"/>
  <c r="H516" i="2"/>
  <c r="AC514" i="1" l="1"/>
  <c r="E514" i="2" s="1"/>
  <c r="AB513" i="1"/>
  <c r="M514" i="1"/>
  <c r="E514" i="3" s="1"/>
  <c r="K513" i="1"/>
  <c r="F515" i="2"/>
  <c r="I515" i="2" s="1"/>
  <c r="H515" i="2"/>
  <c r="F515" i="3"/>
  <c r="I515" i="3" s="1"/>
  <c r="H515" i="3"/>
  <c r="T513" i="1"/>
  <c r="U514" i="1"/>
  <c r="M513" i="1" l="1"/>
  <c r="E513" i="3" s="1"/>
  <c r="K512" i="1"/>
  <c r="AC513" i="1"/>
  <c r="E513" i="2" s="1"/>
  <c r="AB512" i="1"/>
  <c r="T512" i="1"/>
  <c r="U513" i="1"/>
  <c r="F514" i="3"/>
  <c r="I514" i="3" s="1"/>
  <c r="H514" i="3"/>
  <c r="F514" i="2"/>
  <c r="I514" i="2" s="1"/>
  <c r="H514" i="2"/>
  <c r="F513" i="2" l="1"/>
  <c r="I513" i="2" s="1"/>
  <c r="H513" i="2"/>
  <c r="T511" i="1"/>
  <c r="U512" i="1"/>
  <c r="AC512" i="1"/>
  <c r="E512" i="2" s="1"/>
  <c r="AB511" i="1"/>
  <c r="M512" i="1"/>
  <c r="E512" i="3" s="1"/>
  <c r="K511" i="1"/>
  <c r="F513" i="3"/>
  <c r="I513" i="3" s="1"/>
  <c r="H513" i="3"/>
  <c r="M511" i="1" l="1"/>
  <c r="E511" i="3" s="1"/>
  <c r="K510" i="1"/>
  <c r="F512" i="3"/>
  <c r="I512" i="3" s="1"/>
  <c r="H512" i="3"/>
  <c r="AC511" i="1"/>
  <c r="E511" i="2" s="1"/>
  <c r="AB510" i="1"/>
  <c r="F512" i="2"/>
  <c r="I512" i="2" s="1"/>
  <c r="H512" i="2"/>
  <c r="T510" i="1"/>
  <c r="U511" i="1"/>
  <c r="T509" i="1" l="1"/>
  <c r="U510" i="1"/>
  <c r="F511" i="2"/>
  <c r="I511" i="2" s="1"/>
  <c r="H511" i="2"/>
  <c r="AC510" i="1"/>
  <c r="E510" i="2" s="1"/>
  <c r="AB509" i="1"/>
  <c r="M510" i="1"/>
  <c r="E510" i="3" s="1"/>
  <c r="K509" i="1"/>
  <c r="F511" i="3"/>
  <c r="I511" i="3" s="1"/>
  <c r="H511" i="3"/>
  <c r="AC509" i="1" l="1"/>
  <c r="E509" i="2" s="1"/>
  <c r="AB508" i="1"/>
  <c r="F510" i="3"/>
  <c r="I510" i="3" s="1"/>
  <c r="H510" i="3"/>
  <c r="M509" i="1"/>
  <c r="E509" i="3" s="1"/>
  <c r="K508" i="1"/>
  <c r="F510" i="2"/>
  <c r="I510" i="2" s="1"/>
  <c r="H510" i="2"/>
  <c r="U509" i="1"/>
  <c r="T508" i="1"/>
  <c r="T507" i="1" l="1"/>
  <c r="U508" i="1"/>
  <c r="M508" i="1"/>
  <c r="E508" i="3" s="1"/>
  <c r="K507" i="1"/>
  <c r="AC508" i="1"/>
  <c r="E508" i="2" s="1"/>
  <c r="AB507" i="1"/>
  <c r="F509" i="3"/>
  <c r="I509" i="3" s="1"/>
  <c r="H509" i="3"/>
  <c r="F509" i="2"/>
  <c r="I509" i="2" s="1"/>
  <c r="H509" i="2"/>
  <c r="AC507" i="1" l="1"/>
  <c r="AB506" i="1"/>
  <c r="M507" i="1"/>
  <c r="K506" i="1"/>
  <c r="F508" i="2"/>
  <c r="I508" i="2" s="1"/>
  <c r="H508" i="2"/>
  <c r="F508" i="3"/>
  <c r="I508" i="3" s="1"/>
  <c r="H508" i="3"/>
  <c r="T506" i="1"/>
  <c r="U507" i="1"/>
  <c r="T505" i="1" l="1"/>
  <c r="U506" i="1"/>
  <c r="M506" i="1"/>
  <c r="E506" i="3" s="1"/>
  <c r="K505" i="1"/>
  <c r="E507" i="3"/>
  <c r="M1" i="1"/>
  <c r="M2" i="1"/>
  <c r="AC506" i="1"/>
  <c r="E506" i="2" s="1"/>
  <c r="F506" i="2" s="1"/>
  <c r="AB505" i="1"/>
  <c r="U1" i="1"/>
  <c r="U2" i="1"/>
  <c r="E507" i="2"/>
  <c r="AC1" i="1"/>
  <c r="AC2" i="1"/>
  <c r="AC505" i="1" l="1"/>
  <c r="E505" i="2" s="1"/>
  <c r="F505" i="2" s="1"/>
  <c r="AB504" i="1"/>
  <c r="F506" i="3"/>
  <c r="F507" i="3"/>
  <c r="I507" i="3" s="1"/>
  <c r="H507" i="3"/>
  <c r="H5" i="3" s="1"/>
  <c r="M505" i="1"/>
  <c r="E505" i="3" s="1"/>
  <c r="F505" i="3" s="1"/>
  <c r="K504" i="1"/>
  <c r="F507" i="2"/>
  <c r="I507" i="2" s="1"/>
  <c r="H507" i="2"/>
  <c r="H5" i="2" s="1"/>
  <c r="T504" i="1"/>
  <c r="U505" i="1"/>
  <c r="T503" i="1" l="1"/>
  <c r="U504" i="1"/>
  <c r="AR5" i="2"/>
  <c r="AQ5" i="2"/>
  <c r="AM5" i="2"/>
  <c r="AN5" i="2"/>
  <c r="AL5" i="2"/>
  <c r="AI5" i="2"/>
  <c r="AK5" i="2"/>
  <c r="AJ5" i="2"/>
  <c r="AH5" i="2"/>
  <c r="AF5" i="2"/>
  <c r="AG5" i="2"/>
  <c r="AE5" i="2"/>
  <c r="AD5" i="2"/>
  <c r="AC5" i="2"/>
  <c r="Z5" i="2"/>
  <c r="AB5" i="2"/>
  <c r="AA5" i="2"/>
  <c r="W5" i="2"/>
  <c r="X5" i="2"/>
  <c r="Y5" i="2"/>
  <c r="V5" i="2"/>
  <c r="U5" i="2"/>
  <c r="S5" i="2"/>
  <c r="Q5" i="2"/>
  <c r="T5" i="2"/>
  <c r="R5" i="2"/>
  <c r="M5" i="2"/>
  <c r="P5" i="2"/>
  <c r="O5" i="2"/>
  <c r="K5" i="2"/>
  <c r="N5" i="2"/>
  <c r="L5" i="2"/>
  <c r="AO5" i="2"/>
  <c r="AP5" i="2"/>
  <c r="I5" i="2"/>
  <c r="J5" i="2"/>
  <c r="B43" i="2"/>
  <c r="E43" i="1" s="1"/>
  <c r="AR5" i="3"/>
  <c r="AN5" i="3"/>
  <c r="AM5" i="3"/>
  <c r="AQ5" i="3"/>
  <c r="AL5" i="3"/>
  <c r="AI5" i="3"/>
  <c r="AJ5" i="3"/>
  <c r="AK5" i="3"/>
  <c r="AH5" i="3"/>
  <c r="AG5" i="3"/>
  <c r="AF5" i="3"/>
  <c r="AC5" i="3"/>
  <c r="AD5" i="3"/>
  <c r="AE5" i="3"/>
  <c r="AB5" i="3"/>
  <c r="Z5" i="3"/>
  <c r="AA5" i="3"/>
  <c r="Y5" i="3"/>
  <c r="X5" i="3"/>
  <c r="U5" i="3"/>
  <c r="W5" i="3"/>
  <c r="R5" i="3"/>
  <c r="T5" i="3"/>
  <c r="V5" i="3"/>
  <c r="Q5" i="3"/>
  <c r="S5" i="3"/>
  <c r="M5" i="3"/>
  <c r="O5" i="3"/>
  <c r="P5" i="3"/>
  <c r="K5" i="3"/>
  <c r="N5" i="3"/>
  <c r="L5" i="3"/>
  <c r="AO5" i="3"/>
  <c r="J5" i="3"/>
  <c r="I5" i="3"/>
  <c r="AP5" i="3"/>
  <c r="B43" i="3"/>
  <c r="F43" i="1" s="1"/>
  <c r="M504" i="1"/>
  <c r="E504" i="3" s="1"/>
  <c r="F504" i="3" s="1"/>
  <c r="K503" i="1"/>
  <c r="AC504" i="1"/>
  <c r="E504" i="2" s="1"/>
  <c r="F504" i="2" s="1"/>
  <c r="AB503" i="1"/>
  <c r="C32" i="2" a="1"/>
  <c r="C22" i="2" a="1"/>
  <c r="C13" i="2" a="1"/>
  <c r="C38" i="3" a="1"/>
  <c r="C27" i="3" a="1"/>
  <c r="C16" i="3" a="1"/>
  <c r="C10" i="3" a="1"/>
  <c r="C30" i="2" a="1"/>
  <c r="C23" i="2" a="1"/>
  <c r="C9" i="2" a="1"/>
  <c r="C37" i="3" a="1"/>
  <c r="C28" i="3" a="1"/>
  <c r="C18" i="3" a="1"/>
  <c r="C39" i="3" a="1"/>
  <c r="C36" i="3" a="1"/>
  <c r="C26" i="3" a="1"/>
  <c r="C7" i="3" a="1"/>
  <c r="C32" i="3" a="1"/>
  <c r="C42" i="2" a="1"/>
  <c r="C31" i="2" a="1"/>
  <c r="C20" i="2" a="1"/>
  <c r="C12" i="2" a="1"/>
  <c r="C41" i="3" a="1"/>
  <c r="C29" i="3" a="1"/>
  <c r="C20" i="3" a="1"/>
  <c r="C8" i="3" a="1"/>
  <c r="C10" i="2" a="1"/>
  <c r="C15" i="3" a="1"/>
  <c r="C7" i="2" a="1"/>
  <c r="C19" i="3" a="1"/>
  <c r="C41" i="2" a="1"/>
  <c r="C29" i="2" a="1"/>
  <c r="C19" i="2" a="1"/>
  <c r="C22" i="3" a="1"/>
  <c r="C37" i="2" a="1"/>
  <c r="C28" i="2" a="1"/>
  <c r="C17" i="2" a="1"/>
  <c r="C39" i="2" a="1"/>
  <c r="C33" i="3" a="1"/>
  <c r="C24" i="3" a="1"/>
  <c r="C17" i="3" a="1"/>
  <c r="C40" i="3" a="1"/>
  <c r="C18" i="2" a="1"/>
  <c r="C23" i="3" a="1"/>
  <c r="C31" i="3" a="1"/>
  <c r="C38" i="2" a="1"/>
  <c r="C27" i="2" a="1"/>
  <c r="C15" i="2" a="1"/>
  <c r="C40" i="2" a="1"/>
  <c r="C34" i="3" a="1"/>
  <c r="C25" i="3" a="1"/>
  <c r="C11" i="3" a="1"/>
  <c r="C35" i="3" a="1"/>
  <c r="C13" i="3" a="1"/>
  <c r="C8" i="2" a="1"/>
  <c r="C9" i="3" a="1"/>
  <c r="C12" i="3" a="1"/>
  <c r="C36" i="2" a="1"/>
  <c r="C24" i="2" a="1"/>
  <c r="C14" i="3" a="1"/>
  <c r="C33" i="2" a="1"/>
  <c r="C26" i="2" a="1"/>
  <c r="C16" i="2" a="1"/>
  <c r="C21" i="3" a="1"/>
  <c r="C35" i="2" a="1"/>
  <c r="C25" i="2" a="1"/>
  <c r="C11" i="2" a="1"/>
  <c r="C34" i="2" a="1"/>
  <c r="C21" i="2" a="1"/>
  <c r="C14" i="2" a="1"/>
  <c r="C42" i="3" a="1"/>
  <c r="C30" i="3" a="1"/>
  <c r="C30" i="3" l="1"/>
  <c r="B30" i="3" s="1"/>
  <c r="F30" i="1" s="1"/>
  <c r="C42" i="3"/>
  <c r="B42" i="3" s="1"/>
  <c r="F42" i="1" s="1"/>
  <c r="C14" i="2"/>
  <c r="B14" i="2" s="1"/>
  <c r="E14" i="1" s="1"/>
  <c r="C21" i="2"/>
  <c r="B21" i="2" s="1"/>
  <c r="E21" i="1" s="1"/>
  <c r="C34" i="2"/>
  <c r="B34" i="2" s="1"/>
  <c r="E34" i="1" s="1"/>
  <c r="C11" i="2"/>
  <c r="B11" i="2" s="1"/>
  <c r="E11" i="1" s="1"/>
  <c r="C25" i="2"/>
  <c r="B25" i="2" s="1"/>
  <c r="E25" i="1" s="1"/>
  <c r="C35" i="2"/>
  <c r="B35" i="2" s="1"/>
  <c r="E35" i="1" s="1"/>
  <c r="C21" i="3"/>
  <c r="B21" i="3" s="1"/>
  <c r="F21" i="1" s="1"/>
  <c r="C16" i="2"/>
  <c r="B16" i="2" s="1"/>
  <c r="E16" i="1" s="1"/>
  <c r="C26" i="2"/>
  <c r="B26" i="2" s="1"/>
  <c r="E26" i="1" s="1"/>
  <c r="C33" i="2"/>
  <c r="B33" i="2" s="1"/>
  <c r="E33" i="1" s="1"/>
  <c r="C14" i="3"/>
  <c r="B14" i="3" s="1"/>
  <c r="F14" i="1" s="1"/>
  <c r="C24" i="2"/>
  <c r="B24" i="2" s="1"/>
  <c r="E24" i="1" s="1"/>
  <c r="C36" i="2"/>
  <c r="B36" i="2" s="1"/>
  <c r="E36" i="1" s="1"/>
  <c r="C12" i="3"/>
  <c r="B12" i="3" s="1"/>
  <c r="F12" i="1" s="1"/>
  <c r="C9" i="3"/>
  <c r="B9" i="3" s="1"/>
  <c r="F9" i="1" s="1"/>
  <c r="C8" i="2"/>
  <c r="B8" i="2" s="1"/>
  <c r="E8" i="1" s="1"/>
  <c r="C13" i="3"/>
  <c r="B13" i="3" s="1"/>
  <c r="F13" i="1" s="1"/>
  <c r="C35" i="3"/>
  <c r="B35" i="3" s="1"/>
  <c r="F35" i="1" s="1"/>
  <c r="C11" i="3"/>
  <c r="B11" i="3" s="1"/>
  <c r="F11" i="1" s="1"/>
  <c r="C25" i="3"/>
  <c r="B25" i="3" s="1"/>
  <c r="F25" i="1" s="1"/>
  <c r="C34" i="3"/>
  <c r="B34" i="3" s="1"/>
  <c r="F34" i="1" s="1"/>
  <c r="C40" i="2"/>
  <c r="B40" i="2" s="1"/>
  <c r="E40" i="1" s="1"/>
  <c r="C15" i="2"/>
  <c r="B15" i="2" s="1"/>
  <c r="E15" i="1" s="1"/>
  <c r="C27" i="2"/>
  <c r="B27" i="2" s="1"/>
  <c r="E27" i="1" s="1"/>
  <c r="C38" i="2"/>
  <c r="B38" i="2" s="1"/>
  <c r="E38" i="1" s="1"/>
  <c r="C31" i="3"/>
  <c r="B31" i="3" s="1"/>
  <c r="F31" i="1" s="1"/>
  <c r="C23" i="3"/>
  <c r="B23" i="3" s="1"/>
  <c r="F23" i="1" s="1"/>
  <c r="C18" i="2"/>
  <c r="B18" i="2" s="1"/>
  <c r="E18" i="1" s="1"/>
  <c r="C40" i="3"/>
  <c r="B40" i="3" s="1"/>
  <c r="F40" i="1" s="1"/>
  <c r="C17" i="3"/>
  <c r="B17" i="3" s="1"/>
  <c r="F17" i="1" s="1"/>
  <c r="C24" i="3"/>
  <c r="B24" i="3" s="1"/>
  <c r="F24" i="1" s="1"/>
  <c r="C33" i="3"/>
  <c r="B33" i="3" s="1"/>
  <c r="F33" i="1" s="1"/>
  <c r="C39" i="2"/>
  <c r="B39" i="2" s="1"/>
  <c r="E39" i="1" s="1"/>
  <c r="C17" i="2"/>
  <c r="B17" i="2" s="1"/>
  <c r="E17" i="1" s="1"/>
  <c r="C28" i="2"/>
  <c r="B28" i="2" s="1"/>
  <c r="E28" i="1" s="1"/>
  <c r="C37" i="2"/>
  <c r="B37" i="2" s="1"/>
  <c r="E37" i="1" s="1"/>
  <c r="C22" i="3"/>
  <c r="B22" i="3" s="1"/>
  <c r="F22" i="1" s="1"/>
  <c r="C19" i="2"/>
  <c r="B19" i="2" s="1"/>
  <c r="E19" i="1" s="1"/>
  <c r="C29" i="2"/>
  <c r="B29" i="2" s="1"/>
  <c r="E29" i="1" s="1"/>
  <c r="C41" i="2"/>
  <c r="B41" i="2" s="1"/>
  <c r="E41" i="1" s="1"/>
  <c r="C19" i="3"/>
  <c r="B19" i="3" s="1"/>
  <c r="F19" i="1" s="1"/>
  <c r="C7" i="2"/>
  <c r="C15" i="3"/>
  <c r="B15" i="3" s="1"/>
  <c r="F15" i="1" s="1"/>
  <c r="C10" i="2"/>
  <c r="B10" i="2" s="1"/>
  <c r="E10" i="1" s="1"/>
  <c r="C8" i="3"/>
  <c r="B8" i="3" s="1"/>
  <c r="F8" i="1" s="1"/>
  <c r="C20" i="3"/>
  <c r="B20" i="3" s="1"/>
  <c r="F20" i="1" s="1"/>
  <c r="C29" i="3"/>
  <c r="B29" i="3" s="1"/>
  <c r="F29" i="1" s="1"/>
  <c r="C41" i="3"/>
  <c r="B41" i="3" s="1"/>
  <c r="F41" i="1" s="1"/>
  <c r="C12" i="2"/>
  <c r="B12" i="2" s="1"/>
  <c r="E12" i="1" s="1"/>
  <c r="C20" i="2"/>
  <c r="B20" i="2" s="1"/>
  <c r="E20" i="1" s="1"/>
  <c r="C31" i="2"/>
  <c r="B31" i="2" s="1"/>
  <c r="E31" i="1" s="1"/>
  <c r="C42" i="2"/>
  <c r="B42" i="2" s="1"/>
  <c r="E42" i="1" s="1"/>
  <c r="C32" i="3"/>
  <c r="B32" i="3" s="1"/>
  <c r="F32" i="1" s="1"/>
  <c r="C7" i="3"/>
  <c r="C26" i="3"/>
  <c r="B26" i="3" s="1"/>
  <c r="F26" i="1" s="1"/>
  <c r="C36" i="3"/>
  <c r="B36" i="3" s="1"/>
  <c r="F36" i="1" s="1"/>
  <c r="C39" i="3"/>
  <c r="B39" i="3" s="1"/>
  <c r="F39" i="1" s="1"/>
  <c r="C18" i="3"/>
  <c r="B18" i="3" s="1"/>
  <c r="F18" i="1" s="1"/>
  <c r="C28" i="3"/>
  <c r="B28" i="3" s="1"/>
  <c r="F28" i="1" s="1"/>
  <c r="C37" i="3"/>
  <c r="B37" i="3" s="1"/>
  <c r="F37" i="1" s="1"/>
  <c r="C9" i="2"/>
  <c r="B9" i="2" s="1"/>
  <c r="E9" i="1" s="1"/>
  <c r="C23" i="2"/>
  <c r="B23" i="2" s="1"/>
  <c r="E23" i="1" s="1"/>
  <c r="C30" i="2"/>
  <c r="B30" i="2" s="1"/>
  <c r="E30" i="1" s="1"/>
  <c r="C10" i="3"/>
  <c r="B10" i="3" s="1"/>
  <c r="F10" i="1" s="1"/>
  <c r="C16" i="3"/>
  <c r="B16" i="3" s="1"/>
  <c r="F16" i="1" s="1"/>
  <c r="C27" i="3"/>
  <c r="B27" i="3" s="1"/>
  <c r="F27" i="1" s="1"/>
  <c r="C38" i="3"/>
  <c r="B38" i="3" s="1"/>
  <c r="F38" i="1" s="1"/>
  <c r="C13" i="2"/>
  <c r="B13" i="2" s="1"/>
  <c r="E13" i="1" s="1"/>
  <c r="C22" i="2"/>
  <c r="B22" i="2" s="1"/>
  <c r="E22" i="1" s="1"/>
  <c r="C32" i="2"/>
  <c r="B32" i="2" s="1"/>
  <c r="E32" i="1" s="1"/>
  <c r="AC503" i="1"/>
  <c r="E503" i="2" s="1"/>
  <c r="F503" i="2" s="1"/>
  <c r="AB502" i="1"/>
  <c r="M503" i="1"/>
  <c r="E503" i="3" s="1"/>
  <c r="F503" i="3" s="1"/>
  <c r="K502" i="1"/>
  <c r="I1" i="2"/>
  <c r="I1" i="3"/>
  <c r="T502" i="1"/>
  <c r="U503" i="1"/>
  <c r="T501" i="1" l="1"/>
  <c r="U502" i="1"/>
  <c r="B7" i="2"/>
  <c r="C3" i="2"/>
  <c r="AC502" i="1"/>
  <c r="E502" i="2" s="1"/>
  <c r="F502" i="2" s="1"/>
  <c r="AB501" i="1"/>
  <c r="M502" i="1"/>
  <c r="E502" i="3" s="1"/>
  <c r="F502" i="3" s="1"/>
  <c r="K501" i="1"/>
  <c r="B7" i="3"/>
  <c r="C3" i="3"/>
  <c r="B3" i="3" l="1"/>
  <c r="F7" i="1"/>
  <c r="M501" i="1"/>
  <c r="E501" i="3" s="1"/>
  <c r="F501" i="3" s="1"/>
  <c r="K500" i="1"/>
  <c r="AC501" i="1"/>
  <c r="E501" i="2" s="1"/>
  <c r="F501" i="2" s="1"/>
  <c r="AB500" i="1"/>
  <c r="E7" i="1"/>
  <c r="B3" i="2"/>
  <c r="U501" i="1"/>
  <c r="T500" i="1"/>
  <c r="T499" i="1" l="1"/>
  <c r="U500" i="1"/>
  <c r="AC500" i="1"/>
  <c r="E500" i="2" s="1"/>
  <c r="F500" i="2" s="1"/>
  <c r="AB499" i="1"/>
  <c r="M500" i="1"/>
  <c r="E500" i="3" s="1"/>
  <c r="F500" i="3" s="1"/>
  <c r="K499" i="1"/>
  <c r="M499" i="1" l="1"/>
  <c r="E499" i="3" s="1"/>
  <c r="F499" i="3" s="1"/>
  <c r="K498" i="1"/>
  <c r="AC499" i="1"/>
  <c r="E499" i="2" s="1"/>
  <c r="F499" i="2" s="1"/>
  <c r="AB498" i="1"/>
  <c r="T498" i="1"/>
  <c r="U499" i="1"/>
  <c r="T497" i="1" l="1"/>
  <c r="U498" i="1"/>
  <c r="AC498" i="1"/>
  <c r="E498" i="2" s="1"/>
  <c r="F498" i="2" s="1"/>
  <c r="AB497" i="1"/>
  <c r="M498" i="1"/>
  <c r="E498" i="3" s="1"/>
  <c r="F498" i="3" s="1"/>
  <c r="K497" i="1"/>
  <c r="M497" i="1" l="1"/>
  <c r="E497" i="3" s="1"/>
  <c r="F497" i="3" s="1"/>
  <c r="K496" i="1"/>
  <c r="AC497" i="1"/>
  <c r="E497" i="2" s="1"/>
  <c r="F497" i="2" s="1"/>
  <c r="AB496" i="1"/>
  <c r="T496" i="1"/>
  <c r="U497" i="1"/>
  <c r="T495" i="1" l="1"/>
  <c r="U496" i="1"/>
  <c r="AC496" i="1"/>
  <c r="E496" i="2" s="1"/>
  <c r="F496" i="2" s="1"/>
  <c r="AB495" i="1"/>
  <c r="M496" i="1"/>
  <c r="E496" i="3" s="1"/>
  <c r="F496" i="3" s="1"/>
  <c r="K495" i="1"/>
  <c r="M495" i="1" l="1"/>
  <c r="E495" i="3" s="1"/>
  <c r="F495" i="3" s="1"/>
  <c r="K494" i="1"/>
  <c r="AC495" i="1"/>
  <c r="E495" i="2" s="1"/>
  <c r="F495" i="2" s="1"/>
  <c r="AB494" i="1"/>
  <c r="T494" i="1"/>
  <c r="U495" i="1"/>
  <c r="T493" i="1" l="1"/>
  <c r="U494" i="1"/>
  <c r="AC494" i="1"/>
  <c r="E494" i="2" s="1"/>
  <c r="F494" i="2" s="1"/>
  <c r="AB493" i="1"/>
  <c r="M494" i="1"/>
  <c r="E494" i="3" s="1"/>
  <c r="F494" i="3" s="1"/>
  <c r="K493" i="1"/>
  <c r="AC493" i="1" l="1"/>
  <c r="E493" i="2" s="1"/>
  <c r="F493" i="2" s="1"/>
  <c r="AB492" i="1"/>
  <c r="M493" i="1"/>
  <c r="E493" i="3" s="1"/>
  <c r="F493" i="3" s="1"/>
  <c r="K492" i="1"/>
  <c r="U493" i="1"/>
  <c r="T492" i="1"/>
  <c r="T491" i="1" l="1"/>
  <c r="U492" i="1"/>
  <c r="AC492" i="1"/>
  <c r="E492" i="2" s="1"/>
  <c r="F492" i="2" s="1"/>
  <c r="AB491" i="1"/>
  <c r="M492" i="1"/>
  <c r="E492" i="3" s="1"/>
  <c r="F492" i="3" s="1"/>
  <c r="K491" i="1"/>
  <c r="AC491" i="1" l="1"/>
  <c r="E491" i="2" s="1"/>
  <c r="F491" i="2" s="1"/>
  <c r="AB490" i="1"/>
  <c r="M491" i="1"/>
  <c r="E491" i="3" s="1"/>
  <c r="F491" i="3" s="1"/>
  <c r="K490" i="1"/>
  <c r="U491" i="1"/>
  <c r="T490" i="1"/>
  <c r="T489" i="1" l="1"/>
  <c r="U490" i="1"/>
  <c r="M490" i="1"/>
  <c r="E490" i="3" s="1"/>
  <c r="F490" i="3" s="1"/>
  <c r="K489" i="1"/>
  <c r="AC490" i="1"/>
  <c r="E490" i="2" s="1"/>
  <c r="F490" i="2" s="1"/>
  <c r="AB489" i="1"/>
  <c r="AC489" i="1" l="1"/>
  <c r="E489" i="2" s="1"/>
  <c r="F489" i="2" s="1"/>
  <c r="AB488" i="1"/>
  <c r="M489" i="1"/>
  <c r="E489" i="3" s="1"/>
  <c r="F489" i="3" s="1"/>
  <c r="K488" i="1"/>
  <c r="T488" i="1"/>
  <c r="U489" i="1"/>
  <c r="M488" i="1" l="1"/>
  <c r="E488" i="3" s="1"/>
  <c r="F488" i="3" s="1"/>
  <c r="K487" i="1"/>
  <c r="T487" i="1"/>
  <c r="U488" i="1"/>
  <c r="AC488" i="1"/>
  <c r="E488" i="2" s="1"/>
  <c r="F488" i="2" s="1"/>
  <c r="AB487" i="1"/>
  <c r="AC487" i="1" l="1"/>
  <c r="E487" i="2" s="1"/>
  <c r="F487" i="2" s="1"/>
  <c r="AB486" i="1"/>
  <c r="T486" i="1"/>
  <c r="U487" i="1"/>
  <c r="M487" i="1"/>
  <c r="E487" i="3" s="1"/>
  <c r="F487" i="3" s="1"/>
  <c r="K486" i="1"/>
  <c r="T485" i="1" l="1"/>
  <c r="U486" i="1"/>
  <c r="M486" i="1"/>
  <c r="E486" i="3" s="1"/>
  <c r="F486" i="3" s="1"/>
  <c r="K485" i="1"/>
  <c r="AC486" i="1"/>
  <c r="E486" i="2" s="1"/>
  <c r="F486" i="2" s="1"/>
  <c r="AB485" i="1"/>
  <c r="AC485" i="1" l="1"/>
  <c r="E485" i="2" s="1"/>
  <c r="F485" i="2" s="1"/>
  <c r="AB484" i="1"/>
  <c r="M485" i="1"/>
  <c r="E485" i="3" s="1"/>
  <c r="F485" i="3" s="1"/>
  <c r="K484" i="1"/>
  <c r="T484" i="1"/>
  <c r="U485" i="1"/>
  <c r="T483" i="1" l="1"/>
  <c r="U484" i="1"/>
  <c r="M484" i="1"/>
  <c r="E484" i="3" s="1"/>
  <c r="F484" i="3" s="1"/>
  <c r="K483" i="1"/>
  <c r="AC484" i="1"/>
  <c r="E484" i="2" s="1"/>
  <c r="F484" i="2" s="1"/>
  <c r="AB483" i="1"/>
  <c r="AC483" i="1" l="1"/>
  <c r="E483" i="2" s="1"/>
  <c r="F483" i="2" s="1"/>
  <c r="AB482" i="1"/>
  <c r="M483" i="1"/>
  <c r="E483" i="3" s="1"/>
  <c r="F483" i="3" s="1"/>
  <c r="K482" i="1"/>
  <c r="T482" i="1"/>
  <c r="U483" i="1"/>
  <c r="T481" i="1" l="1"/>
  <c r="U482" i="1"/>
  <c r="M482" i="1"/>
  <c r="E482" i="3" s="1"/>
  <c r="F482" i="3" s="1"/>
  <c r="K481" i="1"/>
  <c r="AC482" i="1"/>
  <c r="E482" i="2" s="1"/>
  <c r="F482" i="2" s="1"/>
  <c r="AB481" i="1"/>
  <c r="AC481" i="1" l="1"/>
  <c r="E481" i="2" s="1"/>
  <c r="F481" i="2" s="1"/>
  <c r="AB480" i="1"/>
  <c r="M481" i="1"/>
  <c r="E481" i="3" s="1"/>
  <c r="F481" i="3" s="1"/>
  <c r="K480" i="1"/>
  <c r="U481" i="1"/>
  <c r="T480" i="1"/>
  <c r="M480" i="1" l="1"/>
  <c r="E480" i="3" s="1"/>
  <c r="F480" i="3" s="1"/>
  <c r="K479" i="1"/>
  <c r="AC480" i="1"/>
  <c r="E480" i="2" s="1"/>
  <c r="F480" i="2" s="1"/>
  <c r="AB479" i="1"/>
  <c r="T479" i="1"/>
  <c r="U480" i="1"/>
  <c r="U479" i="1" l="1"/>
  <c r="T478" i="1"/>
  <c r="AC479" i="1"/>
  <c r="E479" i="2" s="1"/>
  <c r="F479" i="2" s="1"/>
  <c r="AB478" i="1"/>
  <c r="M479" i="1"/>
  <c r="E479" i="3" s="1"/>
  <c r="F479" i="3" s="1"/>
  <c r="K478" i="1"/>
  <c r="M478" i="1" l="1"/>
  <c r="E478" i="3" s="1"/>
  <c r="F478" i="3" s="1"/>
  <c r="K477" i="1"/>
  <c r="AC478" i="1"/>
  <c r="E478" i="2" s="1"/>
  <c r="F478" i="2" s="1"/>
  <c r="AB477" i="1"/>
  <c r="T477" i="1"/>
  <c r="U478" i="1"/>
  <c r="T476" i="1" l="1"/>
  <c r="U477" i="1"/>
  <c r="AC477" i="1"/>
  <c r="E477" i="2" s="1"/>
  <c r="F477" i="2" s="1"/>
  <c r="AB476" i="1"/>
  <c r="M477" i="1"/>
  <c r="E477" i="3" s="1"/>
  <c r="F477" i="3" s="1"/>
  <c r="K476" i="1"/>
  <c r="AC476" i="1" l="1"/>
  <c r="E476" i="2" s="1"/>
  <c r="F476" i="2" s="1"/>
  <c r="AB475" i="1"/>
  <c r="M476" i="1"/>
  <c r="E476" i="3" s="1"/>
  <c r="F476" i="3" s="1"/>
  <c r="K475" i="1"/>
  <c r="T475" i="1"/>
  <c r="U476" i="1"/>
  <c r="M475" i="1" l="1"/>
  <c r="E475" i="3" s="1"/>
  <c r="F475" i="3" s="1"/>
  <c r="K474" i="1"/>
  <c r="T474" i="1"/>
  <c r="U475" i="1"/>
  <c r="AC475" i="1"/>
  <c r="E475" i="2" s="1"/>
  <c r="F475" i="2" s="1"/>
  <c r="AB474" i="1"/>
  <c r="AC474" i="1" l="1"/>
  <c r="E474" i="2" s="1"/>
  <c r="F474" i="2" s="1"/>
  <c r="AB473" i="1"/>
  <c r="T473" i="1"/>
  <c r="U474" i="1"/>
  <c r="M474" i="1"/>
  <c r="E474" i="3" s="1"/>
  <c r="F474" i="3" s="1"/>
  <c r="K473" i="1"/>
  <c r="M473" i="1" l="1"/>
  <c r="E473" i="3" s="1"/>
  <c r="F473" i="3" s="1"/>
  <c r="K472" i="1"/>
  <c r="T472" i="1"/>
  <c r="U473" i="1"/>
  <c r="AC473" i="1"/>
  <c r="E473" i="2" s="1"/>
  <c r="F473" i="2" s="1"/>
  <c r="AB472" i="1"/>
  <c r="AC472" i="1" l="1"/>
  <c r="E472" i="2" s="1"/>
  <c r="F472" i="2" s="1"/>
  <c r="AB471" i="1"/>
  <c r="T471" i="1"/>
  <c r="U472" i="1"/>
  <c r="M472" i="1"/>
  <c r="E472" i="3" s="1"/>
  <c r="F472" i="3" s="1"/>
  <c r="K471" i="1"/>
  <c r="M471" i="1" l="1"/>
  <c r="E471" i="3" s="1"/>
  <c r="F471" i="3" s="1"/>
  <c r="K470" i="1"/>
  <c r="U471" i="1"/>
  <c r="T470" i="1"/>
  <c r="AC471" i="1"/>
  <c r="E471" i="2" s="1"/>
  <c r="F471" i="2" s="1"/>
  <c r="AB470" i="1"/>
  <c r="T469" i="1" l="1"/>
  <c r="U470" i="1"/>
  <c r="M470" i="1"/>
  <c r="E470" i="3" s="1"/>
  <c r="F470" i="3" s="1"/>
  <c r="K469" i="1"/>
  <c r="AC470" i="1"/>
  <c r="E470" i="2" s="1"/>
  <c r="F470" i="2" s="1"/>
  <c r="AB469" i="1"/>
  <c r="AC469" i="1" l="1"/>
  <c r="E469" i="2" s="1"/>
  <c r="F469" i="2" s="1"/>
  <c r="AB468" i="1"/>
  <c r="M469" i="1"/>
  <c r="E469" i="3" s="1"/>
  <c r="F469" i="3" s="1"/>
  <c r="K468" i="1"/>
  <c r="T468" i="1"/>
  <c r="U469" i="1"/>
  <c r="M468" i="1" l="1"/>
  <c r="E468" i="3" s="1"/>
  <c r="F468" i="3" s="1"/>
  <c r="K467" i="1"/>
  <c r="T467" i="1"/>
  <c r="U468" i="1"/>
  <c r="AC468" i="1"/>
  <c r="E468" i="2" s="1"/>
  <c r="F468" i="2" s="1"/>
  <c r="AB467" i="1"/>
  <c r="AC467" i="1" l="1"/>
  <c r="E467" i="2" s="1"/>
  <c r="F467" i="2" s="1"/>
  <c r="AB466" i="1"/>
  <c r="T466" i="1"/>
  <c r="U467" i="1"/>
  <c r="M467" i="1"/>
  <c r="E467" i="3" s="1"/>
  <c r="F467" i="3" s="1"/>
  <c r="K466" i="1"/>
  <c r="M466" i="1" l="1"/>
  <c r="E466" i="3" s="1"/>
  <c r="F466" i="3" s="1"/>
  <c r="K465" i="1"/>
  <c r="T465" i="1"/>
  <c r="U466" i="1"/>
  <c r="AC466" i="1"/>
  <c r="E466" i="2" s="1"/>
  <c r="F466" i="2" s="1"/>
  <c r="AB465" i="1"/>
  <c r="AC465" i="1" l="1"/>
  <c r="E465" i="2" s="1"/>
  <c r="F465" i="2" s="1"/>
  <c r="AB464" i="1"/>
  <c r="U465" i="1"/>
  <c r="T464" i="1"/>
  <c r="M465" i="1"/>
  <c r="E465" i="3" s="1"/>
  <c r="F465" i="3" s="1"/>
  <c r="K464" i="1"/>
  <c r="M464" i="1" l="1"/>
  <c r="E464" i="3" s="1"/>
  <c r="F464" i="3" s="1"/>
  <c r="K463" i="1"/>
  <c r="T463" i="1"/>
  <c r="U464" i="1"/>
  <c r="AC464" i="1"/>
  <c r="E464" i="2" s="1"/>
  <c r="F464" i="2" s="1"/>
  <c r="AB463" i="1"/>
  <c r="AC463" i="1" l="1"/>
  <c r="E463" i="2" s="1"/>
  <c r="F463" i="2" s="1"/>
  <c r="AB462" i="1"/>
  <c r="T462" i="1"/>
  <c r="U463" i="1"/>
  <c r="M463" i="1"/>
  <c r="E463" i="3" s="1"/>
  <c r="F463" i="3" s="1"/>
  <c r="K462" i="1"/>
  <c r="M462" i="1" l="1"/>
  <c r="E462" i="3" s="1"/>
  <c r="F462" i="3" s="1"/>
  <c r="K461" i="1"/>
  <c r="AC462" i="1"/>
  <c r="E462" i="2" s="1"/>
  <c r="F462" i="2" s="1"/>
  <c r="AB461" i="1"/>
  <c r="T461" i="1"/>
  <c r="U462" i="1"/>
  <c r="AC461" i="1" l="1"/>
  <c r="E461" i="2" s="1"/>
  <c r="F461" i="2" s="1"/>
  <c r="AB460" i="1"/>
  <c r="U461" i="1"/>
  <c r="T460" i="1"/>
  <c r="M461" i="1"/>
  <c r="E461" i="3" s="1"/>
  <c r="F461" i="3" s="1"/>
  <c r="K460" i="1"/>
  <c r="AC460" i="1" l="1"/>
  <c r="E460" i="2" s="1"/>
  <c r="F460" i="2" s="1"/>
  <c r="AB459" i="1"/>
  <c r="M460" i="1"/>
  <c r="E460" i="3" s="1"/>
  <c r="F460" i="3" s="1"/>
  <c r="K459" i="1"/>
  <c r="T459" i="1"/>
  <c r="U460" i="1"/>
  <c r="T458" i="1" l="1"/>
  <c r="U459" i="1"/>
  <c r="M459" i="1"/>
  <c r="E459" i="3" s="1"/>
  <c r="F459" i="3" s="1"/>
  <c r="K458" i="1"/>
  <c r="AC459" i="1"/>
  <c r="E459" i="2" s="1"/>
  <c r="F459" i="2" s="1"/>
  <c r="AB458" i="1"/>
  <c r="M458" i="1" l="1"/>
  <c r="E458" i="3" s="1"/>
  <c r="F458" i="3" s="1"/>
  <c r="K457" i="1"/>
  <c r="AC458" i="1"/>
  <c r="E458" i="2" s="1"/>
  <c r="F458" i="2" s="1"/>
  <c r="AB457" i="1"/>
  <c r="T457" i="1"/>
  <c r="U458" i="1"/>
  <c r="T456" i="1" l="1"/>
  <c r="U457" i="1"/>
  <c r="M457" i="1"/>
  <c r="E457" i="3" s="1"/>
  <c r="F457" i="3" s="1"/>
  <c r="K456" i="1"/>
  <c r="AC457" i="1"/>
  <c r="E457" i="2" s="1"/>
  <c r="F457" i="2" s="1"/>
  <c r="AB456" i="1"/>
  <c r="AC456" i="1" l="1"/>
  <c r="E456" i="2" s="1"/>
  <c r="F456" i="2" s="1"/>
  <c r="AB455" i="1"/>
  <c r="M456" i="1"/>
  <c r="E456" i="3" s="1"/>
  <c r="F456" i="3" s="1"/>
  <c r="K455" i="1"/>
  <c r="T455" i="1"/>
  <c r="U456" i="1"/>
  <c r="T454" i="1" l="1"/>
  <c r="U455" i="1"/>
  <c r="M455" i="1"/>
  <c r="E455" i="3" s="1"/>
  <c r="F455" i="3" s="1"/>
  <c r="K454" i="1"/>
  <c r="AC455" i="1"/>
  <c r="E455" i="2" s="1"/>
  <c r="F455" i="2" s="1"/>
  <c r="AB454" i="1"/>
  <c r="AC454" i="1" l="1"/>
  <c r="E454" i="2" s="1"/>
  <c r="F454" i="2" s="1"/>
  <c r="AB453" i="1"/>
  <c r="M454" i="1"/>
  <c r="E454" i="3" s="1"/>
  <c r="F454" i="3" s="1"/>
  <c r="K453" i="1"/>
  <c r="T453" i="1"/>
  <c r="U454" i="1"/>
  <c r="T452" i="1" l="1"/>
  <c r="U453" i="1"/>
  <c r="M453" i="1"/>
  <c r="E453" i="3" s="1"/>
  <c r="F453" i="3" s="1"/>
  <c r="K452" i="1"/>
  <c r="AC453" i="1"/>
  <c r="E453" i="2" s="1"/>
  <c r="F453" i="2" s="1"/>
  <c r="AB452" i="1"/>
  <c r="M452" i="1" l="1"/>
  <c r="E452" i="3" s="1"/>
  <c r="F452" i="3" s="1"/>
  <c r="K451" i="1"/>
  <c r="AC452" i="1"/>
  <c r="E452" i="2" s="1"/>
  <c r="F452" i="2" s="1"/>
  <c r="AB451" i="1"/>
  <c r="T451" i="1"/>
  <c r="U452" i="1"/>
  <c r="U451" i="1" l="1"/>
  <c r="T450" i="1"/>
  <c r="AC451" i="1"/>
  <c r="E451" i="2" s="1"/>
  <c r="F451" i="2" s="1"/>
  <c r="AB450" i="1"/>
  <c r="M451" i="1"/>
  <c r="E451" i="3" s="1"/>
  <c r="F451" i="3" s="1"/>
  <c r="K450" i="1"/>
  <c r="M450" i="1" l="1"/>
  <c r="E450" i="3" s="1"/>
  <c r="F450" i="3" s="1"/>
  <c r="K449" i="1"/>
  <c r="AC450" i="1"/>
  <c r="E450" i="2" s="1"/>
  <c r="F450" i="2" s="1"/>
  <c r="AB449" i="1"/>
  <c r="T449" i="1"/>
  <c r="U450" i="1"/>
  <c r="T448" i="1" l="1"/>
  <c r="U449" i="1"/>
  <c r="AC449" i="1"/>
  <c r="E449" i="2" s="1"/>
  <c r="F449" i="2" s="1"/>
  <c r="AB448" i="1"/>
  <c r="M449" i="1"/>
  <c r="E449" i="3" s="1"/>
  <c r="F449" i="3" s="1"/>
  <c r="K448" i="1"/>
  <c r="AC448" i="1" l="1"/>
  <c r="E448" i="2" s="1"/>
  <c r="F448" i="2" s="1"/>
  <c r="AB447" i="1"/>
  <c r="M448" i="1"/>
  <c r="E448" i="3" s="1"/>
  <c r="F448" i="3" s="1"/>
  <c r="K447" i="1"/>
  <c r="T447" i="1"/>
  <c r="U448" i="1"/>
  <c r="M447" i="1" l="1"/>
  <c r="E447" i="3" s="1"/>
  <c r="F447" i="3" s="1"/>
  <c r="K446" i="1"/>
  <c r="T446" i="1"/>
  <c r="U447" i="1"/>
  <c r="AC447" i="1"/>
  <c r="E447" i="2" s="1"/>
  <c r="F447" i="2" s="1"/>
  <c r="AB446" i="1"/>
  <c r="T445" i="1" l="1"/>
  <c r="U446" i="1"/>
  <c r="AC446" i="1"/>
  <c r="E446" i="2" s="1"/>
  <c r="F446" i="2" s="1"/>
  <c r="AB445" i="1"/>
  <c r="M446" i="1"/>
  <c r="E446" i="3" s="1"/>
  <c r="F446" i="3" s="1"/>
  <c r="K445" i="1"/>
  <c r="M445" i="1" l="1"/>
  <c r="E445" i="3" s="1"/>
  <c r="F445" i="3" s="1"/>
  <c r="K444" i="1"/>
  <c r="AC445" i="1"/>
  <c r="E445" i="2" s="1"/>
  <c r="F445" i="2" s="1"/>
  <c r="AB444" i="1"/>
  <c r="T444" i="1"/>
  <c r="U445" i="1"/>
  <c r="T443" i="1" l="1"/>
  <c r="U444" i="1"/>
  <c r="AC444" i="1"/>
  <c r="E444" i="2" s="1"/>
  <c r="F444" i="2" s="1"/>
  <c r="AB443" i="1"/>
  <c r="M444" i="1"/>
  <c r="E444" i="3" s="1"/>
  <c r="F444" i="3" s="1"/>
  <c r="K443" i="1"/>
  <c r="M443" i="1" l="1"/>
  <c r="E443" i="3" s="1"/>
  <c r="F443" i="3" s="1"/>
  <c r="K442" i="1"/>
  <c r="AC443" i="1"/>
  <c r="E443" i="2" s="1"/>
  <c r="F443" i="2" s="1"/>
  <c r="AB442" i="1"/>
  <c r="T442" i="1"/>
  <c r="U443" i="1"/>
  <c r="T441" i="1" l="1"/>
  <c r="U442" i="1"/>
  <c r="AC442" i="1"/>
  <c r="E442" i="2" s="1"/>
  <c r="F442" i="2" s="1"/>
  <c r="AB441" i="1"/>
  <c r="M442" i="1"/>
  <c r="E442" i="3" s="1"/>
  <c r="F442" i="3" s="1"/>
  <c r="K441" i="1"/>
  <c r="M441" i="1" l="1"/>
  <c r="E441" i="3" s="1"/>
  <c r="F441" i="3" s="1"/>
  <c r="K440" i="1"/>
  <c r="AC441" i="1"/>
  <c r="E441" i="2" s="1"/>
  <c r="F441" i="2" s="1"/>
  <c r="AB440" i="1"/>
  <c r="U441" i="1"/>
  <c r="T440" i="1"/>
  <c r="T439" i="1" l="1"/>
  <c r="U440" i="1"/>
  <c r="AC440" i="1"/>
  <c r="E440" i="2" s="1"/>
  <c r="F440" i="2" s="1"/>
  <c r="AB439" i="1"/>
  <c r="M440" i="1"/>
  <c r="E440" i="3" s="1"/>
  <c r="F440" i="3" s="1"/>
  <c r="K439" i="1"/>
  <c r="M439" i="1" l="1"/>
  <c r="E439" i="3" s="1"/>
  <c r="F439" i="3" s="1"/>
  <c r="K438" i="1"/>
  <c r="AC439" i="1"/>
  <c r="E439" i="2" s="1"/>
  <c r="F439" i="2" s="1"/>
  <c r="AB438" i="1"/>
  <c r="T438" i="1"/>
  <c r="U439" i="1"/>
  <c r="T437" i="1" l="1"/>
  <c r="U438" i="1"/>
  <c r="AC438" i="1"/>
  <c r="E438" i="2" s="1"/>
  <c r="F438" i="2" s="1"/>
  <c r="AB437" i="1"/>
  <c r="M438" i="1"/>
  <c r="E438" i="3" s="1"/>
  <c r="F438" i="3" s="1"/>
  <c r="K437" i="1"/>
  <c r="M437" i="1" l="1"/>
  <c r="E437" i="3" s="1"/>
  <c r="F437" i="3" s="1"/>
  <c r="K436" i="1"/>
  <c r="AC437" i="1"/>
  <c r="E437" i="2" s="1"/>
  <c r="F437" i="2" s="1"/>
  <c r="AB436" i="1"/>
  <c r="T436" i="1"/>
  <c r="U437" i="1"/>
  <c r="U436" i="1" l="1"/>
  <c r="T435" i="1"/>
  <c r="AC436" i="1"/>
  <c r="E436" i="2" s="1"/>
  <c r="F436" i="2" s="1"/>
  <c r="AB435" i="1"/>
  <c r="M436" i="1"/>
  <c r="E436" i="3" s="1"/>
  <c r="F436" i="3" s="1"/>
  <c r="K435" i="1"/>
  <c r="AC435" i="1" l="1"/>
  <c r="E435" i="2" s="1"/>
  <c r="F435" i="2" s="1"/>
  <c r="AB434" i="1"/>
  <c r="M435" i="1"/>
  <c r="E435" i="3" s="1"/>
  <c r="F435" i="3" s="1"/>
  <c r="K434" i="1"/>
  <c r="T434" i="1"/>
  <c r="U435" i="1"/>
  <c r="M434" i="1" l="1"/>
  <c r="E434" i="3" s="1"/>
  <c r="F434" i="3" s="1"/>
  <c r="K433" i="1"/>
  <c r="T433" i="1"/>
  <c r="U434" i="1"/>
  <c r="AC434" i="1"/>
  <c r="E434" i="2" s="1"/>
  <c r="F434" i="2" s="1"/>
  <c r="AB433" i="1"/>
  <c r="AC433" i="1" l="1"/>
  <c r="E433" i="2" s="1"/>
  <c r="F433" i="2" s="1"/>
  <c r="AB432" i="1"/>
  <c r="M433" i="1"/>
  <c r="E433" i="3" s="1"/>
  <c r="F433" i="3" s="1"/>
  <c r="K432" i="1"/>
  <c r="T432" i="1"/>
  <c r="U433" i="1"/>
  <c r="M432" i="1" l="1"/>
  <c r="E432" i="3" s="1"/>
  <c r="F432" i="3" s="1"/>
  <c r="K431" i="1"/>
  <c r="AC432" i="1"/>
  <c r="E432" i="2" s="1"/>
  <c r="F432" i="2" s="1"/>
  <c r="AB431" i="1"/>
  <c r="T431" i="1"/>
  <c r="U432" i="1"/>
  <c r="U431" i="1" l="1"/>
  <c r="T430" i="1"/>
  <c r="AC431" i="1"/>
  <c r="E431" i="2" s="1"/>
  <c r="F431" i="2" s="1"/>
  <c r="AB430" i="1"/>
  <c r="M431" i="1"/>
  <c r="E431" i="3" s="1"/>
  <c r="F431" i="3" s="1"/>
  <c r="K430" i="1"/>
  <c r="M430" i="1" l="1"/>
  <c r="E430" i="3" s="1"/>
  <c r="F430" i="3" s="1"/>
  <c r="K429" i="1"/>
  <c r="AC430" i="1"/>
  <c r="E430" i="2" s="1"/>
  <c r="F430" i="2" s="1"/>
  <c r="AB429" i="1"/>
  <c r="T429" i="1"/>
  <c r="U430" i="1"/>
  <c r="M429" i="1" l="1"/>
  <c r="E429" i="3" s="1"/>
  <c r="F429" i="3" s="1"/>
  <c r="K428" i="1"/>
  <c r="T428" i="1"/>
  <c r="U429" i="1"/>
  <c r="AC429" i="1"/>
  <c r="E429" i="2" s="1"/>
  <c r="F429" i="2" s="1"/>
  <c r="AB428" i="1"/>
  <c r="AC428" i="1" l="1"/>
  <c r="E428" i="2" s="1"/>
  <c r="F428" i="2" s="1"/>
  <c r="AB427" i="1"/>
  <c r="T427" i="1"/>
  <c r="U428" i="1"/>
  <c r="M428" i="1"/>
  <c r="E428" i="3" s="1"/>
  <c r="F428" i="3" s="1"/>
  <c r="K427" i="1"/>
  <c r="M427" i="1" l="1"/>
  <c r="E427" i="3" s="1"/>
  <c r="F427" i="3" s="1"/>
  <c r="K426" i="1"/>
  <c r="T426" i="1"/>
  <c r="U427" i="1"/>
  <c r="AC427" i="1"/>
  <c r="E427" i="2" s="1"/>
  <c r="F427" i="2" s="1"/>
  <c r="AB426" i="1"/>
  <c r="AC426" i="1" l="1"/>
  <c r="E426" i="2" s="1"/>
  <c r="F426" i="2" s="1"/>
  <c r="AB425" i="1"/>
  <c r="T425" i="1"/>
  <c r="U426" i="1"/>
  <c r="M426" i="1"/>
  <c r="E426" i="3" s="1"/>
  <c r="F426" i="3" s="1"/>
  <c r="K425" i="1"/>
  <c r="M425" i="1" l="1"/>
  <c r="E425" i="3" s="1"/>
  <c r="F425" i="3" s="1"/>
  <c r="K424" i="1"/>
  <c r="T424" i="1"/>
  <c r="U425" i="1"/>
  <c r="AC425" i="1"/>
  <c r="E425" i="2" s="1"/>
  <c r="F425" i="2" s="1"/>
  <c r="AB424" i="1"/>
  <c r="AC424" i="1" l="1"/>
  <c r="E424" i="2" s="1"/>
  <c r="F424" i="2" s="1"/>
  <c r="AB423" i="1"/>
  <c r="T423" i="1"/>
  <c r="U424" i="1"/>
  <c r="M424" i="1"/>
  <c r="E424" i="3" s="1"/>
  <c r="F424" i="3" s="1"/>
  <c r="K423" i="1"/>
  <c r="M423" i="1" l="1"/>
  <c r="E423" i="3" s="1"/>
  <c r="F423" i="3" s="1"/>
  <c r="K422" i="1"/>
  <c r="T422" i="1"/>
  <c r="U423" i="1"/>
  <c r="AC423" i="1"/>
  <c r="E423" i="2" s="1"/>
  <c r="F423" i="2" s="1"/>
  <c r="AB422" i="1"/>
  <c r="U422" i="1" l="1"/>
  <c r="T421" i="1"/>
  <c r="M422" i="1"/>
  <c r="E422" i="3" s="1"/>
  <c r="F422" i="3" s="1"/>
  <c r="K421" i="1"/>
  <c r="AC422" i="1"/>
  <c r="E422" i="2" s="1"/>
  <c r="F422" i="2" s="1"/>
  <c r="AB421" i="1"/>
  <c r="M421" i="1" l="1"/>
  <c r="E421" i="3" s="1"/>
  <c r="F421" i="3" s="1"/>
  <c r="K420" i="1"/>
  <c r="AC421" i="1"/>
  <c r="E421" i="2" s="1"/>
  <c r="F421" i="2" s="1"/>
  <c r="AB420" i="1"/>
  <c r="U421" i="1"/>
  <c r="T420" i="1"/>
  <c r="T419" i="1" l="1"/>
  <c r="U420" i="1"/>
  <c r="AC420" i="1"/>
  <c r="E420" i="2" s="1"/>
  <c r="F420" i="2" s="1"/>
  <c r="AB419" i="1"/>
  <c r="M420" i="1"/>
  <c r="E420" i="3" s="1"/>
  <c r="F420" i="3" s="1"/>
  <c r="K419" i="1"/>
  <c r="M419" i="1" l="1"/>
  <c r="E419" i="3" s="1"/>
  <c r="F419" i="3" s="1"/>
  <c r="K418" i="1"/>
  <c r="AC419" i="1"/>
  <c r="E419" i="2" s="1"/>
  <c r="F419" i="2" s="1"/>
  <c r="AB418" i="1"/>
  <c r="T418" i="1"/>
  <c r="U419" i="1"/>
  <c r="T417" i="1" l="1"/>
  <c r="U418" i="1"/>
  <c r="AC418" i="1"/>
  <c r="E418" i="2" s="1"/>
  <c r="F418" i="2" s="1"/>
  <c r="AB417" i="1"/>
  <c r="M418" i="1"/>
  <c r="E418" i="3" s="1"/>
  <c r="F418" i="3" s="1"/>
  <c r="K417" i="1"/>
  <c r="M417" i="1" l="1"/>
  <c r="E417" i="3" s="1"/>
  <c r="F417" i="3" s="1"/>
  <c r="K416" i="1"/>
  <c r="AC417" i="1"/>
  <c r="E417" i="2" s="1"/>
  <c r="F417" i="2" s="1"/>
  <c r="AB416" i="1"/>
  <c r="T416" i="1"/>
  <c r="U417" i="1"/>
  <c r="AC416" i="1" l="1"/>
  <c r="E416" i="2" s="1"/>
  <c r="F416" i="2" s="1"/>
  <c r="AB415" i="1"/>
  <c r="M416" i="1"/>
  <c r="E416" i="3" s="1"/>
  <c r="F416" i="3" s="1"/>
  <c r="K415" i="1"/>
  <c r="T415" i="1"/>
  <c r="U416" i="1"/>
  <c r="T414" i="1" l="1"/>
  <c r="U415" i="1"/>
  <c r="M415" i="1"/>
  <c r="E415" i="3" s="1"/>
  <c r="F415" i="3" s="1"/>
  <c r="K414" i="1"/>
  <c r="AC415" i="1"/>
  <c r="E415" i="2" s="1"/>
  <c r="F415" i="2" s="1"/>
  <c r="AB414" i="1"/>
  <c r="AC414" i="1" l="1"/>
  <c r="E414" i="2" s="1"/>
  <c r="F414" i="2" s="1"/>
  <c r="AB413" i="1"/>
  <c r="M414" i="1"/>
  <c r="E414" i="3" s="1"/>
  <c r="F414" i="3" s="1"/>
  <c r="K413" i="1"/>
  <c r="T413" i="1"/>
  <c r="U414" i="1"/>
  <c r="M413" i="1" l="1"/>
  <c r="E413" i="3" s="1"/>
  <c r="F413" i="3" s="1"/>
  <c r="K412" i="1"/>
  <c r="AC413" i="1"/>
  <c r="E413" i="2" s="1"/>
  <c r="F413" i="2" s="1"/>
  <c r="AB412" i="1"/>
  <c r="T412" i="1"/>
  <c r="U413" i="1"/>
  <c r="T411" i="1" l="1"/>
  <c r="U412" i="1"/>
  <c r="AC412" i="1"/>
  <c r="E412" i="2" s="1"/>
  <c r="F412" i="2" s="1"/>
  <c r="AB411" i="1"/>
  <c r="M412" i="1"/>
  <c r="E412" i="3" s="1"/>
  <c r="F412" i="3" s="1"/>
  <c r="K411" i="1"/>
  <c r="AC411" i="1" l="1"/>
  <c r="E411" i="2" s="1"/>
  <c r="F411" i="2" s="1"/>
  <c r="AB410" i="1"/>
  <c r="M411" i="1"/>
  <c r="E411" i="3" s="1"/>
  <c r="F411" i="3" s="1"/>
  <c r="K410" i="1"/>
  <c r="U411" i="1"/>
  <c r="T410" i="1"/>
  <c r="T409" i="1" l="1"/>
  <c r="U410" i="1"/>
  <c r="M410" i="1"/>
  <c r="E410" i="3" s="1"/>
  <c r="F410" i="3" s="1"/>
  <c r="K409" i="1"/>
  <c r="AC410" i="1"/>
  <c r="E410" i="2" s="1"/>
  <c r="F410" i="2" s="1"/>
  <c r="AB409" i="1"/>
  <c r="AC409" i="1" l="1"/>
  <c r="E409" i="2" s="1"/>
  <c r="F409" i="2" s="1"/>
  <c r="AB408" i="1"/>
  <c r="M409" i="1"/>
  <c r="E409" i="3" s="1"/>
  <c r="F409" i="3" s="1"/>
  <c r="K408" i="1"/>
  <c r="T408" i="1"/>
  <c r="U409" i="1"/>
  <c r="M408" i="1" l="1"/>
  <c r="E408" i="3" s="1"/>
  <c r="F408" i="3" s="1"/>
  <c r="K407" i="1"/>
  <c r="AC408" i="1"/>
  <c r="E408" i="2" s="1"/>
  <c r="F408" i="2" s="1"/>
  <c r="AB407" i="1"/>
  <c r="U408" i="1"/>
  <c r="T407" i="1"/>
  <c r="T406" i="1" l="1"/>
  <c r="U407" i="1"/>
  <c r="AC407" i="1"/>
  <c r="E407" i="2" s="1"/>
  <c r="F407" i="2" s="1"/>
  <c r="AB406" i="1"/>
  <c r="M407" i="1"/>
  <c r="E407" i="3" s="1"/>
  <c r="F407" i="3" s="1"/>
  <c r="K406" i="1"/>
  <c r="AC406" i="1" l="1"/>
  <c r="E406" i="2" s="1"/>
  <c r="F406" i="2" s="1"/>
  <c r="AB405" i="1"/>
  <c r="M406" i="1"/>
  <c r="E406" i="3" s="1"/>
  <c r="F406" i="3" s="1"/>
  <c r="K405" i="1"/>
  <c r="T405" i="1"/>
  <c r="U406" i="1"/>
  <c r="T404" i="1" l="1"/>
  <c r="U405" i="1"/>
  <c r="M405" i="1"/>
  <c r="E405" i="3" s="1"/>
  <c r="F405" i="3" s="1"/>
  <c r="K404" i="1"/>
  <c r="AC405" i="1"/>
  <c r="E405" i="2" s="1"/>
  <c r="F405" i="2" s="1"/>
  <c r="AB404" i="1"/>
  <c r="M404" i="1" l="1"/>
  <c r="E404" i="3" s="1"/>
  <c r="F404" i="3" s="1"/>
  <c r="K403" i="1"/>
  <c r="AC404" i="1"/>
  <c r="E404" i="2" s="1"/>
  <c r="F404" i="2" s="1"/>
  <c r="AB403" i="1"/>
  <c r="T403" i="1"/>
  <c r="U404" i="1"/>
  <c r="T402" i="1" l="1"/>
  <c r="U403" i="1"/>
  <c r="AC403" i="1"/>
  <c r="E403" i="2" s="1"/>
  <c r="F403" i="2" s="1"/>
  <c r="AB402" i="1"/>
  <c r="M403" i="1"/>
  <c r="E403" i="3" s="1"/>
  <c r="F403" i="3" s="1"/>
  <c r="K402" i="1"/>
  <c r="AC402" i="1" l="1"/>
  <c r="E402" i="2" s="1"/>
  <c r="F402" i="2" s="1"/>
  <c r="AB401" i="1"/>
  <c r="M402" i="1"/>
  <c r="E402" i="3" s="1"/>
  <c r="F402" i="3" s="1"/>
  <c r="K401" i="1"/>
  <c r="T401" i="1"/>
  <c r="U402" i="1"/>
  <c r="U401" i="1" l="1"/>
  <c r="T400" i="1"/>
  <c r="AC401" i="1"/>
  <c r="E401" i="2" s="1"/>
  <c r="F401" i="2" s="1"/>
  <c r="AB400" i="1"/>
  <c r="M401" i="1"/>
  <c r="E401" i="3" s="1"/>
  <c r="F401" i="3" s="1"/>
  <c r="K400" i="1"/>
  <c r="AC400" i="1" l="1"/>
  <c r="E400" i="2" s="1"/>
  <c r="F400" i="2" s="1"/>
  <c r="AB399" i="1"/>
  <c r="M400" i="1"/>
  <c r="E400" i="3" s="1"/>
  <c r="F400" i="3" s="1"/>
  <c r="K399" i="1"/>
  <c r="T399" i="1"/>
  <c r="U400" i="1"/>
  <c r="T398" i="1" l="1"/>
  <c r="U399" i="1"/>
  <c r="M399" i="1"/>
  <c r="E399" i="3" s="1"/>
  <c r="F399" i="3" s="1"/>
  <c r="K398" i="1"/>
  <c r="AC399" i="1"/>
  <c r="E399" i="2" s="1"/>
  <c r="F399" i="2" s="1"/>
  <c r="AB398" i="1"/>
  <c r="M398" i="1" l="1"/>
  <c r="E398" i="3" s="1"/>
  <c r="F398" i="3" s="1"/>
  <c r="K397" i="1"/>
  <c r="AC398" i="1"/>
  <c r="E398" i="2" s="1"/>
  <c r="F398" i="2" s="1"/>
  <c r="AB397" i="1"/>
  <c r="T397" i="1"/>
  <c r="U398" i="1"/>
  <c r="T396" i="1" l="1"/>
  <c r="U397" i="1"/>
  <c r="AC397" i="1"/>
  <c r="E397" i="2" s="1"/>
  <c r="F397" i="2" s="1"/>
  <c r="AB396" i="1"/>
  <c r="M397" i="1"/>
  <c r="E397" i="3" s="1"/>
  <c r="F397" i="3" s="1"/>
  <c r="K396" i="1"/>
  <c r="M396" i="1" l="1"/>
  <c r="E396" i="3" s="1"/>
  <c r="F396" i="3" s="1"/>
  <c r="K395" i="1"/>
  <c r="AC396" i="1"/>
  <c r="E396" i="2" s="1"/>
  <c r="F396" i="2" s="1"/>
  <c r="AB395" i="1"/>
  <c r="T395" i="1"/>
  <c r="U396" i="1"/>
  <c r="T394" i="1" l="1"/>
  <c r="U395" i="1"/>
  <c r="AC395" i="1"/>
  <c r="E395" i="2" s="1"/>
  <c r="F395" i="2" s="1"/>
  <c r="AB394" i="1"/>
  <c r="M395" i="1"/>
  <c r="E395" i="3" s="1"/>
  <c r="F395" i="3" s="1"/>
  <c r="K394" i="1"/>
  <c r="AC394" i="1" l="1"/>
  <c r="E394" i="2" s="1"/>
  <c r="F394" i="2" s="1"/>
  <c r="AB393" i="1"/>
  <c r="M394" i="1"/>
  <c r="E394" i="3" s="1"/>
  <c r="F394" i="3" s="1"/>
  <c r="K393" i="1"/>
  <c r="T393" i="1"/>
  <c r="U394" i="1"/>
  <c r="U393" i="1" l="1"/>
  <c r="T392" i="1"/>
  <c r="M393" i="1"/>
  <c r="E393" i="3" s="1"/>
  <c r="F393" i="3" s="1"/>
  <c r="K392" i="1"/>
  <c r="AC393" i="1"/>
  <c r="E393" i="2" s="1"/>
  <c r="F393" i="2" s="1"/>
  <c r="AB392" i="1"/>
  <c r="AC392" i="1" l="1"/>
  <c r="E392" i="2" s="1"/>
  <c r="F392" i="2" s="1"/>
  <c r="AB391" i="1"/>
  <c r="M392" i="1"/>
  <c r="E392" i="3" s="1"/>
  <c r="F392" i="3" s="1"/>
  <c r="K391" i="1"/>
  <c r="T391" i="1"/>
  <c r="U392" i="1"/>
  <c r="U391" i="1" l="1"/>
  <c r="T390" i="1"/>
  <c r="M391" i="1"/>
  <c r="E391" i="3" s="1"/>
  <c r="F391" i="3" s="1"/>
  <c r="K390" i="1"/>
  <c r="AC391" i="1"/>
  <c r="E391" i="2" s="1"/>
  <c r="F391" i="2" s="1"/>
  <c r="AB390" i="1"/>
  <c r="T389" i="1" l="1"/>
  <c r="U390" i="1"/>
  <c r="AC390" i="1"/>
  <c r="E390" i="2" s="1"/>
  <c r="F390" i="2" s="1"/>
  <c r="AB389" i="1"/>
  <c r="M390" i="1"/>
  <c r="E390" i="3" s="1"/>
  <c r="F390" i="3" s="1"/>
  <c r="K389" i="1"/>
  <c r="M389" i="1" l="1"/>
  <c r="E389" i="3" s="1"/>
  <c r="F389" i="3" s="1"/>
  <c r="K388" i="1"/>
  <c r="AC389" i="1"/>
  <c r="E389" i="2" s="1"/>
  <c r="F389" i="2" s="1"/>
  <c r="AB388" i="1"/>
  <c r="T388" i="1"/>
  <c r="U389" i="1"/>
  <c r="T387" i="1" l="1"/>
  <c r="U388" i="1"/>
  <c r="AC388" i="1"/>
  <c r="E388" i="2" s="1"/>
  <c r="F388" i="2" s="1"/>
  <c r="AB387" i="1"/>
  <c r="M388" i="1"/>
  <c r="E388" i="3" s="1"/>
  <c r="F388" i="3" s="1"/>
  <c r="K387" i="1"/>
  <c r="AC387" i="1" l="1"/>
  <c r="E387" i="2" s="1"/>
  <c r="F387" i="2" s="1"/>
  <c r="AB386" i="1"/>
  <c r="M387" i="1"/>
  <c r="E387" i="3" s="1"/>
  <c r="F387" i="3" s="1"/>
  <c r="K386" i="1"/>
  <c r="T386" i="1"/>
  <c r="U387" i="1"/>
  <c r="M386" i="1" l="1"/>
  <c r="E386" i="3" s="1"/>
  <c r="F386" i="3" s="1"/>
  <c r="K385" i="1"/>
  <c r="AC386" i="1"/>
  <c r="E386" i="2" s="1"/>
  <c r="F386" i="2" s="1"/>
  <c r="AB385" i="1"/>
  <c r="T385" i="1"/>
  <c r="U386" i="1"/>
  <c r="M385" i="1" l="1"/>
  <c r="E385" i="3" s="1"/>
  <c r="F385" i="3" s="1"/>
  <c r="K384" i="1"/>
  <c r="T384" i="1"/>
  <c r="U385" i="1"/>
  <c r="AC385" i="1"/>
  <c r="E385" i="2" s="1"/>
  <c r="F385" i="2" s="1"/>
  <c r="AB384" i="1"/>
  <c r="AC384" i="1" l="1"/>
  <c r="E384" i="2" s="1"/>
  <c r="F384" i="2" s="1"/>
  <c r="AB383" i="1"/>
  <c r="M384" i="1"/>
  <c r="E384" i="3" s="1"/>
  <c r="F384" i="3" s="1"/>
  <c r="K383" i="1"/>
  <c r="T383" i="1"/>
  <c r="U384" i="1"/>
  <c r="T382" i="1" l="1"/>
  <c r="U383" i="1"/>
  <c r="M383" i="1"/>
  <c r="E383" i="3" s="1"/>
  <c r="F383" i="3" s="1"/>
  <c r="K382" i="1"/>
  <c r="AC383" i="1"/>
  <c r="E383" i="2" s="1"/>
  <c r="F383" i="2" s="1"/>
  <c r="AB382" i="1"/>
  <c r="AC382" i="1" l="1"/>
  <c r="E382" i="2" s="1"/>
  <c r="F382" i="2" s="1"/>
  <c r="AB381" i="1"/>
  <c r="M382" i="1"/>
  <c r="E382" i="3" s="1"/>
  <c r="F382" i="3" s="1"/>
  <c r="K381" i="1"/>
  <c r="T381" i="1"/>
  <c r="U382" i="1"/>
  <c r="M381" i="1" l="1"/>
  <c r="E381" i="3" s="1"/>
  <c r="F381" i="3" s="1"/>
  <c r="K380" i="1"/>
  <c r="U381" i="1"/>
  <c r="T380" i="1"/>
  <c r="AC381" i="1"/>
  <c r="E381" i="2" s="1"/>
  <c r="F381" i="2" s="1"/>
  <c r="AB380" i="1"/>
  <c r="T379" i="1" l="1"/>
  <c r="U380" i="1"/>
  <c r="M380" i="1"/>
  <c r="E380" i="3" s="1"/>
  <c r="F380" i="3" s="1"/>
  <c r="K379" i="1"/>
  <c r="AC380" i="1"/>
  <c r="E380" i="2" s="1"/>
  <c r="F380" i="2" s="1"/>
  <c r="AB379" i="1"/>
  <c r="AC379" i="1" l="1"/>
  <c r="E379" i="2" s="1"/>
  <c r="F379" i="2" s="1"/>
  <c r="AB378" i="1"/>
  <c r="M379" i="1"/>
  <c r="E379" i="3" s="1"/>
  <c r="F379" i="3" s="1"/>
  <c r="K378" i="1"/>
  <c r="U379" i="1"/>
  <c r="T378" i="1"/>
  <c r="AC378" i="1" l="1"/>
  <c r="E378" i="2" s="1"/>
  <c r="F378" i="2" s="1"/>
  <c r="AB377" i="1"/>
  <c r="T377" i="1"/>
  <c r="U378" i="1"/>
  <c r="M378" i="1"/>
  <c r="E378" i="3" s="1"/>
  <c r="F378" i="3" s="1"/>
  <c r="K377" i="1"/>
  <c r="M377" i="1" l="1"/>
  <c r="E377" i="3" s="1"/>
  <c r="F377" i="3" s="1"/>
  <c r="K376" i="1"/>
  <c r="AC377" i="1"/>
  <c r="E377" i="2" s="1"/>
  <c r="F377" i="2" s="1"/>
  <c r="AB376" i="1"/>
  <c r="T376" i="1"/>
  <c r="U377" i="1"/>
  <c r="T375" i="1" l="1"/>
  <c r="U376" i="1"/>
  <c r="M376" i="1"/>
  <c r="E376" i="3" s="1"/>
  <c r="F376" i="3" s="1"/>
  <c r="K375" i="1"/>
  <c r="AC376" i="1"/>
  <c r="E376" i="2" s="1"/>
  <c r="F376" i="2" s="1"/>
  <c r="AB375" i="1"/>
  <c r="M375" i="1" l="1"/>
  <c r="E375" i="3" s="1"/>
  <c r="F375" i="3" s="1"/>
  <c r="K374" i="1"/>
  <c r="AC375" i="1"/>
  <c r="E375" i="2" s="1"/>
  <c r="F375" i="2" s="1"/>
  <c r="AB374" i="1"/>
  <c r="T374" i="1"/>
  <c r="U375" i="1"/>
  <c r="T373" i="1" l="1"/>
  <c r="U374" i="1"/>
  <c r="AC374" i="1"/>
  <c r="E374" i="2" s="1"/>
  <c r="F374" i="2" s="1"/>
  <c r="AB373" i="1"/>
  <c r="M374" i="1"/>
  <c r="E374" i="3" s="1"/>
  <c r="F374" i="3" s="1"/>
  <c r="K373" i="1"/>
  <c r="AC373" i="1" l="1"/>
  <c r="E373" i="2" s="1"/>
  <c r="F373" i="2" s="1"/>
  <c r="AB372" i="1"/>
  <c r="M373" i="1"/>
  <c r="E373" i="3" s="1"/>
  <c r="F373" i="3" s="1"/>
  <c r="K372" i="1"/>
  <c r="T372" i="1"/>
  <c r="U373" i="1"/>
  <c r="M372" i="1" l="1"/>
  <c r="E372" i="3" s="1"/>
  <c r="F372" i="3" s="1"/>
  <c r="K371" i="1"/>
  <c r="T371" i="1"/>
  <c r="U372" i="1"/>
  <c r="AC372" i="1"/>
  <c r="E372" i="2" s="1"/>
  <c r="F372" i="2" s="1"/>
  <c r="AB371" i="1"/>
  <c r="M371" i="1" l="1"/>
  <c r="E371" i="3" s="1"/>
  <c r="F371" i="3" s="1"/>
  <c r="K370" i="1"/>
  <c r="AC371" i="1"/>
  <c r="E371" i="2" s="1"/>
  <c r="F371" i="2" s="1"/>
  <c r="AB370" i="1"/>
  <c r="U371" i="1"/>
  <c r="T370" i="1"/>
  <c r="T369" i="1" l="1"/>
  <c r="U370" i="1"/>
  <c r="AC370" i="1"/>
  <c r="E370" i="2" s="1"/>
  <c r="F370" i="2" s="1"/>
  <c r="AB369" i="1"/>
  <c r="M370" i="1"/>
  <c r="E370" i="3" s="1"/>
  <c r="F370" i="3" s="1"/>
  <c r="K369" i="1"/>
  <c r="AC369" i="1" l="1"/>
  <c r="E369" i="2" s="1"/>
  <c r="F369" i="2" s="1"/>
  <c r="AB368" i="1"/>
  <c r="M369" i="1"/>
  <c r="E369" i="3" s="1"/>
  <c r="F369" i="3" s="1"/>
  <c r="K368" i="1"/>
  <c r="T368" i="1"/>
  <c r="U369" i="1"/>
  <c r="T367" i="1" l="1"/>
  <c r="U368" i="1"/>
  <c r="AC368" i="1"/>
  <c r="E368" i="2" s="1"/>
  <c r="F368" i="2" s="1"/>
  <c r="AB367" i="1"/>
  <c r="M368" i="1"/>
  <c r="E368" i="3" s="1"/>
  <c r="F368" i="3" s="1"/>
  <c r="K367" i="1"/>
  <c r="M367" i="1" l="1"/>
  <c r="E367" i="3" s="1"/>
  <c r="F367" i="3" s="1"/>
  <c r="K366" i="1"/>
  <c r="AC367" i="1"/>
  <c r="E367" i="2" s="1"/>
  <c r="F367" i="2" s="1"/>
  <c r="AB366" i="1"/>
  <c r="T366" i="1"/>
  <c r="U367" i="1"/>
  <c r="T365" i="1" l="1"/>
  <c r="U366" i="1"/>
  <c r="AC366" i="1"/>
  <c r="E366" i="2" s="1"/>
  <c r="F366" i="2" s="1"/>
  <c r="AB365" i="1"/>
  <c r="M366" i="1"/>
  <c r="E366" i="3" s="1"/>
  <c r="F366" i="3" s="1"/>
  <c r="K365" i="1"/>
  <c r="AC365" i="1" l="1"/>
  <c r="E365" i="2" s="1"/>
  <c r="F365" i="2" s="1"/>
  <c r="AB364" i="1"/>
  <c r="M365" i="1"/>
  <c r="E365" i="3" s="1"/>
  <c r="F365" i="3" s="1"/>
  <c r="K364" i="1"/>
  <c r="U365" i="1"/>
  <c r="T364" i="1"/>
  <c r="T363" i="1" l="1"/>
  <c r="U364" i="1"/>
  <c r="M364" i="1"/>
  <c r="E364" i="3" s="1"/>
  <c r="F364" i="3" s="1"/>
  <c r="K363" i="1"/>
  <c r="AC364" i="1"/>
  <c r="E364" i="2" s="1"/>
  <c r="F364" i="2" s="1"/>
  <c r="AB363" i="1"/>
  <c r="AC363" i="1" l="1"/>
  <c r="E363" i="2" s="1"/>
  <c r="F363" i="2" s="1"/>
  <c r="AB362" i="1"/>
  <c r="M363" i="1"/>
  <c r="E363" i="3" s="1"/>
  <c r="F363" i="3" s="1"/>
  <c r="K362" i="1"/>
  <c r="T362" i="1"/>
  <c r="U363" i="1"/>
  <c r="M362" i="1" l="1"/>
  <c r="E362" i="3" s="1"/>
  <c r="F362" i="3" s="1"/>
  <c r="K361" i="1"/>
  <c r="T361" i="1"/>
  <c r="U362" i="1"/>
  <c r="AC362" i="1"/>
  <c r="E362" i="2" s="1"/>
  <c r="F362" i="2" s="1"/>
  <c r="AB361" i="1"/>
  <c r="AC361" i="1" l="1"/>
  <c r="E361" i="2" s="1"/>
  <c r="F361" i="2" s="1"/>
  <c r="AB360" i="1"/>
  <c r="U361" i="1"/>
  <c r="T360" i="1"/>
  <c r="M361" i="1"/>
  <c r="E361" i="3" s="1"/>
  <c r="F361" i="3" s="1"/>
  <c r="K360" i="1"/>
  <c r="M360" i="1" l="1"/>
  <c r="E360" i="3" s="1"/>
  <c r="F360" i="3" s="1"/>
  <c r="K359" i="1"/>
  <c r="T359" i="1"/>
  <c r="U360" i="1"/>
  <c r="AC360" i="1"/>
  <c r="E360" i="2" s="1"/>
  <c r="F360" i="2" s="1"/>
  <c r="AB359" i="1"/>
  <c r="AC359" i="1" l="1"/>
  <c r="E359" i="2" s="1"/>
  <c r="F359" i="2" s="1"/>
  <c r="AB358" i="1"/>
  <c r="M359" i="1"/>
  <c r="E359" i="3" s="1"/>
  <c r="F359" i="3" s="1"/>
  <c r="K358" i="1"/>
  <c r="T358" i="1"/>
  <c r="U359" i="1"/>
  <c r="M358" i="1" l="1"/>
  <c r="E358" i="3" s="1"/>
  <c r="F358" i="3" s="1"/>
  <c r="K357" i="1"/>
  <c r="T357" i="1"/>
  <c r="U358" i="1"/>
  <c r="AC358" i="1"/>
  <c r="E358" i="2" s="1"/>
  <c r="F358" i="2" s="1"/>
  <c r="AB357" i="1"/>
  <c r="AC357" i="1" l="1"/>
  <c r="E357" i="2" s="1"/>
  <c r="F357" i="2" s="1"/>
  <c r="AB356" i="1"/>
  <c r="T356" i="1"/>
  <c r="U357" i="1"/>
  <c r="M357" i="1"/>
  <c r="E357" i="3" s="1"/>
  <c r="F357" i="3" s="1"/>
  <c r="K356" i="1"/>
  <c r="AC356" i="1" l="1"/>
  <c r="E356" i="2" s="1"/>
  <c r="F356" i="2" s="1"/>
  <c r="AB355" i="1"/>
  <c r="M356" i="1"/>
  <c r="E356" i="3" s="1"/>
  <c r="F356" i="3" s="1"/>
  <c r="K355" i="1"/>
  <c r="T355" i="1"/>
  <c r="U356" i="1"/>
  <c r="T354" i="1" l="1"/>
  <c r="U355" i="1"/>
  <c r="M355" i="1"/>
  <c r="E355" i="3" s="1"/>
  <c r="F355" i="3" s="1"/>
  <c r="K354" i="1"/>
  <c r="AC355" i="1"/>
  <c r="E355" i="2" s="1"/>
  <c r="F355" i="2" s="1"/>
  <c r="AB354" i="1"/>
  <c r="AC354" i="1" l="1"/>
  <c r="E354" i="2" s="1"/>
  <c r="F354" i="2" s="1"/>
  <c r="AB353" i="1"/>
  <c r="M354" i="1"/>
  <c r="E354" i="3" s="1"/>
  <c r="F354" i="3" s="1"/>
  <c r="K353" i="1"/>
  <c r="T353" i="1"/>
  <c r="U354" i="1"/>
  <c r="T352" i="1" l="1"/>
  <c r="U353" i="1"/>
  <c r="M353" i="1"/>
  <c r="E353" i="3" s="1"/>
  <c r="F353" i="3" s="1"/>
  <c r="K352" i="1"/>
  <c r="AC353" i="1"/>
  <c r="E353" i="2" s="1"/>
  <c r="F353" i="2" s="1"/>
  <c r="AB352" i="1"/>
  <c r="AC352" i="1" l="1"/>
  <c r="E352" i="2" s="1"/>
  <c r="F352" i="2" s="1"/>
  <c r="AB351" i="1"/>
  <c r="M352" i="1"/>
  <c r="E352" i="3" s="1"/>
  <c r="F352" i="3" s="1"/>
  <c r="K351" i="1"/>
  <c r="T351" i="1"/>
  <c r="U352" i="1"/>
  <c r="M351" i="1" l="1"/>
  <c r="E351" i="3" s="1"/>
  <c r="F351" i="3" s="1"/>
  <c r="K350" i="1"/>
  <c r="U351" i="1"/>
  <c r="T350" i="1"/>
  <c r="AC351" i="1"/>
  <c r="E351" i="2" s="1"/>
  <c r="F351" i="2" s="1"/>
  <c r="AB350" i="1"/>
  <c r="AC350" i="1" l="1"/>
  <c r="E350" i="2" s="1"/>
  <c r="F350" i="2" s="1"/>
  <c r="AB349" i="1"/>
  <c r="T349" i="1"/>
  <c r="U350" i="1"/>
  <c r="M350" i="1"/>
  <c r="E350" i="3" s="1"/>
  <c r="F350" i="3" s="1"/>
  <c r="K349" i="1"/>
  <c r="M349" i="1" l="1"/>
  <c r="E349" i="3" s="1"/>
  <c r="F349" i="3" s="1"/>
  <c r="K348" i="1"/>
  <c r="T348" i="1"/>
  <c r="U349" i="1"/>
  <c r="AC349" i="1"/>
  <c r="E349" i="2" s="1"/>
  <c r="F349" i="2" s="1"/>
  <c r="AB348" i="1"/>
  <c r="AC348" i="1" l="1"/>
  <c r="E348" i="2" s="1"/>
  <c r="F348" i="2" s="1"/>
  <c r="AB347" i="1"/>
  <c r="T347" i="1"/>
  <c r="U348" i="1"/>
  <c r="M348" i="1"/>
  <c r="E348" i="3" s="1"/>
  <c r="F348" i="3" s="1"/>
  <c r="K347" i="1"/>
  <c r="M347" i="1" l="1"/>
  <c r="E347" i="3" s="1"/>
  <c r="F347" i="3" s="1"/>
  <c r="K346" i="1"/>
  <c r="T346" i="1"/>
  <c r="U347" i="1"/>
  <c r="AC347" i="1"/>
  <c r="E347" i="2" s="1"/>
  <c r="F347" i="2" s="1"/>
  <c r="AB346" i="1"/>
  <c r="T345" i="1" l="1"/>
  <c r="U346" i="1"/>
  <c r="AC346" i="1"/>
  <c r="E346" i="2" s="1"/>
  <c r="F346" i="2" s="1"/>
  <c r="AB345" i="1"/>
  <c r="M346" i="1"/>
  <c r="E346" i="3" s="1"/>
  <c r="F346" i="3" s="1"/>
  <c r="K345" i="1"/>
  <c r="M345" i="1" l="1"/>
  <c r="E345" i="3" s="1"/>
  <c r="F345" i="3" s="1"/>
  <c r="K344" i="1"/>
  <c r="AC345" i="1"/>
  <c r="E345" i="2" s="1"/>
  <c r="F345" i="2" s="1"/>
  <c r="AB344" i="1"/>
  <c r="T344" i="1"/>
  <c r="U345" i="1"/>
  <c r="T343" i="1" l="1"/>
  <c r="U344" i="1"/>
  <c r="M344" i="1"/>
  <c r="E344" i="3" s="1"/>
  <c r="F344" i="3" s="1"/>
  <c r="K343" i="1"/>
  <c r="AC344" i="1"/>
  <c r="E344" i="2" s="1"/>
  <c r="F344" i="2" s="1"/>
  <c r="AB343" i="1"/>
  <c r="AC343" i="1" l="1"/>
  <c r="E343" i="2" s="1"/>
  <c r="F343" i="2" s="1"/>
  <c r="AB342" i="1"/>
  <c r="M343" i="1"/>
  <c r="E343" i="3" s="1"/>
  <c r="F343" i="3" s="1"/>
  <c r="K342" i="1"/>
  <c r="T342" i="1"/>
  <c r="U343" i="1"/>
  <c r="T341" i="1" l="1"/>
  <c r="U342" i="1"/>
  <c r="M342" i="1"/>
  <c r="E342" i="3" s="1"/>
  <c r="F342" i="3" s="1"/>
  <c r="K341" i="1"/>
  <c r="AC342" i="1"/>
  <c r="E342" i="2" s="1"/>
  <c r="F342" i="2" s="1"/>
  <c r="AB341" i="1"/>
  <c r="AC341" i="1" l="1"/>
  <c r="E341" i="2" s="1"/>
  <c r="F341" i="2" s="1"/>
  <c r="AB340" i="1"/>
  <c r="M341" i="1"/>
  <c r="E341" i="3" s="1"/>
  <c r="F341" i="3" s="1"/>
  <c r="K340" i="1"/>
  <c r="U341" i="1"/>
  <c r="T340" i="1"/>
  <c r="T339" i="1" l="1"/>
  <c r="U340" i="1"/>
  <c r="M340" i="1"/>
  <c r="E340" i="3" s="1"/>
  <c r="F340" i="3" s="1"/>
  <c r="K339" i="1"/>
  <c r="AC340" i="1"/>
  <c r="E340" i="2" s="1"/>
  <c r="F340" i="2" s="1"/>
  <c r="AB339" i="1"/>
  <c r="AC339" i="1" l="1"/>
  <c r="E339" i="2" s="1"/>
  <c r="F339" i="2" s="1"/>
  <c r="AB338" i="1"/>
  <c r="M339" i="1"/>
  <c r="E339" i="3" s="1"/>
  <c r="F339" i="3" s="1"/>
  <c r="K338" i="1"/>
  <c r="T338" i="1"/>
  <c r="U339" i="1"/>
  <c r="T337" i="1" l="1"/>
  <c r="U338" i="1"/>
  <c r="M338" i="1"/>
  <c r="E338" i="3" s="1"/>
  <c r="F338" i="3" s="1"/>
  <c r="K337" i="1"/>
  <c r="AC338" i="1"/>
  <c r="E338" i="2" s="1"/>
  <c r="F338" i="2" s="1"/>
  <c r="AB337" i="1"/>
  <c r="M337" i="1" l="1"/>
  <c r="E337" i="3" s="1"/>
  <c r="F337" i="3" s="1"/>
  <c r="K336" i="1"/>
  <c r="AC337" i="1"/>
  <c r="E337" i="2" s="1"/>
  <c r="F337" i="2" s="1"/>
  <c r="AB336" i="1"/>
  <c r="T336" i="1"/>
  <c r="U337" i="1"/>
  <c r="U336" i="1" l="1"/>
  <c r="T335" i="1"/>
  <c r="AC336" i="1"/>
  <c r="E336" i="2" s="1"/>
  <c r="F336" i="2" s="1"/>
  <c r="AB335" i="1"/>
  <c r="M336" i="1"/>
  <c r="E336" i="3" s="1"/>
  <c r="F336" i="3" s="1"/>
  <c r="K335" i="1"/>
  <c r="M335" i="1" l="1"/>
  <c r="E335" i="3" s="1"/>
  <c r="F335" i="3" s="1"/>
  <c r="K334" i="1"/>
  <c r="AC335" i="1"/>
  <c r="E335" i="2" s="1"/>
  <c r="F335" i="2" s="1"/>
  <c r="AB334" i="1"/>
  <c r="T334" i="1"/>
  <c r="U335" i="1"/>
  <c r="T333" i="1" l="1"/>
  <c r="U334" i="1"/>
  <c r="AC334" i="1"/>
  <c r="E334" i="2" s="1"/>
  <c r="F334" i="2" s="1"/>
  <c r="AB333" i="1"/>
  <c r="M334" i="1"/>
  <c r="E334" i="3" s="1"/>
  <c r="F334" i="3" s="1"/>
  <c r="K333" i="1"/>
  <c r="AC333" i="1" l="1"/>
  <c r="E333" i="2" s="1"/>
  <c r="F333" i="2" s="1"/>
  <c r="AB332" i="1"/>
  <c r="M333" i="1"/>
  <c r="E333" i="3" s="1"/>
  <c r="F333" i="3" s="1"/>
  <c r="K332" i="1"/>
  <c r="T332" i="1"/>
  <c r="U333" i="1"/>
  <c r="T331" i="1" l="1"/>
  <c r="U332" i="1"/>
  <c r="M332" i="1"/>
  <c r="E332" i="3" s="1"/>
  <c r="F332" i="3" s="1"/>
  <c r="K331" i="1"/>
  <c r="AC332" i="1"/>
  <c r="E332" i="2" s="1"/>
  <c r="F332" i="2" s="1"/>
  <c r="AB331" i="1"/>
  <c r="AC331" i="1" l="1"/>
  <c r="E331" i="2" s="1"/>
  <c r="F331" i="2" s="1"/>
  <c r="AB330" i="1"/>
  <c r="M331" i="1"/>
  <c r="E331" i="3" s="1"/>
  <c r="F331" i="3" s="1"/>
  <c r="K330" i="1"/>
  <c r="U331" i="1"/>
  <c r="T330" i="1"/>
  <c r="T329" i="1" l="1"/>
  <c r="U330" i="1"/>
  <c r="AC330" i="1"/>
  <c r="E330" i="2" s="1"/>
  <c r="F330" i="2" s="1"/>
  <c r="AB329" i="1"/>
  <c r="M330" i="1"/>
  <c r="E330" i="3" s="1"/>
  <c r="F330" i="3" s="1"/>
  <c r="K329" i="1"/>
  <c r="M329" i="1" l="1"/>
  <c r="E329" i="3" s="1"/>
  <c r="F329" i="3" s="1"/>
  <c r="K328" i="1"/>
  <c r="AC329" i="1"/>
  <c r="E329" i="2" s="1"/>
  <c r="F329" i="2" s="1"/>
  <c r="AB328" i="1"/>
  <c r="T328" i="1"/>
  <c r="U329" i="1"/>
  <c r="T327" i="1" l="1"/>
  <c r="U328" i="1"/>
  <c r="AC328" i="1"/>
  <c r="E328" i="2" s="1"/>
  <c r="F328" i="2" s="1"/>
  <c r="AB327" i="1"/>
  <c r="M328" i="1"/>
  <c r="E328" i="3" s="1"/>
  <c r="F328" i="3" s="1"/>
  <c r="K327" i="1"/>
  <c r="M327" i="1" l="1"/>
  <c r="E327" i="3" s="1"/>
  <c r="F327" i="3" s="1"/>
  <c r="K326" i="1"/>
  <c r="AC327" i="1"/>
  <c r="E327" i="2" s="1"/>
  <c r="F327" i="2" s="1"/>
  <c r="AB326" i="1"/>
  <c r="T326" i="1"/>
  <c r="U327" i="1"/>
  <c r="T325" i="1" l="1"/>
  <c r="U326" i="1"/>
  <c r="M326" i="1"/>
  <c r="E326" i="3" s="1"/>
  <c r="F326" i="3" s="1"/>
  <c r="K325" i="1"/>
  <c r="AC326" i="1"/>
  <c r="E326" i="2" s="1"/>
  <c r="F326" i="2" s="1"/>
  <c r="AB325" i="1"/>
  <c r="AC325" i="1" l="1"/>
  <c r="E325" i="2" s="1"/>
  <c r="F325" i="2" s="1"/>
  <c r="AB324" i="1"/>
  <c r="M325" i="1"/>
  <c r="E325" i="3" s="1"/>
  <c r="F325" i="3" s="1"/>
  <c r="K324" i="1"/>
  <c r="T324" i="1"/>
  <c r="U325" i="1"/>
  <c r="T323" i="1" l="1"/>
  <c r="U324" i="1"/>
  <c r="AC324" i="1"/>
  <c r="E324" i="2" s="1"/>
  <c r="F324" i="2" s="1"/>
  <c r="AB323" i="1"/>
  <c r="M324" i="1"/>
  <c r="E324" i="3" s="1"/>
  <c r="F324" i="3" s="1"/>
  <c r="K323" i="1"/>
  <c r="M323" i="1" l="1"/>
  <c r="E323" i="3" s="1"/>
  <c r="F323" i="3" s="1"/>
  <c r="K322" i="1"/>
  <c r="AC323" i="1"/>
  <c r="E323" i="2" s="1"/>
  <c r="F323" i="2" s="1"/>
  <c r="AB322" i="1"/>
  <c r="T322" i="1"/>
  <c r="U323" i="1"/>
  <c r="U322" i="1" l="1"/>
  <c r="T321" i="1"/>
  <c r="AC322" i="1"/>
  <c r="E322" i="2" s="1"/>
  <c r="F322" i="2" s="1"/>
  <c r="AB321" i="1"/>
  <c r="M322" i="1"/>
  <c r="E322" i="3" s="1"/>
  <c r="F322" i="3" s="1"/>
  <c r="K321" i="1"/>
  <c r="M321" i="1" l="1"/>
  <c r="E321" i="3" s="1"/>
  <c r="F321" i="3" s="1"/>
  <c r="K320" i="1"/>
  <c r="AC321" i="1"/>
  <c r="E321" i="2" s="1"/>
  <c r="F321" i="2" s="1"/>
  <c r="AB320" i="1"/>
  <c r="U321" i="1"/>
  <c r="T320" i="1"/>
  <c r="T319" i="1" l="1"/>
  <c r="U320" i="1"/>
  <c r="M320" i="1"/>
  <c r="E320" i="3" s="1"/>
  <c r="F320" i="3" s="1"/>
  <c r="K319" i="1"/>
  <c r="AC320" i="1"/>
  <c r="E320" i="2" s="1"/>
  <c r="F320" i="2" s="1"/>
  <c r="AB319" i="1"/>
  <c r="M319" i="1" l="1"/>
  <c r="E319" i="3" s="1"/>
  <c r="F319" i="3" s="1"/>
  <c r="K318" i="1"/>
  <c r="AC319" i="1"/>
  <c r="E319" i="2" s="1"/>
  <c r="F319" i="2" s="1"/>
  <c r="AB318" i="1"/>
  <c r="T318" i="1"/>
  <c r="U319" i="1"/>
  <c r="T317" i="1" l="1"/>
  <c r="U318" i="1"/>
  <c r="AC318" i="1"/>
  <c r="E318" i="2" s="1"/>
  <c r="F318" i="2" s="1"/>
  <c r="AB317" i="1"/>
  <c r="M318" i="1"/>
  <c r="E318" i="3" s="1"/>
  <c r="F318" i="3" s="1"/>
  <c r="K317" i="1"/>
  <c r="M317" i="1" l="1"/>
  <c r="E317" i="3" s="1"/>
  <c r="F317" i="3" s="1"/>
  <c r="K316" i="1"/>
  <c r="AC317" i="1"/>
  <c r="E317" i="2" s="1"/>
  <c r="F317" i="2" s="1"/>
  <c r="AB316" i="1"/>
  <c r="T316" i="1"/>
  <c r="U317" i="1"/>
  <c r="T315" i="1" l="1"/>
  <c r="U316" i="1"/>
  <c r="M316" i="1"/>
  <c r="E316" i="3" s="1"/>
  <c r="F316" i="3" s="1"/>
  <c r="K315" i="1"/>
  <c r="AC316" i="1"/>
  <c r="E316" i="2" s="1"/>
  <c r="F316" i="2" s="1"/>
  <c r="AB315" i="1"/>
  <c r="AC315" i="1" l="1"/>
  <c r="E315" i="2" s="1"/>
  <c r="F315" i="2" s="1"/>
  <c r="AB314" i="1"/>
  <c r="M315" i="1"/>
  <c r="E315" i="3" s="1"/>
  <c r="F315" i="3" s="1"/>
  <c r="K314" i="1"/>
  <c r="T314" i="1"/>
  <c r="U315" i="1"/>
  <c r="T313" i="1" l="1"/>
  <c r="U314" i="1"/>
  <c r="AC314" i="1"/>
  <c r="E314" i="2" s="1"/>
  <c r="F314" i="2" s="1"/>
  <c r="AB313" i="1"/>
  <c r="M314" i="1"/>
  <c r="E314" i="3" s="1"/>
  <c r="F314" i="3" s="1"/>
  <c r="K313" i="1"/>
  <c r="AC313" i="1" l="1"/>
  <c r="E313" i="2" s="1"/>
  <c r="F313" i="2" s="1"/>
  <c r="AB312" i="1"/>
  <c r="M313" i="1"/>
  <c r="E313" i="3" s="1"/>
  <c r="F313" i="3" s="1"/>
  <c r="K312" i="1"/>
  <c r="T312" i="1"/>
  <c r="U313" i="1"/>
  <c r="T311" i="1" l="1"/>
  <c r="U312" i="1"/>
  <c r="M312" i="1"/>
  <c r="E312" i="3" s="1"/>
  <c r="F312" i="3" s="1"/>
  <c r="K311" i="1"/>
  <c r="AC312" i="1"/>
  <c r="E312" i="2" s="1"/>
  <c r="F312" i="2" s="1"/>
  <c r="AB311" i="1"/>
  <c r="AC311" i="1" l="1"/>
  <c r="E311" i="2" s="1"/>
  <c r="F311" i="2" s="1"/>
  <c r="AB310" i="1"/>
  <c r="M311" i="1"/>
  <c r="E311" i="3" s="1"/>
  <c r="F311" i="3" s="1"/>
  <c r="K310" i="1"/>
  <c r="U311" i="1"/>
  <c r="T310" i="1"/>
  <c r="M310" i="1" l="1"/>
  <c r="E310" i="3" s="1"/>
  <c r="F310" i="3" s="1"/>
  <c r="K309" i="1"/>
  <c r="T309" i="1"/>
  <c r="U310" i="1"/>
  <c r="AC310" i="1"/>
  <c r="E310" i="2" s="1"/>
  <c r="F310" i="2" s="1"/>
  <c r="AB309" i="1"/>
  <c r="AC309" i="1" l="1"/>
  <c r="E309" i="2" s="1"/>
  <c r="F309" i="2" s="1"/>
  <c r="AB308" i="1"/>
  <c r="T308" i="1"/>
  <c r="U309" i="1"/>
  <c r="M309" i="1"/>
  <c r="E309" i="3" s="1"/>
  <c r="F309" i="3" s="1"/>
  <c r="K308" i="1"/>
  <c r="U308" i="1" l="1"/>
  <c r="T307" i="1"/>
  <c r="AC308" i="1"/>
  <c r="E308" i="2" s="1"/>
  <c r="F308" i="2" s="1"/>
  <c r="AB307" i="1"/>
  <c r="M308" i="1"/>
  <c r="E308" i="3" s="1"/>
  <c r="F308" i="3" s="1"/>
  <c r="K307" i="1"/>
  <c r="M307" i="1" l="1"/>
  <c r="E307" i="3" s="1"/>
  <c r="F307" i="3" s="1"/>
  <c r="K306" i="1"/>
  <c r="AC307" i="1"/>
  <c r="E307" i="2" s="1"/>
  <c r="F307" i="2" s="1"/>
  <c r="AB306" i="1"/>
  <c r="T306" i="1"/>
  <c r="U307" i="1"/>
  <c r="AC306" i="1" l="1"/>
  <c r="E306" i="2" s="1"/>
  <c r="F306" i="2" s="1"/>
  <c r="AB305" i="1"/>
  <c r="T305" i="1"/>
  <c r="U306" i="1"/>
  <c r="M306" i="1"/>
  <c r="E306" i="3" s="1"/>
  <c r="F306" i="3" s="1"/>
  <c r="K305" i="1"/>
  <c r="M305" i="1" l="1"/>
  <c r="E305" i="3" s="1"/>
  <c r="F305" i="3" s="1"/>
  <c r="K304" i="1"/>
  <c r="T304" i="1"/>
  <c r="U305" i="1"/>
  <c r="AC305" i="1"/>
  <c r="E305" i="2" s="1"/>
  <c r="F305" i="2" s="1"/>
  <c r="AB304" i="1"/>
  <c r="AC304" i="1" l="1"/>
  <c r="E304" i="2" s="1"/>
  <c r="F304" i="2" s="1"/>
  <c r="AB303" i="1"/>
  <c r="T303" i="1"/>
  <c r="U304" i="1"/>
  <c r="M304" i="1"/>
  <c r="E304" i="3" s="1"/>
  <c r="F304" i="3" s="1"/>
  <c r="K303" i="1"/>
  <c r="M303" i="1" l="1"/>
  <c r="E303" i="3" s="1"/>
  <c r="F303" i="3" s="1"/>
  <c r="K302" i="1"/>
  <c r="T302" i="1"/>
  <c r="U303" i="1"/>
  <c r="AC303" i="1"/>
  <c r="E303" i="2" s="1"/>
  <c r="F303" i="2" s="1"/>
  <c r="AB302" i="1"/>
  <c r="AC302" i="1" l="1"/>
  <c r="E302" i="2" s="1"/>
  <c r="F302" i="2" s="1"/>
  <c r="AB301" i="1"/>
  <c r="T301" i="1"/>
  <c r="U302" i="1"/>
  <c r="M302" i="1"/>
  <c r="E302" i="3" s="1"/>
  <c r="F302" i="3" s="1"/>
  <c r="K301" i="1"/>
  <c r="M301" i="1" l="1"/>
  <c r="E301" i="3" s="1"/>
  <c r="F301" i="3" s="1"/>
  <c r="K300" i="1"/>
  <c r="U301" i="1"/>
  <c r="T300" i="1"/>
  <c r="AC301" i="1"/>
  <c r="E301" i="2" s="1"/>
  <c r="F301" i="2" s="1"/>
  <c r="AB300" i="1"/>
  <c r="M300" i="1" l="1"/>
  <c r="E300" i="3" s="1"/>
  <c r="F300" i="3" s="1"/>
  <c r="K299" i="1"/>
  <c r="AC300" i="1"/>
  <c r="E300" i="2" s="1"/>
  <c r="F300" i="2" s="1"/>
  <c r="AB299" i="1"/>
  <c r="T299" i="1"/>
  <c r="U300" i="1"/>
  <c r="T298" i="1" l="1"/>
  <c r="U299" i="1"/>
  <c r="AC299" i="1"/>
  <c r="E299" i="2" s="1"/>
  <c r="F299" i="2" s="1"/>
  <c r="AB298" i="1"/>
  <c r="M299" i="1"/>
  <c r="E299" i="3" s="1"/>
  <c r="F299" i="3" s="1"/>
  <c r="K298" i="1"/>
  <c r="M298" i="1" l="1"/>
  <c r="E298" i="3" s="1"/>
  <c r="F298" i="3" s="1"/>
  <c r="K297" i="1"/>
  <c r="AC298" i="1"/>
  <c r="E298" i="2" s="1"/>
  <c r="F298" i="2" s="1"/>
  <c r="AB297" i="1"/>
  <c r="T297" i="1"/>
  <c r="U298" i="1"/>
  <c r="T296" i="1" l="1"/>
  <c r="U297" i="1"/>
  <c r="M297" i="1"/>
  <c r="E297" i="3" s="1"/>
  <c r="F297" i="3" s="1"/>
  <c r="K296" i="1"/>
  <c r="AC297" i="1"/>
  <c r="E297" i="2" s="1"/>
  <c r="F297" i="2" s="1"/>
  <c r="AB296" i="1"/>
  <c r="AC296" i="1" l="1"/>
  <c r="E296" i="2" s="1"/>
  <c r="F296" i="2" s="1"/>
  <c r="AB295" i="1"/>
  <c r="M296" i="1"/>
  <c r="E296" i="3" s="1"/>
  <c r="F296" i="3" s="1"/>
  <c r="K295" i="1"/>
  <c r="T295" i="1"/>
  <c r="U296" i="1"/>
  <c r="T294" i="1" l="1"/>
  <c r="U295" i="1"/>
  <c r="AC295" i="1"/>
  <c r="E295" i="2" s="1"/>
  <c r="F295" i="2" s="1"/>
  <c r="AB294" i="1"/>
  <c r="M295" i="1"/>
  <c r="E295" i="3" s="1"/>
  <c r="F295" i="3" s="1"/>
  <c r="K294" i="1"/>
  <c r="M294" i="1" l="1"/>
  <c r="E294" i="3" s="1"/>
  <c r="F294" i="3" s="1"/>
  <c r="K293" i="1"/>
  <c r="AC294" i="1"/>
  <c r="E294" i="2" s="1"/>
  <c r="F294" i="2" s="1"/>
  <c r="AB293" i="1"/>
  <c r="T293" i="1"/>
  <c r="U294" i="1"/>
  <c r="U293" i="1" l="1"/>
  <c r="T292" i="1"/>
  <c r="AC293" i="1"/>
  <c r="E293" i="2" s="1"/>
  <c r="F293" i="2" s="1"/>
  <c r="AB292" i="1"/>
  <c r="M293" i="1"/>
  <c r="E293" i="3" s="1"/>
  <c r="F293" i="3" s="1"/>
  <c r="K292" i="1"/>
  <c r="M292" i="1" l="1"/>
  <c r="E292" i="3" s="1"/>
  <c r="F292" i="3" s="1"/>
  <c r="K291" i="1"/>
  <c r="AC292" i="1"/>
  <c r="E292" i="2" s="1"/>
  <c r="F292" i="2" s="1"/>
  <c r="AB291" i="1"/>
  <c r="T291" i="1"/>
  <c r="U292" i="1"/>
  <c r="U291" i="1" l="1"/>
  <c r="T290" i="1"/>
  <c r="AC291" i="1"/>
  <c r="E291" i="2" s="1"/>
  <c r="F291" i="2" s="1"/>
  <c r="AB290" i="1"/>
  <c r="M291" i="1"/>
  <c r="E291" i="3" s="1"/>
  <c r="F291" i="3" s="1"/>
  <c r="K290" i="1"/>
  <c r="AC290" i="1" l="1"/>
  <c r="E290" i="2" s="1"/>
  <c r="F290" i="2" s="1"/>
  <c r="AB289" i="1"/>
  <c r="M290" i="1"/>
  <c r="E290" i="3" s="1"/>
  <c r="F290" i="3" s="1"/>
  <c r="K289" i="1"/>
  <c r="T289" i="1"/>
  <c r="U290" i="1"/>
  <c r="T288" i="1" l="1"/>
  <c r="U289" i="1"/>
  <c r="M289" i="1"/>
  <c r="E289" i="3" s="1"/>
  <c r="F289" i="3" s="1"/>
  <c r="K288" i="1"/>
  <c r="AC289" i="1"/>
  <c r="E289" i="2" s="1"/>
  <c r="F289" i="2" s="1"/>
  <c r="AB288" i="1"/>
  <c r="AC288" i="1" l="1"/>
  <c r="E288" i="2" s="1"/>
  <c r="F288" i="2" s="1"/>
  <c r="AB287" i="1"/>
  <c r="M288" i="1"/>
  <c r="E288" i="3" s="1"/>
  <c r="F288" i="3" s="1"/>
  <c r="K287" i="1"/>
  <c r="T287" i="1"/>
  <c r="U288" i="1"/>
  <c r="T286" i="1" l="1"/>
  <c r="U287" i="1"/>
  <c r="M287" i="1"/>
  <c r="E287" i="3" s="1"/>
  <c r="F287" i="3" s="1"/>
  <c r="K286" i="1"/>
  <c r="AC287" i="1"/>
  <c r="E287" i="2" s="1"/>
  <c r="F287" i="2" s="1"/>
  <c r="AB286" i="1"/>
  <c r="AC286" i="1" l="1"/>
  <c r="E286" i="2" s="1"/>
  <c r="F286" i="2" s="1"/>
  <c r="AB285" i="1"/>
  <c r="M286" i="1"/>
  <c r="E286" i="3" s="1"/>
  <c r="F286" i="3" s="1"/>
  <c r="K285" i="1"/>
  <c r="T285" i="1"/>
  <c r="U286" i="1"/>
  <c r="T284" i="1" l="1"/>
  <c r="U285" i="1"/>
  <c r="M285" i="1"/>
  <c r="E285" i="3" s="1"/>
  <c r="F285" i="3" s="1"/>
  <c r="K284" i="1"/>
  <c r="AC285" i="1"/>
  <c r="E285" i="2" s="1"/>
  <c r="F285" i="2" s="1"/>
  <c r="AB284" i="1"/>
  <c r="AC284" i="1" l="1"/>
  <c r="E284" i="2" s="1"/>
  <c r="F284" i="2" s="1"/>
  <c r="AB283" i="1"/>
  <c r="M284" i="1"/>
  <c r="E284" i="3" s="1"/>
  <c r="F284" i="3" s="1"/>
  <c r="K283" i="1"/>
  <c r="T283" i="1"/>
  <c r="U284" i="1"/>
  <c r="M283" i="1" l="1"/>
  <c r="E283" i="3" s="1"/>
  <c r="F283" i="3" s="1"/>
  <c r="K282" i="1"/>
  <c r="T282" i="1"/>
  <c r="U283" i="1"/>
  <c r="AC283" i="1"/>
  <c r="E283" i="2" s="1"/>
  <c r="F283" i="2" s="1"/>
  <c r="AB282" i="1"/>
  <c r="T281" i="1" l="1"/>
  <c r="U282" i="1"/>
  <c r="M282" i="1"/>
  <c r="E282" i="3" s="1"/>
  <c r="F282" i="3" s="1"/>
  <c r="K281" i="1"/>
  <c r="AC282" i="1"/>
  <c r="E282" i="2" s="1"/>
  <c r="F282" i="2" s="1"/>
  <c r="AB281" i="1"/>
  <c r="AC281" i="1" l="1"/>
  <c r="E281" i="2" s="1"/>
  <c r="F281" i="2" s="1"/>
  <c r="AB280" i="1"/>
  <c r="M281" i="1"/>
  <c r="E281" i="3" s="1"/>
  <c r="F281" i="3" s="1"/>
  <c r="K280" i="1"/>
  <c r="U281" i="1"/>
  <c r="T280" i="1"/>
  <c r="T279" i="1" l="1"/>
  <c r="U280" i="1"/>
  <c r="M280" i="1"/>
  <c r="E280" i="3" s="1"/>
  <c r="F280" i="3" s="1"/>
  <c r="K279" i="1"/>
  <c r="AC280" i="1"/>
  <c r="E280" i="2" s="1"/>
  <c r="F280" i="2" s="1"/>
  <c r="AB279" i="1"/>
  <c r="AC279" i="1" l="1"/>
  <c r="E279" i="2" s="1"/>
  <c r="F279" i="2" s="1"/>
  <c r="AB278" i="1"/>
  <c r="M279" i="1"/>
  <c r="E279" i="3" s="1"/>
  <c r="F279" i="3" s="1"/>
  <c r="K278" i="1"/>
  <c r="U279" i="1"/>
  <c r="T278" i="1"/>
  <c r="T277" i="1" l="1"/>
  <c r="U278" i="1"/>
  <c r="AC278" i="1"/>
  <c r="E278" i="2" s="1"/>
  <c r="F278" i="2" s="1"/>
  <c r="AB277" i="1"/>
  <c r="M278" i="1"/>
  <c r="E278" i="3" s="1"/>
  <c r="F278" i="3" s="1"/>
  <c r="K277" i="1"/>
  <c r="AC277" i="1" l="1"/>
  <c r="E277" i="2" s="1"/>
  <c r="F277" i="2" s="1"/>
  <c r="AB276" i="1"/>
  <c r="M277" i="1"/>
  <c r="E277" i="3" s="1"/>
  <c r="F277" i="3" s="1"/>
  <c r="K276" i="1"/>
  <c r="T276" i="1"/>
  <c r="U277" i="1"/>
  <c r="T275" i="1" l="1"/>
  <c r="U276" i="1"/>
  <c r="M276" i="1"/>
  <c r="E276" i="3" s="1"/>
  <c r="F276" i="3" s="1"/>
  <c r="K275" i="1"/>
  <c r="AC276" i="1"/>
  <c r="E276" i="2" s="1"/>
  <c r="F276" i="2" s="1"/>
  <c r="AB275" i="1"/>
  <c r="AC275" i="1" l="1"/>
  <c r="E275" i="2" s="1"/>
  <c r="F275" i="2" s="1"/>
  <c r="AB274" i="1"/>
  <c r="M275" i="1"/>
  <c r="E275" i="3" s="1"/>
  <c r="F275" i="3" s="1"/>
  <c r="K274" i="1"/>
  <c r="T274" i="1"/>
  <c r="U275" i="1"/>
  <c r="M274" i="1" l="1"/>
  <c r="E274" i="3" s="1"/>
  <c r="F274" i="3" s="1"/>
  <c r="K273" i="1"/>
  <c r="AC274" i="1"/>
  <c r="E274" i="2" s="1"/>
  <c r="F274" i="2" s="1"/>
  <c r="AB273" i="1"/>
  <c r="T273" i="1"/>
  <c r="U274" i="1"/>
  <c r="M273" i="1" l="1"/>
  <c r="E273" i="3" s="1"/>
  <c r="F273" i="3" s="1"/>
  <c r="K272" i="1"/>
  <c r="T272" i="1"/>
  <c r="U273" i="1"/>
  <c r="AC273" i="1"/>
  <c r="E273" i="2" s="1"/>
  <c r="F273" i="2" s="1"/>
  <c r="AB272" i="1"/>
  <c r="AC272" i="1" l="1"/>
  <c r="E272" i="2" s="1"/>
  <c r="F272" i="2" s="1"/>
  <c r="AB271" i="1"/>
  <c r="T271" i="1"/>
  <c r="U272" i="1"/>
  <c r="M272" i="1"/>
  <c r="E272" i="3" s="1"/>
  <c r="F272" i="3" s="1"/>
  <c r="K271" i="1"/>
  <c r="AC271" i="1" l="1"/>
  <c r="E271" i="2" s="1"/>
  <c r="F271" i="2" s="1"/>
  <c r="AB270" i="1"/>
  <c r="M271" i="1"/>
  <c r="E271" i="3" s="1"/>
  <c r="F271" i="3" s="1"/>
  <c r="K270" i="1"/>
  <c r="U271" i="1"/>
  <c r="T270" i="1"/>
  <c r="T269" i="1" l="1"/>
  <c r="U270" i="1"/>
  <c r="M270" i="1"/>
  <c r="E270" i="3" s="1"/>
  <c r="F270" i="3" s="1"/>
  <c r="K269" i="1"/>
  <c r="AC270" i="1"/>
  <c r="E270" i="2" s="1"/>
  <c r="F270" i="2" s="1"/>
  <c r="AB269" i="1"/>
  <c r="M269" i="1" l="1"/>
  <c r="E269" i="3" s="1"/>
  <c r="F269" i="3" s="1"/>
  <c r="K268" i="1"/>
  <c r="AC269" i="1"/>
  <c r="E269" i="2" s="1"/>
  <c r="F269" i="2" s="1"/>
  <c r="AB268" i="1"/>
  <c r="T268" i="1"/>
  <c r="U269" i="1"/>
  <c r="AC268" i="1" l="1"/>
  <c r="E268" i="2" s="1"/>
  <c r="F268" i="2" s="1"/>
  <c r="AB267" i="1"/>
  <c r="T267" i="1"/>
  <c r="U268" i="1"/>
  <c r="M268" i="1"/>
  <c r="E268" i="3" s="1"/>
  <c r="F268" i="3" s="1"/>
  <c r="K267" i="1"/>
  <c r="AC267" i="1" l="1"/>
  <c r="E267" i="2" s="1"/>
  <c r="F267" i="2" s="1"/>
  <c r="AB266" i="1"/>
  <c r="M267" i="1"/>
  <c r="E267" i="3" s="1"/>
  <c r="F267" i="3" s="1"/>
  <c r="K266" i="1"/>
  <c r="T266" i="1"/>
  <c r="U267" i="1"/>
  <c r="M266" i="1" l="1"/>
  <c r="E266" i="3" s="1"/>
  <c r="F266" i="3" s="1"/>
  <c r="K265" i="1"/>
  <c r="AC266" i="1"/>
  <c r="E266" i="2" s="1"/>
  <c r="F266" i="2" s="1"/>
  <c r="AB265" i="1"/>
  <c r="T265" i="1"/>
  <c r="U266" i="1"/>
  <c r="U265" i="1" l="1"/>
  <c r="T264" i="1"/>
  <c r="AC265" i="1"/>
  <c r="E265" i="2" s="1"/>
  <c r="F265" i="2" s="1"/>
  <c r="AB264" i="1"/>
  <c r="M265" i="1"/>
  <c r="E265" i="3" s="1"/>
  <c r="F265" i="3" s="1"/>
  <c r="K264" i="1"/>
  <c r="M264" i="1" l="1"/>
  <c r="E264" i="3" s="1"/>
  <c r="F264" i="3" s="1"/>
  <c r="K263" i="1"/>
  <c r="AC264" i="1"/>
  <c r="E264" i="2" s="1"/>
  <c r="F264" i="2" s="1"/>
  <c r="AB263" i="1"/>
  <c r="T263" i="1"/>
  <c r="U264" i="1"/>
  <c r="T262" i="1" l="1"/>
  <c r="U263" i="1"/>
  <c r="M263" i="1"/>
  <c r="E263" i="3" s="1"/>
  <c r="F263" i="3" s="1"/>
  <c r="K262" i="1"/>
  <c r="AC263" i="1"/>
  <c r="E263" i="2" s="1"/>
  <c r="F263" i="2" s="1"/>
  <c r="AB262" i="1"/>
  <c r="AC262" i="1" l="1"/>
  <c r="E262" i="2" s="1"/>
  <c r="F262" i="2" s="1"/>
  <c r="AB261" i="1"/>
  <c r="M262" i="1"/>
  <c r="E262" i="3" s="1"/>
  <c r="F262" i="3" s="1"/>
  <c r="K261" i="1"/>
  <c r="T261" i="1"/>
  <c r="U262" i="1"/>
  <c r="U261" i="1" l="1"/>
  <c r="T260" i="1"/>
  <c r="AC261" i="1"/>
  <c r="E261" i="2" s="1"/>
  <c r="F261" i="2" s="1"/>
  <c r="AB260" i="1"/>
  <c r="M261" i="1"/>
  <c r="E261" i="3" s="1"/>
  <c r="F261" i="3" s="1"/>
  <c r="K260" i="1"/>
  <c r="M260" i="1" l="1"/>
  <c r="E260" i="3" s="1"/>
  <c r="F260" i="3" s="1"/>
  <c r="K259" i="1"/>
  <c r="AC260" i="1"/>
  <c r="E260" i="2" s="1"/>
  <c r="F260" i="2" s="1"/>
  <c r="AB259" i="1"/>
  <c r="T259" i="1"/>
  <c r="U260" i="1"/>
  <c r="T258" i="1" l="1"/>
  <c r="U259" i="1"/>
  <c r="AC259" i="1"/>
  <c r="E259" i="2" s="1"/>
  <c r="F259" i="2" s="1"/>
  <c r="AB258" i="1"/>
  <c r="M259" i="1"/>
  <c r="E259" i="3" s="1"/>
  <c r="F259" i="3" s="1"/>
  <c r="K258" i="1"/>
  <c r="M258" i="1" l="1"/>
  <c r="E258" i="3" s="1"/>
  <c r="F258" i="3" s="1"/>
  <c r="K257" i="1"/>
  <c r="AC258" i="1"/>
  <c r="E258" i="2" s="1"/>
  <c r="F258" i="2" s="1"/>
  <c r="AB257" i="1"/>
  <c r="T257" i="1"/>
  <c r="U258" i="1"/>
  <c r="T256" i="1" l="1"/>
  <c r="U257" i="1"/>
  <c r="AC257" i="1"/>
  <c r="E257" i="2" s="1"/>
  <c r="F257" i="2" s="1"/>
  <c r="AB256" i="1"/>
  <c r="M257" i="1"/>
  <c r="E257" i="3" s="1"/>
  <c r="F257" i="3" s="1"/>
  <c r="K256" i="1"/>
  <c r="M256" i="1" l="1"/>
  <c r="E256" i="3" s="1"/>
  <c r="F256" i="3" s="1"/>
  <c r="K255" i="1"/>
  <c r="AC256" i="1"/>
  <c r="E256" i="2" s="1"/>
  <c r="F256" i="2" s="1"/>
  <c r="AB255" i="1"/>
  <c r="T255" i="1"/>
  <c r="U256" i="1"/>
  <c r="AC255" i="1" l="1"/>
  <c r="E255" i="2" s="1"/>
  <c r="F255" i="2" s="1"/>
  <c r="AB254" i="1"/>
  <c r="M255" i="1"/>
  <c r="E255" i="3" s="1"/>
  <c r="F255" i="3" s="1"/>
  <c r="K254" i="1"/>
  <c r="T254" i="1"/>
  <c r="U255" i="1"/>
  <c r="T253" i="1" l="1"/>
  <c r="U254" i="1"/>
  <c r="M254" i="1"/>
  <c r="E254" i="3" s="1"/>
  <c r="F254" i="3" s="1"/>
  <c r="K253" i="1"/>
  <c r="AC254" i="1"/>
  <c r="E254" i="2" s="1"/>
  <c r="F254" i="2" s="1"/>
  <c r="AB253" i="1"/>
  <c r="AC253" i="1" l="1"/>
  <c r="E253" i="2" s="1"/>
  <c r="F253" i="2" s="1"/>
  <c r="AB252" i="1"/>
  <c r="M253" i="1"/>
  <c r="E253" i="3" s="1"/>
  <c r="F253" i="3" s="1"/>
  <c r="K252" i="1"/>
  <c r="T252" i="1"/>
  <c r="U253" i="1"/>
  <c r="T251" i="1" l="1"/>
  <c r="U252" i="1"/>
  <c r="M252" i="1"/>
  <c r="E252" i="3" s="1"/>
  <c r="F252" i="3" s="1"/>
  <c r="K251" i="1"/>
  <c r="AC252" i="1"/>
  <c r="E252" i="2" s="1"/>
  <c r="F252" i="2" s="1"/>
  <c r="AB251" i="1"/>
  <c r="AC251" i="1" l="1"/>
  <c r="E251" i="2" s="1"/>
  <c r="F251" i="2" s="1"/>
  <c r="AB250" i="1"/>
  <c r="M251" i="1"/>
  <c r="E251" i="3" s="1"/>
  <c r="F251" i="3" s="1"/>
  <c r="K250" i="1"/>
  <c r="U251" i="1"/>
  <c r="T250" i="1"/>
  <c r="T249" i="1" l="1"/>
  <c r="U250" i="1"/>
  <c r="M250" i="1"/>
  <c r="E250" i="3" s="1"/>
  <c r="F250" i="3" s="1"/>
  <c r="K249" i="1"/>
  <c r="AC250" i="1"/>
  <c r="E250" i="2" s="1"/>
  <c r="F250" i="2" s="1"/>
  <c r="AB249" i="1"/>
  <c r="AC249" i="1" l="1"/>
  <c r="E249" i="2" s="1"/>
  <c r="F249" i="2" s="1"/>
  <c r="AB248" i="1"/>
  <c r="M249" i="1"/>
  <c r="E249" i="3" s="1"/>
  <c r="F249" i="3" s="1"/>
  <c r="K248" i="1"/>
  <c r="T248" i="1"/>
  <c r="U249" i="1"/>
  <c r="T247" i="1" l="1"/>
  <c r="U248" i="1"/>
  <c r="M248" i="1"/>
  <c r="E248" i="3" s="1"/>
  <c r="F248" i="3" s="1"/>
  <c r="K247" i="1"/>
  <c r="AC248" i="1"/>
  <c r="E248" i="2" s="1"/>
  <c r="F248" i="2" s="1"/>
  <c r="AB247" i="1"/>
  <c r="M247" i="1" l="1"/>
  <c r="E247" i="3" s="1"/>
  <c r="F247" i="3" s="1"/>
  <c r="K246" i="1"/>
  <c r="AC247" i="1"/>
  <c r="E247" i="2" s="1"/>
  <c r="F247" i="2" s="1"/>
  <c r="AB246" i="1"/>
  <c r="T246" i="1"/>
  <c r="U247" i="1"/>
  <c r="T245" i="1" l="1"/>
  <c r="U246" i="1"/>
  <c r="AC246" i="1"/>
  <c r="E246" i="2" s="1"/>
  <c r="F246" i="2" s="1"/>
  <c r="AB245" i="1"/>
  <c r="M246" i="1"/>
  <c r="E246" i="3" s="1"/>
  <c r="F246" i="3" s="1"/>
  <c r="K245" i="1"/>
  <c r="AC245" i="1" l="1"/>
  <c r="E245" i="2" s="1"/>
  <c r="F245" i="2" s="1"/>
  <c r="AB244" i="1"/>
  <c r="M245" i="1"/>
  <c r="E245" i="3" s="1"/>
  <c r="F245" i="3" s="1"/>
  <c r="K244" i="1"/>
  <c r="T244" i="1"/>
  <c r="U245" i="1"/>
  <c r="T243" i="1" l="1"/>
  <c r="U244" i="1"/>
  <c r="M244" i="1"/>
  <c r="E244" i="3" s="1"/>
  <c r="F244" i="3" s="1"/>
  <c r="K243" i="1"/>
  <c r="AC244" i="1"/>
  <c r="E244" i="2" s="1"/>
  <c r="F244" i="2" s="1"/>
  <c r="AB243" i="1"/>
  <c r="AC243" i="1" l="1"/>
  <c r="E243" i="2" s="1"/>
  <c r="F243" i="2" s="1"/>
  <c r="AB242" i="1"/>
  <c r="M243" i="1"/>
  <c r="E243" i="3" s="1"/>
  <c r="F243" i="3" s="1"/>
  <c r="K242" i="1"/>
  <c r="T242" i="1"/>
  <c r="U243" i="1"/>
  <c r="T241" i="1" l="1"/>
  <c r="U242" i="1"/>
  <c r="AC242" i="1"/>
  <c r="E242" i="2" s="1"/>
  <c r="F242" i="2" s="1"/>
  <c r="AB241" i="1"/>
  <c r="M242" i="1"/>
  <c r="E242" i="3" s="1"/>
  <c r="F242" i="3" s="1"/>
  <c r="K241" i="1"/>
  <c r="M241" i="1" l="1"/>
  <c r="E241" i="3" s="1"/>
  <c r="F241" i="3" s="1"/>
  <c r="K240" i="1"/>
  <c r="AC241" i="1"/>
  <c r="E241" i="2" s="1"/>
  <c r="F241" i="2" s="1"/>
  <c r="AB240" i="1"/>
  <c r="U241" i="1"/>
  <c r="T240" i="1"/>
  <c r="T239" i="1" l="1"/>
  <c r="U240" i="1"/>
  <c r="M240" i="1"/>
  <c r="E240" i="3" s="1"/>
  <c r="F240" i="3" s="1"/>
  <c r="K239" i="1"/>
  <c r="AC240" i="1"/>
  <c r="E240" i="2" s="1"/>
  <c r="F240" i="2" s="1"/>
  <c r="AB239" i="1"/>
  <c r="M239" i="1" l="1"/>
  <c r="E239" i="3" s="1"/>
  <c r="F239" i="3" s="1"/>
  <c r="K238" i="1"/>
  <c r="AC239" i="1"/>
  <c r="E239" i="2" s="1"/>
  <c r="F239" i="2" s="1"/>
  <c r="AB238" i="1"/>
  <c r="T238" i="1"/>
  <c r="U239" i="1"/>
  <c r="M238" i="1" l="1"/>
  <c r="E238" i="3" s="1"/>
  <c r="F238" i="3" s="1"/>
  <c r="K237" i="1"/>
  <c r="T237" i="1"/>
  <c r="U238" i="1"/>
  <c r="AC238" i="1"/>
  <c r="E238" i="2" s="1"/>
  <c r="F238" i="2" s="1"/>
  <c r="AB237" i="1"/>
  <c r="AC237" i="1" l="1"/>
  <c r="E237" i="2" s="1"/>
  <c r="F237" i="2" s="1"/>
  <c r="AB236" i="1"/>
  <c r="M237" i="1"/>
  <c r="E237" i="3" s="1"/>
  <c r="F237" i="3" s="1"/>
  <c r="K236" i="1"/>
  <c r="T236" i="1"/>
  <c r="U237" i="1"/>
  <c r="U236" i="1" l="1"/>
  <c r="T235" i="1"/>
  <c r="M236" i="1"/>
  <c r="E236" i="3" s="1"/>
  <c r="F236" i="3" s="1"/>
  <c r="K235" i="1"/>
  <c r="AC236" i="1"/>
  <c r="E236" i="2" s="1"/>
  <c r="F236" i="2" s="1"/>
  <c r="AB235" i="1"/>
  <c r="AC235" i="1" l="1"/>
  <c r="E235" i="2" s="1"/>
  <c r="F235" i="2" s="1"/>
  <c r="AB234" i="1"/>
  <c r="M235" i="1"/>
  <c r="E235" i="3" s="1"/>
  <c r="F235" i="3" s="1"/>
  <c r="K234" i="1"/>
  <c r="T234" i="1"/>
  <c r="U235" i="1"/>
  <c r="T233" i="1" l="1"/>
  <c r="U234" i="1"/>
  <c r="M234" i="1"/>
  <c r="E234" i="3" s="1"/>
  <c r="F234" i="3" s="1"/>
  <c r="K233" i="1"/>
  <c r="AC234" i="1"/>
  <c r="E234" i="2" s="1"/>
  <c r="F234" i="2" s="1"/>
  <c r="AB233" i="1"/>
  <c r="AC233" i="1" l="1"/>
  <c r="E233" i="2" s="1"/>
  <c r="F233" i="2" s="1"/>
  <c r="AB232" i="1"/>
  <c r="M233" i="1"/>
  <c r="E233" i="3" s="1"/>
  <c r="F233" i="3" s="1"/>
  <c r="K232" i="1"/>
  <c r="T232" i="1"/>
  <c r="U233" i="1"/>
  <c r="T231" i="1" l="1"/>
  <c r="U232" i="1"/>
  <c r="M232" i="1"/>
  <c r="E232" i="3" s="1"/>
  <c r="F232" i="3" s="1"/>
  <c r="K231" i="1"/>
  <c r="AC232" i="1"/>
  <c r="E232" i="2" s="1"/>
  <c r="F232" i="2" s="1"/>
  <c r="AB231" i="1"/>
  <c r="AC231" i="1" l="1"/>
  <c r="E231" i="2" s="1"/>
  <c r="F231" i="2" s="1"/>
  <c r="AB230" i="1"/>
  <c r="M231" i="1"/>
  <c r="E231" i="3" s="1"/>
  <c r="F231" i="3" s="1"/>
  <c r="K230" i="1"/>
  <c r="U231" i="1"/>
  <c r="T230" i="1"/>
  <c r="T229" i="1" l="1"/>
  <c r="U230" i="1"/>
  <c r="M230" i="1"/>
  <c r="E230" i="3" s="1"/>
  <c r="F230" i="3" s="1"/>
  <c r="K229" i="1"/>
  <c r="AC230" i="1"/>
  <c r="E230" i="2" s="1"/>
  <c r="F230" i="2" s="1"/>
  <c r="AB229" i="1"/>
  <c r="AC229" i="1" l="1"/>
  <c r="E229" i="2" s="1"/>
  <c r="F229" i="2" s="1"/>
  <c r="AB228" i="1"/>
  <c r="M229" i="1"/>
  <c r="E229" i="3" s="1"/>
  <c r="F229" i="3" s="1"/>
  <c r="K228" i="1"/>
  <c r="T228" i="1"/>
  <c r="U229" i="1"/>
  <c r="T227" i="1" l="1"/>
  <c r="U228" i="1"/>
  <c r="M228" i="1"/>
  <c r="E228" i="3" s="1"/>
  <c r="F228" i="3" s="1"/>
  <c r="K227" i="1"/>
  <c r="AC228" i="1"/>
  <c r="E228" i="2" s="1"/>
  <c r="F228" i="2" s="1"/>
  <c r="AB227" i="1"/>
  <c r="AC227" i="1" l="1"/>
  <c r="E227" i="2" s="1"/>
  <c r="F227" i="2" s="1"/>
  <c r="AB226" i="1"/>
  <c r="M227" i="1"/>
  <c r="E227" i="3" s="1"/>
  <c r="F227" i="3" s="1"/>
  <c r="K226" i="1"/>
  <c r="T226" i="1"/>
  <c r="U227" i="1"/>
  <c r="M226" i="1" l="1"/>
  <c r="E226" i="3" s="1"/>
  <c r="F226" i="3" s="1"/>
  <c r="K225" i="1"/>
  <c r="T225" i="1"/>
  <c r="U226" i="1"/>
  <c r="AC226" i="1"/>
  <c r="E226" i="2" s="1"/>
  <c r="F226" i="2" s="1"/>
  <c r="AB225" i="1"/>
  <c r="T224" i="1" l="1"/>
  <c r="U225" i="1"/>
  <c r="M225" i="1"/>
  <c r="E225" i="3" s="1"/>
  <c r="F225" i="3" s="1"/>
  <c r="K224" i="1"/>
  <c r="AC225" i="1"/>
  <c r="E225" i="2" s="1"/>
  <c r="F225" i="2" s="1"/>
  <c r="AB224" i="1"/>
  <c r="AC224" i="1" l="1"/>
  <c r="E224" i="2" s="1"/>
  <c r="F224" i="2" s="1"/>
  <c r="AB223" i="1"/>
  <c r="M224" i="1"/>
  <c r="E224" i="3" s="1"/>
  <c r="F224" i="3" s="1"/>
  <c r="K223" i="1"/>
  <c r="T223" i="1"/>
  <c r="U224" i="1"/>
  <c r="AC223" i="1" l="1"/>
  <c r="E223" i="2" s="1"/>
  <c r="F223" i="2" s="1"/>
  <c r="AB222" i="1"/>
  <c r="T222" i="1"/>
  <c r="U223" i="1"/>
  <c r="M223" i="1"/>
  <c r="E223" i="3" s="1"/>
  <c r="F223" i="3" s="1"/>
  <c r="K222" i="1"/>
  <c r="M222" i="1" l="1"/>
  <c r="E222" i="3" s="1"/>
  <c r="F222" i="3" s="1"/>
  <c r="K221" i="1"/>
  <c r="U222" i="1"/>
  <c r="T221" i="1"/>
  <c r="AC222" i="1"/>
  <c r="E222" i="2" s="1"/>
  <c r="F222" i="2" s="1"/>
  <c r="AB221" i="1"/>
  <c r="AC221" i="1" l="1"/>
  <c r="E221" i="2" s="1"/>
  <c r="F221" i="2" s="1"/>
  <c r="AB220" i="1"/>
  <c r="U221" i="1"/>
  <c r="T220" i="1"/>
  <c r="M221" i="1"/>
  <c r="E221" i="3" s="1"/>
  <c r="F221" i="3" s="1"/>
  <c r="K220" i="1"/>
  <c r="M220" i="1" l="1"/>
  <c r="E220" i="3" s="1"/>
  <c r="F220" i="3" s="1"/>
  <c r="K219" i="1"/>
  <c r="T219" i="1"/>
  <c r="U220" i="1"/>
  <c r="AC220" i="1"/>
  <c r="E220" i="2" s="1"/>
  <c r="F220" i="2" s="1"/>
  <c r="AB219" i="1"/>
  <c r="AC219" i="1" l="1"/>
  <c r="E219" i="2" s="1"/>
  <c r="F219" i="2" s="1"/>
  <c r="AB218" i="1"/>
  <c r="T218" i="1"/>
  <c r="U219" i="1"/>
  <c r="M219" i="1"/>
  <c r="E219" i="3" s="1"/>
  <c r="F219" i="3" s="1"/>
  <c r="K218" i="1"/>
  <c r="T217" i="1" l="1"/>
  <c r="U218" i="1"/>
  <c r="AC218" i="1"/>
  <c r="E218" i="2" s="1"/>
  <c r="F218" i="2" s="1"/>
  <c r="AB217" i="1"/>
  <c r="M218" i="1"/>
  <c r="E218" i="3" s="1"/>
  <c r="F218" i="3" s="1"/>
  <c r="K217" i="1"/>
  <c r="M217" i="1" l="1"/>
  <c r="E217" i="3" s="1"/>
  <c r="F217" i="3" s="1"/>
  <c r="K216" i="1"/>
  <c r="AC217" i="1"/>
  <c r="E217" i="2" s="1"/>
  <c r="F217" i="2" s="1"/>
  <c r="AB216" i="1"/>
  <c r="T216" i="1"/>
  <c r="U217" i="1"/>
  <c r="T215" i="1" l="1"/>
  <c r="U216" i="1"/>
  <c r="M216" i="1"/>
  <c r="E216" i="3" s="1"/>
  <c r="F216" i="3" s="1"/>
  <c r="K215" i="1"/>
  <c r="AC216" i="1"/>
  <c r="E216" i="2" s="1"/>
  <c r="F216" i="2" s="1"/>
  <c r="AB215" i="1"/>
  <c r="AC215" i="1" l="1"/>
  <c r="E215" i="2" s="1"/>
  <c r="F215" i="2" s="1"/>
  <c r="AB214" i="1"/>
  <c r="M215" i="1"/>
  <c r="E215" i="3" s="1"/>
  <c r="F215" i="3" s="1"/>
  <c r="K214" i="1"/>
  <c r="T214" i="1"/>
  <c r="U215" i="1"/>
  <c r="T213" i="1" l="1"/>
  <c r="U214" i="1"/>
  <c r="M214" i="1"/>
  <c r="E214" i="3" s="1"/>
  <c r="F214" i="3" s="1"/>
  <c r="K213" i="1"/>
  <c r="AC214" i="1"/>
  <c r="E214" i="2" s="1"/>
  <c r="F214" i="2" s="1"/>
  <c r="AB213" i="1"/>
  <c r="AC213" i="1" l="1"/>
  <c r="E213" i="2" s="1"/>
  <c r="F213" i="2" s="1"/>
  <c r="AB212" i="1"/>
  <c r="M213" i="1"/>
  <c r="E213" i="3" s="1"/>
  <c r="F213" i="3" s="1"/>
  <c r="K212" i="1"/>
  <c r="T212" i="1"/>
  <c r="U213" i="1"/>
  <c r="T211" i="1" l="1"/>
  <c r="U212" i="1"/>
  <c r="M212" i="1"/>
  <c r="E212" i="3" s="1"/>
  <c r="F212" i="3" s="1"/>
  <c r="K211" i="1"/>
  <c r="AC212" i="1"/>
  <c r="E212" i="2" s="1"/>
  <c r="F212" i="2" s="1"/>
  <c r="AB211" i="1"/>
  <c r="AC211" i="1" l="1"/>
  <c r="E211" i="2" s="1"/>
  <c r="F211" i="2" s="1"/>
  <c r="AB210" i="1"/>
  <c r="M211" i="1"/>
  <c r="E211" i="3" s="1"/>
  <c r="F211" i="3" s="1"/>
  <c r="K210" i="1"/>
  <c r="U211" i="1"/>
  <c r="T210" i="1"/>
  <c r="T209" i="1" l="1"/>
  <c r="U210" i="1"/>
  <c r="M210" i="1"/>
  <c r="E210" i="3" s="1"/>
  <c r="F210" i="3" s="1"/>
  <c r="K209" i="1"/>
  <c r="AC210" i="1"/>
  <c r="E210" i="2" s="1"/>
  <c r="F210" i="2" s="1"/>
  <c r="AB209" i="1"/>
  <c r="AC209" i="1" l="1"/>
  <c r="E209" i="2" s="1"/>
  <c r="F209" i="2" s="1"/>
  <c r="AB208" i="1"/>
  <c r="M209" i="1"/>
  <c r="E209" i="3" s="1"/>
  <c r="F209" i="3" s="1"/>
  <c r="K208" i="1"/>
  <c r="T208" i="1"/>
  <c r="U209" i="1"/>
  <c r="U208" i="1" l="1"/>
  <c r="T207" i="1"/>
  <c r="AC208" i="1"/>
  <c r="E208" i="2" s="1"/>
  <c r="F208" i="2" s="1"/>
  <c r="AB207" i="1"/>
  <c r="M208" i="1"/>
  <c r="E208" i="3" s="1"/>
  <c r="F208" i="3" s="1"/>
  <c r="K207" i="1"/>
  <c r="M207" i="1" l="1"/>
  <c r="E207" i="3" s="1"/>
  <c r="F207" i="3" s="1"/>
  <c r="K206" i="1"/>
  <c r="AC207" i="1"/>
  <c r="E207" i="2" s="1"/>
  <c r="F207" i="2" s="1"/>
  <c r="AB206" i="1"/>
  <c r="T206" i="1"/>
  <c r="U207" i="1"/>
  <c r="T205" i="1" l="1"/>
  <c r="U206" i="1"/>
  <c r="AC206" i="1"/>
  <c r="E206" i="2" s="1"/>
  <c r="F206" i="2" s="1"/>
  <c r="AB205" i="1"/>
  <c r="M206" i="1"/>
  <c r="E206" i="3" s="1"/>
  <c r="F206" i="3" s="1"/>
  <c r="K205" i="1"/>
  <c r="M205" i="1" l="1"/>
  <c r="E205" i="3" s="1"/>
  <c r="F205" i="3" s="1"/>
  <c r="K204" i="1"/>
  <c r="AC205" i="1"/>
  <c r="E205" i="2" s="1"/>
  <c r="F205" i="2" s="1"/>
  <c r="AB204" i="1"/>
  <c r="T204" i="1"/>
  <c r="U205" i="1"/>
  <c r="T203" i="1" l="1"/>
  <c r="U204" i="1"/>
  <c r="AC204" i="1"/>
  <c r="E204" i="2" s="1"/>
  <c r="F204" i="2" s="1"/>
  <c r="AB203" i="1"/>
  <c r="M204" i="1"/>
  <c r="E204" i="3" s="1"/>
  <c r="F204" i="3" s="1"/>
  <c r="K203" i="1"/>
  <c r="M203" i="1" l="1"/>
  <c r="E203" i="3" s="1"/>
  <c r="F203" i="3" s="1"/>
  <c r="K202" i="1"/>
  <c r="AC203" i="1"/>
  <c r="E203" i="2" s="1"/>
  <c r="F203" i="2" s="1"/>
  <c r="AB202" i="1"/>
  <c r="T202" i="1"/>
  <c r="U203" i="1"/>
  <c r="AC202" i="1" l="1"/>
  <c r="E202" i="2" s="1"/>
  <c r="F202" i="2" s="1"/>
  <c r="AB201" i="1"/>
  <c r="T201" i="1"/>
  <c r="U202" i="1"/>
  <c r="M202" i="1"/>
  <c r="E202" i="3" s="1"/>
  <c r="F202" i="3" s="1"/>
  <c r="K201" i="1"/>
  <c r="M201" i="1" l="1"/>
  <c r="E201" i="3" s="1"/>
  <c r="F201" i="3" s="1"/>
  <c r="K200" i="1"/>
  <c r="U201" i="1"/>
  <c r="T200" i="1"/>
  <c r="AC201" i="1"/>
  <c r="E201" i="2" s="1"/>
  <c r="F201" i="2" s="1"/>
  <c r="AB200" i="1"/>
  <c r="AC200" i="1" l="1"/>
  <c r="E200" i="2" s="1"/>
  <c r="F200" i="2" s="1"/>
  <c r="AB199" i="1"/>
  <c r="T199" i="1"/>
  <c r="U200" i="1"/>
  <c r="M200" i="1"/>
  <c r="E200" i="3" s="1"/>
  <c r="F200" i="3" s="1"/>
  <c r="K199" i="1"/>
  <c r="M199" i="1" l="1"/>
  <c r="E199" i="3" s="1"/>
  <c r="F199" i="3" s="1"/>
  <c r="K198" i="1"/>
  <c r="AC199" i="1"/>
  <c r="E199" i="2" s="1"/>
  <c r="F199" i="2" s="1"/>
  <c r="AB198" i="1"/>
  <c r="T198" i="1"/>
  <c r="U199" i="1"/>
  <c r="T197" i="1" l="1"/>
  <c r="U198" i="1"/>
  <c r="AC198" i="1"/>
  <c r="E198" i="2" s="1"/>
  <c r="F198" i="2" s="1"/>
  <c r="AB197" i="1"/>
  <c r="M198" i="1"/>
  <c r="E198" i="3" s="1"/>
  <c r="F198" i="3" s="1"/>
  <c r="K197" i="1"/>
  <c r="M197" i="1" l="1"/>
  <c r="E197" i="3" s="1"/>
  <c r="F197" i="3" s="1"/>
  <c r="K196" i="1"/>
  <c r="AC197" i="1"/>
  <c r="E197" i="2" s="1"/>
  <c r="F197" i="2" s="1"/>
  <c r="AB196" i="1"/>
  <c r="T196" i="1"/>
  <c r="U197" i="1"/>
  <c r="T195" i="1" l="1"/>
  <c r="U196" i="1"/>
  <c r="M196" i="1"/>
  <c r="E196" i="3" s="1"/>
  <c r="F196" i="3" s="1"/>
  <c r="K195" i="1"/>
  <c r="AC196" i="1"/>
  <c r="E196" i="2" s="1"/>
  <c r="F196" i="2" s="1"/>
  <c r="AB195" i="1"/>
  <c r="AC195" i="1" l="1"/>
  <c r="E195" i="2" s="1"/>
  <c r="F195" i="2" s="1"/>
  <c r="AB194" i="1"/>
  <c r="M195" i="1"/>
  <c r="E195" i="3" s="1"/>
  <c r="F195" i="3" s="1"/>
  <c r="K194" i="1"/>
  <c r="T194" i="1"/>
  <c r="U195" i="1"/>
  <c r="T193" i="1" l="1"/>
  <c r="U194" i="1"/>
  <c r="M194" i="1"/>
  <c r="E194" i="3" s="1"/>
  <c r="F194" i="3" s="1"/>
  <c r="K193" i="1"/>
  <c r="AC194" i="1"/>
  <c r="E194" i="2" s="1"/>
  <c r="F194" i="2" s="1"/>
  <c r="AB193" i="1"/>
  <c r="AC193" i="1" l="1"/>
  <c r="E193" i="2" s="1"/>
  <c r="F193" i="2" s="1"/>
  <c r="AB192" i="1"/>
  <c r="M193" i="1"/>
  <c r="E193" i="3" s="1"/>
  <c r="F193" i="3" s="1"/>
  <c r="K192" i="1"/>
  <c r="U193" i="1"/>
  <c r="T192" i="1"/>
  <c r="T191" i="1" l="1"/>
  <c r="U192" i="1"/>
  <c r="M192" i="1"/>
  <c r="E192" i="3" s="1"/>
  <c r="F192" i="3" s="1"/>
  <c r="K191" i="1"/>
  <c r="AC192" i="1"/>
  <c r="E192" i="2" s="1"/>
  <c r="F192" i="2" s="1"/>
  <c r="AB191" i="1"/>
  <c r="M191" i="1" l="1"/>
  <c r="E191" i="3" s="1"/>
  <c r="F191" i="3" s="1"/>
  <c r="K190" i="1"/>
  <c r="AC191" i="1"/>
  <c r="E191" i="2" s="1"/>
  <c r="F191" i="2" s="1"/>
  <c r="AB190" i="1"/>
  <c r="U191" i="1"/>
  <c r="T190" i="1"/>
  <c r="M190" i="1" l="1"/>
  <c r="E190" i="3" s="1"/>
  <c r="F190" i="3" s="1"/>
  <c r="K189" i="1"/>
  <c r="T189" i="1"/>
  <c r="U190" i="1"/>
  <c r="AC190" i="1"/>
  <c r="E190" i="2" s="1"/>
  <c r="F190" i="2" s="1"/>
  <c r="AB189" i="1"/>
  <c r="T188" i="1" l="1"/>
  <c r="U189" i="1"/>
  <c r="M189" i="1"/>
  <c r="E189" i="3" s="1"/>
  <c r="F189" i="3" s="1"/>
  <c r="K188" i="1"/>
  <c r="AC189" i="1"/>
  <c r="E189" i="2" s="1"/>
  <c r="F189" i="2" s="1"/>
  <c r="AB188" i="1"/>
  <c r="AC188" i="1" l="1"/>
  <c r="E188" i="2" s="1"/>
  <c r="F188" i="2" s="1"/>
  <c r="AB187" i="1"/>
  <c r="M188" i="1"/>
  <c r="E188" i="3" s="1"/>
  <c r="F188" i="3" s="1"/>
  <c r="K187" i="1"/>
  <c r="T187" i="1"/>
  <c r="U188" i="1"/>
  <c r="M187" i="1" l="1"/>
  <c r="E187" i="3" s="1"/>
  <c r="F187" i="3" s="1"/>
  <c r="K186" i="1"/>
  <c r="AC187" i="1"/>
  <c r="E187" i="2" s="1"/>
  <c r="F187" i="2" s="1"/>
  <c r="AB186" i="1"/>
  <c r="T186" i="1"/>
  <c r="U187" i="1"/>
  <c r="T185" i="1" l="1"/>
  <c r="U186" i="1"/>
  <c r="AC186" i="1"/>
  <c r="E186" i="2" s="1"/>
  <c r="F186" i="2" s="1"/>
  <c r="AB185" i="1"/>
  <c r="M186" i="1"/>
  <c r="E186" i="3" s="1"/>
  <c r="F186" i="3" s="1"/>
  <c r="K185" i="1"/>
  <c r="M185" i="1" l="1"/>
  <c r="E185" i="3" s="1"/>
  <c r="F185" i="3" s="1"/>
  <c r="K184" i="1"/>
  <c r="AC185" i="1"/>
  <c r="E185" i="2" s="1"/>
  <c r="F185" i="2" s="1"/>
  <c r="AB184" i="1"/>
  <c r="T184" i="1"/>
  <c r="U185" i="1"/>
  <c r="T183" i="1" l="1"/>
  <c r="U184" i="1"/>
  <c r="AC184" i="1"/>
  <c r="E184" i="2" s="1"/>
  <c r="F184" i="2" s="1"/>
  <c r="AB183" i="1"/>
  <c r="M184" i="1"/>
  <c r="E184" i="3" s="1"/>
  <c r="F184" i="3" s="1"/>
  <c r="K183" i="1"/>
  <c r="AC183" i="1" l="1"/>
  <c r="E183" i="2" s="1"/>
  <c r="F183" i="2" s="1"/>
  <c r="AB182" i="1"/>
  <c r="M183" i="1"/>
  <c r="E183" i="3" s="1"/>
  <c r="F183" i="3" s="1"/>
  <c r="K182" i="1"/>
  <c r="T182" i="1"/>
  <c r="U183" i="1"/>
  <c r="T181" i="1" l="1"/>
  <c r="U182" i="1"/>
  <c r="AC182" i="1"/>
  <c r="E182" i="2" s="1"/>
  <c r="F182" i="2" s="1"/>
  <c r="AB181" i="1"/>
  <c r="M182" i="1"/>
  <c r="E182" i="3" s="1"/>
  <c r="F182" i="3" s="1"/>
  <c r="K181" i="1"/>
  <c r="M181" i="1" l="1"/>
  <c r="E181" i="3" s="1"/>
  <c r="F181" i="3" s="1"/>
  <c r="K180" i="1"/>
  <c r="AC181" i="1"/>
  <c r="E181" i="2" s="1"/>
  <c r="F181" i="2" s="1"/>
  <c r="AB180" i="1"/>
  <c r="U181" i="1"/>
  <c r="T180" i="1"/>
  <c r="T179" i="1" l="1"/>
  <c r="U180" i="1"/>
  <c r="AC180" i="1"/>
  <c r="E180" i="2" s="1"/>
  <c r="F180" i="2" s="1"/>
  <c r="AB179" i="1"/>
  <c r="M180" i="1"/>
  <c r="E180" i="3" s="1"/>
  <c r="F180" i="3" s="1"/>
  <c r="K179" i="1"/>
  <c r="M179" i="1" l="1"/>
  <c r="E179" i="3" s="1"/>
  <c r="F179" i="3" s="1"/>
  <c r="K178" i="1"/>
  <c r="AC179" i="1"/>
  <c r="E179" i="2" s="1"/>
  <c r="F179" i="2" s="1"/>
  <c r="AB178" i="1"/>
  <c r="U179" i="1"/>
  <c r="T178" i="1"/>
  <c r="T177" i="1" l="1"/>
  <c r="U178" i="1"/>
  <c r="AC178" i="1"/>
  <c r="E178" i="2" s="1"/>
  <c r="F178" i="2" s="1"/>
  <c r="AB177" i="1"/>
  <c r="M178" i="1"/>
  <c r="E178" i="3" s="1"/>
  <c r="F178" i="3" s="1"/>
  <c r="K177" i="1"/>
  <c r="M177" i="1" l="1"/>
  <c r="E177" i="3" s="1"/>
  <c r="F177" i="3" s="1"/>
  <c r="K176" i="1"/>
  <c r="AC177" i="1"/>
  <c r="E177" i="2" s="1"/>
  <c r="F177" i="2" s="1"/>
  <c r="AB176" i="1"/>
  <c r="T176" i="1"/>
  <c r="U177" i="1"/>
  <c r="T175" i="1" l="1"/>
  <c r="U176" i="1"/>
  <c r="AC176" i="1"/>
  <c r="E176" i="2" s="1"/>
  <c r="F176" i="2" s="1"/>
  <c r="AB175" i="1"/>
  <c r="M176" i="1"/>
  <c r="E176" i="3" s="1"/>
  <c r="F176" i="3" s="1"/>
  <c r="K175" i="1"/>
  <c r="M175" i="1" l="1"/>
  <c r="E175" i="3" s="1"/>
  <c r="F175" i="3" s="1"/>
  <c r="K174" i="1"/>
  <c r="AC175" i="1"/>
  <c r="E175" i="2" s="1"/>
  <c r="F175" i="2" s="1"/>
  <c r="AB174" i="1"/>
  <c r="T174" i="1"/>
  <c r="U175" i="1"/>
  <c r="T173" i="1" l="1"/>
  <c r="U174" i="1"/>
  <c r="AC174" i="1"/>
  <c r="E174" i="2" s="1"/>
  <c r="F174" i="2" s="1"/>
  <c r="AB173" i="1"/>
  <c r="M174" i="1"/>
  <c r="E174" i="3" s="1"/>
  <c r="F174" i="3" s="1"/>
  <c r="K173" i="1"/>
  <c r="M173" i="1" l="1"/>
  <c r="E173" i="3" s="1"/>
  <c r="F173" i="3" s="1"/>
  <c r="K172" i="1"/>
  <c r="AC173" i="1"/>
  <c r="E173" i="2" s="1"/>
  <c r="F173" i="2" s="1"/>
  <c r="AB172" i="1"/>
  <c r="T172" i="1"/>
  <c r="U173" i="1"/>
  <c r="M172" i="1" l="1"/>
  <c r="E172" i="3" s="1"/>
  <c r="F172" i="3" s="1"/>
  <c r="K171" i="1"/>
  <c r="T171" i="1"/>
  <c r="U172" i="1"/>
  <c r="AC172" i="1"/>
  <c r="E172" i="2" s="1"/>
  <c r="F172" i="2" s="1"/>
  <c r="AB171" i="1"/>
  <c r="AC171" i="1" l="1"/>
  <c r="E171" i="2" s="1"/>
  <c r="F171" i="2" s="1"/>
  <c r="AB170" i="1"/>
  <c r="U171" i="1"/>
  <c r="T170" i="1"/>
  <c r="M171" i="1"/>
  <c r="E171" i="3" s="1"/>
  <c r="F171" i="3" s="1"/>
  <c r="K170" i="1"/>
  <c r="M170" i="1" l="1"/>
  <c r="E170" i="3" s="1"/>
  <c r="F170" i="3" s="1"/>
  <c r="K169" i="1"/>
  <c r="T169" i="1"/>
  <c r="U170" i="1"/>
  <c r="AC170" i="1"/>
  <c r="E170" i="2" s="1"/>
  <c r="F170" i="2" s="1"/>
  <c r="AB169" i="1"/>
  <c r="T168" i="1" l="1"/>
  <c r="U169" i="1"/>
  <c r="M169" i="1"/>
  <c r="E169" i="3" s="1"/>
  <c r="F169" i="3" s="1"/>
  <c r="K168" i="1"/>
  <c r="AC169" i="1"/>
  <c r="E169" i="2" s="1"/>
  <c r="F169" i="2" s="1"/>
  <c r="AB168" i="1"/>
  <c r="AC168" i="1" l="1"/>
  <c r="E168" i="2" s="1"/>
  <c r="F168" i="2" s="1"/>
  <c r="AB167" i="1"/>
  <c r="M168" i="1"/>
  <c r="E168" i="3" s="1"/>
  <c r="F168" i="3" s="1"/>
  <c r="K167" i="1"/>
  <c r="T167" i="1"/>
  <c r="U168" i="1"/>
  <c r="T166" i="1" l="1"/>
  <c r="U167" i="1"/>
  <c r="M167" i="1"/>
  <c r="E167" i="3" s="1"/>
  <c r="F167" i="3" s="1"/>
  <c r="K166" i="1"/>
  <c r="AC167" i="1"/>
  <c r="E167" i="2" s="1"/>
  <c r="F167" i="2" s="1"/>
  <c r="AB166" i="1"/>
  <c r="M166" i="1" l="1"/>
  <c r="E166" i="3" s="1"/>
  <c r="F166" i="3" s="1"/>
  <c r="K165" i="1"/>
  <c r="AC166" i="1"/>
  <c r="E166" i="2" s="1"/>
  <c r="F166" i="2" s="1"/>
  <c r="AB165" i="1"/>
  <c r="T165" i="1"/>
  <c r="U166" i="1"/>
  <c r="U165" i="1" l="1"/>
  <c r="T164" i="1"/>
  <c r="AC165" i="1"/>
  <c r="E165" i="2" s="1"/>
  <c r="F165" i="2" s="1"/>
  <c r="AB164" i="1"/>
  <c r="M165" i="1"/>
  <c r="E165" i="3" s="1"/>
  <c r="F165" i="3" s="1"/>
  <c r="K164" i="1"/>
  <c r="AC164" i="1" l="1"/>
  <c r="E164" i="2" s="1"/>
  <c r="F164" i="2" s="1"/>
  <c r="AB163" i="1"/>
  <c r="T163" i="1"/>
  <c r="U164" i="1"/>
  <c r="M164" i="1"/>
  <c r="E164" i="3" s="1"/>
  <c r="F164" i="3" s="1"/>
  <c r="K163" i="1"/>
  <c r="M163" i="1" l="1"/>
  <c r="E163" i="3" s="1"/>
  <c r="F163" i="3" s="1"/>
  <c r="K162" i="1"/>
  <c r="T162" i="1"/>
  <c r="U163" i="1"/>
  <c r="AC163" i="1"/>
  <c r="E163" i="2" s="1"/>
  <c r="F163" i="2" s="1"/>
  <c r="AB162" i="1"/>
  <c r="AC162" i="1" l="1"/>
  <c r="E162" i="2" s="1"/>
  <c r="F162" i="2" s="1"/>
  <c r="AB161" i="1"/>
  <c r="T161" i="1"/>
  <c r="U162" i="1"/>
  <c r="M162" i="1"/>
  <c r="E162" i="3" s="1"/>
  <c r="F162" i="3" s="1"/>
  <c r="K161" i="1"/>
  <c r="AC161" i="1" l="1"/>
  <c r="E161" i="2" s="1"/>
  <c r="F161" i="2" s="1"/>
  <c r="AB160" i="1"/>
  <c r="M161" i="1"/>
  <c r="E161" i="3" s="1"/>
  <c r="F161" i="3" s="1"/>
  <c r="K160" i="1"/>
  <c r="U161" i="1"/>
  <c r="T160" i="1"/>
  <c r="M160" i="1" l="1"/>
  <c r="E160" i="3" s="1"/>
  <c r="F160" i="3" s="1"/>
  <c r="K159" i="1"/>
  <c r="T159" i="1"/>
  <c r="U160" i="1"/>
  <c r="AC160" i="1"/>
  <c r="E160" i="2" s="1"/>
  <c r="F160" i="2" s="1"/>
  <c r="AB159" i="1"/>
  <c r="AC159" i="1" l="1"/>
  <c r="E159" i="2" s="1"/>
  <c r="F159" i="2" s="1"/>
  <c r="AB158" i="1"/>
  <c r="T158" i="1"/>
  <c r="U159" i="1"/>
  <c r="M159" i="1"/>
  <c r="E159" i="3" s="1"/>
  <c r="F159" i="3" s="1"/>
  <c r="K158" i="1"/>
  <c r="M158" i="1" l="1"/>
  <c r="E158" i="3" s="1"/>
  <c r="F158" i="3" s="1"/>
  <c r="K157" i="1"/>
  <c r="T157" i="1"/>
  <c r="U158" i="1"/>
  <c r="AC158" i="1"/>
  <c r="E158" i="2" s="1"/>
  <c r="F158" i="2" s="1"/>
  <c r="AB157" i="1"/>
  <c r="AC157" i="1" l="1"/>
  <c r="E157" i="2" s="1"/>
  <c r="F157" i="2" s="1"/>
  <c r="AB156" i="1"/>
  <c r="T156" i="1"/>
  <c r="U157" i="1"/>
  <c r="M157" i="1"/>
  <c r="E157" i="3" s="1"/>
  <c r="F157" i="3" s="1"/>
  <c r="K156" i="1"/>
  <c r="M156" i="1" l="1"/>
  <c r="E156" i="3" s="1"/>
  <c r="F156" i="3" s="1"/>
  <c r="K155" i="1"/>
  <c r="T155" i="1"/>
  <c r="U156" i="1"/>
  <c r="AC156" i="1"/>
  <c r="E156" i="2" s="1"/>
  <c r="F156" i="2" s="1"/>
  <c r="AB155" i="1"/>
  <c r="AC155" i="1" l="1"/>
  <c r="E155" i="2" s="1"/>
  <c r="F155" i="2" s="1"/>
  <c r="AB154" i="1"/>
  <c r="M155" i="1"/>
  <c r="E155" i="3" s="1"/>
  <c r="F155" i="3" s="1"/>
  <c r="K154" i="1"/>
  <c r="T154" i="1"/>
  <c r="U155" i="1"/>
  <c r="T153" i="1" l="1"/>
  <c r="U154" i="1"/>
  <c r="M154" i="1"/>
  <c r="E154" i="3" s="1"/>
  <c r="F154" i="3" s="1"/>
  <c r="K153" i="1"/>
  <c r="AC154" i="1"/>
  <c r="E154" i="2" s="1"/>
  <c r="F154" i="2" s="1"/>
  <c r="AB153" i="1"/>
  <c r="AC153" i="1" l="1"/>
  <c r="E153" i="2" s="1"/>
  <c r="F153" i="2" s="1"/>
  <c r="AB152" i="1"/>
  <c r="M153" i="1"/>
  <c r="E153" i="3" s="1"/>
  <c r="F153" i="3" s="1"/>
  <c r="K152" i="1"/>
  <c r="T152" i="1"/>
  <c r="U153" i="1"/>
  <c r="T151" i="1" l="1"/>
  <c r="U152" i="1"/>
  <c r="M152" i="1"/>
  <c r="E152" i="3" s="1"/>
  <c r="F152" i="3" s="1"/>
  <c r="K151" i="1"/>
  <c r="AC152" i="1"/>
  <c r="E152" i="2" s="1"/>
  <c r="F152" i="2" s="1"/>
  <c r="AB151" i="1"/>
  <c r="AC151" i="1" l="1"/>
  <c r="E151" i="2" s="1"/>
  <c r="F151" i="2" s="1"/>
  <c r="AB150" i="1"/>
  <c r="M151" i="1"/>
  <c r="E151" i="3" s="1"/>
  <c r="F151" i="3" s="1"/>
  <c r="K150" i="1"/>
  <c r="U151" i="1"/>
  <c r="T150" i="1"/>
  <c r="T149" i="1" l="1"/>
  <c r="U150" i="1"/>
  <c r="AC150" i="1"/>
  <c r="E150" i="2" s="1"/>
  <c r="F150" i="2" s="1"/>
  <c r="AB149" i="1"/>
  <c r="M150" i="1"/>
  <c r="E150" i="3" s="1"/>
  <c r="F150" i="3" s="1"/>
  <c r="K149" i="1"/>
  <c r="AC149" i="1" l="1"/>
  <c r="E149" i="2" s="1"/>
  <c r="F149" i="2" s="1"/>
  <c r="AB148" i="1"/>
  <c r="M149" i="1"/>
  <c r="E149" i="3" s="1"/>
  <c r="F149" i="3" s="1"/>
  <c r="K148" i="1"/>
  <c r="T148" i="1"/>
  <c r="U149" i="1"/>
  <c r="M148" i="1" l="1"/>
  <c r="E148" i="3" s="1"/>
  <c r="F148" i="3" s="1"/>
  <c r="K147" i="1"/>
  <c r="T147" i="1"/>
  <c r="U148" i="1"/>
  <c r="AC148" i="1"/>
  <c r="E148" i="2" s="1"/>
  <c r="F148" i="2" s="1"/>
  <c r="AB147" i="1"/>
  <c r="AC147" i="1" l="1"/>
  <c r="E147" i="2" s="1"/>
  <c r="F147" i="2" s="1"/>
  <c r="AB146" i="1"/>
  <c r="T146" i="1"/>
  <c r="U147" i="1"/>
  <c r="M147" i="1"/>
  <c r="E147" i="3" s="1"/>
  <c r="F147" i="3" s="1"/>
  <c r="K146" i="1"/>
  <c r="M146" i="1" l="1"/>
  <c r="E146" i="3" s="1"/>
  <c r="F146" i="3" s="1"/>
  <c r="K145" i="1"/>
  <c r="T145" i="1"/>
  <c r="U146" i="1"/>
  <c r="AC146" i="1"/>
  <c r="E146" i="2" s="1"/>
  <c r="F146" i="2" s="1"/>
  <c r="AB145" i="1"/>
  <c r="T144" i="1" l="1"/>
  <c r="U145" i="1"/>
  <c r="AC145" i="1"/>
  <c r="E145" i="2" s="1"/>
  <c r="F145" i="2" s="1"/>
  <c r="AB144" i="1"/>
  <c r="M145" i="1"/>
  <c r="E145" i="3" s="1"/>
  <c r="F145" i="3" s="1"/>
  <c r="K144" i="1"/>
  <c r="M144" i="1" l="1"/>
  <c r="E144" i="3" s="1"/>
  <c r="F144" i="3" s="1"/>
  <c r="K143" i="1"/>
  <c r="AC144" i="1"/>
  <c r="E144" i="2" s="1"/>
  <c r="F144" i="2" s="1"/>
  <c r="AB143" i="1"/>
  <c r="T143" i="1"/>
  <c r="U144" i="1"/>
  <c r="AC143" i="1" l="1"/>
  <c r="E143" i="2" s="1"/>
  <c r="F143" i="2" s="1"/>
  <c r="AB142" i="1"/>
  <c r="T142" i="1"/>
  <c r="U143" i="1"/>
  <c r="M143" i="1"/>
  <c r="E143" i="3" s="1"/>
  <c r="F143" i="3" s="1"/>
  <c r="K142" i="1"/>
  <c r="M142" i="1" l="1"/>
  <c r="E142" i="3" s="1"/>
  <c r="F142" i="3" s="1"/>
  <c r="K141" i="1"/>
  <c r="T141" i="1"/>
  <c r="U142" i="1"/>
  <c r="AC142" i="1"/>
  <c r="E142" i="2" s="1"/>
  <c r="F142" i="2" s="1"/>
  <c r="AB141" i="1"/>
  <c r="AC141" i="1" l="1"/>
  <c r="E141" i="2" s="1"/>
  <c r="F141" i="2" s="1"/>
  <c r="AB140" i="1"/>
  <c r="U141" i="1"/>
  <c r="T140" i="1"/>
  <c r="M141" i="1"/>
  <c r="E141" i="3" s="1"/>
  <c r="F141" i="3" s="1"/>
  <c r="K140" i="1"/>
  <c r="M140" i="1" l="1"/>
  <c r="E140" i="3" s="1"/>
  <c r="F140" i="3" s="1"/>
  <c r="K139" i="1"/>
  <c r="T139" i="1"/>
  <c r="U140" i="1"/>
  <c r="AC140" i="1"/>
  <c r="E140" i="2" s="1"/>
  <c r="F140" i="2" s="1"/>
  <c r="AB139" i="1"/>
  <c r="T138" i="1" l="1"/>
  <c r="U139" i="1"/>
  <c r="M139" i="1"/>
  <c r="E139" i="3" s="1"/>
  <c r="F139" i="3" s="1"/>
  <c r="K138" i="1"/>
  <c r="AC139" i="1"/>
  <c r="E139" i="2" s="1"/>
  <c r="F139" i="2" s="1"/>
  <c r="AB138" i="1"/>
  <c r="AC138" i="1" l="1"/>
  <c r="E138" i="2" s="1"/>
  <c r="F138" i="2" s="1"/>
  <c r="AB137" i="1"/>
  <c r="M138" i="1"/>
  <c r="E138" i="3" s="1"/>
  <c r="F138" i="3" s="1"/>
  <c r="K137" i="1"/>
  <c r="T137" i="1"/>
  <c r="U138" i="1"/>
  <c r="T136" i="1" l="1"/>
  <c r="U137" i="1"/>
  <c r="AC137" i="1"/>
  <c r="E137" i="2" s="1"/>
  <c r="F137" i="2" s="1"/>
  <c r="AB136" i="1"/>
  <c r="M137" i="1"/>
  <c r="E137" i="3" s="1"/>
  <c r="F137" i="3" s="1"/>
  <c r="K136" i="1"/>
  <c r="M136" i="1" l="1"/>
  <c r="E136" i="3" s="1"/>
  <c r="F136" i="3" s="1"/>
  <c r="K135" i="1"/>
  <c r="AC136" i="1"/>
  <c r="E136" i="2" s="1"/>
  <c r="F136" i="2" s="1"/>
  <c r="AB135" i="1"/>
  <c r="U136" i="1"/>
  <c r="T135" i="1"/>
  <c r="T134" i="1" l="1"/>
  <c r="U135" i="1"/>
  <c r="AC135" i="1"/>
  <c r="E135" i="2" s="1"/>
  <c r="F135" i="2" s="1"/>
  <c r="AB134" i="1"/>
  <c r="M135" i="1"/>
  <c r="E135" i="3" s="1"/>
  <c r="F135" i="3" s="1"/>
  <c r="K134" i="1"/>
  <c r="AC134" i="1" l="1"/>
  <c r="E134" i="2" s="1"/>
  <c r="F134" i="2" s="1"/>
  <c r="AB133" i="1"/>
  <c r="M134" i="1"/>
  <c r="E134" i="3" s="1"/>
  <c r="F134" i="3" s="1"/>
  <c r="K133" i="1"/>
  <c r="T133" i="1"/>
  <c r="U134" i="1"/>
  <c r="T132" i="1" l="1"/>
  <c r="U133" i="1"/>
  <c r="M133" i="1"/>
  <c r="E133" i="3" s="1"/>
  <c r="F133" i="3" s="1"/>
  <c r="K132" i="1"/>
  <c r="AC133" i="1"/>
  <c r="E133" i="2" s="1"/>
  <c r="F133" i="2" s="1"/>
  <c r="AB132" i="1"/>
  <c r="M132" i="1" l="1"/>
  <c r="E132" i="3" s="1"/>
  <c r="F132" i="3" s="1"/>
  <c r="K131" i="1"/>
  <c r="AC132" i="1"/>
  <c r="E132" i="2" s="1"/>
  <c r="F132" i="2" s="1"/>
  <c r="AB131" i="1"/>
  <c r="T131" i="1"/>
  <c r="U132" i="1"/>
  <c r="U131" i="1" l="1"/>
  <c r="T130" i="1"/>
  <c r="AC131" i="1"/>
  <c r="E131" i="2" s="1"/>
  <c r="F131" i="2" s="1"/>
  <c r="AB130" i="1"/>
  <c r="M131" i="1"/>
  <c r="E131" i="3" s="1"/>
  <c r="F131" i="3" s="1"/>
  <c r="K130" i="1"/>
  <c r="M130" i="1" l="1"/>
  <c r="E130" i="3" s="1"/>
  <c r="F130" i="3" s="1"/>
  <c r="K129" i="1"/>
  <c r="AC130" i="1"/>
  <c r="E130" i="2" s="1"/>
  <c r="F130" i="2" s="1"/>
  <c r="AB129" i="1"/>
  <c r="T129" i="1"/>
  <c r="U130" i="1"/>
  <c r="AC129" i="1" l="1"/>
  <c r="E129" i="2" s="1"/>
  <c r="F129" i="2" s="1"/>
  <c r="AB128" i="1"/>
  <c r="T128" i="1"/>
  <c r="U129" i="1"/>
  <c r="M129" i="1"/>
  <c r="E129" i="3" s="1"/>
  <c r="F129" i="3" s="1"/>
  <c r="K128" i="1"/>
  <c r="M128" i="1" l="1"/>
  <c r="E128" i="3" s="1"/>
  <c r="F128" i="3" s="1"/>
  <c r="K127" i="1"/>
  <c r="T127" i="1"/>
  <c r="U128" i="1"/>
  <c r="AC128" i="1"/>
  <c r="E128" i="2" s="1"/>
  <c r="F128" i="2" s="1"/>
  <c r="AB127" i="1"/>
  <c r="AC127" i="1" l="1"/>
  <c r="E127" i="2" s="1"/>
  <c r="F127" i="2" s="1"/>
  <c r="AB126" i="1"/>
  <c r="M127" i="1"/>
  <c r="E127" i="3" s="1"/>
  <c r="F127" i="3" s="1"/>
  <c r="K126" i="1"/>
  <c r="T126" i="1"/>
  <c r="U127" i="1"/>
  <c r="T125" i="1" l="1"/>
  <c r="U126" i="1"/>
  <c r="M126" i="1"/>
  <c r="E126" i="3" s="1"/>
  <c r="F126" i="3" s="1"/>
  <c r="K125" i="1"/>
  <c r="AC126" i="1"/>
  <c r="E126" i="2" s="1"/>
  <c r="F126" i="2" s="1"/>
  <c r="AB125" i="1"/>
  <c r="M125" i="1" l="1"/>
  <c r="E125" i="3" s="1"/>
  <c r="F125" i="3" s="1"/>
  <c r="K124" i="1"/>
  <c r="AC125" i="1"/>
  <c r="E125" i="2" s="1"/>
  <c r="F125" i="2" s="1"/>
  <c r="AB124" i="1"/>
  <c r="T124" i="1"/>
  <c r="U125" i="1"/>
  <c r="T123" i="1" l="1"/>
  <c r="U124" i="1"/>
  <c r="AC124" i="1"/>
  <c r="E124" i="2" s="1"/>
  <c r="F124" i="2" s="1"/>
  <c r="AB123" i="1"/>
  <c r="M124" i="1"/>
  <c r="E124" i="3" s="1"/>
  <c r="F124" i="3" s="1"/>
  <c r="K123" i="1"/>
  <c r="AC123" i="1" l="1"/>
  <c r="E123" i="2" s="1"/>
  <c r="F123" i="2" s="1"/>
  <c r="AB122" i="1"/>
  <c r="M123" i="1"/>
  <c r="E123" i="3" s="1"/>
  <c r="F123" i="3" s="1"/>
  <c r="K122" i="1"/>
  <c r="T122" i="1"/>
  <c r="U123" i="1"/>
  <c r="AC122" i="1" l="1"/>
  <c r="E122" i="2" s="1"/>
  <c r="F122" i="2" s="1"/>
  <c r="AB121" i="1"/>
  <c r="U122" i="1"/>
  <c r="T121" i="1"/>
  <c r="M122" i="1"/>
  <c r="E122" i="3" s="1"/>
  <c r="F122" i="3" s="1"/>
  <c r="K121" i="1"/>
  <c r="M121" i="1" l="1"/>
  <c r="E121" i="3" s="1"/>
  <c r="F121" i="3" s="1"/>
  <c r="K120" i="1"/>
  <c r="U121" i="1"/>
  <c r="T120" i="1"/>
  <c r="AC121" i="1"/>
  <c r="E121" i="2" s="1"/>
  <c r="F121" i="2" s="1"/>
  <c r="AB120" i="1"/>
  <c r="AC120" i="1" l="1"/>
  <c r="E120" i="2" s="1"/>
  <c r="F120" i="2" s="1"/>
  <c r="AB119" i="1"/>
  <c r="T119" i="1"/>
  <c r="U120" i="1"/>
  <c r="M120" i="1"/>
  <c r="E120" i="3" s="1"/>
  <c r="F120" i="3" s="1"/>
  <c r="K119" i="1"/>
  <c r="M119" i="1" l="1"/>
  <c r="E119" i="3" s="1"/>
  <c r="F119" i="3" s="1"/>
  <c r="K118" i="1"/>
  <c r="T118" i="1"/>
  <c r="U119" i="1"/>
  <c r="AC119" i="1"/>
  <c r="E119" i="2" s="1"/>
  <c r="F119" i="2" s="1"/>
  <c r="AB118" i="1"/>
  <c r="AC118" i="1" l="1"/>
  <c r="E118" i="2" s="1"/>
  <c r="F118" i="2" s="1"/>
  <c r="AB117" i="1"/>
  <c r="T117" i="1"/>
  <c r="U118" i="1"/>
  <c r="M118" i="1"/>
  <c r="E118" i="3" s="1"/>
  <c r="F118" i="3" s="1"/>
  <c r="K117" i="1"/>
  <c r="M117" i="1" l="1"/>
  <c r="E117" i="3" s="1"/>
  <c r="F117" i="3" s="1"/>
  <c r="K116" i="1"/>
  <c r="T116" i="1"/>
  <c r="U117" i="1"/>
  <c r="AC117" i="1"/>
  <c r="E117" i="2" s="1"/>
  <c r="F117" i="2" s="1"/>
  <c r="AB116" i="1"/>
  <c r="AC116" i="1" l="1"/>
  <c r="E116" i="2" s="1"/>
  <c r="F116" i="2" s="1"/>
  <c r="AB115" i="1"/>
  <c r="T115" i="1"/>
  <c r="U116" i="1"/>
  <c r="M116" i="1"/>
  <c r="E116" i="3" s="1"/>
  <c r="F116" i="3" s="1"/>
  <c r="K115" i="1"/>
  <c r="M115" i="1" l="1"/>
  <c r="E115" i="3" s="1"/>
  <c r="F115" i="3" s="1"/>
  <c r="K114" i="1"/>
  <c r="T114" i="1"/>
  <c r="U115" i="1"/>
  <c r="AC115" i="1"/>
  <c r="E115" i="2" s="1"/>
  <c r="F115" i="2" s="1"/>
  <c r="AB114" i="1"/>
  <c r="M114" i="1" l="1"/>
  <c r="E114" i="3" s="1"/>
  <c r="F114" i="3" s="1"/>
  <c r="K113" i="1"/>
  <c r="AC114" i="1"/>
  <c r="E114" i="2" s="1"/>
  <c r="F114" i="2" s="1"/>
  <c r="AB113" i="1"/>
  <c r="T113" i="1"/>
  <c r="U114" i="1"/>
  <c r="T112" i="1" l="1"/>
  <c r="U113" i="1"/>
  <c r="AC113" i="1"/>
  <c r="E113" i="2" s="1"/>
  <c r="F113" i="2" s="1"/>
  <c r="AB112" i="1"/>
  <c r="M113" i="1"/>
  <c r="E113" i="3" s="1"/>
  <c r="F113" i="3" s="1"/>
  <c r="K112" i="1"/>
  <c r="AC112" i="1" l="1"/>
  <c r="E112" i="2" s="1"/>
  <c r="F112" i="2" s="1"/>
  <c r="AB111" i="1"/>
  <c r="M112" i="1"/>
  <c r="E112" i="3" s="1"/>
  <c r="F112" i="3" s="1"/>
  <c r="K111" i="1"/>
  <c r="T111" i="1"/>
  <c r="U112" i="1"/>
  <c r="AC111" i="1" l="1"/>
  <c r="E111" i="2" s="1"/>
  <c r="F111" i="2" s="1"/>
  <c r="AB110" i="1"/>
  <c r="U111" i="1"/>
  <c r="T110" i="1"/>
  <c r="M111" i="1"/>
  <c r="E111" i="3" s="1"/>
  <c r="F111" i="3" s="1"/>
  <c r="K110" i="1"/>
  <c r="M110" i="1" l="1"/>
  <c r="E110" i="3" s="1"/>
  <c r="F110" i="3" s="1"/>
  <c r="K109" i="1"/>
  <c r="AC110" i="1"/>
  <c r="E110" i="2" s="1"/>
  <c r="F110" i="2" s="1"/>
  <c r="AB109" i="1"/>
  <c r="T109" i="1"/>
  <c r="U110" i="1"/>
  <c r="T108" i="1" l="1"/>
  <c r="U109" i="1"/>
  <c r="AC109" i="1"/>
  <c r="E109" i="2" s="1"/>
  <c r="F109" i="2" s="1"/>
  <c r="AB108" i="1"/>
  <c r="M109" i="1"/>
  <c r="E109" i="3" s="1"/>
  <c r="F109" i="3" s="1"/>
  <c r="K108" i="1"/>
  <c r="M108" i="1" l="1"/>
  <c r="E108" i="3" s="1"/>
  <c r="F108" i="3" s="1"/>
  <c r="K107" i="1"/>
  <c r="AC108" i="1"/>
  <c r="E108" i="2" s="1"/>
  <c r="F108" i="2" s="1"/>
  <c r="AB107" i="1"/>
  <c r="U108" i="1"/>
  <c r="T107" i="1"/>
  <c r="T106" i="1" l="1"/>
  <c r="U107" i="1"/>
  <c r="AC107" i="1"/>
  <c r="E107" i="2" s="1"/>
  <c r="F107" i="2" s="1"/>
  <c r="AB106" i="1"/>
  <c r="M107" i="1"/>
  <c r="E107" i="3" s="1"/>
  <c r="F107" i="3" s="1"/>
  <c r="K106" i="1"/>
  <c r="AC106" i="1" l="1"/>
  <c r="E106" i="2" s="1"/>
  <c r="F106" i="2" s="1"/>
  <c r="AB105" i="1"/>
  <c r="M106" i="1"/>
  <c r="E106" i="3" s="1"/>
  <c r="F106" i="3" s="1"/>
  <c r="K105" i="1"/>
  <c r="T105" i="1"/>
  <c r="U106" i="1"/>
  <c r="M105" i="1" l="1"/>
  <c r="E105" i="3" s="1"/>
  <c r="F105" i="3" s="1"/>
  <c r="K104" i="1"/>
  <c r="AC105" i="1"/>
  <c r="E105" i="2" s="1"/>
  <c r="F105" i="2" s="1"/>
  <c r="AB104" i="1"/>
  <c r="T104" i="1"/>
  <c r="U105" i="1"/>
  <c r="T103" i="1" l="1"/>
  <c r="U104" i="1"/>
  <c r="AC104" i="1"/>
  <c r="E104" i="2" s="1"/>
  <c r="F104" i="2" s="1"/>
  <c r="AB103" i="1"/>
  <c r="M104" i="1"/>
  <c r="E104" i="3" s="1"/>
  <c r="F104" i="3" s="1"/>
  <c r="K103" i="1"/>
  <c r="M103" i="1" l="1"/>
  <c r="E103" i="3" s="1"/>
  <c r="F103" i="3" s="1"/>
  <c r="K102" i="1"/>
  <c r="AC103" i="1"/>
  <c r="E103" i="2" s="1"/>
  <c r="F103" i="2" s="1"/>
  <c r="AB102" i="1"/>
  <c r="T102" i="1"/>
  <c r="U103" i="1"/>
  <c r="T101" i="1" l="1"/>
  <c r="U102" i="1"/>
  <c r="AC102" i="1"/>
  <c r="E102" i="2" s="1"/>
  <c r="F102" i="2" s="1"/>
  <c r="AB101" i="1"/>
  <c r="M102" i="1"/>
  <c r="E102" i="3" s="1"/>
  <c r="F102" i="3" s="1"/>
  <c r="K101" i="1"/>
  <c r="M101" i="1" l="1"/>
  <c r="E101" i="3" s="1"/>
  <c r="F101" i="3" s="1"/>
  <c r="K100" i="1"/>
  <c r="AC101" i="1"/>
  <c r="E101" i="2" s="1"/>
  <c r="F101" i="2" s="1"/>
  <c r="AB100" i="1"/>
  <c r="U101" i="1"/>
  <c r="T100" i="1"/>
  <c r="M100" i="1" l="1"/>
  <c r="E100" i="3" s="1"/>
  <c r="F100" i="3" s="1"/>
  <c r="K99" i="1"/>
  <c r="T99" i="1"/>
  <c r="U100" i="1"/>
  <c r="AC100" i="1"/>
  <c r="E100" i="2" s="1"/>
  <c r="F100" i="2" s="1"/>
  <c r="AB99" i="1"/>
  <c r="AC99" i="1" l="1"/>
  <c r="E99" i="2" s="1"/>
  <c r="F99" i="2" s="1"/>
  <c r="AB98" i="1"/>
  <c r="T98" i="1"/>
  <c r="U99" i="1"/>
  <c r="M99" i="1"/>
  <c r="E99" i="3" s="1"/>
  <c r="F99" i="3" s="1"/>
  <c r="K98" i="1"/>
  <c r="M98" i="1" l="1"/>
  <c r="E98" i="3" s="1"/>
  <c r="F98" i="3" s="1"/>
  <c r="K97" i="1"/>
  <c r="T97" i="1"/>
  <c r="U98" i="1"/>
  <c r="AC98" i="1"/>
  <c r="E98" i="2" s="1"/>
  <c r="F98" i="2" s="1"/>
  <c r="AB97" i="1"/>
  <c r="AC97" i="1" l="1"/>
  <c r="E97" i="2" s="1"/>
  <c r="F97" i="2" s="1"/>
  <c r="AB96" i="1"/>
  <c r="T96" i="1"/>
  <c r="U97" i="1"/>
  <c r="M97" i="1"/>
  <c r="E97" i="3" s="1"/>
  <c r="F97" i="3" s="1"/>
  <c r="K96" i="1"/>
  <c r="M96" i="1" l="1"/>
  <c r="E96" i="3" s="1"/>
  <c r="F96" i="3" s="1"/>
  <c r="K95" i="1"/>
  <c r="T95" i="1"/>
  <c r="U96" i="1"/>
  <c r="AC96" i="1"/>
  <c r="E96" i="2" s="1"/>
  <c r="F96" i="2" s="1"/>
  <c r="AB95" i="1"/>
  <c r="AC95" i="1" l="1"/>
  <c r="E95" i="2" s="1"/>
  <c r="F95" i="2" s="1"/>
  <c r="AB94" i="1"/>
  <c r="T94" i="1"/>
  <c r="U95" i="1"/>
  <c r="M95" i="1"/>
  <c r="E95" i="3" s="1"/>
  <c r="F95" i="3" s="1"/>
  <c r="K94" i="1"/>
  <c r="T93" i="1" l="1"/>
  <c r="U94" i="1"/>
  <c r="AC94" i="1"/>
  <c r="E94" i="2" s="1"/>
  <c r="F94" i="2" s="1"/>
  <c r="AB93" i="1"/>
  <c r="M94" i="1"/>
  <c r="E94" i="3" s="1"/>
  <c r="F94" i="3" s="1"/>
  <c r="K93" i="1"/>
  <c r="M93" i="1" l="1"/>
  <c r="E93" i="3" s="1"/>
  <c r="F93" i="3" s="1"/>
  <c r="K92" i="1"/>
  <c r="AC93" i="1"/>
  <c r="E93" i="2" s="1"/>
  <c r="F93" i="2" s="1"/>
  <c r="AB92" i="1"/>
  <c r="U93" i="1"/>
  <c r="T92" i="1"/>
  <c r="AC92" i="1" l="1"/>
  <c r="E92" i="2" s="1"/>
  <c r="F92" i="2" s="1"/>
  <c r="AB91" i="1"/>
  <c r="T91" i="1"/>
  <c r="U92" i="1"/>
  <c r="M92" i="1"/>
  <c r="E92" i="3" s="1"/>
  <c r="F92" i="3" s="1"/>
  <c r="K91" i="1"/>
  <c r="M91" i="1" l="1"/>
  <c r="E91" i="3" s="1"/>
  <c r="F91" i="3" s="1"/>
  <c r="K90" i="1"/>
  <c r="U91" i="1"/>
  <c r="T90" i="1"/>
  <c r="AC91" i="1"/>
  <c r="E91" i="2" s="1"/>
  <c r="F91" i="2" s="1"/>
  <c r="AB90" i="1"/>
  <c r="AC90" i="1" l="1"/>
  <c r="E90" i="2" s="1"/>
  <c r="F90" i="2" s="1"/>
  <c r="AB89" i="1"/>
  <c r="T89" i="1"/>
  <c r="U90" i="1"/>
  <c r="M90" i="1"/>
  <c r="E90" i="3" s="1"/>
  <c r="F90" i="3" s="1"/>
  <c r="K89" i="1"/>
  <c r="M89" i="1" l="1"/>
  <c r="E89" i="3" s="1"/>
  <c r="F89" i="3" s="1"/>
  <c r="K88" i="1"/>
  <c r="T88" i="1"/>
  <c r="U89" i="1"/>
  <c r="AC89" i="1"/>
  <c r="E89" i="2" s="1"/>
  <c r="F89" i="2" s="1"/>
  <c r="AB88" i="1"/>
  <c r="AC88" i="1" l="1"/>
  <c r="E88" i="2" s="1"/>
  <c r="F88" i="2" s="1"/>
  <c r="AB87" i="1"/>
  <c r="T87" i="1"/>
  <c r="U88" i="1"/>
  <c r="M88" i="1"/>
  <c r="E88" i="3" s="1"/>
  <c r="F88" i="3" s="1"/>
  <c r="K87" i="1"/>
  <c r="M87" i="1" l="1"/>
  <c r="E87" i="3" s="1"/>
  <c r="F87" i="3" s="1"/>
  <c r="K86" i="1"/>
  <c r="T86" i="1"/>
  <c r="U87" i="1"/>
  <c r="AC87" i="1"/>
  <c r="E87" i="2" s="1"/>
  <c r="F87" i="2" s="1"/>
  <c r="AB86" i="1"/>
  <c r="T85" i="1" l="1"/>
  <c r="U86" i="1"/>
  <c r="M86" i="1"/>
  <c r="E86" i="3" s="1"/>
  <c r="F86" i="3" s="1"/>
  <c r="K85" i="1"/>
  <c r="AC86" i="1"/>
  <c r="E86" i="2" s="1"/>
  <c r="F86" i="2" s="1"/>
  <c r="AB85" i="1"/>
  <c r="AC85" i="1" l="1"/>
  <c r="E85" i="2" s="1"/>
  <c r="F85" i="2" s="1"/>
  <c r="AB84" i="1"/>
  <c r="M85" i="1"/>
  <c r="E85" i="3" s="1"/>
  <c r="F85" i="3" s="1"/>
  <c r="K84" i="1"/>
  <c r="T84" i="1"/>
  <c r="U85" i="1"/>
  <c r="T83" i="1" l="1"/>
  <c r="U84" i="1"/>
  <c r="AC84" i="1"/>
  <c r="E84" i="2" s="1"/>
  <c r="F84" i="2" s="1"/>
  <c r="AB83" i="1"/>
  <c r="M84" i="1"/>
  <c r="E84" i="3" s="1"/>
  <c r="F84" i="3" s="1"/>
  <c r="K83" i="1"/>
  <c r="AC83" i="1" l="1"/>
  <c r="E83" i="2" s="1"/>
  <c r="F83" i="2" s="1"/>
  <c r="AB82" i="1"/>
  <c r="M83" i="1"/>
  <c r="E83" i="3" s="1"/>
  <c r="F83" i="3" s="1"/>
  <c r="K82" i="1"/>
  <c r="T82" i="1"/>
  <c r="U83" i="1"/>
  <c r="M82" i="1" l="1"/>
  <c r="E82" i="3" s="1"/>
  <c r="F82" i="3" s="1"/>
  <c r="K81" i="1"/>
  <c r="T81" i="1"/>
  <c r="U82" i="1"/>
  <c r="AC82" i="1"/>
  <c r="E82" i="2" s="1"/>
  <c r="F82" i="2" s="1"/>
  <c r="AB81" i="1"/>
  <c r="AC81" i="1" l="1"/>
  <c r="E81" i="2" s="1"/>
  <c r="F81" i="2" s="1"/>
  <c r="AB80" i="1"/>
  <c r="U81" i="1"/>
  <c r="T80" i="1"/>
  <c r="M81" i="1"/>
  <c r="E81" i="3" s="1"/>
  <c r="F81" i="3" s="1"/>
  <c r="K80" i="1"/>
  <c r="T79" i="1" l="1"/>
  <c r="U80" i="1"/>
  <c r="AC80" i="1"/>
  <c r="E80" i="2" s="1"/>
  <c r="F80" i="2" s="1"/>
  <c r="AB79" i="1"/>
  <c r="M80" i="1"/>
  <c r="E80" i="3" s="1"/>
  <c r="F80" i="3" s="1"/>
  <c r="K79" i="1"/>
  <c r="M79" i="1" l="1"/>
  <c r="E79" i="3" s="1"/>
  <c r="F79" i="3" s="1"/>
  <c r="K78" i="1"/>
  <c r="AC79" i="1"/>
  <c r="E79" i="2" s="1"/>
  <c r="F79" i="2" s="1"/>
  <c r="AB78" i="1"/>
  <c r="U79" i="1"/>
  <c r="T78" i="1"/>
  <c r="T77" i="1" l="1"/>
  <c r="U78" i="1"/>
  <c r="AC78" i="1"/>
  <c r="E78" i="2" s="1"/>
  <c r="F78" i="2" s="1"/>
  <c r="AB77" i="1"/>
  <c r="M78" i="1"/>
  <c r="E78" i="3" s="1"/>
  <c r="F78" i="3" s="1"/>
  <c r="K77" i="1"/>
  <c r="M77" i="1" l="1"/>
  <c r="E77" i="3" s="1"/>
  <c r="F77" i="3" s="1"/>
  <c r="K76" i="1"/>
  <c r="AC77" i="1"/>
  <c r="E77" i="2" s="1"/>
  <c r="F77" i="2" s="1"/>
  <c r="AB76" i="1"/>
  <c r="T76" i="1"/>
  <c r="U77" i="1"/>
  <c r="T75" i="1" l="1"/>
  <c r="U76" i="1"/>
  <c r="AC76" i="1"/>
  <c r="E76" i="2" s="1"/>
  <c r="F76" i="2" s="1"/>
  <c r="AB75" i="1"/>
  <c r="M76" i="1"/>
  <c r="E76" i="3" s="1"/>
  <c r="F76" i="3" s="1"/>
  <c r="K75" i="1"/>
  <c r="M75" i="1" l="1"/>
  <c r="E75" i="3" s="1"/>
  <c r="F75" i="3" s="1"/>
  <c r="K74" i="1"/>
  <c r="AC75" i="1"/>
  <c r="E75" i="2" s="1"/>
  <c r="F75" i="2" s="1"/>
  <c r="AB74" i="1"/>
  <c r="T74" i="1"/>
  <c r="U75" i="1"/>
  <c r="T73" i="1" l="1"/>
  <c r="U74" i="1"/>
  <c r="AC74" i="1"/>
  <c r="E74" i="2" s="1"/>
  <c r="F74" i="2" s="1"/>
  <c r="AB73" i="1"/>
  <c r="M74" i="1"/>
  <c r="E74" i="3" s="1"/>
  <c r="F74" i="3" s="1"/>
  <c r="K73" i="1"/>
  <c r="M73" i="1" l="1"/>
  <c r="E73" i="3" s="1"/>
  <c r="F73" i="3" s="1"/>
  <c r="K72" i="1"/>
  <c r="AC73" i="1"/>
  <c r="E73" i="2" s="1"/>
  <c r="F73" i="2" s="1"/>
  <c r="AB72" i="1"/>
  <c r="T72" i="1"/>
  <c r="U73" i="1"/>
  <c r="T71" i="1" l="1"/>
  <c r="U72" i="1"/>
  <c r="AC72" i="1"/>
  <c r="E72" i="2" s="1"/>
  <c r="F72" i="2" s="1"/>
  <c r="AB71" i="1"/>
  <c r="M72" i="1"/>
  <c r="E72" i="3" s="1"/>
  <c r="F72" i="3" s="1"/>
  <c r="K71" i="1"/>
  <c r="M71" i="1" l="1"/>
  <c r="E71" i="3" s="1"/>
  <c r="F71" i="3" s="1"/>
  <c r="K70" i="1"/>
  <c r="AC71" i="1"/>
  <c r="E71" i="2" s="1"/>
  <c r="F71" i="2" s="1"/>
  <c r="AB70" i="1"/>
  <c r="U71" i="1"/>
  <c r="T70" i="1"/>
  <c r="AC70" i="1" l="1"/>
  <c r="E70" i="2" s="1"/>
  <c r="F70" i="2" s="1"/>
  <c r="AB69" i="1"/>
  <c r="T69" i="1"/>
  <c r="U70" i="1"/>
  <c r="M70" i="1"/>
  <c r="E70" i="3" s="1"/>
  <c r="F70" i="3" s="1"/>
  <c r="K69" i="1"/>
  <c r="M69" i="1" l="1"/>
  <c r="E69" i="3" s="1"/>
  <c r="F69" i="3" s="1"/>
  <c r="K68" i="1"/>
  <c r="AC69" i="1"/>
  <c r="E69" i="2" s="1"/>
  <c r="F69" i="2" s="1"/>
  <c r="AB68" i="1"/>
  <c r="T68" i="1"/>
  <c r="U69" i="1"/>
  <c r="T67" i="1" l="1"/>
  <c r="U68" i="1"/>
  <c r="M68" i="1"/>
  <c r="E68" i="3" s="1"/>
  <c r="F68" i="3" s="1"/>
  <c r="K67" i="1"/>
  <c r="AC68" i="1"/>
  <c r="E68" i="2" s="1"/>
  <c r="F68" i="2" s="1"/>
  <c r="AB67" i="1"/>
  <c r="AC67" i="1" l="1"/>
  <c r="E67" i="2" s="1"/>
  <c r="F67" i="2" s="1"/>
  <c r="AB66" i="1"/>
  <c r="M67" i="1"/>
  <c r="E67" i="3" s="1"/>
  <c r="F67" i="3" s="1"/>
  <c r="K66" i="1"/>
  <c r="T66" i="1"/>
  <c r="U67" i="1"/>
  <c r="T65" i="1" l="1"/>
  <c r="U66" i="1"/>
  <c r="M66" i="1"/>
  <c r="E66" i="3" s="1"/>
  <c r="F66" i="3" s="1"/>
  <c r="K65" i="1"/>
  <c r="AC66" i="1"/>
  <c r="E66" i="2" s="1"/>
  <c r="F66" i="2" s="1"/>
  <c r="AB65" i="1"/>
  <c r="M65" i="1" l="1"/>
  <c r="E65" i="3" s="1"/>
  <c r="F65" i="3" s="1"/>
  <c r="K64" i="1"/>
  <c r="AC65" i="1"/>
  <c r="E65" i="2" s="1"/>
  <c r="F65" i="2" s="1"/>
  <c r="AB64" i="1"/>
  <c r="U65" i="1"/>
  <c r="T64" i="1"/>
  <c r="M64" i="1" l="1"/>
  <c r="E64" i="3" s="1"/>
  <c r="F64" i="3" s="1"/>
  <c r="K63" i="1"/>
  <c r="T63" i="1"/>
  <c r="U64" i="1"/>
  <c r="AC64" i="1"/>
  <c r="E64" i="2" s="1"/>
  <c r="F64" i="2" s="1"/>
  <c r="AB63" i="1"/>
  <c r="AC63" i="1" l="1"/>
  <c r="E63" i="2" s="1"/>
  <c r="F63" i="2" s="1"/>
  <c r="AB62" i="1"/>
  <c r="T62" i="1"/>
  <c r="U63" i="1"/>
  <c r="M63" i="1"/>
  <c r="E63" i="3" s="1"/>
  <c r="F63" i="3" s="1"/>
  <c r="K62" i="1"/>
  <c r="M62" i="1" l="1"/>
  <c r="E62" i="3" s="1"/>
  <c r="F62" i="3" s="1"/>
  <c r="K61" i="1"/>
  <c r="AC62" i="1"/>
  <c r="E62" i="2" s="1"/>
  <c r="F62" i="2" s="1"/>
  <c r="AB61" i="1"/>
  <c r="T61" i="1"/>
  <c r="U62" i="1"/>
  <c r="U61" i="1" l="1"/>
  <c r="T60" i="1"/>
  <c r="M61" i="1"/>
  <c r="E61" i="3" s="1"/>
  <c r="F61" i="3" s="1"/>
  <c r="K60" i="1"/>
  <c r="AC61" i="1"/>
  <c r="E61" i="2" s="1"/>
  <c r="F61" i="2" s="1"/>
  <c r="AB60" i="1"/>
  <c r="AC60" i="1" l="1"/>
  <c r="E60" i="2" s="1"/>
  <c r="F60" i="2" s="1"/>
  <c r="AB59" i="1"/>
  <c r="M60" i="1"/>
  <c r="E60" i="3" s="1"/>
  <c r="F60" i="3" s="1"/>
  <c r="K59" i="1"/>
  <c r="T59" i="1"/>
  <c r="U60" i="1"/>
  <c r="M59" i="1" l="1"/>
  <c r="E59" i="3" s="1"/>
  <c r="F59" i="3" s="1"/>
  <c r="K58" i="1"/>
  <c r="AC59" i="1"/>
  <c r="E59" i="2" s="1"/>
  <c r="F59" i="2" s="1"/>
  <c r="AB58" i="1"/>
  <c r="T58" i="1"/>
  <c r="U59" i="1"/>
  <c r="AC58" i="1" l="1"/>
  <c r="E58" i="2" s="1"/>
  <c r="F58" i="2" s="1"/>
  <c r="AB57" i="1"/>
  <c r="T57" i="1"/>
  <c r="U58" i="1"/>
  <c r="M58" i="1"/>
  <c r="E58" i="3" s="1"/>
  <c r="F58" i="3" s="1"/>
  <c r="K57" i="1"/>
  <c r="M57" i="1" l="1"/>
  <c r="E57" i="3" s="1"/>
  <c r="F57" i="3" s="1"/>
  <c r="K56" i="1"/>
  <c r="T56" i="1"/>
  <c r="U57" i="1"/>
  <c r="AC57" i="1"/>
  <c r="E57" i="2" s="1"/>
  <c r="F57" i="2" s="1"/>
  <c r="AB56" i="1"/>
  <c r="AC56" i="1" l="1"/>
  <c r="E56" i="2" s="1"/>
  <c r="F56" i="2" s="1"/>
  <c r="AB55" i="1"/>
  <c r="T55" i="1"/>
  <c r="U56" i="1"/>
  <c r="M56" i="1"/>
  <c r="E56" i="3" s="1"/>
  <c r="F56" i="3" s="1"/>
  <c r="K55" i="1"/>
  <c r="M55" i="1" l="1"/>
  <c r="E55" i="3" s="1"/>
  <c r="F55" i="3" s="1"/>
  <c r="K54" i="1"/>
  <c r="T54" i="1"/>
  <c r="U55" i="1"/>
  <c r="AC55" i="1"/>
  <c r="E55" i="2" s="1"/>
  <c r="F55" i="2" s="1"/>
  <c r="AB54" i="1"/>
  <c r="AC54" i="1" l="1"/>
  <c r="E54" i="2" s="1"/>
  <c r="F54" i="2" s="1"/>
  <c r="AB53" i="1"/>
  <c r="T53" i="1"/>
  <c r="U54" i="1"/>
  <c r="M54" i="1"/>
  <c r="E54" i="3" s="1"/>
  <c r="F54" i="3" s="1"/>
  <c r="K53" i="1"/>
  <c r="T52" i="1" l="1"/>
  <c r="U53" i="1"/>
  <c r="AC53" i="1"/>
  <c r="E53" i="2" s="1"/>
  <c r="F53" i="2" s="1"/>
  <c r="AB52" i="1"/>
  <c r="M53" i="1"/>
  <c r="E53" i="3" s="1"/>
  <c r="F53" i="3" s="1"/>
  <c r="K52" i="1"/>
  <c r="M52" i="1" l="1"/>
  <c r="E52" i="3" s="1"/>
  <c r="F52" i="3" s="1"/>
  <c r="K51" i="1"/>
  <c r="AC52" i="1"/>
  <c r="E52" i="2" s="1"/>
  <c r="F52" i="2" s="1"/>
  <c r="AB51" i="1"/>
  <c r="T51" i="1"/>
  <c r="U52" i="1"/>
  <c r="AC51" i="1" l="1"/>
  <c r="E51" i="2" s="1"/>
  <c r="F51" i="2" s="1"/>
  <c r="AB50" i="1"/>
  <c r="M51" i="1"/>
  <c r="E51" i="3" s="1"/>
  <c r="F51" i="3" s="1"/>
  <c r="K50" i="1"/>
  <c r="U51" i="1"/>
  <c r="T50" i="1"/>
  <c r="T49" i="1" l="1"/>
  <c r="U50" i="1"/>
  <c r="M50" i="1"/>
  <c r="E50" i="3" s="1"/>
  <c r="F50" i="3" s="1"/>
  <c r="K49" i="1"/>
  <c r="AC50" i="1"/>
  <c r="E50" i="2" s="1"/>
  <c r="F50" i="2" s="1"/>
  <c r="AB49" i="1"/>
  <c r="M49" i="1" l="1"/>
  <c r="E49" i="3" s="1"/>
  <c r="F49" i="3" s="1"/>
  <c r="K48" i="1"/>
  <c r="AC49" i="1"/>
  <c r="E49" i="2" s="1"/>
  <c r="F49" i="2" s="1"/>
  <c r="AB48" i="1"/>
  <c r="T48" i="1"/>
  <c r="U49" i="1"/>
  <c r="AC48" i="1" l="1"/>
  <c r="E48" i="2" s="1"/>
  <c r="F48" i="2" s="1"/>
  <c r="AB47" i="1"/>
  <c r="T47" i="1"/>
  <c r="U48" i="1"/>
  <c r="M48" i="1"/>
  <c r="E48" i="3" s="1"/>
  <c r="F48" i="3" s="1"/>
  <c r="K47" i="1"/>
  <c r="T46" i="1" l="1"/>
  <c r="U47" i="1"/>
  <c r="AC47" i="1"/>
  <c r="E47" i="2" s="1"/>
  <c r="F47" i="2" s="1"/>
  <c r="AB46" i="1"/>
  <c r="M47" i="1"/>
  <c r="E47" i="3" s="1"/>
  <c r="F47" i="3" s="1"/>
  <c r="K46" i="1"/>
  <c r="M46" i="1" l="1"/>
  <c r="E46" i="3" s="1"/>
  <c r="F46" i="3" s="1"/>
  <c r="K45" i="1"/>
  <c r="AC46" i="1"/>
  <c r="E46" i="2" s="1"/>
  <c r="F46" i="2" s="1"/>
  <c r="AB45" i="1"/>
  <c r="T45" i="1"/>
  <c r="U46" i="1"/>
  <c r="AC45" i="1" l="1"/>
  <c r="E45" i="2" s="1"/>
  <c r="F45" i="2" s="1"/>
  <c r="AB44" i="1"/>
  <c r="M45" i="1"/>
  <c r="E45" i="3" s="1"/>
  <c r="F45" i="3" s="1"/>
  <c r="K44" i="1"/>
  <c r="T44" i="1"/>
  <c r="U45" i="1"/>
  <c r="AC44" i="1" l="1"/>
  <c r="E44" i="2" s="1"/>
  <c r="F44" i="2" s="1"/>
  <c r="AB43" i="1"/>
  <c r="T43" i="1"/>
  <c r="U44" i="1"/>
  <c r="M44" i="1"/>
  <c r="E44" i="3" s="1"/>
  <c r="F44" i="3" s="1"/>
  <c r="K43" i="1"/>
  <c r="M43" i="1" l="1"/>
  <c r="E43" i="3" s="1"/>
  <c r="F43" i="3" s="1"/>
  <c r="K42" i="1"/>
  <c r="T42" i="1"/>
  <c r="U43" i="1"/>
  <c r="AC43" i="1"/>
  <c r="E43" i="2" s="1"/>
  <c r="F43" i="2" s="1"/>
  <c r="AB42" i="1"/>
  <c r="M42" i="1" l="1"/>
  <c r="E42" i="3" s="1"/>
  <c r="F42" i="3" s="1"/>
  <c r="K41" i="1"/>
  <c r="AC42" i="1"/>
  <c r="E42" i="2" s="1"/>
  <c r="F42" i="2" s="1"/>
  <c r="AB41" i="1"/>
  <c r="T41" i="1"/>
  <c r="U42" i="1"/>
  <c r="AC41" i="1" l="1"/>
  <c r="E41" i="2" s="1"/>
  <c r="F41" i="2" s="1"/>
  <c r="AB40" i="1"/>
  <c r="M41" i="1"/>
  <c r="E41" i="3" s="1"/>
  <c r="F41" i="3" s="1"/>
  <c r="K40" i="1"/>
  <c r="U41" i="1"/>
  <c r="T40" i="1"/>
  <c r="T39" i="1" l="1"/>
  <c r="U40" i="1"/>
  <c r="M40" i="1"/>
  <c r="E40" i="3" s="1"/>
  <c r="F40" i="3" s="1"/>
  <c r="K39" i="1"/>
  <c r="AC40" i="1"/>
  <c r="E40" i="2" s="1"/>
  <c r="F40" i="2" s="1"/>
  <c r="AB39" i="1"/>
  <c r="AC39" i="1" l="1"/>
  <c r="E39" i="2" s="1"/>
  <c r="F39" i="2" s="1"/>
  <c r="AB38" i="1"/>
  <c r="M39" i="1"/>
  <c r="E39" i="3" s="1"/>
  <c r="F39" i="3" s="1"/>
  <c r="K38" i="1"/>
  <c r="T38" i="1"/>
  <c r="U39" i="1"/>
  <c r="T37" i="1" l="1"/>
  <c r="U38" i="1"/>
  <c r="M38" i="1"/>
  <c r="E38" i="3" s="1"/>
  <c r="F38" i="3" s="1"/>
  <c r="K37" i="1"/>
  <c r="AC38" i="1"/>
  <c r="E38" i="2" s="1"/>
  <c r="F38" i="2" s="1"/>
  <c r="AB37" i="1"/>
  <c r="AC37" i="1" l="1"/>
  <c r="E37" i="2" s="1"/>
  <c r="F37" i="2" s="1"/>
  <c r="AB36" i="1"/>
  <c r="M37" i="1"/>
  <c r="E37" i="3" s="1"/>
  <c r="F37" i="3" s="1"/>
  <c r="K36" i="1"/>
  <c r="T36" i="1"/>
  <c r="U37" i="1"/>
  <c r="U36" i="1" l="1"/>
  <c r="T35" i="1"/>
  <c r="M36" i="1"/>
  <c r="E36" i="3" s="1"/>
  <c r="F36" i="3" s="1"/>
  <c r="K35" i="1"/>
  <c r="AC36" i="1"/>
  <c r="E36" i="2" s="1"/>
  <c r="F36" i="2" s="1"/>
  <c r="AB35" i="1"/>
  <c r="AC35" i="1" l="1"/>
  <c r="E35" i="2" s="1"/>
  <c r="F35" i="2" s="1"/>
  <c r="AB34" i="1"/>
  <c r="M35" i="1"/>
  <c r="E35" i="3" s="1"/>
  <c r="F35" i="3" s="1"/>
  <c r="K34" i="1"/>
  <c r="T34" i="1"/>
  <c r="U35" i="1"/>
  <c r="T33" i="1" l="1"/>
  <c r="U34" i="1"/>
  <c r="AC34" i="1"/>
  <c r="E34" i="2" s="1"/>
  <c r="F34" i="2" s="1"/>
  <c r="AB33" i="1"/>
  <c r="M34" i="1"/>
  <c r="E34" i="3" s="1"/>
  <c r="F34" i="3" s="1"/>
  <c r="K33" i="1"/>
  <c r="M33" i="1" l="1"/>
  <c r="E33" i="3" s="1"/>
  <c r="F33" i="3" s="1"/>
  <c r="K32" i="1"/>
  <c r="AC33" i="1"/>
  <c r="E33" i="2" s="1"/>
  <c r="F33" i="2" s="1"/>
  <c r="AB32" i="1"/>
  <c r="T32" i="1"/>
  <c r="U33" i="1"/>
  <c r="T31" i="1" l="1"/>
  <c r="U32" i="1"/>
  <c r="M32" i="1"/>
  <c r="E32" i="3" s="1"/>
  <c r="F32" i="3" s="1"/>
  <c r="K31" i="1"/>
  <c r="AC32" i="1"/>
  <c r="E32" i="2" s="1"/>
  <c r="F32" i="2" s="1"/>
  <c r="AB31" i="1"/>
  <c r="AC31" i="1" l="1"/>
  <c r="E31" i="2" s="1"/>
  <c r="F31" i="2" s="1"/>
  <c r="AB30" i="1"/>
  <c r="M31" i="1"/>
  <c r="E31" i="3" s="1"/>
  <c r="F31" i="3" s="1"/>
  <c r="K30" i="1"/>
  <c r="U31" i="1"/>
  <c r="T30" i="1"/>
  <c r="T29" i="1" l="1"/>
  <c r="U30" i="1"/>
  <c r="AC30" i="1"/>
  <c r="E30" i="2" s="1"/>
  <c r="F30" i="2" s="1"/>
  <c r="AB29" i="1"/>
  <c r="M30" i="1"/>
  <c r="E30" i="3" s="1"/>
  <c r="F30" i="3" s="1"/>
  <c r="K29" i="1"/>
  <c r="M29" i="1" l="1"/>
  <c r="E29" i="3" s="1"/>
  <c r="F29" i="3" s="1"/>
  <c r="K28" i="1"/>
  <c r="AC29" i="1"/>
  <c r="E29" i="2" s="1"/>
  <c r="F29" i="2" s="1"/>
  <c r="AB28" i="1"/>
  <c r="T28" i="1"/>
  <c r="U29" i="1"/>
  <c r="AC28" i="1" l="1"/>
  <c r="E28" i="2" s="1"/>
  <c r="F28" i="2" s="1"/>
  <c r="AB27" i="1"/>
  <c r="T27" i="1"/>
  <c r="U28" i="1"/>
  <c r="M28" i="1"/>
  <c r="E28" i="3" s="1"/>
  <c r="F28" i="3" s="1"/>
  <c r="K27" i="1"/>
  <c r="M27" i="1" l="1"/>
  <c r="E27" i="3" s="1"/>
  <c r="F27" i="3" s="1"/>
  <c r="K26" i="1"/>
  <c r="T26" i="1"/>
  <c r="U27" i="1"/>
  <c r="AC27" i="1"/>
  <c r="E27" i="2" s="1"/>
  <c r="F27" i="2" s="1"/>
  <c r="AB26" i="1"/>
  <c r="AC26" i="1" l="1"/>
  <c r="E26" i="2" s="1"/>
  <c r="F26" i="2" s="1"/>
  <c r="AB25" i="1"/>
  <c r="T25" i="1"/>
  <c r="U26" i="1"/>
  <c r="M26" i="1"/>
  <c r="E26" i="3" s="1"/>
  <c r="F26" i="3" s="1"/>
  <c r="K25" i="1"/>
  <c r="M25" i="1" l="1"/>
  <c r="E25" i="3" s="1"/>
  <c r="F25" i="3" s="1"/>
  <c r="K24" i="1"/>
  <c r="AC25" i="1"/>
  <c r="E25" i="2" s="1"/>
  <c r="F25" i="2" s="1"/>
  <c r="AB24" i="1"/>
  <c r="T24" i="1"/>
  <c r="U25" i="1"/>
  <c r="T23" i="1" l="1"/>
  <c r="U24" i="1"/>
  <c r="AC24" i="1"/>
  <c r="E24" i="2" s="1"/>
  <c r="F24" i="2" s="1"/>
  <c r="AB23" i="1"/>
  <c r="M24" i="1"/>
  <c r="E24" i="3" s="1"/>
  <c r="F24" i="3" s="1"/>
  <c r="K23" i="1"/>
  <c r="M23" i="1" l="1"/>
  <c r="E23" i="3" s="1"/>
  <c r="F23" i="3" s="1"/>
  <c r="K22" i="1"/>
  <c r="AC23" i="1"/>
  <c r="E23" i="2" s="1"/>
  <c r="F23" i="2" s="1"/>
  <c r="AB22" i="1"/>
  <c r="T22" i="1"/>
  <c r="U23" i="1"/>
  <c r="U22" i="1" l="1"/>
  <c r="T21" i="1"/>
  <c r="AC22" i="1"/>
  <c r="E22" i="2" s="1"/>
  <c r="F22" i="2" s="1"/>
  <c r="AB21" i="1"/>
  <c r="M22" i="1"/>
  <c r="E22" i="3" s="1"/>
  <c r="F22" i="3" s="1"/>
  <c r="K21" i="1"/>
  <c r="M21" i="1" l="1"/>
  <c r="E21" i="3" s="1"/>
  <c r="F21" i="3" s="1"/>
  <c r="K20" i="1"/>
  <c r="AC21" i="1"/>
  <c r="E21" i="2" s="1"/>
  <c r="F21" i="2" s="1"/>
  <c r="AB20" i="1"/>
  <c r="U21" i="1"/>
  <c r="T20" i="1"/>
  <c r="AC20" i="1" l="1"/>
  <c r="E20" i="2" s="1"/>
  <c r="F20" i="2" s="1"/>
  <c r="AB19" i="1"/>
  <c r="T19" i="1"/>
  <c r="U20" i="1"/>
  <c r="M20" i="1"/>
  <c r="E20" i="3" s="1"/>
  <c r="F20" i="3" s="1"/>
  <c r="K19" i="1"/>
  <c r="M19" i="1" l="1"/>
  <c r="E19" i="3" s="1"/>
  <c r="F19" i="3" s="1"/>
  <c r="K18" i="1"/>
  <c r="T18" i="1"/>
  <c r="U19" i="1"/>
  <c r="AC19" i="1"/>
  <c r="E19" i="2" s="1"/>
  <c r="F19" i="2" s="1"/>
  <c r="AB18" i="1"/>
  <c r="T17" i="1" l="1"/>
  <c r="U18" i="1"/>
  <c r="M18" i="1"/>
  <c r="E18" i="3" s="1"/>
  <c r="F18" i="3" s="1"/>
  <c r="K17" i="1"/>
  <c r="AC18" i="1"/>
  <c r="E18" i="2" s="1"/>
  <c r="F18" i="2" s="1"/>
  <c r="AB17" i="1"/>
  <c r="AC17" i="1" l="1"/>
  <c r="E17" i="2" s="1"/>
  <c r="F17" i="2" s="1"/>
  <c r="AB16" i="1"/>
  <c r="M17" i="1"/>
  <c r="E17" i="3" s="1"/>
  <c r="F17" i="3" s="1"/>
  <c r="K16" i="1"/>
  <c r="T16" i="1"/>
  <c r="U17" i="1"/>
  <c r="M16" i="1" l="1"/>
  <c r="E16" i="3" s="1"/>
  <c r="F16" i="3" s="1"/>
  <c r="K15" i="1"/>
  <c r="T15" i="1"/>
  <c r="U16" i="1"/>
  <c r="AC16" i="1"/>
  <c r="E16" i="2" s="1"/>
  <c r="F16" i="2" s="1"/>
  <c r="AB15" i="1"/>
  <c r="M15" i="1" l="1"/>
  <c r="E15" i="3" s="1"/>
  <c r="F15" i="3" s="1"/>
  <c r="K14" i="1"/>
  <c r="AC15" i="1"/>
  <c r="E15" i="2" s="1"/>
  <c r="F15" i="2" s="1"/>
  <c r="AB14" i="1"/>
  <c r="T14" i="1"/>
  <c r="U15" i="1"/>
  <c r="M14" i="1" l="1"/>
  <c r="E14" i="3" s="1"/>
  <c r="F14" i="3" s="1"/>
  <c r="K13" i="1"/>
  <c r="T13" i="1"/>
  <c r="U14" i="1"/>
  <c r="AC14" i="1"/>
  <c r="E14" i="2" s="1"/>
  <c r="F14" i="2" s="1"/>
  <c r="AB13" i="1"/>
  <c r="T12" i="1" l="1"/>
  <c r="U13" i="1"/>
  <c r="M13" i="1"/>
  <c r="E13" i="3" s="1"/>
  <c r="F13" i="3" s="1"/>
  <c r="K12" i="1"/>
  <c r="AC13" i="1"/>
  <c r="E13" i="2" s="1"/>
  <c r="F13" i="2" s="1"/>
  <c r="AB12" i="1"/>
  <c r="AC12" i="1" l="1"/>
  <c r="E12" i="2" s="1"/>
  <c r="F12" i="2" s="1"/>
  <c r="AB11" i="1"/>
  <c r="M12" i="1"/>
  <c r="E12" i="3" s="1"/>
  <c r="F12" i="3" s="1"/>
  <c r="K11" i="1"/>
  <c r="T11" i="1"/>
  <c r="U12" i="1"/>
  <c r="U11" i="1" l="1"/>
  <c r="T10" i="1"/>
  <c r="AC11" i="1"/>
  <c r="E11" i="2" s="1"/>
  <c r="F11" i="2" s="1"/>
  <c r="AB10" i="1"/>
  <c r="M11" i="1"/>
  <c r="E11" i="3" s="1"/>
  <c r="F11" i="3" s="1"/>
  <c r="K10" i="1"/>
  <c r="AB9" i="1" l="1"/>
  <c r="AC10" i="1"/>
  <c r="E10" i="2" s="1"/>
  <c r="F10" i="2" s="1"/>
  <c r="K9" i="1"/>
  <c r="M10" i="1"/>
  <c r="E10" i="3" s="1"/>
  <c r="F10" i="3" s="1"/>
  <c r="T9" i="1"/>
  <c r="U10" i="1"/>
  <c r="T8" i="1" l="1"/>
  <c r="U9" i="1"/>
  <c r="K8" i="1"/>
  <c r="M9" i="1"/>
  <c r="E9" i="3" s="1"/>
  <c r="F9" i="3" s="1"/>
  <c r="AC9" i="1"/>
  <c r="E9" i="2" s="1"/>
  <c r="F9" i="2" s="1"/>
  <c r="AB8" i="1"/>
  <c r="AC8" i="1" l="1"/>
  <c r="E8" i="2" s="1"/>
  <c r="F8" i="2" s="1"/>
  <c r="AB7" i="1"/>
  <c r="AC7" i="1" s="1"/>
  <c r="E7" i="2" s="1"/>
  <c r="F7" i="2" s="1"/>
  <c r="M8" i="1"/>
  <c r="E8" i="3" s="1"/>
  <c r="F8" i="3" s="1"/>
  <c r="K7" i="1"/>
  <c r="M7" i="1" s="1"/>
  <c r="U8" i="1"/>
  <c r="T7" i="1"/>
  <c r="U7" i="1" s="1"/>
  <c r="M4" i="1" l="1"/>
  <c r="E7" i="3"/>
  <c r="F7" i="3" s="1"/>
</calcChain>
</file>

<file path=xl/sharedStrings.xml><?xml version="1.0" encoding="utf-8"?>
<sst xmlns="http://schemas.openxmlformats.org/spreadsheetml/2006/main" count="70" uniqueCount="57">
  <si>
    <t>mag</t>
  </si>
  <si>
    <t>cumulative density</t>
  </si>
  <si>
    <t>char eqk (# of events)</t>
  </si>
  <si>
    <t>exponentail density</t>
  </si>
  <si>
    <t>cumulative 1</t>
  </si>
  <si>
    <t>moment</t>
  </si>
  <si>
    <t>moment*density</t>
  </si>
  <si>
    <t>b</t>
  </si>
  <si>
    <t>min mag</t>
  </si>
  <si>
    <t xml:space="preserve">beta </t>
  </si>
  <si>
    <t>mu</t>
  </si>
  <si>
    <t>moment rate</t>
  </si>
  <si>
    <t>char model:</t>
  </si>
  <si>
    <t>mmax +delta m3</t>
  </si>
  <si>
    <t>c</t>
  </si>
  <si>
    <t>moment for density func</t>
  </si>
  <si>
    <t>delta m4</t>
  </si>
  <si>
    <t>Exp</t>
  </si>
  <si>
    <t>Char</t>
  </si>
  <si>
    <t>m char</t>
  </si>
  <si>
    <t>char eqk Rec</t>
  </si>
  <si>
    <t>Rec (mu-dm4)</t>
  </si>
  <si>
    <t>sliprate (mm/yr)</t>
  </si>
  <si>
    <t>length (km)</t>
  </si>
  <si>
    <t>fraction moment Char</t>
    <phoneticPr fontId="2" type="noConversion"/>
  </si>
  <si>
    <t xml:space="preserve">moment in Char </t>
    <phoneticPr fontId="2" type="noConversion"/>
  </si>
  <si>
    <t>deltaM1</t>
    <phoneticPr fontId="2" type="noConversion"/>
  </si>
  <si>
    <t>To get this fract char</t>
    <phoneticPr fontId="2" type="noConversion"/>
  </si>
  <si>
    <t>N(M&gt;6.5)</t>
  </si>
  <si>
    <t>For TE model</t>
  </si>
  <si>
    <t>N(M) for YC model</t>
  </si>
  <si>
    <t>N(M) for TE model</t>
  </si>
  <si>
    <t>delta m2 (default 0.5)</t>
  </si>
  <si>
    <t>delta m3 (default 0.25)</t>
  </si>
  <si>
    <t>delta m1 (default 1)</t>
  </si>
  <si>
    <t>For maxMag model</t>
  </si>
  <si>
    <t>Truncated normal pdf</t>
  </si>
  <si>
    <t>Sigma Mag</t>
  </si>
  <si>
    <t>truncate (n sigma)</t>
  </si>
  <si>
    <t>moment*density*dm</t>
  </si>
  <si>
    <t>N(M) for maxmag</t>
  </si>
  <si>
    <t>C CDF</t>
  </si>
  <si>
    <t>mm paramax model</t>
  </si>
  <si>
    <t>moment * pdf</t>
  </si>
  <si>
    <t>char pdf</t>
  </si>
  <si>
    <t>down-dip width (km)</t>
  </si>
  <si>
    <t>sum</t>
  </si>
  <si>
    <t>Mag</t>
  </si>
  <si>
    <t>N(M) for YC85</t>
  </si>
  <si>
    <t>column</t>
  </si>
  <si>
    <t>out2 file prob</t>
  </si>
  <si>
    <t>seismo thick (km)</t>
  </si>
  <si>
    <t>dip</t>
  </si>
  <si>
    <t>rate of mag</t>
  </si>
  <si>
    <t>P(M)</t>
  </si>
  <si>
    <t>rate M for pure char</t>
  </si>
  <si>
    <t>rate M for YC85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</si>
</sst>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name val="Geneva"/>
    </font>
    <font>
      <sz val="10"/>
      <name val="Geneva"/>
      <family val="2"/>
    </font>
    <font>
      <sz val="8"/>
      <name val="Verdana"/>
      <family val="2"/>
    </font>
    <font>
      <sz val="10"/>
      <color rgb="FFFF0000"/>
      <name val="Geneva"/>
      <family val="2"/>
    </font>
    <font>
      <sz val="10"/>
      <color theme="4" tint="-0.249977111117893"/>
      <name val="Geneva"/>
      <family val="2"/>
    </font>
    <font>
      <sz val="10"/>
      <color theme="1"/>
      <name val="Geneva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1" fontId="0" fillId="0" borderId="0" xfId="0" applyNumberFormat="1"/>
    <xf numFmtId="2" fontId="0" fillId="0" borderId="0" xfId="0" applyNumberFormat="1"/>
    <xf numFmtId="9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0" fontId="1" fillId="0" borderId="0" xfId="0" applyFont="1"/>
    <xf numFmtId="0" fontId="3" fillId="0" borderId="0" xfId="0" applyFont="1"/>
    <xf numFmtId="11" fontId="3" fillId="0" borderId="0" xfId="0" applyNumberFormat="1" applyFont="1"/>
    <xf numFmtId="0" fontId="3" fillId="3" borderId="0" xfId="0" applyFont="1" applyFill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0" fontId="5" fillId="0" borderId="0" xfId="0" applyFont="1"/>
    <xf numFmtId="11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63"/>
  <sheetViews>
    <sheetView tabSelected="1" topLeftCell="A54" zoomScale="119" zoomScaleNormal="125" zoomScalePageLayoutView="125" workbookViewId="0">
      <selection activeCell="B72" sqref="B72:B75"/>
    </sheetView>
  </sheetViews>
  <sheetFormatPr baseColWidth="10" defaultColWidth="12.42578125" defaultRowHeight="14" x14ac:dyDescent="0.2"/>
  <cols>
    <col min="1" max="1" width="18.85546875" customWidth="1"/>
    <col min="5" max="5" width="18.85546875" customWidth="1"/>
  </cols>
  <sheetData>
    <row r="1" spans="1:29" x14ac:dyDescent="0.2">
      <c r="B1">
        <f>58*14</f>
        <v>812</v>
      </c>
      <c r="M1">
        <f>M507</f>
        <v>4.0318380319640149E-2</v>
      </c>
      <c r="U1">
        <f>U507</f>
        <v>0.25982093067156575</v>
      </c>
      <c r="AC1">
        <f>AC507</f>
        <v>7.4493433161470389E-3</v>
      </c>
    </row>
    <row r="2" spans="1:29" x14ac:dyDescent="0.2">
      <c r="B2">
        <f>LOG10(58*14)</f>
        <v>2.9095560292411755</v>
      </c>
      <c r="M2" s="1">
        <f>M507</f>
        <v>4.0318380319640149E-2</v>
      </c>
      <c r="U2" s="1">
        <f>U507</f>
        <v>0.25982093067156575</v>
      </c>
      <c r="AC2" s="1">
        <f>AC507</f>
        <v>7.4493433161470389E-3</v>
      </c>
    </row>
    <row r="4" spans="1:29" x14ac:dyDescent="0.2">
      <c r="E4" s="12" t="s">
        <v>50</v>
      </c>
      <c r="J4">
        <f>SUM(J7:J1207)</f>
        <v>99.998210644192383</v>
      </c>
      <c r="K4">
        <v>0.01</v>
      </c>
      <c r="L4">
        <f>SUM(L7:L2004)*$K$4</f>
        <v>2.9627125265252714E+21</v>
      </c>
      <c r="M4" s="2">
        <f>1/M7</f>
        <v>9.3521639549954034E-4</v>
      </c>
      <c r="P4">
        <f>SUM(P7:P1004)*K4</f>
        <v>2.7738931954245477E+21</v>
      </c>
      <c r="R4" s="11" t="s">
        <v>29</v>
      </c>
      <c r="W4">
        <f>SUM(W7:W863)</f>
        <v>3.820047836219356E+20</v>
      </c>
      <c r="Y4" s="11" t="s">
        <v>35</v>
      </c>
      <c r="Z4">
        <f>SUM(Z7:Z863)</f>
        <v>100.00235668946658</v>
      </c>
      <c r="AA4">
        <f>SUM(AA7:AA863)</f>
        <v>4.2528240751842506E+26</v>
      </c>
    </row>
    <row r="6" spans="1:29" x14ac:dyDescent="0.2">
      <c r="D6" s="13" t="s">
        <v>47</v>
      </c>
      <c r="E6" s="13" t="s">
        <v>55</v>
      </c>
      <c r="F6" s="13" t="s">
        <v>56</v>
      </c>
      <c r="I6" t="s">
        <v>0</v>
      </c>
      <c r="J6" s="7" t="s">
        <v>44</v>
      </c>
      <c r="K6" t="s">
        <v>1</v>
      </c>
      <c r="L6" s="7" t="s">
        <v>43</v>
      </c>
      <c r="M6" s="12" t="s">
        <v>30</v>
      </c>
      <c r="N6" t="s">
        <v>2</v>
      </c>
      <c r="P6" t="s">
        <v>25</v>
      </c>
      <c r="R6" s="7" t="s">
        <v>0</v>
      </c>
      <c r="S6" t="s">
        <v>3</v>
      </c>
      <c r="T6" t="s">
        <v>4</v>
      </c>
      <c r="U6" s="12" t="s">
        <v>31</v>
      </c>
      <c r="V6" t="s">
        <v>5</v>
      </c>
      <c r="W6" t="s">
        <v>6</v>
      </c>
      <c r="Y6" s="7" t="s">
        <v>0</v>
      </c>
      <c r="Z6" s="7" t="s">
        <v>36</v>
      </c>
      <c r="AA6" s="7" t="s">
        <v>39</v>
      </c>
      <c r="AB6" s="7" t="s">
        <v>41</v>
      </c>
      <c r="AC6" s="12" t="s">
        <v>40</v>
      </c>
    </row>
    <row r="7" spans="1:29" x14ac:dyDescent="0.2">
      <c r="A7" t="s">
        <v>7</v>
      </c>
      <c r="B7" s="8">
        <v>0.9</v>
      </c>
      <c r="C7" s="8"/>
      <c r="D7" s="14">
        <f>'Out2 for pureChar'!$A7</f>
        <v>5.05</v>
      </c>
      <c r="E7" s="16">
        <f ca="1">'Out2 for pureChar'!$B7</f>
        <v>0</v>
      </c>
      <c r="F7" s="16">
        <f ca="1">'out2 for YC'!$B7</f>
        <v>6.8924883467910147E-3</v>
      </c>
      <c r="G7" s="8"/>
      <c r="H7" s="8"/>
      <c r="I7">
        <v>5.0000000000000001E-3</v>
      </c>
      <c r="J7">
        <f t="shared" ref="J7:J70" si="0">IF($I7&gt;$B$23,0,1)*IF($I7&lt;($B$23-$B$21),$B$10*EXP(-$B$10*($I7-$B$8)),$B$10*EXP(-$B$10*($B$23-$B$20-$B$21-$B$8)))/(1-EXP(-$B$10*($B$23-$B$21-$B$8)))*(1/(1+$B$24))</f>
        <v>2.0509522817034553</v>
      </c>
      <c r="K7">
        <f>$J7*K$4+K8</f>
        <v>0.99998210644192409</v>
      </c>
      <c r="L7">
        <f t="shared" ref="L7:L70" si="1">$V7*$J7</f>
        <v>2.3412918643169648E+16</v>
      </c>
      <c r="M7" s="1">
        <f t="shared" ref="M7:M70" si="2">$K7/$L$4*$B$18</f>
        <v>1069.2712454702591</v>
      </c>
      <c r="N7">
        <f t="shared" ref="N7:N70" si="3">IF($I7&gt;$B$23,0,1)*IF($I7&lt;($B$23-$B$21),0,M7)</f>
        <v>0</v>
      </c>
      <c r="O7">
        <f t="shared" ref="O7:O70" si="4">IF($I7&gt;$B$23,0,1)*IF($I7&lt;($B$23-$B$33),0,1)*IF($I7&lt;($B$23-$B$21),$B$10*EXP(-$B$10*($I7-$B$8)),$B$10*EXP(-$B$10*($B$23-$B$20-$B$21-$B$8)))/(1-EXP(-$B$10*($B$23-$B$21-$B$8)))*(1/(1+$B$24))*($B$18/(SUM($L$7:$L$105)*0.05))</f>
        <v>0</v>
      </c>
      <c r="P7">
        <f t="shared" ref="P7:P70" si="5">IF($I7&gt;$B$23,0,1)*IF($I7&lt;($B$23-$B$21),0,1)*$L7</f>
        <v>0</v>
      </c>
      <c r="R7">
        <f t="shared" ref="R7:R70" si="6">$I7</f>
        <v>5.0000000000000001E-3</v>
      </c>
      <c r="S7">
        <f t="shared" ref="S7:S70" si="7">IF($I7&lt;$B$23+0.01,$B$10*EXP(-$B$10*($I7-$B$8))/(1-EXP(-$B$10*($B$23-$B$8))),0)</f>
        <v>2.0509653714538776</v>
      </c>
      <c r="T7">
        <f>T8+$S7*0.01</f>
        <v>0.99998211244092505</v>
      </c>
      <c r="U7" s="1">
        <f t="shared" ref="U7:U70" si="8">T7*$B$18/$W$4</f>
        <v>8292.9415233399704</v>
      </c>
      <c r="V7">
        <f>10^(1.5*$I7+16.05)</f>
        <v>1.141563304618849E+16</v>
      </c>
      <c r="W7">
        <f>$S7*$V7*0.01</f>
        <v>234130680709571.38</v>
      </c>
      <c r="X7">
        <f>(1-EXP(-$B$10*($B$9-0.5-$B$8))+$B$10/2*EXP(-$B$10*($B$9-1.5-$B$8)))</f>
        <v>1.0000102134058066</v>
      </c>
      <c r="Y7">
        <f>I7</f>
        <v>5.0000000000000001E-3</v>
      </c>
      <c r="Z7">
        <f t="shared" ref="Z7:Z70" si="9">IF(AND($Y7&lt;$B$9+$B$27*$B$28,$Y7&gt;$B$9-$B$27*$B$28),NORMDIST($Y7,$B$9,$B$27,0) / (2*NORMDIST($B$28,0,1,1)-1),0)</f>
        <v>0</v>
      </c>
      <c r="AA7">
        <f>$V7*$Z7*$K$4</f>
        <v>0</v>
      </c>
      <c r="AB7">
        <f>Z7*$K$4+AB8</f>
        <v>1.0000235668946658</v>
      </c>
      <c r="AC7" s="1">
        <f t="shared" ref="AC7:AC70" si="10">$AB7*$B$18/$AA$4</f>
        <v>7.4493433161470389E-3</v>
      </c>
    </row>
    <row r="8" spans="1:29" x14ac:dyDescent="0.2">
      <c r="A8" t="s">
        <v>8</v>
      </c>
      <c r="B8" s="8">
        <v>0</v>
      </c>
      <c r="C8" s="8"/>
      <c r="D8" s="14">
        <f>'Out2 for pureChar'!$A8</f>
        <v>5.1499999999999995</v>
      </c>
      <c r="E8" s="16">
        <f ca="1">'Out2 for pureChar'!$B8</f>
        <v>0</v>
      </c>
      <c r="F8" s="16">
        <f ca="1">'out2 for YC'!$B8</f>
        <v>5.0387207325126963E-3</v>
      </c>
      <c r="G8" s="8"/>
      <c r="H8" s="8"/>
      <c r="I8">
        <f>I7+0.01</f>
        <v>1.4999999999999999E-2</v>
      </c>
      <c r="J8">
        <f t="shared" si="0"/>
        <v>2.0088872204796555</v>
      </c>
      <c r="K8">
        <f t="shared" ref="K8:K71" si="11">$J8*K$4+K9</f>
        <v>0.97947258362488954</v>
      </c>
      <c r="L8">
        <f t="shared" si="1"/>
        <v>2.3738624785636448E+16</v>
      </c>
      <c r="M8">
        <f t="shared" si="2"/>
        <v>1047.3406100465895</v>
      </c>
      <c r="N8">
        <f t="shared" si="3"/>
        <v>0</v>
      </c>
      <c r="O8">
        <f t="shared" si="4"/>
        <v>0</v>
      </c>
      <c r="P8">
        <f t="shared" si="5"/>
        <v>0</v>
      </c>
      <c r="R8">
        <f t="shared" si="6"/>
        <v>1.4999999999999999E-2</v>
      </c>
      <c r="S8">
        <f t="shared" si="7"/>
        <v>2.0089000417591052</v>
      </c>
      <c r="T8">
        <f t="shared" ref="T8:T71" si="12">T9+$S8*0.01</f>
        <v>0.97947245872638633</v>
      </c>
      <c r="U8" s="1">
        <f t="shared" si="8"/>
        <v>8122.8531219550214</v>
      </c>
      <c r="V8">
        <f t="shared" ref="V8:V70" si="13">10^(1.5*$I8+16.05)</f>
        <v>1.1816803125447954E+16</v>
      </c>
      <c r="W8">
        <f t="shared" ref="W8:W71" si="14">$S8*$V8*0.01</f>
        <v>237387762921715.22</v>
      </c>
      <c r="Y8">
        <f t="shared" ref="Y8:Y71" si="15">I8</f>
        <v>1.4999999999999999E-2</v>
      </c>
      <c r="Z8">
        <f t="shared" si="9"/>
        <v>0</v>
      </c>
      <c r="AA8">
        <f t="shared" ref="AA8:AA71" si="16">$V8*$Z8*$K$4</f>
        <v>0</v>
      </c>
      <c r="AB8">
        <f t="shared" ref="AB8:AB71" si="17">Z8*$K$4+AB9</f>
        <v>1.0000235668946658</v>
      </c>
      <c r="AC8" s="1">
        <f t="shared" si="10"/>
        <v>7.4493433161470389E-3</v>
      </c>
    </row>
    <row r="9" spans="1:29" x14ac:dyDescent="0.2">
      <c r="A9" t="s">
        <v>19</v>
      </c>
      <c r="B9" s="10">
        <v>7</v>
      </c>
      <c r="C9" s="8"/>
      <c r="D9" s="14">
        <f>'Out2 for pureChar'!$A9</f>
        <v>5.2499999999999991</v>
      </c>
      <c r="E9" s="16">
        <f ca="1">'Out2 for pureChar'!$B9</f>
        <v>0</v>
      </c>
      <c r="F9" s="16">
        <f ca="1">'out2 for YC'!$B9</f>
        <v>4.0956259738150619E-3</v>
      </c>
      <c r="G9" s="8"/>
      <c r="H9" s="8"/>
      <c r="I9">
        <f t="shared" ref="I9:I72" si="18">I8+0.01</f>
        <v>2.5000000000000001E-2</v>
      </c>
      <c r="J9">
        <f t="shared" si="0"/>
        <v>1.9676849142753392</v>
      </c>
      <c r="K9">
        <f t="shared" si="11"/>
        <v>0.95938371142009293</v>
      </c>
      <c r="L9">
        <f t="shared" si="1"/>
        <v>2.4068861951887724E+16</v>
      </c>
      <c r="M9">
        <f t="shared" si="2"/>
        <v>1025.8597722754555</v>
      </c>
      <c r="N9">
        <f t="shared" si="3"/>
        <v>0</v>
      </c>
      <c r="O9">
        <f t="shared" si="4"/>
        <v>0</v>
      </c>
      <c r="P9">
        <f t="shared" si="5"/>
        <v>0</v>
      </c>
      <c r="R9">
        <f t="shared" si="6"/>
        <v>2.5000000000000001E-2</v>
      </c>
      <c r="S9">
        <f t="shared" si="7"/>
        <v>1.9676974725901601</v>
      </c>
      <c r="T9">
        <f t="shared" si="12"/>
        <v>0.95938345830879523</v>
      </c>
      <c r="U9" s="1">
        <f t="shared" si="8"/>
        <v>7956.253236164288</v>
      </c>
      <c r="V9">
        <f t="shared" si="13"/>
        <v>1.2232071190499434E+16</v>
      </c>
      <c r="W9">
        <f t="shared" si="14"/>
        <v>240690155660886.5</v>
      </c>
      <c r="Y9">
        <f t="shared" si="15"/>
        <v>2.5000000000000001E-2</v>
      </c>
      <c r="Z9">
        <f t="shared" si="9"/>
        <v>0</v>
      </c>
      <c r="AA9">
        <f t="shared" si="16"/>
        <v>0</v>
      </c>
      <c r="AB9">
        <f t="shared" si="17"/>
        <v>1.0000235668946658</v>
      </c>
      <c r="AC9" s="1">
        <f t="shared" si="10"/>
        <v>7.4493433161470389E-3</v>
      </c>
    </row>
    <row r="10" spans="1:29" x14ac:dyDescent="0.2">
      <c r="A10" t="s">
        <v>9</v>
      </c>
      <c r="B10" s="8">
        <f>$B$7*LN(10)</f>
        <v>2.0723265836946414</v>
      </c>
      <c r="C10" s="8"/>
      <c r="D10" s="14">
        <f>'Out2 for pureChar'!$A10</f>
        <v>5.3499999999999988</v>
      </c>
      <c r="E10" s="16">
        <f ca="1">'Out2 for pureChar'!$B10</f>
        <v>0</v>
      </c>
      <c r="F10" s="16">
        <f ca="1">'out2 for YC'!$B10</f>
        <v>3.3290497743112091E-3</v>
      </c>
      <c r="G10" s="8"/>
      <c r="H10" s="8"/>
      <c r="I10">
        <f t="shared" si="18"/>
        <v>3.5000000000000003E-2</v>
      </c>
      <c r="J10">
        <f t="shared" si="0"/>
        <v>1.9273276679724691</v>
      </c>
      <c r="K10">
        <f t="shared" si="11"/>
        <v>0.93970686227733957</v>
      </c>
      <c r="L10">
        <f t="shared" si="1"/>
        <v>2.4403693174743152E+16</v>
      </c>
      <c r="M10">
        <f t="shared" si="2"/>
        <v>1004.8195068004411</v>
      </c>
      <c r="N10">
        <f t="shared" si="3"/>
        <v>0</v>
      </c>
      <c r="O10">
        <f t="shared" si="4"/>
        <v>0</v>
      </c>
      <c r="P10">
        <f t="shared" si="5"/>
        <v>0</v>
      </c>
      <c r="R10">
        <f t="shared" si="6"/>
        <v>3.5000000000000003E-2</v>
      </c>
      <c r="S10">
        <f t="shared" si="7"/>
        <v>1.9273399687160697</v>
      </c>
      <c r="T10">
        <f t="shared" si="12"/>
        <v>0.93970648358289366</v>
      </c>
      <c r="U10" s="1">
        <f t="shared" si="8"/>
        <v>7793.0703164620309</v>
      </c>
      <c r="V10">
        <f t="shared" si="13"/>
        <v>1.2661932675109474E+16</v>
      </c>
      <c r="W10">
        <f t="shared" si="14"/>
        <v>244038489259304.75</v>
      </c>
      <c r="Y10">
        <f t="shared" si="15"/>
        <v>3.5000000000000003E-2</v>
      </c>
      <c r="Z10">
        <f t="shared" si="9"/>
        <v>0</v>
      </c>
      <c r="AA10">
        <f t="shared" si="16"/>
        <v>0</v>
      </c>
      <c r="AB10">
        <f t="shared" si="17"/>
        <v>1.0000235668946658</v>
      </c>
      <c r="AC10" s="1">
        <f t="shared" si="10"/>
        <v>7.4493433161470389E-3</v>
      </c>
    </row>
    <row r="11" spans="1:29" x14ac:dyDescent="0.2">
      <c r="B11" s="8"/>
      <c r="C11" s="8"/>
      <c r="D11" s="14">
        <f>'Out2 for pureChar'!$A11</f>
        <v>5.4499999999999984</v>
      </c>
      <c r="E11" s="16">
        <f ca="1">'Out2 for pureChar'!$B11</f>
        <v>0</v>
      </c>
      <c r="F11" s="16">
        <f ca="1">'out2 for YC'!$B11</f>
        <v>2.7059532463893682E-3</v>
      </c>
      <c r="G11" s="8"/>
      <c r="H11" s="8"/>
      <c r="I11">
        <f t="shared" si="18"/>
        <v>4.5000000000000005E-2</v>
      </c>
      <c r="J11">
        <f t="shared" si="0"/>
        <v>1.8877981493801352</v>
      </c>
      <c r="K11">
        <f t="shared" si="11"/>
        <v>0.9204335855976149</v>
      </c>
      <c r="L11">
        <f t="shared" si="1"/>
        <v>2.4743182363896564E+16</v>
      </c>
      <c r="M11">
        <f t="shared" si="2"/>
        <v>984.21077747732397</v>
      </c>
      <c r="N11">
        <f t="shared" si="3"/>
        <v>0</v>
      </c>
      <c r="O11">
        <f t="shared" si="4"/>
        <v>0</v>
      </c>
      <c r="P11">
        <f t="shared" si="5"/>
        <v>0</v>
      </c>
      <c r="R11">
        <f t="shared" si="6"/>
        <v>4.5000000000000005E-2</v>
      </c>
      <c r="S11">
        <f t="shared" si="7"/>
        <v>1.887810197835305</v>
      </c>
      <c r="T11">
        <f t="shared" si="12"/>
        <v>0.92043308389573297</v>
      </c>
      <c r="U11" s="1">
        <f t="shared" si="8"/>
        <v>7633.2342808239191</v>
      </c>
      <c r="V11">
        <f t="shared" si="13"/>
        <v>1.3106900423660798E+16</v>
      </c>
      <c r="W11">
        <f t="shared" si="14"/>
        <v>247433402817987.38</v>
      </c>
      <c r="Y11">
        <f t="shared" si="15"/>
        <v>4.5000000000000005E-2</v>
      </c>
      <c r="Z11">
        <f t="shared" si="9"/>
        <v>0</v>
      </c>
      <c r="AA11">
        <f t="shared" si="16"/>
        <v>0</v>
      </c>
      <c r="AB11">
        <f t="shared" si="17"/>
        <v>1.0000235668946658</v>
      </c>
      <c r="AC11" s="1">
        <f t="shared" si="10"/>
        <v>7.4493433161470389E-3</v>
      </c>
    </row>
    <row r="12" spans="1:29" x14ac:dyDescent="0.2">
      <c r="A12" t="s">
        <v>22</v>
      </c>
      <c r="B12" s="8">
        <v>11</v>
      </c>
      <c r="C12" s="8"/>
      <c r="D12" s="14">
        <f>'Out2 for pureChar'!$A12</f>
        <v>5.549999999999998</v>
      </c>
      <c r="E12" s="16">
        <f ca="1">'Out2 for pureChar'!$B12</f>
        <v>0</v>
      </c>
      <c r="F12" s="16">
        <f ca="1">'out2 for YC'!$B12</f>
        <v>2.1994813739786012E-3</v>
      </c>
      <c r="G12" s="8"/>
      <c r="H12" s="8"/>
      <c r="I12">
        <f t="shared" si="18"/>
        <v>5.5000000000000007E-2</v>
      </c>
      <c r="J12">
        <f t="shared" si="0"/>
        <v>1.8490793817909177</v>
      </c>
      <c r="K12">
        <f t="shared" si="11"/>
        <v>0.90155560410381352</v>
      </c>
      <c r="L12">
        <f t="shared" si="1"/>
        <v>2.5087394318113732E+16</v>
      </c>
      <c r="M12">
        <f t="shared" si="2"/>
        <v>964.02473349333206</v>
      </c>
      <c r="N12">
        <f t="shared" si="3"/>
        <v>0</v>
      </c>
      <c r="O12">
        <f t="shared" si="4"/>
        <v>0</v>
      </c>
      <c r="P12">
        <f t="shared" si="5"/>
        <v>0</v>
      </c>
      <c r="R12">
        <f t="shared" si="6"/>
        <v>5.5000000000000007E-2</v>
      </c>
      <c r="S12">
        <f t="shared" si="7"/>
        <v>1.8490911831320962</v>
      </c>
      <c r="T12">
        <f t="shared" si="12"/>
        <v>0.90155498191737993</v>
      </c>
      <c r="U12" s="1">
        <f t="shared" si="8"/>
        <v>7476.67648460896</v>
      </c>
      <c r="V12">
        <f t="shared" si="13"/>
        <v>1.3567505302998646E+16</v>
      </c>
      <c r="W12">
        <f t="shared" si="14"/>
        <v>250875544328727.56</v>
      </c>
      <c r="Y12">
        <f t="shared" si="15"/>
        <v>5.5000000000000007E-2</v>
      </c>
      <c r="Z12">
        <f t="shared" si="9"/>
        <v>0</v>
      </c>
      <c r="AA12">
        <f t="shared" si="16"/>
        <v>0</v>
      </c>
      <c r="AB12">
        <f t="shared" si="17"/>
        <v>1.0000235668946658</v>
      </c>
      <c r="AC12" s="1">
        <f t="shared" si="10"/>
        <v>7.4493433161470389E-3</v>
      </c>
    </row>
    <row r="13" spans="1:29" x14ac:dyDescent="0.2">
      <c r="A13" t="s">
        <v>23</v>
      </c>
      <c r="B13" s="10">
        <v>80</v>
      </c>
      <c r="C13" s="8"/>
      <c r="D13" s="14">
        <f>'Out2 for pureChar'!$A13</f>
        <v>5.6499999999999977</v>
      </c>
      <c r="E13" s="16">
        <f ca="1">'Out2 for pureChar'!$B13</f>
        <v>0</v>
      </c>
      <c r="F13" s="16">
        <f ca="1">'out2 for YC'!$B13</f>
        <v>1.7878055805043546E-3</v>
      </c>
      <c r="G13" s="8"/>
      <c r="H13" s="8"/>
      <c r="I13">
        <f t="shared" si="18"/>
        <v>6.5000000000000002E-2</v>
      </c>
      <c r="J13">
        <f t="shared" si="0"/>
        <v>1.8111547366899117</v>
      </c>
      <c r="K13">
        <f t="shared" si="11"/>
        <v>0.88306481028590433</v>
      </c>
      <c r="L13">
        <f t="shared" si="1"/>
        <v>2.5436394737601188E+16</v>
      </c>
      <c r="M13">
        <f t="shared" si="2"/>
        <v>944.25270556599253</v>
      </c>
      <c r="N13">
        <f t="shared" si="3"/>
        <v>0</v>
      </c>
      <c r="O13">
        <f t="shared" si="4"/>
        <v>0</v>
      </c>
      <c r="P13">
        <f t="shared" si="5"/>
        <v>0</v>
      </c>
      <c r="R13">
        <f t="shared" si="6"/>
        <v>6.5000000000000002E-2</v>
      </c>
      <c r="S13">
        <f t="shared" si="7"/>
        <v>1.8111662959854105</v>
      </c>
      <c r="T13">
        <f t="shared" si="12"/>
        <v>0.88306407008605892</v>
      </c>
      <c r="U13" s="1">
        <f t="shared" si="8"/>
        <v>7323.3296910787503</v>
      </c>
      <c r="V13">
        <f t="shared" si="13"/>
        <v>1.4044296835779504E+16</v>
      </c>
      <c r="W13">
        <f t="shared" si="14"/>
        <v>254365570797783.84</v>
      </c>
      <c r="Y13">
        <f t="shared" si="15"/>
        <v>6.5000000000000002E-2</v>
      </c>
      <c r="Z13">
        <f t="shared" si="9"/>
        <v>0</v>
      </c>
      <c r="AA13">
        <f t="shared" si="16"/>
        <v>0</v>
      </c>
      <c r="AB13">
        <f t="shared" si="17"/>
        <v>1.0000235668946658</v>
      </c>
      <c r="AC13" s="1">
        <f t="shared" si="10"/>
        <v>7.4493433161470389E-3</v>
      </c>
    </row>
    <row r="14" spans="1:29" x14ac:dyDescent="0.2">
      <c r="A14" s="7" t="s">
        <v>51</v>
      </c>
      <c r="B14" s="10">
        <v>12</v>
      </c>
      <c r="C14" s="8"/>
      <c r="D14" s="14">
        <f>'Out2 for pureChar'!$A14</f>
        <v>5.7499999999999973</v>
      </c>
      <c r="E14" s="16">
        <f ca="1">'Out2 for pureChar'!$B14</f>
        <v>0</v>
      </c>
      <c r="F14" s="16">
        <f ca="1">'out2 for YC'!$B14</f>
        <v>1.4531829328024212E-3</v>
      </c>
      <c r="G14" s="8"/>
      <c r="H14" s="8"/>
      <c r="I14">
        <f t="shared" si="18"/>
        <v>7.4999999999999997E-2</v>
      </c>
      <c r="J14">
        <f t="shared" si="0"/>
        <v>1.7740079266132975</v>
      </c>
      <c r="K14">
        <f t="shared" si="11"/>
        <v>0.86495326291900521</v>
      </c>
      <c r="L14">
        <f t="shared" si="1"/>
        <v>2.579025023654658E+16</v>
      </c>
      <c r="M14">
        <f t="shared" si="2"/>
        <v>924.88620221994233</v>
      </c>
      <c r="N14">
        <f t="shared" si="3"/>
        <v>0</v>
      </c>
      <c r="O14">
        <f t="shared" si="4"/>
        <v>0</v>
      </c>
      <c r="P14">
        <f t="shared" si="5"/>
        <v>0</v>
      </c>
      <c r="R14">
        <f t="shared" si="6"/>
        <v>7.4999999999999997E-2</v>
      </c>
      <c r="S14">
        <f t="shared" si="7"/>
        <v>1.7740192488274769</v>
      </c>
      <c r="T14">
        <f t="shared" si="12"/>
        <v>0.8649524071262048</v>
      </c>
      <c r="U14" s="1">
        <f t="shared" si="8"/>
        <v>7173.1280425213763</v>
      </c>
      <c r="V14">
        <f t="shared" si="13"/>
        <v>1.453784385607675E+16</v>
      </c>
      <c r="W14">
        <f t="shared" si="14"/>
        <v>257904148371284.25</v>
      </c>
      <c r="Y14">
        <f t="shared" si="15"/>
        <v>7.4999999999999997E-2</v>
      </c>
      <c r="Z14">
        <f t="shared" si="9"/>
        <v>0</v>
      </c>
      <c r="AA14">
        <f t="shared" si="16"/>
        <v>0</v>
      </c>
      <c r="AB14">
        <f t="shared" si="17"/>
        <v>1.0000235668946658</v>
      </c>
      <c r="AC14" s="1">
        <f t="shared" si="10"/>
        <v>7.4493433161470389E-3</v>
      </c>
    </row>
    <row r="15" spans="1:29" x14ac:dyDescent="0.2">
      <c r="A15" s="7" t="s">
        <v>52</v>
      </c>
      <c r="B15" s="10">
        <v>90</v>
      </c>
      <c r="C15" s="9"/>
      <c r="D15" s="14">
        <f>'Out2 for pureChar'!$A15</f>
        <v>5.849999999999997</v>
      </c>
      <c r="E15" s="16">
        <f ca="1">'Out2 for pureChar'!$B15</f>
        <v>0</v>
      </c>
      <c r="F15" s="16">
        <f ca="1">'out2 for YC'!$B15</f>
        <v>1.1811914333506538E-3</v>
      </c>
      <c r="G15" s="9"/>
      <c r="H15" s="9"/>
      <c r="I15">
        <f t="shared" si="18"/>
        <v>8.4999999999999992E-2</v>
      </c>
      <c r="J15">
        <f t="shared" si="0"/>
        <v>1.7376229981533748</v>
      </c>
      <c r="K15">
        <f t="shared" si="11"/>
        <v>0.84721318365287224</v>
      </c>
      <c r="L15">
        <f t="shared" si="1"/>
        <v>2.614902835583266E+16</v>
      </c>
      <c r="M15">
        <f t="shared" si="2"/>
        <v>905.91690614010224</v>
      </c>
      <c r="N15">
        <f t="shared" si="3"/>
        <v>0</v>
      </c>
      <c r="O15">
        <f t="shared" si="4"/>
        <v>0</v>
      </c>
      <c r="P15">
        <f t="shared" si="5"/>
        <v>0</v>
      </c>
      <c r="R15">
        <f t="shared" si="6"/>
        <v>8.4999999999999992E-2</v>
      </c>
      <c r="S15">
        <f t="shared" si="7"/>
        <v>1.7376340881487764</v>
      </c>
      <c r="T15">
        <f t="shared" si="12"/>
        <v>0.84721221463793006</v>
      </c>
      <c r="U15" s="1">
        <f t="shared" si="8"/>
        <v>7026.0070319675515</v>
      </c>
      <c r="V15">
        <f t="shared" si="13"/>
        <v>1.504873518802527E+16</v>
      </c>
      <c r="W15">
        <f t="shared" si="14"/>
        <v>261491952462366.97</v>
      </c>
      <c r="Y15">
        <f t="shared" si="15"/>
        <v>8.4999999999999992E-2</v>
      </c>
      <c r="Z15">
        <f t="shared" si="9"/>
        <v>0</v>
      </c>
      <c r="AA15">
        <f t="shared" si="16"/>
        <v>0</v>
      </c>
      <c r="AB15">
        <f t="shared" si="17"/>
        <v>1.0000235668946658</v>
      </c>
      <c r="AC15" s="1">
        <f t="shared" si="10"/>
        <v>7.4493433161470389E-3</v>
      </c>
    </row>
    <row r="16" spans="1:29" x14ac:dyDescent="0.2">
      <c r="A16" s="7" t="s">
        <v>45</v>
      </c>
      <c r="B16" s="15">
        <f>B14/SIN(B15*PI()/180)</f>
        <v>12</v>
      </c>
      <c r="C16" s="1"/>
      <c r="D16" s="14">
        <f>'Out2 for pureChar'!$A16</f>
        <v>5.9499999999999966</v>
      </c>
      <c r="E16" s="16">
        <f ca="1">'Out2 for pureChar'!$B16</f>
        <v>0</v>
      </c>
      <c r="F16" s="16">
        <f ca="1">'out2 for YC'!$B16</f>
        <v>9.6010844245903067E-4</v>
      </c>
      <c r="G16" s="1"/>
      <c r="H16" s="1"/>
      <c r="I16">
        <f t="shared" si="18"/>
        <v>9.4999999999999987E-2</v>
      </c>
      <c r="J16">
        <f t="shared" si="0"/>
        <v>1.7019843251070685</v>
      </c>
      <c r="K16">
        <f t="shared" si="11"/>
        <v>0.82983695367133847</v>
      </c>
      <c r="L16">
        <f t="shared" si="1"/>
        <v>2.6512797575929824E+16</v>
      </c>
      <c r="M16">
        <f t="shared" si="2"/>
        <v>887.33667059964625</v>
      </c>
      <c r="N16">
        <f t="shared" si="3"/>
        <v>0</v>
      </c>
      <c r="O16">
        <f t="shared" si="4"/>
        <v>0</v>
      </c>
      <c r="P16">
        <f t="shared" si="5"/>
        <v>0</v>
      </c>
      <c r="R16">
        <f t="shared" si="6"/>
        <v>9.4999999999999987E-2</v>
      </c>
      <c r="S16">
        <f t="shared" si="7"/>
        <v>1.7019951876465027</v>
      </c>
      <c r="T16">
        <f t="shared" si="12"/>
        <v>0.8298358737564423</v>
      </c>
      <c r="U16" s="1">
        <f t="shared" si="8"/>
        <v>6881.9034754868726</v>
      </c>
      <c r="V16">
        <f t="shared" si="13"/>
        <v>1.5577580348316048E+16</v>
      </c>
      <c r="W16">
        <f t="shared" si="14"/>
        <v>265129667880106.44</v>
      </c>
      <c r="Y16">
        <f t="shared" si="15"/>
        <v>9.4999999999999987E-2</v>
      </c>
      <c r="Z16">
        <f t="shared" si="9"/>
        <v>0</v>
      </c>
      <c r="AA16">
        <f t="shared" si="16"/>
        <v>0</v>
      </c>
      <c r="AB16">
        <f t="shared" si="17"/>
        <v>1.0000235668946658</v>
      </c>
      <c r="AC16" s="1">
        <f t="shared" si="10"/>
        <v>7.4493433161470389E-3</v>
      </c>
    </row>
    <row r="17" spans="1:29" x14ac:dyDescent="0.2">
      <c r="A17" t="s">
        <v>10</v>
      </c>
      <c r="B17" s="9">
        <v>300000000000</v>
      </c>
      <c r="D17" s="14">
        <f>'Out2 for pureChar'!$A17</f>
        <v>6.0499999999999963</v>
      </c>
      <c r="E17" s="16">
        <f ca="1">'Out2 for pureChar'!$B17</f>
        <v>0</v>
      </c>
      <c r="F17" s="16">
        <f ca="1">'out2 for YC'!$B17</f>
        <v>7.8040544085748557E-4</v>
      </c>
      <c r="I17">
        <f t="shared" si="18"/>
        <v>0.10499999999999998</v>
      </c>
      <c r="J17">
        <f t="shared" si="0"/>
        <v>1.6670766017649568</v>
      </c>
      <c r="K17">
        <f t="shared" si="11"/>
        <v>0.81281711042026783</v>
      </c>
      <c r="L17">
        <f t="shared" si="1"/>
        <v>2.688162732996708E+16</v>
      </c>
      <c r="M17">
        <f t="shared" si="2"/>
        <v>869.13751596123484</v>
      </c>
      <c r="N17">
        <f t="shared" si="3"/>
        <v>0</v>
      </c>
      <c r="O17">
        <f t="shared" si="4"/>
        <v>0</v>
      </c>
      <c r="P17">
        <f t="shared" si="5"/>
        <v>0</v>
      </c>
      <c r="R17">
        <f t="shared" si="6"/>
        <v>0.10499999999999998</v>
      </c>
      <c r="S17">
        <f t="shared" si="7"/>
        <v>1.6670872415135485</v>
      </c>
      <c r="T17">
        <f t="shared" si="12"/>
        <v>0.81281592187997731</v>
      </c>
      <c r="U17" s="1">
        <f t="shared" si="8"/>
        <v>6740.7554850522711</v>
      </c>
      <c r="V17">
        <f t="shared" si="13"/>
        <v>1.612501027337744E+16</v>
      </c>
      <c r="W17">
        <f t="shared" si="14"/>
        <v>268817988960224.28</v>
      </c>
      <c r="Y17">
        <f t="shared" si="15"/>
        <v>0.10499999999999998</v>
      </c>
      <c r="Z17">
        <f t="shared" si="9"/>
        <v>0</v>
      </c>
      <c r="AA17">
        <f t="shared" si="16"/>
        <v>0</v>
      </c>
      <c r="AB17">
        <f t="shared" si="17"/>
        <v>1.0000235668946658</v>
      </c>
      <c r="AC17" s="1">
        <f t="shared" si="10"/>
        <v>7.4493433161470389E-3</v>
      </c>
    </row>
    <row r="18" spans="1:29" x14ac:dyDescent="0.2">
      <c r="A18" t="s">
        <v>11</v>
      </c>
      <c r="B18" s="1">
        <f>B$12*B$13*B$16*B$17*1000000000</f>
        <v>3.1680000000000001E+24</v>
      </c>
      <c r="C18" s="8"/>
      <c r="D18" s="14">
        <f>'Out2 for pureChar'!$A18</f>
        <v>6.1499999999999959</v>
      </c>
      <c r="E18" s="16">
        <f ca="1">'Out2 for pureChar'!$B18</f>
        <v>0</v>
      </c>
      <c r="F18" s="16">
        <f ca="1">'out2 for YC'!$B18</f>
        <v>6.3433735730946371E-4</v>
      </c>
      <c r="G18" s="8"/>
      <c r="H18" s="8"/>
      <c r="I18">
        <f t="shared" si="18"/>
        <v>0.11499999999999998</v>
      </c>
      <c r="J18">
        <f t="shared" si="0"/>
        <v>1.6328848363379411</v>
      </c>
      <c r="K18">
        <f t="shared" si="11"/>
        <v>0.79614634440261822</v>
      </c>
      <c r="L18">
        <f t="shared" si="1"/>
        <v>2.7255588016983916E+16</v>
      </c>
      <c r="M18">
        <f t="shared" si="2"/>
        <v>851.31162625000661</v>
      </c>
      <c r="N18">
        <f t="shared" si="3"/>
        <v>0</v>
      </c>
      <c r="O18">
        <f t="shared" si="4"/>
        <v>0</v>
      </c>
      <c r="P18">
        <f t="shared" si="5"/>
        <v>0</v>
      </c>
      <c r="R18">
        <f t="shared" si="6"/>
        <v>0.11499999999999998</v>
      </c>
      <c r="S18">
        <f t="shared" si="7"/>
        <v>1.6328952578651339</v>
      </c>
      <c r="T18">
        <f t="shared" si="12"/>
        <v>0.79614504946484188</v>
      </c>
      <c r="U18" s="1">
        <f t="shared" si="8"/>
        <v>6602.5024419610154</v>
      </c>
      <c r="V18">
        <f t="shared" si="13"/>
        <v>1.6691678072110598E+16</v>
      </c>
      <c r="W18">
        <f t="shared" si="14"/>
        <v>272557619697608.38</v>
      </c>
      <c r="Y18">
        <f t="shared" si="15"/>
        <v>0.11499999999999998</v>
      </c>
      <c r="Z18">
        <f t="shared" si="9"/>
        <v>0</v>
      </c>
      <c r="AA18">
        <f t="shared" si="16"/>
        <v>0</v>
      </c>
      <c r="AB18">
        <f t="shared" si="17"/>
        <v>1.0000235668946658</v>
      </c>
      <c r="AC18" s="1">
        <f t="shared" si="10"/>
        <v>7.4493433161470389E-3</v>
      </c>
    </row>
    <row r="19" spans="1:29" x14ac:dyDescent="0.2">
      <c r="A19" t="s">
        <v>12</v>
      </c>
      <c r="C19" s="8"/>
      <c r="D19" s="14">
        <f>'Out2 for pureChar'!$A19</f>
        <v>6.2499999999999956</v>
      </c>
      <c r="E19" s="16">
        <f ca="1">'Out2 for pureChar'!$B19</f>
        <v>0</v>
      </c>
      <c r="F19" s="16">
        <f ca="1">'out2 for YC'!$B19</f>
        <v>5.1560876156402438E-4</v>
      </c>
      <c r="G19" s="8"/>
      <c r="H19" s="8"/>
      <c r="I19">
        <f t="shared" si="18"/>
        <v>0.12499999999999997</v>
      </c>
      <c r="J19">
        <f t="shared" si="0"/>
        <v>1.5993943445187353</v>
      </c>
      <c r="K19">
        <f t="shared" si="11"/>
        <v>0.77981749603923878</v>
      </c>
      <c r="L19">
        <f t="shared" si="1"/>
        <v>2.7634751015368384E+16</v>
      </c>
      <c r="M19">
        <f t="shared" si="2"/>
        <v>833.8513457968586</v>
      </c>
      <c r="N19">
        <f t="shared" si="3"/>
        <v>0</v>
      </c>
      <c r="O19">
        <f t="shared" si="4"/>
        <v>0</v>
      </c>
      <c r="P19">
        <f t="shared" si="5"/>
        <v>0</v>
      </c>
      <c r="R19">
        <f t="shared" si="6"/>
        <v>0.12499999999999997</v>
      </c>
      <c r="S19">
        <f t="shared" si="7"/>
        <v>1.5994045523002534</v>
      </c>
      <c r="T19">
        <f t="shared" si="12"/>
        <v>0.77981609688619058</v>
      </c>
      <c r="U19" s="1">
        <f t="shared" si="8"/>
        <v>6467.0849708008536</v>
      </c>
      <c r="V19">
        <f t="shared" si="13"/>
        <v>1.7278259805078778E+16</v>
      </c>
      <c r="W19">
        <f t="shared" si="14"/>
        <v>276349273880694.84</v>
      </c>
      <c r="Y19">
        <f t="shared" si="15"/>
        <v>0.12499999999999997</v>
      </c>
      <c r="Z19">
        <f t="shared" si="9"/>
        <v>0</v>
      </c>
      <c r="AA19">
        <f t="shared" si="16"/>
        <v>0</v>
      </c>
      <c r="AB19">
        <f t="shared" si="17"/>
        <v>1.0000235668946658</v>
      </c>
      <c r="AC19" s="1">
        <f t="shared" si="10"/>
        <v>7.4493433161470389E-3</v>
      </c>
    </row>
    <row r="20" spans="1:29" x14ac:dyDescent="0.2">
      <c r="A20" s="7" t="s">
        <v>34</v>
      </c>
      <c r="B20" s="8">
        <v>1</v>
      </c>
      <c r="C20" s="8"/>
      <c r="D20" s="14">
        <f>'Out2 for pureChar'!$A20</f>
        <v>6.3499999999999952</v>
      </c>
      <c r="E20" s="16">
        <f ca="1">'Out2 for pureChar'!$B20</f>
        <v>0</v>
      </c>
      <c r="F20" s="16">
        <f ca="1">'out2 for YC'!$B20</f>
        <v>4.191025358008197E-4</v>
      </c>
      <c r="G20" s="8"/>
      <c r="H20" s="8"/>
      <c r="I20">
        <f t="shared" si="18"/>
        <v>0.13499999999999998</v>
      </c>
      <c r="J20">
        <f t="shared" si="0"/>
        <v>1.5665907431754116</v>
      </c>
      <c r="K20">
        <f t="shared" si="11"/>
        <v>0.76382355259405144</v>
      </c>
      <c r="L20">
        <f t="shared" si="1"/>
        <v>2.801918869648026E+16</v>
      </c>
      <c r="M20">
        <f t="shared" si="2"/>
        <v>816.74917595057286</v>
      </c>
      <c r="N20">
        <f t="shared" si="3"/>
        <v>0</v>
      </c>
      <c r="O20">
        <f t="shared" si="4"/>
        <v>0</v>
      </c>
      <c r="P20">
        <f t="shared" si="5"/>
        <v>0</v>
      </c>
      <c r="R20">
        <f t="shared" si="6"/>
        <v>0.13499999999999998</v>
      </c>
      <c r="S20">
        <f t="shared" si="7"/>
        <v>1.5666007415951819</v>
      </c>
      <c r="T20">
        <f t="shared" si="12"/>
        <v>0.76382205136318804</v>
      </c>
      <c r="U20" s="1">
        <f t="shared" si="8"/>
        <v>6334.4449139501039</v>
      </c>
      <c r="V20">
        <f t="shared" si="13"/>
        <v>1.788545529107786E+16</v>
      </c>
      <c r="W20">
        <f t="shared" si="14"/>
        <v>280193675227700.44</v>
      </c>
      <c r="Y20">
        <f t="shared" si="15"/>
        <v>0.13499999999999998</v>
      </c>
      <c r="Z20">
        <f t="shared" si="9"/>
        <v>0</v>
      </c>
      <c r="AA20">
        <f t="shared" si="16"/>
        <v>0</v>
      </c>
      <c r="AB20">
        <f t="shared" si="17"/>
        <v>1.0000235668946658</v>
      </c>
      <c r="AC20" s="1">
        <f t="shared" si="10"/>
        <v>7.4493433161470389E-3</v>
      </c>
    </row>
    <row r="21" spans="1:29" x14ac:dyDescent="0.2">
      <c r="A21" s="7" t="s">
        <v>32</v>
      </c>
      <c r="B21" s="8">
        <v>0.5</v>
      </c>
      <c r="D21" s="14">
        <f>'Out2 for pureChar'!$A21</f>
        <v>6.4499999999999948</v>
      </c>
      <c r="E21" s="16">
        <f ca="1">'Out2 for pureChar'!$B21</f>
        <v>0</v>
      </c>
      <c r="F21" s="16">
        <f ca="1">'out2 for YC'!$B21</f>
        <v>3.406593305006634E-4</v>
      </c>
      <c r="I21">
        <f t="shared" si="18"/>
        <v>0.14499999999999999</v>
      </c>
      <c r="J21">
        <f t="shared" si="0"/>
        <v>1.5344599441742865</v>
      </c>
      <c r="K21">
        <f t="shared" si="11"/>
        <v>0.74815764516229732</v>
      </c>
      <c r="L21">
        <f t="shared" si="1"/>
        <v>2.8408974438465804E+16</v>
      </c>
      <c r="M21">
        <f t="shared" si="2"/>
        <v>799.9977718573773</v>
      </c>
      <c r="N21">
        <f t="shared" si="3"/>
        <v>0</v>
      </c>
      <c r="O21">
        <f t="shared" si="4"/>
        <v>0</v>
      </c>
      <c r="P21">
        <f t="shared" si="5"/>
        <v>0</v>
      </c>
      <c r="R21">
        <f t="shared" si="6"/>
        <v>0.14499999999999999</v>
      </c>
      <c r="S21">
        <f t="shared" si="7"/>
        <v>1.5344697375263212</v>
      </c>
      <c r="T21">
        <f t="shared" si="12"/>
        <v>0.74815604394723623</v>
      </c>
      <c r="U21" s="1">
        <f t="shared" si="8"/>
        <v>6204.5253066007535</v>
      </c>
      <c r="V21">
        <f t="shared" si="13"/>
        <v>1.8513988942052868E+16</v>
      </c>
      <c r="W21">
        <f t="shared" si="14"/>
        <v>284091557524770.75</v>
      </c>
      <c r="Y21">
        <f t="shared" si="15"/>
        <v>0.14499999999999999</v>
      </c>
      <c r="Z21">
        <f t="shared" si="9"/>
        <v>0</v>
      </c>
      <c r="AA21">
        <f t="shared" si="16"/>
        <v>0</v>
      </c>
      <c r="AB21">
        <f t="shared" si="17"/>
        <v>1.0000235668946658</v>
      </c>
      <c r="AC21" s="1">
        <f t="shared" si="10"/>
        <v>7.4493433161470389E-3</v>
      </c>
    </row>
    <row r="22" spans="1:29" x14ac:dyDescent="0.2">
      <c r="A22" s="7" t="s">
        <v>33</v>
      </c>
      <c r="B22" s="8">
        <v>0.25</v>
      </c>
      <c r="D22" s="14">
        <f>'Out2 for pureChar'!$A22</f>
        <v>6.5499999999999945</v>
      </c>
      <c r="E22" s="16">
        <f ca="1">'Out2 for pureChar'!$B22</f>
        <v>2.2141245933451383E-5</v>
      </c>
      <c r="F22" s="16">
        <f ca="1">'out2 for YC'!$B22</f>
        <v>2.7689829944697354E-4</v>
      </c>
      <c r="I22">
        <f t="shared" si="18"/>
        <v>0.155</v>
      </c>
      <c r="J22">
        <f t="shared" si="0"/>
        <v>1.5029881483295049</v>
      </c>
      <c r="K22">
        <f t="shared" si="11"/>
        <v>0.7328130457205545</v>
      </c>
      <c r="L22">
        <f t="shared" si="1"/>
        <v>2.8804182640262764E+16</v>
      </c>
      <c r="M22">
        <f t="shared" si="2"/>
        <v>783.58993930655799</v>
      </c>
      <c r="N22">
        <f t="shared" si="3"/>
        <v>0</v>
      </c>
      <c r="O22">
        <f t="shared" si="4"/>
        <v>0</v>
      </c>
      <c r="P22">
        <f t="shared" si="5"/>
        <v>0</v>
      </c>
      <c r="R22">
        <f t="shared" si="6"/>
        <v>0.155</v>
      </c>
      <c r="S22">
        <f t="shared" si="7"/>
        <v>1.5029977408197466</v>
      </c>
      <c r="T22">
        <f t="shared" si="12"/>
        <v>0.732811346571973</v>
      </c>
      <c r="U22" s="1">
        <f t="shared" si="8"/>
        <v>6077.2703522938345</v>
      </c>
      <c r="V22">
        <f t="shared" si="13"/>
        <v>1.9164610627354016E+16</v>
      </c>
      <c r="W22">
        <f t="shared" si="14"/>
        <v>288043664766031.94</v>
      </c>
      <c r="Y22">
        <f t="shared" si="15"/>
        <v>0.155</v>
      </c>
      <c r="Z22">
        <f t="shared" si="9"/>
        <v>0</v>
      </c>
      <c r="AA22">
        <f t="shared" si="16"/>
        <v>0</v>
      </c>
      <c r="AB22">
        <f t="shared" si="17"/>
        <v>1.0000235668946658</v>
      </c>
      <c r="AC22" s="1">
        <f t="shared" si="10"/>
        <v>7.4493433161470389E-3</v>
      </c>
    </row>
    <row r="23" spans="1:29" x14ac:dyDescent="0.2">
      <c r="A23" t="s">
        <v>13</v>
      </c>
      <c r="B23">
        <f>B$9+B$22</f>
        <v>7.25</v>
      </c>
      <c r="D23" s="14">
        <f>'Out2 for pureChar'!$A23</f>
        <v>6.6499999999999941</v>
      </c>
      <c r="E23" s="16">
        <f ca="1">'Out2 for pureChar'!$B23</f>
        <v>3.7407587287994429E-4</v>
      </c>
      <c r="F23" s="16">
        <f ca="1">'out2 for YC'!$B23</f>
        <v>2.2507138766444595E-4</v>
      </c>
      <c r="I23">
        <f t="shared" si="18"/>
        <v>0.16500000000000001</v>
      </c>
      <c r="J23">
        <f t="shared" si="0"/>
        <v>1.472161839476714</v>
      </c>
      <c r="K23">
        <f t="shared" si="11"/>
        <v>0.71778316423725941</v>
      </c>
      <c r="L23">
        <f t="shared" si="1"/>
        <v>2.9204888735801004E+16</v>
      </c>
      <c r="M23">
        <f t="shared" si="2"/>
        <v>767.51863164076758</v>
      </c>
      <c r="N23">
        <f t="shared" si="3"/>
        <v>0</v>
      </c>
      <c r="O23">
        <f t="shared" si="4"/>
        <v>0</v>
      </c>
      <c r="P23">
        <f t="shared" si="5"/>
        <v>0</v>
      </c>
      <c r="R23">
        <f t="shared" si="6"/>
        <v>0.16500000000000001</v>
      </c>
      <c r="S23">
        <f t="shared" si="7"/>
        <v>1.4721712352248408</v>
      </c>
      <c r="T23">
        <f t="shared" si="12"/>
        <v>0.71778136916377555</v>
      </c>
      <c r="U23" s="1">
        <f t="shared" si="8"/>
        <v>5952.6253989565657</v>
      </c>
      <c r="V23">
        <f t="shared" si="13"/>
        <v>1.9838096568365068E+16</v>
      </c>
      <c r="W23">
        <f t="shared" si="14"/>
        <v>292050751295596.81</v>
      </c>
      <c r="Y23">
        <f t="shared" si="15"/>
        <v>0.16500000000000001</v>
      </c>
      <c r="Z23">
        <f t="shared" si="9"/>
        <v>0</v>
      </c>
      <c r="AA23">
        <f t="shared" si="16"/>
        <v>0</v>
      </c>
      <c r="AB23">
        <f t="shared" si="17"/>
        <v>1.0000235668946658</v>
      </c>
      <c r="AC23" s="1">
        <f t="shared" si="10"/>
        <v>7.4493433161470389E-3</v>
      </c>
    </row>
    <row r="24" spans="1:29" x14ac:dyDescent="0.2">
      <c r="A24" t="s">
        <v>14</v>
      </c>
      <c r="B24">
        <f>$B$10*$B$21*EXP(-$B$10*($B$23-$B$20-$B$21-$B$8))/(1-EXP(-$B$10*($B$23-$B$21-$B$8)))</f>
        <v>6.9251401639195755E-6</v>
      </c>
      <c r="D24" s="14">
        <f>'Out2 for pureChar'!$A24</f>
        <v>6.7499999999999938</v>
      </c>
      <c r="E24" s="16">
        <f ca="1">'Out2 for pureChar'!$B24</f>
        <v>7.6109352597872326E-4</v>
      </c>
      <c r="F24" s="16">
        <f ca="1">'out2 for YC'!$B24</f>
        <v>9.6634703645367449E-4</v>
      </c>
      <c r="I24">
        <f t="shared" si="18"/>
        <v>0.17500000000000002</v>
      </c>
      <c r="J24">
        <f t="shared" si="0"/>
        <v>1.4419677786682898</v>
      </c>
      <c r="K24">
        <f>$J24*K$4+K25</f>
        <v>0.70306154584249225</v>
      </c>
      <c r="L24">
        <f t="shared" si="1"/>
        <v>2.9611169208401536E+16</v>
      </c>
      <c r="M24">
        <f t="shared" si="2"/>
        <v>751.77694672970392</v>
      </c>
      <c r="N24">
        <f t="shared" si="3"/>
        <v>0</v>
      </c>
      <c r="O24">
        <f t="shared" si="4"/>
        <v>0</v>
      </c>
      <c r="P24">
        <f t="shared" si="5"/>
        <v>0</v>
      </c>
      <c r="R24">
        <f t="shared" si="6"/>
        <v>0.17500000000000002</v>
      </c>
      <c r="S24">
        <f t="shared" si="7"/>
        <v>1.4419769817094854</v>
      </c>
      <c r="T24">
        <f>T25+$S24*0.01</f>
        <v>0.70305965681152716</v>
      </c>
      <c r="U24" s="1">
        <f t="shared" si="8"/>
        <v>5830.5369154309774</v>
      </c>
      <c r="V24">
        <f t="shared" si="13"/>
        <v>2.0535250264571472E+16</v>
      </c>
      <c r="W24">
        <f t="shared" si="14"/>
        <v>296113581951556.88</v>
      </c>
      <c r="Y24">
        <f t="shared" si="15"/>
        <v>0.17500000000000002</v>
      </c>
      <c r="Z24">
        <f t="shared" si="9"/>
        <v>0</v>
      </c>
      <c r="AA24">
        <f t="shared" si="16"/>
        <v>0</v>
      </c>
      <c r="AB24">
        <f t="shared" si="17"/>
        <v>1.0000235668946658</v>
      </c>
      <c r="AC24" s="1">
        <f t="shared" si="10"/>
        <v>7.4493433161470389E-3</v>
      </c>
    </row>
    <row r="25" spans="1:29" x14ac:dyDescent="0.2">
      <c r="B25">
        <f>1/$B$24</f>
        <v>144401.40940541017</v>
      </c>
      <c r="C25" s="8"/>
      <c r="D25" s="14">
        <f>'Out2 for pureChar'!$A25</f>
        <v>6.8499999999999934</v>
      </c>
      <c r="E25" s="16">
        <f ca="1">'Out2 for pureChar'!$B25</f>
        <v>1.2120594237606261E-3</v>
      </c>
      <c r="F25" s="16">
        <f ca="1">'out2 for YC'!$B25</f>
        <v>1.4809868938927663E-3</v>
      </c>
      <c r="G25" s="8"/>
      <c r="H25" s="8"/>
      <c r="I25">
        <f>I24+0.01</f>
        <v>0.18500000000000003</v>
      </c>
      <c r="J25">
        <f t="shared" si="0"/>
        <v>1.4123929984876171</v>
      </c>
      <c r="K25">
        <f t="shared" si="11"/>
        <v>0.6886418680558094</v>
      </c>
      <c r="L25">
        <f t="shared" si="1"/>
        <v>3.00231016053739E+16</v>
      </c>
      <c r="M25">
        <f t="shared" si="2"/>
        <v>736.3581240058578</v>
      </c>
      <c r="N25">
        <f t="shared" si="3"/>
        <v>0</v>
      </c>
      <c r="O25">
        <f t="shared" si="4"/>
        <v>0</v>
      </c>
      <c r="P25">
        <f t="shared" si="5"/>
        <v>0</v>
      </c>
      <c r="R25">
        <f t="shared" si="6"/>
        <v>0.18500000000000003</v>
      </c>
      <c r="S25">
        <f t="shared" si="7"/>
        <v>1.4124020127743038</v>
      </c>
      <c r="T25">
        <f t="shared" si="12"/>
        <v>0.68863988699443235</v>
      </c>
      <c r="U25" s="1">
        <f t="shared" si="8"/>
        <v>5710.9524684839271</v>
      </c>
      <c r="V25">
        <f t="shared" si="13"/>
        <v>2.1256903452171228E+16</v>
      </c>
      <c r="W25">
        <f t="shared" si="14"/>
        <v>300232932211956.88</v>
      </c>
      <c r="Y25">
        <f t="shared" si="15"/>
        <v>0.18500000000000003</v>
      </c>
      <c r="Z25">
        <f t="shared" si="9"/>
        <v>0</v>
      </c>
      <c r="AA25">
        <f t="shared" si="16"/>
        <v>0</v>
      </c>
      <c r="AB25">
        <f t="shared" si="17"/>
        <v>1.0000235668946658</v>
      </c>
      <c r="AC25" s="1">
        <f t="shared" si="10"/>
        <v>7.4493433161470389E-3</v>
      </c>
    </row>
    <row r="26" spans="1:29" x14ac:dyDescent="0.2">
      <c r="A26" s="7" t="s">
        <v>42</v>
      </c>
      <c r="C26" s="8"/>
      <c r="D26" s="14">
        <f>'Out2 for pureChar'!$A26</f>
        <v>6.9499999999999931</v>
      </c>
      <c r="E26" s="16">
        <f ca="1">'Out2 for pureChar'!$B26</f>
        <v>1.5109254898307369E-3</v>
      </c>
      <c r="F26" s="16">
        <f ca="1">'out2 for YC'!$B26</f>
        <v>1.4809868938927689E-3</v>
      </c>
      <c r="G26" s="8"/>
      <c r="H26" s="8"/>
      <c r="I26">
        <f t="shared" si="18"/>
        <v>0.19500000000000003</v>
      </c>
      <c r="J26">
        <f t="shared" si="0"/>
        <v>1.3834247974799845</v>
      </c>
      <c r="K26">
        <f t="shared" si="11"/>
        <v>0.67451793807093319</v>
      </c>
      <c r="L26">
        <f t="shared" si="1"/>
        <v>3.0440764552817768E+16</v>
      </c>
      <c r="M26">
        <f t="shared" si="2"/>
        <v>721.25554156105852</v>
      </c>
      <c r="N26">
        <f t="shared" si="3"/>
        <v>0</v>
      </c>
      <c r="O26">
        <f t="shared" si="4"/>
        <v>0</v>
      </c>
      <c r="P26">
        <f t="shared" si="5"/>
        <v>0</v>
      </c>
      <c r="R26">
        <f t="shared" si="6"/>
        <v>0.19500000000000003</v>
      </c>
      <c r="S26">
        <f t="shared" si="7"/>
        <v>1.3834336268835195</v>
      </c>
      <c r="T26">
        <f t="shared" si="12"/>
        <v>0.6745158668666893</v>
      </c>
      <c r="U26" s="1">
        <f t="shared" si="8"/>
        <v>5593.8207002886547</v>
      </c>
      <c r="V26">
        <f t="shared" si="13"/>
        <v>2.2003917096374144E+16</v>
      </c>
      <c r="W26">
        <f t="shared" si="14"/>
        <v>304409588342811.62</v>
      </c>
      <c r="Y26">
        <f t="shared" si="15"/>
        <v>0.19500000000000003</v>
      </c>
      <c r="Z26">
        <f t="shared" si="9"/>
        <v>0</v>
      </c>
      <c r="AA26">
        <f t="shared" si="16"/>
        <v>0</v>
      </c>
      <c r="AB26">
        <f t="shared" si="17"/>
        <v>1.0000235668946658</v>
      </c>
      <c r="AC26" s="1">
        <f t="shared" si="10"/>
        <v>7.4493433161470389E-3</v>
      </c>
    </row>
    <row r="27" spans="1:29" x14ac:dyDescent="0.2">
      <c r="A27" s="7" t="s">
        <v>37</v>
      </c>
      <c r="B27" s="10">
        <v>0.2</v>
      </c>
      <c r="D27" s="14">
        <f>'Out2 for pureChar'!$A27</f>
        <v>7.0499999999999927</v>
      </c>
      <c r="E27" s="16">
        <f ca="1">'Out2 for pureChar'!$B27</f>
        <v>1.474374368475194E-3</v>
      </c>
      <c r="F27" s="16">
        <f ca="1">'out2 for YC'!$B27</f>
        <v>1.4809868938927711E-3</v>
      </c>
      <c r="I27">
        <f t="shared" si="18"/>
        <v>0.20500000000000004</v>
      </c>
      <c r="J27">
        <f t="shared" si="0"/>
        <v>1.3550507346977023</v>
      </c>
      <c r="K27">
        <f t="shared" si="11"/>
        <v>0.66068369009613337</v>
      </c>
      <c r="L27">
        <f t="shared" si="1"/>
        <v>3.0864237770631452E+16</v>
      </c>
      <c r="M27">
        <f t="shared" si="2"/>
        <v>706.46271330256832</v>
      </c>
      <c r="N27">
        <f t="shared" si="3"/>
        <v>0</v>
      </c>
      <c r="O27">
        <f t="shared" si="4"/>
        <v>0</v>
      </c>
      <c r="P27">
        <f t="shared" si="5"/>
        <v>0</v>
      </c>
      <c r="R27">
        <f t="shared" si="6"/>
        <v>0.20500000000000004</v>
      </c>
      <c r="S27">
        <f t="shared" si="7"/>
        <v>1.3550593830100419</v>
      </c>
      <c r="T27">
        <f t="shared" si="12"/>
        <v>0.66068153059785406</v>
      </c>
      <c r="U27" s="1">
        <f t="shared" si="8"/>
        <v>5479.091306368171</v>
      </c>
      <c r="V27">
        <f t="shared" si="13"/>
        <v>2.2777182418573384E+16</v>
      </c>
      <c r="W27">
        <f t="shared" si="14"/>
        <v>308644347548192.25</v>
      </c>
      <c r="Y27">
        <f t="shared" si="15"/>
        <v>0.20500000000000004</v>
      </c>
      <c r="Z27">
        <f t="shared" si="9"/>
        <v>0</v>
      </c>
      <c r="AA27">
        <f t="shared" si="16"/>
        <v>0</v>
      </c>
      <c r="AB27">
        <f t="shared" si="17"/>
        <v>1.0000235668946658</v>
      </c>
      <c r="AC27" s="1">
        <f t="shared" si="10"/>
        <v>7.4493433161470389E-3</v>
      </c>
    </row>
    <row r="28" spans="1:29" x14ac:dyDescent="0.2">
      <c r="A28" s="7" t="s">
        <v>38</v>
      </c>
      <c r="B28" s="8">
        <v>2</v>
      </c>
      <c r="D28" s="14">
        <f>'Out2 for pureChar'!$A28</f>
        <v>7.1499999999999924</v>
      </c>
      <c r="E28" s="16">
        <f ca="1">'Out2 for pureChar'!$B28</f>
        <v>1.1262030755800332E-3</v>
      </c>
      <c r="F28" s="16">
        <f ca="1">'out2 for YC'!$B28</f>
        <v>1.4809868938927711E-3</v>
      </c>
      <c r="I28">
        <f t="shared" si="18"/>
        <v>0.21500000000000005</v>
      </c>
      <c r="J28">
        <f t="shared" si="0"/>
        <v>1.3272586243570992</v>
      </c>
      <c r="K28">
        <f t="shared" si="11"/>
        <v>0.64713318274915632</v>
      </c>
      <c r="L28">
        <f t="shared" si="1"/>
        <v>3.1293602087727296E+16</v>
      </c>
      <c r="M28">
        <f t="shared" si="2"/>
        <v>691.97328616750633</v>
      </c>
      <c r="N28">
        <f t="shared" si="3"/>
        <v>0</v>
      </c>
      <c r="O28">
        <f t="shared" si="4"/>
        <v>0</v>
      </c>
      <c r="P28">
        <f t="shared" si="5"/>
        <v>0</v>
      </c>
      <c r="R28">
        <f t="shared" si="6"/>
        <v>0.21500000000000005</v>
      </c>
      <c r="S28">
        <f t="shared" si="7"/>
        <v>1.3272670952924264</v>
      </c>
      <c r="T28">
        <f t="shared" si="12"/>
        <v>0.64713093676775368</v>
      </c>
      <c r="U28" s="1">
        <f t="shared" si="8"/>
        <v>5366.7150139910491</v>
      </c>
      <c r="V28">
        <f t="shared" si="13"/>
        <v>2.3577621959612708E+16</v>
      </c>
      <c r="W28">
        <f t="shared" si="14"/>
        <v>312938018122380.88</v>
      </c>
      <c r="Y28">
        <f t="shared" si="15"/>
        <v>0.21500000000000005</v>
      </c>
      <c r="Z28">
        <f t="shared" si="9"/>
        <v>0</v>
      </c>
      <c r="AA28">
        <f t="shared" si="16"/>
        <v>0</v>
      </c>
      <c r="AB28">
        <f t="shared" si="17"/>
        <v>1.0000235668946658</v>
      </c>
      <c r="AC28" s="1">
        <f t="shared" si="10"/>
        <v>7.4493433161470389E-3</v>
      </c>
    </row>
    <row r="29" spans="1:29" x14ac:dyDescent="0.2">
      <c r="D29" s="14">
        <f>'Out2 for pureChar'!$A29</f>
        <v>7.249999999999992</v>
      </c>
      <c r="E29" s="16">
        <f ca="1">'Out2 for pureChar'!$B29</f>
        <v>6.7337161858231263E-4</v>
      </c>
      <c r="F29" s="16">
        <f ca="1">'out2 for YC'!$B29</f>
        <v>5.9239475755710851E-4</v>
      </c>
      <c r="I29">
        <f t="shared" si="18"/>
        <v>0.22500000000000006</v>
      </c>
      <c r="J29">
        <f t="shared" si="0"/>
        <v>1.3000365306051047</v>
      </c>
      <c r="K29">
        <f t="shared" si="11"/>
        <v>0.63386059650558535</v>
      </c>
      <c r="L29">
        <f t="shared" si="1"/>
        <v>3.1728939457459592E+16</v>
      </c>
      <c r="M29">
        <f t="shared" si="2"/>
        <v>677.78103739440417</v>
      </c>
      <c r="N29">
        <f t="shared" si="3"/>
        <v>0</v>
      </c>
      <c r="O29">
        <f t="shared" si="4"/>
        <v>0</v>
      </c>
      <c r="P29">
        <f t="shared" si="5"/>
        <v>0</v>
      </c>
      <c r="R29">
        <f t="shared" si="6"/>
        <v>0.22500000000000006</v>
      </c>
      <c r="S29">
        <f t="shared" si="7"/>
        <v>1.3000448278014247</v>
      </c>
      <c r="T29">
        <f t="shared" si="12"/>
        <v>0.6338582658148294</v>
      </c>
      <c r="U29" s="1">
        <f t="shared" si="8"/>
        <v>5256.6435610102972</v>
      </c>
      <c r="V29">
        <f t="shared" si="13"/>
        <v>2.4406190680419796E+16</v>
      </c>
      <c r="W29">
        <f t="shared" si="14"/>
        <v>317291419604150.94</v>
      </c>
      <c r="Y29">
        <f t="shared" si="15"/>
        <v>0.22500000000000006</v>
      </c>
      <c r="Z29">
        <f t="shared" si="9"/>
        <v>0</v>
      </c>
      <c r="AA29">
        <f t="shared" si="16"/>
        <v>0</v>
      </c>
      <c r="AB29">
        <f t="shared" si="17"/>
        <v>1.0000235668946658</v>
      </c>
      <c r="AC29" s="1">
        <f t="shared" si="10"/>
        <v>7.4493433161470389E-3</v>
      </c>
    </row>
    <row r="30" spans="1:29" x14ac:dyDescent="0.2">
      <c r="A30" t="s">
        <v>20</v>
      </c>
      <c r="B30">
        <f>1/(MAX(N7:N901))</f>
        <v>135.04508434527779</v>
      </c>
      <c r="D30" s="14">
        <f>'Out2 for pureChar'!$A30</f>
        <v>7.3499999999999917</v>
      </c>
      <c r="E30" s="16">
        <f ca="1">'Out2 for pureChar'!$B30</f>
        <v>2.9509869512601685E-4</v>
      </c>
      <c r="F30" s="16">
        <f ca="1">'out2 for YC'!$B30</f>
        <v>0</v>
      </c>
      <c r="I30">
        <f t="shared" si="18"/>
        <v>0.23500000000000007</v>
      </c>
      <c r="J30">
        <f t="shared" si="0"/>
        <v>1.2733727623931694</v>
      </c>
      <c r="K30">
        <f t="shared" si="11"/>
        <v>0.62086023119953426</v>
      </c>
      <c r="L30">
        <f t="shared" si="1"/>
        <v>3.217033297326828E+16</v>
      </c>
      <c r="M30">
        <f t="shared" si="2"/>
        <v>663.87987185072154</v>
      </c>
      <c r="N30">
        <f t="shared" si="3"/>
        <v>0</v>
      </c>
      <c r="O30">
        <f t="shared" si="4"/>
        <v>0</v>
      </c>
      <c r="P30">
        <f t="shared" si="5"/>
        <v>0</v>
      </c>
      <c r="R30">
        <f t="shared" si="6"/>
        <v>0.23500000000000007</v>
      </c>
      <c r="S30">
        <f t="shared" si="7"/>
        <v>1.2733808894138718</v>
      </c>
      <c r="T30">
        <f t="shared" si="12"/>
        <v>0.62085781753681513</v>
      </c>
      <c r="U30" s="1">
        <f t="shared" si="8"/>
        <v>5148.8296751362668</v>
      </c>
      <c r="V30">
        <f t="shared" si="13"/>
        <v>2.5263877101319132E+16</v>
      </c>
      <c r="W30">
        <f t="shared" si="14"/>
        <v>321705382933205.06</v>
      </c>
      <c r="Y30">
        <f t="shared" si="15"/>
        <v>0.23500000000000007</v>
      </c>
      <c r="Z30">
        <f t="shared" si="9"/>
        <v>0</v>
      </c>
      <c r="AA30">
        <f t="shared" si="16"/>
        <v>0</v>
      </c>
      <c r="AB30">
        <f t="shared" si="17"/>
        <v>1.0000235668946658</v>
      </c>
      <c r="AC30" s="1">
        <f t="shared" si="10"/>
        <v>7.4493433161470389E-3</v>
      </c>
    </row>
    <row r="31" spans="1:29" x14ac:dyDescent="0.2">
      <c r="A31" t="s">
        <v>15</v>
      </c>
      <c r="B31">
        <f>SUM(L7:L1819)*0.01</f>
        <v>2.9627125265252714E+21</v>
      </c>
      <c r="D31" s="14">
        <f>'Out2 for pureChar'!$A31</f>
        <v>7.4499999999999913</v>
      </c>
      <c r="E31" s="16">
        <f ca="1">'Out2 for pureChar'!$B31</f>
        <v>0</v>
      </c>
      <c r="F31" s="16">
        <f ca="1">'out2 for YC'!$B31</f>
        <v>0</v>
      </c>
      <c r="I31">
        <f t="shared" si="18"/>
        <v>0.24500000000000008</v>
      </c>
      <c r="J31">
        <f t="shared" si="0"/>
        <v>1.2472558684563202</v>
      </c>
      <c r="K31">
        <f t="shared" si="11"/>
        <v>0.60812650357560261</v>
      </c>
      <c r="L31">
        <f t="shared" si="1"/>
        <v>3.2617866884536832E+16</v>
      </c>
      <c r="M31">
        <f t="shared" si="2"/>
        <v>650.26381941517604</v>
      </c>
      <c r="N31">
        <f t="shared" si="3"/>
        <v>0</v>
      </c>
      <c r="O31">
        <f t="shared" si="4"/>
        <v>0</v>
      </c>
      <c r="P31">
        <f t="shared" si="5"/>
        <v>0</v>
      </c>
      <c r="R31">
        <f t="shared" si="6"/>
        <v>0.24500000000000008</v>
      </c>
      <c r="S31">
        <f t="shared" si="7"/>
        <v>1.2472638287917095</v>
      </c>
      <c r="T31">
        <f t="shared" si="12"/>
        <v>0.60812400864267646</v>
      </c>
      <c r="U31" s="1">
        <f t="shared" si="8"/>
        <v>5043.2270536346568</v>
      </c>
      <c r="V31">
        <f t="shared" si="13"/>
        <v>2.6151704481380144E+16</v>
      </c>
      <c r="W31">
        <f t="shared" si="14"/>
        <v>326180750608755.06</v>
      </c>
      <c r="Y31">
        <f t="shared" si="15"/>
        <v>0.24500000000000008</v>
      </c>
      <c r="Z31">
        <f t="shared" si="9"/>
        <v>0</v>
      </c>
      <c r="AA31">
        <f t="shared" si="16"/>
        <v>0</v>
      </c>
      <c r="AB31">
        <f t="shared" si="17"/>
        <v>1.0000235668946658</v>
      </c>
      <c r="AC31" s="1">
        <f t="shared" si="10"/>
        <v>7.4493433161470389E-3</v>
      </c>
    </row>
    <row r="32" spans="1:29" x14ac:dyDescent="0.2">
      <c r="A32" t="s">
        <v>21</v>
      </c>
      <c r="B32">
        <f>1/(SUM($O$7:$O$903)*0.05)</f>
        <v>2.2449953318008629E-3</v>
      </c>
      <c r="D32" s="14">
        <f>'Out2 for pureChar'!$A32</f>
        <v>7.5499999999999909</v>
      </c>
      <c r="E32" s="16">
        <f ca="1">'Out2 for pureChar'!$B32</f>
        <v>0</v>
      </c>
      <c r="F32" s="16">
        <f ca="1">'out2 for YC'!$B32</f>
        <v>0</v>
      </c>
      <c r="I32">
        <f t="shared" si="18"/>
        <v>0.25500000000000006</v>
      </c>
      <c r="J32">
        <f t="shared" si="0"/>
        <v>1.2216746323951948</v>
      </c>
      <c r="K32">
        <f t="shared" si="11"/>
        <v>0.5956539448910394</v>
      </c>
      <c r="L32">
        <f t="shared" si="1"/>
        <v>3.3071626612675272E+16</v>
      </c>
      <c r="M32">
        <f t="shared" si="2"/>
        <v>636.92703241375955</v>
      </c>
      <c r="N32">
        <f t="shared" si="3"/>
        <v>0</v>
      </c>
      <c r="O32">
        <f t="shared" si="4"/>
        <v>0</v>
      </c>
      <c r="P32">
        <f t="shared" si="5"/>
        <v>0</v>
      </c>
      <c r="R32">
        <f t="shared" si="6"/>
        <v>0.25500000000000006</v>
      </c>
      <c r="S32">
        <f t="shared" si="7"/>
        <v>1.2216824294639892</v>
      </c>
      <c r="T32">
        <f t="shared" si="12"/>
        <v>0.59565137035475935</v>
      </c>
      <c r="U32" s="1">
        <f t="shared" si="8"/>
        <v>4939.7903434409254</v>
      </c>
      <c r="V32">
        <f t="shared" si="13"/>
        <v>2.7070732039213744E+16</v>
      </c>
      <c r="W32">
        <f t="shared" si="14"/>
        <v>330718376850352.94</v>
      </c>
      <c r="Y32">
        <f t="shared" si="15"/>
        <v>0.25500000000000006</v>
      </c>
      <c r="Z32">
        <f t="shared" si="9"/>
        <v>0</v>
      </c>
      <c r="AA32">
        <f t="shared" si="16"/>
        <v>0</v>
      </c>
      <c r="AB32">
        <f t="shared" si="17"/>
        <v>1.0000235668946658</v>
      </c>
      <c r="AC32" s="1">
        <f t="shared" si="10"/>
        <v>7.4493433161470389E-3</v>
      </c>
    </row>
    <row r="33" spans="1:29" x14ac:dyDescent="0.2">
      <c r="A33" t="s">
        <v>16</v>
      </c>
      <c r="B33">
        <v>0.5</v>
      </c>
      <c r="D33" s="14">
        <f>'Out2 for pureChar'!$A33</f>
        <v>7.6499999999999906</v>
      </c>
      <c r="E33" s="16">
        <f ca="1">'Out2 for pureChar'!$B33</f>
        <v>0</v>
      </c>
      <c r="F33" s="16">
        <f ca="1">'out2 for YC'!$B33</f>
        <v>0</v>
      </c>
      <c r="I33">
        <f t="shared" si="18"/>
        <v>0.26500000000000007</v>
      </c>
      <c r="J33">
        <f t="shared" si="0"/>
        <v>1.1966180678589471</v>
      </c>
      <c r="K33">
        <f t="shared" si="11"/>
        <v>0.58343719856708742</v>
      </c>
      <c r="L33">
        <f t="shared" si="1"/>
        <v>3.3531698767423632E+16</v>
      </c>
      <c r="M33">
        <f t="shared" si="2"/>
        <v>623.863783108343</v>
      </c>
      <c r="N33">
        <f t="shared" si="3"/>
        <v>0</v>
      </c>
      <c r="O33">
        <f t="shared" si="4"/>
        <v>0</v>
      </c>
      <c r="P33">
        <f t="shared" si="5"/>
        <v>0</v>
      </c>
      <c r="R33">
        <f t="shared" si="6"/>
        <v>0.26500000000000007</v>
      </c>
      <c r="S33">
        <f t="shared" si="7"/>
        <v>1.1966257050097469</v>
      </c>
      <c r="T33">
        <f t="shared" si="12"/>
        <v>0.58343454606011946</v>
      </c>
      <c r="U33" s="1">
        <f t="shared" si="8"/>
        <v>4838.4751216825434</v>
      </c>
      <c r="V33">
        <f t="shared" si="13"/>
        <v>2.8022056216667644E+16</v>
      </c>
      <c r="W33">
        <f t="shared" si="14"/>
        <v>335319127760926.81</v>
      </c>
      <c r="Y33">
        <f t="shared" si="15"/>
        <v>0.26500000000000007</v>
      </c>
      <c r="Z33">
        <f t="shared" si="9"/>
        <v>0</v>
      </c>
      <c r="AA33">
        <f t="shared" si="16"/>
        <v>0</v>
      </c>
      <c r="AB33">
        <f t="shared" si="17"/>
        <v>1.0000235668946658</v>
      </c>
      <c r="AC33" s="1">
        <f t="shared" si="10"/>
        <v>7.4493433161470389E-3</v>
      </c>
    </row>
    <row r="34" spans="1:29" x14ac:dyDescent="0.2">
      <c r="D34" s="14">
        <f>'Out2 for pureChar'!$A34</f>
        <v>7.7499999999999902</v>
      </c>
      <c r="E34" s="16">
        <f ca="1">'Out2 for pureChar'!$B34</f>
        <v>0</v>
      </c>
      <c r="F34" s="16">
        <f ca="1">'out2 for YC'!$B34</f>
        <v>0</v>
      </c>
      <c r="I34">
        <f t="shared" si="18"/>
        <v>0.27500000000000008</v>
      </c>
      <c r="J34">
        <f t="shared" si="0"/>
        <v>1.1720754138269456</v>
      </c>
      <c r="K34">
        <f t="shared" si="11"/>
        <v>0.57147101788849797</v>
      </c>
      <c r="L34">
        <f t="shared" si="1"/>
        <v>3.3998171163383396E+16</v>
      </c>
      <c r="M34">
        <f t="shared" si="2"/>
        <v>611.06846123679054</v>
      </c>
      <c r="N34">
        <f t="shared" si="3"/>
        <v>0</v>
      </c>
      <c r="O34">
        <f t="shared" si="4"/>
        <v>0</v>
      </c>
      <c r="P34">
        <f t="shared" si="5"/>
        <v>0</v>
      </c>
      <c r="R34">
        <f t="shared" si="6"/>
        <v>0.27500000000000008</v>
      </c>
      <c r="S34">
        <f t="shared" si="7"/>
        <v>1.1720828943396711</v>
      </c>
      <c r="T34">
        <f t="shared" si="12"/>
        <v>0.571468289010022</v>
      </c>
      <c r="U34" s="1">
        <f t="shared" si="8"/>
        <v>4739.2378766007459</v>
      </c>
      <c r="V34">
        <f t="shared" si="13"/>
        <v>2.9006811986931716E+16</v>
      </c>
      <c r="W34">
        <f t="shared" si="14"/>
        <v>339983881492095.94</v>
      </c>
      <c r="Y34">
        <f t="shared" si="15"/>
        <v>0.27500000000000008</v>
      </c>
      <c r="Z34">
        <f t="shared" si="9"/>
        <v>0</v>
      </c>
      <c r="AA34">
        <f t="shared" si="16"/>
        <v>0</v>
      </c>
      <c r="AB34">
        <f t="shared" si="17"/>
        <v>1.0000235668946658</v>
      </c>
      <c r="AC34" s="1">
        <f t="shared" si="10"/>
        <v>7.4493433161470389E-3</v>
      </c>
    </row>
    <row r="35" spans="1:29" x14ac:dyDescent="0.2">
      <c r="B35">
        <f>B18/B31</f>
        <v>1069.2903788797537</v>
      </c>
      <c r="D35" s="14">
        <f>'Out2 for pureChar'!$A35</f>
        <v>7.8499999999999899</v>
      </c>
      <c r="E35" s="16">
        <f ca="1">'Out2 for pureChar'!$B35</f>
        <v>0</v>
      </c>
      <c r="F35" s="16">
        <f ca="1">'out2 for YC'!$B35</f>
        <v>0</v>
      </c>
      <c r="I35">
        <f t="shared" si="18"/>
        <v>0.28500000000000009</v>
      </c>
      <c r="J35">
        <f t="shared" si="0"/>
        <v>1.1480361299872497</v>
      </c>
      <c r="K35">
        <f t="shared" si="11"/>
        <v>0.55975026375022852</v>
      </c>
      <c r="L35">
        <f t="shared" si="1"/>
        <v>3.4471132836778624E+16</v>
      </c>
      <c r="M35">
        <f t="shared" si="2"/>
        <v>598.53557160352398</v>
      </c>
      <c r="N35">
        <f t="shared" si="3"/>
        <v>0</v>
      </c>
      <c r="O35">
        <f t="shared" si="4"/>
        <v>0</v>
      </c>
      <c r="P35">
        <f t="shared" si="5"/>
        <v>0</v>
      </c>
      <c r="R35">
        <f t="shared" si="6"/>
        <v>0.28500000000000009</v>
      </c>
      <c r="S35">
        <f t="shared" si="7"/>
        <v>1.1480434570745497</v>
      </c>
      <c r="T35">
        <f t="shared" si="12"/>
        <v>0.55974746006662535</v>
      </c>
      <c r="U35" s="1">
        <f t="shared" si="8"/>
        <v>4642.0359888635785</v>
      </c>
      <c r="V35">
        <f t="shared" si="13"/>
        <v>3.002617420861264E+16</v>
      </c>
      <c r="W35">
        <f t="shared" si="14"/>
        <v>344713528411783.38</v>
      </c>
      <c r="Y35">
        <f t="shared" si="15"/>
        <v>0.28500000000000009</v>
      </c>
      <c r="Z35">
        <f t="shared" si="9"/>
        <v>0</v>
      </c>
      <c r="AA35">
        <f t="shared" si="16"/>
        <v>0</v>
      </c>
      <c r="AB35">
        <f t="shared" si="17"/>
        <v>1.0000235668946658</v>
      </c>
      <c r="AC35" s="1">
        <f t="shared" si="10"/>
        <v>7.4493433161470389E-3</v>
      </c>
    </row>
    <row r="36" spans="1:29" x14ac:dyDescent="0.2">
      <c r="D36" s="14">
        <f>'Out2 for pureChar'!$A36</f>
        <v>7.9499999999999895</v>
      </c>
      <c r="E36" s="16">
        <f ca="1">'Out2 for pureChar'!$B36</f>
        <v>0</v>
      </c>
      <c r="F36" s="16">
        <f ca="1">'out2 for YC'!$B36</f>
        <v>0</v>
      </c>
      <c r="I36">
        <f t="shared" si="18"/>
        <v>0.2950000000000001</v>
      </c>
      <c r="J36">
        <f t="shared" si="0"/>
        <v>1.1244898922098703</v>
      </c>
      <c r="K36">
        <f t="shared" si="11"/>
        <v>0.54826990245035601</v>
      </c>
      <c r="L36">
        <f t="shared" si="1"/>
        <v>3.4950674062451612E+16</v>
      </c>
      <c r="M36">
        <f t="shared" si="2"/>
        <v>586.25973171950682</v>
      </c>
      <c r="N36">
        <f t="shared" si="3"/>
        <v>0</v>
      </c>
      <c r="O36">
        <f t="shared" si="4"/>
        <v>0</v>
      </c>
      <c r="P36">
        <f t="shared" si="5"/>
        <v>0</v>
      </c>
      <c r="R36">
        <f t="shared" si="6"/>
        <v>0.2950000000000001</v>
      </c>
      <c r="S36">
        <f t="shared" si="7"/>
        <v>1.124497069018503</v>
      </c>
      <c r="T36">
        <f t="shared" si="12"/>
        <v>0.5482670254958798</v>
      </c>
      <c r="U36" s="1">
        <f t="shared" si="8"/>
        <v>4546.8277132622006</v>
      </c>
      <c r="V36">
        <f t="shared" si="13"/>
        <v>3.1081359027394936E+16</v>
      </c>
      <c r="W36">
        <f t="shared" si="14"/>
        <v>349508971274173.94</v>
      </c>
      <c r="Y36">
        <f t="shared" si="15"/>
        <v>0.2950000000000001</v>
      </c>
      <c r="Z36">
        <f t="shared" si="9"/>
        <v>0</v>
      </c>
      <c r="AA36">
        <f t="shared" si="16"/>
        <v>0</v>
      </c>
      <c r="AB36">
        <f t="shared" si="17"/>
        <v>1.0000235668946658</v>
      </c>
      <c r="AC36" s="1">
        <f t="shared" si="10"/>
        <v>7.4493433161470389E-3</v>
      </c>
    </row>
    <row r="37" spans="1:29" x14ac:dyDescent="0.2">
      <c r="D37" s="14">
        <f>'Out2 for pureChar'!$A37</f>
        <v>8.0499999999999901</v>
      </c>
      <c r="E37" s="16">
        <f ca="1">'Out2 for pureChar'!$B37</f>
        <v>0</v>
      </c>
      <c r="F37" s="16">
        <f ca="1">'out2 for YC'!$B37</f>
        <v>0</v>
      </c>
      <c r="I37">
        <f t="shared" si="18"/>
        <v>0.3050000000000001</v>
      </c>
      <c r="J37">
        <f t="shared" si="0"/>
        <v>1.1014265881128749</v>
      </c>
      <c r="K37">
        <f t="shared" si="11"/>
        <v>0.53702500352825733</v>
      </c>
      <c r="L37">
        <f t="shared" si="1"/>
        <v>3.5436886371091316E+16</v>
      </c>
      <c r="M37">
        <f t="shared" si="2"/>
        <v>574.23566949063138</v>
      </c>
      <c r="N37">
        <f t="shared" si="3"/>
        <v>0</v>
      </c>
      <c r="O37">
        <f t="shared" si="4"/>
        <v>0</v>
      </c>
      <c r="P37">
        <f t="shared" si="5"/>
        <v>0</v>
      </c>
      <c r="R37">
        <f t="shared" si="6"/>
        <v>0.3050000000000001</v>
      </c>
      <c r="S37">
        <f t="shared" si="7"/>
        <v>1.1014336177250579</v>
      </c>
      <c r="T37">
        <f t="shared" si="12"/>
        <v>0.53702205480569476</v>
      </c>
      <c r="U37" s="1">
        <f t="shared" si="8"/>
        <v>4453.5721607826199</v>
      </c>
      <c r="V37">
        <f t="shared" si="13"/>
        <v>3.2173625326956172E+16</v>
      </c>
      <c r="W37">
        <f t="shared" si="14"/>
        <v>354371125391998.88</v>
      </c>
      <c r="Y37">
        <f t="shared" si="15"/>
        <v>0.3050000000000001</v>
      </c>
      <c r="Z37">
        <f t="shared" si="9"/>
        <v>0</v>
      </c>
      <c r="AA37">
        <f t="shared" si="16"/>
        <v>0</v>
      </c>
      <c r="AB37">
        <f t="shared" si="17"/>
        <v>1.0000235668946658</v>
      </c>
      <c r="AC37" s="1">
        <f t="shared" si="10"/>
        <v>7.4493433161470389E-3</v>
      </c>
    </row>
    <row r="38" spans="1:29" x14ac:dyDescent="0.2">
      <c r="A38" t="s">
        <v>17</v>
      </c>
      <c r="B38">
        <f>SUM(L7:L106)*0.02</f>
        <v>1.0034311553466478E+17</v>
      </c>
      <c r="D38" s="14">
        <f>'Out2 for pureChar'!$A38</f>
        <v>8.1499999999999897</v>
      </c>
      <c r="E38" s="16">
        <f ca="1">'Out2 for pureChar'!$B38</f>
        <v>0</v>
      </c>
      <c r="F38" s="16">
        <f ca="1">'out2 for YC'!$B38</f>
        <v>0</v>
      </c>
      <c r="I38">
        <f t="shared" si="18"/>
        <v>0.31500000000000011</v>
      </c>
      <c r="J38">
        <f t="shared" si="0"/>
        <v>1.0788363127194329</v>
      </c>
      <c r="K38">
        <f t="shared" si="11"/>
        <v>0.52601073764712858</v>
      </c>
      <c r="L38">
        <f t="shared" si="1"/>
        <v>3.5929862566706444E+16</v>
      </c>
      <c r="M38">
        <f t="shared" si="2"/>
        <v>562.45822095351684</v>
      </c>
      <c r="N38">
        <f t="shared" si="3"/>
        <v>0</v>
      </c>
      <c r="O38">
        <f t="shared" si="4"/>
        <v>0</v>
      </c>
      <c r="P38">
        <f t="shared" si="5"/>
        <v>0</v>
      </c>
      <c r="R38">
        <f t="shared" si="6"/>
        <v>0.31500000000000011</v>
      </c>
      <c r="S38">
        <f t="shared" si="7"/>
        <v>1.0788431981541675</v>
      </c>
      <c r="T38">
        <f t="shared" si="12"/>
        <v>0.5260077186284442</v>
      </c>
      <c r="U38" s="1">
        <f t="shared" si="8"/>
        <v>4362.2292810451163</v>
      </c>
      <c r="V38">
        <f t="shared" si="13"/>
        <v>3.330427623087482E+16</v>
      </c>
      <c r="W38">
        <f t="shared" si="14"/>
        <v>359300918811268.19</v>
      </c>
      <c r="Y38">
        <f t="shared" si="15"/>
        <v>0.31500000000000011</v>
      </c>
      <c r="Z38">
        <f t="shared" si="9"/>
        <v>0</v>
      </c>
      <c r="AA38">
        <f t="shared" si="16"/>
        <v>0</v>
      </c>
      <c r="AB38">
        <f t="shared" si="17"/>
        <v>1.0000235668946658</v>
      </c>
      <c r="AC38" s="1">
        <f t="shared" si="10"/>
        <v>7.4493433161470389E-3</v>
      </c>
    </row>
    <row r="39" spans="1:29" x14ac:dyDescent="0.2">
      <c r="A39" t="s">
        <v>18</v>
      </c>
      <c r="B39">
        <f>B31-B38</f>
        <v>2.9626121834097368E+21</v>
      </c>
      <c r="C39" s="5"/>
      <c r="D39" s="14">
        <f>'Out2 for pureChar'!$A39</f>
        <v>8.2499999999999893</v>
      </c>
      <c r="E39" s="16">
        <f ca="1">'Out2 for pureChar'!$B39</f>
        <v>0</v>
      </c>
      <c r="F39" s="16">
        <f ca="1">'out2 for YC'!$B39</f>
        <v>0</v>
      </c>
      <c r="G39" s="5"/>
      <c r="H39" s="5"/>
      <c r="I39">
        <f t="shared" si="18"/>
        <v>0.32500000000000012</v>
      </c>
      <c r="J39">
        <f t="shared" si="0"/>
        <v>1.0567093642039318</v>
      </c>
      <c r="K39">
        <f t="shared" si="11"/>
        <v>0.51522237451993425</v>
      </c>
      <c r="L39">
        <f t="shared" si="1"/>
        <v>3.6429696744337768E+16</v>
      </c>
      <c r="M39">
        <f t="shared" si="2"/>
        <v>550.92232805774688</v>
      </c>
      <c r="N39">
        <f t="shared" si="3"/>
        <v>0</v>
      </c>
      <c r="O39">
        <f t="shared" si="4"/>
        <v>0</v>
      </c>
      <c r="P39">
        <f t="shared" si="5"/>
        <v>0</v>
      </c>
      <c r="R39">
        <f t="shared" si="6"/>
        <v>0.32500000000000012</v>
      </c>
      <c r="S39">
        <f t="shared" si="7"/>
        <v>1.0567161084182997</v>
      </c>
      <c r="T39">
        <f t="shared" si="12"/>
        <v>0.51521928664690253</v>
      </c>
      <c r="U39" s="1">
        <f t="shared" si="8"/>
        <v>4272.7598451038393</v>
      </c>
      <c r="V39">
        <f t="shared" si="13"/>
        <v>3.4474660657315124E+16</v>
      </c>
      <c r="W39">
        <f t="shared" si="14"/>
        <v>364299292488394.94</v>
      </c>
      <c r="Y39">
        <f t="shared" si="15"/>
        <v>0.32500000000000012</v>
      </c>
      <c r="Z39">
        <f t="shared" si="9"/>
        <v>0</v>
      </c>
      <c r="AA39">
        <f t="shared" si="16"/>
        <v>0</v>
      </c>
      <c r="AB39">
        <f t="shared" si="17"/>
        <v>1.0000235668946658</v>
      </c>
      <c r="AC39" s="1">
        <f t="shared" si="10"/>
        <v>7.4493433161470389E-3</v>
      </c>
    </row>
    <row r="40" spans="1:29" x14ac:dyDescent="0.2">
      <c r="D40" s="14">
        <f>'Out2 for pureChar'!$A40</f>
        <v>8.349999999999989</v>
      </c>
      <c r="E40" s="16">
        <f ca="1">'Out2 for pureChar'!$B40</f>
        <v>0</v>
      </c>
      <c r="F40" s="16">
        <f ca="1">'out2 for YC'!$B40</f>
        <v>0</v>
      </c>
      <c r="I40">
        <f t="shared" si="18"/>
        <v>0.33500000000000013</v>
      </c>
      <c r="J40">
        <f t="shared" si="0"/>
        <v>1.0350362397253445</v>
      </c>
      <c r="K40">
        <f t="shared" si="11"/>
        <v>0.50465528087789491</v>
      </c>
      <c r="L40">
        <f t="shared" si="1"/>
        <v>3.6936484308018496E+16</v>
      </c>
      <c r="M40">
        <f t="shared" si="2"/>
        <v>539.62303649359285</v>
      </c>
      <c r="N40">
        <f t="shared" si="3"/>
        <v>0</v>
      </c>
      <c r="O40">
        <f t="shared" si="4"/>
        <v>0</v>
      </c>
      <c r="P40">
        <f t="shared" si="5"/>
        <v>0</v>
      </c>
      <c r="R40">
        <f t="shared" si="6"/>
        <v>0.33500000000000013</v>
      </c>
      <c r="S40">
        <f t="shared" si="7"/>
        <v>1.0350428456157772</v>
      </c>
      <c r="T40">
        <f t="shared" si="12"/>
        <v>0.50465212556271954</v>
      </c>
      <c r="U40" s="1">
        <f t="shared" si="8"/>
        <v>4185.1254285991945</v>
      </c>
      <c r="V40">
        <f t="shared" si="13"/>
        <v>3.5686174928348304E+16</v>
      </c>
      <c r="W40">
        <f t="shared" si="14"/>
        <v>369367200469800.31</v>
      </c>
      <c r="Y40">
        <f t="shared" si="15"/>
        <v>0.33500000000000013</v>
      </c>
      <c r="Z40">
        <f t="shared" si="9"/>
        <v>0</v>
      </c>
      <c r="AA40">
        <f t="shared" si="16"/>
        <v>0</v>
      </c>
      <c r="AB40">
        <f t="shared" si="17"/>
        <v>1.0000235668946658</v>
      </c>
      <c r="AC40" s="1">
        <f t="shared" si="10"/>
        <v>7.4493433161470389E-3</v>
      </c>
    </row>
    <row r="41" spans="1:29" x14ac:dyDescent="0.2">
      <c r="A41" s="4" t="s">
        <v>24</v>
      </c>
      <c r="B41" s="5">
        <f>$P$4/$L$4</f>
        <v>0.93626808898594871</v>
      </c>
      <c r="D41" s="14">
        <f>'Out2 for pureChar'!$A41</f>
        <v>8.4499999999999886</v>
      </c>
      <c r="E41" s="16">
        <f ca="1">'Out2 for pureChar'!$B41</f>
        <v>0</v>
      </c>
      <c r="F41" s="16">
        <f ca="1">'out2 for YC'!$B41</f>
        <v>0</v>
      </c>
      <c r="I41">
        <f t="shared" si="18"/>
        <v>0.34500000000000014</v>
      </c>
      <c r="J41">
        <f t="shared" si="0"/>
        <v>1.0138076313460522</v>
      </c>
      <c r="K41">
        <f t="shared" si="11"/>
        <v>0.49430491848064151</v>
      </c>
      <c r="L41">
        <f t="shared" si="1"/>
        <v>3.7450321988984408E+16</v>
      </c>
      <c r="M41">
        <f t="shared" si="2"/>
        <v>528.55549356429094</v>
      </c>
      <c r="N41">
        <f t="shared" si="3"/>
        <v>0</v>
      </c>
      <c r="O41">
        <f t="shared" si="4"/>
        <v>0</v>
      </c>
      <c r="P41">
        <f t="shared" si="5"/>
        <v>0</v>
      </c>
      <c r="R41">
        <f t="shared" si="6"/>
        <v>0.34500000000000014</v>
      </c>
      <c r="S41">
        <f t="shared" si="7"/>
        <v>1.0138141017495759</v>
      </c>
      <c r="T41">
        <f t="shared" si="12"/>
        <v>0.49430169710656174</v>
      </c>
      <c r="U41" s="1">
        <f t="shared" si="8"/>
        <v>4099.2883952557586</v>
      </c>
      <c r="V41">
        <f t="shared" si="13"/>
        <v>3.69402644358288E+16</v>
      </c>
      <c r="W41">
        <f t="shared" si="14"/>
        <v>374505610074015.75</v>
      </c>
      <c r="Y41">
        <f t="shared" si="15"/>
        <v>0.34500000000000014</v>
      </c>
      <c r="Z41">
        <f t="shared" si="9"/>
        <v>0</v>
      </c>
      <c r="AA41">
        <f t="shared" si="16"/>
        <v>0</v>
      </c>
      <c r="AB41">
        <f t="shared" si="17"/>
        <v>1.0000235668946658</v>
      </c>
      <c r="AC41" s="1">
        <f t="shared" si="10"/>
        <v>7.4493433161470389E-3</v>
      </c>
    </row>
    <row r="42" spans="1:29" x14ac:dyDescent="0.2">
      <c r="D42" s="14">
        <f>'Out2 for pureChar'!$A42</f>
        <v>8.5499999999999883</v>
      </c>
      <c r="E42" s="16">
        <f ca="1">'Out2 for pureChar'!$B42</f>
        <v>0</v>
      </c>
      <c r="F42" s="16">
        <f ca="1">'out2 for YC'!$B42</f>
        <v>0</v>
      </c>
      <c r="I42">
        <f t="shared" si="18"/>
        <v>0.35500000000000015</v>
      </c>
      <c r="J42">
        <f t="shared" si="0"/>
        <v>0.9930144220343724</v>
      </c>
      <c r="K42">
        <f t="shared" si="11"/>
        <v>0.48416684216718098</v>
      </c>
      <c r="L42">
        <f t="shared" si="1"/>
        <v>3.7971307864135752E+16</v>
      </c>
      <c r="M42">
        <f t="shared" si="2"/>
        <v>517.71494610195884</v>
      </c>
      <c r="N42">
        <f t="shared" si="3"/>
        <v>0</v>
      </c>
      <c r="O42">
        <f t="shared" si="4"/>
        <v>0</v>
      </c>
      <c r="P42">
        <f t="shared" si="5"/>
        <v>0</v>
      </c>
      <c r="R42">
        <f t="shared" si="6"/>
        <v>0.35500000000000015</v>
      </c>
      <c r="S42">
        <f t="shared" si="7"/>
        <v>0.99302075972982518</v>
      </c>
      <c r="T42">
        <f t="shared" si="12"/>
        <v>0.48416355608906597</v>
      </c>
      <c r="U42" s="1">
        <f t="shared" si="8"/>
        <v>4015.2118807186712</v>
      </c>
      <c r="V42">
        <f t="shared" si="13"/>
        <v>3.8238425365811456E+16</v>
      </c>
      <c r="W42">
        <f t="shared" si="14"/>
        <v>379715502076303.12</v>
      </c>
      <c r="Y42">
        <f t="shared" si="15"/>
        <v>0.35500000000000015</v>
      </c>
      <c r="Z42">
        <f t="shared" si="9"/>
        <v>0</v>
      </c>
      <c r="AA42">
        <f t="shared" si="16"/>
        <v>0</v>
      </c>
      <c r="AB42">
        <f t="shared" si="17"/>
        <v>1.0000235668946658</v>
      </c>
      <c r="AC42" s="1">
        <f t="shared" si="10"/>
        <v>7.4493433161470389E-3</v>
      </c>
    </row>
    <row r="43" spans="1:29" x14ac:dyDescent="0.2">
      <c r="A43" t="s">
        <v>27</v>
      </c>
      <c r="B43" t="s">
        <v>26</v>
      </c>
      <c r="D43" s="14">
        <f>'Out2 for pureChar'!$A43</f>
        <v>8.6499999999999879</v>
      </c>
      <c r="E43" s="16">
        <f ca="1">'Out2 for pureChar'!$B43</f>
        <v>0</v>
      </c>
      <c r="F43" s="16">
        <f ca="1">'out2 for YC'!$B43</f>
        <v>0</v>
      </c>
      <c r="I43">
        <f t="shared" si="18"/>
        <v>0.36500000000000016</v>
      </c>
      <c r="J43">
        <f t="shared" si="0"/>
        <v>0.97264768174907501</v>
      </c>
      <c r="K43">
        <f t="shared" si="11"/>
        <v>0.47423669794683726</v>
      </c>
      <c r="L43">
        <f t="shared" si="1"/>
        <v>3.8499541374759944E+16</v>
      </c>
      <c r="M43">
        <f t="shared" si="2"/>
        <v>507.09673842625699</v>
      </c>
      <c r="N43">
        <f t="shared" si="3"/>
        <v>0</v>
      </c>
      <c r="O43">
        <f t="shared" si="4"/>
        <v>0</v>
      </c>
      <c r="P43">
        <f t="shared" si="5"/>
        <v>0</v>
      </c>
      <c r="R43">
        <f t="shared" si="6"/>
        <v>0.36500000000000016</v>
      </c>
      <c r="S43">
        <f t="shared" si="7"/>
        <v>0.97265388945830145</v>
      </c>
      <c r="T43">
        <f t="shared" si="12"/>
        <v>0.47423334849176774</v>
      </c>
      <c r="U43" s="1">
        <f t="shared" si="8"/>
        <v>3932.8597767215251</v>
      </c>
      <c r="V43">
        <f t="shared" si="13"/>
        <v>3.958220648357244E+16</v>
      </c>
      <c r="W43">
        <f t="shared" si="14"/>
        <v>384997870895883.31</v>
      </c>
      <c r="Y43">
        <f t="shared" si="15"/>
        <v>0.36500000000000016</v>
      </c>
      <c r="Z43">
        <f t="shared" si="9"/>
        <v>0</v>
      </c>
      <c r="AA43">
        <f t="shared" si="16"/>
        <v>0</v>
      </c>
      <c r="AB43">
        <f t="shared" si="17"/>
        <v>1.0000235668946658</v>
      </c>
      <c r="AC43" s="1">
        <f t="shared" si="10"/>
        <v>7.4493433161470389E-3</v>
      </c>
    </row>
    <row r="44" spans="1:29" x14ac:dyDescent="0.2">
      <c r="A44" s="3">
        <v>0.9</v>
      </c>
      <c r="B44">
        <v>0.75</v>
      </c>
      <c r="I44">
        <f t="shared" si="18"/>
        <v>0.37500000000000017</v>
      </c>
      <c r="J44">
        <f t="shared" si="0"/>
        <v>0.95269866360420619</v>
      </c>
      <c r="K44">
        <f t="shared" si="11"/>
        <v>0.46451022112934653</v>
      </c>
      <c r="L44">
        <f t="shared" si="1"/>
        <v>3.9035123345509472E+16</v>
      </c>
      <c r="M44">
        <f t="shared" si="2"/>
        <v>496.69631034491715</v>
      </c>
      <c r="N44">
        <f t="shared" si="3"/>
        <v>0</v>
      </c>
      <c r="O44">
        <f t="shared" si="4"/>
        <v>0</v>
      </c>
      <c r="P44">
        <f t="shared" si="5"/>
        <v>0</v>
      </c>
      <c r="R44">
        <f t="shared" si="6"/>
        <v>0.37500000000000017</v>
      </c>
      <c r="S44">
        <f t="shared" si="7"/>
        <v>0.95270474399322591</v>
      </c>
      <c r="T44">
        <f t="shared" si="12"/>
        <v>0.46450680959718471</v>
      </c>
      <c r="U44" s="1">
        <f t="shared" si="8"/>
        <v>3852.1967155789848</v>
      </c>
      <c r="V44">
        <f t="shared" si="13"/>
        <v>4.0973210981354344E+16</v>
      </c>
      <c r="W44">
        <f t="shared" si="14"/>
        <v>390353724785716.25</v>
      </c>
      <c r="Y44">
        <f t="shared" si="15"/>
        <v>0.37500000000000017</v>
      </c>
      <c r="Z44">
        <f t="shared" si="9"/>
        <v>0</v>
      </c>
      <c r="AA44">
        <f t="shared" si="16"/>
        <v>0</v>
      </c>
      <c r="AB44">
        <f t="shared" si="17"/>
        <v>1.0000235668946658</v>
      </c>
      <c r="AC44" s="1">
        <f t="shared" si="10"/>
        <v>7.4493433161470389E-3</v>
      </c>
    </row>
    <row r="45" spans="1:29" x14ac:dyDescent="0.2">
      <c r="A45" s="3">
        <v>0.94</v>
      </c>
      <c r="B45">
        <v>1</v>
      </c>
      <c r="I45">
        <f t="shared" si="18"/>
        <v>0.38500000000000018</v>
      </c>
      <c r="J45">
        <f t="shared" si="0"/>
        <v>0.93315880011257091</v>
      </c>
      <c r="K45">
        <f t="shared" si="11"/>
        <v>0.45498323449330447</v>
      </c>
      <c r="L45">
        <f t="shared" si="1"/>
        <v>3.9578156003647712E+16</v>
      </c>
      <c r="M45">
        <f t="shared" si="2"/>
        <v>486.50919519528145</v>
      </c>
      <c r="N45">
        <f t="shared" si="3"/>
        <v>0</v>
      </c>
      <c r="O45">
        <f t="shared" si="4"/>
        <v>0</v>
      </c>
      <c r="P45">
        <f t="shared" si="5"/>
        <v>0</v>
      </c>
      <c r="R45">
        <f t="shared" si="6"/>
        <v>0.38500000000000018</v>
      </c>
      <c r="S45">
        <f t="shared" si="7"/>
        <v>0.93316475579272307</v>
      </c>
      <c r="T45">
        <f t="shared" si="12"/>
        <v>0.45497976215725244</v>
      </c>
      <c r="U45" s="1">
        <f t="shared" si="8"/>
        <v>3773.1880549974576</v>
      </c>
      <c r="V45">
        <f t="shared" si="13"/>
        <v>4.2413098391049016E+16</v>
      </c>
      <c r="W45">
        <f t="shared" si="14"/>
        <v>395784086024959.94</v>
      </c>
      <c r="Y45">
        <f t="shared" si="15"/>
        <v>0.38500000000000018</v>
      </c>
      <c r="Z45">
        <f t="shared" si="9"/>
        <v>0</v>
      </c>
      <c r="AA45">
        <f t="shared" si="16"/>
        <v>0</v>
      </c>
      <c r="AB45">
        <f t="shared" si="17"/>
        <v>1.0000235668946658</v>
      </c>
      <c r="AC45" s="1">
        <f t="shared" si="10"/>
        <v>7.4493433161470389E-3</v>
      </c>
    </row>
    <row r="46" spans="1:29" x14ac:dyDescent="0.2">
      <c r="A46" s="3">
        <v>0.97</v>
      </c>
      <c r="B46">
        <v>1.4</v>
      </c>
      <c r="I46">
        <f t="shared" si="18"/>
        <v>0.39500000000000018</v>
      </c>
      <c r="J46">
        <f t="shared" si="0"/>
        <v>0.91401969950626094</v>
      </c>
      <c r="K46">
        <f t="shared" si="11"/>
        <v>0.44565164649217875</v>
      </c>
      <c r="L46">
        <f t="shared" si="1"/>
        <v>4.0128742998560912E+16</v>
      </c>
      <c r="M46">
        <f t="shared" si="2"/>
        <v>476.53101792600791</v>
      </c>
      <c r="N46">
        <f t="shared" si="3"/>
        <v>0</v>
      </c>
      <c r="O46">
        <f t="shared" si="4"/>
        <v>0</v>
      </c>
      <c r="P46">
        <f t="shared" si="5"/>
        <v>0</v>
      </c>
      <c r="R46">
        <f t="shared" si="6"/>
        <v>0.39500000000000018</v>
      </c>
      <c r="S46">
        <f t="shared" si="7"/>
        <v>0.9140255330353263</v>
      </c>
      <c r="T46">
        <f t="shared" si="12"/>
        <v>0.44564811459932518</v>
      </c>
      <c r="U46" s="1">
        <f t="shared" si="8"/>
        <v>3695.7998631972955</v>
      </c>
      <c r="V46">
        <f t="shared" si="13"/>
        <v>4.3903586564094656E+16</v>
      </c>
      <c r="W46">
        <f t="shared" si="14"/>
        <v>401289991114092.06</v>
      </c>
      <c r="Y46">
        <f t="shared" si="15"/>
        <v>0.39500000000000018</v>
      </c>
      <c r="Z46">
        <f t="shared" si="9"/>
        <v>0</v>
      </c>
      <c r="AA46">
        <f t="shared" si="16"/>
        <v>0</v>
      </c>
      <c r="AB46">
        <f t="shared" si="17"/>
        <v>1.0000235668946658</v>
      </c>
      <c r="AC46" s="1">
        <f t="shared" si="10"/>
        <v>7.4493433161470389E-3</v>
      </c>
    </row>
    <row r="47" spans="1:29" x14ac:dyDescent="0.2">
      <c r="I47">
        <f t="shared" si="18"/>
        <v>0.40500000000000019</v>
      </c>
      <c r="J47">
        <f t="shared" si="0"/>
        <v>0.89527314213265086</v>
      </c>
      <c r="K47">
        <f t="shared" si="11"/>
        <v>0.43651144949711612</v>
      </c>
      <c r="L47">
        <f t="shared" si="1"/>
        <v>4.0686989421542256E+16</v>
      </c>
      <c r="M47">
        <f t="shared" si="2"/>
        <v>466.75749321812185</v>
      </c>
      <c r="N47">
        <f t="shared" si="3"/>
        <v>0</v>
      </c>
      <c r="O47">
        <f t="shared" si="4"/>
        <v>0</v>
      </c>
      <c r="P47">
        <f t="shared" si="5"/>
        <v>0</v>
      </c>
      <c r="R47">
        <f t="shared" si="6"/>
        <v>0.40500000000000019</v>
      </c>
      <c r="S47">
        <f t="shared" si="7"/>
        <v>0.89527885601594992</v>
      </c>
      <c r="T47">
        <f t="shared" si="12"/>
        <v>0.4365078592689719</v>
      </c>
      <c r="U47" s="1">
        <f t="shared" si="8"/>
        <v>3619.9989043401501</v>
      </c>
      <c r="V47">
        <f t="shared" si="13"/>
        <v>4.5446453720951392E+16</v>
      </c>
      <c r="W47">
        <f t="shared" si="14"/>
        <v>406872490972751.75</v>
      </c>
      <c r="Y47">
        <f t="shared" si="15"/>
        <v>0.40500000000000019</v>
      </c>
      <c r="Z47">
        <f t="shared" si="9"/>
        <v>0</v>
      </c>
      <c r="AA47">
        <f t="shared" si="16"/>
        <v>0</v>
      </c>
      <c r="AB47">
        <f t="shared" si="17"/>
        <v>1.0000235668946658</v>
      </c>
      <c r="AC47" s="1">
        <f t="shared" si="10"/>
        <v>7.4493433161470389E-3</v>
      </c>
    </row>
    <row r="48" spans="1:29" x14ac:dyDescent="0.2">
      <c r="A48" s="7" t="s">
        <v>28</v>
      </c>
      <c r="B48">
        <f>M657</f>
        <v>8.0156369026066539E-3</v>
      </c>
      <c r="I48">
        <f t="shared" si="18"/>
        <v>0.4150000000000002</v>
      </c>
      <c r="J48">
        <f t="shared" si="0"/>
        <v>0.87691107692431003</v>
      </c>
      <c r="K48">
        <f t="shared" si="11"/>
        <v>0.4275587180757896</v>
      </c>
      <c r="L48">
        <f t="shared" si="1"/>
        <v>4.1253001825849216E+16</v>
      </c>
      <c r="M48">
        <f t="shared" si="2"/>
        <v>457.18442364460293</v>
      </c>
      <c r="N48">
        <f t="shared" si="3"/>
        <v>0</v>
      </c>
      <c r="O48">
        <f t="shared" si="4"/>
        <v>0</v>
      </c>
      <c r="P48">
        <f t="shared" si="5"/>
        <v>0</v>
      </c>
      <c r="R48">
        <f t="shared" si="6"/>
        <v>0.4150000000000002</v>
      </c>
      <c r="S48">
        <f t="shared" si="7"/>
        <v>0.8769166736157793</v>
      </c>
      <c r="T48">
        <f t="shared" si="12"/>
        <v>0.42755507070881238</v>
      </c>
      <c r="U48" s="1">
        <f t="shared" si="8"/>
        <v>3545.752624255199</v>
      </c>
      <c r="V48">
        <f t="shared" si="13"/>
        <v>4.7043540572597808E+16</v>
      </c>
      <c r="W48">
        <f t="shared" si="14"/>
        <v>412532651140314.25</v>
      </c>
      <c r="Y48">
        <f t="shared" si="15"/>
        <v>0.4150000000000002</v>
      </c>
      <c r="Z48">
        <f t="shared" si="9"/>
        <v>0</v>
      </c>
      <c r="AA48">
        <f t="shared" si="16"/>
        <v>0</v>
      </c>
      <c r="AB48">
        <f t="shared" si="17"/>
        <v>1.0000235668946658</v>
      </c>
      <c r="AC48" s="1">
        <f t="shared" si="10"/>
        <v>7.4493433161470389E-3</v>
      </c>
    </row>
    <row r="49" spans="1:29" x14ac:dyDescent="0.2">
      <c r="A49" s="7"/>
      <c r="I49">
        <f t="shared" si="18"/>
        <v>0.42500000000000021</v>
      </c>
      <c r="J49">
        <f t="shared" si="0"/>
        <v>0.85892561794131883</v>
      </c>
      <c r="K49">
        <f t="shared" si="11"/>
        <v>0.41878960730654652</v>
      </c>
      <c r="L49">
        <f t="shared" si="1"/>
        <v>4.1826888247044536E+16</v>
      </c>
      <c r="M49">
        <f t="shared" si="2"/>
        <v>447.80769786772038</v>
      </c>
      <c r="N49">
        <f t="shared" si="3"/>
        <v>0</v>
      </c>
      <c r="O49">
        <f t="shared" si="4"/>
        <v>0</v>
      </c>
      <c r="P49">
        <f t="shared" si="5"/>
        <v>0</v>
      </c>
      <c r="R49">
        <f t="shared" si="6"/>
        <v>0.42500000000000021</v>
      </c>
      <c r="S49">
        <f t="shared" si="7"/>
        <v>0.85893109984456451</v>
      </c>
      <c r="T49">
        <f t="shared" si="12"/>
        <v>0.41878590397265458</v>
      </c>
      <c r="U49" s="1">
        <f t="shared" si="8"/>
        <v>3473.0291364581399</v>
      </c>
      <c r="V49">
        <f t="shared" si="13"/>
        <v>4.8696752516586504E+16</v>
      </c>
      <c r="W49">
        <f t="shared" si="14"/>
        <v>418271551979302.06</v>
      </c>
      <c r="Y49">
        <f t="shared" si="15"/>
        <v>0.42500000000000021</v>
      </c>
      <c r="Z49">
        <f t="shared" si="9"/>
        <v>0</v>
      </c>
      <c r="AA49">
        <f t="shared" si="16"/>
        <v>0</v>
      </c>
      <c r="AB49">
        <f t="shared" si="17"/>
        <v>1.0000235668946658</v>
      </c>
      <c r="AC49" s="1">
        <f t="shared" si="10"/>
        <v>7.4493433161470389E-3</v>
      </c>
    </row>
    <row r="50" spans="1:29" x14ac:dyDescent="0.2">
      <c r="I50">
        <f t="shared" si="18"/>
        <v>0.43500000000000022</v>
      </c>
      <c r="J50">
        <f t="shared" si="0"/>
        <v>0.84130904098450021</v>
      </c>
      <c r="K50">
        <f t="shared" si="11"/>
        <v>0.41020035112713332</v>
      </c>
      <c r="L50">
        <f t="shared" si="1"/>
        <v>4.240875822361416E+16</v>
      </c>
      <c r="M50">
        <f t="shared" si="2"/>
        <v>438.62328887334041</v>
      </c>
      <c r="N50">
        <f t="shared" si="3"/>
        <v>0</v>
      </c>
      <c r="O50">
        <f t="shared" si="4"/>
        <v>0</v>
      </c>
      <c r="P50">
        <f t="shared" si="5"/>
        <v>0</v>
      </c>
      <c r="R50">
        <f t="shared" si="6"/>
        <v>0.43500000000000022</v>
      </c>
      <c r="S50">
        <f t="shared" si="7"/>
        <v>0.84131441045383026</v>
      </c>
      <c r="T50">
        <f t="shared" si="12"/>
        <v>0.41019659297420896</v>
      </c>
      <c r="U50" s="1">
        <f t="shared" si="8"/>
        <v>3401.7972084569296</v>
      </c>
      <c r="V50">
        <f t="shared" si="13"/>
        <v>5.0408061910267136E+16</v>
      </c>
      <c r="W50">
        <f t="shared" si="14"/>
        <v>424090288881565.75</v>
      </c>
      <c r="Y50">
        <f t="shared" si="15"/>
        <v>0.43500000000000022</v>
      </c>
      <c r="Z50">
        <f t="shared" si="9"/>
        <v>0</v>
      </c>
      <c r="AA50">
        <f t="shared" si="16"/>
        <v>0</v>
      </c>
      <c r="AB50">
        <f t="shared" si="17"/>
        <v>1.0000235668946658</v>
      </c>
      <c r="AC50" s="1">
        <f t="shared" si="10"/>
        <v>7.4493433161470389E-3</v>
      </c>
    </row>
    <row r="51" spans="1:29" x14ac:dyDescent="0.2">
      <c r="I51">
        <f t="shared" si="18"/>
        <v>0.44500000000000023</v>
      </c>
      <c r="J51">
        <f t="shared" si="0"/>
        <v>0.82405378027811438</v>
      </c>
      <c r="K51">
        <f t="shared" si="11"/>
        <v>0.40178726071728832</v>
      </c>
      <c r="L51">
        <f t="shared" si="1"/>
        <v>4.2998722817876416E+16</v>
      </c>
      <c r="M51">
        <f t="shared" si="2"/>
        <v>429.62725224144759</v>
      </c>
      <c r="N51">
        <f t="shared" si="3"/>
        <v>0</v>
      </c>
      <c r="O51">
        <f t="shared" si="4"/>
        <v>0</v>
      </c>
      <c r="P51">
        <f t="shared" si="5"/>
        <v>0</v>
      </c>
      <c r="R51">
        <f t="shared" si="6"/>
        <v>0.44500000000000023</v>
      </c>
      <c r="S51">
        <f t="shared" si="7"/>
        <v>0.82405903961955007</v>
      </c>
      <c r="T51">
        <f t="shared" si="12"/>
        <v>0.40178344886967066</v>
      </c>
      <c r="U51" s="1">
        <f t="shared" si="8"/>
        <v>3332.0262483383904</v>
      </c>
      <c r="V51">
        <f t="shared" si="13"/>
        <v>5.2179510423900424E+16</v>
      </c>
      <c r="W51">
        <f t="shared" si="14"/>
        <v>429989972477376.88</v>
      </c>
      <c r="Y51">
        <f t="shared" si="15"/>
        <v>0.44500000000000023</v>
      </c>
      <c r="Z51">
        <f t="shared" si="9"/>
        <v>0</v>
      </c>
      <c r="AA51">
        <f t="shared" si="16"/>
        <v>0</v>
      </c>
      <c r="AB51">
        <f t="shared" si="17"/>
        <v>1.0000235668946658</v>
      </c>
      <c r="AC51" s="1">
        <f t="shared" si="10"/>
        <v>7.4493433161470389E-3</v>
      </c>
    </row>
    <row r="52" spans="1:29" x14ac:dyDescent="0.2">
      <c r="I52">
        <f t="shared" si="18"/>
        <v>0.45500000000000024</v>
      </c>
      <c r="J52">
        <f t="shared" si="0"/>
        <v>0.80715242522059349</v>
      </c>
      <c r="K52">
        <f t="shared" si="11"/>
        <v>0.39354672291450715</v>
      </c>
      <c r="L52">
        <f t="shared" si="1"/>
        <v>4.359689463718076E+16</v>
      </c>
      <c r="M52">
        <f t="shared" si="2"/>
        <v>420.8157244521388</v>
      </c>
      <c r="N52">
        <f t="shared" si="3"/>
        <v>0</v>
      </c>
      <c r="O52">
        <f t="shared" si="4"/>
        <v>0</v>
      </c>
      <c r="P52">
        <f t="shared" si="5"/>
        <v>0</v>
      </c>
      <c r="R52">
        <f t="shared" si="6"/>
        <v>0.45500000000000024</v>
      </c>
      <c r="S52">
        <f t="shared" si="7"/>
        <v>0.80715757669285959</v>
      </c>
      <c r="T52">
        <f t="shared" si="12"/>
        <v>0.39354285847347514</v>
      </c>
      <c r="U52" s="1">
        <f t="shared" si="8"/>
        <v>3263.6862916299315</v>
      </c>
      <c r="V52">
        <f t="shared" si="13"/>
        <v>5.4013211476464064E+16</v>
      </c>
      <c r="W52">
        <f t="shared" si="14"/>
        <v>435971728847416.88</v>
      </c>
      <c r="Y52">
        <f t="shared" si="15"/>
        <v>0.45500000000000024</v>
      </c>
      <c r="Z52">
        <f t="shared" si="9"/>
        <v>0</v>
      </c>
      <c r="AA52">
        <f t="shared" si="16"/>
        <v>0</v>
      </c>
      <c r="AB52">
        <f t="shared" si="17"/>
        <v>1.0000235668946658</v>
      </c>
      <c r="AC52" s="1">
        <f t="shared" si="10"/>
        <v>7.4493433161470389E-3</v>
      </c>
    </row>
    <row r="53" spans="1:29" x14ac:dyDescent="0.2">
      <c r="I53">
        <f t="shared" si="18"/>
        <v>0.46500000000000025</v>
      </c>
      <c r="J53">
        <f t="shared" si="0"/>
        <v>0.79059771720191496</v>
      </c>
      <c r="K53">
        <f t="shared" si="11"/>
        <v>0.38547519866230123</v>
      </c>
      <c r="L53">
        <f t="shared" si="1"/>
        <v>4.4203387855399944E+16</v>
      </c>
      <c r="M53">
        <f t="shared" si="2"/>
        <v>412.18492122636047</v>
      </c>
      <c r="N53">
        <f t="shared" si="3"/>
        <v>0</v>
      </c>
      <c r="O53">
        <f t="shared" si="4"/>
        <v>0</v>
      </c>
      <c r="P53">
        <f t="shared" si="5"/>
        <v>0</v>
      </c>
      <c r="R53">
        <f t="shared" si="6"/>
        <v>0.46500000000000025</v>
      </c>
      <c r="S53">
        <f t="shared" si="7"/>
        <v>0.79060276301740984</v>
      </c>
      <c r="T53">
        <f t="shared" si="12"/>
        <v>0.38547128270654657</v>
      </c>
      <c r="U53" s="1">
        <f t="shared" si="8"/>
        <v>3196.7479884307318</v>
      </c>
      <c r="V53">
        <f t="shared" si="13"/>
        <v>5.59113527570566E+16</v>
      </c>
      <c r="W53">
        <f t="shared" si="14"/>
        <v>442036699737700.25</v>
      </c>
      <c r="Y53">
        <f t="shared" si="15"/>
        <v>0.46500000000000025</v>
      </c>
      <c r="Z53">
        <f t="shared" si="9"/>
        <v>0</v>
      </c>
      <c r="AA53">
        <f t="shared" si="16"/>
        <v>0</v>
      </c>
      <c r="AB53">
        <f t="shared" si="17"/>
        <v>1.0000235668946658</v>
      </c>
      <c r="AC53" s="1">
        <f t="shared" si="10"/>
        <v>7.4493433161470389E-3</v>
      </c>
    </row>
    <row r="54" spans="1:29" x14ac:dyDescent="0.2">
      <c r="I54">
        <f t="shared" si="18"/>
        <v>0.47500000000000026</v>
      </c>
      <c r="J54">
        <f t="shared" si="0"/>
        <v>0.77438254648625426</v>
      </c>
      <c r="K54">
        <f t="shared" si="11"/>
        <v>0.3775692214902821</v>
      </c>
      <c r="L54">
        <f t="shared" si="1"/>
        <v>4.4818318234724448E+16</v>
      </c>
      <c r="M54">
        <f t="shared" si="2"/>
        <v>403.73113590067749</v>
      </c>
      <c r="N54">
        <f t="shared" si="3"/>
        <v>0</v>
      </c>
      <c r="O54">
        <f t="shared" si="4"/>
        <v>0</v>
      </c>
      <c r="P54">
        <f t="shared" si="5"/>
        <v>0</v>
      </c>
      <c r="R54">
        <f t="shared" si="6"/>
        <v>0.47500000000000026</v>
      </c>
      <c r="S54">
        <f t="shared" si="7"/>
        <v>0.7743874888119997</v>
      </c>
      <c r="T54">
        <f t="shared" si="12"/>
        <v>0.37756525507637245</v>
      </c>
      <c r="U54" s="1">
        <f t="shared" si="8"/>
        <v>3131.1825908068645</v>
      </c>
      <c r="V54">
        <f t="shared" si="13"/>
        <v>5.7876198834912664E+16</v>
      </c>
      <c r="W54">
        <f t="shared" si="14"/>
        <v>448186042777520</v>
      </c>
      <c r="Y54">
        <f t="shared" si="15"/>
        <v>0.47500000000000026</v>
      </c>
      <c r="Z54">
        <f t="shared" si="9"/>
        <v>0</v>
      </c>
      <c r="AA54">
        <f t="shared" si="16"/>
        <v>0</v>
      </c>
      <c r="AB54">
        <f t="shared" si="17"/>
        <v>1.0000235668946658</v>
      </c>
      <c r="AC54" s="1">
        <f t="shared" si="10"/>
        <v>7.4493433161470389E-3</v>
      </c>
    </row>
    <row r="55" spans="1:29" x14ac:dyDescent="0.2">
      <c r="I55">
        <f t="shared" si="18"/>
        <v>0.48500000000000026</v>
      </c>
      <c r="J55">
        <f t="shared" si="0"/>
        <v>0.75849994915857233</v>
      </c>
      <c r="K55">
        <f t="shared" si="11"/>
        <v>0.36982539602541958</v>
      </c>
      <c r="L55">
        <f t="shared" si="1"/>
        <v>4.5441803147756632E+16</v>
      </c>
      <c r="M55">
        <f t="shared" si="2"/>
        <v>395.45073783537595</v>
      </c>
      <c r="N55">
        <f t="shared" si="3"/>
        <v>0</v>
      </c>
      <c r="O55">
        <f t="shared" si="4"/>
        <v>0</v>
      </c>
      <c r="P55">
        <f t="shared" si="5"/>
        <v>0</v>
      </c>
      <c r="R55">
        <f t="shared" si="6"/>
        <v>0.48500000000000026</v>
      </c>
      <c r="S55">
        <f t="shared" si="7"/>
        <v>0.75850479011714456</v>
      </c>
      <c r="T55">
        <f t="shared" si="12"/>
        <v>0.36982138018825245</v>
      </c>
      <c r="U55" s="1">
        <f t="shared" si="8"/>
        <v>3066.9619404449472</v>
      </c>
      <c r="V55">
        <f t="shared" si="13"/>
        <v>5.9910093861135576E+16</v>
      </c>
      <c r="W55">
        <f t="shared" si="14"/>
        <v>454420931700390.75</v>
      </c>
      <c r="Y55">
        <f t="shared" si="15"/>
        <v>0.48500000000000026</v>
      </c>
      <c r="Z55">
        <f t="shared" si="9"/>
        <v>0</v>
      </c>
      <c r="AA55">
        <f t="shared" si="16"/>
        <v>0</v>
      </c>
      <c r="AB55">
        <f t="shared" si="17"/>
        <v>1.0000235668946658</v>
      </c>
      <c r="AC55" s="1">
        <f t="shared" si="10"/>
        <v>7.4493433161470389E-3</v>
      </c>
    </row>
    <row r="56" spans="1:29" x14ac:dyDescent="0.2">
      <c r="I56">
        <f t="shared" si="18"/>
        <v>0.49500000000000027</v>
      </c>
      <c r="J56">
        <f t="shared" si="0"/>
        <v>0.74294310413382869</v>
      </c>
      <c r="K56">
        <f t="shared" si="11"/>
        <v>0.36224039653383389</v>
      </c>
      <c r="L56">
        <f t="shared" si="1"/>
        <v>4.6073961599915312E+16</v>
      </c>
      <c r="M56">
        <f t="shared" si="2"/>
        <v>387.34017085521549</v>
      </c>
      <c r="N56">
        <f t="shared" si="3"/>
        <v>0</v>
      </c>
      <c r="O56">
        <f t="shared" si="4"/>
        <v>0</v>
      </c>
      <c r="P56">
        <f t="shared" si="5"/>
        <v>0</v>
      </c>
      <c r="R56">
        <f t="shared" si="6"/>
        <v>0.49500000000000027</v>
      </c>
      <c r="S56">
        <f t="shared" si="7"/>
        <v>0.74294784580426998</v>
      </c>
      <c r="T56">
        <f t="shared" si="12"/>
        <v>0.36223633228708102</v>
      </c>
      <c r="U56" s="1">
        <f t="shared" si="8"/>
        <v>3004.0584565590157</v>
      </c>
      <c r="V56">
        <f t="shared" si="13"/>
        <v>6.2015464365378728E+16</v>
      </c>
      <c r="W56">
        <f t="shared" si="14"/>
        <v>460742556568095.94</v>
      </c>
      <c r="Y56">
        <f t="shared" si="15"/>
        <v>0.49500000000000027</v>
      </c>
      <c r="Z56">
        <f t="shared" si="9"/>
        <v>0</v>
      </c>
      <c r="AA56">
        <f t="shared" si="16"/>
        <v>0</v>
      </c>
      <c r="AB56">
        <f t="shared" si="17"/>
        <v>1.0000235668946658</v>
      </c>
      <c r="AC56" s="1">
        <f t="shared" si="10"/>
        <v>7.4493433161470389E-3</v>
      </c>
    </row>
    <row r="57" spans="1:29" x14ac:dyDescent="0.2">
      <c r="I57">
        <f t="shared" si="18"/>
        <v>0.50500000000000023</v>
      </c>
      <c r="J57">
        <f t="shared" si="0"/>
        <v>0.72770533022753747</v>
      </c>
      <c r="K57">
        <f t="shared" si="11"/>
        <v>0.35481096549249558</v>
      </c>
      <c r="L57">
        <f t="shared" si="1"/>
        <v>4.6714914252148696E+16</v>
      </c>
      <c r="M57">
        <f t="shared" si="2"/>
        <v>379.39595172216184</v>
      </c>
      <c r="N57">
        <f t="shared" si="3"/>
        <v>0</v>
      </c>
      <c r="O57">
        <f t="shared" si="4"/>
        <v>0</v>
      </c>
      <c r="P57">
        <f t="shared" si="5"/>
        <v>0</v>
      </c>
      <c r="R57">
        <f t="shared" si="6"/>
        <v>0.50500000000000023</v>
      </c>
      <c r="S57">
        <f t="shared" si="7"/>
        <v>0.72770997464624887</v>
      </c>
      <c r="T57">
        <f t="shared" si="12"/>
        <v>0.35480685382903832</v>
      </c>
      <c r="U57" s="1">
        <f t="shared" si="8"/>
        <v>2942.4451240454287</v>
      </c>
      <c r="V57">
        <f t="shared" si="13"/>
        <v>6.4194822150803768E+16</v>
      </c>
      <c r="W57">
        <f t="shared" si="14"/>
        <v>467152123997818.62</v>
      </c>
      <c r="Y57">
        <f t="shared" si="15"/>
        <v>0.50500000000000023</v>
      </c>
      <c r="Z57">
        <f t="shared" si="9"/>
        <v>0</v>
      </c>
      <c r="AA57">
        <f t="shared" si="16"/>
        <v>0</v>
      </c>
      <c r="AB57">
        <f t="shared" si="17"/>
        <v>1.0000235668946658</v>
      </c>
      <c r="AC57" s="1">
        <f t="shared" si="10"/>
        <v>7.4493433161470389E-3</v>
      </c>
    </row>
    <row r="58" spans="1:29" x14ac:dyDescent="0.2">
      <c r="I58">
        <f t="shared" si="18"/>
        <v>0.51500000000000024</v>
      </c>
      <c r="J58">
        <f t="shared" si="0"/>
        <v>0.71278008328640297</v>
      </c>
      <c r="K58">
        <f t="shared" si="11"/>
        <v>0.34753391219022023</v>
      </c>
      <c r="L58">
        <f t="shared" si="1"/>
        <v>4.736478344396656E+16</v>
      </c>
      <c r="M58">
        <f t="shared" si="2"/>
        <v>371.61466863944366</v>
      </c>
      <c r="N58">
        <f t="shared" si="3"/>
        <v>0</v>
      </c>
      <c r="O58">
        <f t="shared" si="4"/>
        <v>0</v>
      </c>
      <c r="P58">
        <f t="shared" si="5"/>
        <v>0</v>
      </c>
      <c r="R58">
        <f t="shared" si="6"/>
        <v>0.51500000000000024</v>
      </c>
      <c r="S58">
        <f t="shared" si="7"/>
        <v>0.71278463244801882</v>
      </c>
      <c r="T58">
        <f t="shared" si="12"/>
        <v>0.3475297540825758</v>
      </c>
      <c r="U58" s="1">
        <f t="shared" si="8"/>
        <v>2882.0954818807136</v>
      </c>
      <c r="V58">
        <f t="shared" si="13"/>
        <v>6.6450767290778608E+16</v>
      </c>
      <c r="W58">
        <f t="shared" si="14"/>
        <v>473650857392464.62</v>
      </c>
      <c r="Y58">
        <f t="shared" si="15"/>
        <v>0.51500000000000024</v>
      </c>
      <c r="Z58">
        <f t="shared" si="9"/>
        <v>0</v>
      </c>
      <c r="AA58">
        <f t="shared" si="16"/>
        <v>0</v>
      </c>
      <c r="AB58">
        <f t="shared" si="17"/>
        <v>1.0000235668946658</v>
      </c>
      <c r="AC58" s="1">
        <f t="shared" si="10"/>
        <v>7.4493433161470389E-3</v>
      </c>
    </row>
    <row r="59" spans="1:29" x14ac:dyDescent="0.2">
      <c r="I59">
        <f t="shared" si="18"/>
        <v>0.52500000000000024</v>
      </c>
      <c r="J59">
        <f t="shared" si="0"/>
        <v>0.69816095337781015</v>
      </c>
      <c r="K59">
        <f t="shared" si="11"/>
        <v>0.34040611135735621</v>
      </c>
      <c r="L59">
        <f t="shared" si="1"/>
        <v>4.8023693216789864E+16</v>
      </c>
      <c r="M59">
        <f t="shared" si="2"/>
        <v>363.99297978629107</v>
      </c>
      <c r="N59">
        <f t="shared" si="3"/>
        <v>0</v>
      </c>
      <c r="O59">
        <f t="shared" si="4"/>
        <v>0</v>
      </c>
      <c r="P59">
        <f t="shared" si="5"/>
        <v>0</v>
      </c>
      <c r="R59">
        <f t="shared" si="6"/>
        <v>0.52500000000000024</v>
      </c>
      <c r="S59">
        <f t="shared" si="7"/>
        <v>0.69816540923605475</v>
      </c>
      <c r="T59">
        <f t="shared" si="12"/>
        <v>0.34040190775809559</v>
      </c>
      <c r="U59" s="1">
        <f t="shared" si="8"/>
        <v>2822.9836117573764</v>
      </c>
      <c r="V59">
        <f t="shared" si="13"/>
        <v>6.8785991230881424E+16</v>
      </c>
      <c r="W59">
        <f t="shared" si="14"/>
        <v>480239997174160</v>
      </c>
      <c r="Y59">
        <f t="shared" si="15"/>
        <v>0.52500000000000024</v>
      </c>
      <c r="Z59">
        <f t="shared" si="9"/>
        <v>0</v>
      </c>
      <c r="AA59">
        <f t="shared" si="16"/>
        <v>0</v>
      </c>
      <c r="AB59">
        <f t="shared" si="17"/>
        <v>1.0000235668946658</v>
      </c>
      <c r="AC59" s="1">
        <f t="shared" si="10"/>
        <v>7.4493433161470389E-3</v>
      </c>
    </row>
    <row r="60" spans="1:29" x14ac:dyDescent="0.2">
      <c r="I60">
        <f t="shared" si="18"/>
        <v>0.53500000000000025</v>
      </c>
      <c r="J60">
        <f t="shared" si="0"/>
        <v>0.6838416620369544</v>
      </c>
      <c r="K60">
        <f t="shared" si="11"/>
        <v>0.33342450182357813</v>
      </c>
      <c r="L60">
        <f t="shared" si="1"/>
        <v>4.8691769337628568E+16</v>
      </c>
      <c r="M60">
        <f t="shared" si="2"/>
        <v>356.527611882727</v>
      </c>
      <c r="N60">
        <f t="shared" si="3"/>
        <v>0</v>
      </c>
      <c r="O60">
        <f t="shared" si="4"/>
        <v>0</v>
      </c>
      <c r="P60">
        <f t="shared" si="5"/>
        <v>0</v>
      </c>
      <c r="R60">
        <f t="shared" si="6"/>
        <v>0.53500000000000025</v>
      </c>
      <c r="S60">
        <f t="shared" si="7"/>
        <v>0.68384602650548143</v>
      </c>
      <c r="T60">
        <f t="shared" si="12"/>
        <v>0.33342025366573502</v>
      </c>
      <c r="U60" s="1">
        <f t="shared" si="8"/>
        <v>2765.0841269527882</v>
      </c>
      <c r="V60">
        <f t="shared" si="13"/>
        <v>7.1203279999920936E+16</v>
      </c>
      <c r="W60">
        <f t="shared" si="14"/>
        <v>486920801021031.5</v>
      </c>
      <c r="Y60">
        <f t="shared" si="15"/>
        <v>0.53500000000000025</v>
      </c>
      <c r="Z60">
        <f t="shared" si="9"/>
        <v>0</v>
      </c>
      <c r="AA60">
        <f t="shared" si="16"/>
        <v>0</v>
      </c>
      <c r="AB60">
        <f t="shared" si="17"/>
        <v>1.0000235668946658</v>
      </c>
      <c r="AC60" s="1">
        <f t="shared" si="10"/>
        <v>7.4493433161470389E-3</v>
      </c>
    </row>
    <row r="61" spans="1:29" x14ac:dyDescent="0.2">
      <c r="I61">
        <f t="shared" si="18"/>
        <v>0.54500000000000026</v>
      </c>
      <c r="J61">
        <f t="shared" si="0"/>
        <v>0.66981605957043677</v>
      </c>
      <c r="K61">
        <f t="shared" si="11"/>
        <v>0.32658608520320859</v>
      </c>
      <c r="L61">
        <f t="shared" si="1"/>
        <v>4.9369139323085376E+16</v>
      </c>
      <c r="M61">
        <f t="shared" si="2"/>
        <v>349.21535878379444</v>
      </c>
      <c r="N61">
        <f t="shared" si="3"/>
        <v>0</v>
      </c>
      <c r="O61">
        <f t="shared" si="4"/>
        <v>0</v>
      </c>
      <c r="P61">
        <f t="shared" si="5"/>
        <v>0</v>
      </c>
      <c r="R61">
        <f t="shared" si="6"/>
        <v>0.54500000000000026</v>
      </c>
      <c r="S61">
        <f t="shared" si="7"/>
        <v>0.66982033452365064</v>
      </c>
      <c r="T61">
        <f t="shared" si="12"/>
        <v>0.32658179340068022</v>
      </c>
      <c r="U61" s="1">
        <f t="shared" si="8"/>
        <v>2708.3721614263713</v>
      </c>
      <c r="V61">
        <f t="shared" si="13"/>
        <v>7.3705517533793616E+16</v>
      </c>
      <c r="W61">
        <f t="shared" si="14"/>
        <v>493694544107244.44</v>
      </c>
      <c r="Y61">
        <f t="shared" si="15"/>
        <v>0.54500000000000026</v>
      </c>
      <c r="Z61">
        <f t="shared" si="9"/>
        <v>0</v>
      </c>
      <c r="AA61">
        <f t="shared" si="16"/>
        <v>0</v>
      </c>
      <c r="AB61">
        <f t="shared" si="17"/>
        <v>1.0000235668946658</v>
      </c>
      <c r="AC61" s="1">
        <f t="shared" si="10"/>
        <v>7.4493433161470389E-3</v>
      </c>
    </row>
    <row r="62" spans="1:29" x14ac:dyDescent="0.2">
      <c r="I62">
        <f t="shared" si="18"/>
        <v>0.55500000000000027</v>
      </c>
      <c r="J62">
        <f t="shared" si="0"/>
        <v>0.65607812241515939</v>
      </c>
      <c r="K62">
        <f t="shared" si="11"/>
        <v>0.3198879246075042</v>
      </c>
      <c r="L62">
        <f t="shared" si="1"/>
        <v>5.005593246369668E+16</v>
      </c>
      <c r="M62">
        <f t="shared" si="2"/>
        <v>342.05308010261626</v>
      </c>
      <c r="N62">
        <f t="shared" si="3"/>
        <v>0</v>
      </c>
      <c r="O62">
        <f t="shared" si="4"/>
        <v>0</v>
      </c>
      <c r="P62">
        <f t="shared" si="5"/>
        <v>0</v>
      </c>
      <c r="R62">
        <f t="shared" si="6"/>
        <v>0.55500000000000027</v>
      </c>
      <c r="S62">
        <f t="shared" si="7"/>
        <v>0.65608230968902048</v>
      </c>
      <c r="T62">
        <f t="shared" si="12"/>
        <v>0.3198835900554437</v>
      </c>
      <c r="U62" s="1">
        <f t="shared" si="8"/>
        <v>2652.8233591404023</v>
      </c>
      <c r="V62">
        <f t="shared" si="13"/>
        <v>7.6295689116153472E+16</v>
      </c>
      <c r="W62">
        <f t="shared" si="14"/>
        <v>500562519346414.31</v>
      </c>
      <c r="Y62">
        <f t="shared" si="15"/>
        <v>0.55500000000000027</v>
      </c>
      <c r="Z62">
        <f t="shared" si="9"/>
        <v>0</v>
      </c>
      <c r="AA62">
        <f t="shared" si="16"/>
        <v>0</v>
      </c>
      <c r="AB62">
        <f t="shared" si="17"/>
        <v>1.0000235668946658</v>
      </c>
      <c r="AC62" s="1">
        <f t="shared" si="10"/>
        <v>7.4493433161470389E-3</v>
      </c>
    </row>
    <row r="63" spans="1:29" x14ac:dyDescent="0.2">
      <c r="I63">
        <f t="shared" si="18"/>
        <v>0.56500000000000028</v>
      </c>
      <c r="J63">
        <f t="shared" si="0"/>
        <v>0.64262195055139104</v>
      </c>
      <c r="K63">
        <f t="shared" si="11"/>
        <v>0.3133271433833526</v>
      </c>
      <c r="L63">
        <f t="shared" si="1"/>
        <v>5.0752279848608688E+16</v>
      </c>
      <c r="M63">
        <f t="shared" si="2"/>
        <v>335.03769986169601</v>
      </c>
      <c r="N63">
        <f t="shared" si="3"/>
        <v>0</v>
      </c>
      <c r="O63">
        <f t="shared" si="4"/>
        <v>0</v>
      </c>
      <c r="P63">
        <f t="shared" si="5"/>
        <v>0</v>
      </c>
      <c r="R63">
        <f t="shared" si="6"/>
        <v>0.56500000000000028</v>
      </c>
      <c r="S63">
        <f t="shared" si="7"/>
        <v>0.64262605194420408</v>
      </c>
      <c r="T63">
        <f t="shared" si="12"/>
        <v>0.31332276695855349</v>
      </c>
      <c r="U63" s="1">
        <f t="shared" si="8"/>
        <v>2598.4138635998479</v>
      </c>
      <c r="V63">
        <f t="shared" si="13"/>
        <v>7.897688493998928E+16</v>
      </c>
      <c r="W63">
        <f t="shared" si="14"/>
        <v>507526037638369.75</v>
      </c>
      <c r="Y63">
        <f t="shared" si="15"/>
        <v>0.56500000000000028</v>
      </c>
      <c r="Z63">
        <f t="shared" si="9"/>
        <v>0</v>
      </c>
      <c r="AA63">
        <f t="shared" si="16"/>
        <v>0</v>
      </c>
      <c r="AB63">
        <f t="shared" si="17"/>
        <v>1.0000235668946658</v>
      </c>
      <c r="AC63" s="1">
        <f t="shared" si="10"/>
        <v>7.4493433161470389E-3</v>
      </c>
    </row>
    <row r="64" spans="1:29" x14ac:dyDescent="0.2">
      <c r="I64">
        <f t="shared" si="18"/>
        <v>0.57500000000000029</v>
      </c>
      <c r="J64">
        <f t="shared" si="0"/>
        <v>0.62944176496889148</v>
      </c>
      <c r="K64">
        <f t="shared" si="11"/>
        <v>0.30690092387783868</v>
      </c>
      <c r="L64">
        <f t="shared" si="1"/>
        <v>5.1458314390598568E+16</v>
      </c>
      <c r="M64">
        <f t="shared" si="2"/>
        <v>328.16620517188062</v>
      </c>
      <c r="N64">
        <f t="shared" si="3"/>
        <v>0</v>
      </c>
      <c r="O64">
        <f t="shared" si="4"/>
        <v>0</v>
      </c>
      <c r="P64">
        <f t="shared" si="5"/>
        <v>0</v>
      </c>
      <c r="R64">
        <f t="shared" si="6"/>
        <v>0.57500000000000029</v>
      </c>
      <c r="S64">
        <f t="shared" si="7"/>
        <v>0.62944578224207814</v>
      </c>
      <c r="T64">
        <f t="shared" si="12"/>
        <v>0.30689650643911143</v>
      </c>
      <c r="U64" s="1">
        <f t="shared" si="8"/>
        <v>2545.120307606735</v>
      </c>
      <c r="V64">
        <f t="shared" si="13"/>
        <v>8.1752303794365728E+16</v>
      </c>
      <c r="W64">
        <f t="shared" si="14"/>
        <v>514586428119365.5</v>
      </c>
      <c r="Y64">
        <f t="shared" si="15"/>
        <v>0.57500000000000029</v>
      </c>
      <c r="Z64">
        <f t="shared" si="9"/>
        <v>0</v>
      </c>
      <c r="AA64">
        <f t="shared" si="16"/>
        <v>0</v>
      </c>
      <c r="AB64">
        <f t="shared" si="17"/>
        <v>1.0000235668946658</v>
      </c>
      <c r="AC64" s="1">
        <f t="shared" si="10"/>
        <v>7.4493433161470389E-3</v>
      </c>
    </row>
    <row r="65" spans="9:29" x14ac:dyDescent="0.2">
      <c r="I65">
        <f t="shared" si="18"/>
        <v>0.5850000000000003</v>
      </c>
      <c r="J65">
        <f t="shared" si="0"/>
        <v>0.61653190518500534</v>
      </c>
      <c r="K65">
        <f t="shared" si="11"/>
        <v>0.30060650622814977</v>
      </c>
      <c r="L65">
        <f t="shared" si="1"/>
        <v>5.217417085144552E+16</v>
      </c>
      <c r="M65">
        <f t="shared" si="2"/>
        <v>321.43564493841734</v>
      </c>
      <c r="N65">
        <f t="shared" si="3"/>
        <v>0</v>
      </c>
      <c r="O65">
        <f t="shared" si="4"/>
        <v>0</v>
      </c>
      <c r="P65">
        <f t="shared" si="5"/>
        <v>0</v>
      </c>
      <c r="R65">
        <f t="shared" si="6"/>
        <v>0.5850000000000003</v>
      </c>
      <c r="S65">
        <f t="shared" si="7"/>
        <v>0.61653584006386031</v>
      </c>
      <c r="T65">
        <f t="shared" si="12"/>
        <v>0.30060204861669065</v>
      </c>
      <c r="U65" s="1">
        <f t="shared" si="8"/>
        <v>2492.9198032246641</v>
      </c>
      <c r="V65">
        <f t="shared" si="13"/>
        <v>8.462525688072768E+16</v>
      </c>
      <c r="W65">
        <f t="shared" si="14"/>
        <v>521745038415794.19</v>
      </c>
      <c r="Y65">
        <f t="shared" si="15"/>
        <v>0.5850000000000003</v>
      </c>
      <c r="Z65">
        <f t="shared" si="9"/>
        <v>0</v>
      </c>
      <c r="AA65">
        <f t="shared" si="16"/>
        <v>0</v>
      </c>
      <c r="AB65">
        <f t="shared" si="17"/>
        <v>1.0000235668946658</v>
      </c>
      <c r="AC65" s="1">
        <f t="shared" si="10"/>
        <v>7.4493433161470389E-3</v>
      </c>
    </row>
    <row r="66" spans="9:29" x14ac:dyDescent="0.2">
      <c r="I66">
        <f t="shared" si="18"/>
        <v>0.59500000000000031</v>
      </c>
      <c r="J66">
        <f t="shared" si="0"/>
        <v>0.60388682681365802</v>
      </c>
      <c r="K66">
        <f t="shared" si="11"/>
        <v>0.29444118717629975</v>
      </c>
      <c r="L66">
        <f t="shared" si="1"/>
        <v>5.2899985867651368E+16</v>
      </c>
      <c r="M66">
        <f t="shared" si="2"/>
        <v>314.84312859355009</v>
      </c>
      <c r="N66">
        <f t="shared" si="3"/>
        <v>0</v>
      </c>
      <c r="O66">
        <f t="shared" si="4"/>
        <v>0</v>
      </c>
      <c r="P66">
        <f t="shared" si="5"/>
        <v>0</v>
      </c>
      <c r="R66">
        <f t="shared" si="6"/>
        <v>0.59500000000000031</v>
      </c>
      <c r="S66">
        <f t="shared" si="7"/>
        <v>0.60389068098809029</v>
      </c>
      <c r="T66">
        <f t="shared" si="12"/>
        <v>0.29443669021605207</v>
      </c>
      <c r="U66" s="1">
        <f t="shared" si="8"/>
        <v>2441.7899319491421</v>
      </c>
      <c r="V66">
        <f t="shared" si="13"/>
        <v>8.759917176331248E+16</v>
      </c>
      <c r="W66">
        <f t="shared" si="14"/>
        <v>529003234901394.62</v>
      </c>
      <c r="Y66">
        <f t="shared" si="15"/>
        <v>0.59500000000000031</v>
      </c>
      <c r="Z66">
        <f t="shared" si="9"/>
        <v>0</v>
      </c>
      <c r="AA66">
        <f t="shared" si="16"/>
        <v>0</v>
      </c>
      <c r="AB66">
        <f t="shared" si="17"/>
        <v>1.0000235668946658</v>
      </c>
      <c r="AC66" s="1">
        <f t="shared" si="10"/>
        <v>7.4493433161470389E-3</v>
      </c>
    </row>
    <row r="67" spans="9:29" x14ac:dyDescent="0.2">
      <c r="I67">
        <f t="shared" si="18"/>
        <v>0.60500000000000032</v>
      </c>
      <c r="J67">
        <f t="shared" si="0"/>
        <v>0.59150109918421534</v>
      </c>
      <c r="K67">
        <f t="shared" si="11"/>
        <v>0.28840231890816315</v>
      </c>
      <c r="L67">
        <f t="shared" si="1"/>
        <v>5.3635897976520768E+16</v>
      </c>
      <c r="M67">
        <f t="shared" si="2"/>
        <v>308.38582485510938</v>
      </c>
      <c r="N67">
        <f t="shared" si="3"/>
        <v>0</v>
      </c>
      <c r="O67">
        <f t="shared" si="4"/>
        <v>0</v>
      </c>
      <c r="P67">
        <f t="shared" si="5"/>
        <v>0</v>
      </c>
      <c r="R67">
        <f t="shared" si="6"/>
        <v>0.60500000000000032</v>
      </c>
      <c r="S67">
        <f t="shared" si="7"/>
        <v>0.59150487430947374</v>
      </c>
      <c r="T67">
        <f t="shared" si="12"/>
        <v>0.28839778340617117</v>
      </c>
      <c r="U67" s="1">
        <f t="shared" si="8"/>
        <v>2391.7087350795332</v>
      </c>
      <c r="V67">
        <f t="shared" si="13"/>
        <v>9.0677596458390624E+16</v>
      </c>
      <c r="W67">
        <f t="shared" si="14"/>
        <v>536362402958055.31</v>
      </c>
      <c r="Y67">
        <f t="shared" si="15"/>
        <v>0.60500000000000032</v>
      </c>
      <c r="Z67">
        <f t="shared" si="9"/>
        <v>0</v>
      </c>
      <c r="AA67">
        <f t="shared" si="16"/>
        <v>0</v>
      </c>
      <c r="AB67">
        <f t="shared" si="17"/>
        <v>1.0000235668946658</v>
      </c>
      <c r="AC67" s="1">
        <f t="shared" si="10"/>
        <v>7.4493433161470389E-3</v>
      </c>
    </row>
    <row r="68" spans="9:29" x14ac:dyDescent="0.2">
      <c r="I68">
        <f t="shared" si="18"/>
        <v>0.61500000000000032</v>
      </c>
      <c r="J68">
        <f t="shared" si="0"/>
        <v>0.57936940300917661</v>
      </c>
      <c r="K68">
        <f t="shared" si="11"/>
        <v>0.28248730791632098</v>
      </c>
      <c r="L68">
        <f t="shared" si="1"/>
        <v>5.4382047642605336E+16</v>
      </c>
      <c r="M68">
        <f t="shared" si="2"/>
        <v>302.06096051056454</v>
      </c>
      <c r="N68">
        <f t="shared" si="3"/>
        <v>0</v>
      </c>
      <c r="O68">
        <f t="shared" si="4"/>
        <v>0</v>
      </c>
      <c r="P68">
        <f t="shared" si="5"/>
        <v>0</v>
      </c>
      <c r="R68">
        <f t="shared" si="6"/>
        <v>0.61500000000000032</v>
      </c>
      <c r="S68">
        <f t="shared" si="7"/>
        <v>0.5793731007065609</v>
      </c>
      <c r="T68">
        <f t="shared" si="12"/>
        <v>0.28248273466307644</v>
      </c>
      <c r="U68" s="1">
        <f t="shared" si="8"/>
        <v>2342.654704288469</v>
      </c>
      <c r="V68">
        <f t="shared" si="13"/>
        <v>9.3864203667213648E+16</v>
      </c>
      <c r="W68">
        <f t="shared" si="14"/>
        <v>543823947240257.12</v>
      </c>
      <c r="Y68">
        <f t="shared" si="15"/>
        <v>0.61500000000000032</v>
      </c>
      <c r="Z68">
        <f t="shared" si="9"/>
        <v>0</v>
      </c>
      <c r="AA68">
        <f t="shared" si="16"/>
        <v>0</v>
      </c>
      <c r="AB68">
        <f t="shared" si="17"/>
        <v>1.0000235668946658</v>
      </c>
      <c r="AC68" s="1">
        <f t="shared" si="10"/>
        <v>7.4493433161470389E-3</v>
      </c>
    </row>
    <row r="69" spans="9:29" x14ac:dyDescent="0.2">
      <c r="I69">
        <f t="shared" si="18"/>
        <v>0.62500000000000033</v>
      </c>
      <c r="J69">
        <f t="shared" si="0"/>
        <v>0.5674865280997049</v>
      </c>
      <c r="K69">
        <f t="shared" si="11"/>
        <v>0.27669361388622921</v>
      </c>
      <c r="L69">
        <f t="shared" si="1"/>
        <v>5.5138577284512472E+16</v>
      </c>
      <c r="M69">
        <f t="shared" si="2"/>
        <v>295.86581922601431</v>
      </c>
      <c r="N69">
        <f t="shared" si="3"/>
        <v>0</v>
      </c>
      <c r="O69">
        <f t="shared" si="4"/>
        <v>0</v>
      </c>
      <c r="P69">
        <f t="shared" si="5"/>
        <v>0</v>
      </c>
      <c r="R69">
        <f t="shared" si="6"/>
        <v>0.62500000000000033</v>
      </c>
      <c r="S69">
        <f t="shared" si="7"/>
        <v>0.56749014995726188</v>
      </c>
      <c r="T69">
        <f t="shared" si="12"/>
        <v>0.27668900365601085</v>
      </c>
      <c r="U69" s="1">
        <f t="shared" si="8"/>
        <v>2294.6067723846922</v>
      </c>
      <c r="V69">
        <f t="shared" si="13"/>
        <v>9.7162795157711424E+16</v>
      </c>
      <c r="W69">
        <f t="shared" si="14"/>
        <v>551389291943163.75</v>
      </c>
      <c r="Y69">
        <f t="shared" si="15"/>
        <v>0.62500000000000033</v>
      </c>
      <c r="Z69">
        <f t="shared" si="9"/>
        <v>0</v>
      </c>
      <c r="AA69">
        <f t="shared" si="16"/>
        <v>0</v>
      </c>
      <c r="AB69">
        <f t="shared" si="17"/>
        <v>1.0000235668946658</v>
      </c>
      <c r="AC69" s="1">
        <f t="shared" si="10"/>
        <v>7.4493433161470389E-3</v>
      </c>
    </row>
    <row r="70" spans="9:29" x14ac:dyDescent="0.2">
      <c r="I70">
        <f t="shared" si="18"/>
        <v>0.63500000000000034</v>
      </c>
      <c r="J70">
        <f t="shared" si="0"/>
        <v>0.55584737112801308</v>
      </c>
      <c r="K70">
        <f t="shared" si="11"/>
        <v>0.27101874860523217</v>
      </c>
      <c r="L70">
        <f t="shared" si="1"/>
        <v>5.5905631302089024E+16</v>
      </c>
      <c r="M70">
        <f t="shared" si="2"/>
        <v>289.79774037960544</v>
      </c>
      <c r="N70">
        <f t="shared" si="3"/>
        <v>0</v>
      </c>
      <c r="O70">
        <f t="shared" si="4"/>
        <v>0</v>
      </c>
      <c r="P70">
        <f t="shared" si="5"/>
        <v>0</v>
      </c>
      <c r="R70">
        <f t="shared" si="6"/>
        <v>0.63500000000000034</v>
      </c>
      <c r="S70">
        <f t="shared" si="7"/>
        <v>0.55585091870121872</v>
      </c>
      <c r="T70">
        <f t="shared" si="12"/>
        <v>0.27101410215643823</v>
      </c>
      <c r="U70" s="1">
        <f t="shared" si="8"/>
        <v>2247.5443042653433</v>
      </c>
      <c r="V70">
        <f t="shared" si="13"/>
        <v>1.0057730630017464E+17</v>
      </c>
      <c r="W70">
        <f t="shared" si="14"/>
        <v>559059881074459.44</v>
      </c>
      <c r="Y70">
        <f t="shared" si="15"/>
        <v>0.63500000000000034</v>
      </c>
      <c r="Z70">
        <f t="shared" si="9"/>
        <v>0</v>
      </c>
      <c r="AA70">
        <f t="shared" si="16"/>
        <v>0</v>
      </c>
      <c r="AB70">
        <f t="shared" si="17"/>
        <v>1.0000235668946658</v>
      </c>
      <c r="AC70" s="1">
        <f t="shared" si="10"/>
        <v>7.4493433161470389E-3</v>
      </c>
    </row>
    <row r="71" spans="9:29" x14ac:dyDescent="0.2">
      <c r="I71">
        <f t="shared" si="18"/>
        <v>0.64500000000000035</v>
      </c>
      <c r="J71">
        <f t="shared" ref="J71:J134" si="19">IF($I71&gt;$B$23,0,1)*IF($I71&lt;($B$23-$B$21),$B$10*EXP(-$B$10*($I71-$B$8)),$B$10*EXP(-$B$10*($B$23-$B$20-$B$21-$B$8)))/(1-EXP(-$B$10*($B$23-$B$21-$B$8)))*(1/(1+$B$24))</f>
        <v>0.54444693343564121</v>
      </c>
      <c r="K71">
        <f t="shared" si="11"/>
        <v>0.26546027489395202</v>
      </c>
      <c r="L71">
        <f t="shared" ref="L71:L134" si="20">$V71*$J71</f>
        <v>5.668335610398496E+16</v>
      </c>
      <c r="M71">
        <f t="shared" ref="M71:M134" si="21">$K71/$L$4*$B$18</f>
        <v>283.85411791887753</v>
      </c>
      <c r="N71">
        <f t="shared" ref="N71:N134" si="22">IF($I71&gt;$B$23,0,1)*IF($I71&lt;($B$23-$B$21),0,M71)</f>
        <v>0</v>
      </c>
      <c r="O71">
        <f t="shared" ref="O71:O134" si="23">IF($I71&gt;$B$23,0,1)*IF($I71&lt;($B$23-$B$33),0,1)*IF($I71&lt;($B$23-$B$21),$B$10*EXP(-$B$10*($I71-$B$8)),$B$10*EXP(-$B$10*($B$23-$B$20-$B$21-$B$8)))/(1-EXP(-$B$10*($B$23-$B$21-$B$8)))*(1/(1+$B$24))*($B$18/(SUM($L$7:$L$105)*0.05))</f>
        <v>0</v>
      </c>
      <c r="P71">
        <f t="shared" ref="P71:P134" si="24">IF($I71&gt;$B$23,0,1)*IF($I71&lt;($B$23-$B$21),0,1)*$L71</f>
        <v>0</v>
      </c>
      <c r="R71">
        <f t="shared" ref="R71:R134" si="25">$I71</f>
        <v>0.64500000000000035</v>
      </c>
      <c r="S71">
        <f t="shared" ref="S71:S134" si="26">IF($I71&lt;$B$23+0.01,$B$10*EXP(-$B$10*($I71-$B$8))/(1-EXP(-$B$10*($B$23-$B$8))),0)</f>
        <v>0.54445040824806867</v>
      </c>
      <c r="T71">
        <f t="shared" si="12"/>
        <v>0.26545559296942606</v>
      </c>
      <c r="U71" s="1">
        <f t="shared" ref="U71:U134" si="27">T71*$B$18/$W$4</f>
        <v>2201.4470880538252</v>
      </c>
      <c r="V71">
        <f t="shared" ref="V71:V134" si="28">10^(1.5*$I71+16.05)</f>
        <v>1.0411181076233478E+17</v>
      </c>
      <c r="W71">
        <f t="shared" si="14"/>
        <v>566837178729988.38</v>
      </c>
      <c r="Y71">
        <f t="shared" si="15"/>
        <v>0.64500000000000035</v>
      </c>
      <c r="Z71">
        <f t="shared" ref="Z71:Z134" si="29">IF(AND($Y71&lt;$B$9+$B$27*$B$28,$Y71&gt;$B$9-$B$27*$B$28),NORMDIST($Y71,$B$9,$B$27,0) / (2*NORMDIST($B$28,0,1,1)-1),0)</f>
        <v>0</v>
      </c>
      <c r="AA71">
        <f t="shared" si="16"/>
        <v>0</v>
      </c>
      <c r="AB71">
        <f t="shared" si="17"/>
        <v>1.0000235668946658</v>
      </c>
      <c r="AC71" s="1">
        <f t="shared" ref="AC71:AC134" si="30">$AB71*$B$18/$AA$4</f>
        <v>7.4493433161470389E-3</v>
      </c>
    </row>
    <row r="72" spans="9:29" x14ac:dyDescent="0.2">
      <c r="I72">
        <f t="shared" si="18"/>
        <v>0.65500000000000036</v>
      </c>
      <c r="J72">
        <f t="shared" si="19"/>
        <v>0.53328031888668692</v>
      </c>
      <c r="K72">
        <f t="shared" ref="K72:K135" si="31">$J72*K$4+K73</f>
        <v>0.26001580555959558</v>
      </c>
      <c r="L72">
        <f t="shared" si="20"/>
        <v>5.7471900135597032E+16</v>
      </c>
      <c r="M72">
        <f t="shared" si="21"/>
        <v>278.03239924154434</v>
      </c>
      <c r="N72">
        <f t="shared" si="22"/>
        <v>0</v>
      </c>
      <c r="O72">
        <f t="shared" si="23"/>
        <v>0</v>
      </c>
      <c r="P72">
        <f t="shared" si="24"/>
        <v>0</v>
      </c>
      <c r="R72">
        <f t="shared" si="25"/>
        <v>0.65500000000000036</v>
      </c>
      <c r="S72">
        <f t="shared" si="26"/>
        <v>0.5332837224306608</v>
      </c>
      <c r="T72">
        <f t="shared" ref="T72:T135" si="32">T73+$S72*0.01</f>
        <v>0.26001108888694535</v>
      </c>
      <c r="U72" s="1">
        <f t="shared" si="27"/>
        <v>2156.2953264194234</v>
      </c>
      <c r="V72">
        <f t="shared" si="28"/>
        <v>1.0777052536943304E+17</v>
      </c>
      <c r="W72">
        <f t="shared" ref="W72:W135" si="33">$S72*$V72*0.01</f>
        <v>574722669373192.12</v>
      </c>
      <c r="Y72">
        <f t="shared" ref="Y72:Y135" si="34">I72</f>
        <v>0.65500000000000036</v>
      </c>
      <c r="Z72">
        <f t="shared" si="29"/>
        <v>0</v>
      </c>
      <c r="AA72">
        <f t="shared" ref="AA72:AA135" si="35">$V72*$Z72*$K$4</f>
        <v>0</v>
      </c>
      <c r="AB72">
        <f t="shared" ref="AB72:AB135" si="36">Z72*$K$4+AB73</f>
        <v>1.0000235668946658</v>
      </c>
      <c r="AC72" s="1">
        <f t="shared" si="30"/>
        <v>7.4493433161470389E-3</v>
      </c>
    </row>
    <row r="73" spans="9:29" x14ac:dyDescent="0.2">
      <c r="I73">
        <f t="shared" ref="I73:I136" si="37">I72+0.01</f>
        <v>0.66500000000000037</v>
      </c>
      <c r="J73">
        <f t="shared" si="19"/>
        <v>0.52234273176506718</v>
      </c>
      <c r="K73">
        <f t="shared" si="31"/>
        <v>0.25468300237072872</v>
      </c>
      <c r="L73">
        <f t="shared" si="20"/>
        <v>5.8271413907402808E+16</v>
      </c>
      <c r="M73">
        <f t="shared" si="21"/>
        <v>272.33008409922974</v>
      </c>
      <c r="N73">
        <f t="shared" si="22"/>
        <v>0</v>
      </c>
      <c r="O73">
        <f t="shared" si="23"/>
        <v>0</v>
      </c>
      <c r="P73">
        <f t="shared" si="24"/>
        <v>0</v>
      </c>
      <c r="R73">
        <f t="shared" si="25"/>
        <v>0.66500000000000037</v>
      </c>
      <c r="S73">
        <f t="shared" si="26"/>
        <v>0.52234606550230445</v>
      </c>
      <c r="T73">
        <f t="shared" si="32"/>
        <v>0.25467825166263874</v>
      </c>
      <c r="U73" s="1">
        <f t="shared" si="27"/>
        <v>2112.0696280749662</v>
      </c>
      <c r="V73">
        <f t="shared" si="28"/>
        <v>1.115578151350853E+17</v>
      </c>
      <c r="W73">
        <f t="shared" si="33"/>
        <v>582717858118452.38</v>
      </c>
      <c r="Y73">
        <f t="shared" si="34"/>
        <v>0.66500000000000037</v>
      </c>
      <c r="Z73">
        <f t="shared" si="29"/>
        <v>0</v>
      </c>
      <c r="AA73">
        <f t="shared" si="35"/>
        <v>0</v>
      </c>
      <c r="AB73">
        <f t="shared" si="36"/>
        <v>1.0000235668946658</v>
      </c>
      <c r="AC73" s="1">
        <f t="shared" si="30"/>
        <v>7.4493433161470389E-3</v>
      </c>
    </row>
    <row r="74" spans="9:29" x14ac:dyDescent="0.2">
      <c r="I74">
        <f t="shared" si="37"/>
        <v>0.67500000000000038</v>
      </c>
      <c r="J74">
        <f t="shared" si="19"/>
        <v>0.51162947471490572</v>
      </c>
      <c r="K74">
        <f t="shared" si="31"/>
        <v>0.24945957505307803</v>
      </c>
      <c r="L74">
        <f t="shared" si="20"/>
        <v>5.9082050023690408E+16</v>
      </c>
      <c r="M74">
        <f t="shared" si="21"/>
        <v>266.74472352368815</v>
      </c>
      <c r="N74">
        <f t="shared" si="22"/>
        <v>0</v>
      </c>
      <c r="O74">
        <f t="shared" si="23"/>
        <v>0</v>
      </c>
      <c r="P74">
        <f t="shared" si="24"/>
        <v>0</v>
      </c>
      <c r="R74">
        <f t="shared" si="25"/>
        <v>0.67500000000000038</v>
      </c>
      <c r="S74">
        <f t="shared" si="26"/>
        <v>0.51163274007714354</v>
      </c>
      <c r="T74">
        <f t="shared" si="32"/>
        <v>0.24945479100761569</v>
      </c>
      <c r="U74" s="1">
        <f t="shared" si="27"/>
        <v>2068.7509994488646</v>
      </c>
      <c r="V74">
        <f t="shared" si="28"/>
        <v>1.1547819846894587E+17</v>
      </c>
      <c r="W74">
        <f t="shared" si="33"/>
        <v>590824271018389.75</v>
      </c>
      <c r="Y74">
        <f t="shared" si="34"/>
        <v>0.67500000000000038</v>
      </c>
      <c r="Z74">
        <f t="shared" si="29"/>
        <v>0</v>
      </c>
      <c r="AA74">
        <f t="shared" si="35"/>
        <v>0</v>
      </c>
      <c r="AB74">
        <f t="shared" si="36"/>
        <v>1.0000235668946658</v>
      </c>
      <c r="AC74" s="1">
        <f t="shared" si="30"/>
        <v>7.4493433161470389E-3</v>
      </c>
    </row>
    <row r="75" spans="9:29" x14ac:dyDescent="0.2">
      <c r="I75">
        <f t="shared" si="37"/>
        <v>0.68500000000000039</v>
      </c>
      <c r="J75">
        <f t="shared" si="19"/>
        <v>0.50113594672316331</v>
      </c>
      <c r="K75">
        <f t="shared" si="31"/>
        <v>0.24434328030592897</v>
      </c>
      <c r="L75">
        <f t="shared" si="20"/>
        <v>5.9903963211684168E+16</v>
      </c>
      <c r="M75">
        <f t="shared" si="21"/>
        <v>261.27391877504868</v>
      </c>
      <c r="N75">
        <f t="shared" si="22"/>
        <v>0</v>
      </c>
      <c r="O75">
        <f t="shared" si="23"/>
        <v>0</v>
      </c>
      <c r="P75">
        <f t="shared" si="24"/>
        <v>0</v>
      </c>
      <c r="R75">
        <f t="shared" si="25"/>
        <v>0.68500000000000039</v>
      </c>
      <c r="S75">
        <f t="shared" si="26"/>
        <v>0.50113914511277402</v>
      </c>
      <c r="T75">
        <f t="shared" si="32"/>
        <v>0.24433846360684425</v>
      </c>
      <c r="U75" s="1">
        <f t="shared" si="27"/>
        <v>2026.3208365279593</v>
      </c>
      <c r="V75">
        <f t="shared" si="28"/>
        <v>1.1953635256737274E+17</v>
      </c>
      <c r="W75">
        <f t="shared" si="33"/>
        <v>599043455355123.25</v>
      </c>
      <c r="Y75">
        <f t="shared" si="34"/>
        <v>0.68500000000000039</v>
      </c>
      <c r="Z75">
        <f t="shared" si="29"/>
        <v>0</v>
      </c>
      <c r="AA75">
        <f t="shared" si="35"/>
        <v>0</v>
      </c>
      <c r="AB75">
        <f t="shared" si="36"/>
        <v>1.0000235668946658</v>
      </c>
      <c r="AC75" s="1">
        <f t="shared" si="30"/>
        <v>7.4493433161470389E-3</v>
      </c>
    </row>
    <row r="76" spans="9:29" x14ac:dyDescent="0.2">
      <c r="I76">
        <f t="shared" si="37"/>
        <v>0.6950000000000004</v>
      </c>
      <c r="J76">
        <f t="shared" si="19"/>
        <v>0.49085764114364561</v>
      </c>
      <c r="K76">
        <f t="shared" si="31"/>
        <v>0.23933192083869734</v>
      </c>
      <c r="L76">
        <f t="shared" si="20"/>
        <v>6.0737310351077736E+16</v>
      </c>
      <c r="M76">
        <f t="shared" si="21"/>
        <v>255.91532031162993</v>
      </c>
      <c r="N76">
        <f t="shared" si="22"/>
        <v>0</v>
      </c>
      <c r="O76">
        <f t="shared" si="23"/>
        <v>0</v>
      </c>
      <c r="P76">
        <f t="shared" si="24"/>
        <v>0</v>
      </c>
      <c r="R76">
        <f t="shared" si="25"/>
        <v>0.6950000000000004</v>
      </c>
      <c r="S76">
        <f t="shared" si="26"/>
        <v>0.49086077393423877</v>
      </c>
      <c r="T76">
        <f t="shared" si="32"/>
        <v>0.2393270721557165</v>
      </c>
      <c r="U76" s="1">
        <f t="shared" si="27"/>
        <v>1984.7609168676729</v>
      </c>
      <c r="V76">
        <f t="shared" si="28"/>
        <v>1.2373711899353614E+17</v>
      </c>
      <c r="W76">
        <f t="shared" si="33"/>
        <v>607376979935601.5</v>
      </c>
      <c r="Y76">
        <f t="shared" si="34"/>
        <v>0.6950000000000004</v>
      </c>
      <c r="Z76">
        <f t="shared" si="29"/>
        <v>0</v>
      </c>
      <c r="AA76">
        <f t="shared" si="35"/>
        <v>0</v>
      </c>
      <c r="AB76">
        <f t="shared" si="36"/>
        <v>1.0000235668946658</v>
      </c>
      <c r="AC76" s="1">
        <f t="shared" si="30"/>
        <v>7.4493433161470389E-3</v>
      </c>
    </row>
    <row r="77" spans="9:29" x14ac:dyDescent="0.2">
      <c r="I77">
        <f t="shared" si="37"/>
        <v>0.7050000000000004</v>
      </c>
      <c r="J77">
        <f t="shared" si="19"/>
        <v>0.48079014376153778</v>
      </c>
      <c r="K77">
        <f t="shared" si="31"/>
        <v>0.23442334442726087</v>
      </c>
      <c r="L77">
        <f t="shared" si="20"/>
        <v>6.1582250503979984E+16</v>
      </c>
      <c r="M77">
        <f t="shared" si="21"/>
        <v>250.6666267808848</v>
      </c>
      <c r="N77">
        <f t="shared" si="22"/>
        <v>0</v>
      </c>
      <c r="O77">
        <f t="shared" si="23"/>
        <v>0</v>
      </c>
      <c r="P77">
        <f t="shared" si="24"/>
        <v>0</v>
      </c>
      <c r="R77">
        <f t="shared" si="25"/>
        <v>0.7050000000000004</v>
      </c>
      <c r="S77">
        <f t="shared" si="26"/>
        <v>0.4807932122985501</v>
      </c>
      <c r="T77">
        <f t="shared" si="32"/>
        <v>0.23441846441637412</v>
      </c>
      <c r="U77" s="1">
        <f t="shared" si="27"/>
        <v>1944.0533917660325</v>
      </c>
      <c r="V77">
        <f t="shared" si="28"/>
        <v>1.2808550945362877E+17</v>
      </c>
      <c r="W77">
        <f t="shared" si="33"/>
        <v>615826435391064.88</v>
      </c>
      <c r="Y77">
        <f t="shared" si="34"/>
        <v>0.7050000000000004</v>
      </c>
      <c r="Z77">
        <f t="shared" si="29"/>
        <v>0</v>
      </c>
      <c r="AA77">
        <f t="shared" si="35"/>
        <v>0</v>
      </c>
      <c r="AB77">
        <f t="shared" si="36"/>
        <v>1.0000235668946658</v>
      </c>
      <c r="AC77" s="1">
        <f t="shared" si="30"/>
        <v>7.4493433161470389E-3</v>
      </c>
    </row>
    <row r="78" spans="9:29" x14ac:dyDescent="0.2">
      <c r="I78">
        <f t="shared" si="37"/>
        <v>0.71500000000000041</v>
      </c>
      <c r="J78">
        <f t="shared" si="19"/>
        <v>0.47092913089763488</v>
      </c>
      <c r="K78">
        <f t="shared" si="31"/>
        <v>0.22961544298964551</v>
      </c>
      <c r="L78">
        <f t="shared" si="20"/>
        <v>6.2438944945273664E+16</v>
      </c>
      <c r="M78">
        <f t="shared" si="21"/>
        <v>245.52558403104055</v>
      </c>
      <c r="N78">
        <f t="shared" si="22"/>
        <v>0</v>
      </c>
      <c r="O78">
        <f t="shared" si="23"/>
        <v>0</v>
      </c>
      <c r="P78">
        <f t="shared" si="24"/>
        <v>0</v>
      </c>
      <c r="R78">
        <f t="shared" si="25"/>
        <v>0.71500000000000041</v>
      </c>
      <c r="S78">
        <f t="shared" si="26"/>
        <v>0.47093213649890842</v>
      </c>
      <c r="T78">
        <f t="shared" si="32"/>
        <v>0.22961053229338863</v>
      </c>
      <c r="U78" s="1">
        <f t="shared" si="27"/>
        <v>1904.1807785982026</v>
      </c>
      <c r="V78">
        <f t="shared" si="28"/>
        <v>1.3258671177605685E+17</v>
      </c>
      <c r="W78">
        <f t="shared" si="33"/>
        <v>624393434480634.38</v>
      </c>
      <c r="Y78">
        <f t="shared" si="34"/>
        <v>0.71500000000000041</v>
      </c>
      <c r="Z78">
        <f t="shared" si="29"/>
        <v>0</v>
      </c>
      <c r="AA78">
        <f t="shared" si="35"/>
        <v>0</v>
      </c>
      <c r="AB78">
        <f t="shared" si="36"/>
        <v>1.0000235668946658</v>
      </c>
      <c r="AC78" s="1">
        <f t="shared" si="30"/>
        <v>7.4493433161470389E-3</v>
      </c>
    </row>
    <row r="79" spans="9:29" x14ac:dyDescent="0.2">
      <c r="I79">
        <f t="shared" si="37"/>
        <v>0.72500000000000042</v>
      </c>
      <c r="J79">
        <f t="shared" si="19"/>
        <v>0.46127036755145562</v>
      </c>
      <c r="K79">
        <f t="shared" si="31"/>
        <v>0.22490615168066916</v>
      </c>
      <c r="L79">
        <f t="shared" si="20"/>
        <v>6.330755719339864E+16</v>
      </c>
      <c r="M79">
        <f t="shared" si="21"/>
        <v>240.4899841430101</v>
      </c>
      <c r="N79">
        <f t="shared" si="22"/>
        <v>0</v>
      </c>
      <c r="O79">
        <f t="shared" si="23"/>
        <v>0</v>
      </c>
      <c r="P79">
        <f t="shared" si="24"/>
        <v>0</v>
      </c>
      <c r="R79">
        <f t="shared" si="25"/>
        <v>0.72500000000000042</v>
      </c>
      <c r="S79">
        <f t="shared" si="26"/>
        <v>0.4612733115078031</v>
      </c>
      <c r="T79">
        <f t="shared" si="32"/>
        <v>0.22490121092839954</v>
      </c>
      <c r="U79" s="1">
        <f t="shared" si="27"/>
        <v>1865.1259533082377</v>
      </c>
      <c r="V79">
        <f t="shared" si="28"/>
        <v>1.3724609610075714E+17</v>
      </c>
      <c r="W79">
        <f t="shared" si="33"/>
        <v>633079612399144.25</v>
      </c>
      <c r="Y79">
        <f t="shared" si="34"/>
        <v>0.72500000000000042</v>
      </c>
      <c r="Z79">
        <f t="shared" si="29"/>
        <v>0</v>
      </c>
      <c r="AA79">
        <f t="shared" si="35"/>
        <v>0</v>
      </c>
      <c r="AB79">
        <f t="shared" si="36"/>
        <v>1.0000235668946658</v>
      </c>
      <c r="AC79" s="1">
        <f t="shared" si="30"/>
        <v>7.4493433161470389E-3</v>
      </c>
    </row>
    <row r="80" spans="9:29" x14ac:dyDescent="0.2">
      <c r="I80">
        <f t="shared" si="37"/>
        <v>0.73500000000000043</v>
      </c>
      <c r="J80">
        <f t="shared" si="19"/>
        <v>0.45180970558244038</v>
      </c>
      <c r="K80">
        <f t="shared" si="31"/>
        <v>0.2202934480051546</v>
      </c>
      <c r="L80">
        <f t="shared" si="20"/>
        <v>6.4188253041562888E+16</v>
      </c>
      <c r="M80">
        <f t="shared" si="21"/>
        <v>235.55766448215911</v>
      </c>
      <c r="N80">
        <f t="shared" si="22"/>
        <v>0</v>
      </c>
      <c r="O80">
        <f t="shared" si="23"/>
        <v>0</v>
      </c>
      <c r="P80">
        <f t="shared" si="24"/>
        <v>0</v>
      </c>
      <c r="R80">
        <f t="shared" si="25"/>
        <v>0.73500000000000043</v>
      </c>
      <c r="S80">
        <f t="shared" si="26"/>
        <v>0.45181258915820022</v>
      </c>
      <c r="T80">
        <f t="shared" si="32"/>
        <v>0.2202884778133215</v>
      </c>
      <c r="U80" s="1">
        <f t="shared" si="27"/>
        <v>1826.8721430548312</v>
      </c>
      <c r="V80">
        <f t="shared" si="28"/>
        <v>1.4206922128601915E+17</v>
      </c>
      <c r="W80">
        <f t="shared" si="33"/>
        <v>641886627089256.12</v>
      </c>
      <c r="Y80">
        <f t="shared" si="34"/>
        <v>0.73500000000000043</v>
      </c>
      <c r="Z80">
        <f t="shared" si="29"/>
        <v>0</v>
      </c>
      <c r="AA80">
        <f t="shared" si="35"/>
        <v>0</v>
      </c>
      <c r="AB80">
        <f t="shared" si="36"/>
        <v>1.0000235668946658</v>
      </c>
      <c r="AC80" s="1">
        <f t="shared" si="30"/>
        <v>7.4493433161470389E-3</v>
      </c>
    </row>
    <row r="81" spans="9:29" x14ac:dyDescent="0.2">
      <c r="I81">
        <f t="shared" si="37"/>
        <v>0.74500000000000044</v>
      </c>
      <c r="J81">
        <f t="shared" si="19"/>
        <v>0.44254308192845315</v>
      </c>
      <c r="K81">
        <f t="shared" si="31"/>
        <v>0.2157753509493302</v>
      </c>
      <c r="L81">
        <f t="shared" si="20"/>
        <v>6.5081200589387656E+16</v>
      </c>
      <c r="M81">
        <f t="shared" si="21"/>
        <v>230.72650676952114</v>
      </c>
      <c r="N81">
        <f t="shared" si="22"/>
        <v>0</v>
      </c>
      <c r="O81">
        <f t="shared" si="23"/>
        <v>0</v>
      </c>
      <c r="P81">
        <f t="shared" si="24"/>
        <v>0</v>
      </c>
      <c r="R81">
        <f t="shared" si="25"/>
        <v>0.74500000000000044</v>
      </c>
      <c r="S81">
        <f t="shared" si="26"/>
        <v>0.44254590636203212</v>
      </c>
      <c r="T81">
        <f t="shared" si="32"/>
        <v>0.21577035192173949</v>
      </c>
      <c r="U81" s="1">
        <f t="shared" si="27"/>
        <v>1789.4029190078945</v>
      </c>
      <c r="V81">
        <f t="shared" si="28"/>
        <v>1.4706184154045699E+17</v>
      </c>
      <c r="W81">
        <f t="shared" si="33"/>
        <v>650816159557910.88</v>
      </c>
      <c r="Y81">
        <f t="shared" si="34"/>
        <v>0.74500000000000044</v>
      </c>
      <c r="Z81">
        <f t="shared" si="29"/>
        <v>0</v>
      </c>
      <c r="AA81">
        <f t="shared" si="35"/>
        <v>0</v>
      </c>
      <c r="AB81">
        <f t="shared" si="36"/>
        <v>1.0000235668946658</v>
      </c>
      <c r="AC81" s="1">
        <f t="shared" si="30"/>
        <v>7.4493433161470389E-3</v>
      </c>
    </row>
    <row r="82" spans="9:29" x14ac:dyDescent="0.2">
      <c r="I82">
        <f t="shared" si="37"/>
        <v>0.75500000000000045</v>
      </c>
      <c r="J82">
        <f t="shared" si="19"/>
        <v>0.4334665168608211</v>
      </c>
      <c r="K82">
        <f t="shared" si="31"/>
        <v>0.21134992013004567</v>
      </c>
      <c r="L82">
        <f t="shared" si="20"/>
        <v>6.5986570274992816E+16</v>
      </c>
      <c r="M82">
        <f t="shared" si="21"/>
        <v>225.99443617206222</v>
      </c>
      <c r="N82">
        <f t="shared" si="22"/>
        <v>0</v>
      </c>
      <c r="O82">
        <f t="shared" si="23"/>
        <v>0</v>
      </c>
      <c r="P82">
        <f t="shared" si="24"/>
        <v>0</v>
      </c>
      <c r="R82">
        <f t="shared" si="25"/>
        <v>0.75500000000000045</v>
      </c>
      <c r="S82">
        <f t="shared" si="26"/>
        <v>0.43346928336522617</v>
      </c>
      <c r="T82">
        <f t="shared" si="32"/>
        <v>0.21134489285811917</v>
      </c>
      <c r="U82" s="1">
        <f t="shared" si="27"/>
        <v>1752.7021892928856</v>
      </c>
      <c r="V82">
        <f t="shared" si="28"/>
        <v>1.5222991328804298E+17</v>
      </c>
      <c r="W82">
        <f t="shared" si="33"/>
        <v>659869914197185.12</v>
      </c>
      <c r="Y82">
        <f t="shared" si="34"/>
        <v>0.75500000000000045</v>
      </c>
      <c r="Z82">
        <f t="shared" si="29"/>
        <v>0</v>
      </c>
      <c r="AA82">
        <f t="shared" si="35"/>
        <v>0</v>
      </c>
      <c r="AB82">
        <f t="shared" si="36"/>
        <v>1.0000235668946658</v>
      </c>
      <c r="AC82" s="1">
        <f t="shared" si="30"/>
        <v>7.4493433161470389E-3</v>
      </c>
    </row>
    <row r="83" spans="9:29" x14ac:dyDescent="0.2">
      <c r="I83">
        <f t="shared" si="37"/>
        <v>0.76500000000000046</v>
      </c>
      <c r="J83">
        <f t="shared" si="19"/>
        <v>0.42457611227516517</v>
      </c>
      <c r="K83">
        <f t="shared" si="31"/>
        <v>0.20701525496143747</v>
      </c>
      <c r="L83">
        <f t="shared" si="20"/>
        <v>6.6904534907528728E+16</v>
      </c>
      <c r="M83">
        <f t="shared" si="21"/>
        <v>221.3594204116043</v>
      </c>
      <c r="N83">
        <f t="shared" si="22"/>
        <v>0</v>
      </c>
      <c r="O83">
        <f t="shared" si="23"/>
        <v>0</v>
      </c>
      <c r="P83">
        <f t="shared" si="24"/>
        <v>0</v>
      </c>
      <c r="R83">
        <f t="shared" si="25"/>
        <v>0.76500000000000046</v>
      </c>
      <c r="S83">
        <f t="shared" si="26"/>
        <v>0.42457882203852454</v>
      </c>
      <c r="T83">
        <f t="shared" si="32"/>
        <v>0.20701020002446691</v>
      </c>
      <c r="U83" s="1">
        <f t="shared" si="27"/>
        <v>1716.7541920798426</v>
      </c>
      <c r="V83">
        <f t="shared" si="28"/>
        <v>1.5757960227439341E+17</v>
      </c>
      <c r="W83">
        <f t="shared" si="33"/>
        <v>669049619109611.5</v>
      </c>
      <c r="Y83">
        <f t="shared" si="34"/>
        <v>0.76500000000000046</v>
      </c>
      <c r="Z83">
        <f t="shared" si="29"/>
        <v>0</v>
      </c>
      <c r="AA83">
        <f t="shared" si="35"/>
        <v>0</v>
      </c>
      <c r="AB83">
        <f t="shared" si="36"/>
        <v>1.0000235668946658</v>
      </c>
      <c r="AC83" s="1">
        <f t="shared" si="30"/>
        <v>7.4493433161470389E-3</v>
      </c>
    </row>
    <row r="84" spans="9:29" x14ac:dyDescent="0.2">
      <c r="I84">
        <f t="shared" si="37"/>
        <v>0.77500000000000047</v>
      </c>
      <c r="J84">
        <f t="shared" si="19"/>
        <v>0.41586805001728366</v>
      </c>
      <c r="K84">
        <f t="shared" si="31"/>
        <v>0.20276949383868581</v>
      </c>
      <c r="L84">
        <f t="shared" si="20"/>
        <v>6.7835269700160496E+16</v>
      </c>
      <c r="M84">
        <f t="shared" si="21"/>
        <v>216.81946889202428</v>
      </c>
      <c r="N84">
        <f t="shared" si="22"/>
        <v>0</v>
      </c>
      <c r="O84">
        <f t="shared" si="23"/>
        <v>0</v>
      </c>
      <c r="P84">
        <f t="shared" si="24"/>
        <v>0</v>
      </c>
      <c r="R84">
        <f t="shared" si="25"/>
        <v>0.77500000000000047</v>
      </c>
      <c r="S84">
        <f t="shared" si="26"/>
        <v>0.41587070420335692</v>
      </c>
      <c r="T84">
        <f t="shared" si="32"/>
        <v>0.20276441180408167</v>
      </c>
      <c r="U84" s="1">
        <f t="shared" si="27"/>
        <v>1681.5434888141676</v>
      </c>
      <c r="V84">
        <f t="shared" si="28"/>
        <v>1.6311729092278483E+17</v>
      </c>
      <c r="W84">
        <f t="shared" si="33"/>
        <v>678357026438023.75</v>
      </c>
      <c r="Y84">
        <f t="shared" si="34"/>
        <v>0.77500000000000047</v>
      </c>
      <c r="Z84">
        <f t="shared" si="29"/>
        <v>0</v>
      </c>
      <c r="AA84">
        <f t="shared" si="35"/>
        <v>0</v>
      </c>
      <c r="AB84">
        <f t="shared" si="36"/>
        <v>1.0000235668946658</v>
      </c>
      <c r="AC84" s="1">
        <f t="shared" si="30"/>
        <v>7.4493433161470389E-3</v>
      </c>
    </row>
    <row r="85" spans="9:29" x14ac:dyDescent="0.2">
      <c r="I85">
        <f t="shared" si="37"/>
        <v>0.78500000000000048</v>
      </c>
      <c r="J85">
        <f t="shared" si="19"/>
        <v>0.40733859024337321</v>
      </c>
      <c r="K85">
        <f t="shared" si="31"/>
        <v>0.19861081333851296</v>
      </c>
      <c r="L85">
        <f t="shared" si="20"/>
        <v>6.8778952303511584E+16</v>
      </c>
      <c r="M85">
        <f t="shared" si="21"/>
        <v>212.37263184435457</v>
      </c>
      <c r="N85">
        <f t="shared" si="22"/>
        <v>0</v>
      </c>
      <c r="O85">
        <f t="shared" si="23"/>
        <v>0</v>
      </c>
      <c r="P85">
        <f t="shared" si="24"/>
        <v>0</v>
      </c>
      <c r="R85">
        <f t="shared" si="25"/>
        <v>0.78500000000000048</v>
      </c>
      <c r="S85">
        <f t="shared" si="26"/>
        <v>0.40734118999205143</v>
      </c>
      <c r="T85">
        <f t="shared" si="32"/>
        <v>0.19860570476204809</v>
      </c>
      <c r="U85" s="1">
        <f t="shared" si="27"/>
        <v>1647.054957586241</v>
      </c>
      <c r="V85">
        <f t="shared" si="28"/>
        <v>1.6884958594867754E+17</v>
      </c>
      <c r="W85">
        <f t="shared" si="33"/>
        <v>687793912699994.75</v>
      </c>
      <c r="Y85">
        <f t="shared" si="34"/>
        <v>0.78500000000000048</v>
      </c>
      <c r="Z85">
        <f t="shared" si="29"/>
        <v>0</v>
      </c>
      <c r="AA85">
        <f t="shared" si="35"/>
        <v>0</v>
      </c>
      <c r="AB85">
        <f t="shared" si="36"/>
        <v>1.0000235668946658</v>
      </c>
      <c r="AC85" s="1">
        <f t="shared" si="30"/>
        <v>7.4493433161470389E-3</v>
      </c>
    </row>
    <row r="86" spans="9:29" x14ac:dyDescent="0.2">
      <c r="I86">
        <f t="shared" si="37"/>
        <v>0.79500000000000048</v>
      </c>
      <c r="J86">
        <f t="shared" si="19"/>
        <v>0.39898406981388151</v>
      </c>
      <c r="K86">
        <f t="shared" si="31"/>
        <v>0.19453742743607924</v>
      </c>
      <c r="L86">
        <f t="shared" si="20"/>
        <v>6.9735762839569888E+16</v>
      </c>
      <c r="M86">
        <f t="shared" si="21"/>
        <v>208.0169994894178</v>
      </c>
      <c r="N86">
        <f t="shared" si="22"/>
        <v>0</v>
      </c>
      <c r="O86">
        <f t="shared" si="23"/>
        <v>0</v>
      </c>
      <c r="P86">
        <f t="shared" si="24"/>
        <v>0</v>
      </c>
      <c r="R86">
        <f t="shared" si="25"/>
        <v>0.79500000000000048</v>
      </c>
      <c r="S86">
        <f t="shared" si="26"/>
        <v>0.39898661624167642</v>
      </c>
      <c r="T86">
        <f t="shared" si="32"/>
        <v>0.19453229286212756</v>
      </c>
      <c r="U86" s="1">
        <f t="shared" si="27"/>
        <v>1613.2737866370321</v>
      </c>
      <c r="V86">
        <f t="shared" si="28"/>
        <v>1.7478332624182288E+17</v>
      </c>
      <c r="W86">
        <f t="shared" si="33"/>
        <v>697362079126899.25</v>
      </c>
      <c r="Y86">
        <f t="shared" si="34"/>
        <v>0.79500000000000048</v>
      </c>
      <c r="Z86">
        <f t="shared" si="29"/>
        <v>0</v>
      </c>
      <c r="AA86">
        <f t="shared" si="35"/>
        <v>0</v>
      </c>
      <c r="AB86">
        <f t="shared" si="36"/>
        <v>1.0000235668946658</v>
      </c>
      <c r="AC86" s="1">
        <f t="shared" si="30"/>
        <v>7.4493433161470389E-3</v>
      </c>
    </row>
    <row r="87" spans="9:29" x14ac:dyDescent="0.2">
      <c r="I87">
        <f t="shared" si="37"/>
        <v>0.80500000000000049</v>
      </c>
      <c r="J87">
        <f t="shared" si="19"/>
        <v>0.39080090072030221</v>
      </c>
      <c r="K87">
        <f t="shared" si="31"/>
        <v>0.19054758673794042</v>
      </c>
      <c r="L87">
        <f t="shared" si="20"/>
        <v>7.0705883936072744E+16</v>
      </c>
      <c r="M87">
        <f t="shared" si="21"/>
        <v>203.75070121763508</v>
      </c>
      <c r="N87">
        <f t="shared" si="22"/>
        <v>0</v>
      </c>
      <c r="O87">
        <f t="shared" si="23"/>
        <v>0</v>
      </c>
      <c r="P87">
        <f t="shared" si="24"/>
        <v>0</v>
      </c>
      <c r="R87">
        <f t="shared" si="25"/>
        <v>0.80500000000000049</v>
      </c>
      <c r="S87">
        <f t="shared" si="26"/>
        <v>0.39080339492082583</v>
      </c>
      <c r="T87">
        <f t="shared" si="32"/>
        <v>0.1905424266997108</v>
      </c>
      <c r="U87" s="1">
        <f t="shared" si="27"/>
        <v>1580.1854679969026</v>
      </c>
      <c r="V87">
        <f t="shared" si="28"/>
        <v>1.809255910253831E+17</v>
      </c>
      <c r="W87">
        <f t="shared" si="33"/>
        <v>707063352007766.12</v>
      </c>
      <c r="Y87">
        <f t="shared" si="34"/>
        <v>0.80500000000000049</v>
      </c>
      <c r="Z87">
        <f t="shared" si="29"/>
        <v>0</v>
      </c>
      <c r="AA87">
        <f t="shared" si="35"/>
        <v>0</v>
      </c>
      <c r="AB87">
        <f t="shared" si="36"/>
        <v>1.0000235668946658</v>
      </c>
      <c r="AC87" s="1">
        <f t="shared" si="30"/>
        <v>7.4493433161470389E-3</v>
      </c>
    </row>
    <row r="88" spans="9:29" x14ac:dyDescent="0.2">
      <c r="I88">
        <f t="shared" si="37"/>
        <v>0.8150000000000005</v>
      </c>
      <c r="J88">
        <f t="shared" si="19"/>
        <v>0.38278556854423518</v>
      </c>
      <c r="K88">
        <f t="shared" si="31"/>
        <v>0.18663957773073739</v>
      </c>
      <c r="L88">
        <f t="shared" si="20"/>
        <v>7.1689500761360328E+16</v>
      </c>
      <c r="M88">
        <f t="shared" si="21"/>
        <v>199.57190478565744</v>
      </c>
      <c r="N88">
        <f t="shared" si="22"/>
        <v>0</v>
      </c>
      <c r="O88">
        <f t="shared" si="23"/>
        <v>0</v>
      </c>
      <c r="P88">
        <f t="shared" si="24"/>
        <v>0</v>
      </c>
      <c r="R88">
        <f t="shared" si="25"/>
        <v>0.8150000000000005</v>
      </c>
      <c r="S88">
        <f t="shared" si="26"/>
        <v>0.38278801158866965</v>
      </c>
      <c r="T88">
        <f t="shared" si="32"/>
        <v>0.18663439275050256</v>
      </c>
      <c r="U88" s="1">
        <f t="shared" si="27"/>
        <v>1547.7757912548841</v>
      </c>
      <c r="V88">
        <f t="shared" si="28"/>
        <v>1.872837083017559E+17</v>
      </c>
      <c r="W88">
        <f t="shared" si="33"/>
        <v>716899583037815.75</v>
      </c>
      <c r="Y88">
        <f t="shared" si="34"/>
        <v>0.8150000000000005</v>
      </c>
      <c r="Z88">
        <f t="shared" si="29"/>
        <v>0</v>
      </c>
      <c r="AA88">
        <f t="shared" si="35"/>
        <v>0</v>
      </c>
      <c r="AB88">
        <f t="shared" si="36"/>
        <v>1.0000235668946658</v>
      </c>
      <c r="AC88" s="1">
        <f t="shared" si="30"/>
        <v>7.4493433161470389E-3</v>
      </c>
    </row>
    <row r="89" spans="9:29" x14ac:dyDescent="0.2">
      <c r="I89">
        <f t="shared" si="37"/>
        <v>0.82500000000000051</v>
      </c>
      <c r="J89">
        <f t="shared" si="19"/>
        <v>0.37493463094805335</v>
      </c>
      <c r="K89">
        <f t="shared" si="31"/>
        <v>0.18281172204529503</v>
      </c>
      <c r="L89">
        <f t="shared" si="20"/>
        <v>7.2686801059721552E+16</v>
      </c>
      <c r="M89">
        <f t="shared" si="21"/>
        <v>195.47881552947376</v>
      </c>
      <c r="N89">
        <f t="shared" si="22"/>
        <v>0</v>
      </c>
      <c r="O89">
        <f t="shared" si="23"/>
        <v>0</v>
      </c>
      <c r="P89">
        <f t="shared" si="24"/>
        <v>0</v>
      </c>
      <c r="R89">
        <f t="shared" si="25"/>
        <v>0.82500000000000051</v>
      </c>
      <c r="S89">
        <f t="shared" si="26"/>
        <v>0.37493702388561084</v>
      </c>
      <c r="T89">
        <f t="shared" si="32"/>
        <v>0.18280651263461586</v>
      </c>
      <c r="U89" s="1">
        <f t="shared" si="27"/>
        <v>1516.0308374557435</v>
      </c>
      <c r="V89">
        <f t="shared" si="28"/>
        <v>1.9386526359522176E+17</v>
      </c>
      <c r="W89">
        <f t="shared" si="33"/>
        <v>726872649671919</v>
      </c>
      <c r="Y89">
        <f t="shared" si="34"/>
        <v>0.82500000000000051</v>
      </c>
      <c r="Z89">
        <f t="shared" si="29"/>
        <v>0</v>
      </c>
      <c r="AA89">
        <f t="shared" si="35"/>
        <v>0</v>
      </c>
      <c r="AB89">
        <f t="shared" si="36"/>
        <v>1.0000235668946658</v>
      </c>
      <c r="AC89" s="1">
        <f t="shared" si="30"/>
        <v>7.4493433161470389E-3</v>
      </c>
    </row>
    <row r="90" spans="9:29" x14ac:dyDescent="0.2">
      <c r="I90">
        <f t="shared" si="37"/>
        <v>0.83500000000000052</v>
      </c>
      <c r="J90">
        <f t="shared" si="19"/>
        <v>0.36724471619652477</v>
      </c>
      <c r="K90">
        <f t="shared" si="31"/>
        <v>0.17906237573581449</v>
      </c>
      <c r="L90">
        <f t="shared" si="20"/>
        <v>7.369797518722864E+16</v>
      </c>
      <c r="M90">
        <f t="shared" si="21"/>
        <v>191.46967559365791</v>
      </c>
      <c r="N90">
        <f t="shared" si="22"/>
        <v>0</v>
      </c>
      <c r="O90">
        <f t="shared" si="23"/>
        <v>0</v>
      </c>
      <c r="P90">
        <f t="shared" si="24"/>
        <v>0</v>
      </c>
      <c r="R90">
        <f t="shared" si="25"/>
        <v>0.83500000000000052</v>
      </c>
      <c r="S90">
        <f t="shared" si="26"/>
        <v>0.36724706005489804</v>
      </c>
      <c r="T90">
        <f t="shared" si="32"/>
        <v>0.17905714239575976</v>
      </c>
      <c r="U90" s="1">
        <f t="shared" si="27"/>
        <v>1484.9369731222234</v>
      </c>
      <c r="V90">
        <f t="shared" si="28"/>
        <v>2.0067810900181997E+17</v>
      </c>
      <c r="W90">
        <f t="shared" si="33"/>
        <v>736984455482947.5</v>
      </c>
      <c r="Y90">
        <f t="shared" si="34"/>
        <v>0.83500000000000052</v>
      </c>
      <c r="Z90">
        <f t="shared" si="29"/>
        <v>0</v>
      </c>
      <c r="AA90">
        <f t="shared" si="35"/>
        <v>0</v>
      </c>
      <c r="AB90">
        <f t="shared" si="36"/>
        <v>1.0000235668946658</v>
      </c>
      <c r="AC90" s="1">
        <f t="shared" si="30"/>
        <v>7.4493433161470389E-3</v>
      </c>
    </row>
    <row r="91" spans="9:29" x14ac:dyDescent="0.2">
      <c r="I91">
        <f t="shared" si="37"/>
        <v>0.84500000000000053</v>
      </c>
      <c r="J91">
        <f t="shared" si="19"/>
        <v>0.35971252170875573</v>
      </c>
      <c r="K91">
        <f t="shared" si="31"/>
        <v>0.17538992857384925</v>
      </c>
      <c r="L91">
        <f t="shared" si="20"/>
        <v>7.4723216148070896E+16</v>
      </c>
      <c r="M91">
        <f t="shared" si="21"/>
        <v>187.54276317642422</v>
      </c>
      <c r="N91">
        <f t="shared" si="22"/>
        <v>0</v>
      </c>
      <c r="O91">
        <f t="shared" si="23"/>
        <v>0</v>
      </c>
      <c r="P91">
        <f t="shared" si="24"/>
        <v>0</v>
      </c>
      <c r="R91">
        <f t="shared" si="25"/>
        <v>0.84500000000000053</v>
      </c>
      <c r="S91">
        <f t="shared" si="26"/>
        <v>0.35971481749455952</v>
      </c>
      <c r="T91">
        <f t="shared" si="32"/>
        <v>0.17538467179521078</v>
      </c>
      <c r="U91" s="1">
        <f t="shared" si="27"/>
        <v>1454.4808443998838</v>
      </c>
      <c r="V91">
        <f t="shared" si="28"/>
        <v>2.0773037255725888E+17</v>
      </c>
      <c r="W91">
        <f t="shared" si="33"/>
        <v>747236930525112.38</v>
      </c>
      <c r="Y91">
        <f t="shared" si="34"/>
        <v>0.84500000000000053</v>
      </c>
      <c r="Z91">
        <f t="shared" si="29"/>
        <v>0</v>
      </c>
      <c r="AA91">
        <f t="shared" si="35"/>
        <v>0</v>
      </c>
      <c r="AB91">
        <f t="shared" si="36"/>
        <v>1.0000235668946658</v>
      </c>
      <c r="AC91" s="1">
        <f t="shared" si="30"/>
        <v>7.4493433161470389E-3</v>
      </c>
    </row>
    <row r="92" spans="9:29" x14ac:dyDescent="0.2">
      <c r="I92">
        <f t="shared" si="37"/>
        <v>0.85500000000000054</v>
      </c>
      <c r="J92">
        <f t="shared" si="19"/>
        <v>0.3523348126398354</v>
      </c>
      <c r="K92">
        <f t="shared" si="31"/>
        <v>0.1717928033567617</v>
      </c>
      <c r="L92">
        <f t="shared" si="20"/>
        <v>7.5762719631391968E+16</v>
      </c>
      <c r="M92">
        <f t="shared" si="21"/>
        <v>183.69639179016673</v>
      </c>
      <c r="N92">
        <f t="shared" si="22"/>
        <v>0</v>
      </c>
      <c r="O92">
        <f t="shared" si="23"/>
        <v>0</v>
      </c>
      <c r="P92">
        <f t="shared" si="24"/>
        <v>0</v>
      </c>
      <c r="R92">
        <f t="shared" si="25"/>
        <v>0.85500000000000054</v>
      </c>
      <c r="S92">
        <f t="shared" si="26"/>
        <v>0.35233706133903891</v>
      </c>
      <c r="T92">
        <f t="shared" si="32"/>
        <v>0.17178752362026517</v>
      </c>
      <c r="U92" s="1">
        <f t="shared" si="27"/>
        <v>1424.6493713220336</v>
      </c>
      <c r="V92">
        <f t="shared" si="28"/>
        <v>2.1503046793402822E+17</v>
      </c>
      <c r="W92">
        <f t="shared" si="33"/>
        <v>757632031702339.38</v>
      </c>
      <c r="Y92">
        <f t="shared" si="34"/>
        <v>0.85500000000000054</v>
      </c>
      <c r="Z92">
        <f t="shared" si="29"/>
        <v>0</v>
      </c>
      <c r="AA92">
        <f t="shared" si="35"/>
        <v>0</v>
      </c>
      <c r="AB92">
        <f t="shared" si="36"/>
        <v>1.0000235668946658</v>
      </c>
      <c r="AC92" s="1">
        <f t="shared" si="30"/>
        <v>7.4493433161470389E-3</v>
      </c>
    </row>
    <row r="93" spans="9:29" x14ac:dyDescent="0.2">
      <c r="I93">
        <f t="shared" si="37"/>
        <v>0.86500000000000055</v>
      </c>
      <c r="J93">
        <f t="shared" si="19"/>
        <v>0.34510842049156909</v>
      </c>
      <c r="K93">
        <f t="shared" si="31"/>
        <v>0.16826945523036335</v>
      </c>
      <c r="L93">
        <f t="shared" si="20"/>
        <v>7.6816684048643616E+16</v>
      </c>
      <c r="M93">
        <f t="shared" si="21"/>
        <v>179.928909537165</v>
      </c>
      <c r="N93">
        <f t="shared" si="22"/>
        <v>0</v>
      </c>
      <c r="O93">
        <f t="shared" si="23"/>
        <v>0</v>
      </c>
      <c r="P93">
        <f t="shared" si="24"/>
        <v>0</v>
      </c>
      <c r="R93">
        <f t="shared" si="25"/>
        <v>0.86500000000000055</v>
      </c>
      <c r="S93">
        <f t="shared" si="26"/>
        <v>0.34511062306991908</v>
      </c>
      <c r="T93">
        <f t="shared" si="32"/>
        <v>0.16826415300687478</v>
      </c>
      <c r="U93" s="1">
        <f t="shared" si="27"/>
        <v>1395.4297421922904</v>
      </c>
      <c r="V93">
        <f t="shared" si="28"/>
        <v>2.2258710447930154E+17</v>
      </c>
      <c r="W93">
        <f t="shared" si="33"/>
        <v>768171743141809.25</v>
      </c>
      <c r="Y93">
        <f t="shared" si="34"/>
        <v>0.86500000000000055</v>
      </c>
      <c r="Z93">
        <f t="shared" si="29"/>
        <v>0</v>
      </c>
      <c r="AA93">
        <f t="shared" si="35"/>
        <v>0</v>
      </c>
      <c r="AB93">
        <f t="shared" si="36"/>
        <v>1.0000235668946658</v>
      </c>
      <c r="AC93" s="1">
        <f t="shared" si="30"/>
        <v>7.4493433161470389E-3</v>
      </c>
    </row>
    <row r="94" spans="9:29" x14ac:dyDescent="0.2">
      <c r="I94">
        <f t="shared" si="37"/>
        <v>0.87500000000000056</v>
      </c>
      <c r="J94">
        <f t="shared" si="19"/>
        <v>0.33803024175170604</v>
      </c>
      <c r="K94">
        <f t="shared" si="31"/>
        <v>0.16481837102544766</v>
      </c>
      <c r="L94">
        <f t="shared" si="20"/>
        <v>7.7885310571456896E+16</v>
      </c>
      <c r="M94">
        <f t="shared" si="21"/>
        <v>176.23869840014476</v>
      </c>
      <c r="N94">
        <f t="shared" si="22"/>
        <v>0</v>
      </c>
      <c r="O94">
        <f t="shared" si="23"/>
        <v>0</v>
      </c>
      <c r="P94">
        <f t="shared" si="24"/>
        <v>0</v>
      </c>
      <c r="R94">
        <f t="shared" si="25"/>
        <v>0.87500000000000056</v>
      </c>
      <c r="S94">
        <f t="shared" si="26"/>
        <v>0.33803239915514199</v>
      </c>
      <c r="T94">
        <f t="shared" si="32"/>
        <v>0.16481304677617559</v>
      </c>
      <c r="U94" s="1">
        <f t="shared" si="27"/>
        <v>1366.8094080823507</v>
      </c>
      <c r="V94">
        <f t="shared" si="28"/>
        <v>2.3040929760558563E+17</v>
      </c>
      <c r="W94">
        <f t="shared" si="33"/>
        <v>778858076572672.38</v>
      </c>
      <c r="Y94">
        <f t="shared" si="34"/>
        <v>0.87500000000000056</v>
      </c>
      <c r="Z94">
        <f t="shared" si="29"/>
        <v>0</v>
      </c>
      <c r="AA94">
        <f t="shared" si="35"/>
        <v>0</v>
      </c>
      <c r="AB94">
        <f t="shared" si="36"/>
        <v>1.0000235668946658</v>
      </c>
      <c r="AC94" s="1">
        <f t="shared" si="30"/>
        <v>7.4493433161470389E-3</v>
      </c>
    </row>
    <row r="95" spans="9:29" x14ac:dyDescent="0.2">
      <c r="I95">
        <f t="shared" si="37"/>
        <v>0.88500000000000056</v>
      </c>
      <c r="J95">
        <f t="shared" si="19"/>
        <v>0.33109723656107748</v>
      </c>
      <c r="K95">
        <f t="shared" si="31"/>
        <v>0.16143806860793061</v>
      </c>
      <c r="L95">
        <f t="shared" si="20"/>
        <v>7.8968803170037488E+16</v>
      </c>
      <c r="M95">
        <f t="shared" si="21"/>
        <v>172.6241735473898</v>
      </c>
      <c r="N95">
        <f t="shared" si="22"/>
        <v>0</v>
      </c>
      <c r="O95">
        <f t="shared" si="23"/>
        <v>0</v>
      </c>
      <c r="P95">
        <f t="shared" si="24"/>
        <v>0</v>
      </c>
      <c r="R95">
        <f t="shared" si="25"/>
        <v>0.88500000000000056</v>
      </c>
      <c r="S95">
        <f t="shared" si="26"/>
        <v>0.33109934971613747</v>
      </c>
      <c r="T95">
        <f t="shared" si="32"/>
        <v>0.16143272278462417</v>
      </c>
      <c r="U95" s="1">
        <f t="shared" si="27"/>
        <v>1338.7760774426138</v>
      </c>
      <c r="V95">
        <f t="shared" si="28"/>
        <v>2.3850637954651162E+17</v>
      </c>
      <c r="W95">
        <f t="shared" si="33"/>
        <v>789693071710002.75</v>
      </c>
      <c r="Y95">
        <f t="shared" si="34"/>
        <v>0.88500000000000056</v>
      </c>
      <c r="Z95">
        <f t="shared" si="29"/>
        <v>0</v>
      </c>
      <c r="AA95">
        <f t="shared" si="35"/>
        <v>0</v>
      </c>
      <c r="AB95">
        <f t="shared" si="36"/>
        <v>1.0000235668946658</v>
      </c>
      <c r="AC95" s="1">
        <f t="shared" si="30"/>
        <v>7.4493433161470389E-3</v>
      </c>
    </row>
    <row r="96" spans="9:29" x14ac:dyDescent="0.2">
      <c r="I96">
        <f t="shared" si="37"/>
        <v>0.89500000000000057</v>
      </c>
      <c r="J96">
        <f t="shared" si="19"/>
        <v>0.32430642740807031</v>
      </c>
      <c r="K96">
        <f t="shared" si="31"/>
        <v>0.15812709624231983</v>
      </c>
      <c r="L96">
        <f t="shared" si="20"/>
        <v>8.0067368652100352E+16</v>
      </c>
      <c r="M96">
        <f t="shared" si="21"/>
        <v>169.08378265210547</v>
      </c>
      <c r="N96">
        <f t="shared" si="22"/>
        <v>0</v>
      </c>
      <c r="O96">
        <f t="shared" si="23"/>
        <v>0</v>
      </c>
      <c r="P96">
        <f t="shared" si="24"/>
        <v>0</v>
      </c>
      <c r="R96">
        <f t="shared" si="25"/>
        <v>0.89500000000000057</v>
      </c>
      <c r="S96">
        <f t="shared" si="26"/>
        <v>0.32430849722228916</v>
      </c>
      <c r="T96">
        <f t="shared" si="32"/>
        <v>0.15812172928746279</v>
      </c>
      <c r="U96" s="1">
        <f t="shared" si="27"/>
        <v>1311.3177108233406</v>
      </c>
      <c r="V96">
        <f t="shared" si="28"/>
        <v>2.4688801049062371E+17</v>
      </c>
      <c r="W96">
        <f t="shared" si="33"/>
        <v>800678796644149.5</v>
      </c>
      <c r="Y96">
        <f t="shared" si="34"/>
        <v>0.89500000000000057</v>
      </c>
      <c r="Z96">
        <f t="shared" si="29"/>
        <v>0</v>
      </c>
      <c r="AA96">
        <f t="shared" si="35"/>
        <v>0</v>
      </c>
      <c r="AB96">
        <f t="shared" si="36"/>
        <v>1.0000235668946658</v>
      </c>
      <c r="AC96" s="1">
        <f t="shared" si="30"/>
        <v>7.4493433161470389E-3</v>
      </c>
    </row>
    <row r="97" spans="9:29" x14ac:dyDescent="0.2">
      <c r="I97">
        <f t="shared" si="37"/>
        <v>0.90500000000000058</v>
      </c>
      <c r="J97">
        <f t="shared" si="19"/>
        <v>0.31765489784987805</v>
      </c>
      <c r="K97">
        <f t="shared" si="31"/>
        <v>0.15488403196823913</v>
      </c>
      <c r="L97">
        <f t="shared" si="20"/>
        <v>8.1181216702340624E+16</v>
      </c>
      <c r="M97">
        <f t="shared" si="21"/>
        <v>165.61600522574233</v>
      </c>
      <c r="N97">
        <f t="shared" si="22"/>
        <v>0</v>
      </c>
      <c r="O97">
        <f t="shared" si="23"/>
        <v>0</v>
      </c>
      <c r="P97">
        <f t="shared" si="24"/>
        <v>0</v>
      </c>
      <c r="R97">
        <f t="shared" si="25"/>
        <v>0.90500000000000058</v>
      </c>
      <c r="S97">
        <f t="shared" si="26"/>
        <v>0.31765692521217709</v>
      </c>
      <c r="T97">
        <f t="shared" si="32"/>
        <v>0.1548786443152399</v>
      </c>
      <c r="U97" s="1">
        <f t="shared" si="27"/>
        <v>1284.4225157040819</v>
      </c>
      <c r="V97">
        <f t="shared" si="28"/>
        <v>2.5556419010641674E+17</v>
      </c>
      <c r="W97">
        <f t="shared" si="33"/>
        <v>811817348235446.25</v>
      </c>
      <c r="Y97">
        <f t="shared" si="34"/>
        <v>0.90500000000000058</v>
      </c>
      <c r="Z97">
        <f t="shared" si="29"/>
        <v>0</v>
      </c>
      <c r="AA97">
        <f t="shared" si="35"/>
        <v>0</v>
      </c>
      <c r="AB97">
        <f t="shared" si="36"/>
        <v>1.0000235668946658</v>
      </c>
      <c r="AC97" s="1">
        <f t="shared" si="30"/>
        <v>7.4493433161470389E-3</v>
      </c>
    </row>
    <row r="98" spans="9:29" x14ac:dyDescent="0.2">
      <c r="I98">
        <f t="shared" si="37"/>
        <v>0.91500000000000059</v>
      </c>
      <c r="J98">
        <f t="shared" si="19"/>
        <v>0.31113979125997876</v>
      </c>
      <c r="K98">
        <f t="shared" si="31"/>
        <v>0.15170748298974035</v>
      </c>
      <c r="L98">
        <f t="shared" si="20"/>
        <v>8.2310559922459824E+16</v>
      </c>
      <c r="M98">
        <f t="shared" si="21"/>
        <v>162.21935196499325</v>
      </c>
      <c r="N98">
        <f t="shared" si="22"/>
        <v>0</v>
      </c>
      <c r="O98">
        <f t="shared" si="23"/>
        <v>0</v>
      </c>
      <c r="P98">
        <f t="shared" si="24"/>
        <v>0</v>
      </c>
      <c r="R98">
        <f t="shared" si="25"/>
        <v>0.91500000000000059</v>
      </c>
      <c r="S98">
        <f t="shared" si="26"/>
        <v>0.31114177704104751</v>
      </c>
      <c r="T98">
        <f t="shared" si="32"/>
        <v>0.15170207506311814</v>
      </c>
      <c r="U98" s="1">
        <f t="shared" si="27"/>
        <v>1258.0789414291555</v>
      </c>
      <c r="V98">
        <f t="shared" si="28"/>
        <v>2.645452694724079E+17</v>
      </c>
      <c r="W98">
        <f t="shared" si="33"/>
        <v>823110852514477.75</v>
      </c>
      <c r="Y98">
        <f t="shared" si="34"/>
        <v>0.91500000000000059</v>
      </c>
      <c r="Z98">
        <f t="shared" si="29"/>
        <v>0</v>
      </c>
      <c r="AA98">
        <f t="shared" si="35"/>
        <v>0</v>
      </c>
      <c r="AB98">
        <f t="shared" si="36"/>
        <v>1.0000235668946658</v>
      </c>
      <c r="AC98" s="1">
        <f t="shared" si="30"/>
        <v>7.4493433161470389E-3</v>
      </c>
    </row>
    <row r="99" spans="9:29" x14ac:dyDescent="0.2">
      <c r="I99">
        <f t="shared" si="37"/>
        <v>0.9250000000000006</v>
      </c>
      <c r="J99">
        <f t="shared" si="19"/>
        <v>0.30475830960130218</v>
      </c>
      <c r="K99">
        <f t="shared" si="31"/>
        <v>0.14859608507714056</v>
      </c>
      <c r="L99">
        <f t="shared" si="20"/>
        <v>8.3455613871742624E+16</v>
      </c>
      <c r="M99">
        <f t="shared" si="21"/>
        <v>158.89236411218374</v>
      </c>
      <c r="N99">
        <f t="shared" si="22"/>
        <v>0</v>
      </c>
      <c r="O99">
        <f t="shared" si="23"/>
        <v>0</v>
      </c>
      <c r="P99">
        <f t="shared" si="24"/>
        <v>0</v>
      </c>
      <c r="R99">
        <f t="shared" si="25"/>
        <v>0.9250000000000006</v>
      </c>
      <c r="S99">
        <f t="shared" si="26"/>
        <v>0.30476025465397222</v>
      </c>
      <c r="T99">
        <f t="shared" si="32"/>
        <v>0.14859065729270768</v>
      </c>
      <c r="U99" s="1">
        <f t="shared" si="27"/>
        <v>1232.2756742469944</v>
      </c>
      <c r="V99">
        <f t="shared" si="28"/>
        <v>2.7384196342643722E+17</v>
      </c>
      <c r="W99">
        <f t="shared" si="33"/>
        <v>834561465087847.5</v>
      </c>
      <c r="Y99">
        <f t="shared" si="34"/>
        <v>0.9250000000000006</v>
      </c>
      <c r="Z99">
        <f t="shared" si="29"/>
        <v>0</v>
      </c>
      <c r="AA99">
        <f t="shared" si="35"/>
        <v>0</v>
      </c>
      <c r="AB99">
        <f t="shared" si="36"/>
        <v>1.0000235668946658</v>
      </c>
      <c r="AC99" s="1">
        <f t="shared" si="30"/>
        <v>7.4493433161470389E-3</v>
      </c>
    </row>
    <row r="100" spans="9:29" x14ac:dyDescent="0.2">
      <c r="I100">
        <f t="shared" si="37"/>
        <v>0.93500000000000061</v>
      </c>
      <c r="J100">
        <f t="shared" si="19"/>
        <v>0.29850771222455924</v>
      </c>
      <c r="K100">
        <f t="shared" si="31"/>
        <v>0.14554850198112754</v>
      </c>
      <c r="L100">
        <f t="shared" si="20"/>
        <v>8.4616597108203808E+16</v>
      </c>
      <c r="M100">
        <f t="shared" si="21"/>
        <v>155.63361282878046</v>
      </c>
      <c r="N100">
        <f t="shared" si="22"/>
        <v>0</v>
      </c>
      <c r="O100">
        <f t="shared" si="23"/>
        <v>0</v>
      </c>
      <c r="P100">
        <f t="shared" si="24"/>
        <v>0</v>
      </c>
      <c r="R100">
        <f t="shared" si="25"/>
        <v>0.93500000000000061</v>
      </c>
      <c r="S100">
        <f t="shared" si="26"/>
        <v>0.29850961738417059</v>
      </c>
      <c r="T100">
        <f t="shared" si="32"/>
        <v>0.14554305474616797</v>
      </c>
      <c r="U100" s="1">
        <f t="shared" si="27"/>
        <v>1207.001632451243</v>
      </c>
      <c r="V100">
        <f t="shared" si="28"/>
        <v>2.8346536334896781E+17</v>
      </c>
      <c r="W100">
        <f t="shared" si="33"/>
        <v>846171371549652.88</v>
      </c>
      <c r="Y100">
        <f t="shared" si="34"/>
        <v>0.93500000000000061</v>
      </c>
      <c r="Z100">
        <f t="shared" si="29"/>
        <v>0</v>
      </c>
      <c r="AA100">
        <f t="shared" si="35"/>
        <v>0</v>
      </c>
      <c r="AB100">
        <f t="shared" si="36"/>
        <v>1.0000235668946658</v>
      </c>
      <c r="AC100" s="1">
        <f t="shared" si="30"/>
        <v>7.4493433161470389E-3</v>
      </c>
    </row>
    <row r="101" spans="9:29" x14ac:dyDescent="0.2">
      <c r="I101">
        <f t="shared" si="37"/>
        <v>0.94500000000000062</v>
      </c>
      <c r="J101">
        <f t="shared" si="19"/>
        <v>0.29238531469121765</v>
      </c>
      <c r="K101">
        <f t="shared" si="31"/>
        <v>0.14256342485888193</v>
      </c>
      <c r="L101">
        <f t="shared" si="20"/>
        <v>8.5793731230301216E+16</v>
      </c>
      <c r="M101">
        <f t="shared" si="21"/>
        <v>152.44169858174916</v>
      </c>
      <c r="N101">
        <f t="shared" si="22"/>
        <v>0</v>
      </c>
      <c r="O101">
        <f t="shared" si="23"/>
        <v>0</v>
      </c>
      <c r="P101">
        <f t="shared" si="24"/>
        <v>0</v>
      </c>
      <c r="R101">
        <f t="shared" si="25"/>
        <v>0.94500000000000062</v>
      </c>
      <c r="S101">
        <f t="shared" si="26"/>
        <v>0.29238718077597758</v>
      </c>
      <c r="T101">
        <f t="shared" si="32"/>
        <v>0.14255795857232625</v>
      </c>
      <c r="U101" s="1">
        <f t="shared" si="27"/>
        <v>1182.2459616215035</v>
      </c>
      <c r="V101">
        <f t="shared" si="28"/>
        <v>2.9342695039559795E+17</v>
      </c>
      <c r="W101">
        <f t="shared" si="33"/>
        <v>857942787898615</v>
      </c>
      <c r="Y101">
        <f t="shared" si="34"/>
        <v>0.94500000000000062</v>
      </c>
      <c r="Z101">
        <f t="shared" si="29"/>
        <v>0</v>
      </c>
      <c r="AA101">
        <f t="shared" si="35"/>
        <v>0</v>
      </c>
      <c r="AB101">
        <f t="shared" si="36"/>
        <v>1.0000235668946658</v>
      </c>
      <c r="AC101" s="1">
        <f t="shared" si="30"/>
        <v>7.4493433161470389E-3</v>
      </c>
    </row>
    <row r="102" spans="9:29" x14ac:dyDescent="0.2">
      <c r="I102">
        <f t="shared" si="37"/>
        <v>0.95500000000000063</v>
      </c>
      <c r="J102">
        <f t="shared" si="19"/>
        <v>0.28638848762061858</v>
      </c>
      <c r="K102">
        <f t="shared" si="31"/>
        <v>0.13963957171196975</v>
      </c>
      <c r="L102">
        <f t="shared" si="20"/>
        <v>8.6987240919235536E+16</v>
      </c>
      <c r="M102">
        <f t="shared" si="21"/>
        <v>149.31525054249869</v>
      </c>
      <c r="N102">
        <f t="shared" si="22"/>
        <v>0</v>
      </c>
      <c r="O102">
        <f t="shared" si="23"/>
        <v>0</v>
      </c>
      <c r="P102">
        <f t="shared" si="24"/>
        <v>0</v>
      </c>
      <c r="R102">
        <f t="shared" si="25"/>
        <v>0.95500000000000063</v>
      </c>
      <c r="S102">
        <f t="shared" si="26"/>
        <v>0.28639031543195281</v>
      </c>
      <c r="T102">
        <f t="shared" si="32"/>
        <v>0.13963408676456648</v>
      </c>
      <c r="U102" s="1">
        <f t="shared" si="27"/>
        <v>1157.9980299616993</v>
      </c>
      <c r="V102">
        <f t="shared" si="28"/>
        <v>3.037386091946137E+17</v>
      </c>
      <c r="W102">
        <f t="shared" si="33"/>
        <v>869877960961080.62</v>
      </c>
      <c r="Y102">
        <f t="shared" si="34"/>
        <v>0.95500000000000063</v>
      </c>
      <c r="Z102">
        <f t="shared" si="29"/>
        <v>0</v>
      </c>
      <c r="AA102">
        <f t="shared" si="35"/>
        <v>0</v>
      </c>
      <c r="AB102">
        <f t="shared" si="36"/>
        <v>1.0000235668946658</v>
      </c>
      <c r="AC102" s="1">
        <f t="shared" si="30"/>
        <v>7.4493433161470389E-3</v>
      </c>
    </row>
    <row r="103" spans="9:29" x14ac:dyDescent="0.2">
      <c r="I103">
        <f t="shared" si="37"/>
        <v>0.96500000000000064</v>
      </c>
      <c r="J103">
        <f t="shared" si="19"/>
        <v>0.28051465556073901</v>
      </c>
      <c r="K103">
        <f t="shared" si="31"/>
        <v>0.13677568683576358</v>
      </c>
      <c r="L103">
        <f t="shared" si="20"/>
        <v>8.8197353981832464E+16</v>
      </c>
      <c r="M103">
        <f t="shared" si="21"/>
        <v>146.25292599815219</v>
      </c>
      <c r="N103">
        <f t="shared" si="22"/>
        <v>0</v>
      </c>
      <c r="O103">
        <f t="shared" si="23"/>
        <v>0</v>
      </c>
      <c r="P103">
        <f t="shared" si="24"/>
        <v>0</v>
      </c>
      <c r="R103">
        <f t="shared" si="25"/>
        <v>0.96500000000000064</v>
      </c>
      <c r="S103">
        <f t="shared" si="26"/>
        <v>0.28051644588363617</v>
      </c>
      <c r="T103">
        <f t="shared" si="32"/>
        <v>0.13677018361024695</v>
      </c>
      <c r="U103" s="1">
        <f t="shared" si="27"/>
        <v>1134.2474237340466</v>
      </c>
      <c r="V103">
        <f t="shared" si="28"/>
        <v>3.1441264202588288E+17</v>
      </c>
      <c r="W103">
        <f t="shared" si="33"/>
        <v>881979168819846.38</v>
      </c>
      <c r="Y103">
        <f t="shared" si="34"/>
        <v>0.96500000000000064</v>
      </c>
      <c r="Z103">
        <f t="shared" si="29"/>
        <v>0</v>
      </c>
      <c r="AA103">
        <f t="shared" si="35"/>
        <v>0</v>
      </c>
      <c r="AB103">
        <f t="shared" si="36"/>
        <v>1.0000235668946658</v>
      </c>
      <c r="AC103" s="1">
        <f t="shared" si="30"/>
        <v>7.4493433161470389E-3</v>
      </c>
    </row>
    <row r="104" spans="9:29" x14ac:dyDescent="0.2">
      <c r="I104">
        <f t="shared" si="37"/>
        <v>0.97500000000000064</v>
      </c>
      <c r="J104">
        <f t="shared" si="19"/>
        <v>0.2747612958821144</v>
      </c>
      <c r="K104">
        <f t="shared" si="31"/>
        <v>0.13397054028015618</v>
      </c>
      <c r="L104">
        <f t="shared" si="20"/>
        <v>8.942430139402816E+16</v>
      </c>
      <c r="M104">
        <f t="shared" si="21"/>
        <v>143.25340977489353</v>
      </c>
      <c r="N104">
        <f t="shared" si="22"/>
        <v>0</v>
      </c>
      <c r="O104">
        <f t="shared" si="23"/>
        <v>0</v>
      </c>
      <c r="P104">
        <f t="shared" si="24"/>
        <v>0</v>
      </c>
      <c r="R104">
        <f t="shared" si="25"/>
        <v>0.97500000000000064</v>
      </c>
      <c r="S104">
        <f t="shared" si="26"/>
        <v>0.27476304948546282</v>
      </c>
      <c r="T104">
        <f t="shared" si="32"/>
        <v>0.1339650191514106</v>
      </c>
      <c r="U104" s="1">
        <f t="shared" si="27"/>
        <v>1110.9839427866752</v>
      </c>
      <c r="V104">
        <f t="shared" si="28"/>
        <v>3.2546178349804922E+17</v>
      </c>
      <c r="W104">
        <f t="shared" si="33"/>
        <v>894248721249014.88</v>
      </c>
      <c r="Y104">
        <f t="shared" si="34"/>
        <v>0.97500000000000064</v>
      </c>
      <c r="Z104">
        <f t="shared" si="29"/>
        <v>0</v>
      </c>
      <c r="AA104">
        <f t="shared" si="35"/>
        <v>0</v>
      </c>
      <c r="AB104">
        <f t="shared" si="36"/>
        <v>1.0000235668946658</v>
      </c>
      <c r="AC104" s="1">
        <f t="shared" si="30"/>
        <v>7.4493433161470389E-3</v>
      </c>
    </row>
    <row r="105" spans="9:29" x14ac:dyDescent="0.2">
      <c r="I105">
        <f t="shared" si="37"/>
        <v>0.98500000000000065</v>
      </c>
      <c r="J105">
        <f t="shared" si="19"/>
        <v>0.26912593769444748</v>
      </c>
      <c r="K105">
        <f t="shared" si="31"/>
        <v>0.13122292732133503</v>
      </c>
      <c r="L105">
        <f t="shared" si="20"/>
        <v>9.0668317344953568E+16</v>
      </c>
      <c r="M105">
        <f t="shared" si="21"/>
        <v>140.31541367314074</v>
      </c>
      <c r="N105">
        <f t="shared" si="22"/>
        <v>0</v>
      </c>
      <c r="O105">
        <f t="shared" si="23"/>
        <v>0</v>
      </c>
      <c r="P105">
        <f t="shared" si="24"/>
        <v>0</v>
      </c>
      <c r="R105">
        <f t="shared" si="25"/>
        <v>0.98500000000000065</v>
      </c>
      <c r="S105">
        <f t="shared" si="26"/>
        <v>0.26912765533136562</v>
      </c>
      <c r="T105">
        <f t="shared" si="32"/>
        <v>0.13121738865655597</v>
      </c>
      <c r="U105" s="1">
        <f t="shared" si="27"/>
        <v>1088.197596172979</v>
      </c>
      <c r="V105">
        <f t="shared" si="28"/>
        <v>3.3689921574149414E+17</v>
      </c>
      <c r="W105">
        <f t="shared" si="33"/>
        <v>906688960154842.25</v>
      </c>
      <c r="Y105">
        <f t="shared" si="34"/>
        <v>0.98500000000000065</v>
      </c>
      <c r="Z105">
        <f t="shared" si="29"/>
        <v>0</v>
      </c>
      <c r="AA105">
        <f t="shared" si="35"/>
        <v>0</v>
      </c>
      <c r="AB105">
        <f t="shared" si="36"/>
        <v>1.0000235668946658</v>
      </c>
      <c r="AC105" s="1">
        <f t="shared" si="30"/>
        <v>7.4493433161470389E-3</v>
      </c>
    </row>
    <row r="106" spans="9:29" x14ac:dyDescent="0.2">
      <c r="I106">
        <f t="shared" si="37"/>
        <v>0.99500000000000066</v>
      </c>
      <c r="J106">
        <f t="shared" si="19"/>
        <v>0.26360616078543675</v>
      </c>
      <c r="K106">
        <f t="shared" si="31"/>
        <v>0.12853166794439055</v>
      </c>
      <c r="L106">
        <f t="shared" si="20"/>
        <v>9.1929639281634224E+16</v>
      </c>
      <c r="M106">
        <f t="shared" si="21"/>
        <v>137.43767591430409</v>
      </c>
      <c r="N106">
        <f t="shared" si="22"/>
        <v>0</v>
      </c>
      <c r="O106">
        <f t="shared" si="23"/>
        <v>0</v>
      </c>
      <c r="P106">
        <f t="shared" si="24"/>
        <v>0</v>
      </c>
      <c r="R106">
        <f t="shared" si="25"/>
        <v>0.99500000000000066</v>
      </c>
      <c r="S106">
        <f t="shared" si="26"/>
        <v>0.26360784319359665</v>
      </c>
      <c r="T106">
        <f t="shared" si="32"/>
        <v>0.1285261121032423</v>
      </c>
      <c r="U106" s="1">
        <f t="shared" si="27"/>
        <v>1065.8785978608121</v>
      </c>
      <c r="V106">
        <f t="shared" si="28"/>
        <v>3.4873858413521946E+17</v>
      </c>
      <c r="W106">
        <f t="shared" si="33"/>
        <v>919302260022738.38</v>
      </c>
      <c r="Y106">
        <f t="shared" si="34"/>
        <v>0.99500000000000066</v>
      </c>
      <c r="Z106">
        <f t="shared" si="29"/>
        <v>0</v>
      </c>
      <c r="AA106">
        <f t="shared" si="35"/>
        <v>0</v>
      </c>
      <c r="AB106">
        <f t="shared" si="36"/>
        <v>1.0000235668946658</v>
      </c>
      <c r="AC106" s="1">
        <f t="shared" si="30"/>
        <v>7.4493433161470389E-3</v>
      </c>
    </row>
    <row r="107" spans="9:29" x14ac:dyDescent="0.2">
      <c r="I107">
        <f t="shared" si="37"/>
        <v>1.0050000000000006</v>
      </c>
      <c r="J107">
        <f t="shared" si="19"/>
        <v>0.25819959458137054</v>
      </c>
      <c r="K107">
        <f t="shared" si="31"/>
        <v>0.12589560633653618</v>
      </c>
      <c r="L107">
        <f t="shared" si="20"/>
        <v>9.32085079543148E+16</v>
      </c>
      <c r="M107">
        <f t="shared" si="21"/>
        <v>134.61896059889111</v>
      </c>
      <c r="N107">
        <f t="shared" si="22"/>
        <v>0</v>
      </c>
      <c r="O107">
        <f t="shared" si="23"/>
        <v>0</v>
      </c>
      <c r="P107">
        <f t="shared" si="24"/>
        <v>0</v>
      </c>
      <c r="R107">
        <f t="shared" si="25"/>
        <v>1.0050000000000006</v>
      </c>
      <c r="S107">
        <f t="shared" si="26"/>
        <v>0.2582012424833145</v>
      </c>
      <c r="T107">
        <f t="shared" si="32"/>
        <v>0.12589003367130633</v>
      </c>
      <c r="U107" s="1">
        <f t="shared" si="27"/>
        <v>1044.0173625296909</v>
      </c>
      <c r="V107">
        <f t="shared" si="28"/>
        <v>3.609940135864176E+17</v>
      </c>
      <c r="W107">
        <f t="shared" si="33"/>
        <v>932091028370515.38</v>
      </c>
      <c r="Y107">
        <f t="shared" si="34"/>
        <v>1.0050000000000006</v>
      </c>
      <c r="Z107">
        <f t="shared" si="29"/>
        <v>0</v>
      </c>
      <c r="AA107">
        <f t="shared" si="35"/>
        <v>0</v>
      </c>
      <c r="AB107">
        <f t="shared" si="36"/>
        <v>1.0000235668946658</v>
      </c>
      <c r="AC107" s="1">
        <f t="shared" si="30"/>
        <v>7.4493433161470389E-3</v>
      </c>
    </row>
    <row r="108" spans="9:29" x14ac:dyDescent="0.2">
      <c r="I108">
        <f t="shared" si="37"/>
        <v>1.0150000000000006</v>
      </c>
      <c r="J108">
        <f t="shared" si="19"/>
        <v>0.2529039171290387</v>
      </c>
      <c r="K108">
        <f t="shared" si="31"/>
        <v>0.12331361039072247</v>
      </c>
      <c r="L108">
        <f t="shared" si="20"/>
        <v>9.450516746240832E+16</v>
      </c>
      <c r="M108">
        <f t="shared" si="21"/>
        <v>131.85805717572597</v>
      </c>
      <c r="N108">
        <f t="shared" si="22"/>
        <v>0</v>
      </c>
      <c r="O108">
        <f t="shared" si="23"/>
        <v>0</v>
      </c>
      <c r="P108">
        <f t="shared" si="24"/>
        <v>0</v>
      </c>
      <c r="R108">
        <f t="shared" si="25"/>
        <v>1.0150000000000006</v>
      </c>
      <c r="S108">
        <f t="shared" si="26"/>
        <v>0.25290553123248977</v>
      </c>
      <c r="T108">
        <f t="shared" si="32"/>
        <v>0.12330802124647319</v>
      </c>
      <c r="U108" s="1">
        <f t="shared" si="27"/>
        <v>1022.604501454195</v>
      </c>
      <c r="V108">
        <f t="shared" si="28"/>
        <v>3.7368012538211942E+17</v>
      </c>
      <c r="W108">
        <f t="shared" si="33"/>
        <v>945057706207882.88</v>
      </c>
      <c r="Y108">
        <f t="shared" si="34"/>
        <v>1.0150000000000006</v>
      </c>
      <c r="Z108">
        <f t="shared" si="29"/>
        <v>0</v>
      </c>
      <c r="AA108">
        <f t="shared" si="35"/>
        <v>0</v>
      </c>
      <c r="AB108">
        <f t="shared" si="36"/>
        <v>1.0000235668946658</v>
      </c>
      <c r="AC108" s="1">
        <f t="shared" si="30"/>
        <v>7.4493433161470389E-3</v>
      </c>
    </row>
    <row r="109" spans="9:29" x14ac:dyDescent="0.2">
      <c r="I109">
        <f t="shared" si="37"/>
        <v>1.0250000000000006</v>
      </c>
      <c r="J109">
        <f t="shared" si="19"/>
        <v>0.24771685409852484</v>
      </c>
      <c r="K109">
        <f t="shared" si="31"/>
        <v>0.12078457121943209</v>
      </c>
      <c r="L109">
        <f t="shared" si="20"/>
        <v>9.5819865301087328E+16</v>
      </c>
      <c r="M109">
        <f t="shared" si="21"/>
        <v>129.15377992205515</v>
      </c>
      <c r="N109">
        <f t="shared" si="22"/>
        <v>0</v>
      </c>
      <c r="O109">
        <f t="shared" si="23"/>
        <v>0</v>
      </c>
      <c r="P109">
        <f t="shared" si="24"/>
        <v>0</v>
      </c>
      <c r="R109">
        <f t="shared" si="25"/>
        <v>1.0250000000000006</v>
      </c>
      <c r="S109">
        <f t="shared" si="26"/>
        <v>0.24771843509669059</v>
      </c>
      <c r="T109">
        <f t="shared" si="32"/>
        <v>0.12077896593414829</v>
      </c>
      <c r="U109" s="1">
        <f t="shared" si="27"/>
        <v>1001.6308184717989</v>
      </c>
      <c r="V109">
        <f t="shared" si="28"/>
        <v>3.8681205463305587E+17</v>
      </c>
      <c r="W109">
        <f t="shared" si="33"/>
        <v>958204768502362</v>
      </c>
      <c r="Y109">
        <f t="shared" si="34"/>
        <v>1.0250000000000006</v>
      </c>
      <c r="Z109">
        <f t="shared" si="29"/>
        <v>0</v>
      </c>
      <c r="AA109">
        <f t="shared" si="35"/>
        <v>0</v>
      </c>
      <c r="AB109">
        <f t="shared" si="36"/>
        <v>1.0000235668946658</v>
      </c>
      <c r="AC109" s="1">
        <f t="shared" si="30"/>
        <v>7.4493433161470389E-3</v>
      </c>
    </row>
    <row r="110" spans="9:29" x14ac:dyDescent="0.2">
      <c r="I110">
        <f t="shared" si="37"/>
        <v>1.0350000000000006</v>
      </c>
      <c r="J110">
        <f t="shared" si="19"/>
        <v>0.24263617780645289</v>
      </c>
      <c r="K110">
        <f t="shared" si="31"/>
        <v>0.11830740267844685</v>
      </c>
      <c r="L110">
        <f t="shared" si="20"/>
        <v>9.7152852408527408E+16</v>
      </c>
      <c r="M110">
        <f t="shared" si="21"/>
        <v>126.50496743431603</v>
      </c>
      <c r="N110">
        <f t="shared" si="22"/>
        <v>0</v>
      </c>
      <c r="O110">
        <f t="shared" si="23"/>
        <v>0</v>
      </c>
      <c r="P110">
        <f t="shared" si="24"/>
        <v>0</v>
      </c>
      <c r="R110">
        <f t="shared" si="25"/>
        <v>1.0350000000000006</v>
      </c>
      <c r="S110">
        <f t="shared" si="26"/>
        <v>0.24263772637832318</v>
      </c>
      <c r="T110">
        <f t="shared" si="32"/>
        <v>0.11830178158318139</v>
      </c>
      <c r="U110" s="1">
        <f t="shared" si="27"/>
        <v>981.08730603340507</v>
      </c>
      <c r="V110">
        <f t="shared" si="28"/>
        <v>4.0040546833055014E+17</v>
      </c>
      <c r="W110">
        <f t="shared" si="33"/>
        <v>971534724651723.75</v>
      </c>
      <c r="Y110">
        <f t="shared" si="34"/>
        <v>1.0350000000000006</v>
      </c>
      <c r="Z110">
        <f t="shared" si="29"/>
        <v>0</v>
      </c>
      <c r="AA110">
        <f t="shared" si="35"/>
        <v>0</v>
      </c>
      <c r="AB110">
        <f t="shared" si="36"/>
        <v>1.0000235668946658</v>
      </c>
      <c r="AC110" s="1">
        <f t="shared" si="30"/>
        <v>7.4493433161470389E-3</v>
      </c>
    </row>
    <row r="111" spans="9:29" x14ac:dyDescent="0.2">
      <c r="I111">
        <f t="shared" si="37"/>
        <v>1.0450000000000006</v>
      </c>
      <c r="J111">
        <f t="shared" si="19"/>
        <v>0.23765970625926497</v>
      </c>
      <c r="K111">
        <f t="shared" si="31"/>
        <v>0.11588104090038231</v>
      </c>
      <c r="L111">
        <f t="shared" si="20"/>
        <v>9.8504383213800384E+16</v>
      </c>
      <c r="M111">
        <f t="shared" si="21"/>
        <v>123.91048212935006</v>
      </c>
      <c r="N111">
        <f t="shared" si="22"/>
        <v>0</v>
      </c>
      <c r="O111">
        <f t="shared" si="23"/>
        <v>0</v>
      </c>
      <c r="P111">
        <f t="shared" si="24"/>
        <v>0</v>
      </c>
      <c r="R111">
        <f t="shared" si="25"/>
        <v>1.0450000000000006</v>
      </c>
      <c r="S111">
        <f t="shared" si="26"/>
        <v>0.23766122306990362</v>
      </c>
      <c r="T111">
        <f t="shared" si="32"/>
        <v>0.11587540431939815</v>
      </c>
      <c r="U111" s="1">
        <f t="shared" si="27"/>
        <v>960.96514133487938</v>
      </c>
      <c r="V111">
        <f t="shared" si="28"/>
        <v>4.1447658403794003E+17</v>
      </c>
      <c r="W111">
        <f t="shared" si="33"/>
        <v>985050118962925.12</v>
      </c>
      <c r="Y111">
        <f t="shared" si="34"/>
        <v>1.0450000000000006</v>
      </c>
      <c r="Z111">
        <f t="shared" si="29"/>
        <v>0</v>
      </c>
      <c r="AA111">
        <f t="shared" si="35"/>
        <v>0</v>
      </c>
      <c r="AB111">
        <f t="shared" si="36"/>
        <v>1.0000235668946658</v>
      </c>
      <c r="AC111" s="1">
        <f t="shared" si="30"/>
        <v>7.4493433161470389E-3</v>
      </c>
    </row>
    <row r="112" spans="9:29" x14ac:dyDescent="0.2">
      <c r="I112">
        <f t="shared" si="37"/>
        <v>1.0550000000000006</v>
      </c>
      <c r="J112">
        <f t="shared" si="19"/>
        <v>0.23278530221612309</v>
      </c>
      <c r="K112">
        <f t="shared" si="31"/>
        <v>0.11350444383778967</v>
      </c>
      <c r="L112">
        <f t="shared" si="20"/>
        <v>9.9874715685441232E+16</v>
      </c>
      <c r="M112">
        <f t="shared" si="21"/>
        <v>121.36920975584586</v>
      </c>
      <c r="N112">
        <f t="shared" si="22"/>
        <v>0</v>
      </c>
      <c r="O112">
        <f t="shared" si="23"/>
        <v>0</v>
      </c>
      <c r="P112">
        <f t="shared" si="24"/>
        <v>0</v>
      </c>
      <c r="R112">
        <f t="shared" si="25"/>
        <v>1.0550000000000006</v>
      </c>
      <c r="S112">
        <f t="shared" si="26"/>
        <v>0.2327867879169534</v>
      </c>
      <c r="T112">
        <f t="shared" si="32"/>
        <v>0.11349879208869912</v>
      </c>
      <c r="U112" s="1">
        <f t="shared" si="27"/>
        <v>941.25568252792903</v>
      </c>
      <c r="V112">
        <f t="shared" si="28"/>
        <v>4.2904218923888634E+17</v>
      </c>
      <c r="W112">
        <f t="shared" si="33"/>
        <v>998753531137780.12</v>
      </c>
      <c r="Y112">
        <f t="shared" si="34"/>
        <v>1.0550000000000006</v>
      </c>
      <c r="Z112">
        <f t="shared" si="29"/>
        <v>0</v>
      </c>
      <c r="AA112">
        <f t="shared" si="35"/>
        <v>0</v>
      </c>
      <c r="AB112">
        <f t="shared" si="36"/>
        <v>1.0000235668946658</v>
      </c>
      <c r="AC112" s="1">
        <f t="shared" si="30"/>
        <v>7.4493433161470389E-3</v>
      </c>
    </row>
    <row r="113" spans="9:29" x14ac:dyDescent="0.2">
      <c r="I113">
        <f t="shared" si="37"/>
        <v>1.0650000000000006</v>
      </c>
      <c r="J113">
        <f t="shared" si="19"/>
        <v>0.22801087227102995</v>
      </c>
      <c r="K113">
        <f t="shared" si="31"/>
        <v>0.11117659081562843</v>
      </c>
      <c r="L113">
        <f t="shared" si="20"/>
        <v>1.012641113806833E+17</v>
      </c>
      <c r="M113">
        <f t="shared" si="21"/>
        <v>118.88005891580268</v>
      </c>
      <c r="N113">
        <f t="shared" si="22"/>
        <v>0</v>
      </c>
      <c r="O113">
        <f t="shared" si="23"/>
        <v>0</v>
      </c>
      <c r="P113">
        <f t="shared" si="24"/>
        <v>0</v>
      </c>
      <c r="R113">
        <f t="shared" si="25"/>
        <v>1.0650000000000006</v>
      </c>
      <c r="S113">
        <f t="shared" si="26"/>
        <v>0.22801232750011455</v>
      </c>
      <c r="T113">
        <f t="shared" si="32"/>
        <v>0.11117092420952958</v>
      </c>
      <c r="U113" s="1">
        <f t="shared" si="27"/>
        <v>921.9504650086958</v>
      </c>
      <c r="V113">
        <f t="shared" si="28"/>
        <v>4.4411966136559296E+17</v>
      </c>
      <c r="W113">
        <f t="shared" si="33"/>
        <v>1012647576765315.5</v>
      </c>
      <c r="Y113">
        <f t="shared" si="34"/>
        <v>1.0650000000000006</v>
      </c>
      <c r="Z113">
        <f t="shared" si="29"/>
        <v>0</v>
      </c>
      <c r="AA113">
        <f t="shared" si="35"/>
        <v>0</v>
      </c>
      <c r="AB113">
        <f t="shared" si="36"/>
        <v>1.0000235668946658</v>
      </c>
      <c r="AC113" s="1">
        <f t="shared" si="30"/>
        <v>7.4493433161470389E-3</v>
      </c>
    </row>
    <row r="114" spans="9:29" x14ac:dyDescent="0.2">
      <c r="I114">
        <f t="shared" si="37"/>
        <v>1.0750000000000006</v>
      </c>
      <c r="J114">
        <f t="shared" si="19"/>
        <v>0.2233343659537759</v>
      </c>
      <c r="K114">
        <f t="shared" si="31"/>
        <v>0.10889648209291813</v>
      </c>
      <c r="L114">
        <f t="shared" si="20"/>
        <v>1.0267283549538206E+17</v>
      </c>
      <c r="M114">
        <f t="shared" si="21"/>
        <v>116.44196059580875</v>
      </c>
      <c r="N114">
        <f t="shared" si="22"/>
        <v>0</v>
      </c>
      <c r="O114">
        <f t="shared" si="23"/>
        <v>0</v>
      </c>
      <c r="P114">
        <f t="shared" si="24"/>
        <v>0</v>
      </c>
      <c r="R114">
        <f t="shared" si="25"/>
        <v>1.0750000000000006</v>
      </c>
      <c r="S114">
        <f t="shared" si="26"/>
        <v>0.22333579133609072</v>
      </c>
      <c r="T114">
        <f t="shared" si="32"/>
        <v>0.10889080093452844</v>
      </c>
      <c r="U114" s="1">
        <f t="shared" si="27"/>
        <v>903.04119778247025</v>
      </c>
      <c r="V114">
        <f t="shared" si="28"/>
        <v>4.5972698853087629E+17</v>
      </c>
      <c r="W114">
        <f t="shared" si="33"/>
        <v>1026734907821011.5</v>
      </c>
      <c r="Y114">
        <f t="shared" si="34"/>
        <v>1.0750000000000006</v>
      </c>
      <c r="Z114">
        <f t="shared" si="29"/>
        <v>0</v>
      </c>
      <c r="AA114">
        <f t="shared" si="35"/>
        <v>0</v>
      </c>
      <c r="AB114">
        <f t="shared" si="36"/>
        <v>1.0000235668946658</v>
      </c>
      <c r="AC114" s="1">
        <f t="shared" si="30"/>
        <v>7.4493433161470389E-3</v>
      </c>
    </row>
    <row r="115" spans="9:29" x14ac:dyDescent="0.2">
      <c r="I115">
        <f t="shared" si="37"/>
        <v>1.0850000000000006</v>
      </c>
      <c r="J115">
        <f t="shared" si="19"/>
        <v>0.21875377484932493</v>
      </c>
      <c r="K115">
        <f t="shared" si="31"/>
        <v>0.10666313843338038</v>
      </c>
      <c r="L115">
        <f t="shared" si="20"/>
        <v>1.0410115691463691E+17</v>
      </c>
      <c r="M115">
        <f t="shared" si="21"/>
        <v>114.05386770793294</v>
      </c>
      <c r="N115">
        <f t="shared" si="22"/>
        <v>0</v>
      </c>
      <c r="O115">
        <f t="shared" si="23"/>
        <v>0</v>
      </c>
      <c r="P115">
        <f t="shared" si="24"/>
        <v>0</v>
      </c>
      <c r="R115">
        <f t="shared" si="25"/>
        <v>1.0850000000000006</v>
      </c>
      <c r="S115">
        <f t="shared" si="26"/>
        <v>0.21875517099702771</v>
      </c>
      <c r="T115">
        <f t="shared" si="32"/>
        <v>0.10665744302116753</v>
      </c>
      <c r="U115" s="1">
        <f t="shared" si="27"/>
        <v>884.51975990296546</v>
      </c>
      <c r="V115">
        <f t="shared" si="28"/>
        <v>4.7588279098882106E+17</v>
      </c>
      <c r="W115">
        <f t="shared" si="33"/>
        <v>1041018213173023.5</v>
      </c>
      <c r="Y115">
        <f t="shared" si="34"/>
        <v>1.0850000000000006</v>
      </c>
      <c r="Z115">
        <f t="shared" si="29"/>
        <v>0</v>
      </c>
      <c r="AA115">
        <f t="shared" si="35"/>
        <v>0</v>
      </c>
      <c r="AB115">
        <f t="shared" si="36"/>
        <v>1.0000235668946658</v>
      </c>
      <c r="AC115" s="1">
        <f t="shared" si="30"/>
        <v>7.4493433161470389E-3</v>
      </c>
    </row>
    <row r="116" spans="9:29" x14ac:dyDescent="0.2">
      <c r="I116">
        <f t="shared" si="37"/>
        <v>1.0950000000000006</v>
      </c>
      <c r="J116">
        <f t="shared" si="19"/>
        <v>0.2142671317352631</v>
      </c>
      <c r="K116">
        <f t="shared" si="31"/>
        <v>0.10447560068488713</v>
      </c>
      <c r="L116">
        <f t="shared" si="20"/>
        <v>1.0554934826411101E+17</v>
      </c>
      <c r="M116">
        <f t="shared" si="21"/>
        <v>111.71475464003284</v>
      </c>
      <c r="N116">
        <f t="shared" si="22"/>
        <v>0</v>
      </c>
      <c r="O116">
        <f t="shared" si="23"/>
        <v>0</v>
      </c>
      <c r="P116">
        <f t="shared" si="24"/>
        <v>0</v>
      </c>
      <c r="R116">
        <f t="shared" si="25"/>
        <v>1.0950000000000006</v>
      </c>
      <c r="S116">
        <f t="shared" si="26"/>
        <v>0.21426849924795607</v>
      </c>
      <c r="T116">
        <f t="shared" si="32"/>
        <v>0.10446989131119726</v>
      </c>
      <c r="U116" s="1">
        <f t="shared" si="27"/>
        <v>866.37819698462124</v>
      </c>
      <c r="V116">
        <f t="shared" si="28"/>
        <v>4.9260634334958144E+17</v>
      </c>
      <c r="W116">
        <f t="shared" si="33"/>
        <v>1055500219095381.8</v>
      </c>
      <c r="Y116">
        <f t="shared" si="34"/>
        <v>1.0950000000000006</v>
      </c>
      <c r="Z116">
        <f t="shared" si="29"/>
        <v>0</v>
      </c>
      <c r="AA116">
        <f t="shared" si="35"/>
        <v>0</v>
      </c>
      <c r="AB116">
        <f t="shared" si="36"/>
        <v>1.0000235668946658</v>
      </c>
      <c r="AC116" s="1">
        <f t="shared" si="30"/>
        <v>7.4493433161470389E-3</v>
      </c>
    </row>
    <row r="117" spans="9:29" x14ac:dyDescent="0.2">
      <c r="I117">
        <f t="shared" si="37"/>
        <v>1.1050000000000006</v>
      </c>
      <c r="J117">
        <f t="shared" si="19"/>
        <v>0.20987250973693658</v>
      </c>
      <c r="K117">
        <f t="shared" si="31"/>
        <v>0.10233292936753451</v>
      </c>
      <c r="L117">
        <f t="shared" si="20"/>
        <v>1.0701768596206814E+17</v>
      </c>
      <c r="M117">
        <f t="shared" si="21"/>
        <v>109.42361681528607</v>
      </c>
      <c r="N117">
        <f t="shared" si="22"/>
        <v>0</v>
      </c>
      <c r="O117">
        <f t="shared" si="23"/>
        <v>0</v>
      </c>
      <c r="P117">
        <f t="shared" si="24"/>
        <v>0</v>
      </c>
      <c r="R117">
        <f t="shared" si="25"/>
        <v>1.1050000000000006</v>
      </c>
      <c r="S117">
        <f t="shared" si="26"/>
        <v>0.20987384920192431</v>
      </c>
      <c r="T117">
        <f t="shared" si="32"/>
        <v>0.1023272063187177</v>
      </c>
      <c r="U117" s="1">
        <f t="shared" si="27"/>
        <v>848.60871778644116</v>
      </c>
      <c r="V117">
        <f t="shared" si="28"/>
        <v>5.0991759757487443E+17</v>
      </c>
      <c r="W117">
        <f t="shared" si="33"/>
        <v>1070183689788367.2</v>
      </c>
      <c r="Y117">
        <f t="shared" si="34"/>
        <v>1.1050000000000006</v>
      </c>
      <c r="Z117">
        <f t="shared" si="29"/>
        <v>0</v>
      </c>
      <c r="AA117">
        <f t="shared" si="35"/>
        <v>0</v>
      </c>
      <c r="AB117">
        <f t="shared" si="36"/>
        <v>1.0000235668946658</v>
      </c>
      <c r="AC117" s="1">
        <f t="shared" si="30"/>
        <v>7.4493433161470389E-3</v>
      </c>
    </row>
    <row r="118" spans="9:29" x14ac:dyDescent="0.2">
      <c r="I118">
        <f t="shared" si="37"/>
        <v>1.1150000000000007</v>
      </c>
      <c r="J118">
        <f t="shared" si="19"/>
        <v>0.20556802149991898</v>
      </c>
      <c r="K118">
        <f t="shared" si="31"/>
        <v>0.10023420427016513</v>
      </c>
      <c r="L118">
        <f t="shared" si="20"/>
        <v>1.0850645027213248E+17</v>
      </c>
      <c r="M118">
        <f t="shared" si="21"/>
        <v>107.17947026075552</v>
      </c>
      <c r="N118">
        <f t="shared" si="22"/>
        <v>0</v>
      </c>
      <c r="O118">
        <f t="shared" si="23"/>
        <v>0</v>
      </c>
      <c r="P118">
        <f t="shared" si="24"/>
        <v>0</v>
      </c>
      <c r="R118">
        <f t="shared" si="25"/>
        <v>1.1150000000000007</v>
      </c>
      <c r="S118">
        <f t="shared" si="26"/>
        <v>0.20556933349246026</v>
      </c>
      <c r="T118">
        <f t="shared" si="32"/>
        <v>0.10022846782669845</v>
      </c>
      <c r="U118" s="1">
        <f t="shared" si="27"/>
        <v>831.20369086589562</v>
      </c>
      <c r="V118">
        <f t="shared" si="28"/>
        <v>5.2783720678157741E+17</v>
      </c>
      <c r="W118">
        <f t="shared" si="33"/>
        <v>1085071427906108</v>
      </c>
      <c r="Y118">
        <f t="shared" si="34"/>
        <v>1.1150000000000007</v>
      </c>
      <c r="Z118">
        <f t="shared" si="29"/>
        <v>0</v>
      </c>
      <c r="AA118">
        <f t="shared" si="35"/>
        <v>0</v>
      </c>
      <c r="AB118">
        <f t="shared" si="36"/>
        <v>1.0000235668946658</v>
      </c>
      <c r="AC118" s="1">
        <f t="shared" si="30"/>
        <v>7.4493433161470389E-3</v>
      </c>
    </row>
    <row r="119" spans="9:29" x14ac:dyDescent="0.2">
      <c r="I119">
        <f t="shared" si="37"/>
        <v>1.1250000000000007</v>
      </c>
      <c r="J119">
        <f t="shared" si="19"/>
        <v>0.20135181837945074</v>
      </c>
      <c r="K119">
        <f t="shared" si="31"/>
        <v>9.8178524055165944E-2</v>
      </c>
      <c r="L119">
        <f t="shared" si="20"/>
        <v>1.100159253567867E+17</v>
      </c>
      <c r="M119">
        <f t="shared" si="21"/>
        <v>104.98135118480342</v>
      </c>
      <c r="N119">
        <f t="shared" si="22"/>
        <v>0</v>
      </c>
      <c r="O119">
        <f t="shared" si="23"/>
        <v>0</v>
      </c>
      <c r="P119">
        <f t="shared" si="24"/>
        <v>0</v>
      </c>
      <c r="R119">
        <f t="shared" si="25"/>
        <v>1.1250000000000007</v>
      </c>
      <c r="S119">
        <f t="shared" si="26"/>
        <v>0.20135310346300583</v>
      </c>
      <c r="T119">
        <f t="shared" si="32"/>
        <v>9.8172774491773848E-2</v>
      </c>
      <c r="U119" s="1">
        <f t="shared" si="27"/>
        <v>814.15564130145253</v>
      </c>
      <c r="V119">
        <f t="shared" si="28"/>
        <v>5.4638654988185869E+17</v>
      </c>
      <c r="W119">
        <f t="shared" si="33"/>
        <v>1100166275091566.9</v>
      </c>
      <c r="Y119">
        <f t="shared" si="34"/>
        <v>1.1250000000000007</v>
      </c>
      <c r="Z119">
        <f t="shared" si="29"/>
        <v>0</v>
      </c>
      <c r="AA119">
        <f t="shared" si="35"/>
        <v>0</v>
      </c>
      <c r="AB119">
        <f t="shared" si="36"/>
        <v>1.0000235668946658</v>
      </c>
      <c r="AC119" s="1">
        <f t="shared" si="30"/>
        <v>7.4493433161470389E-3</v>
      </c>
    </row>
    <row r="120" spans="9:29" x14ac:dyDescent="0.2">
      <c r="I120">
        <f t="shared" si="37"/>
        <v>1.1350000000000007</v>
      </c>
      <c r="J120">
        <f t="shared" si="19"/>
        <v>0.19722208964650326</v>
      </c>
      <c r="K120">
        <f t="shared" si="31"/>
        <v>9.6165005871371431E-2</v>
      </c>
      <c r="L120">
        <f t="shared" si="20"/>
        <v>1.1154639933160272E+17</v>
      </c>
      <c r="M120">
        <f t="shared" si="21"/>
        <v>102.8283155631725</v>
      </c>
      <c r="N120">
        <f t="shared" si="22"/>
        <v>0</v>
      </c>
      <c r="O120">
        <f t="shared" si="23"/>
        <v>0</v>
      </c>
      <c r="P120">
        <f t="shared" si="24"/>
        <v>0</v>
      </c>
      <c r="R120">
        <f t="shared" si="25"/>
        <v>1.1350000000000007</v>
      </c>
      <c r="S120">
        <f t="shared" si="26"/>
        <v>0.19722334837297589</v>
      </c>
      <c r="T120">
        <f t="shared" si="32"/>
        <v>9.6159243457143787E-2</v>
      </c>
      <c r="U120" s="1">
        <f t="shared" si="27"/>
        <v>797.45724748232931</v>
      </c>
      <c r="V120">
        <f t="shared" si="28"/>
        <v>5.6558775708915846E+17</v>
      </c>
      <c r="W120">
        <f t="shared" si="33"/>
        <v>1115471112518851.8</v>
      </c>
      <c r="Y120">
        <f t="shared" si="34"/>
        <v>1.1350000000000007</v>
      </c>
      <c r="Z120">
        <f t="shared" si="29"/>
        <v>0</v>
      </c>
      <c r="AA120">
        <f t="shared" si="35"/>
        <v>0</v>
      </c>
      <c r="AB120">
        <f t="shared" si="36"/>
        <v>1.0000235668946658</v>
      </c>
      <c r="AC120" s="1">
        <f t="shared" si="30"/>
        <v>7.4493433161470389E-3</v>
      </c>
    </row>
    <row r="121" spans="9:29" x14ac:dyDescent="0.2">
      <c r="I121">
        <f t="shared" si="37"/>
        <v>1.1450000000000007</v>
      </c>
      <c r="J121">
        <f t="shared" si="19"/>
        <v>0.19317706171012655</v>
      </c>
      <c r="K121">
        <f t="shared" si="31"/>
        <v>9.4192784974906393E-2</v>
      </c>
      <c r="L121">
        <f t="shared" si="20"/>
        <v>1.130981643202423E+17</v>
      </c>
      <c r="M121">
        <f t="shared" si="21"/>
        <v>100.71943873355684</v>
      </c>
      <c r="N121">
        <f t="shared" si="22"/>
        <v>0</v>
      </c>
      <c r="O121">
        <f t="shared" si="23"/>
        <v>0</v>
      </c>
      <c r="P121">
        <f t="shared" si="24"/>
        <v>0</v>
      </c>
      <c r="R121">
        <f t="shared" si="25"/>
        <v>1.1450000000000007</v>
      </c>
      <c r="S121">
        <f t="shared" si="26"/>
        <v>0.19317829462010086</v>
      </c>
      <c r="T121">
        <f t="shared" si="32"/>
        <v>9.4187009973414032E-2</v>
      </c>
      <c r="U121" s="1">
        <f t="shared" si="27"/>
        <v>781.10133796408763</v>
      </c>
      <c r="V121">
        <f t="shared" si="28"/>
        <v>5.8546373632058189E+17</v>
      </c>
      <c r="W121">
        <f t="shared" si="33"/>
        <v>1130988861443224.2</v>
      </c>
      <c r="Y121">
        <f t="shared" si="34"/>
        <v>1.1450000000000007</v>
      </c>
      <c r="Z121">
        <f t="shared" si="29"/>
        <v>0</v>
      </c>
      <c r="AA121">
        <f t="shared" si="35"/>
        <v>0</v>
      </c>
      <c r="AB121">
        <f t="shared" si="36"/>
        <v>1.0000235668946658</v>
      </c>
      <c r="AC121" s="1">
        <f t="shared" si="30"/>
        <v>7.4493433161470389E-3</v>
      </c>
    </row>
    <row r="122" spans="9:29" x14ac:dyDescent="0.2">
      <c r="I122">
        <f t="shared" si="37"/>
        <v>1.1550000000000007</v>
      </c>
      <c r="J122">
        <f t="shared" si="19"/>
        <v>0.18921499735574718</v>
      </c>
      <c r="K122">
        <f t="shared" si="31"/>
        <v>9.2261014357805121E-2</v>
      </c>
      <c r="L122">
        <f t="shared" si="20"/>
        <v>1.1467151651021152E+17</v>
      </c>
      <c r="M122">
        <f t="shared" si="21"/>
        <v>98.653814998487832</v>
      </c>
      <c r="N122">
        <f t="shared" si="22"/>
        <v>0</v>
      </c>
      <c r="O122">
        <f t="shared" si="23"/>
        <v>0</v>
      </c>
      <c r="P122">
        <f t="shared" si="24"/>
        <v>0</v>
      </c>
      <c r="R122">
        <f t="shared" si="25"/>
        <v>1.1550000000000007</v>
      </c>
      <c r="S122">
        <f t="shared" si="26"/>
        <v>0.18921620497871991</v>
      </c>
      <c r="T122">
        <f t="shared" si="32"/>
        <v>9.2255227027213019E-2</v>
      </c>
      <c r="U122" s="1">
        <f t="shared" si="27"/>
        <v>765.08088838871902</v>
      </c>
      <c r="V122">
        <f t="shared" si="28"/>
        <v>6.0603820052707098E+17</v>
      </c>
      <c r="W122">
        <f t="shared" si="33"/>
        <v>1146722483758648.2</v>
      </c>
      <c r="Y122">
        <f t="shared" si="34"/>
        <v>1.1550000000000007</v>
      </c>
      <c r="Z122">
        <f t="shared" si="29"/>
        <v>0</v>
      </c>
      <c r="AA122">
        <f t="shared" si="35"/>
        <v>0</v>
      </c>
      <c r="AB122">
        <f t="shared" si="36"/>
        <v>1.0000235668946658</v>
      </c>
      <c r="AC122" s="1">
        <f t="shared" si="30"/>
        <v>7.4493433161470389E-3</v>
      </c>
    </row>
    <row r="123" spans="9:29" x14ac:dyDescent="0.2">
      <c r="I123">
        <f t="shared" si="37"/>
        <v>1.1650000000000007</v>
      </c>
      <c r="J123">
        <f t="shared" si="19"/>
        <v>0.18533419499908779</v>
      </c>
      <c r="K123">
        <f t="shared" si="31"/>
        <v>9.0368864384247655E-2</v>
      </c>
      <c r="L123">
        <f t="shared" si="20"/>
        <v>1.1626675620939506E+17</v>
      </c>
      <c r="M123">
        <f t="shared" si="21"/>
        <v>96.630557236365263</v>
      </c>
      <c r="N123">
        <f t="shared" si="22"/>
        <v>0</v>
      </c>
      <c r="O123">
        <f t="shared" si="23"/>
        <v>0</v>
      </c>
      <c r="P123">
        <f t="shared" si="24"/>
        <v>0</v>
      </c>
      <c r="R123">
        <f t="shared" si="25"/>
        <v>1.1650000000000007</v>
      </c>
      <c r="S123">
        <f t="shared" si="26"/>
        <v>0.18533537785369575</v>
      </c>
      <c r="T123">
        <f t="shared" si="32"/>
        <v>9.0363064977425814E-2</v>
      </c>
      <c r="U123" s="1">
        <f t="shared" si="27"/>
        <v>749.38901846790031</v>
      </c>
      <c r="V123">
        <f t="shared" si="28"/>
        <v>6.2733569598404288E+17</v>
      </c>
      <c r="W123">
        <f t="shared" si="33"/>
        <v>1162674982563138</v>
      </c>
      <c r="Y123">
        <f t="shared" si="34"/>
        <v>1.1650000000000007</v>
      </c>
      <c r="Z123">
        <f t="shared" si="29"/>
        <v>0</v>
      </c>
      <c r="AA123">
        <f t="shared" si="35"/>
        <v>0</v>
      </c>
      <c r="AB123">
        <f t="shared" si="36"/>
        <v>1.0000235668946658</v>
      </c>
      <c r="AC123" s="1">
        <f t="shared" si="30"/>
        <v>7.4493433161470389E-3</v>
      </c>
    </row>
    <row r="124" spans="9:29" x14ac:dyDescent="0.2">
      <c r="I124">
        <f t="shared" si="37"/>
        <v>1.1750000000000007</v>
      </c>
      <c r="J124">
        <f t="shared" si="19"/>
        <v>0.18153298795538941</v>
      </c>
      <c r="K124">
        <f t="shared" si="31"/>
        <v>8.8515522434256783E-2</v>
      </c>
      <c r="L124">
        <f t="shared" si="20"/>
        <v>1.1788418790337554E+17</v>
      </c>
      <c r="M124">
        <f t="shared" si="21"/>
        <v>94.64879652046578</v>
      </c>
      <c r="N124">
        <f t="shared" si="22"/>
        <v>0</v>
      </c>
      <c r="O124">
        <f t="shared" si="23"/>
        <v>0</v>
      </c>
      <c r="P124">
        <f t="shared" si="24"/>
        <v>0</v>
      </c>
      <c r="R124">
        <f t="shared" si="25"/>
        <v>1.1750000000000007</v>
      </c>
      <c r="S124">
        <f t="shared" si="26"/>
        <v>0.1815341465496321</v>
      </c>
      <c r="T124">
        <f t="shared" si="32"/>
        <v>8.8509711198888855E-2</v>
      </c>
      <c r="U124" s="1">
        <f t="shared" si="27"/>
        <v>734.01898902812263</v>
      </c>
      <c r="V124">
        <f t="shared" si="28"/>
        <v>6.4938163157621158E+17</v>
      </c>
      <c r="W124">
        <f t="shared" si="33"/>
        <v>1178849402731951.8</v>
      </c>
      <c r="Y124">
        <f t="shared" si="34"/>
        <v>1.1750000000000007</v>
      </c>
      <c r="Z124">
        <f t="shared" si="29"/>
        <v>0</v>
      </c>
      <c r="AA124">
        <f t="shared" si="35"/>
        <v>0</v>
      </c>
      <c r="AB124">
        <f t="shared" si="36"/>
        <v>1.0000235668946658</v>
      </c>
      <c r="AC124" s="1">
        <f t="shared" si="30"/>
        <v>7.4493433161470389E-3</v>
      </c>
    </row>
    <row r="125" spans="9:29" x14ac:dyDescent="0.2">
      <c r="I125">
        <f t="shared" si="37"/>
        <v>1.1850000000000007</v>
      </c>
      <c r="J125">
        <f t="shared" si="19"/>
        <v>0.17780974372362185</v>
      </c>
      <c r="K125">
        <f t="shared" si="31"/>
        <v>8.670019255470289E-2</v>
      </c>
      <c r="L125">
        <f t="shared" si="20"/>
        <v>1.1952412031355541E+17</v>
      </c>
      <c r="M125">
        <f t="shared" si="21"/>
        <v>92.707681745765868</v>
      </c>
      <c r="N125">
        <f t="shared" si="22"/>
        <v>0</v>
      </c>
      <c r="O125">
        <f t="shared" si="23"/>
        <v>0</v>
      </c>
      <c r="P125">
        <f t="shared" si="24"/>
        <v>0</v>
      </c>
      <c r="R125">
        <f t="shared" si="25"/>
        <v>1.1850000000000007</v>
      </c>
      <c r="S125">
        <f t="shared" si="26"/>
        <v>0.17781087855507974</v>
      </c>
      <c r="T125">
        <f t="shared" si="32"/>
        <v>8.6694369733392534E-2</v>
      </c>
      <c r="U125" s="1">
        <f t="shared" si="27"/>
        <v>718.9641991164234</v>
      </c>
      <c r="V125">
        <f t="shared" si="28"/>
        <v>6.7220230911157171E+17</v>
      </c>
      <c r="W125">
        <f t="shared" si="33"/>
        <v>1195248831498818.5</v>
      </c>
      <c r="Y125">
        <f t="shared" si="34"/>
        <v>1.1850000000000007</v>
      </c>
      <c r="Z125">
        <f t="shared" si="29"/>
        <v>0</v>
      </c>
      <c r="AA125">
        <f t="shared" si="35"/>
        <v>0</v>
      </c>
      <c r="AB125">
        <f t="shared" si="36"/>
        <v>1.0000235668946658</v>
      </c>
      <c r="AC125" s="1">
        <f t="shared" si="30"/>
        <v>7.4493433161470389E-3</v>
      </c>
    </row>
    <row r="126" spans="9:29" x14ac:dyDescent="0.2">
      <c r="I126">
        <f t="shared" si="37"/>
        <v>1.1950000000000007</v>
      </c>
      <c r="J126">
        <f t="shared" si="19"/>
        <v>0.17416286328537495</v>
      </c>
      <c r="K126">
        <f t="shared" si="31"/>
        <v>8.4922095117466678E-2</v>
      </c>
      <c r="L126">
        <f t="shared" si="20"/>
        <v>1.2118686645607461E+17</v>
      </c>
      <c r="M126">
        <f t="shared" si="21"/>
        <v>90.806379263418435</v>
      </c>
      <c r="N126">
        <f t="shared" si="22"/>
        <v>0</v>
      </c>
      <c r="O126">
        <f t="shared" si="23"/>
        <v>0</v>
      </c>
      <c r="P126">
        <f t="shared" si="24"/>
        <v>0</v>
      </c>
      <c r="R126">
        <f t="shared" si="25"/>
        <v>1.1950000000000007</v>
      </c>
      <c r="S126">
        <f t="shared" si="26"/>
        <v>0.17416397484142307</v>
      </c>
      <c r="T126">
        <f t="shared" si="32"/>
        <v>8.4916260947841743E-2</v>
      </c>
      <c r="U126" s="1">
        <f t="shared" si="27"/>
        <v>704.21818316548217</v>
      </c>
      <c r="V126">
        <f t="shared" si="28"/>
        <v>6.958249547006103E+17</v>
      </c>
      <c r="W126">
        <f t="shared" si="33"/>
        <v>1211876399045114.5</v>
      </c>
      <c r="Y126">
        <f t="shared" si="34"/>
        <v>1.1950000000000007</v>
      </c>
      <c r="Z126">
        <f t="shared" si="29"/>
        <v>0</v>
      </c>
      <c r="AA126">
        <f t="shared" si="35"/>
        <v>0</v>
      </c>
      <c r="AB126">
        <f t="shared" si="36"/>
        <v>1.0000235668946658</v>
      </c>
      <c r="AC126" s="1">
        <f t="shared" si="30"/>
        <v>7.4493433161470389E-3</v>
      </c>
    </row>
    <row r="127" spans="9:29" x14ac:dyDescent="0.2">
      <c r="I127">
        <f t="shared" si="37"/>
        <v>1.2050000000000007</v>
      </c>
      <c r="J127">
        <f t="shared" si="19"/>
        <v>0.17059078041812911</v>
      </c>
      <c r="K127">
        <f t="shared" si="31"/>
        <v>8.3180466484612928E-2</v>
      </c>
      <c r="L127">
        <f t="shared" si="20"/>
        <v>1.2287274370156448E+17</v>
      </c>
      <c r="M127">
        <f t="shared" si="21"/>
        <v>88.944072522726415</v>
      </c>
      <c r="N127">
        <f t="shared" si="22"/>
        <v>0</v>
      </c>
      <c r="O127">
        <f t="shared" si="23"/>
        <v>0</v>
      </c>
      <c r="P127">
        <f t="shared" si="24"/>
        <v>0</v>
      </c>
      <c r="R127">
        <f t="shared" si="25"/>
        <v>1.2050000000000007</v>
      </c>
      <c r="S127">
        <f t="shared" si="26"/>
        <v>0.17059186917614647</v>
      </c>
      <c r="T127">
        <f t="shared" si="32"/>
        <v>8.3174621199427506E-2</v>
      </c>
      <c r="U127" s="1">
        <f t="shared" si="27"/>
        <v>689.77460821685827</v>
      </c>
      <c r="V127">
        <f t="shared" si="28"/>
        <v>7.2027775123834586E+17</v>
      </c>
      <c r="W127">
        <f t="shared" si="33"/>
        <v>1228735279097408.8</v>
      </c>
      <c r="Y127">
        <f t="shared" si="34"/>
        <v>1.2050000000000007</v>
      </c>
      <c r="Z127">
        <f t="shared" si="29"/>
        <v>0</v>
      </c>
      <c r="AA127">
        <f t="shared" si="35"/>
        <v>0</v>
      </c>
      <c r="AB127">
        <f t="shared" si="36"/>
        <v>1.0000235668946658</v>
      </c>
      <c r="AC127" s="1">
        <f t="shared" si="30"/>
        <v>7.4493433161470389E-3</v>
      </c>
    </row>
    <row r="128" spans="9:29" x14ac:dyDescent="0.2">
      <c r="I128">
        <f t="shared" si="37"/>
        <v>1.2150000000000007</v>
      </c>
      <c r="J128">
        <f t="shared" si="19"/>
        <v>0.16709196102261178</v>
      </c>
      <c r="K128">
        <f t="shared" si="31"/>
        <v>8.147455868043163E-2</v>
      </c>
      <c r="L128">
        <f t="shared" si="20"/>
        <v>1.2458207383572102E+17</v>
      </c>
      <c r="M128">
        <f t="shared" si="21"/>
        <v>87.119961720459472</v>
      </c>
      <c r="N128">
        <f t="shared" si="22"/>
        <v>0</v>
      </c>
      <c r="O128">
        <f t="shared" si="23"/>
        <v>0</v>
      </c>
      <c r="P128">
        <f t="shared" si="24"/>
        <v>0</v>
      </c>
      <c r="R128">
        <f t="shared" si="25"/>
        <v>1.2150000000000007</v>
      </c>
      <c r="S128">
        <f t="shared" si="26"/>
        <v>0.16709302745018631</v>
      </c>
      <c r="T128">
        <f t="shared" si="32"/>
        <v>8.1468702507666038E-2</v>
      </c>
      <c r="U128" s="1">
        <f t="shared" si="27"/>
        <v>675.6272712011812</v>
      </c>
      <c r="V128">
        <f t="shared" si="28"/>
        <v>7.4558987202778662E+17</v>
      </c>
      <c r="W128">
        <f t="shared" si="33"/>
        <v>1245828689533198.5</v>
      </c>
      <c r="Y128">
        <f t="shared" si="34"/>
        <v>1.2150000000000007</v>
      </c>
      <c r="Z128">
        <f t="shared" si="29"/>
        <v>0</v>
      </c>
      <c r="AA128">
        <f t="shared" si="35"/>
        <v>0</v>
      </c>
      <c r="AB128">
        <f t="shared" si="36"/>
        <v>1.0000235668946658</v>
      </c>
      <c r="AC128" s="1">
        <f t="shared" si="30"/>
        <v>7.4493433161470389E-3</v>
      </c>
    </row>
    <row r="129" spans="9:29" x14ac:dyDescent="0.2">
      <c r="I129">
        <f t="shared" si="37"/>
        <v>1.2250000000000008</v>
      </c>
      <c r="J129">
        <f t="shared" si="19"/>
        <v>0.16366490246394891</v>
      </c>
      <c r="K129">
        <f t="shared" si="31"/>
        <v>7.9803639070205518E-2</v>
      </c>
      <c r="L129">
        <f t="shared" si="20"/>
        <v>1.2631518312072611E+17</v>
      </c>
      <c r="M129">
        <f t="shared" si="21"/>
        <v>85.333263457363188</v>
      </c>
      <c r="N129">
        <f t="shared" si="22"/>
        <v>0</v>
      </c>
      <c r="O129">
        <f t="shared" si="23"/>
        <v>0</v>
      </c>
      <c r="P129">
        <f t="shared" si="24"/>
        <v>0</v>
      </c>
      <c r="R129">
        <f t="shared" si="25"/>
        <v>1.2250000000000008</v>
      </c>
      <c r="S129">
        <f t="shared" si="26"/>
        <v>0.16366594701907833</v>
      </c>
      <c r="T129">
        <f t="shared" si="32"/>
        <v>7.9797772233164171E-2</v>
      </c>
      <c r="U129" s="1">
        <f t="shared" si="27"/>
        <v>661.77009627412372</v>
      </c>
      <c r="V129">
        <f t="shared" si="28"/>
        <v>7.717915155850231E+17</v>
      </c>
      <c r="W129">
        <f t="shared" si="33"/>
        <v>1263159892995125.8</v>
      </c>
      <c r="Y129">
        <f t="shared" si="34"/>
        <v>1.2250000000000008</v>
      </c>
      <c r="Z129">
        <f t="shared" si="29"/>
        <v>0</v>
      </c>
      <c r="AA129">
        <f t="shared" si="35"/>
        <v>0</v>
      </c>
      <c r="AB129">
        <f t="shared" si="36"/>
        <v>1.0000235668946658</v>
      </c>
      <c r="AC129" s="1">
        <f t="shared" si="30"/>
        <v>7.4493433161470389E-3</v>
      </c>
    </row>
    <row r="130" spans="9:29" x14ac:dyDescent="0.2">
      <c r="I130">
        <f t="shared" si="37"/>
        <v>1.2350000000000008</v>
      </c>
      <c r="J130">
        <f t="shared" si="19"/>
        <v>0.16030813292632942</v>
      </c>
      <c r="K130">
        <f t="shared" si="31"/>
        <v>7.8166990045566029E-2</v>
      </c>
      <c r="L130">
        <f t="shared" si="20"/>
        <v>1.2807240235751781E+17</v>
      </c>
      <c r="M130">
        <f t="shared" si="21"/>
        <v>83.583210401713245</v>
      </c>
      <c r="N130">
        <f t="shared" si="22"/>
        <v>0</v>
      </c>
      <c r="O130">
        <f t="shared" si="23"/>
        <v>0</v>
      </c>
      <c r="P130">
        <f t="shared" si="24"/>
        <v>0</v>
      </c>
      <c r="R130">
        <f t="shared" si="25"/>
        <v>1.2350000000000008</v>
      </c>
      <c r="S130">
        <f t="shared" si="26"/>
        <v>0.16030915605761789</v>
      </c>
      <c r="T130">
        <f t="shared" si="32"/>
        <v>7.8161112762973384E-2</v>
      </c>
      <c r="U130" s="1">
        <f t="shared" si="27"/>
        <v>648.19713220701431</v>
      </c>
      <c r="V130">
        <f t="shared" si="28"/>
        <v>7.989139416674153E+17</v>
      </c>
      <c r="W130">
        <f t="shared" si="33"/>
        <v>1280732197513683.2</v>
      </c>
      <c r="Y130">
        <f t="shared" si="34"/>
        <v>1.2350000000000008</v>
      </c>
      <c r="Z130">
        <f t="shared" si="29"/>
        <v>0</v>
      </c>
      <c r="AA130">
        <f t="shared" si="35"/>
        <v>0</v>
      </c>
      <c r="AB130">
        <f t="shared" si="36"/>
        <v>1.0000235668946658</v>
      </c>
      <c r="AC130" s="1">
        <f t="shared" si="30"/>
        <v>7.4493433161470389E-3</v>
      </c>
    </row>
    <row r="131" spans="9:29" x14ac:dyDescent="0.2">
      <c r="I131">
        <f t="shared" si="37"/>
        <v>1.2450000000000008</v>
      </c>
      <c r="J131">
        <f t="shared" si="19"/>
        <v>0.15702021078090617</v>
      </c>
      <c r="K131">
        <f t="shared" si="31"/>
        <v>7.6563908716302739E-2</v>
      </c>
      <c r="L131">
        <f t="shared" si="20"/>
        <v>1.298540669489355E+17</v>
      </c>
      <c r="M131">
        <f t="shared" si="21"/>
        <v>81.869050959770249</v>
      </c>
      <c r="N131">
        <f t="shared" si="22"/>
        <v>0</v>
      </c>
      <c r="O131">
        <f t="shared" si="23"/>
        <v>0</v>
      </c>
      <c r="P131">
        <f t="shared" si="24"/>
        <v>0</v>
      </c>
      <c r="R131">
        <f t="shared" si="25"/>
        <v>1.2450000000000008</v>
      </c>
      <c r="S131">
        <f t="shared" si="26"/>
        <v>0.15702121292775698</v>
      </c>
      <c r="T131">
        <f t="shared" si="32"/>
        <v>7.65580212023972E-2</v>
      </c>
      <c r="U131" s="1">
        <f t="shared" si="27"/>
        <v>634.90254983096861</v>
      </c>
      <c r="V131">
        <f t="shared" si="28"/>
        <v>8.2698950856793715E+17</v>
      </c>
      <c r="W131">
        <f t="shared" si="33"/>
        <v>1298548957138671.8</v>
      </c>
      <c r="Y131">
        <f t="shared" si="34"/>
        <v>1.2450000000000008</v>
      </c>
      <c r="Z131">
        <f t="shared" si="29"/>
        <v>0</v>
      </c>
      <c r="AA131">
        <f t="shared" si="35"/>
        <v>0</v>
      </c>
      <c r="AB131">
        <f t="shared" si="36"/>
        <v>1.0000235668946658</v>
      </c>
      <c r="AC131" s="1">
        <f t="shared" si="30"/>
        <v>7.4493433161470389E-3</v>
      </c>
    </row>
    <row r="132" spans="9:29" x14ac:dyDescent="0.2">
      <c r="I132">
        <f t="shared" si="37"/>
        <v>1.2550000000000008</v>
      </c>
      <c r="J132">
        <f t="shared" si="19"/>
        <v>0.15379972396666058</v>
      </c>
      <c r="K132">
        <f t="shared" si="31"/>
        <v>7.4993706608493679E-2</v>
      </c>
      <c r="L132">
        <f t="shared" si="20"/>
        <v>1.316605169637387E+17</v>
      </c>
      <c r="M132">
        <f t="shared" si="21"/>
        <v>80.190048952993308</v>
      </c>
      <c r="N132">
        <f t="shared" si="22"/>
        <v>0</v>
      </c>
      <c r="O132">
        <f t="shared" si="23"/>
        <v>0</v>
      </c>
      <c r="P132">
        <f t="shared" si="24"/>
        <v>0</v>
      </c>
      <c r="R132">
        <f t="shared" si="25"/>
        <v>1.2550000000000008</v>
      </c>
      <c r="S132">
        <f t="shared" si="26"/>
        <v>0.15380070555946485</v>
      </c>
      <c r="T132">
        <f t="shared" si="32"/>
        <v>7.4987809073119624E-2</v>
      </c>
      <c r="U132" s="1">
        <f t="shared" si="27"/>
        <v>621.88063953344079</v>
      </c>
      <c r="V132">
        <f t="shared" si="28"/>
        <v>8.560517117201001E+17</v>
      </c>
      <c r="W132">
        <f t="shared" si="33"/>
        <v>1316613572579390</v>
      </c>
      <c r="Y132">
        <f t="shared" si="34"/>
        <v>1.2550000000000008</v>
      </c>
      <c r="Z132">
        <f t="shared" si="29"/>
        <v>0</v>
      </c>
      <c r="AA132">
        <f t="shared" si="35"/>
        <v>0</v>
      </c>
      <c r="AB132">
        <f t="shared" si="36"/>
        <v>1.0000235668946658</v>
      </c>
      <c r="AC132" s="1">
        <f t="shared" si="30"/>
        <v>7.4493433161470389E-3</v>
      </c>
    </row>
    <row r="133" spans="9:29" x14ac:dyDescent="0.2">
      <c r="I133">
        <f t="shared" si="37"/>
        <v>1.2650000000000008</v>
      </c>
      <c r="J133">
        <f t="shared" si="19"/>
        <v>0.15064528938396635</v>
      </c>
      <c r="K133">
        <f t="shared" si="31"/>
        <v>7.3455709368827074E-2</v>
      </c>
      <c r="L133">
        <f t="shared" si="20"/>
        <v>1.3349209720151192E+17</v>
      </c>
      <c r="M133">
        <f t="shared" si="21"/>
        <v>78.545483301874185</v>
      </c>
      <c r="N133">
        <f t="shared" si="22"/>
        <v>0</v>
      </c>
      <c r="O133">
        <f t="shared" si="23"/>
        <v>0</v>
      </c>
      <c r="P133">
        <f t="shared" si="24"/>
        <v>0</v>
      </c>
      <c r="R133">
        <f t="shared" si="25"/>
        <v>1.2650000000000008</v>
      </c>
      <c r="S133">
        <f t="shared" si="26"/>
        <v>0.1506462508442879</v>
      </c>
      <c r="T133">
        <f t="shared" si="32"/>
        <v>7.3449802017524976E-2</v>
      </c>
      <c r="U133" s="1">
        <f t="shared" si="27"/>
        <v>609.125808806122</v>
      </c>
      <c r="V133">
        <f t="shared" si="28"/>
        <v>8.8613522365950528E+17</v>
      </c>
      <c r="W133">
        <f t="shared" si="33"/>
        <v>1334929491853690</v>
      </c>
      <c r="Y133">
        <f t="shared" si="34"/>
        <v>1.2650000000000008</v>
      </c>
      <c r="Z133">
        <f t="shared" si="29"/>
        <v>0</v>
      </c>
      <c r="AA133">
        <f t="shared" si="35"/>
        <v>0</v>
      </c>
      <c r="AB133">
        <f t="shared" si="36"/>
        <v>1.0000235668946658</v>
      </c>
      <c r="AC133" s="1">
        <f t="shared" si="30"/>
        <v>7.4493433161470389E-3</v>
      </c>
    </row>
    <row r="134" spans="9:29" x14ac:dyDescent="0.2">
      <c r="I134">
        <f t="shared" si="37"/>
        <v>1.2750000000000008</v>
      </c>
      <c r="J134">
        <f t="shared" si="19"/>
        <v>0.14755555230059036</v>
      </c>
      <c r="K134">
        <f t="shared" si="31"/>
        <v>7.1949256474987414E-2</v>
      </c>
      <c r="L134">
        <f t="shared" si="20"/>
        <v>1.3534915725848038E+17</v>
      </c>
      <c r="M134">
        <f t="shared" si="21"/>
        <v>76.934647716255867</v>
      </c>
      <c r="N134">
        <f t="shared" si="22"/>
        <v>0</v>
      </c>
      <c r="O134">
        <f t="shared" si="23"/>
        <v>0</v>
      </c>
      <c r="P134">
        <f t="shared" si="24"/>
        <v>0</v>
      </c>
      <c r="R134">
        <f t="shared" si="25"/>
        <v>1.2750000000000008</v>
      </c>
      <c r="S134">
        <f t="shared" si="26"/>
        <v>0.14755649404134669</v>
      </c>
      <c r="T134">
        <f t="shared" si="32"/>
        <v>7.1943339509082091E-2</v>
      </c>
      <c r="U134" s="1">
        <f t="shared" si="27"/>
        <v>596.63257984312997</v>
      </c>
      <c r="V134">
        <f t="shared" si="28"/>
        <v>9.1727593538978509E+17</v>
      </c>
      <c r="W134">
        <f t="shared" si="33"/>
        <v>1353500210946135.5</v>
      </c>
      <c r="Y134">
        <f t="shared" si="34"/>
        <v>1.2750000000000008</v>
      </c>
      <c r="Z134">
        <f t="shared" si="29"/>
        <v>0</v>
      </c>
      <c r="AA134">
        <f t="shared" si="35"/>
        <v>0</v>
      </c>
      <c r="AB134">
        <f t="shared" si="36"/>
        <v>1.0000235668946658</v>
      </c>
      <c r="AC134" s="1">
        <f t="shared" si="30"/>
        <v>7.4493433161470389E-3</v>
      </c>
    </row>
    <row r="135" spans="9:29" x14ac:dyDescent="0.2">
      <c r="I135">
        <f t="shared" si="37"/>
        <v>1.2850000000000008</v>
      </c>
      <c r="J135">
        <f t="shared" ref="J135:J198" si="38">IF($I135&gt;$B$23,0,1)*IF($I135&lt;($B$23-$B$21),$B$10*EXP(-$B$10*($I135-$B$8)),$B$10*EXP(-$B$10*($B$23-$B$20-$B$21-$B$8)))/(1-EXP(-$B$10*($B$23-$B$21-$B$8)))*(1/(1+$B$24))</f>
        <v>0.14452918576987778</v>
      </c>
      <c r="K135">
        <f t="shared" si="31"/>
        <v>7.0473700951981508E-2</v>
      </c>
      <c r="L135">
        <f t="shared" ref="L135:L198" si="39">$V135*$J135</f>
        <v>1.3723205159423856E+17</v>
      </c>
      <c r="M135">
        <f t="shared" ref="M135:M198" si="40">$K135/$L$4*$B$18</f>
        <v>75.356850392002769</v>
      </c>
      <c r="N135">
        <f t="shared" ref="N135:N198" si="41">IF($I135&gt;$B$23,0,1)*IF($I135&lt;($B$23-$B$21),0,M135)</f>
        <v>0</v>
      </c>
      <c r="O135">
        <f t="shared" ref="O135:O198" si="42">IF($I135&gt;$B$23,0,1)*IF($I135&lt;($B$23-$B$33),0,1)*IF($I135&lt;($B$23-$B$21),$B$10*EXP(-$B$10*($I135-$B$8)),$B$10*EXP(-$B$10*($B$23-$B$20-$B$21-$B$8)))/(1-EXP(-$B$10*($B$23-$B$21-$B$8)))*(1/(1+$B$24))*($B$18/(SUM($L$7:$L$105)*0.05))</f>
        <v>0</v>
      </c>
      <c r="P135">
        <f t="shared" ref="P135:P198" si="43">IF($I135&gt;$B$23,0,1)*IF($I135&lt;($B$23-$B$21),0,1)*$L135</f>
        <v>0</v>
      </c>
      <c r="R135">
        <f t="shared" ref="R135:R198" si="44">$I135</f>
        <v>1.2850000000000008</v>
      </c>
      <c r="S135">
        <f t="shared" ref="S135:S198" si="45">IF($I135&lt;$B$23+0.01,$B$10*EXP(-$B$10*($I135-$B$8))/(1-EXP(-$B$10*($B$23-$B$8))),0)</f>
        <v>0.14453010819551745</v>
      </c>
      <c r="T135">
        <f t="shared" si="32"/>
        <v>7.0467774568668623E-2</v>
      </c>
      <c r="U135" s="1">
        <f t="shared" ref="U135:U198" si="46">T135*$B$18/$W$4</f>
        <v>584.39558718846138</v>
      </c>
      <c r="V135">
        <f t="shared" ref="V135:V198" si="47">10^(1.5*$I135+16.05)</f>
        <v>9.4951099920221056E+17</v>
      </c>
      <c r="W135">
        <f t="shared" si="33"/>
        <v>1372329274475293.8</v>
      </c>
      <c r="Y135">
        <f t="shared" si="34"/>
        <v>1.2850000000000008</v>
      </c>
      <c r="Z135">
        <f t="shared" ref="Z135:Z198" si="48">IF(AND($Y135&lt;$B$9+$B$27*$B$28,$Y135&gt;$B$9-$B$27*$B$28),NORMDIST($Y135,$B$9,$B$27,0) / (2*NORMDIST($B$28,0,1,1)-1),0)</f>
        <v>0</v>
      </c>
      <c r="AA135">
        <f t="shared" si="35"/>
        <v>0</v>
      </c>
      <c r="AB135">
        <f t="shared" si="36"/>
        <v>1.0000235668946658</v>
      </c>
      <c r="AC135" s="1">
        <f t="shared" ref="AC135:AC198" si="49">$AB135*$B$18/$AA$4</f>
        <v>7.4493433161470389E-3</v>
      </c>
    </row>
    <row r="136" spans="9:29" x14ac:dyDescent="0.2">
      <c r="I136">
        <f t="shared" si="37"/>
        <v>1.2950000000000008</v>
      </c>
      <c r="J136">
        <f t="shared" si="38"/>
        <v>0.14156489006086867</v>
      </c>
      <c r="K136">
        <f t="shared" ref="K136:K199" si="50">$J136*K$4+K137</f>
        <v>6.9028409094282733E-2</v>
      </c>
      <c r="L136">
        <f t="shared" si="39"/>
        <v>1.3914113959940184E+17</v>
      </c>
      <c r="M136">
        <f t="shared" si="40"/>
        <v>73.811413713892222</v>
      </c>
      <c r="N136">
        <f t="shared" si="41"/>
        <v>0</v>
      </c>
      <c r="O136">
        <f t="shared" si="42"/>
        <v>0</v>
      </c>
      <c r="P136">
        <f t="shared" si="43"/>
        <v>0</v>
      </c>
      <c r="R136">
        <f t="shared" si="44"/>
        <v>1.2950000000000008</v>
      </c>
      <c r="S136">
        <f t="shared" si="45"/>
        <v>0.14156579356754501</v>
      </c>
      <c r="T136">
        <f t="shared" ref="T136:T199" si="51">T137+$S136*0.01</f>
        <v>6.9022473486713448E-2</v>
      </c>
      <c r="U136" s="1">
        <f t="shared" si="46"/>
        <v>572.40957543169372</v>
      </c>
      <c r="V136">
        <f t="shared" si="47"/>
        <v>9.828788730000448E+17</v>
      </c>
      <c r="W136">
        <f t="shared" ref="W136:W199" si="52">$S136*$V136*0.01</f>
        <v>1391420276370256.2</v>
      </c>
      <c r="Y136">
        <f t="shared" ref="Y136:Y199" si="53">I136</f>
        <v>1.2950000000000008</v>
      </c>
      <c r="Z136">
        <f t="shared" si="48"/>
        <v>0</v>
      </c>
      <c r="AA136">
        <f t="shared" ref="AA136:AA199" si="54">$V136*$Z136*$K$4</f>
        <v>0</v>
      </c>
      <c r="AB136">
        <f t="shared" ref="AB136:AB199" si="55">Z136*$K$4+AB137</f>
        <v>1.0000235668946658</v>
      </c>
      <c r="AC136" s="1">
        <f t="shared" si="49"/>
        <v>7.4493433161470389E-3</v>
      </c>
    </row>
    <row r="137" spans="9:29" x14ac:dyDescent="0.2">
      <c r="I137">
        <f t="shared" ref="I137:I163" si="56">I136+0.01</f>
        <v>1.3050000000000008</v>
      </c>
      <c r="J137">
        <f t="shared" si="38"/>
        <v>0.13866139210010434</v>
      </c>
      <c r="K137">
        <f t="shared" si="50"/>
        <v>6.7612760193674043E-2</v>
      </c>
      <c r="L137">
        <f t="shared" si="39"/>
        <v>1.4107678566420928E+17</v>
      </c>
      <c r="M137">
        <f t="shared" si="40"/>
        <v>72.297673964599653</v>
      </c>
      <c r="N137">
        <f t="shared" si="41"/>
        <v>0</v>
      </c>
      <c r="O137">
        <f t="shared" si="42"/>
        <v>0</v>
      </c>
      <c r="P137">
        <f t="shared" si="43"/>
        <v>0</v>
      </c>
      <c r="R137">
        <f t="shared" si="44"/>
        <v>1.3050000000000008</v>
      </c>
      <c r="S137">
        <f t="shared" si="45"/>
        <v>0.13866227707584555</v>
      </c>
      <c r="T137">
        <f t="shared" si="51"/>
        <v>6.7606815551037994E-2</v>
      </c>
      <c r="U137" s="1">
        <f t="shared" si="46"/>
        <v>560.66939695094902</v>
      </c>
      <c r="V137">
        <f t="shared" si="47"/>
        <v>1.0174193661806106E+18</v>
      </c>
      <c r="W137">
        <f t="shared" si="52"/>
        <v>1410776860556670</v>
      </c>
      <c r="Y137">
        <f t="shared" si="53"/>
        <v>1.3050000000000008</v>
      </c>
      <c r="Z137">
        <f t="shared" si="48"/>
        <v>0</v>
      </c>
      <c r="AA137">
        <f t="shared" si="54"/>
        <v>0</v>
      </c>
      <c r="AB137">
        <f t="shared" si="55"/>
        <v>1.0000235668946658</v>
      </c>
      <c r="AC137" s="1">
        <f t="shared" si="49"/>
        <v>7.4493433161470389E-3</v>
      </c>
    </row>
    <row r="138" spans="9:29" x14ac:dyDescent="0.2">
      <c r="I138">
        <f t="shared" si="56"/>
        <v>1.3150000000000008</v>
      </c>
      <c r="J138">
        <f t="shared" si="38"/>
        <v>0.13581744492488104</v>
      </c>
      <c r="K138">
        <f t="shared" si="50"/>
        <v>6.6226146272672995E-2</v>
      </c>
      <c r="L138">
        <f t="shared" si="39"/>
        <v>1.430393592480749E+17</v>
      </c>
      <c r="M138">
        <f t="shared" si="40"/>
        <v>70.814981039652494</v>
      </c>
      <c r="N138">
        <f t="shared" si="41"/>
        <v>0</v>
      </c>
      <c r="O138">
        <f t="shared" si="42"/>
        <v>0</v>
      </c>
      <c r="P138">
        <f t="shared" si="43"/>
        <v>0</v>
      </c>
      <c r="R138">
        <f t="shared" si="44"/>
        <v>1.3150000000000008</v>
      </c>
      <c r="S138">
        <f t="shared" si="45"/>
        <v>0.13581831174975689</v>
      </c>
      <c r="T138">
        <f t="shared" si="51"/>
        <v>6.6220192780279533E-2</v>
      </c>
      <c r="U138" s="1">
        <f t="shared" si="46"/>
        <v>549.1700097021486</v>
      </c>
      <c r="V138">
        <f t="shared" si="47"/>
        <v>1.0531736871297219E+18</v>
      </c>
      <c r="W138">
        <f t="shared" si="52"/>
        <v>1430402721652255</v>
      </c>
      <c r="Y138">
        <f t="shared" si="53"/>
        <v>1.3150000000000008</v>
      </c>
      <c r="Z138">
        <f t="shared" si="48"/>
        <v>0</v>
      </c>
      <c r="AA138">
        <f t="shared" si="54"/>
        <v>0</v>
      </c>
      <c r="AB138">
        <f t="shared" si="55"/>
        <v>1.0000235668946658</v>
      </c>
      <c r="AC138" s="1">
        <f t="shared" si="49"/>
        <v>7.4493433161470389E-3</v>
      </c>
    </row>
    <row r="139" spans="9:29" x14ac:dyDescent="0.2">
      <c r="I139">
        <f t="shared" si="56"/>
        <v>1.3250000000000008</v>
      </c>
      <c r="J139">
        <f t="shared" si="38"/>
        <v>0.13303182714771855</v>
      </c>
      <c r="K139">
        <f t="shared" si="50"/>
        <v>6.4867971823424186E-2</v>
      </c>
      <c r="L139">
        <f t="shared" si="39"/>
        <v>1.4502923495010237E+17</v>
      </c>
      <c r="M139">
        <f t="shared" si="40"/>
        <v>69.362698168230438</v>
      </c>
      <c r="N139">
        <f t="shared" si="41"/>
        <v>0</v>
      </c>
      <c r="O139">
        <f t="shared" si="42"/>
        <v>0</v>
      </c>
      <c r="P139">
        <f t="shared" si="43"/>
        <v>0</v>
      </c>
      <c r="R139">
        <f t="shared" si="44"/>
        <v>1.3250000000000008</v>
      </c>
      <c r="S139">
        <f t="shared" si="45"/>
        <v>0.13303267619400355</v>
      </c>
      <c r="T139">
        <f t="shared" si="51"/>
        <v>6.4862009662781966E-2</v>
      </c>
      <c r="U139" s="1">
        <f t="shared" si="46"/>
        <v>537.90647505361233</v>
      </c>
      <c r="V139">
        <f t="shared" si="47"/>
        <v>1.0901844923851334E+18</v>
      </c>
      <c r="W139">
        <f t="shared" si="52"/>
        <v>1450301605671955.8</v>
      </c>
      <c r="Y139">
        <f t="shared" si="53"/>
        <v>1.3250000000000008</v>
      </c>
      <c r="Z139">
        <f t="shared" si="48"/>
        <v>0</v>
      </c>
      <c r="AA139">
        <f t="shared" si="54"/>
        <v>0</v>
      </c>
      <c r="AB139">
        <f t="shared" si="55"/>
        <v>1.0000235668946658</v>
      </c>
      <c r="AC139" s="1">
        <f t="shared" si="49"/>
        <v>7.4493433161470389E-3</v>
      </c>
    </row>
    <row r="140" spans="9:29" x14ac:dyDescent="0.2">
      <c r="I140">
        <f t="shared" si="56"/>
        <v>1.3350000000000009</v>
      </c>
      <c r="J140">
        <f t="shared" si="38"/>
        <v>0.13030334243181141</v>
      </c>
      <c r="K140">
        <f t="shared" si="50"/>
        <v>6.3537653551947001E-2</v>
      </c>
      <c r="L140">
        <f t="shared" si="39"/>
        <v>1.4704679258058874E+17</v>
      </c>
      <c r="M140">
        <f t="shared" si="40"/>
        <v>67.940201639691949</v>
      </c>
      <c r="N140">
        <f t="shared" si="41"/>
        <v>0</v>
      </c>
      <c r="O140">
        <f t="shared" si="42"/>
        <v>0</v>
      </c>
      <c r="P140">
        <f t="shared" si="43"/>
        <v>0</v>
      </c>
      <c r="R140">
        <f t="shared" si="44"/>
        <v>1.3350000000000009</v>
      </c>
      <c r="S140">
        <f t="shared" si="45"/>
        <v>0.13030417406414471</v>
      </c>
      <c r="T140">
        <f t="shared" si="51"/>
        <v>6.3531682900841935E-2</v>
      </c>
      <c r="U140" s="1">
        <f t="shared" si="46"/>
        <v>526.87395566506711</v>
      </c>
      <c r="V140">
        <f t="shared" si="47"/>
        <v>1.1284959375277674E+18</v>
      </c>
      <c r="W140">
        <f t="shared" si="52"/>
        <v>1470477310742983.8</v>
      </c>
      <c r="Y140">
        <f t="shared" si="53"/>
        <v>1.3350000000000009</v>
      </c>
      <c r="Z140">
        <f t="shared" si="48"/>
        <v>0</v>
      </c>
      <c r="AA140">
        <f t="shared" si="54"/>
        <v>0</v>
      </c>
      <c r="AB140">
        <f t="shared" si="55"/>
        <v>1.0000235668946658</v>
      </c>
      <c r="AC140" s="1">
        <f t="shared" si="49"/>
        <v>7.4493433161470389E-3</v>
      </c>
    </row>
    <row r="141" spans="9:29" x14ac:dyDescent="0.2">
      <c r="I141">
        <f t="shared" si="56"/>
        <v>1.3450000000000009</v>
      </c>
      <c r="J141">
        <f t="shared" si="38"/>
        <v>0.1276308189772396</v>
      </c>
      <c r="K141">
        <f t="shared" si="50"/>
        <v>6.2234620127628884E-2</v>
      </c>
      <c r="L141">
        <f t="shared" si="39"/>
        <v>1.4909241723351981E+17</v>
      </c>
      <c r="M141">
        <f t="shared" si="40"/>
        <v>66.546880535709832</v>
      </c>
      <c r="N141">
        <f t="shared" si="41"/>
        <v>0</v>
      </c>
      <c r="O141">
        <f t="shared" si="42"/>
        <v>0</v>
      </c>
      <c r="P141">
        <f t="shared" si="43"/>
        <v>0</v>
      </c>
      <c r="R141">
        <f t="shared" si="44"/>
        <v>1.3450000000000009</v>
      </c>
      <c r="S141">
        <f t="shared" si="45"/>
        <v>0.12763163355278162</v>
      </c>
      <c r="T141">
        <f t="shared" si="51"/>
        <v>6.2228641160200493E-2</v>
      </c>
      <c r="U141" s="1">
        <f t="shared" si="46"/>
        <v>516.06771341015985</v>
      </c>
      <c r="V141">
        <f t="shared" si="47"/>
        <v>1.1681537298613389E+18</v>
      </c>
      <c r="W141">
        <f t="shared" si="52"/>
        <v>1490933687829774.8</v>
      </c>
      <c r="Y141">
        <f t="shared" si="53"/>
        <v>1.3450000000000009</v>
      </c>
      <c r="Z141">
        <f t="shared" si="48"/>
        <v>0</v>
      </c>
      <c r="AA141">
        <f t="shared" si="54"/>
        <v>0</v>
      </c>
      <c r="AB141">
        <f t="shared" si="55"/>
        <v>1.0000235668946658</v>
      </c>
      <c r="AC141" s="1">
        <f t="shared" si="49"/>
        <v>7.4493433161470389E-3</v>
      </c>
    </row>
    <row r="142" spans="9:29" x14ac:dyDescent="0.2">
      <c r="I142">
        <f t="shared" si="56"/>
        <v>1.3550000000000009</v>
      </c>
      <c r="J142">
        <f t="shared" si="38"/>
        <v>0.12501310901771667</v>
      </c>
      <c r="K142">
        <f t="shared" si="50"/>
        <v>6.0958311937856488E-2</v>
      </c>
      <c r="L142">
        <f t="shared" si="39"/>
        <v>1.5116649936006918E+17</v>
      </c>
      <c r="M142">
        <f t="shared" si="40"/>
        <v>65.182136467900776</v>
      </c>
      <c r="N142">
        <f t="shared" si="41"/>
        <v>0</v>
      </c>
      <c r="O142">
        <f t="shared" si="42"/>
        <v>0</v>
      </c>
      <c r="P142">
        <f t="shared" si="43"/>
        <v>0</v>
      </c>
      <c r="R142">
        <f t="shared" si="44"/>
        <v>1.3550000000000009</v>
      </c>
      <c r="S142">
        <f t="shared" si="45"/>
        <v>0.12501390688630246</v>
      </c>
      <c r="T142">
        <f t="shared" si="51"/>
        <v>6.095232482467268E-2</v>
      </c>
      <c r="U142" s="1">
        <f t="shared" si="46"/>
        <v>505.48310734157781</v>
      </c>
      <c r="V142">
        <f t="shared" si="47"/>
        <v>1.209205182943223E+18</v>
      </c>
      <c r="W142">
        <f t="shared" si="52"/>
        <v>1511674641468984</v>
      </c>
      <c r="Y142">
        <f t="shared" si="53"/>
        <v>1.3550000000000009</v>
      </c>
      <c r="Z142">
        <f t="shared" si="48"/>
        <v>0</v>
      </c>
      <c r="AA142">
        <f t="shared" si="54"/>
        <v>0</v>
      </c>
      <c r="AB142">
        <f t="shared" si="55"/>
        <v>1.0000235668946658</v>
      </c>
      <c r="AC142" s="1">
        <f t="shared" si="49"/>
        <v>7.4493433161470389E-3</v>
      </c>
    </row>
    <row r="143" spans="9:29" x14ac:dyDescent="0.2">
      <c r="I143">
        <f t="shared" si="56"/>
        <v>1.3650000000000009</v>
      </c>
      <c r="J143">
        <f t="shared" si="38"/>
        <v>0.1224490883276594</v>
      </c>
      <c r="K143">
        <f t="shared" si="50"/>
        <v>5.9708180847679322E-2</v>
      </c>
      <c r="L143">
        <f t="shared" si="39"/>
        <v>1.5326943484313056E+17</v>
      </c>
      <c r="M143">
        <f t="shared" si="40"/>
        <v>63.845383320835886</v>
      </c>
      <c r="N143">
        <f t="shared" si="41"/>
        <v>0</v>
      </c>
      <c r="O143">
        <f t="shared" si="42"/>
        <v>0</v>
      </c>
      <c r="P143">
        <f t="shared" si="43"/>
        <v>0</v>
      </c>
      <c r="R143">
        <f t="shared" si="44"/>
        <v>1.3650000000000009</v>
      </c>
      <c r="S143">
        <f t="shared" si="45"/>
        <v>0.12244986983194882</v>
      </c>
      <c r="T143">
        <f t="shared" si="51"/>
        <v>5.9702185755809656E-2</v>
      </c>
      <c r="U143" s="1">
        <f t="shared" si="46"/>
        <v>495.11559169790547</v>
      </c>
      <c r="V143">
        <f t="shared" si="47"/>
        <v>1.2516992730317399E+18</v>
      </c>
      <c r="W143">
        <f t="shared" si="52"/>
        <v>1532704130514815</v>
      </c>
      <c r="Y143">
        <f t="shared" si="53"/>
        <v>1.3650000000000009</v>
      </c>
      <c r="Z143">
        <f t="shared" si="48"/>
        <v>0</v>
      </c>
      <c r="AA143">
        <f t="shared" si="54"/>
        <v>0</v>
      </c>
      <c r="AB143">
        <f t="shared" si="55"/>
        <v>1.0000235668946658</v>
      </c>
      <c r="AC143" s="1">
        <f t="shared" si="49"/>
        <v>7.4493433161470389E-3</v>
      </c>
    </row>
    <row r="144" spans="9:29" x14ac:dyDescent="0.2">
      <c r="I144">
        <f t="shared" si="56"/>
        <v>1.3750000000000009</v>
      </c>
      <c r="J144">
        <f t="shared" si="38"/>
        <v>0.11993765573936757</v>
      </c>
      <c r="K144">
        <f t="shared" si="50"/>
        <v>5.848368996440273E-2</v>
      </c>
      <c r="L144">
        <f t="shared" si="39"/>
        <v>1.554016250728751E+17</v>
      </c>
      <c r="M144">
        <f t="shared" si="40"/>
        <v>62.536047000322249</v>
      </c>
      <c r="N144">
        <f t="shared" si="41"/>
        <v>0</v>
      </c>
      <c r="O144">
        <f t="shared" si="42"/>
        <v>0</v>
      </c>
      <c r="P144">
        <f t="shared" si="43"/>
        <v>0</v>
      </c>
      <c r="R144">
        <f t="shared" si="44"/>
        <v>1.3750000000000009</v>
      </c>
      <c r="S144">
        <f t="shared" si="45"/>
        <v>0.11993842121499262</v>
      </c>
      <c r="T144">
        <f t="shared" si="51"/>
        <v>5.8477687057490166E-2</v>
      </c>
      <c r="U144" s="1">
        <f t="shared" si="46"/>
        <v>484.96071395136045</v>
      </c>
      <c r="V144">
        <f t="shared" si="47"/>
        <v>1.2956866975170255E+18</v>
      </c>
      <c r="W144">
        <f t="shared" si="52"/>
        <v>1554026168894597.5</v>
      </c>
      <c r="Y144">
        <f t="shared" si="53"/>
        <v>1.3750000000000009</v>
      </c>
      <c r="Z144">
        <f t="shared" si="48"/>
        <v>0</v>
      </c>
      <c r="AA144">
        <f t="shared" si="54"/>
        <v>0</v>
      </c>
      <c r="AB144">
        <f t="shared" si="55"/>
        <v>1.0000235668946658</v>
      </c>
      <c r="AC144" s="1">
        <f t="shared" si="49"/>
        <v>7.4493433161470389E-3</v>
      </c>
    </row>
    <row r="145" spans="9:29" x14ac:dyDescent="0.2">
      <c r="I145">
        <f t="shared" si="56"/>
        <v>1.3850000000000009</v>
      </c>
      <c r="J145">
        <f t="shared" si="38"/>
        <v>0.11747773267010674</v>
      </c>
      <c r="K145">
        <f t="shared" si="50"/>
        <v>5.7284313407009055E-2</v>
      </c>
      <c r="L145">
        <f t="shared" si="39"/>
        <v>1.5756347702337072E+17</v>
      </c>
      <c r="M145">
        <f t="shared" si="40"/>
        <v>61.253565186847268</v>
      </c>
      <c r="N145">
        <f t="shared" si="41"/>
        <v>0</v>
      </c>
      <c r="O145">
        <f t="shared" si="42"/>
        <v>0</v>
      </c>
      <c r="P145">
        <f t="shared" si="43"/>
        <v>0</v>
      </c>
      <c r="R145">
        <f t="shared" si="44"/>
        <v>1.3850000000000009</v>
      </c>
      <c r="S145">
        <f t="shared" si="45"/>
        <v>0.11747848244581555</v>
      </c>
      <c r="T145">
        <f t="shared" si="51"/>
        <v>5.7278302845340238E-2</v>
      </c>
      <c r="U145" s="1">
        <f t="shared" si="46"/>
        <v>475.01411289556995</v>
      </c>
      <c r="V145">
        <f t="shared" si="47"/>
        <v>1.341219935405377E+18</v>
      </c>
      <c r="W145">
        <f t="shared" si="52"/>
        <v>1575644826374984.2</v>
      </c>
      <c r="Y145">
        <f t="shared" si="53"/>
        <v>1.3850000000000009</v>
      </c>
      <c r="Z145">
        <f t="shared" si="48"/>
        <v>0</v>
      </c>
      <c r="AA145">
        <f t="shared" si="54"/>
        <v>0</v>
      </c>
      <c r="AB145">
        <f t="shared" si="55"/>
        <v>1.0000235668946658</v>
      </c>
      <c r="AC145" s="1">
        <f t="shared" si="49"/>
        <v>7.4493433161470389E-3</v>
      </c>
    </row>
    <row r="146" spans="9:29" x14ac:dyDescent="0.2">
      <c r="I146">
        <f t="shared" si="56"/>
        <v>1.3950000000000009</v>
      </c>
      <c r="J146">
        <f t="shared" si="38"/>
        <v>0.11506826265888986</v>
      </c>
      <c r="K146">
        <f t="shared" si="50"/>
        <v>5.6109536080307984E-2</v>
      </c>
      <c r="L146">
        <f t="shared" si="39"/>
        <v>1.5975540333025635E+17</v>
      </c>
      <c r="M146">
        <f t="shared" si="40"/>
        <v>59.997387094079741</v>
      </c>
      <c r="N146">
        <f t="shared" si="41"/>
        <v>0</v>
      </c>
      <c r="O146">
        <f t="shared" si="42"/>
        <v>0</v>
      </c>
      <c r="P146">
        <f t="shared" si="43"/>
        <v>0</v>
      </c>
      <c r="R146">
        <f t="shared" si="44"/>
        <v>1.3950000000000009</v>
      </c>
      <c r="S146">
        <f t="shared" si="45"/>
        <v>0.11506899705668794</v>
      </c>
      <c r="T146">
        <f t="shared" si="51"/>
        <v>5.6103518020882086E-2</v>
      </c>
      <c r="U146" s="1">
        <f t="shared" si="46"/>
        <v>465.27151677256757</v>
      </c>
      <c r="V146">
        <f t="shared" si="47"/>
        <v>1.3883533099290614E+18</v>
      </c>
      <c r="W146">
        <f t="shared" si="52"/>
        <v>1597564229338701.2</v>
      </c>
      <c r="Y146">
        <f t="shared" si="53"/>
        <v>1.3950000000000009</v>
      </c>
      <c r="Z146">
        <f t="shared" si="48"/>
        <v>0</v>
      </c>
      <c r="AA146">
        <f t="shared" si="54"/>
        <v>0</v>
      </c>
      <c r="AB146">
        <f t="shared" si="55"/>
        <v>1.0000235668946658</v>
      </c>
      <c r="AC146" s="1">
        <f t="shared" si="49"/>
        <v>7.4493433161470389E-3</v>
      </c>
    </row>
    <row r="147" spans="9:29" x14ac:dyDescent="0.2">
      <c r="I147">
        <f t="shared" si="56"/>
        <v>1.4050000000000009</v>
      </c>
      <c r="J147">
        <f t="shared" si="38"/>
        <v>0.11270821091276034</v>
      </c>
      <c r="K147">
        <f t="shared" si="50"/>
        <v>5.4958853453719085E-2</v>
      </c>
      <c r="L147">
        <f t="shared" si="39"/>
        <v>1.6197782236950227E+17</v>
      </c>
      <c r="M147">
        <f t="shared" si="40"/>
        <v>58.76697323232414</v>
      </c>
      <c r="N147">
        <f t="shared" si="41"/>
        <v>0</v>
      </c>
      <c r="O147">
        <f t="shared" si="42"/>
        <v>0</v>
      </c>
      <c r="P147">
        <f t="shared" si="43"/>
        <v>0</v>
      </c>
      <c r="R147">
        <f t="shared" si="44"/>
        <v>1.4050000000000009</v>
      </c>
      <c r="S147">
        <f t="shared" si="45"/>
        <v>0.11270893024804889</v>
      </c>
      <c r="T147">
        <f t="shared" si="51"/>
        <v>5.4952828050315206E-2</v>
      </c>
      <c r="U147" s="1">
        <f t="shared" si="46"/>
        <v>455.72874143820513</v>
      </c>
      <c r="V147">
        <f t="shared" si="47"/>
        <v>1.4371430533564068E+18</v>
      </c>
      <c r="W147">
        <f t="shared" si="52"/>
        <v>1619788561572152.8</v>
      </c>
      <c r="Y147">
        <f t="shared" si="53"/>
        <v>1.4050000000000009</v>
      </c>
      <c r="Z147">
        <f t="shared" si="48"/>
        <v>0</v>
      </c>
      <c r="AA147">
        <f t="shared" si="54"/>
        <v>0</v>
      </c>
      <c r="AB147">
        <f t="shared" si="55"/>
        <v>1.0000235668946658</v>
      </c>
      <c r="AC147" s="1">
        <f t="shared" si="49"/>
        <v>7.4493433161470389E-3</v>
      </c>
    </row>
    <row r="148" spans="9:29" x14ac:dyDescent="0.2">
      <c r="I148">
        <f t="shared" si="56"/>
        <v>1.4150000000000009</v>
      </c>
      <c r="J148">
        <f t="shared" si="38"/>
        <v>0.11039656386238018</v>
      </c>
      <c r="K148">
        <f t="shared" si="50"/>
        <v>5.3831771344591481E-2</v>
      </c>
      <c r="L148">
        <f t="shared" si="39"/>
        <v>1.6423115833727174E+17</v>
      </c>
      <c r="M148">
        <f t="shared" si="40"/>
        <v>57.5617951768265</v>
      </c>
      <c r="N148">
        <f t="shared" si="41"/>
        <v>0</v>
      </c>
      <c r="O148">
        <f t="shared" si="42"/>
        <v>0</v>
      </c>
      <c r="P148">
        <f t="shared" si="43"/>
        <v>0</v>
      </c>
      <c r="R148">
        <f t="shared" si="44"/>
        <v>1.4150000000000009</v>
      </c>
      <c r="S148">
        <f t="shared" si="45"/>
        <v>0.11039726844409144</v>
      </c>
      <c r="T148">
        <f t="shared" si="51"/>
        <v>5.3825738747834716E-2</v>
      </c>
      <c r="U148" s="1">
        <f t="shared" si="46"/>
        <v>446.38168856519195</v>
      </c>
      <c r="V148">
        <f t="shared" si="47"/>
        <v>1.4876473740795185E+18</v>
      </c>
      <c r="W148">
        <f t="shared" si="52"/>
        <v>1642322065064043.2</v>
      </c>
      <c r="Y148">
        <f t="shared" si="53"/>
        <v>1.4150000000000009</v>
      </c>
      <c r="Z148">
        <f t="shared" si="48"/>
        <v>0</v>
      </c>
      <c r="AA148">
        <f t="shared" si="54"/>
        <v>0</v>
      </c>
      <c r="AB148">
        <f t="shared" si="55"/>
        <v>1.0000235668946658</v>
      </c>
      <c r="AC148" s="1">
        <f t="shared" si="49"/>
        <v>7.4493433161470389E-3</v>
      </c>
    </row>
    <row r="149" spans="9:29" x14ac:dyDescent="0.2">
      <c r="I149">
        <f t="shared" si="56"/>
        <v>1.4250000000000009</v>
      </c>
      <c r="J149">
        <f t="shared" si="38"/>
        <v>0.10813232872673324</v>
      </c>
      <c r="K149">
        <f t="shared" si="50"/>
        <v>5.2727805705967676E-2</v>
      </c>
      <c r="L149">
        <f t="shared" si="39"/>
        <v>1.6651584133088317E+17</v>
      </c>
      <c r="M149">
        <f t="shared" si="40"/>
        <v>56.381335340832223</v>
      </c>
      <c r="N149">
        <f t="shared" si="41"/>
        <v>0</v>
      </c>
      <c r="O149">
        <f t="shared" si="42"/>
        <v>0</v>
      </c>
      <c r="P149">
        <f t="shared" si="43"/>
        <v>0</v>
      </c>
      <c r="R149">
        <f t="shared" si="44"/>
        <v>1.4250000000000009</v>
      </c>
      <c r="S149">
        <f t="shared" si="45"/>
        <v>0.10813301885746333</v>
      </c>
      <c r="T149">
        <f t="shared" si="51"/>
        <v>5.27217660633938E-2</v>
      </c>
      <c r="U149" s="1">
        <f t="shared" si="46"/>
        <v>437.22634388298991</v>
      </c>
      <c r="V149">
        <f t="shared" si="47"/>
        <v>1.539926526059509E+18</v>
      </c>
      <c r="W149">
        <f t="shared" si="52"/>
        <v>1665169040815009</v>
      </c>
      <c r="Y149">
        <f t="shared" si="53"/>
        <v>1.4250000000000009</v>
      </c>
      <c r="Z149">
        <f t="shared" si="48"/>
        <v>0</v>
      </c>
      <c r="AA149">
        <f t="shared" si="54"/>
        <v>0</v>
      </c>
      <c r="AB149">
        <f t="shared" si="55"/>
        <v>1.0000235668946658</v>
      </c>
      <c r="AC149" s="1">
        <f t="shared" si="49"/>
        <v>7.4493433161470389E-3</v>
      </c>
    </row>
    <row r="150" spans="9:29" x14ac:dyDescent="0.2">
      <c r="I150">
        <f t="shared" si="56"/>
        <v>1.4350000000000009</v>
      </c>
      <c r="J150">
        <f t="shared" si="38"/>
        <v>0.10591453308675658</v>
      </c>
      <c r="K150">
        <f t="shared" si="50"/>
        <v>5.1646482418700346E-2</v>
      </c>
      <c r="L150">
        <f t="shared" si="39"/>
        <v>1.6883230743090355E+17</v>
      </c>
      <c r="M150">
        <f t="shared" si="40"/>
        <v>55.22508675329864</v>
      </c>
      <c r="N150">
        <f t="shared" si="41"/>
        <v>0</v>
      </c>
      <c r="O150">
        <f t="shared" si="42"/>
        <v>0</v>
      </c>
      <c r="P150">
        <f t="shared" si="43"/>
        <v>0</v>
      </c>
      <c r="R150">
        <f t="shared" si="44"/>
        <v>1.4350000000000009</v>
      </c>
      <c r="S150">
        <f t="shared" si="45"/>
        <v>0.10591520906289531</v>
      </c>
      <c r="T150">
        <f t="shared" si="51"/>
        <v>5.1640435874819167E-2</v>
      </c>
      <c r="U150" s="1">
        <f t="shared" si="46"/>
        <v>428.25877545380825</v>
      </c>
      <c r="V150">
        <f t="shared" si="47"/>
        <v>1.5940428807122235E+18</v>
      </c>
      <c r="W150">
        <f t="shared" si="52"/>
        <v>1688333849658550.5</v>
      </c>
      <c r="Y150">
        <f t="shared" si="53"/>
        <v>1.4350000000000009</v>
      </c>
      <c r="Z150">
        <f t="shared" si="48"/>
        <v>0</v>
      </c>
      <c r="AA150">
        <f t="shared" si="54"/>
        <v>0</v>
      </c>
      <c r="AB150">
        <f t="shared" si="55"/>
        <v>1.0000235668946658</v>
      </c>
      <c r="AC150" s="1">
        <f t="shared" si="49"/>
        <v>7.4493433161470389E-3</v>
      </c>
    </row>
    <row r="151" spans="9:29" x14ac:dyDescent="0.2">
      <c r="I151">
        <f t="shared" si="56"/>
        <v>1.445000000000001</v>
      </c>
      <c r="J151">
        <f t="shared" si="38"/>
        <v>0.10374222446771635</v>
      </c>
      <c r="K151">
        <f t="shared" si="50"/>
        <v>5.0587337087832779E-2</v>
      </c>
      <c r="L151">
        <f t="shared" si="39"/>
        <v>1.7118099878438848E+17</v>
      </c>
      <c r="M151">
        <f t="shared" si="40"/>
        <v>54.09255284116653</v>
      </c>
      <c r="N151">
        <f t="shared" si="41"/>
        <v>0</v>
      </c>
      <c r="O151">
        <f t="shared" si="42"/>
        <v>0</v>
      </c>
      <c r="P151">
        <f t="shared" si="43"/>
        <v>0</v>
      </c>
      <c r="R151">
        <f t="shared" si="44"/>
        <v>1.445000000000001</v>
      </c>
      <c r="S151">
        <f t="shared" si="45"/>
        <v>0.10374288657957462</v>
      </c>
      <c r="T151">
        <f t="shared" si="51"/>
        <v>5.058128378419021E-2</v>
      </c>
      <c r="U151" s="1">
        <f t="shared" si="46"/>
        <v>419.47513198395762</v>
      </c>
      <c r="V151">
        <f t="shared" si="47"/>
        <v>1.6500610013202337E+18</v>
      </c>
      <c r="W151">
        <f t="shared" si="52"/>
        <v>1711820913093443.2</v>
      </c>
      <c r="Y151">
        <f t="shared" si="53"/>
        <v>1.445000000000001</v>
      </c>
      <c r="Z151">
        <f t="shared" si="48"/>
        <v>0</v>
      </c>
      <c r="AA151">
        <f t="shared" si="54"/>
        <v>0</v>
      </c>
      <c r="AB151">
        <f t="shared" si="55"/>
        <v>1.0000235668946658</v>
      </c>
      <c r="AC151" s="1">
        <f t="shared" si="49"/>
        <v>7.4493433161470389E-3</v>
      </c>
    </row>
    <row r="152" spans="9:29" x14ac:dyDescent="0.2">
      <c r="I152">
        <f t="shared" si="56"/>
        <v>1.455000000000001</v>
      </c>
      <c r="J152">
        <f t="shared" si="38"/>
        <v>0.10161446993014946</v>
      </c>
      <c r="K152">
        <f t="shared" si="50"/>
        <v>4.9549914843155615E-2</v>
      </c>
      <c r="L152">
        <f t="shared" si="39"/>
        <v>1.7356236368926938E+17</v>
      </c>
      <c r="M152">
        <f t="shared" si="40"/>
        <v>52.983247216097404</v>
      </c>
      <c r="N152">
        <f t="shared" si="41"/>
        <v>0</v>
      </c>
      <c r="O152">
        <f t="shared" si="42"/>
        <v>0</v>
      </c>
      <c r="P152">
        <f t="shared" si="43"/>
        <v>0</v>
      </c>
      <c r="R152">
        <f t="shared" si="44"/>
        <v>1.455000000000001</v>
      </c>
      <c r="S152">
        <f t="shared" si="45"/>
        <v>0.10161511846208386</v>
      </c>
      <c r="T152">
        <f t="shared" si="51"/>
        <v>4.9543854918394463E-2</v>
      </c>
      <c r="U152" s="1">
        <f t="shared" si="46"/>
        <v>410.87164116983831</v>
      </c>
      <c r="V152">
        <f t="shared" si="47"/>
        <v>1.7080477200597261E+18</v>
      </c>
      <c r="W152">
        <f t="shared" si="52"/>
        <v>1735634714127613.2</v>
      </c>
      <c r="Y152">
        <f t="shared" si="53"/>
        <v>1.455000000000001</v>
      </c>
      <c r="Z152">
        <f t="shared" si="48"/>
        <v>0</v>
      </c>
      <c r="AA152">
        <f t="shared" si="54"/>
        <v>0</v>
      </c>
      <c r="AB152">
        <f t="shared" si="55"/>
        <v>1.0000235668946658</v>
      </c>
      <c r="AC152" s="1">
        <f t="shared" si="49"/>
        <v>7.4493433161470389E-3</v>
      </c>
    </row>
    <row r="153" spans="9:29" x14ac:dyDescent="0.2">
      <c r="I153">
        <f t="shared" si="56"/>
        <v>1.465000000000001</v>
      </c>
      <c r="J153">
        <f t="shared" si="38"/>
        <v>9.953035566919477E-2</v>
      </c>
      <c r="K153">
        <f t="shared" si="50"/>
        <v>4.853377014385412E-2</v>
      </c>
      <c r="L153">
        <f t="shared" si="39"/>
        <v>1.7597685667992064E+17</v>
      </c>
      <c r="M153">
        <f t="shared" si="40"/>
        <v>51.896693465584654</v>
      </c>
      <c r="N153">
        <f t="shared" si="41"/>
        <v>0</v>
      </c>
      <c r="O153">
        <f t="shared" si="42"/>
        <v>0</v>
      </c>
      <c r="P153">
        <f t="shared" si="43"/>
        <v>0</v>
      </c>
      <c r="R153">
        <f t="shared" si="44"/>
        <v>1.465000000000001</v>
      </c>
      <c r="S153">
        <f t="shared" si="45"/>
        <v>9.9530990899729721E-2</v>
      </c>
      <c r="T153">
        <f t="shared" si="51"/>
        <v>4.8527703733773624E-2</v>
      </c>
      <c r="U153" s="1">
        <f t="shared" si="46"/>
        <v>402.44460807785282</v>
      </c>
      <c r="V153">
        <f t="shared" si="47"/>
        <v>1.768072217734338E+18</v>
      </c>
      <c r="W153">
        <f t="shared" si="52"/>
        <v>1759779798133813.5</v>
      </c>
      <c r="Y153">
        <f t="shared" si="53"/>
        <v>1.465000000000001</v>
      </c>
      <c r="Z153">
        <f t="shared" si="48"/>
        <v>0</v>
      </c>
      <c r="AA153">
        <f t="shared" si="54"/>
        <v>0</v>
      </c>
      <c r="AB153">
        <f t="shared" si="55"/>
        <v>1.0000235668946658</v>
      </c>
      <c r="AC153" s="1">
        <f t="shared" si="49"/>
        <v>7.4493433161470389E-3</v>
      </c>
    </row>
    <row r="154" spans="9:29" x14ac:dyDescent="0.2">
      <c r="I154">
        <f t="shared" si="56"/>
        <v>1.475000000000001</v>
      </c>
      <c r="J154">
        <f t="shared" si="38"/>
        <v>9.7488986622142185E-2</v>
      </c>
      <c r="K154">
        <f t="shared" si="50"/>
        <v>4.7538466587162174E-2</v>
      </c>
      <c r="L154">
        <f t="shared" si="39"/>
        <v>1.784249386139233E+17</v>
      </c>
      <c r="M154">
        <f t="shared" si="40"/>
        <v>50.832424948349157</v>
      </c>
      <c r="N154">
        <f t="shared" si="41"/>
        <v>0</v>
      </c>
      <c r="O154">
        <f t="shared" si="42"/>
        <v>0</v>
      </c>
      <c r="P154">
        <f t="shared" si="43"/>
        <v>0</v>
      </c>
      <c r="R154">
        <f t="shared" si="44"/>
        <v>1.475000000000001</v>
      </c>
      <c r="S154">
        <f t="shared" si="45"/>
        <v>9.7489608824089594E-2</v>
      </c>
      <c r="T154">
        <f t="shared" si="51"/>
        <v>4.753239382477633E-2</v>
      </c>
      <c r="U154" s="1">
        <f t="shared" si="46"/>
        <v>394.19041355754536</v>
      </c>
      <c r="V154">
        <f t="shared" si="47"/>
        <v>1.8302061063110748E+18</v>
      </c>
      <c r="W154">
        <f t="shared" si="52"/>
        <v>1784260773717268.2</v>
      </c>
      <c r="Y154">
        <f t="shared" si="53"/>
        <v>1.475000000000001</v>
      </c>
      <c r="Z154">
        <f t="shared" si="48"/>
        <v>0</v>
      </c>
      <c r="AA154">
        <f t="shared" si="54"/>
        <v>0</v>
      </c>
      <c r="AB154">
        <f t="shared" si="55"/>
        <v>1.0000235668946658</v>
      </c>
      <c r="AC154" s="1">
        <f t="shared" si="49"/>
        <v>7.4493433161470389E-3</v>
      </c>
    </row>
    <row r="155" spans="9:29" x14ac:dyDescent="0.2">
      <c r="I155">
        <f t="shared" si="56"/>
        <v>1.485000000000001</v>
      </c>
      <c r="J155">
        <f t="shared" si="38"/>
        <v>9.5489486084030864E-2</v>
      </c>
      <c r="K155">
        <f t="shared" si="50"/>
        <v>4.6563576720940754E-2</v>
      </c>
      <c r="L155">
        <f t="shared" si="39"/>
        <v>1.809070767600249E+17</v>
      </c>
      <c r="M155">
        <f t="shared" si="40"/>
        <v>49.789984593931223</v>
      </c>
      <c r="N155">
        <f t="shared" si="41"/>
        <v>0</v>
      </c>
      <c r="O155">
        <f t="shared" si="42"/>
        <v>0</v>
      </c>
      <c r="P155">
        <f t="shared" si="43"/>
        <v>0</v>
      </c>
      <c r="R155">
        <f t="shared" si="44"/>
        <v>1.485000000000001</v>
      </c>
      <c r="S155">
        <f t="shared" si="45"/>
        <v>9.5490095524607257E-2</v>
      </c>
      <c r="T155">
        <f t="shared" si="51"/>
        <v>4.6557497736535433E-2</v>
      </c>
      <c r="U155" s="1">
        <f t="shared" si="46"/>
        <v>386.10551268728875</v>
      </c>
      <c r="V155">
        <f t="shared" si="47"/>
        <v>1.8945235143566113E+18</v>
      </c>
      <c r="W155">
        <f t="shared" si="52"/>
        <v>1809082313595274.5</v>
      </c>
      <c r="Y155">
        <f t="shared" si="53"/>
        <v>1.485000000000001</v>
      </c>
      <c r="Z155">
        <f t="shared" si="48"/>
        <v>0</v>
      </c>
      <c r="AA155">
        <f t="shared" si="54"/>
        <v>0</v>
      </c>
      <c r="AB155">
        <f t="shared" si="55"/>
        <v>1.0000235668946658</v>
      </c>
      <c r="AC155" s="1">
        <f t="shared" si="49"/>
        <v>7.4493433161470389E-3</v>
      </c>
    </row>
    <row r="156" spans="9:29" x14ac:dyDescent="0.2">
      <c r="I156">
        <f t="shared" si="56"/>
        <v>1.495000000000001</v>
      </c>
      <c r="J156">
        <f t="shared" si="38"/>
        <v>9.3530995331131558E-2</v>
      </c>
      <c r="K156">
        <f t="shared" si="50"/>
        <v>4.5608681860100447E-2</v>
      </c>
      <c r="L156">
        <f t="shared" si="39"/>
        <v>1.8342374488732867E+17</v>
      </c>
      <c r="M156">
        <f t="shared" si="40"/>
        <v>48.768924706392966</v>
      </c>
      <c r="N156">
        <f t="shared" si="41"/>
        <v>0</v>
      </c>
      <c r="O156">
        <f t="shared" si="42"/>
        <v>0</v>
      </c>
      <c r="P156">
        <f t="shared" si="43"/>
        <v>0</v>
      </c>
      <c r="R156">
        <f t="shared" si="44"/>
        <v>1.495000000000001</v>
      </c>
      <c r="S156">
        <f t="shared" si="45"/>
        <v>9.3531592272072847E-2</v>
      </c>
      <c r="T156">
        <f t="shared" si="51"/>
        <v>4.5602596781289362E-2</v>
      </c>
      <c r="U156" s="1">
        <f t="shared" si="46"/>
        <v>378.18643325185042</v>
      </c>
      <c r="V156">
        <f t="shared" si="47"/>
        <v>1.9611011754760673E+18</v>
      </c>
      <c r="W156">
        <f t="shared" si="52"/>
        <v>1834249155489103</v>
      </c>
      <c r="Y156">
        <f t="shared" si="53"/>
        <v>1.495000000000001</v>
      </c>
      <c r="Z156">
        <f t="shared" si="48"/>
        <v>0</v>
      </c>
      <c r="AA156">
        <f t="shared" si="54"/>
        <v>0</v>
      </c>
      <c r="AB156">
        <f t="shared" si="55"/>
        <v>1.0000235668946658</v>
      </c>
      <c r="AC156" s="1">
        <f t="shared" si="49"/>
        <v>7.4493433161470389E-3</v>
      </c>
    </row>
    <row r="157" spans="9:29" x14ac:dyDescent="0.2">
      <c r="I157">
        <f t="shared" si="56"/>
        <v>1.505000000000001</v>
      </c>
      <c r="J157">
        <f t="shared" si="38"/>
        <v>9.1612673252151125E-2</v>
      </c>
      <c r="K157">
        <f t="shared" si="50"/>
        <v>4.4673371906789133E-2</v>
      </c>
      <c r="L157">
        <f t="shared" si="39"/>
        <v>1.8597542335572118E+17</v>
      </c>
      <c r="M157">
        <f t="shared" si="40"/>
        <v>47.768806772046702</v>
      </c>
      <c r="N157">
        <f t="shared" si="41"/>
        <v>0</v>
      </c>
      <c r="O157">
        <f t="shared" si="42"/>
        <v>0</v>
      </c>
      <c r="P157">
        <f t="shared" si="43"/>
        <v>0</v>
      </c>
      <c r="R157">
        <f t="shared" si="44"/>
        <v>1.505000000000001</v>
      </c>
      <c r="S157">
        <f t="shared" si="45"/>
        <v>9.1613257949824986E-2</v>
      </c>
      <c r="T157">
        <f t="shared" si="51"/>
        <v>4.4667280858568637E-2</v>
      </c>
      <c r="U157" s="1">
        <f t="shared" si="46"/>
        <v>370.42977425118255</v>
      </c>
      <c r="V157">
        <f t="shared" si="47"/>
        <v>2.0300185198596895E+18</v>
      </c>
      <c r="W157">
        <f t="shared" si="52"/>
        <v>1859766103028276.5</v>
      </c>
      <c r="Y157">
        <f t="shared" si="53"/>
        <v>1.505000000000001</v>
      </c>
      <c r="Z157">
        <f t="shared" si="48"/>
        <v>0</v>
      </c>
      <c r="AA157">
        <f t="shared" si="54"/>
        <v>0</v>
      </c>
      <c r="AB157">
        <f t="shared" si="55"/>
        <v>1.0000235668946658</v>
      </c>
      <c r="AC157" s="1">
        <f t="shared" si="49"/>
        <v>7.4493433161470389E-3</v>
      </c>
    </row>
    <row r="158" spans="9:29" x14ac:dyDescent="0.2">
      <c r="I158">
        <f t="shared" si="56"/>
        <v>1.515000000000001</v>
      </c>
      <c r="J158">
        <f t="shared" si="38"/>
        <v>8.9733695987001413E-2</v>
      </c>
      <c r="K158">
        <f t="shared" si="50"/>
        <v>4.3757245174267621E-2</v>
      </c>
      <c r="L158">
        <f t="shared" si="39"/>
        <v>1.8856259920756621E+17</v>
      </c>
      <c r="M158">
        <f t="shared" si="40"/>
        <v>46.789201271126906</v>
      </c>
      <c r="N158">
        <f t="shared" si="41"/>
        <v>0</v>
      </c>
      <c r="O158">
        <f t="shared" si="42"/>
        <v>0</v>
      </c>
      <c r="P158">
        <f t="shared" si="43"/>
        <v>0</v>
      </c>
      <c r="R158">
        <f t="shared" si="44"/>
        <v>1.515000000000001</v>
      </c>
      <c r="S158">
        <f t="shared" si="45"/>
        <v>8.9734268692517466E-2</v>
      </c>
      <c r="T158">
        <f t="shared" si="51"/>
        <v>4.3751148279070388E-2</v>
      </c>
      <c r="U158" s="1">
        <f t="shared" si="46"/>
        <v>362.83220443979815</v>
      </c>
      <c r="V158">
        <f t="shared" si="47"/>
        <v>2.1013577690467681E+18</v>
      </c>
      <c r="W158">
        <f t="shared" si="52"/>
        <v>1885638026667517.5</v>
      </c>
      <c r="Y158">
        <f t="shared" si="53"/>
        <v>1.515000000000001</v>
      </c>
      <c r="Z158">
        <f t="shared" si="48"/>
        <v>0</v>
      </c>
      <c r="AA158">
        <f t="shared" si="54"/>
        <v>0</v>
      </c>
      <c r="AB158">
        <f t="shared" si="55"/>
        <v>1.0000235668946658</v>
      </c>
      <c r="AC158" s="1">
        <f t="shared" si="49"/>
        <v>7.4493433161470389E-3</v>
      </c>
    </row>
    <row r="159" spans="9:29" x14ac:dyDescent="0.2">
      <c r="I159">
        <f t="shared" si="56"/>
        <v>1.525000000000001</v>
      </c>
      <c r="J159">
        <f t="shared" si="38"/>
        <v>8.7893256572976641E-2</v>
      </c>
      <c r="K159">
        <f t="shared" si="50"/>
        <v>4.2859908214397606E-2</v>
      </c>
      <c r="L159">
        <f t="shared" si="39"/>
        <v>1.9118576626065354E+17</v>
      </c>
      <c r="M159">
        <f t="shared" si="40"/>
        <v>45.829687493324684</v>
      </c>
      <c r="N159">
        <f t="shared" si="41"/>
        <v>0</v>
      </c>
      <c r="O159">
        <f t="shared" si="42"/>
        <v>0</v>
      </c>
      <c r="P159">
        <f t="shared" si="43"/>
        <v>0</v>
      </c>
      <c r="R159">
        <f t="shared" si="44"/>
        <v>1.525000000000001</v>
      </c>
      <c r="S159">
        <f t="shared" si="45"/>
        <v>8.7893817532294208E-2</v>
      </c>
      <c r="T159">
        <f t="shared" si="51"/>
        <v>4.2853805592145217E-2</v>
      </c>
      <c r="U159" s="1">
        <f t="shared" si="46"/>
        <v>355.39046089610366</v>
      </c>
      <c r="V159">
        <f t="shared" si="47"/>
        <v>2.1752040340195436E+18</v>
      </c>
      <c r="W159">
        <f t="shared" si="52"/>
        <v>1911869864616240.2</v>
      </c>
      <c r="Y159">
        <f t="shared" si="53"/>
        <v>1.525000000000001</v>
      </c>
      <c r="Z159">
        <f t="shared" si="48"/>
        <v>0</v>
      </c>
      <c r="AA159">
        <f t="shared" si="54"/>
        <v>0</v>
      </c>
      <c r="AB159">
        <f t="shared" si="55"/>
        <v>1.0000235668946658</v>
      </c>
      <c r="AC159" s="1">
        <f t="shared" si="49"/>
        <v>7.4493433161470389E-3</v>
      </c>
    </row>
    <row r="160" spans="9:29" x14ac:dyDescent="0.2">
      <c r="I160">
        <f t="shared" si="56"/>
        <v>1.535000000000001</v>
      </c>
      <c r="J160">
        <f t="shared" si="38"/>
        <v>8.6090564598187896E-2</v>
      </c>
      <c r="K160">
        <f t="shared" si="50"/>
        <v>4.1980975648667838E-2</v>
      </c>
      <c r="L160">
        <f t="shared" si="39"/>
        <v>1.9384542520246806E+17</v>
      </c>
      <c r="M160">
        <f t="shared" si="40"/>
        <v>44.889853357105757</v>
      </c>
      <c r="N160">
        <f t="shared" si="41"/>
        <v>0</v>
      </c>
      <c r="O160">
        <f t="shared" si="42"/>
        <v>0</v>
      </c>
      <c r="P160">
        <f t="shared" si="43"/>
        <v>0</v>
      </c>
      <c r="R160">
        <f t="shared" si="44"/>
        <v>1.535000000000001</v>
      </c>
      <c r="S160">
        <f t="shared" si="45"/>
        <v>8.6091114052221668E-2</v>
      </c>
      <c r="T160">
        <f t="shared" si="51"/>
        <v>4.1974867416822277E-2</v>
      </c>
      <c r="U160" s="1">
        <f t="shared" si="46"/>
        <v>348.10134762107509</v>
      </c>
      <c r="V160">
        <f t="shared" si="47"/>
        <v>2.251645416744639E+18</v>
      </c>
      <c r="W160">
        <f t="shared" si="52"/>
        <v>1938466623781249</v>
      </c>
      <c r="Y160">
        <f t="shared" si="53"/>
        <v>1.535000000000001</v>
      </c>
      <c r="Z160">
        <f t="shared" si="48"/>
        <v>0</v>
      </c>
      <c r="AA160">
        <f t="shared" si="54"/>
        <v>0</v>
      </c>
      <c r="AB160">
        <f t="shared" si="55"/>
        <v>1.0000235668946658</v>
      </c>
      <c r="AC160" s="1">
        <f t="shared" si="49"/>
        <v>7.4493433161470389E-3</v>
      </c>
    </row>
    <row r="161" spans="9:29" x14ac:dyDescent="0.2">
      <c r="I161">
        <f t="shared" si="56"/>
        <v>1.545000000000001</v>
      </c>
      <c r="J161">
        <f t="shared" si="38"/>
        <v>8.4324845862105716E-2</v>
      </c>
      <c r="K161">
        <f t="shared" si="50"/>
        <v>4.1120070002685957E-2</v>
      </c>
      <c r="L161">
        <f t="shared" si="39"/>
        <v>1.9654208368575021E+17</v>
      </c>
      <c r="M161">
        <f t="shared" si="40"/>
        <v>43.969295232734062</v>
      </c>
      <c r="N161">
        <f t="shared" si="41"/>
        <v>0</v>
      </c>
      <c r="O161">
        <f t="shared" si="42"/>
        <v>0</v>
      </c>
      <c r="P161">
        <f t="shared" si="43"/>
        <v>0</v>
      </c>
      <c r="R161">
        <f t="shared" si="44"/>
        <v>1.545000000000001</v>
      </c>
      <c r="S161">
        <f t="shared" si="45"/>
        <v>8.4325384046829238E-2</v>
      </c>
      <c r="T161">
        <f t="shared" si="51"/>
        <v>4.1113956276300059E-2</v>
      </c>
      <c r="U161" s="1">
        <f t="shared" si="46"/>
        <v>340.96173416567501</v>
      </c>
      <c r="V161">
        <f t="shared" si="47"/>
        <v>2.3307731152826593E+18</v>
      </c>
      <c r="W161">
        <f t="shared" si="52"/>
        <v>1965433380722348.5</v>
      </c>
      <c r="Y161">
        <f t="shared" si="53"/>
        <v>1.545000000000001</v>
      </c>
      <c r="Z161">
        <f t="shared" si="48"/>
        <v>0</v>
      </c>
      <c r="AA161">
        <f t="shared" si="54"/>
        <v>0</v>
      </c>
      <c r="AB161">
        <f t="shared" si="55"/>
        <v>1.0000235668946658</v>
      </c>
      <c r="AC161" s="1">
        <f t="shared" si="49"/>
        <v>7.4493433161470389E-3</v>
      </c>
    </row>
    <row r="162" spans="9:29" x14ac:dyDescent="0.2">
      <c r="I162">
        <f t="shared" si="56"/>
        <v>1.555000000000001</v>
      </c>
      <c r="J162">
        <f t="shared" si="38"/>
        <v>8.2595342043064679E-2</v>
      </c>
      <c r="K162">
        <f t="shared" si="50"/>
        <v>4.0276821544064902E-2</v>
      </c>
      <c r="L162">
        <f t="shared" si="39"/>
        <v>1.9927625642539187E+17</v>
      </c>
      <c r="M162">
        <f t="shared" si="40"/>
        <v>43.067617768925388</v>
      </c>
      <c r="N162">
        <f t="shared" si="41"/>
        <v>0</v>
      </c>
      <c r="O162">
        <f t="shared" si="42"/>
        <v>0</v>
      </c>
      <c r="P162">
        <f t="shared" si="43"/>
        <v>0</v>
      </c>
      <c r="R162">
        <f t="shared" si="44"/>
        <v>1.555000000000001</v>
      </c>
      <c r="S162">
        <f t="shared" si="45"/>
        <v>8.2595869189611676E-2</v>
      </c>
      <c r="T162">
        <f t="shared" si="51"/>
        <v>4.0270702435831765E-2</v>
      </c>
      <c r="U162" s="1">
        <f t="shared" si="46"/>
        <v>333.96855428642129</v>
      </c>
      <c r="V162">
        <f t="shared" si="47"/>
        <v>2.4126815325916385E+18</v>
      </c>
      <c r="W162">
        <f t="shared" si="52"/>
        <v>1992775282621308</v>
      </c>
      <c r="Y162">
        <f t="shared" si="53"/>
        <v>1.555000000000001</v>
      </c>
      <c r="Z162">
        <f t="shared" si="48"/>
        <v>0</v>
      </c>
      <c r="AA162">
        <f t="shared" si="54"/>
        <v>0</v>
      </c>
      <c r="AB162">
        <f t="shared" si="55"/>
        <v>1.0000235668946658</v>
      </c>
      <c r="AC162" s="1">
        <f t="shared" si="49"/>
        <v>7.4493433161470389E-3</v>
      </c>
    </row>
    <row r="163" spans="9:29" x14ac:dyDescent="0.2">
      <c r="I163">
        <f t="shared" si="56"/>
        <v>1.5650000000000011</v>
      </c>
      <c r="J163">
        <f t="shared" si="38"/>
        <v>8.0901310372587923E-2</v>
      </c>
      <c r="K163">
        <f t="shared" si="50"/>
        <v>3.9450868123634256E-2</v>
      </c>
      <c r="L163">
        <f t="shared" si="39"/>
        <v>2.0204846529668835E+17</v>
      </c>
      <c r="M163">
        <f t="shared" si="40"/>
        <v>42.184433723056081</v>
      </c>
      <c r="N163">
        <f t="shared" si="41"/>
        <v>0</v>
      </c>
      <c r="O163">
        <f t="shared" si="42"/>
        <v>0</v>
      </c>
      <c r="P163">
        <f t="shared" si="43"/>
        <v>0</v>
      </c>
      <c r="R163">
        <f t="shared" si="44"/>
        <v>1.5650000000000011</v>
      </c>
      <c r="S163">
        <f t="shared" si="45"/>
        <v>8.0901826707351535E-2</v>
      </c>
      <c r="T163">
        <f t="shared" si="51"/>
        <v>3.9444743743935647E-2</v>
      </c>
      <c r="U163" s="1">
        <f t="shared" si="46"/>
        <v>327.11880462853082</v>
      </c>
      <c r="V163">
        <f t="shared" si="47"/>
        <v>2.4974683891541658E+18</v>
      </c>
      <c r="W163">
        <f t="shared" si="52"/>
        <v>2020497548264387</v>
      </c>
      <c r="Y163">
        <f t="shared" si="53"/>
        <v>1.5650000000000011</v>
      </c>
      <c r="Z163">
        <f t="shared" si="48"/>
        <v>0</v>
      </c>
      <c r="AA163">
        <f t="shared" si="54"/>
        <v>0</v>
      </c>
      <c r="AB163">
        <f t="shared" si="55"/>
        <v>1.0000235668946658</v>
      </c>
      <c r="AC163" s="1">
        <f t="shared" si="49"/>
        <v>7.4493433161470389E-3</v>
      </c>
    </row>
    <row r="164" spans="9:29" x14ac:dyDescent="0.2">
      <c r="I164">
        <f t="shared" ref="I164:I227" si="57">I163+0.01</f>
        <v>1.5750000000000011</v>
      </c>
      <c r="J164">
        <f t="shared" si="38"/>
        <v>7.9242023316390797E-2</v>
      </c>
      <c r="K164">
        <f t="shared" si="50"/>
        <v>3.8641855019908376E-2</v>
      </c>
      <c r="L164">
        <f t="shared" si="39"/>
        <v>2.0485923943493472E+17</v>
      </c>
      <c r="M164">
        <f t="shared" si="40"/>
        <v>41.31936379485434</v>
      </c>
      <c r="N164">
        <f t="shared" si="41"/>
        <v>0</v>
      </c>
      <c r="O164">
        <f t="shared" si="42"/>
        <v>0</v>
      </c>
      <c r="P164">
        <f t="shared" si="43"/>
        <v>0</v>
      </c>
      <c r="R164">
        <f t="shared" si="44"/>
        <v>1.5750000000000011</v>
      </c>
      <c r="S164">
        <f t="shared" si="45"/>
        <v>7.9242529061120864E-2</v>
      </c>
      <c r="T164">
        <f t="shared" si="51"/>
        <v>3.8635725476862129E-2</v>
      </c>
      <c r="U164" s="1">
        <f t="shared" si="46"/>
        <v>320.40954343607035</v>
      </c>
      <c r="V164">
        <f t="shared" si="47"/>
        <v>2.5852348395622134E+18</v>
      </c>
      <c r="W164">
        <f t="shared" si="52"/>
        <v>2048605469038308.2</v>
      </c>
      <c r="Y164">
        <f t="shared" si="53"/>
        <v>1.5750000000000011</v>
      </c>
      <c r="Z164">
        <f t="shared" si="48"/>
        <v>0</v>
      </c>
      <c r="AA164">
        <f t="shared" si="54"/>
        <v>0</v>
      </c>
      <c r="AB164">
        <f t="shared" si="55"/>
        <v>1.0000235668946658</v>
      </c>
      <c r="AC164" s="1">
        <f t="shared" si="49"/>
        <v>7.4493433161470389E-3</v>
      </c>
    </row>
    <row r="165" spans="9:29" x14ac:dyDescent="0.2">
      <c r="I165">
        <f t="shared" si="57"/>
        <v>1.5850000000000011</v>
      </c>
      <c r="J165">
        <f t="shared" si="38"/>
        <v>7.7616768261927385E-2</v>
      </c>
      <c r="K165">
        <f t="shared" si="50"/>
        <v>3.7849434786744469E-2</v>
      </c>
      <c r="L165">
        <f t="shared" si="39"/>
        <v>2.0770911533643683E+17</v>
      </c>
      <c r="M165">
        <f t="shared" si="40"/>
        <v>40.472036463502526</v>
      </c>
      <c r="N165">
        <f t="shared" si="41"/>
        <v>0</v>
      </c>
      <c r="O165">
        <f t="shared" si="42"/>
        <v>0</v>
      </c>
      <c r="P165">
        <f t="shared" si="43"/>
        <v>0</v>
      </c>
      <c r="R165">
        <f t="shared" si="44"/>
        <v>1.5850000000000011</v>
      </c>
      <c r="S165">
        <f t="shared" si="45"/>
        <v>7.7617263633825664E-2</v>
      </c>
      <c r="T165">
        <f t="shared" si="51"/>
        <v>3.7843300186250921E-2</v>
      </c>
      <c r="U165" s="1">
        <f t="shared" si="46"/>
        <v>313.8378892885641</v>
      </c>
      <c r="V165">
        <f t="shared" si="47"/>
        <v>2.6760855931993554E+18</v>
      </c>
      <c r="W165">
        <f t="shared" si="52"/>
        <v>2077104409940371.2</v>
      </c>
      <c r="Y165">
        <f t="shared" si="53"/>
        <v>1.5850000000000011</v>
      </c>
      <c r="Z165">
        <f t="shared" si="48"/>
        <v>0</v>
      </c>
      <c r="AA165">
        <f t="shared" si="54"/>
        <v>0</v>
      </c>
      <c r="AB165">
        <f t="shared" si="55"/>
        <v>1.0000235668946658</v>
      </c>
      <c r="AC165" s="1">
        <f t="shared" si="49"/>
        <v>7.4493433161470389E-3</v>
      </c>
    </row>
    <row r="166" spans="9:29" x14ac:dyDescent="0.2">
      <c r="I166">
        <f t="shared" si="57"/>
        <v>1.5950000000000011</v>
      </c>
      <c r="J166">
        <f t="shared" si="38"/>
        <v>7.6024847212345606E-2</v>
      </c>
      <c r="K166">
        <f t="shared" si="50"/>
        <v>3.7073267104125195E-2</v>
      </c>
      <c r="L166">
        <f t="shared" si="39"/>
        <v>2.1059863696090637E+17</v>
      </c>
      <c r="M166">
        <f t="shared" si="40"/>
        <v>39.642087828080342</v>
      </c>
      <c r="N166">
        <f t="shared" si="41"/>
        <v>0</v>
      </c>
      <c r="O166">
        <f t="shared" si="42"/>
        <v>0</v>
      </c>
      <c r="P166">
        <f t="shared" si="43"/>
        <v>0</v>
      </c>
      <c r="R166">
        <f t="shared" si="44"/>
        <v>1.5950000000000011</v>
      </c>
      <c r="S166">
        <f t="shared" si="45"/>
        <v>7.6025332424159028E-2</v>
      </c>
      <c r="T166">
        <f t="shared" si="51"/>
        <v>3.7067127549912662E-2</v>
      </c>
      <c r="U166" s="1">
        <f t="shared" si="46"/>
        <v>307.40101986351226</v>
      </c>
      <c r="V166">
        <f t="shared" si="47"/>
        <v>2.7701290391637571E+18</v>
      </c>
      <c r="W166">
        <f t="shared" si="52"/>
        <v>2105999810602408.8</v>
      </c>
      <c r="Y166">
        <f t="shared" si="53"/>
        <v>1.5950000000000011</v>
      </c>
      <c r="Z166">
        <f t="shared" si="48"/>
        <v>0</v>
      </c>
      <c r="AA166">
        <f t="shared" si="54"/>
        <v>0</v>
      </c>
      <c r="AB166">
        <f t="shared" si="55"/>
        <v>1.0000235668946658</v>
      </c>
      <c r="AC166" s="1">
        <f t="shared" si="49"/>
        <v>7.4493433161470389E-3</v>
      </c>
    </row>
    <row r="167" spans="9:29" x14ac:dyDescent="0.2">
      <c r="I167">
        <f t="shared" si="57"/>
        <v>1.6050000000000011</v>
      </c>
      <c r="J167">
        <f t="shared" si="38"/>
        <v>7.4465576486718948E-2</v>
      </c>
      <c r="K167">
        <f t="shared" si="50"/>
        <v>3.6313018632001738E-2</v>
      </c>
      <c r="L167">
        <f t="shared" si="39"/>
        <v>2.1352835583528842E+17</v>
      </c>
      <c r="M167">
        <f t="shared" si="40"/>
        <v>38.829161451280697</v>
      </c>
      <c r="N167">
        <f t="shared" si="41"/>
        <v>0</v>
      </c>
      <c r="O167">
        <f t="shared" si="42"/>
        <v>0</v>
      </c>
      <c r="P167">
        <f t="shared" si="43"/>
        <v>0</v>
      </c>
      <c r="R167">
        <f t="shared" si="44"/>
        <v>1.6050000000000011</v>
      </c>
      <c r="S167">
        <f t="shared" si="45"/>
        <v>7.4466051746830991E-2</v>
      </c>
      <c r="T167">
        <f t="shared" si="51"/>
        <v>3.6306874225671075E-2</v>
      </c>
      <c r="U167" s="1">
        <f t="shared" si="46"/>
        <v>301.09617072429052</v>
      </c>
      <c r="V167">
        <f t="shared" si="47"/>
        <v>2.8674773755813402E+18</v>
      </c>
      <c r="W167">
        <f t="shared" si="52"/>
        <v>2135297186329072</v>
      </c>
      <c r="Y167">
        <f t="shared" si="53"/>
        <v>1.6050000000000011</v>
      </c>
      <c r="Z167">
        <f t="shared" si="48"/>
        <v>0</v>
      </c>
      <c r="AA167">
        <f t="shared" si="54"/>
        <v>0</v>
      </c>
      <c r="AB167">
        <f t="shared" si="55"/>
        <v>1.0000235668946658</v>
      </c>
      <c r="AC167" s="1">
        <f t="shared" si="49"/>
        <v>7.4493433161470389E-3</v>
      </c>
    </row>
    <row r="168" spans="9:29" x14ac:dyDescent="0.2">
      <c r="I168">
        <f t="shared" si="57"/>
        <v>1.6150000000000011</v>
      </c>
      <c r="J168">
        <f t="shared" si="38"/>
        <v>7.2938286426426691E-2</v>
      </c>
      <c r="K168">
        <f t="shared" si="50"/>
        <v>3.5568362867134551E-2</v>
      </c>
      <c r="L168">
        <f t="shared" si="39"/>
        <v>2.1649883115903357E+17</v>
      </c>
      <c r="M168">
        <f t="shared" si="40"/>
        <v>38.032908206330873</v>
      </c>
      <c r="N168">
        <f t="shared" si="41"/>
        <v>0</v>
      </c>
      <c r="O168">
        <f t="shared" si="42"/>
        <v>0</v>
      </c>
      <c r="P168">
        <f t="shared" si="43"/>
        <v>0</v>
      </c>
      <c r="R168">
        <f t="shared" si="44"/>
        <v>1.6150000000000011</v>
      </c>
      <c r="S168">
        <f t="shared" si="45"/>
        <v>7.2938751938946916E-2</v>
      </c>
      <c r="T168">
        <f t="shared" si="51"/>
        <v>3.5562213708202763E-2</v>
      </c>
      <c r="U168" s="1">
        <f t="shared" si="46"/>
        <v>294.9206341329101</v>
      </c>
      <c r="V168">
        <f t="shared" si="47"/>
        <v>2.9682467434632878E+18</v>
      </c>
      <c r="W168">
        <f t="shared" si="52"/>
        <v>2165002129150557.5</v>
      </c>
      <c r="Y168">
        <f t="shared" si="53"/>
        <v>1.6150000000000011</v>
      </c>
      <c r="Z168">
        <f t="shared" si="48"/>
        <v>0</v>
      </c>
      <c r="AA168">
        <f t="shared" si="54"/>
        <v>0</v>
      </c>
      <c r="AB168">
        <f t="shared" si="55"/>
        <v>1.0000235668946658</v>
      </c>
      <c r="AC168" s="1">
        <f t="shared" si="49"/>
        <v>7.4493433161470389E-3</v>
      </c>
    </row>
    <row r="169" spans="9:29" x14ac:dyDescent="0.2">
      <c r="I169">
        <f t="shared" si="57"/>
        <v>1.6250000000000011</v>
      </c>
      <c r="J169">
        <f t="shared" si="38"/>
        <v>7.1442321107556175E-2</v>
      </c>
      <c r="K169">
        <f t="shared" si="50"/>
        <v>3.4838980002870286E-2</v>
      </c>
      <c r="L169">
        <f t="shared" si="39"/>
        <v>2.1951062991082704E+17</v>
      </c>
      <c r="M169">
        <f t="shared" si="40"/>
        <v>37.252986127053333</v>
      </c>
      <c r="N169">
        <f t="shared" si="41"/>
        <v>0</v>
      </c>
      <c r="O169">
        <f t="shared" si="42"/>
        <v>0</v>
      </c>
      <c r="P169">
        <f t="shared" si="43"/>
        <v>0</v>
      </c>
      <c r="R169">
        <f t="shared" si="44"/>
        <v>1.6250000000000011</v>
      </c>
      <c r="S169">
        <f t="shared" si="45"/>
        <v>7.1442777072407815E-2</v>
      </c>
      <c r="T169">
        <f t="shared" si="51"/>
        <v>3.4832826188813296E-2</v>
      </c>
      <c r="U169" s="1">
        <f t="shared" si="46"/>
        <v>288.87175788712807</v>
      </c>
      <c r="V169">
        <f t="shared" si="47"/>
        <v>3.0725573652674934E+18</v>
      </c>
      <c r="W169">
        <f t="shared" si="52"/>
        <v>2195120308889902.5</v>
      </c>
      <c r="Y169">
        <f t="shared" si="53"/>
        <v>1.6250000000000011</v>
      </c>
      <c r="Z169">
        <f t="shared" si="48"/>
        <v>0</v>
      </c>
      <c r="AA169">
        <f t="shared" si="54"/>
        <v>0</v>
      </c>
      <c r="AB169">
        <f t="shared" si="55"/>
        <v>1.0000235668946658</v>
      </c>
      <c r="AC169" s="1">
        <f t="shared" si="49"/>
        <v>7.4493433161470389E-3</v>
      </c>
    </row>
    <row r="170" spans="9:29" x14ac:dyDescent="0.2">
      <c r="I170">
        <f t="shared" si="57"/>
        <v>1.6350000000000011</v>
      </c>
      <c r="J170">
        <f t="shared" si="38"/>
        <v>6.9977038059203758E-2</v>
      </c>
      <c r="K170">
        <f t="shared" si="50"/>
        <v>3.4124556791794727E-2</v>
      </c>
      <c r="L170">
        <f t="shared" si="39"/>
        <v>2.2256432695681635E+17</v>
      </c>
      <c r="M170">
        <f t="shared" si="40"/>
        <v>36.48906026100186</v>
      </c>
      <c r="N170">
        <f t="shared" si="41"/>
        <v>0</v>
      </c>
      <c r="O170">
        <f t="shared" si="42"/>
        <v>0</v>
      </c>
      <c r="P170">
        <f t="shared" si="43"/>
        <v>0</v>
      </c>
      <c r="R170">
        <f t="shared" si="44"/>
        <v>1.6350000000000011</v>
      </c>
      <c r="S170">
        <f t="shared" si="45"/>
        <v>6.9977484672209642E-2</v>
      </c>
      <c r="T170">
        <f t="shared" si="51"/>
        <v>3.4118398418089217E-2</v>
      </c>
      <c r="U170" s="1">
        <f t="shared" si="46"/>
        <v>282.94694418140801</v>
      </c>
      <c r="V170">
        <f t="shared" si="47"/>
        <v>3.1805336883295462E+18</v>
      </c>
      <c r="W170">
        <f t="shared" si="52"/>
        <v>2225657474245272.2</v>
      </c>
      <c r="Y170">
        <f t="shared" si="53"/>
        <v>1.6350000000000011</v>
      </c>
      <c r="Z170">
        <f t="shared" si="48"/>
        <v>0</v>
      </c>
      <c r="AA170">
        <f t="shared" si="54"/>
        <v>0</v>
      </c>
      <c r="AB170">
        <f t="shared" si="55"/>
        <v>1.0000235668946658</v>
      </c>
      <c r="AC170" s="1">
        <f t="shared" si="49"/>
        <v>7.4493433161470389E-3</v>
      </c>
    </row>
    <row r="171" spans="9:29" x14ac:dyDescent="0.2">
      <c r="I171">
        <f t="shared" si="57"/>
        <v>1.6450000000000011</v>
      </c>
      <c r="J171">
        <f t="shared" si="38"/>
        <v>6.8541807987553507E-2</v>
      </c>
      <c r="K171">
        <f t="shared" si="50"/>
        <v>3.3424786411202688E-2</v>
      </c>
      <c r="L171">
        <f t="shared" si="39"/>
        <v>2.2566050516033722E+17</v>
      </c>
      <c r="M171">
        <f t="shared" si="40"/>
        <v>35.740802525609773</v>
      </c>
      <c r="N171">
        <f t="shared" si="41"/>
        <v>0</v>
      </c>
      <c r="O171">
        <f t="shared" si="42"/>
        <v>0</v>
      </c>
      <c r="P171">
        <f t="shared" si="43"/>
        <v>0</v>
      </c>
      <c r="R171">
        <f t="shared" si="44"/>
        <v>1.6450000000000011</v>
      </c>
      <c r="S171">
        <f t="shared" si="45"/>
        <v>6.8542245440520108E-2</v>
      </c>
      <c r="T171">
        <f t="shared" si="51"/>
        <v>3.3418623571367122E-2</v>
      </c>
      <c r="U171" s="1">
        <f t="shared" si="46"/>
        <v>277.14364849124297</v>
      </c>
      <c r="V171">
        <f t="shared" si="47"/>
        <v>3.2923045333340908E+18</v>
      </c>
      <c r="W171">
        <f t="shared" si="52"/>
        <v>2256619453887223</v>
      </c>
      <c r="Y171">
        <f t="shared" si="53"/>
        <v>1.6450000000000011</v>
      </c>
      <c r="Z171">
        <f t="shared" si="48"/>
        <v>0</v>
      </c>
      <c r="AA171">
        <f t="shared" si="54"/>
        <v>0</v>
      </c>
      <c r="AB171">
        <f t="shared" si="55"/>
        <v>1.0000235668946658</v>
      </c>
      <c r="AC171" s="1">
        <f t="shared" si="49"/>
        <v>7.4493433161470389E-3</v>
      </c>
    </row>
    <row r="172" spans="9:29" x14ac:dyDescent="0.2">
      <c r="I172">
        <f t="shared" si="57"/>
        <v>1.6550000000000011</v>
      </c>
      <c r="J172">
        <f t="shared" si="38"/>
        <v>6.71360145056146E-2</v>
      </c>
      <c r="K172">
        <f t="shared" si="50"/>
        <v>3.2739368331327151E-2</v>
      </c>
      <c r="L172">
        <f t="shared" si="39"/>
        <v>2.2879975549315648E+17</v>
      </c>
      <c r="M172">
        <f t="shared" si="40"/>
        <v>35.007891567288624</v>
      </c>
      <c r="N172">
        <f t="shared" si="41"/>
        <v>0</v>
      </c>
      <c r="O172">
        <f t="shared" si="42"/>
        <v>0</v>
      </c>
      <c r="P172">
        <f t="shared" si="43"/>
        <v>0</v>
      </c>
      <c r="R172">
        <f t="shared" si="44"/>
        <v>1.6550000000000011</v>
      </c>
      <c r="S172">
        <f t="shared" si="45"/>
        <v>6.7136442986414482E-2</v>
      </c>
      <c r="T172">
        <f t="shared" si="51"/>
        <v>3.2733201116961923E-2</v>
      </c>
      <c r="U172" s="1">
        <f t="shared" si="46"/>
        <v>271.45937848036084</v>
      </c>
      <c r="V172">
        <f t="shared" si="47"/>
        <v>3.4080032480036762E+18</v>
      </c>
      <c r="W172">
        <f t="shared" si="52"/>
        <v>2288012157571142</v>
      </c>
      <c r="Y172">
        <f t="shared" si="53"/>
        <v>1.6550000000000011</v>
      </c>
      <c r="Z172">
        <f t="shared" si="48"/>
        <v>0</v>
      </c>
      <c r="AA172">
        <f t="shared" si="54"/>
        <v>0</v>
      </c>
      <c r="AB172">
        <f t="shared" si="55"/>
        <v>1.0000235668946658</v>
      </c>
      <c r="AC172" s="1">
        <f t="shared" si="49"/>
        <v>7.4493433161470389E-3</v>
      </c>
    </row>
    <row r="173" spans="9:29" x14ac:dyDescent="0.2">
      <c r="I173">
        <f t="shared" si="57"/>
        <v>1.6650000000000011</v>
      </c>
      <c r="J173">
        <f t="shared" si="38"/>
        <v>6.5759053868502643E-2</v>
      </c>
      <c r="K173">
        <f t="shared" si="50"/>
        <v>3.2068008186271008E-2</v>
      </c>
      <c r="L173">
        <f t="shared" si="39"/>
        <v>2.3198267714827971E+17</v>
      </c>
      <c r="M173">
        <f t="shared" si="40"/>
        <v>34.290012623416771</v>
      </c>
      <c r="N173">
        <f t="shared" si="41"/>
        <v>0</v>
      </c>
      <c r="O173">
        <f t="shared" si="42"/>
        <v>0</v>
      </c>
      <c r="P173">
        <f t="shared" si="43"/>
        <v>0</v>
      </c>
      <c r="R173">
        <f t="shared" si="44"/>
        <v>1.6650000000000011</v>
      </c>
      <c r="S173">
        <f t="shared" si="45"/>
        <v>6.5759473561155066E-2</v>
      </c>
      <c r="T173">
        <f t="shared" si="51"/>
        <v>3.2061836687097778E-2</v>
      </c>
      <c r="U173" s="1">
        <f t="shared" si="46"/>
        <v>265.89169293034286</v>
      </c>
      <c r="V173">
        <f t="shared" si="47"/>
        <v>3.5277678661887662E+18</v>
      </c>
      <c r="W173">
        <f t="shared" si="52"/>
        <v>2319841577265326</v>
      </c>
      <c r="Y173">
        <f t="shared" si="53"/>
        <v>1.6650000000000011</v>
      </c>
      <c r="Z173">
        <f t="shared" si="48"/>
        <v>0</v>
      </c>
      <c r="AA173">
        <f t="shared" si="54"/>
        <v>0</v>
      </c>
      <c r="AB173">
        <f t="shared" si="55"/>
        <v>1.0000235668946658</v>
      </c>
      <c r="AC173" s="1">
        <f t="shared" si="49"/>
        <v>7.4493433161470389E-3</v>
      </c>
    </row>
    <row r="174" spans="9:29" x14ac:dyDescent="0.2">
      <c r="I174">
        <f t="shared" si="57"/>
        <v>1.6750000000000012</v>
      </c>
      <c r="J174">
        <f t="shared" si="38"/>
        <v>6.4410334714149489E-2</v>
      </c>
      <c r="K174">
        <f t="shared" si="50"/>
        <v>3.1410417647585981E-2</v>
      </c>
      <c r="L174">
        <f t="shared" si="39"/>
        <v>2.3520987765431859E+17</v>
      </c>
      <c r="M174">
        <f t="shared" si="40"/>
        <v>33.586857387158517</v>
      </c>
      <c r="N174">
        <f t="shared" si="41"/>
        <v>0</v>
      </c>
      <c r="O174">
        <f t="shared" si="42"/>
        <v>0</v>
      </c>
      <c r="P174">
        <f t="shared" si="43"/>
        <v>0</v>
      </c>
      <c r="R174">
        <f t="shared" si="44"/>
        <v>1.6750000000000012</v>
      </c>
      <c r="S174">
        <f t="shared" si="45"/>
        <v>6.441074579889948E-2</v>
      </c>
      <c r="T174">
        <f t="shared" si="51"/>
        <v>3.1404241951486229E-2</v>
      </c>
      <c r="U174" s="1">
        <f t="shared" si="46"/>
        <v>260.43820069219549</v>
      </c>
      <c r="V174">
        <f t="shared" si="47"/>
        <v>3.6517412725484303E+18</v>
      </c>
      <c r="W174">
        <f t="shared" si="52"/>
        <v>2352113788294666.5</v>
      </c>
      <c r="Y174">
        <f t="shared" si="53"/>
        <v>1.6750000000000012</v>
      </c>
      <c r="Z174">
        <f t="shared" si="48"/>
        <v>0</v>
      </c>
      <c r="AA174">
        <f t="shared" si="54"/>
        <v>0</v>
      </c>
      <c r="AB174">
        <f t="shared" si="55"/>
        <v>1.0000235668946658</v>
      </c>
      <c r="AC174" s="1">
        <f t="shared" si="49"/>
        <v>7.4493433161470389E-3</v>
      </c>
    </row>
    <row r="175" spans="9:29" x14ac:dyDescent="0.2">
      <c r="I175">
        <f t="shared" si="57"/>
        <v>1.6850000000000012</v>
      </c>
      <c r="J175">
        <f t="shared" si="38"/>
        <v>6.3089277809331684E-2</v>
      </c>
      <c r="K175">
        <f t="shared" si="50"/>
        <v>3.0766314300444488E-2</v>
      </c>
      <c r="L175">
        <f t="shared" si="39"/>
        <v>2.384819729914432E+17</v>
      </c>
      <c r="M175">
        <f t="shared" si="40"/>
        <v>32.898123875055873</v>
      </c>
      <c r="N175">
        <f t="shared" si="41"/>
        <v>0</v>
      </c>
      <c r="O175">
        <f t="shared" si="42"/>
        <v>0</v>
      </c>
      <c r="P175">
        <f t="shared" si="43"/>
        <v>0</v>
      </c>
      <c r="R175">
        <f t="shared" si="44"/>
        <v>1.6850000000000012</v>
      </c>
      <c r="S175">
        <f t="shared" si="45"/>
        <v>6.3089680462727463E-2</v>
      </c>
      <c r="T175">
        <f t="shared" si="51"/>
        <v>3.0760134493497234E-2</v>
      </c>
      <c r="U175" s="1">
        <f t="shared" si="46"/>
        <v>255.09655965942608</v>
      </c>
      <c r="V175">
        <f t="shared" si="47"/>
        <v>3.7800713730181386E+18</v>
      </c>
      <c r="W175">
        <f t="shared" si="52"/>
        <v>2384834950500178.5</v>
      </c>
      <c r="Y175">
        <f t="shared" si="53"/>
        <v>1.6850000000000012</v>
      </c>
      <c r="Z175">
        <f t="shared" si="48"/>
        <v>0</v>
      </c>
      <c r="AA175">
        <f t="shared" si="54"/>
        <v>0</v>
      </c>
      <c r="AB175">
        <f t="shared" si="55"/>
        <v>1.0000235668946658</v>
      </c>
      <c r="AC175" s="1">
        <f t="shared" si="49"/>
        <v>7.4493433161470389E-3</v>
      </c>
    </row>
    <row r="176" spans="9:29" x14ac:dyDescent="0.2">
      <c r="I176">
        <f t="shared" si="57"/>
        <v>1.6950000000000012</v>
      </c>
      <c r="J176">
        <f t="shared" si="38"/>
        <v>6.1795315800907628E-2</v>
      </c>
      <c r="K176">
        <f t="shared" si="50"/>
        <v>3.0135421522351172E-2</v>
      </c>
      <c r="L176">
        <f t="shared" si="39"/>
        <v>2.4179958770897146E+17</v>
      </c>
      <c r="M176">
        <f t="shared" si="40"/>
        <v>32.223516297335969</v>
      </c>
      <c r="N176">
        <f t="shared" si="41"/>
        <v>0</v>
      </c>
      <c r="O176">
        <f t="shared" si="42"/>
        <v>0</v>
      </c>
      <c r="P176">
        <f t="shared" si="43"/>
        <v>0</v>
      </c>
      <c r="R176">
        <f t="shared" si="44"/>
        <v>1.6950000000000012</v>
      </c>
      <c r="S176">
        <f t="shared" si="45"/>
        <v>6.1795710195876381E-2</v>
      </c>
      <c r="T176">
        <f t="shared" si="51"/>
        <v>3.0129237688869961E-2</v>
      </c>
      <c r="U176" s="1">
        <f t="shared" si="46"/>
        <v>249.86447576218026</v>
      </c>
      <c r="V176">
        <f t="shared" si="47"/>
        <v>3.9129112712685578E+18</v>
      </c>
      <c r="W176">
        <f t="shared" si="52"/>
        <v>2418011309414900</v>
      </c>
      <c r="Y176">
        <f t="shared" si="53"/>
        <v>1.6950000000000012</v>
      </c>
      <c r="Z176">
        <f t="shared" si="48"/>
        <v>0</v>
      </c>
      <c r="AA176">
        <f t="shared" si="54"/>
        <v>0</v>
      </c>
      <c r="AB176">
        <f t="shared" si="55"/>
        <v>1.0000235668946658</v>
      </c>
      <c r="AC176" s="1">
        <f t="shared" si="49"/>
        <v>7.4493433161470389E-3</v>
      </c>
    </row>
    <row r="177" spans="9:29" x14ac:dyDescent="0.2">
      <c r="I177">
        <f t="shared" si="57"/>
        <v>1.7050000000000012</v>
      </c>
      <c r="J177">
        <f t="shared" si="38"/>
        <v>6.052789297215698E-2</v>
      </c>
      <c r="K177">
        <f t="shared" si="50"/>
        <v>2.9517468364342096E-2</v>
      </c>
      <c r="L177">
        <f t="shared" si="39"/>
        <v>2.4516335504456109E+17</v>
      </c>
      <c r="M177">
        <f t="shared" si="40"/>
        <v>31.562744930878509</v>
      </c>
      <c r="N177">
        <f t="shared" si="41"/>
        <v>0</v>
      </c>
      <c r="O177">
        <f t="shared" si="42"/>
        <v>0</v>
      </c>
      <c r="P177">
        <f t="shared" si="43"/>
        <v>0</v>
      </c>
      <c r="R177">
        <f t="shared" si="44"/>
        <v>1.7050000000000012</v>
      </c>
      <c r="S177">
        <f t="shared" si="45"/>
        <v>6.0528279278079168E-2</v>
      </c>
      <c r="T177">
        <f t="shared" si="51"/>
        <v>2.9511280586911198E-2</v>
      </c>
      <c r="U177" s="1">
        <f t="shared" si="46"/>
        <v>244.73970198200982</v>
      </c>
      <c r="V177">
        <f t="shared" si="47"/>
        <v>4.0504194513649597E+18</v>
      </c>
      <c r="W177">
        <f t="shared" si="52"/>
        <v>2451649197455825</v>
      </c>
      <c r="Y177">
        <f t="shared" si="53"/>
        <v>1.7050000000000012</v>
      </c>
      <c r="Z177">
        <f t="shared" si="48"/>
        <v>0</v>
      </c>
      <c r="AA177">
        <f t="shared" si="54"/>
        <v>0</v>
      </c>
      <c r="AB177">
        <f t="shared" si="55"/>
        <v>1.0000235668946658</v>
      </c>
      <c r="AC177" s="1">
        <f t="shared" si="49"/>
        <v>7.4493433161470389E-3</v>
      </c>
    </row>
    <row r="178" spans="9:29" x14ac:dyDescent="0.2">
      <c r="I178">
        <f t="shared" si="57"/>
        <v>1.7150000000000012</v>
      </c>
      <c r="J178">
        <f t="shared" si="38"/>
        <v>5.9286465004117321E-2</v>
      </c>
      <c r="K178">
        <f t="shared" si="50"/>
        <v>2.8912189434620525E-2</v>
      </c>
      <c r="L178">
        <f t="shared" si="39"/>
        <v>2.4857391704508442E+17</v>
      </c>
      <c r="M178">
        <f t="shared" si="40"/>
        <v>30.915525994788595</v>
      </c>
      <c r="N178">
        <f t="shared" si="41"/>
        <v>0</v>
      </c>
      <c r="O178">
        <f t="shared" si="42"/>
        <v>0</v>
      </c>
      <c r="P178">
        <f t="shared" si="43"/>
        <v>0</v>
      </c>
      <c r="R178">
        <f t="shared" si="44"/>
        <v>1.7150000000000012</v>
      </c>
      <c r="S178">
        <f t="shared" si="45"/>
        <v>5.9286843386899407E-2</v>
      </c>
      <c r="T178">
        <f t="shared" si="51"/>
        <v>2.8905997794130407E-2</v>
      </c>
      <c r="U178" s="1">
        <f t="shared" si="46"/>
        <v>239.72003738684788</v>
      </c>
      <c r="V178">
        <f t="shared" si="47"/>
        <v>4.1927599668460831E+18</v>
      </c>
      <c r="W178">
        <f t="shared" si="52"/>
        <v>2485755035132653</v>
      </c>
      <c r="Y178">
        <f t="shared" si="53"/>
        <v>1.7150000000000012</v>
      </c>
      <c r="Z178">
        <f t="shared" si="48"/>
        <v>0</v>
      </c>
      <c r="AA178">
        <f t="shared" si="54"/>
        <v>0</v>
      </c>
      <c r="AB178">
        <f t="shared" si="55"/>
        <v>1.0000235668946658</v>
      </c>
      <c r="AC178" s="1">
        <f t="shared" si="49"/>
        <v>7.4493433161470389E-3</v>
      </c>
    </row>
    <row r="179" spans="9:29" x14ac:dyDescent="0.2">
      <c r="I179">
        <f t="shared" si="57"/>
        <v>1.7250000000000012</v>
      </c>
      <c r="J179">
        <f t="shared" si="38"/>
        <v>5.8070498741816204E-2</v>
      </c>
      <c r="K179">
        <f t="shared" si="50"/>
        <v>2.8319324784579353E-2</v>
      </c>
      <c r="L179">
        <f t="shared" si="39"/>
        <v>2.5203192468917763E+17</v>
      </c>
      <c r="M179">
        <f t="shared" si="40"/>
        <v>30.281581528521659</v>
      </c>
      <c r="N179">
        <f t="shared" si="41"/>
        <v>0</v>
      </c>
      <c r="O179">
        <f t="shared" si="42"/>
        <v>0</v>
      </c>
      <c r="P179">
        <f t="shared" si="43"/>
        <v>0</v>
      </c>
      <c r="R179">
        <f t="shared" si="44"/>
        <v>1.7250000000000012</v>
      </c>
      <c r="S179">
        <f t="shared" si="45"/>
        <v>5.8070869363961913E-2</v>
      </c>
      <c r="T179">
        <f t="shared" si="51"/>
        <v>2.8313129360261414E-2</v>
      </c>
      <c r="U179" s="1">
        <f t="shared" si="46"/>
        <v>234.80332618577609</v>
      </c>
      <c r="V179">
        <f t="shared" si="47"/>
        <v>4.3401026364474982E+18</v>
      </c>
      <c r="W179">
        <f t="shared" si="52"/>
        <v>2520335332273293.5</v>
      </c>
      <c r="Y179">
        <f t="shared" si="53"/>
        <v>1.7250000000000012</v>
      </c>
      <c r="Z179">
        <f t="shared" si="48"/>
        <v>0</v>
      </c>
      <c r="AA179">
        <f t="shared" si="54"/>
        <v>0</v>
      </c>
      <c r="AB179">
        <f t="shared" si="55"/>
        <v>1.0000235668946658</v>
      </c>
      <c r="AC179" s="1">
        <f t="shared" si="49"/>
        <v>7.4493433161470389E-3</v>
      </c>
    </row>
    <row r="180" spans="9:29" x14ac:dyDescent="0.2">
      <c r="I180">
        <f t="shared" si="57"/>
        <v>1.7350000000000012</v>
      </c>
      <c r="J180">
        <f t="shared" si="38"/>
        <v>5.6879471965297419E-2</v>
      </c>
      <c r="K180">
        <f t="shared" si="50"/>
        <v>2.773861979716119E-2</v>
      </c>
      <c r="L180">
        <f t="shared" si="39"/>
        <v>2.5553803801148646E+17</v>
      </c>
      <c r="M180">
        <f t="shared" si="40"/>
        <v>29.660639272507929</v>
      </c>
      <c r="N180">
        <f t="shared" si="41"/>
        <v>0</v>
      </c>
      <c r="O180">
        <f t="shared" si="42"/>
        <v>0</v>
      </c>
      <c r="P180">
        <f t="shared" si="43"/>
        <v>0</v>
      </c>
      <c r="R180">
        <f t="shared" si="44"/>
        <v>1.7350000000000012</v>
      </c>
      <c r="S180">
        <f t="shared" si="45"/>
        <v>5.6879834985977505E-2</v>
      </c>
      <c r="T180">
        <f t="shared" si="51"/>
        <v>2.7732420666621793E-2</v>
      </c>
      <c r="U180" s="1">
        <f t="shared" si="46"/>
        <v>229.9874568031795</v>
      </c>
      <c r="V180">
        <f t="shared" si="47"/>
        <v>4.4926232467029949E+18</v>
      </c>
      <c r="W180">
        <f t="shared" si="52"/>
        <v>2555396689266328.5</v>
      </c>
      <c r="Y180">
        <f t="shared" si="53"/>
        <v>1.7350000000000012</v>
      </c>
      <c r="Z180">
        <f t="shared" si="48"/>
        <v>0</v>
      </c>
      <c r="AA180">
        <f t="shared" si="54"/>
        <v>0</v>
      </c>
      <c r="AB180">
        <f t="shared" si="55"/>
        <v>1.0000235668946658</v>
      </c>
      <c r="AC180" s="1">
        <f t="shared" si="49"/>
        <v>7.4493433161470389E-3</v>
      </c>
    </row>
    <row r="181" spans="9:29" x14ac:dyDescent="0.2">
      <c r="I181">
        <f t="shared" si="57"/>
        <v>1.7450000000000012</v>
      </c>
      <c r="J181">
        <f t="shared" si="38"/>
        <v>5.5712873165343652E-2</v>
      </c>
      <c r="K181">
        <f t="shared" si="50"/>
        <v>2.7169825077508217E-2</v>
      </c>
      <c r="L181">
        <f t="shared" si="39"/>
        <v>2.590929262286584E+17</v>
      </c>
      <c r="M181">
        <f t="shared" si="40"/>
        <v>29.052432551225397</v>
      </c>
      <c r="N181">
        <f t="shared" si="41"/>
        <v>0</v>
      </c>
      <c r="O181">
        <f t="shared" si="42"/>
        <v>0</v>
      </c>
      <c r="P181">
        <f t="shared" si="43"/>
        <v>0</v>
      </c>
      <c r="R181">
        <f t="shared" si="44"/>
        <v>1.7450000000000012</v>
      </c>
      <c r="S181">
        <f t="shared" si="45"/>
        <v>5.5713228740464298E-2</v>
      </c>
      <c r="T181">
        <f t="shared" si="51"/>
        <v>2.7163622316762018E-2</v>
      </c>
      <c r="U181" s="1">
        <f t="shared" si="46"/>
        <v>225.27036097188977</v>
      </c>
      <c r="V181">
        <f t="shared" si="47"/>
        <v>4.6505037616661258E+18</v>
      </c>
      <c r="W181">
        <f t="shared" si="52"/>
        <v>2590945798320945.5</v>
      </c>
      <c r="Y181">
        <f t="shared" si="53"/>
        <v>1.7450000000000012</v>
      </c>
      <c r="Z181">
        <f t="shared" si="48"/>
        <v>0</v>
      </c>
      <c r="AA181">
        <f t="shared" si="54"/>
        <v>0</v>
      </c>
      <c r="AB181">
        <f t="shared" si="55"/>
        <v>1.0000235668946658</v>
      </c>
      <c r="AC181" s="1">
        <f t="shared" si="49"/>
        <v>7.4493433161470389E-3</v>
      </c>
    </row>
    <row r="182" spans="9:29" x14ac:dyDescent="0.2">
      <c r="I182">
        <f t="shared" si="57"/>
        <v>1.7550000000000012</v>
      </c>
      <c r="J182">
        <f t="shared" si="38"/>
        <v>5.4570201323799146E-2</v>
      </c>
      <c r="K182">
        <f t="shared" si="50"/>
        <v>2.661269634585478E-2</v>
      </c>
      <c r="L182">
        <f t="shared" si="39"/>
        <v>2.6269726786707027E+17</v>
      </c>
      <c r="M182">
        <f t="shared" si="40"/>
        <v>28.456700158670895</v>
      </c>
      <c r="N182">
        <f t="shared" si="41"/>
        <v>0</v>
      </c>
      <c r="O182">
        <f t="shared" si="42"/>
        <v>0</v>
      </c>
      <c r="P182">
        <f t="shared" si="43"/>
        <v>0</v>
      </c>
      <c r="R182">
        <f t="shared" si="44"/>
        <v>1.7550000000000012</v>
      </c>
      <c r="S182">
        <f t="shared" si="45"/>
        <v>5.4570549606068879E-2</v>
      </c>
      <c r="T182">
        <f t="shared" si="51"/>
        <v>2.6606490029357374E-2</v>
      </c>
      <c r="U182" s="1">
        <f t="shared" si="46"/>
        <v>220.65001284492834</v>
      </c>
      <c r="V182">
        <f t="shared" si="47"/>
        <v>4.8139325400015114E+18</v>
      </c>
      <c r="W182">
        <f t="shared" si="52"/>
        <v>2626989444744216.5</v>
      </c>
      <c r="Y182">
        <f t="shared" si="53"/>
        <v>1.7550000000000012</v>
      </c>
      <c r="Z182">
        <f t="shared" si="48"/>
        <v>0</v>
      </c>
      <c r="AA182">
        <f t="shared" si="54"/>
        <v>0</v>
      </c>
      <c r="AB182">
        <f t="shared" si="55"/>
        <v>1.0000235668946658</v>
      </c>
      <c r="AC182" s="1">
        <f t="shared" si="49"/>
        <v>7.4493433161470389E-3</v>
      </c>
    </row>
    <row r="183" spans="9:29" x14ac:dyDescent="0.2">
      <c r="I183">
        <f t="shared" si="57"/>
        <v>1.7650000000000012</v>
      </c>
      <c r="J183">
        <f t="shared" si="38"/>
        <v>5.3450965698397801E-2</v>
      </c>
      <c r="K183">
        <f t="shared" si="50"/>
        <v>2.6066994332616788E-2</v>
      </c>
      <c r="L183">
        <f t="shared" si="39"/>
        <v>2.6635175089233904E+17</v>
      </c>
      <c r="M183">
        <f t="shared" si="40"/>
        <v>27.8731862461802</v>
      </c>
      <c r="N183">
        <f t="shared" si="41"/>
        <v>0</v>
      </c>
      <c r="O183">
        <f t="shared" si="42"/>
        <v>0</v>
      </c>
      <c r="P183">
        <f t="shared" si="43"/>
        <v>0</v>
      </c>
      <c r="R183">
        <f t="shared" si="44"/>
        <v>1.7650000000000012</v>
      </c>
      <c r="S183">
        <f t="shared" si="45"/>
        <v>5.3451306837393103E-2</v>
      </c>
      <c r="T183">
        <f t="shared" si="51"/>
        <v>2.6060784533296685E-2</v>
      </c>
      <c r="U183" s="1">
        <f t="shared" si="46"/>
        <v>216.1244281254678</v>
      </c>
      <c r="V183">
        <f t="shared" si="47"/>
        <v>4.9831045597053256E+18</v>
      </c>
      <c r="W183">
        <f t="shared" si="52"/>
        <v>2663534508236220</v>
      </c>
      <c r="Y183">
        <f t="shared" si="53"/>
        <v>1.7650000000000012</v>
      </c>
      <c r="Z183">
        <f t="shared" si="48"/>
        <v>0</v>
      </c>
      <c r="AA183">
        <f t="shared" si="54"/>
        <v>0</v>
      </c>
      <c r="AB183">
        <f t="shared" si="55"/>
        <v>1.0000235668946658</v>
      </c>
      <c r="AC183" s="1">
        <f t="shared" si="49"/>
        <v>7.4493433161470389E-3</v>
      </c>
    </row>
    <row r="184" spans="9:29" x14ac:dyDescent="0.2">
      <c r="I184">
        <f t="shared" si="57"/>
        <v>1.7750000000000012</v>
      </c>
      <c r="J184">
        <f t="shared" si="38"/>
        <v>5.2354685612004521E-2</v>
      </c>
      <c r="K184">
        <f t="shared" si="50"/>
        <v>2.5532484675632811E-2</v>
      </c>
      <c r="L184">
        <f t="shared" si="39"/>
        <v>2.7005707284064224E+17</v>
      </c>
      <c r="M184">
        <f t="shared" si="40"/>
        <v>27.301640212548914</v>
      </c>
      <c r="N184">
        <f t="shared" si="41"/>
        <v>0</v>
      </c>
      <c r="O184">
        <f t="shared" si="42"/>
        <v>0</v>
      </c>
      <c r="P184">
        <f t="shared" si="43"/>
        <v>0</v>
      </c>
      <c r="R184">
        <f t="shared" si="44"/>
        <v>1.7750000000000012</v>
      </c>
      <c r="S184">
        <f t="shared" si="45"/>
        <v>5.2355019754234046E-2</v>
      </c>
      <c r="T184">
        <f t="shared" si="51"/>
        <v>2.5526271464922753E-2</v>
      </c>
      <c r="U184" s="1">
        <f t="shared" si="46"/>
        <v>211.69166321463754</v>
      </c>
      <c r="V184">
        <f t="shared" si="47"/>
        <v>5.1582216507230874E+18</v>
      </c>
      <c r="W184">
        <f t="shared" si="52"/>
        <v>2700587964203250</v>
      </c>
      <c r="Y184">
        <f t="shared" si="53"/>
        <v>1.7750000000000012</v>
      </c>
      <c r="Z184">
        <f t="shared" si="48"/>
        <v>0</v>
      </c>
      <c r="AA184">
        <f t="shared" si="54"/>
        <v>0</v>
      </c>
      <c r="AB184">
        <f t="shared" si="55"/>
        <v>1.0000235668946658</v>
      </c>
      <c r="AC184" s="1">
        <f t="shared" si="49"/>
        <v>7.4493433161470389E-3</v>
      </c>
    </row>
    <row r="185" spans="9:29" x14ac:dyDescent="0.2">
      <c r="I185">
        <f t="shared" si="57"/>
        <v>1.7850000000000013</v>
      </c>
      <c r="J185">
        <f t="shared" si="38"/>
        <v>5.1280890246179323E-2</v>
      </c>
      <c r="K185">
        <f t="shared" si="50"/>
        <v>2.5008937819512765E-2</v>
      </c>
      <c r="L185">
        <f t="shared" si="39"/>
        <v>2.7381394095184883E+17</v>
      </c>
      <c r="M185">
        <f t="shared" si="40"/>
        <v>26.741816596407009</v>
      </c>
      <c r="N185">
        <f t="shared" si="41"/>
        <v>0</v>
      </c>
      <c r="O185">
        <f t="shared" si="42"/>
        <v>0</v>
      </c>
      <c r="P185">
        <f t="shared" si="43"/>
        <v>0</v>
      </c>
      <c r="R185">
        <f t="shared" si="44"/>
        <v>1.7850000000000013</v>
      </c>
      <c r="S185">
        <f t="shared" si="45"/>
        <v>5.1281217535146847E-2</v>
      </c>
      <c r="T185">
        <f t="shared" si="51"/>
        <v>2.5002721267380412E-2</v>
      </c>
      <c r="U185" s="1">
        <f t="shared" si="46"/>
        <v>207.34981437680827</v>
      </c>
      <c r="V185">
        <f t="shared" si="47"/>
        <v>5.3394927357418353E+18</v>
      </c>
      <c r="W185">
        <f t="shared" si="52"/>
        <v>2738156885089134</v>
      </c>
      <c r="Y185">
        <f t="shared" si="53"/>
        <v>1.7850000000000013</v>
      </c>
      <c r="Z185">
        <f t="shared" si="48"/>
        <v>0</v>
      </c>
      <c r="AA185">
        <f t="shared" si="54"/>
        <v>0</v>
      </c>
      <c r="AB185">
        <f t="shared" si="55"/>
        <v>1.0000235668946658</v>
      </c>
      <c r="AC185" s="1">
        <f t="shared" si="49"/>
        <v>7.4493433161470389E-3</v>
      </c>
    </row>
    <row r="186" spans="9:29" x14ac:dyDescent="0.2">
      <c r="I186">
        <f t="shared" si="57"/>
        <v>1.7950000000000013</v>
      </c>
      <c r="J186">
        <f t="shared" si="38"/>
        <v>5.0229118438975262E-2</v>
      </c>
      <c r="K186">
        <f t="shared" si="50"/>
        <v>2.4496128917050972E-2</v>
      </c>
      <c r="L186">
        <f t="shared" si="39"/>
        <v>2.7762307230451027E+17</v>
      </c>
      <c r="M186">
        <f t="shared" si="40"/>
        <v>26.193474970800725</v>
      </c>
      <c r="N186">
        <f t="shared" si="41"/>
        <v>0</v>
      </c>
      <c r="O186">
        <f t="shared" si="42"/>
        <v>0</v>
      </c>
      <c r="P186">
        <f t="shared" si="43"/>
        <v>0</v>
      </c>
      <c r="R186">
        <f t="shared" si="44"/>
        <v>1.7950000000000013</v>
      </c>
      <c r="S186">
        <f t="shared" si="45"/>
        <v>5.0229439015241295E-2</v>
      </c>
      <c r="T186">
        <f t="shared" si="51"/>
        <v>2.4489909092028944E-2</v>
      </c>
      <c r="U186" s="1">
        <f t="shared" si="46"/>
        <v>203.09701692199604</v>
      </c>
      <c r="V186">
        <f t="shared" si="47"/>
        <v>5.5271340794444196E+18</v>
      </c>
      <c r="W186">
        <f t="shared" si="52"/>
        <v>2776248441725153</v>
      </c>
      <c r="Y186">
        <f t="shared" si="53"/>
        <v>1.7950000000000013</v>
      </c>
      <c r="Z186">
        <f t="shared" si="48"/>
        <v>0</v>
      </c>
      <c r="AA186">
        <f t="shared" si="54"/>
        <v>0</v>
      </c>
      <c r="AB186">
        <f t="shared" si="55"/>
        <v>1.0000235668946658</v>
      </c>
      <c r="AC186" s="1">
        <f t="shared" si="49"/>
        <v>7.4493433161470389E-3</v>
      </c>
    </row>
    <row r="187" spans="9:29" x14ac:dyDescent="0.2">
      <c r="I187">
        <f t="shared" si="57"/>
        <v>1.8050000000000013</v>
      </c>
      <c r="J187">
        <f t="shared" si="38"/>
        <v>4.9198918486883694E-2</v>
      </c>
      <c r="K187">
        <f t="shared" si="50"/>
        <v>2.399383773266122E-2</v>
      </c>
      <c r="L187">
        <f t="shared" si="39"/>
        <v>2.8148519395274038E+17</v>
      </c>
      <c r="M187">
        <f t="shared" si="40"/>
        <v>25.656379839936648</v>
      </c>
      <c r="N187">
        <f t="shared" si="41"/>
        <v>0</v>
      </c>
      <c r="O187">
        <f t="shared" si="42"/>
        <v>0</v>
      </c>
      <c r="P187">
        <f t="shared" si="43"/>
        <v>0</v>
      </c>
      <c r="R187">
        <f t="shared" si="44"/>
        <v>1.8050000000000013</v>
      </c>
      <c r="S187">
        <f t="shared" si="45"/>
        <v>4.919923248812582E-2</v>
      </c>
      <c r="T187">
        <f t="shared" si="51"/>
        <v>2.398761470187653E-2</v>
      </c>
      <c r="U187" s="1">
        <f t="shared" si="46"/>
        <v>198.93144440503588</v>
      </c>
      <c r="V187">
        <f t="shared" si="47"/>
        <v>5.7213695465233367E+18</v>
      </c>
      <c r="W187">
        <f t="shared" si="52"/>
        <v>2814869904698846.5</v>
      </c>
      <c r="Y187">
        <f t="shared" si="53"/>
        <v>1.8050000000000013</v>
      </c>
      <c r="Z187">
        <f t="shared" si="48"/>
        <v>0</v>
      </c>
      <c r="AA187">
        <f t="shared" si="54"/>
        <v>0</v>
      </c>
      <c r="AB187">
        <f t="shared" si="55"/>
        <v>1.0000235668946658</v>
      </c>
      <c r="AC187" s="1">
        <f t="shared" si="49"/>
        <v>7.4493433161470389E-3</v>
      </c>
    </row>
    <row r="188" spans="9:29" x14ac:dyDescent="0.2">
      <c r="I188">
        <f t="shared" si="57"/>
        <v>1.8150000000000013</v>
      </c>
      <c r="J188">
        <f t="shared" si="38"/>
        <v>4.8189847950841462E-2</v>
      </c>
      <c r="K188">
        <f t="shared" si="50"/>
        <v>2.3501848547792383E-2</v>
      </c>
      <c r="L188">
        <f t="shared" si="39"/>
        <v>2.8540104306497878E+17</v>
      </c>
      <c r="M188">
        <f t="shared" si="40"/>
        <v>25.130300538043507</v>
      </c>
      <c r="N188">
        <f t="shared" si="41"/>
        <v>0</v>
      </c>
      <c r="O188">
        <f t="shared" si="42"/>
        <v>0</v>
      </c>
      <c r="P188">
        <f t="shared" si="43"/>
        <v>0</v>
      </c>
      <c r="R188">
        <f t="shared" si="44"/>
        <v>1.8150000000000013</v>
      </c>
      <c r="S188">
        <f t="shared" si="45"/>
        <v>4.8190155511913538E-2</v>
      </c>
      <c r="T188">
        <f t="shared" si="51"/>
        <v>2.3495622376995273E-2</v>
      </c>
      <c r="U188" s="1">
        <f t="shared" si="46"/>
        <v>194.85130784117973</v>
      </c>
      <c r="V188">
        <f t="shared" si="47"/>
        <v>5.9224308687613379E+18</v>
      </c>
      <c r="W188">
        <f t="shared" si="52"/>
        <v>2854028645741661</v>
      </c>
      <c r="Y188">
        <f t="shared" si="53"/>
        <v>1.8150000000000013</v>
      </c>
      <c r="Z188">
        <f t="shared" si="48"/>
        <v>0</v>
      </c>
      <c r="AA188">
        <f t="shared" si="54"/>
        <v>0</v>
      </c>
      <c r="AB188">
        <f t="shared" si="55"/>
        <v>1.0000235668946658</v>
      </c>
      <c r="AC188" s="1">
        <f t="shared" si="49"/>
        <v>7.4493433161470389E-3</v>
      </c>
    </row>
    <row r="189" spans="9:29" x14ac:dyDescent="0.2">
      <c r="I189">
        <f t="shared" si="57"/>
        <v>1.8250000000000013</v>
      </c>
      <c r="J189">
        <f t="shared" si="38"/>
        <v>4.7201473466217121E-2</v>
      </c>
      <c r="K189">
        <f t="shared" si="50"/>
        <v>2.301995006828397E-2</v>
      </c>
      <c r="L189">
        <f t="shared" si="39"/>
        <v>2.893713670647063E+17</v>
      </c>
      <c r="M189">
        <f t="shared" si="40"/>
        <v>24.615011130308378</v>
      </c>
      <c r="N189">
        <f t="shared" si="41"/>
        <v>0</v>
      </c>
      <c r="O189">
        <f t="shared" si="42"/>
        <v>0</v>
      </c>
      <c r="P189">
        <f t="shared" si="43"/>
        <v>0</v>
      </c>
      <c r="R189">
        <f t="shared" si="44"/>
        <v>1.8250000000000013</v>
      </c>
      <c r="S189">
        <f t="shared" si="45"/>
        <v>4.7201774719207119E-2</v>
      </c>
      <c r="T189">
        <f t="shared" si="51"/>
        <v>2.3013720821876138E-2</v>
      </c>
      <c r="U189" s="1">
        <f t="shared" si="46"/>
        <v>190.85485493778273</v>
      </c>
      <c r="V189">
        <f t="shared" si="47"/>
        <v>6.130557921498239E+18</v>
      </c>
      <c r="W189">
        <f t="shared" si="52"/>
        <v>2893732139136105</v>
      </c>
      <c r="Y189">
        <f t="shared" si="53"/>
        <v>1.8250000000000013</v>
      </c>
      <c r="Z189">
        <f t="shared" si="48"/>
        <v>0</v>
      </c>
      <c r="AA189">
        <f t="shared" si="54"/>
        <v>0</v>
      </c>
      <c r="AB189">
        <f t="shared" si="55"/>
        <v>1.0000235668946658</v>
      </c>
      <c r="AC189" s="1">
        <f t="shared" si="49"/>
        <v>7.4493433161470389E-3</v>
      </c>
    </row>
    <row r="190" spans="9:29" x14ac:dyDescent="0.2">
      <c r="I190">
        <f t="shared" si="57"/>
        <v>1.8350000000000013</v>
      </c>
      <c r="J190">
        <f t="shared" si="38"/>
        <v>4.623337055669411E-2</v>
      </c>
      <c r="K190">
        <f t="shared" si="50"/>
        <v>2.2547935333621798E-2</v>
      </c>
      <c r="L190">
        <f t="shared" si="39"/>
        <v>2.9339692377309376E+17</v>
      </c>
      <c r="M190">
        <f t="shared" si="40"/>
        <v>24.110290315844644</v>
      </c>
      <c r="N190">
        <f t="shared" si="41"/>
        <v>0</v>
      </c>
      <c r="O190">
        <f t="shared" si="42"/>
        <v>0</v>
      </c>
      <c r="P190">
        <f t="shared" si="43"/>
        <v>0</v>
      </c>
      <c r="R190">
        <f t="shared" si="44"/>
        <v>1.8350000000000013</v>
      </c>
      <c r="S190">
        <f t="shared" si="45"/>
        <v>4.6233665630980886E-2</v>
      </c>
      <c r="T190">
        <f t="shared" si="51"/>
        <v>2.2541703074684068E-2</v>
      </c>
      <c r="U190" s="1">
        <f t="shared" si="46"/>
        <v>186.9403693417479</v>
      </c>
      <c r="V190">
        <f t="shared" si="47"/>
        <v>6.3459990098129009E+18</v>
      </c>
      <c r="W190">
        <f t="shared" si="52"/>
        <v>2933987963142255</v>
      </c>
      <c r="Y190">
        <f t="shared" si="53"/>
        <v>1.8350000000000013</v>
      </c>
      <c r="Z190">
        <f t="shared" si="48"/>
        <v>0</v>
      </c>
      <c r="AA190">
        <f t="shared" si="54"/>
        <v>0</v>
      </c>
      <c r="AB190">
        <f t="shared" si="55"/>
        <v>1.0000235668946658</v>
      </c>
      <c r="AC190" s="1">
        <f t="shared" si="49"/>
        <v>7.4493433161470389E-3</v>
      </c>
    </row>
    <row r="191" spans="9:29" x14ac:dyDescent="0.2">
      <c r="I191">
        <f t="shared" si="57"/>
        <v>1.8450000000000013</v>
      </c>
      <c r="J191">
        <f t="shared" si="38"/>
        <v>4.5285123451971269E-2</v>
      </c>
      <c r="K191">
        <f t="shared" si="50"/>
        <v>2.2085601628054858E-2</v>
      </c>
      <c r="L191">
        <f t="shared" si="39"/>
        <v>2.9747848155365837E+17</v>
      </c>
      <c r="M191">
        <f t="shared" si="40"/>
        <v>23.615921332650089</v>
      </c>
      <c r="N191">
        <f t="shared" si="41"/>
        <v>0</v>
      </c>
      <c r="O191">
        <f t="shared" si="42"/>
        <v>0</v>
      </c>
      <c r="P191">
        <f t="shared" si="43"/>
        <v>0</v>
      </c>
      <c r="R191">
        <f t="shared" si="44"/>
        <v>1.8450000000000013</v>
      </c>
      <c r="S191">
        <f t="shared" si="45"/>
        <v>4.5285412474280119E-2</v>
      </c>
      <c r="T191">
        <f t="shared" si="51"/>
        <v>2.2079366418374258E-2</v>
      </c>
      <c r="U191" s="1">
        <f t="shared" si="46"/>
        <v>183.10616990240516</v>
      </c>
      <c r="V191">
        <f t="shared" si="47"/>
        <v>6.5690111647627428E+18</v>
      </c>
      <c r="W191">
        <f t="shared" si="52"/>
        <v>2974803801444320.5</v>
      </c>
      <c r="Y191">
        <f t="shared" si="53"/>
        <v>1.8450000000000013</v>
      </c>
      <c r="Z191">
        <f t="shared" si="48"/>
        <v>0</v>
      </c>
      <c r="AA191">
        <f t="shared" si="54"/>
        <v>0</v>
      </c>
      <c r="AB191">
        <f t="shared" si="55"/>
        <v>1.0000235668946658</v>
      </c>
      <c r="AC191" s="1">
        <f t="shared" si="49"/>
        <v>7.4493433161470389E-3</v>
      </c>
    </row>
    <row r="192" spans="9:29" x14ac:dyDescent="0.2">
      <c r="I192">
        <f t="shared" si="57"/>
        <v>1.8550000000000013</v>
      </c>
      <c r="J192">
        <f t="shared" si="38"/>
        <v>4.4356324909202466E-2</v>
      </c>
      <c r="K192">
        <f t="shared" si="50"/>
        <v>2.1632750393535145E-2</v>
      </c>
      <c r="L192">
        <f t="shared" si="39"/>
        <v>3.0161681945891296E+17</v>
      </c>
      <c r="M192">
        <f t="shared" si="40"/>
        <v>23.131691864514337</v>
      </c>
      <c r="N192">
        <f t="shared" si="41"/>
        <v>0</v>
      </c>
      <c r="O192">
        <f t="shared" si="42"/>
        <v>0</v>
      </c>
      <c r="P192">
        <f t="shared" si="43"/>
        <v>0</v>
      </c>
      <c r="R192">
        <f t="shared" si="44"/>
        <v>1.8550000000000013</v>
      </c>
      <c r="S192">
        <f t="shared" si="45"/>
        <v>4.4356608003659551E-2</v>
      </c>
      <c r="T192">
        <f t="shared" si="51"/>
        <v>2.1626512293631456E-2</v>
      </c>
      <c r="U192" s="1">
        <f t="shared" si="46"/>
        <v>179.35060994950925</v>
      </c>
      <c r="V192">
        <f t="shared" si="47"/>
        <v>6.7998604500333046E+18</v>
      </c>
      <c r="W192">
        <f t="shared" si="52"/>
        <v>3016187444617153.5</v>
      </c>
      <c r="Y192">
        <f t="shared" si="53"/>
        <v>1.8550000000000013</v>
      </c>
      <c r="Z192">
        <f t="shared" si="48"/>
        <v>0</v>
      </c>
      <c r="AA192">
        <f t="shared" si="54"/>
        <v>0</v>
      </c>
      <c r="AB192">
        <f t="shared" si="55"/>
        <v>1.0000235668946658</v>
      </c>
      <c r="AC192" s="1">
        <f t="shared" si="49"/>
        <v>7.4493433161470389E-3</v>
      </c>
    </row>
    <row r="193" spans="9:29" x14ac:dyDescent="0.2">
      <c r="I193">
        <f t="shared" si="57"/>
        <v>1.8650000000000013</v>
      </c>
      <c r="J193">
        <f t="shared" si="38"/>
        <v>4.3446576038098227E-2</v>
      </c>
      <c r="K193">
        <f t="shared" si="50"/>
        <v>2.1189187144443119E-2</v>
      </c>
      <c r="L193">
        <f t="shared" si="39"/>
        <v>3.0581272737907622E+17</v>
      </c>
      <c r="M193">
        <f t="shared" si="40"/>
        <v>22.657393949835591</v>
      </c>
      <c r="N193">
        <f t="shared" si="41"/>
        <v>0</v>
      </c>
      <c r="O193">
        <f t="shared" si="42"/>
        <v>0</v>
      </c>
      <c r="P193">
        <f t="shared" si="43"/>
        <v>0</v>
      </c>
      <c r="R193">
        <f t="shared" si="44"/>
        <v>1.8650000000000013</v>
      </c>
      <c r="S193">
        <f t="shared" si="45"/>
        <v>4.3446853326283862E-2</v>
      </c>
      <c r="T193">
        <f t="shared" si="51"/>
        <v>2.1182946213594862E-2</v>
      </c>
      <c r="U193" s="1">
        <f t="shared" si="46"/>
        <v>175.67207658604579</v>
      </c>
      <c r="V193">
        <f t="shared" si="47"/>
        <v>7.038822279364652E+18</v>
      </c>
      <c r="W193">
        <f t="shared" si="52"/>
        <v>3058146791613351</v>
      </c>
      <c r="Y193">
        <f t="shared" si="53"/>
        <v>1.8650000000000013</v>
      </c>
      <c r="Z193">
        <f t="shared" si="48"/>
        <v>0</v>
      </c>
      <c r="AA193">
        <f t="shared" si="54"/>
        <v>0</v>
      </c>
      <c r="AB193">
        <f t="shared" si="55"/>
        <v>1.0000235668946658</v>
      </c>
      <c r="AC193" s="1">
        <f t="shared" si="49"/>
        <v>7.4493433161470389E-3</v>
      </c>
    </row>
    <row r="194" spans="9:29" x14ac:dyDescent="0.2">
      <c r="I194">
        <f t="shared" si="57"/>
        <v>1.8750000000000013</v>
      </c>
      <c r="J194">
        <f t="shared" si="38"/>
        <v>4.2555486129614753E-2</v>
      </c>
      <c r="K194">
        <f t="shared" si="50"/>
        <v>2.0754721384062137E-2</v>
      </c>
      <c r="L194">
        <f t="shared" si="39"/>
        <v>3.1006700619283245E+17</v>
      </c>
      <c r="M194">
        <f t="shared" si="40"/>
        <v>22.19282389230753</v>
      </c>
      <c r="N194">
        <f t="shared" si="41"/>
        <v>0</v>
      </c>
      <c r="O194">
        <f t="shared" si="42"/>
        <v>0</v>
      </c>
      <c r="P194">
        <f t="shared" si="43"/>
        <v>0</v>
      </c>
      <c r="R194">
        <f t="shared" si="44"/>
        <v>1.8750000000000013</v>
      </c>
      <c r="S194">
        <f t="shared" si="45"/>
        <v>4.2555757730615658E-2</v>
      </c>
      <c r="T194">
        <f t="shared" si="51"/>
        <v>2.0748477680332025E-2</v>
      </c>
      <c r="U194" s="1">
        <f t="shared" si="46"/>
        <v>172.06898999554156</v>
      </c>
      <c r="V194">
        <f t="shared" si="47"/>
        <v>7.2861817451323617E+18</v>
      </c>
      <c r="W194">
        <f t="shared" si="52"/>
        <v>3100689851270871.5</v>
      </c>
      <c r="Y194">
        <f t="shared" si="53"/>
        <v>1.8750000000000013</v>
      </c>
      <c r="Z194">
        <f t="shared" si="48"/>
        <v>0</v>
      </c>
      <c r="AA194">
        <f t="shared" si="54"/>
        <v>0</v>
      </c>
      <c r="AB194">
        <f t="shared" si="55"/>
        <v>1.0000235668946658</v>
      </c>
      <c r="AC194" s="1">
        <f t="shared" si="49"/>
        <v>7.4493433161470389E-3</v>
      </c>
    </row>
    <row r="195" spans="9:29" x14ac:dyDescent="0.2">
      <c r="I195">
        <f t="shared" si="57"/>
        <v>1.8850000000000013</v>
      </c>
      <c r="J195">
        <f t="shared" si="38"/>
        <v>4.1682672488156443E-2</v>
      </c>
      <c r="K195">
        <f t="shared" si="50"/>
        <v>2.0329166522765989E-2</v>
      </c>
      <c r="L195">
        <f t="shared" si="39"/>
        <v>3.1438046792019603E+17</v>
      </c>
      <c r="M195">
        <f t="shared" si="40"/>
        <v>21.737782173438053</v>
      </c>
      <c r="N195">
        <f t="shared" si="41"/>
        <v>0</v>
      </c>
      <c r="O195">
        <f t="shared" si="42"/>
        <v>0</v>
      </c>
      <c r="P195">
        <f t="shared" si="43"/>
        <v>0</v>
      </c>
      <c r="R195">
        <f t="shared" si="44"/>
        <v>1.8850000000000013</v>
      </c>
      <c r="S195">
        <f t="shared" si="45"/>
        <v>4.1682938518616847E-2</v>
      </c>
      <c r="T195">
        <f t="shared" si="51"/>
        <v>2.0322920103025867E-2</v>
      </c>
      <c r="U195" s="1">
        <f t="shared" si="46"/>
        <v>168.53980276358229</v>
      </c>
      <c r="V195">
        <f t="shared" si="47"/>
        <v>7.5422339584757412E+18</v>
      </c>
      <c r="W195">
        <f t="shared" si="52"/>
        <v>3143824743841685</v>
      </c>
      <c r="Y195">
        <f t="shared" si="53"/>
        <v>1.8850000000000013</v>
      </c>
      <c r="Z195">
        <f t="shared" si="48"/>
        <v>0</v>
      </c>
      <c r="AA195">
        <f t="shared" si="54"/>
        <v>0</v>
      </c>
      <c r="AB195">
        <f t="shared" si="55"/>
        <v>1.0000235668946658</v>
      </c>
      <c r="AC195" s="1">
        <f t="shared" si="49"/>
        <v>7.4493433161470389E-3</v>
      </c>
    </row>
    <row r="196" spans="9:29" x14ac:dyDescent="0.2">
      <c r="I196">
        <f t="shared" si="57"/>
        <v>1.8950000000000014</v>
      </c>
      <c r="J196">
        <f t="shared" si="38"/>
        <v>4.0827760267219938E-2</v>
      </c>
      <c r="K196">
        <f t="shared" si="50"/>
        <v>1.9912339797884426E-2</v>
      </c>
      <c r="L196">
        <f t="shared" si="39"/>
        <v>3.1875393587751392E+17</v>
      </c>
      <c r="M196">
        <f t="shared" si="40"/>
        <v>21.292073366862237</v>
      </c>
      <c r="N196">
        <f t="shared" si="41"/>
        <v>0</v>
      </c>
      <c r="O196">
        <f t="shared" si="42"/>
        <v>0</v>
      </c>
      <c r="P196">
        <f t="shared" si="43"/>
        <v>0</v>
      </c>
      <c r="R196">
        <f t="shared" si="44"/>
        <v>1.8950000000000014</v>
      </c>
      <c r="S196">
        <f t="shared" si="45"/>
        <v>4.082802084139172E-2</v>
      </c>
      <c r="T196">
        <f t="shared" si="51"/>
        <v>1.9906090717839699E-2</v>
      </c>
      <c r="U196" s="1">
        <f t="shared" si="46"/>
        <v>165.0829992132459</v>
      </c>
      <c r="V196">
        <f t="shared" si="47"/>
        <v>7.807284401379157E+18</v>
      </c>
      <c r="W196">
        <f t="shared" si="52"/>
        <v>3187559702541807</v>
      </c>
      <c r="Y196">
        <f t="shared" si="53"/>
        <v>1.8950000000000014</v>
      </c>
      <c r="Z196">
        <f t="shared" si="48"/>
        <v>0</v>
      </c>
      <c r="AA196">
        <f t="shared" si="54"/>
        <v>0</v>
      </c>
      <c r="AB196">
        <f t="shared" si="55"/>
        <v>1.0000235668946658</v>
      </c>
      <c r="AC196" s="1">
        <f t="shared" si="49"/>
        <v>7.4493433161470389E-3</v>
      </c>
    </row>
    <row r="197" spans="9:29" x14ac:dyDescent="0.2">
      <c r="I197">
        <f t="shared" si="57"/>
        <v>1.9050000000000014</v>
      </c>
      <c r="J197">
        <f t="shared" si="38"/>
        <v>3.9990382308409109E-2</v>
      </c>
      <c r="K197">
        <f t="shared" si="50"/>
        <v>1.9504062195212227E-2</v>
      </c>
      <c r="L197">
        <f t="shared" si="39"/>
        <v>3.2318824483459072E+17</v>
      </c>
      <c r="M197">
        <f t="shared" si="40"/>
        <v>20.855506054412764</v>
      </c>
      <c r="N197">
        <f t="shared" si="41"/>
        <v>0</v>
      </c>
      <c r="O197">
        <f t="shared" si="42"/>
        <v>0</v>
      </c>
      <c r="P197">
        <f t="shared" si="43"/>
        <v>0</v>
      </c>
      <c r="R197">
        <f t="shared" si="44"/>
        <v>1.9050000000000014</v>
      </c>
      <c r="S197">
        <f t="shared" si="45"/>
        <v>3.9990637538200827E-2</v>
      </c>
      <c r="T197">
        <f t="shared" si="51"/>
        <v>1.949781050942578E-2</v>
      </c>
      <c r="U197" s="1">
        <f t="shared" si="46"/>
        <v>161.69709475416619</v>
      </c>
      <c r="V197">
        <f t="shared" si="47"/>
        <v>8.081649291125463E+18</v>
      </c>
      <c r="W197">
        <f t="shared" si="52"/>
        <v>3231903075122560.5</v>
      </c>
      <c r="Y197">
        <f t="shared" si="53"/>
        <v>1.9050000000000014</v>
      </c>
      <c r="Z197">
        <f t="shared" si="48"/>
        <v>0</v>
      </c>
      <c r="AA197">
        <f t="shared" si="54"/>
        <v>0</v>
      </c>
      <c r="AB197">
        <f t="shared" si="55"/>
        <v>1.0000235668946658</v>
      </c>
      <c r="AC197" s="1">
        <f t="shared" si="49"/>
        <v>7.4493433161470389E-3</v>
      </c>
    </row>
    <row r="198" spans="9:29" x14ac:dyDescent="0.2">
      <c r="I198">
        <f t="shared" si="57"/>
        <v>1.9150000000000014</v>
      </c>
      <c r="J198">
        <f t="shared" si="38"/>
        <v>3.9170178983751927E-2</v>
      </c>
      <c r="K198">
        <f t="shared" si="50"/>
        <v>1.9104158372128137E-2</v>
      </c>
      <c r="L198">
        <f t="shared" si="39"/>
        <v>3.2768424117404506E+17</v>
      </c>
      <c r="M198">
        <f t="shared" si="40"/>
        <v>20.427892743911716</v>
      </c>
      <c r="N198">
        <f t="shared" si="41"/>
        <v>0</v>
      </c>
      <c r="O198">
        <f t="shared" si="42"/>
        <v>0</v>
      </c>
      <c r="P198">
        <f t="shared" si="43"/>
        <v>0</v>
      </c>
      <c r="R198">
        <f t="shared" si="44"/>
        <v>1.9150000000000014</v>
      </c>
      <c r="S198">
        <f t="shared" si="45"/>
        <v>3.91704289787769E-2</v>
      </c>
      <c r="T198">
        <f t="shared" si="51"/>
        <v>1.9097904134043771E-2</v>
      </c>
      <c r="U198" s="1">
        <f t="shared" si="46"/>
        <v>158.38063524494697</v>
      </c>
      <c r="V198">
        <f t="shared" si="47"/>
        <v>8.3656559575581942E+18</v>
      </c>
      <c r="W198">
        <f t="shared" si="52"/>
        <v>3276863325464151</v>
      </c>
      <c r="Y198">
        <f t="shared" si="53"/>
        <v>1.9150000000000014</v>
      </c>
      <c r="Z198">
        <f t="shared" si="48"/>
        <v>0</v>
      </c>
      <c r="AA198">
        <f t="shared" si="54"/>
        <v>0</v>
      </c>
      <c r="AB198">
        <f t="shared" si="55"/>
        <v>1.0000235668946658</v>
      </c>
      <c r="AC198" s="1">
        <f t="shared" si="49"/>
        <v>7.4493433161470389E-3</v>
      </c>
    </row>
    <row r="199" spans="9:29" x14ac:dyDescent="0.2">
      <c r="I199">
        <f t="shared" si="57"/>
        <v>1.9250000000000014</v>
      </c>
      <c r="J199">
        <f t="shared" ref="J199:J262" si="58">IF($I199&gt;$B$23,0,1)*IF($I199&lt;($B$23-$B$21),$B$10*EXP(-$B$10*($I199-$B$8)),$B$10*EXP(-$B$10*($B$23-$B$20-$B$21-$B$8)))/(1-EXP(-$B$10*($B$23-$B$21-$B$8)))*(1/(1+$B$24))</f>
        <v>3.8366798041251302E-2</v>
      </c>
      <c r="K199">
        <f t="shared" si="50"/>
        <v>1.8712456582290617E-2</v>
      </c>
      <c r="L199">
        <f t="shared" ref="L199:L262" si="59">$V199*$J199</f>
        <v>3.3224278305284826E+17</v>
      </c>
      <c r="M199">
        <f t="shared" ref="M199:M262" si="60">$K199/$L$4*$B$18</f>
        <v>20.009049788648475</v>
      </c>
      <c r="N199">
        <f t="shared" ref="N199:N262" si="61">IF($I199&gt;$B$23,0,1)*IF($I199&lt;($B$23-$B$21),0,M199)</f>
        <v>0</v>
      </c>
      <c r="O199">
        <f t="shared" ref="O199:O262" si="62">IF($I199&gt;$B$23,0,1)*IF($I199&lt;($B$23-$B$33),0,1)*IF($I199&lt;($B$23-$B$21),$B$10*EXP(-$B$10*($I199-$B$8)),$B$10*EXP(-$B$10*($B$23-$B$20-$B$21-$B$8)))/(1-EXP(-$B$10*($B$23-$B$21-$B$8)))*(1/(1+$B$24))*($B$18/(SUM($L$7:$L$105)*0.05))</f>
        <v>0</v>
      </c>
      <c r="P199">
        <f t="shared" ref="P199:P262" si="63">IF($I199&gt;$B$23,0,1)*IF($I199&lt;($B$23-$B$21),0,1)*$L199</f>
        <v>0</v>
      </c>
      <c r="R199">
        <f t="shared" ref="R199:R262" si="64">$I199</f>
        <v>1.9250000000000014</v>
      </c>
      <c r="S199">
        <f t="shared" ref="S199:S262" si="65">IF($I199&lt;$B$23+0.01,$B$10*EXP(-$B$10*($I199-$B$8))/(1-EXP(-$B$10*($B$23-$B$8))),0)</f>
        <v>3.8367042908874653E-2</v>
      </c>
      <c r="T199">
        <f t="shared" si="51"/>
        <v>1.8706199844256002E-2</v>
      </c>
      <c r="U199" s="1">
        <f t="shared" ref="U199:U262" si="66">T199*$B$18/$W$4</f>
        <v>155.13219636865327</v>
      </c>
      <c r="V199">
        <f t="shared" ref="V199:V262" si="67">10^(1.5*$I199+16.05)</f>
        <v>8.6596432336007485E+18</v>
      </c>
      <c r="W199">
        <f t="shared" si="52"/>
        <v>3322449035191060</v>
      </c>
      <c r="Y199">
        <f t="shared" si="53"/>
        <v>1.9250000000000014</v>
      </c>
      <c r="Z199">
        <f t="shared" ref="Z199:Z262" si="68">IF(AND($Y199&lt;$B$9+$B$27*$B$28,$Y199&gt;$B$9-$B$27*$B$28),NORMDIST($Y199,$B$9,$B$27,0) / (2*NORMDIST($B$28,0,1,1)-1),0)</f>
        <v>0</v>
      </c>
      <c r="AA199">
        <f t="shared" si="54"/>
        <v>0</v>
      </c>
      <c r="AB199">
        <f t="shared" si="55"/>
        <v>1.0000235668946658</v>
      </c>
      <c r="AC199" s="1">
        <f t="shared" ref="AC199:AC262" si="69">$AB199*$B$18/$AA$4</f>
        <v>7.4493433161470389E-3</v>
      </c>
    </row>
    <row r="200" spans="9:29" x14ac:dyDescent="0.2">
      <c r="I200">
        <f t="shared" si="57"/>
        <v>1.9350000000000014</v>
      </c>
      <c r="J200">
        <f t="shared" si="58"/>
        <v>3.757989445360374E-2</v>
      </c>
      <c r="K200">
        <f t="shared" ref="K200:K263" si="70">$J200*K$4+K201</f>
        <v>1.8328788601878105E-2</v>
      </c>
      <c r="L200">
        <f t="shared" si="59"/>
        <v>3.3686474056612435E+17</v>
      </c>
      <c r="M200">
        <f t="shared" si="60"/>
        <v>19.598797308509152</v>
      </c>
      <c r="N200">
        <f t="shared" si="61"/>
        <v>0</v>
      </c>
      <c r="O200">
        <f t="shared" si="62"/>
        <v>0</v>
      </c>
      <c r="P200">
        <f t="shared" si="63"/>
        <v>0</v>
      </c>
      <c r="R200">
        <f t="shared" si="64"/>
        <v>1.9350000000000014</v>
      </c>
      <c r="S200">
        <f t="shared" si="65"/>
        <v>3.7580134298988571E-2</v>
      </c>
      <c r="T200">
        <f t="shared" ref="T200:T263" si="71">T201+$S200*0.01</f>
        <v>1.8322529415167255E-2</v>
      </c>
      <c r="U200" s="1">
        <f t="shared" si="66"/>
        <v>151.95038302111132</v>
      </c>
      <c r="V200">
        <f t="shared" si="67"/>
        <v>8.9639618594995968E+18</v>
      </c>
      <c r="W200">
        <f t="shared" ref="W200:W263" si="72">$S200*$V200*0.01</f>
        <v>3368668905310061.5</v>
      </c>
      <c r="Y200">
        <f t="shared" ref="Y200:Y263" si="73">I200</f>
        <v>1.9350000000000014</v>
      </c>
      <c r="Z200">
        <f t="shared" si="68"/>
        <v>0</v>
      </c>
      <c r="AA200">
        <f t="shared" ref="AA200:AA263" si="74">$V200*$Z200*$K$4</f>
        <v>0</v>
      </c>
      <c r="AB200">
        <f t="shared" ref="AB200:AB263" si="75">Z200*$K$4+AB201</f>
        <v>1.0000235668946658</v>
      </c>
      <c r="AC200" s="1">
        <f t="shared" si="69"/>
        <v>7.4493433161470389E-3</v>
      </c>
    </row>
    <row r="201" spans="9:29" x14ac:dyDescent="0.2">
      <c r="I201">
        <f t="shared" si="57"/>
        <v>1.9450000000000014</v>
      </c>
      <c r="J201">
        <f t="shared" si="58"/>
        <v>3.6809130270020772E-2</v>
      </c>
      <c r="K201">
        <f t="shared" si="70"/>
        <v>1.7952989657342069E-2</v>
      </c>
      <c r="L201">
        <f t="shared" si="59"/>
        <v>3.4155099591322368E+17</v>
      </c>
      <c r="M201">
        <f t="shared" si="60"/>
        <v>19.196959112723601</v>
      </c>
      <c r="N201">
        <f t="shared" si="61"/>
        <v>0</v>
      </c>
      <c r="O201">
        <f t="shared" si="62"/>
        <v>0</v>
      </c>
      <c r="P201">
        <f t="shared" si="63"/>
        <v>0</v>
      </c>
      <c r="R201">
        <f t="shared" si="64"/>
        <v>1.9450000000000014</v>
      </c>
      <c r="S201">
        <f t="shared" si="65"/>
        <v>3.6809365196173255E-2</v>
      </c>
      <c r="T201">
        <f t="shared" si="71"/>
        <v>1.794672807217737E-2</v>
      </c>
      <c r="U201" s="1">
        <f t="shared" si="66"/>
        <v>148.83382871175425</v>
      </c>
      <c r="V201">
        <f t="shared" si="67"/>
        <v>9.278974901273344E+18</v>
      </c>
      <c r="W201">
        <f t="shared" si="72"/>
        <v>3415531757870962</v>
      </c>
      <c r="Y201">
        <f t="shared" si="73"/>
        <v>1.9450000000000014</v>
      </c>
      <c r="Z201">
        <f t="shared" si="68"/>
        <v>0</v>
      </c>
      <c r="AA201">
        <f t="shared" si="74"/>
        <v>0</v>
      </c>
      <c r="AB201">
        <f t="shared" si="75"/>
        <v>1.0000235668946658</v>
      </c>
      <c r="AC201" s="1">
        <f t="shared" si="69"/>
        <v>7.4493433161470389E-3</v>
      </c>
    </row>
    <row r="202" spans="9:29" x14ac:dyDescent="0.2">
      <c r="I202">
        <f t="shared" si="57"/>
        <v>1.9550000000000014</v>
      </c>
      <c r="J202">
        <f t="shared" si="58"/>
        <v>3.6054174471089537E-2</v>
      </c>
      <c r="K202">
        <f t="shared" si="70"/>
        <v>1.7584898354641863E-2</v>
      </c>
      <c r="L202">
        <f t="shared" si="59"/>
        <v>3.4630244356612186E+17</v>
      </c>
      <c r="M202">
        <f t="shared" si="60"/>
        <v>18.803362624196957</v>
      </c>
      <c r="N202">
        <f t="shared" si="61"/>
        <v>0</v>
      </c>
      <c r="O202">
        <f t="shared" si="62"/>
        <v>0</v>
      </c>
      <c r="P202">
        <f t="shared" si="63"/>
        <v>0</v>
      </c>
      <c r="R202">
        <f t="shared" si="64"/>
        <v>1.9550000000000014</v>
      </c>
      <c r="S202">
        <f t="shared" si="65"/>
        <v>3.6054404578903201E-2</v>
      </c>
      <c r="T202">
        <f t="shared" si="71"/>
        <v>1.7578634420215639E-2</v>
      </c>
      <c r="U202" s="1">
        <f t="shared" si="66"/>
        <v>145.78119497675669</v>
      </c>
      <c r="V202">
        <f t="shared" si="67"/>
        <v>9.6050581838674063E+18</v>
      </c>
      <c r="W202">
        <f t="shared" si="72"/>
        <v>3463046537650607</v>
      </c>
      <c r="Y202">
        <f t="shared" si="73"/>
        <v>1.9550000000000014</v>
      </c>
      <c r="Z202">
        <f t="shared" si="68"/>
        <v>0</v>
      </c>
      <c r="AA202">
        <f t="shared" si="74"/>
        <v>0</v>
      </c>
      <c r="AB202">
        <f t="shared" si="75"/>
        <v>1.0000235668946658</v>
      </c>
      <c r="AC202" s="1">
        <f t="shared" si="69"/>
        <v>7.4493433161470389E-3</v>
      </c>
    </row>
    <row r="203" spans="9:29" x14ac:dyDescent="0.2">
      <c r="I203">
        <f t="shared" si="57"/>
        <v>1.9650000000000014</v>
      </c>
      <c r="J203">
        <f t="shared" si="58"/>
        <v>3.5314702826610166E-2</v>
      </c>
      <c r="K203">
        <f t="shared" si="70"/>
        <v>1.7224356609930967E-2</v>
      </c>
      <c r="L203">
        <f t="shared" si="59"/>
        <v>3.5111999044012474E+17</v>
      </c>
      <c r="M203">
        <f t="shared" si="60"/>
        <v>18.417838805393075</v>
      </c>
      <c r="N203">
        <f t="shared" si="61"/>
        <v>0</v>
      </c>
      <c r="O203">
        <f t="shared" si="62"/>
        <v>0</v>
      </c>
      <c r="P203">
        <f t="shared" si="63"/>
        <v>0</v>
      </c>
      <c r="R203">
        <f t="shared" si="64"/>
        <v>1.9650000000000014</v>
      </c>
      <c r="S203">
        <f t="shared" si="65"/>
        <v>3.5314928214909225E-2</v>
      </c>
      <c r="T203">
        <f t="shared" si="71"/>
        <v>1.7218090374426606E-2</v>
      </c>
      <c r="U203" s="1">
        <f t="shared" si="66"/>
        <v>142.79117080420582</v>
      </c>
      <c r="V203">
        <f t="shared" si="67"/>
        <v>9.9426007395296686E+18</v>
      </c>
      <c r="W203">
        <f t="shared" si="72"/>
        <v>3511222313859936</v>
      </c>
      <c r="Y203">
        <f t="shared" si="73"/>
        <v>1.9650000000000014</v>
      </c>
      <c r="Z203">
        <f t="shared" si="68"/>
        <v>0</v>
      </c>
      <c r="AA203">
        <f t="shared" si="74"/>
        <v>0</v>
      </c>
      <c r="AB203">
        <f t="shared" si="75"/>
        <v>1.0000235668946658</v>
      </c>
      <c r="AC203" s="1">
        <f t="shared" si="69"/>
        <v>7.4493433161470389E-3</v>
      </c>
    </row>
    <row r="204" spans="9:29" x14ac:dyDescent="0.2">
      <c r="I204">
        <f t="shared" si="57"/>
        <v>1.9750000000000014</v>
      </c>
      <c r="J204">
        <f t="shared" si="58"/>
        <v>3.4590397756348923E-2</v>
      </c>
      <c r="K204">
        <f t="shared" si="70"/>
        <v>1.6871209581664864E-2</v>
      </c>
      <c r="L204">
        <f t="shared" si="59"/>
        <v>3.5600455606699642E+17</v>
      </c>
      <c r="M204">
        <f t="shared" si="60"/>
        <v>18.040222085738154</v>
      </c>
      <c r="N204">
        <f t="shared" si="61"/>
        <v>0</v>
      </c>
      <c r="O204">
        <f t="shared" si="62"/>
        <v>0</v>
      </c>
      <c r="P204">
        <f t="shared" si="63"/>
        <v>0</v>
      </c>
      <c r="R204">
        <f t="shared" si="64"/>
        <v>1.9750000000000014</v>
      </c>
      <c r="S204">
        <f t="shared" si="65"/>
        <v>3.4590618521930676E-2</v>
      </c>
      <c r="T204">
        <f t="shared" si="71"/>
        <v>1.6864941092277513E-2</v>
      </c>
      <c r="U204" s="1">
        <f t="shared" si="66"/>
        <v>139.86247207106231</v>
      </c>
      <c r="V204">
        <f t="shared" si="67"/>
        <v>1.0292005271944387E+19</v>
      </c>
      <c r="W204">
        <f t="shared" si="72"/>
        <v>3560068281875277</v>
      </c>
      <c r="Y204">
        <f t="shared" si="73"/>
        <v>1.9750000000000014</v>
      </c>
      <c r="Z204">
        <f t="shared" si="68"/>
        <v>0</v>
      </c>
      <c r="AA204">
        <f t="shared" si="74"/>
        <v>0</v>
      </c>
      <c r="AB204">
        <f t="shared" si="75"/>
        <v>1.0000235668946658</v>
      </c>
      <c r="AC204" s="1">
        <f t="shared" si="69"/>
        <v>7.4493433161470389E-3</v>
      </c>
    </row>
    <row r="205" spans="9:29" x14ac:dyDescent="0.2">
      <c r="I205">
        <f t="shared" si="57"/>
        <v>1.9850000000000014</v>
      </c>
      <c r="J205">
        <f t="shared" si="58"/>
        <v>3.3880948193647294E-2</v>
      </c>
      <c r="K205">
        <f t="shared" si="70"/>
        <v>1.6525305604101374E-2</v>
      </c>
      <c r="L205">
        <f t="shared" si="59"/>
        <v>3.6095707277045958E+17</v>
      </c>
      <c r="M205">
        <f t="shared" si="60"/>
        <v>17.670350290513277</v>
      </c>
      <c r="N205">
        <f t="shared" si="61"/>
        <v>0</v>
      </c>
      <c r="O205">
        <f t="shared" si="62"/>
        <v>0</v>
      </c>
      <c r="P205">
        <f t="shared" si="63"/>
        <v>0</v>
      </c>
      <c r="R205">
        <f t="shared" si="64"/>
        <v>1.9850000000000014</v>
      </c>
      <c r="S205">
        <f t="shared" si="65"/>
        <v>3.3881164431323739E-2</v>
      </c>
      <c r="T205">
        <f t="shared" si="71"/>
        <v>1.6519034907058208E-2</v>
      </c>
      <c r="U205" s="1">
        <f t="shared" si="66"/>
        <v>136.99384099166912</v>
      </c>
      <c r="V205">
        <f t="shared" si="67"/>
        <v>1.065368863667574E+19</v>
      </c>
      <c r="W205">
        <f t="shared" si="72"/>
        <v>3609593764993359.5</v>
      </c>
      <c r="Y205">
        <f t="shared" si="73"/>
        <v>1.9850000000000014</v>
      </c>
      <c r="Z205">
        <f t="shared" si="68"/>
        <v>0</v>
      </c>
      <c r="AA205">
        <f t="shared" si="74"/>
        <v>0</v>
      </c>
      <c r="AB205">
        <f t="shared" si="75"/>
        <v>1.0000235668946658</v>
      </c>
      <c r="AC205" s="1">
        <f t="shared" si="69"/>
        <v>7.4493433161470389E-3</v>
      </c>
    </row>
    <row r="206" spans="9:29" x14ac:dyDescent="0.2">
      <c r="I206">
        <f t="shared" si="57"/>
        <v>1.9950000000000014</v>
      </c>
      <c r="J206">
        <f t="shared" si="58"/>
        <v>3.3186049451828473E-2</v>
      </c>
      <c r="K206">
        <f t="shared" si="70"/>
        <v>1.6186496122164901E-2</v>
      </c>
      <c r="L206">
        <f t="shared" si="59"/>
        <v>3.6597848584415213E+17</v>
      </c>
      <c r="M206">
        <f t="shared" si="60"/>
        <v>17.308064571205374</v>
      </c>
      <c r="N206">
        <f t="shared" si="61"/>
        <v>0</v>
      </c>
      <c r="O206">
        <f t="shared" si="62"/>
        <v>0</v>
      </c>
      <c r="P206">
        <f t="shared" si="63"/>
        <v>0</v>
      </c>
      <c r="R206">
        <f t="shared" si="64"/>
        <v>1.9950000000000014</v>
      </c>
      <c r="S206">
        <f t="shared" si="65"/>
        <v>3.3186261254467019E-2</v>
      </c>
      <c r="T206">
        <f t="shared" si="71"/>
        <v>1.6180223262744972E-2</v>
      </c>
      <c r="U206" s="1">
        <f t="shared" si="66"/>
        <v>134.18404557757131</v>
      </c>
      <c r="V206">
        <f t="shared" si="67"/>
        <v>1.1028082338495629E+19</v>
      </c>
      <c r="W206">
        <f t="shared" si="72"/>
        <v>3659808216210895.5</v>
      </c>
      <c r="Y206">
        <f t="shared" si="73"/>
        <v>1.9950000000000014</v>
      </c>
      <c r="Z206">
        <f t="shared" si="68"/>
        <v>0</v>
      </c>
      <c r="AA206">
        <f t="shared" si="74"/>
        <v>0</v>
      </c>
      <c r="AB206">
        <f t="shared" si="75"/>
        <v>1.0000235668946658</v>
      </c>
      <c r="AC206" s="1">
        <f t="shared" si="69"/>
        <v>7.4493433161470389E-3</v>
      </c>
    </row>
    <row r="207" spans="9:29" x14ac:dyDescent="0.2">
      <c r="I207">
        <f t="shared" si="57"/>
        <v>2.0050000000000012</v>
      </c>
      <c r="J207">
        <f t="shared" si="58"/>
        <v>3.2505403093343856E-2</v>
      </c>
      <c r="K207">
        <f t="shared" si="70"/>
        <v>1.5854635627646618E-2</v>
      </c>
      <c r="L207">
        <f t="shared" si="59"/>
        <v>3.7106975373205882E+17</v>
      </c>
      <c r="M207">
        <f t="shared" si="60"/>
        <v>16.953209337286694</v>
      </c>
      <c r="N207">
        <f t="shared" si="61"/>
        <v>0</v>
      </c>
      <c r="O207">
        <f t="shared" si="62"/>
        <v>0</v>
      </c>
      <c r="P207">
        <f t="shared" si="63"/>
        <v>0</v>
      </c>
      <c r="R207">
        <f t="shared" si="64"/>
        <v>2.0050000000000012</v>
      </c>
      <c r="S207">
        <f t="shared" si="65"/>
        <v>3.2505610551907198E-2</v>
      </c>
      <c r="T207">
        <f t="shared" si="71"/>
        <v>1.5848360650200302E-2</v>
      </c>
      <c r="U207" s="1">
        <f t="shared" si="66"/>
        <v>131.43187910841522</v>
      </c>
      <c r="V207">
        <f t="shared" si="67"/>
        <v>1.1415633046188648E+19</v>
      </c>
      <c r="W207">
        <f t="shared" si="72"/>
        <v>3710721220028902.5</v>
      </c>
      <c r="Y207">
        <f t="shared" si="73"/>
        <v>2.0050000000000012</v>
      </c>
      <c r="Z207">
        <f t="shared" si="68"/>
        <v>0</v>
      </c>
      <c r="AA207">
        <f t="shared" si="74"/>
        <v>0</v>
      </c>
      <c r="AB207">
        <f t="shared" si="75"/>
        <v>1.0000235668946658</v>
      </c>
      <c r="AC207" s="1">
        <f t="shared" si="69"/>
        <v>7.4493433161470389E-3</v>
      </c>
    </row>
    <row r="208" spans="9:29" x14ac:dyDescent="0.2">
      <c r="I208">
        <f t="shared" si="57"/>
        <v>2.015000000000001</v>
      </c>
      <c r="J208">
        <f t="shared" si="58"/>
        <v>3.1838716801603245E-2</v>
      </c>
      <c r="K208">
        <f t="shared" si="70"/>
        <v>1.5529581596713178E-2</v>
      </c>
      <c r="L208">
        <f t="shared" si="59"/>
        <v>3.7623184821143738E+17</v>
      </c>
      <c r="M208">
        <f t="shared" si="60"/>
        <v>16.605632189393486</v>
      </c>
      <c r="N208">
        <f t="shared" si="61"/>
        <v>0</v>
      </c>
      <c r="O208">
        <f t="shared" si="62"/>
        <v>0</v>
      </c>
      <c r="P208">
        <f t="shared" si="63"/>
        <v>0</v>
      </c>
      <c r="R208">
        <f t="shared" si="64"/>
        <v>2.015000000000001</v>
      </c>
      <c r="S208">
        <f t="shared" si="65"/>
        <v>3.1838920005188426E-2</v>
      </c>
      <c r="T208">
        <f t="shared" si="71"/>
        <v>1.5523304544681231E-2</v>
      </c>
      <c r="U208" s="1">
        <f t="shared" si="66"/>
        <v>128.73615961369924</v>
      </c>
      <c r="V208">
        <f t="shared" si="67"/>
        <v>1.181680312544795E+19</v>
      </c>
      <c r="W208">
        <f t="shared" si="72"/>
        <v>3762342494281979</v>
      </c>
      <c r="Y208">
        <f t="shared" si="73"/>
        <v>2.015000000000001</v>
      </c>
      <c r="Z208">
        <f t="shared" si="68"/>
        <v>0</v>
      </c>
      <c r="AA208">
        <f t="shared" si="74"/>
        <v>0</v>
      </c>
      <c r="AB208">
        <f t="shared" si="75"/>
        <v>1.0000235668946658</v>
      </c>
      <c r="AC208" s="1">
        <f t="shared" si="69"/>
        <v>7.4493433161470389E-3</v>
      </c>
    </row>
    <row r="209" spans="9:29" x14ac:dyDescent="0.2">
      <c r="I209">
        <f t="shared" si="57"/>
        <v>2.0250000000000008</v>
      </c>
      <c r="J209">
        <f t="shared" si="58"/>
        <v>3.1185704255434082E-2</v>
      </c>
      <c r="K209">
        <f t="shared" si="70"/>
        <v>1.5211194428697145E-2</v>
      </c>
      <c r="L209">
        <f t="shared" si="59"/>
        <v>3.8146575457833082E+17</v>
      </c>
      <c r="M209">
        <f t="shared" si="60"/>
        <v>16.265183853875172</v>
      </c>
      <c r="N209">
        <f t="shared" si="61"/>
        <v>0</v>
      </c>
      <c r="O209">
        <f t="shared" si="62"/>
        <v>0</v>
      </c>
      <c r="P209">
        <f t="shared" si="63"/>
        <v>0</v>
      </c>
      <c r="R209">
        <f t="shared" si="64"/>
        <v>2.0250000000000008</v>
      </c>
      <c r="S209">
        <f t="shared" si="65"/>
        <v>3.1185903291310768E-2</v>
      </c>
      <c r="T209">
        <f t="shared" si="71"/>
        <v>1.5204915344629347E-2</v>
      </c>
      <c r="U209" s="1">
        <f t="shared" si="66"/>
        <v>126.09572936515391</v>
      </c>
      <c r="V209">
        <f t="shared" si="67"/>
        <v>1.2232071190499432E+19</v>
      </c>
      <c r="W209">
        <f t="shared" si="72"/>
        <v>3814681891993439</v>
      </c>
      <c r="Y209">
        <f t="shared" si="73"/>
        <v>2.0250000000000008</v>
      </c>
      <c r="Z209">
        <f t="shared" si="68"/>
        <v>0</v>
      </c>
      <c r="AA209">
        <f t="shared" si="74"/>
        <v>0</v>
      </c>
      <c r="AB209">
        <f t="shared" si="75"/>
        <v>1.0000235668946658</v>
      </c>
      <c r="AC209" s="1">
        <f t="shared" si="69"/>
        <v>7.4493433161470389E-3</v>
      </c>
    </row>
    <row r="210" spans="9:29" x14ac:dyDescent="0.2">
      <c r="I210">
        <f t="shared" si="57"/>
        <v>2.0350000000000006</v>
      </c>
      <c r="J210">
        <f t="shared" si="58"/>
        <v>3.0546085006115123E-2</v>
      </c>
      <c r="K210">
        <f t="shared" si="70"/>
        <v>1.4899337386142804E-2</v>
      </c>
      <c r="L210">
        <f t="shared" si="59"/>
        <v>3.8677247183560326E+17</v>
      </c>
      <c r="M210">
        <f t="shared" si="60"/>
        <v>15.93171811868592</v>
      </c>
      <c r="N210">
        <f t="shared" si="61"/>
        <v>0</v>
      </c>
      <c r="O210">
        <f t="shared" si="62"/>
        <v>0</v>
      </c>
      <c r="P210">
        <f t="shared" si="63"/>
        <v>0</v>
      </c>
      <c r="R210">
        <f t="shared" si="64"/>
        <v>2.0350000000000006</v>
      </c>
      <c r="S210">
        <f t="shared" si="65"/>
        <v>3.0546279959763074E-2</v>
      </c>
      <c r="T210">
        <f t="shared" si="71"/>
        <v>1.489305631171624E-2</v>
      </c>
      <c r="U210" s="1">
        <f t="shared" si="66"/>
        <v>123.50945437953358</v>
      </c>
      <c r="V210">
        <f t="shared" si="67"/>
        <v>1.266193267510956E+19</v>
      </c>
      <c r="W210">
        <f t="shared" si="72"/>
        <v>3867749403255684</v>
      </c>
      <c r="Y210">
        <f t="shared" si="73"/>
        <v>2.0350000000000006</v>
      </c>
      <c r="Z210">
        <f t="shared" si="68"/>
        <v>0</v>
      </c>
      <c r="AA210">
        <f t="shared" si="74"/>
        <v>0</v>
      </c>
      <c r="AB210">
        <f t="shared" si="75"/>
        <v>1.0000235668946658</v>
      </c>
      <c r="AC210" s="1">
        <f t="shared" si="69"/>
        <v>7.4493433161470389E-3</v>
      </c>
    </row>
    <row r="211" spans="9:29" x14ac:dyDescent="0.2">
      <c r="I211">
        <f t="shared" si="57"/>
        <v>2.0450000000000004</v>
      </c>
      <c r="J211">
        <f t="shared" si="58"/>
        <v>2.9919584356932601E-2</v>
      </c>
      <c r="K211">
        <f t="shared" si="70"/>
        <v>1.4593876536081653E-2</v>
      </c>
      <c r="L211">
        <f t="shared" si="59"/>
        <v>3.9215301288363482E+17</v>
      </c>
      <c r="M211">
        <f t="shared" si="60"/>
        <v>15.6050917705911</v>
      </c>
      <c r="N211">
        <f t="shared" si="61"/>
        <v>0</v>
      </c>
      <c r="O211">
        <f t="shared" si="62"/>
        <v>0</v>
      </c>
      <c r="P211">
        <f t="shared" si="63"/>
        <v>0</v>
      </c>
      <c r="R211">
        <f t="shared" si="64"/>
        <v>2.0450000000000004</v>
      </c>
      <c r="S211">
        <f t="shared" si="65"/>
        <v>2.9919775312078387E-2</v>
      </c>
      <c r="T211">
        <f t="shared" si="71"/>
        <v>1.4587593512118609E-2</v>
      </c>
      <c r="U211" s="1">
        <f t="shared" si="66"/>
        <v>120.97622393160542</v>
      </c>
      <c r="V211">
        <f t="shared" si="67"/>
        <v>1.3106900423660796E+19</v>
      </c>
      <c r="W211">
        <f t="shared" si="72"/>
        <v>3921555157137160.5</v>
      </c>
      <c r="Y211">
        <f t="shared" si="73"/>
        <v>2.0450000000000004</v>
      </c>
      <c r="Z211">
        <f t="shared" si="68"/>
        <v>0</v>
      </c>
      <c r="AA211">
        <f t="shared" si="74"/>
        <v>0</v>
      </c>
      <c r="AB211">
        <f t="shared" si="75"/>
        <v>1.0000235668946658</v>
      </c>
      <c r="AC211" s="1">
        <f t="shared" si="69"/>
        <v>7.4493433161470389E-3</v>
      </c>
    </row>
    <row r="212" spans="9:29" x14ac:dyDescent="0.2">
      <c r="I212">
        <f t="shared" si="57"/>
        <v>2.0550000000000002</v>
      </c>
      <c r="J212">
        <f t="shared" si="58"/>
        <v>2.9305933245206275E-2</v>
      </c>
      <c r="K212">
        <f t="shared" si="70"/>
        <v>1.4294680692512328E-2</v>
      </c>
      <c r="L212">
        <f t="shared" si="59"/>
        <v>3.9760840471366035E+17</v>
      </c>
      <c r="M212">
        <f t="shared" si="60"/>
        <v>15.285164533661609</v>
      </c>
      <c r="N212">
        <f t="shared" si="61"/>
        <v>0</v>
      </c>
      <c r="O212">
        <f t="shared" si="62"/>
        <v>0</v>
      </c>
      <c r="P212">
        <f t="shared" si="63"/>
        <v>0</v>
      </c>
      <c r="R212">
        <f t="shared" si="64"/>
        <v>2.0550000000000002</v>
      </c>
      <c r="S212">
        <f t="shared" si="65"/>
        <v>2.9306120283859236E-2</v>
      </c>
      <c r="T212">
        <f t="shared" si="71"/>
        <v>1.4288395758997825E-2</v>
      </c>
      <c r="U212" s="1">
        <f t="shared" si="66"/>
        <v>118.49495007712738</v>
      </c>
      <c r="V212">
        <f t="shared" si="67"/>
        <v>1.3567505302998643E+19</v>
      </c>
      <c r="W212">
        <f t="shared" si="72"/>
        <v>3976109423615762.5</v>
      </c>
      <c r="Y212">
        <f t="shared" si="73"/>
        <v>2.0550000000000002</v>
      </c>
      <c r="Z212">
        <f t="shared" si="68"/>
        <v>0</v>
      </c>
      <c r="AA212">
        <f t="shared" si="74"/>
        <v>0</v>
      </c>
      <c r="AB212">
        <f t="shared" si="75"/>
        <v>1.0000235668946658</v>
      </c>
      <c r="AC212" s="1">
        <f t="shared" si="69"/>
        <v>7.4493433161470389E-3</v>
      </c>
    </row>
    <row r="213" spans="9:29" x14ac:dyDescent="0.2">
      <c r="I213">
        <f t="shared" si="57"/>
        <v>2.0649999999999999</v>
      </c>
      <c r="J213">
        <f t="shared" si="58"/>
        <v>2.8704868126735394E-2</v>
      </c>
      <c r="K213">
        <f t="shared" si="70"/>
        <v>1.4001621360060265E-2</v>
      </c>
      <c r="L213">
        <f t="shared" si="59"/>
        <v>4.0313968860378061E+17</v>
      </c>
      <c r="M213">
        <f t="shared" si="60"/>
        <v>14.971799009029695</v>
      </c>
      <c r="N213">
        <f t="shared" si="61"/>
        <v>0</v>
      </c>
      <c r="O213">
        <f t="shared" si="62"/>
        <v>0</v>
      </c>
      <c r="P213">
        <f t="shared" si="63"/>
        <v>0</v>
      </c>
      <c r="R213">
        <f t="shared" si="64"/>
        <v>2.0649999999999999</v>
      </c>
      <c r="S213">
        <f t="shared" si="65"/>
        <v>2.8705051329222853E-2</v>
      </c>
      <c r="T213">
        <f t="shared" si="71"/>
        <v>1.3995334556159233E-2</v>
      </c>
      <c r="U213" s="1">
        <f t="shared" si="66"/>
        <v>116.06456718560972</v>
      </c>
      <c r="V213">
        <f t="shared" si="67"/>
        <v>1.40442968357796E+19</v>
      </c>
      <c r="W213">
        <f t="shared" si="72"/>
        <v>4031422615538955.5</v>
      </c>
      <c r="Y213">
        <f t="shared" si="73"/>
        <v>2.0649999999999999</v>
      </c>
      <c r="Z213">
        <f t="shared" si="68"/>
        <v>0</v>
      </c>
      <c r="AA213">
        <f t="shared" si="74"/>
        <v>0</v>
      </c>
      <c r="AB213">
        <f t="shared" si="75"/>
        <v>1.0000235668946658</v>
      </c>
      <c r="AC213" s="1">
        <f t="shared" si="69"/>
        <v>7.4493433161470389E-3</v>
      </c>
    </row>
    <row r="214" spans="9:29" x14ac:dyDescent="0.2">
      <c r="I214">
        <f t="shared" si="57"/>
        <v>2.0749999999999997</v>
      </c>
      <c r="J214">
        <f t="shared" si="58"/>
        <v>2.8116130862614698E-2</v>
      </c>
      <c r="K214">
        <f t="shared" si="70"/>
        <v>1.3714572678792912E-2</v>
      </c>
      <c r="L214">
        <f t="shared" si="59"/>
        <v>4.087479203177129E+17</v>
      </c>
      <c r="M214">
        <f t="shared" si="60"/>
        <v>14.664860615880393</v>
      </c>
      <c r="N214">
        <f t="shared" si="61"/>
        <v>0</v>
      </c>
      <c r="O214">
        <f t="shared" si="62"/>
        <v>0</v>
      </c>
      <c r="P214">
        <f t="shared" si="63"/>
        <v>0</v>
      </c>
      <c r="R214">
        <f t="shared" si="64"/>
        <v>2.0749999999999997</v>
      </c>
      <c r="S214">
        <f t="shared" si="65"/>
        <v>2.8116310307616466E-2</v>
      </c>
      <c r="T214">
        <f t="shared" si="71"/>
        <v>1.3708284042867004E-2</v>
      </c>
      <c r="U214" s="1">
        <f t="shared" si="66"/>
        <v>113.68403148265955</v>
      </c>
      <c r="V214">
        <f t="shared" si="67"/>
        <v>1.4537843856076747E+19</v>
      </c>
      <c r="W214">
        <f t="shared" si="72"/>
        <v>4087505290611293.5</v>
      </c>
      <c r="Y214">
        <f t="shared" si="73"/>
        <v>2.0749999999999997</v>
      </c>
      <c r="Z214">
        <f t="shared" si="68"/>
        <v>0</v>
      </c>
      <c r="AA214">
        <f t="shared" si="74"/>
        <v>0</v>
      </c>
      <c r="AB214">
        <f t="shared" si="75"/>
        <v>1.0000235668946658</v>
      </c>
      <c r="AC214" s="1">
        <f t="shared" si="69"/>
        <v>7.4493433161470389E-3</v>
      </c>
    </row>
    <row r="215" spans="9:29" x14ac:dyDescent="0.2">
      <c r="I215">
        <f t="shared" si="57"/>
        <v>2.0849999999999995</v>
      </c>
      <c r="J215">
        <f t="shared" si="58"/>
        <v>2.7539468608371538E-2</v>
      </c>
      <c r="K215">
        <f t="shared" si="70"/>
        <v>1.3433411370166765E-2</v>
      </c>
      <c r="L215">
        <f t="shared" si="59"/>
        <v>4.1443417030631802E+17</v>
      </c>
      <c r="M215">
        <f t="shared" si="60"/>
        <v>14.364217533653212</v>
      </c>
      <c r="N215">
        <f t="shared" si="61"/>
        <v>0</v>
      </c>
      <c r="O215">
        <f t="shared" si="62"/>
        <v>0</v>
      </c>
      <c r="P215">
        <f t="shared" si="63"/>
        <v>0</v>
      </c>
      <c r="R215">
        <f t="shared" si="64"/>
        <v>2.0849999999999995</v>
      </c>
      <c r="S215">
        <f t="shared" si="65"/>
        <v>2.7539644372953701E-2</v>
      </c>
      <c r="T215">
        <f t="shared" si="71"/>
        <v>1.342712093979084E-2</v>
      </c>
      <c r="U215" s="1">
        <f t="shared" si="66"/>
        <v>111.35232060171195</v>
      </c>
      <c r="V215">
        <f t="shared" si="67"/>
        <v>1.5048735188025268E+19</v>
      </c>
      <c r="W215">
        <f t="shared" si="72"/>
        <v>4144368153409704.5</v>
      </c>
      <c r="Y215">
        <f t="shared" si="73"/>
        <v>2.0849999999999995</v>
      </c>
      <c r="Z215">
        <f t="shared" si="68"/>
        <v>0</v>
      </c>
      <c r="AA215">
        <f t="shared" si="74"/>
        <v>0</v>
      </c>
      <c r="AB215">
        <f t="shared" si="75"/>
        <v>1.0000235668946658</v>
      </c>
      <c r="AC215" s="1">
        <f t="shared" si="69"/>
        <v>7.4493433161470389E-3</v>
      </c>
    </row>
    <row r="216" spans="9:29" x14ac:dyDescent="0.2">
      <c r="I216">
        <f t="shared" si="57"/>
        <v>2.0949999999999993</v>
      </c>
      <c r="J216">
        <f t="shared" si="58"/>
        <v>2.6974633705377178E-2</v>
      </c>
      <c r="K216">
        <f t="shared" si="70"/>
        <v>1.3158016684083049E-2</v>
      </c>
      <c r="L216">
        <f t="shared" si="59"/>
        <v>4.2019952391190714E+17</v>
      </c>
      <c r="M216">
        <f t="shared" si="60"/>
        <v>14.069740645429285</v>
      </c>
      <c r="N216">
        <f t="shared" si="61"/>
        <v>0</v>
      </c>
      <c r="O216">
        <f t="shared" si="62"/>
        <v>0</v>
      </c>
      <c r="P216">
        <f t="shared" si="63"/>
        <v>0</v>
      </c>
      <c r="R216">
        <f t="shared" si="64"/>
        <v>2.0949999999999993</v>
      </c>
      <c r="S216">
        <f t="shared" si="65"/>
        <v>2.6974805865025195E-2</v>
      </c>
      <c r="T216">
        <f t="shared" si="71"/>
        <v>1.3151724496061303E-2</v>
      </c>
      <c r="U216" s="1">
        <f t="shared" si="66"/>
        <v>109.06843314495532</v>
      </c>
      <c r="V216">
        <f t="shared" si="67"/>
        <v>1.5577580348316045E+19</v>
      </c>
      <c r="W216">
        <f t="shared" si="72"/>
        <v>4202022057426569</v>
      </c>
      <c r="Y216">
        <f t="shared" si="73"/>
        <v>2.0949999999999993</v>
      </c>
      <c r="Z216">
        <f t="shared" si="68"/>
        <v>0</v>
      </c>
      <c r="AA216">
        <f t="shared" si="74"/>
        <v>0</v>
      </c>
      <c r="AB216">
        <f t="shared" si="75"/>
        <v>1.0000235668946658</v>
      </c>
      <c r="AC216" s="1">
        <f t="shared" si="69"/>
        <v>7.4493433161470389E-3</v>
      </c>
    </row>
    <row r="217" spans="9:29" x14ac:dyDescent="0.2">
      <c r="I217">
        <f t="shared" si="57"/>
        <v>2.1049999999999991</v>
      </c>
      <c r="J217">
        <f t="shared" si="58"/>
        <v>2.6421383574484911E-2</v>
      </c>
      <c r="K217">
        <f t="shared" si="70"/>
        <v>1.2888270347029277E-2</v>
      </c>
      <c r="L217">
        <f t="shared" si="59"/>
        <v>4.2604508157541504E+17</v>
      </c>
      <c r="M217">
        <f t="shared" si="60"/>
        <v>13.781303482479631</v>
      </c>
      <c r="N217">
        <f t="shared" si="61"/>
        <v>0</v>
      </c>
      <c r="O217">
        <f t="shared" si="62"/>
        <v>0</v>
      </c>
      <c r="P217">
        <f t="shared" si="63"/>
        <v>0</v>
      </c>
      <c r="R217">
        <f t="shared" si="64"/>
        <v>2.1049999999999991</v>
      </c>
      <c r="S217">
        <f t="shared" si="65"/>
        <v>2.6421552203136033E-2</v>
      </c>
      <c r="T217">
        <f t="shared" si="71"/>
        <v>1.2881976437411052E-2</v>
      </c>
      <c r="U217" s="1">
        <f t="shared" si="66"/>
        <v>106.83138825326165</v>
      </c>
      <c r="V217">
        <f t="shared" si="67"/>
        <v>1.6125010273377436E+19</v>
      </c>
      <c r="W217">
        <f t="shared" si="72"/>
        <v>4260478007141467.5</v>
      </c>
      <c r="Y217">
        <f t="shared" si="73"/>
        <v>2.1049999999999991</v>
      </c>
      <c r="Z217">
        <f t="shared" si="68"/>
        <v>0</v>
      </c>
      <c r="AA217">
        <f t="shared" si="74"/>
        <v>0</v>
      </c>
      <c r="AB217">
        <f t="shared" si="75"/>
        <v>1.0000235668946658</v>
      </c>
      <c r="AC217" s="1">
        <f t="shared" si="69"/>
        <v>7.4493433161470389E-3</v>
      </c>
    </row>
    <row r="218" spans="9:29" x14ac:dyDescent="0.2">
      <c r="I218">
        <f t="shared" si="57"/>
        <v>2.1149999999999989</v>
      </c>
      <c r="J218">
        <f t="shared" si="58"/>
        <v>2.5879480611849862E-2</v>
      </c>
      <c r="K218">
        <f t="shared" si="70"/>
        <v>1.2624056511284428E-2</v>
      </c>
      <c r="L218">
        <f t="shared" si="59"/>
        <v>4.319719590464256E+17</v>
      </c>
      <c r="M218">
        <f t="shared" si="60"/>
        <v>13.498782169950749</v>
      </c>
      <c r="N218">
        <f t="shared" si="61"/>
        <v>0</v>
      </c>
      <c r="O218">
        <f t="shared" si="62"/>
        <v>0</v>
      </c>
      <c r="P218">
        <f t="shared" si="63"/>
        <v>0</v>
      </c>
      <c r="R218">
        <f t="shared" si="64"/>
        <v>2.1149999999999989</v>
      </c>
      <c r="S218">
        <f t="shared" si="65"/>
        <v>2.5879645781924889E-2</v>
      </c>
      <c r="T218">
        <f t="shared" si="71"/>
        <v>1.2617760915379691E-2</v>
      </c>
      <c r="U218" s="1">
        <f t="shared" si="66"/>
        <v>104.64022518493802</v>
      </c>
      <c r="V218">
        <f t="shared" si="67"/>
        <v>1.6691678072110594E+19</v>
      </c>
      <c r="W218">
        <f t="shared" si="72"/>
        <v>4319747160121451</v>
      </c>
      <c r="Y218">
        <f t="shared" si="73"/>
        <v>2.1149999999999989</v>
      </c>
      <c r="Z218">
        <f t="shared" si="68"/>
        <v>0</v>
      </c>
      <c r="AA218">
        <f t="shared" si="74"/>
        <v>0</v>
      </c>
      <c r="AB218">
        <f t="shared" si="75"/>
        <v>1.0000235668946658</v>
      </c>
      <c r="AC218" s="1">
        <f t="shared" si="69"/>
        <v>7.4493433161470389E-3</v>
      </c>
    </row>
    <row r="219" spans="9:29" x14ac:dyDescent="0.2">
      <c r="I219">
        <f t="shared" si="57"/>
        <v>2.1249999999999987</v>
      </c>
      <c r="J219">
        <f t="shared" si="58"/>
        <v>2.5348692086885543E-2</v>
      </c>
      <c r="K219">
        <f t="shared" si="70"/>
        <v>1.236526170516593E-2</v>
      </c>
      <c r="L219">
        <f t="shared" si="59"/>
        <v>4.3798128759614976E+17</v>
      </c>
      <c r="M219">
        <f t="shared" si="60"/>
        <v>13.222055373664189</v>
      </c>
      <c r="N219">
        <f t="shared" si="61"/>
        <v>0</v>
      </c>
      <c r="O219">
        <f t="shared" si="62"/>
        <v>0</v>
      </c>
      <c r="P219">
        <f t="shared" si="63"/>
        <v>0</v>
      </c>
      <c r="R219">
        <f t="shared" si="64"/>
        <v>2.1249999999999987</v>
      </c>
      <c r="S219">
        <f t="shared" si="65"/>
        <v>2.5348853869319923E-2</v>
      </c>
      <c r="T219">
        <f t="shared" si="71"/>
        <v>1.2358964457560443E-2</v>
      </c>
      <c r="U219" s="1">
        <f t="shared" si="66"/>
        <v>102.49400290311762</v>
      </c>
      <c r="V219">
        <f t="shared" si="67"/>
        <v>1.7278259805078651E+19</v>
      </c>
      <c r="W219">
        <f t="shared" si="72"/>
        <v>4379840829150829</v>
      </c>
      <c r="Y219">
        <f t="shared" si="73"/>
        <v>2.1249999999999987</v>
      </c>
      <c r="Z219">
        <f t="shared" si="68"/>
        <v>0</v>
      </c>
      <c r="AA219">
        <f t="shared" si="74"/>
        <v>0</v>
      </c>
      <c r="AB219">
        <f t="shared" si="75"/>
        <v>1.0000235668946658</v>
      </c>
      <c r="AC219" s="1">
        <f t="shared" si="69"/>
        <v>7.4493433161470389E-3</v>
      </c>
    </row>
    <row r="220" spans="9:29" x14ac:dyDescent="0.2">
      <c r="I220">
        <f t="shared" si="57"/>
        <v>2.1349999999999985</v>
      </c>
      <c r="J220">
        <f t="shared" si="58"/>
        <v>2.4828790042313122E-2</v>
      </c>
      <c r="K220">
        <f t="shared" si="70"/>
        <v>1.2111774784297074E-2</v>
      </c>
      <c r="L220">
        <f t="shared" si="59"/>
        <v>4.4407421423334726E+17</v>
      </c>
      <c r="M220">
        <f t="shared" si="60"/>
        <v>12.951004248007266</v>
      </c>
      <c r="N220">
        <f t="shared" si="61"/>
        <v>0</v>
      </c>
      <c r="O220">
        <f t="shared" si="62"/>
        <v>0</v>
      </c>
      <c r="P220">
        <f t="shared" si="63"/>
        <v>0</v>
      </c>
      <c r="R220">
        <f t="shared" si="64"/>
        <v>2.1349999999999985</v>
      </c>
      <c r="S220">
        <f t="shared" si="65"/>
        <v>2.4828948506587411E-2</v>
      </c>
      <c r="T220">
        <f t="shared" si="71"/>
        <v>1.2105475918867244E-2</v>
      </c>
      <c r="U220" s="1">
        <f t="shared" si="66"/>
        <v>100.39179967161353</v>
      </c>
      <c r="V220">
        <f t="shared" si="67"/>
        <v>1.7885455291077728E+19</v>
      </c>
      <c r="W220">
        <f t="shared" si="72"/>
        <v>4440770484390402.5</v>
      </c>
      <c r="Y220">
        <f t="shared" si="73"/>
        <v>2.1349999999999985</v>
      </c>
      <c r="Z220">
        <f t="shared" si="68"/>
        <v>0</v>
      </c>
      <c r="AA220">
        <f t="shared" si="74"/>
        <v>0</v>
      </c>
      <c r="AB220">
        <f t="shared" si="75"/>
        <v>1.0000235668946658</v>
      </c>
      <c r="AC220" s="1">
        <f t="shared" si="69"/>
        <v>7.4493433161470389E-3</v>
      </c>
    </row>
    <row r="221" spans="9:29" x14ac:dyDescent="0.2">
      <c r="I221">
        <f t="shared" si="57"/>
        <v>2.1449999999999982</v>
      </c>
      <c r="J221">
        <f t="shared" si="58"/>
        <v>2.4319551196260943E-2</v>
      </c>
      <c r="K221">
        <f t="shared" si="70"/>
        <v>1.1863486883873942E-2</v>
      </c>
      <c r="L221">
        <f t="shared" si="59"/>
        <v>4.5025190192326042E+17</v>
      </c>
      <c r="M221">
        <f t="shared" si="60"/>
        <v>12.685512384892558</v>
      </c>
      <c r="N221">
        <f t="shared" si="61"/>
        <v>0</v>
      </c>
      <c r="O221">
        <f t="shared" si="62"/>
        <v>0</v>
      </c>
      <c r="P221">
        <f t="shared" si="63"/>
        <v>0</v>
      </c>
      <c r="R221">
        <f t="shared" si="64"/>
        <v>2.1449999999999982</v>
      </c>
      <c r="S221">
        <f t="shared" si="65"/>
        <v>2.4319706410430655E-2</v>
      </c>
      <c r="T221">
        <f t="shared" si="71"/>
        <v>1.185718643380137E-2</v>
      </c>
      <c r="U221" s="1">
        <f t="shared" si="66"/>
        <v>98.332712659061471</v>
      </c>
      <c r="V221">
        <f t="shared" si="67"/>
        <v>1.8513988942052733E+19</v>
      </c>
      <c r="W221">
        <f t="shared" si="72"/>
        <v>4502547755566821</v>
      </c>
      <c r="Y221">
        <f t="shared" si="73"/>
        <v>2.1449999999999982</v>
      </c>
      <c r="Z221">
        <f t="shared" si="68"/>
        <v>0</v>
      </c>
      <c r="AA221">
        <f t="shared" si="74"/>
        <v>0</v>
      </c>
      <c r="AB221">
        <f t="shared" si="75"/>
        <v>1.0000235668946658</v>
      </c>
      <c r="AC221" s="1">
        <f t="shared" si="69"/>
        <v>7.4493433161470389E-3</v>
      </c>
    </row>
    <row r="222" spans="9:29" x14ac:dyDescent="0.2">
      <c r="I222">
        <f t="shared" si="57"/>
        <v>2.154999999999998</v>
      </c>
      <c r="J222">
        <f t="shared" si="58"/>
        <v>2.3820756846371756E-2</v>
      </c>
      <c r="K222">
        <f t="shared" si="70"/>
        <v>1.1620291371911333E-2</v>
      </c>
      <c r="L222">
        <f t="shared" si="59"/>
        <v>4.5651552980958874E+17</v>
      </c>
      <c r="M222">
        <f t="shared" si="60"/>
        <v>12.425465763764203</v>
      </c>
      <c r="N222">
        <f t="shared" si="61"/>
        <v>0</v>
      </c>
      <c r="O222">
        <f t="shared" si="62"/>
        <v>0</v>
      </c>
      <c r="P222">
        <f t="shared" si="63"/>
        <v>0</v>
      </c>
      <c r="R222">
        <f t="shared" si="64"/>
        <v>2.154999999999998</v>
      </c>
      <c r="S222">
        <f t="shared" si="65"/>
        <v>2.3820908877096585E-2</v>
      </c>
      <c r="T222">
        <f t="shared" si="71"/>
        <v>1.1613989369697065E-2</v>
      </c>
      <c r="U222" s="1">
        <f t="shared" si="66"/>
        <v>96.315857551181608</v>
      </c>
      <c r="V222">
        <f t="shared" si="67"/>
        <v>1.9164610627353874E+19</v>
      </c>
      <c r="W222">
        <f t="shared" si="72"/>
        <v>4565184434192335</v>
      </c>
      <c r="Y222">
        <f t="shared" si="73"/>
        <v>2.154999999999998</v>
      </c>
      <c r="Z222">
        <f t="shared" si="68"/>
        <v>0</v>
      </c>
      <c r="AA222">
        <f t="shared" si="74"/>
        <v>0</v>
      </c>
      <c r="AB222">
        <f t="shared" si="75"/>
        <v>1.0000235668946658</v>
      </c>
      <c r="AC222" s="1">
        <f t="shared" si="69"/>
        <v>7.4493433161470389E-3</v>
      </c>
    </row>
    <row r="223" spans="9:29" x14ac:dyDescent="0.2">
      <c r="I223">
        <f t="shared" si="57"/>
        <v>2.1649999999999978</v>
      </c>
      <c r="J223">
        <f t="shared" si="58"/>
        <v>2.333219277587683E-2</v>
      </c>
      <c r="K223">
        <f t="shared" si="70"/>
        <v>1.1382083803447615E-2</v>
      </c>
      <c r="L223">
        <f t="shared" si="59"/>
        <v>4.628662934395543E+17</v>
      </c>
      <c r="M223">
        <f t="shared" si="60"/>
        <v>12.17075270262961</v>
      </c>
      <c r="N223">
        <f t="shared" si="61"/>
        <v>0</v>
      </c>
      <c r="O223">
        <f t="shared" si="62"/>
        <v>0</v>
      </c>
      <c r="P223">
        <f t="shared" si="63"/>
        <v>0</v>
      </c>
      <c r="R223">
        <f t="shared" si="64"/>
        <v>2.1649999999999978</v>
      </c>
      <c r="S223">
        <f t="shared" si="65"/>
        <v>2.3332341688449276E-2</v>
      </c>
      <c r="T223">
        <f t="shared" si="71"/>
        <v>1.1375780280926099E-2</v>
      </c>
      <c r="U223" s="1">
        <f t="shared" si="66"/>
        <v>94.340368170992903</v>
      </c>
      <c r="V223">
        <f t="shared" si="67"/>
        <v>1.9838096568365064E+19</v>
      </c>
      <c r="W223">
        <f t="shared" si="72"/>
        <v>4628692475815467</v>
      </c>
      <c r="Y223">
        <f t="shared" si="73"/>
        <v>2.1649999999999978</v>
      </c>
      <c r="Z223">
        <f t="shared" si="68"/>
        <v>0</v>
      </c>
      <c r="AA223">
        <f t="shared" si="74"/>
        <v>0</v>
      </c>
      <c r="AB223">
        <f t="shared" si="75"/>
        <v>1.0000235668946658</v>
      </c>
      <c r="AC223" s="1">
        <f t="shared" si="69"/>
        <v>7.4493433161470389E-3</v>
      </c>
    </row>
    <row r="224" spans="9:29" x14ac:dyDescent="0.2">
      <c r="I224">
        <f t="shared" si="57"/>
        <v>2.1749999999999976</v>
      </c>
      <c r="J224">
        <f t="shared" si="58"/>
        <v>2.2853649161596566E-2</v>
      </c>
      <c r="K224">
        <f t="shared" si="70"/>
        <v>1.1148761875688846E-2</v>
      </c>
      <c r="L224">
        <f t="shared" si="59"/>
        <v>4.69305404992096E+17</v>
      </c>
      <c r="M224">
        <f t="shared" si="60"/>
        <v>11.921263810095482</v>
      </c>
      <c r="N224">
        <f t="shared" si="61"/>
        <v>0</v>
      </c>
      <c r="O224">
        <f t="shared" si="62"/>
        <v>0</v>
      </c>
      <c r="P224">
        <f t="shared" si="63"/>
        <v>0</v>
      </c>
      <c r="R224">
        <f t="shared" si="64"/>
        <v>2.1749999999999976</v>
      </c>
      <c r="S224">
        <f t="shared" si="65"/>
        <v>2.2853795019969977E-2</v>
      </c>
      <c r="T224">
        <f t="shared" si="71"/>
        <v>1.1142456864041606E-2</v>
      </c>
      <c r="U224" s="1">
        <f t="shared" si="66"/>
        <v>92.405396106816809</v>
      </c>
      <c r="V224">
        <f t="shared" si="67"/>
        <v>2.0535250264571318E+19</v>
      </c>
      <c r="W224">
        <f t="shared" si="72"/>
        <v>4693084002302972</v>
      </c>
      <c r="Y224">
        <f t="shared" si="73"/>
        <v>2.1749999999999976</v>
      </c>
      <c r="Z224">
        <f t="shared" si="68"/>
        <v>0</v>
      </c>
      <c r="AA224">
        <f t="shared" si="74"/>
        <v>0</v>
      </c>
      <c r="AB224">
        <f t="shared" si="75"/>
        <v>1.0000235668946658</v>
      </c>
      <c r="AC224" s="1">
        <f t="shared" si="69"/>
        <v>7.4493433161470389E-3</v>
      </c>
    </row>
    <row r="225" spans="9:29" x14ac:dyDescent="0.2">
      <c r="I225">
        <f t="shared" si="57"/>
        <v>2.1849999999999974</v>
      </c>
      <c r="J225">
        <f t="shared" si="58"/>
        <v>2.2384920483827741E-2</v>
      </c>
      <c r="K225">
        <f t="shared" si="70"/>
        <v>1.092022538407288E-2</v>
      </c>
      <c r="L225">
        <f t="shared" si="59"/>
        <v>4.7583409350925286E+17</v>
      </c>
      <c r="M225">
        <f t="shared" si="60"/>
        <v>11.676891938387595</v>
      </c>
      <c r="N225">
        <f t="shared" si="61"/>
        <v>0</v>
      </c>
      <c r="O225">
        <f t="shared" si="62"/>
        <v>0</v>
      </c>
      <c r="P225">
        <f t="shared" si="63"/>
        <v>0</v>
      </c>
      <c r="R225">
        <f t="shared" si="64"/>
        <v>2.1849999999999974</v>
      </c>
      <c r="S225">
        <f t="shared" si="65"/>
        <v>2.2385063350643785E-2</v>
      </c>
      <c r="T225">
        <f t="shared" si="71"/>
        <v>1.0913918913841907E-2</v>
      </c>
      <c r="U225" s="1">
        <f t="shared" si="66"/>
        <v>90.510110347910754</v>
      </c>
      <c r="V225">
        <f t="shared" si="67"/>
        <v>2.1256903452171071E+19</v>
      </c>
      <c r="W225">
        <f t="shared" si="72"/>
        <v>4758371304153680</v>
      </c>
      <c r="Y225">
        <f t="shared" si="73"/>
        <v>2.1849999999999974</v>
      </c>
      <c r="Z225">
        <f t="shared" si="68"/>
        <v>0</v>
      </c>
      <c r="AA225">
        <f t="shared" si="74"/>
        <v>0</v>
      </c>
      <c r="AB225">
        <f t="shared" si="75"/>
        <v>1.0000235668946658</v>
      </c>
      <c r="AC225" s="1">
        <f t="shared" si="69"/>
        <v>7.4493433161470389E-3</v>
      </c>
    </row>
    <row r="226" spans="9:29" x14ac:dyDescent="0.2">
      <c r="I226">
        <f t="shared" si="57"/>
        <v>2.1949999999999972</v>
      </c>
      <c r="J226">
        <f t="shared" si="58"/>
        <v>2.192580543807934E-2</v>
      </c>
      <c r="K226">
        <f t="shared" si="70"/>
        <v>1.0696376179234602E-2</v>
      </c>
      <c r="L226">
        <f t="shared" si="59"/>
        <v>4.8245360513072371E+17</v>
      </c>
      <c r="M226">
        <f t="shared" si="60"/>
        <v>11.43753213733414</v>
      </c>
      <c r="N226">
        <f t="shared" si="61"/>
        <v>0</v>
      </c>
      <c r="O226">
        <f t="shared" si="62"/>
        <v>0</v>
      </c>
      <c r="P226">
        <f t="shared" si="63"/>
        <v>0</v>
      </c>
      <c r="R226">
        <f t="shared" si="64"/>
        <v>2.1949999999999972</v>
      </c>
      <c r="S226">
        <f t="shared" si="65"/>
        <v>2.1925945374694899E-2</v>
      </c>
      <c r="T226">
        <f t="shared" si="71"/>
        <v>1.0690068280335469E-2</v>
      </c>
      <c r="U226" s="1">
        <f t="shared" si="66"/>
        <v>88.653696927574529</v>
      </c>
      <c r="V226">
        <f t="shared" si="67"/>
        <v>2.2003917096373985E+19</v>
      </c>
      <c r="W226">
        <f t="shared" si="72"/>
        <v>4824566842844112</v>
      </c>
      <c r="Y226">
        <f t="shared" si="73"/>
        <v>2.1949999999999972</v>
      </c>
      <c r="Z226">
        <f t="shared" si="68"/>
        <v>0</v>
      </c>
      <c r="AA226">
        <f t="shared" si="74"/>
        <v>0</v>
      </c>
      <c r="AB226">
        <f t="shared" si="75"/>
        <v>1.0000235668946658</v>
      </c>
      <c r="AC226" s="1">
        <f t="shared" si="69"/>
        <v>7.4493433161470389E-3</v>
      </c>
    </row>
    <row r="227" spans="9:29" x14ac:dyDescent="0.2">
      <c r="I227">
        <f t="shared" si="57"/>
        <v>2.204999999999997</v>
      </c>
      <c r="J227">
        <f t="shared" si="58"/>
        <v>2.147610684861832E-2</v>
      </c>
      <c r="K227">
        <f t="shared" si="70"/>
        <v>1.0477118124853808E-2</v>
      </c>
      <c r="L227">
        <f t="shared" si="59"/>
        <v>4.8916520333174566E+17</v>
      </c>
      <c r="M227">
        <f t="shared" si="60"/>
        <v>11.203081609292866</v>
      </c>
      <c r="N227">
        <f t="shared" si="61"/>
        <v>0</v>
      </c>
      <c r="O227">
        <f t="shared" si="62"/>
        <v>0</v>
      </c>
      <c r="P227">
        <f t="shared" si="63"/>
        <v>0</v>
      </c>
      <c r="R227">
        <f t="shared" si="64"/>
        <v>2.204999999999997</v>
      </c>
      <c r="S227">
        <f t="shared" si="65"/>
        <v>2.1476243915131855E-2</v>
      </c>
      <c r="T227">
        <f t="shared" si="71"/>
        <v>1.047080882658852E-2</v>
      </c>
      <c r="U227" s="1">
        <f t="shared" si="66"/>
        <v>86.835358573576897</v>
      </c>
      <c r="V227">
        <f t="shared" si="67"/>
        <v>2.2777182418573058E+19</v>
      </c>
      <c r="W227">
        <f t="shared" si="72"/>
        <v>4891683253207279</v>
      </c>
      <c r="Y227">
        <f t="shared" si="73"/>
        <v>2.204999999999997</v>
      </c>
      <c r="Z227">
        <f t="shared" si="68"/>
        <v>0</v>
      </c>
      <c r="AA227">
        <f t="shared" si="74"/>
        <v>0</v>
      </c>
      <c r="AB227">
        <f t="shared" si="75"/>
        <v>1.0000235668946658</v>
      </c>
      <c r="AC227" s="1">
        <f t="shared" si="69"/>
        <v>7.4493433161470389E-3</v>
      </c>
    </row>
    <row r="228" spans="9:29" x14ac:dyDescent="0.2">
      <c r="I228">
        <f t="shared" ref="I228:I291" si="76">I227+0.01</f>
        <v>2.2149999999999967</v>
      </c>
      <c r="J228">
        <f t="shared" si="58"/>
        <v>2.1035631583788812E-2</v>
      </c>
      <c r="K228">
        <f t="shared" si="70"/>
        <v>1.0262357056367626E-2</v>
      </c>
      <c r="L228">
        <f t="shared" si="59"/>
        <v>4.9597016916425453E+17</v>
      </c>
      <c r="M228">
        <f t="shared" si="60"/>
        <v>10.973439665002655</v>
      </c>
      <c r="N228">
        <f t="shared" si="61"/>
        <v>0</v>
      </c>
      <c r="O228">
        <f t="shared" si="62"/>
        <v>0</v>
      </c>
      <c r="P228">
        <f t="shared" si="63"/>
        <v>0</v>
      </c>
      <c r="R228">
        <f t="shared" si="64"/>
        <v>2.2149999999999967</v>
      </c>
      <c r="S228">
        <f t="shared" si="65"/>
        <v>2.1035765839066155E-2</v>
      </c>
      <c r="T228">
        <f t="shared" si="71"/>
        <v>1.0256046387437202E-2</v>
      </c>
      <c r="U228" s="1">
        <f t="shared" si="66"/>
        <v>85.054314365751665</v>
      </c>
      <c r="V228">
        <f t="shared" si="67"/>
        <v>2.3577621959612367E+19</v>
      </c>
      <c r="W228">
        <f t="shared" si="72"/>
        <v>4959733345844298</v>
      </c>
      <c r="Y228">
        <f t="shared" si="73"/>
        <v>2.2149999999999967</v>
      </c>
      <c r="Z228">
        <f t="shared" si="68"/>
        <v>0</v>
      </c>
      <c r="AA228">
        <f t="shared" si="74"/>
        <v>0</v>
      </c>
      <c r="AB228">
        <f t="shared" si="75"/>
        <v>1.0000235668946658</v>
      </c>
      <c r="AC228" s="1">
        <f t="shared" si="69"/>
        <v>7.4493433161470389E-3</v>
      </c>
    </row>
    <row r="229" spans="9:29" x14ac:dyDescent="0.2">
      <c r="I229">
        <f t="shared" si="76"/>
        <v>2.2249999999999965</v>
      </c>
      <c r="J229">
        <f t="shared" si="58"/>
        <v>2.0604190473068086E-2</v>
      </c>
      <c r="K229">
        <f t="shared" si="70"/>
        <v>1.0052000740529737E-2</v>
      </c>
      <c r="L229">
        <f t="shared" si="59"/>
        <v>5.0286980150138502E+17</v>
      </c>
      <c r="M229">
        <f t="shared" si="60"/>
        <v>10.748507680340607</v>
      </c>
      <c r="N229">
        <f t="shared" si="61"/>
        <v>0</v>
      </c>
      <c r="O229">
        <f t="shared" si="62"/>
        <v>0</v>
      </c>
      <c r="P229">
        <f t="shared" si="63"/>
        <v>0</v>
      </c>
      <c r="R229">
        <f t="shared" si="64"/>
        <v>2.2249999999999965</v>
      </c>
      <c r="S229">
        <f t="shared" si="65"/>
        <v>2.060432197476773E-2</v>
      </c>
      <c r="T229">
        <f t="shared" si="71"/>
        <v>1.0045688729046541E-2</v>
      </c>
      <c r="U229" s="1">
        <f t="shared" si="66"/>
        <v>83.309799400616697</v>
      </c>
      <c r="V229">
        <f t="shared" si="67"/>
        <v>2.4406190680419619E+19</v>
      </c>
      <c r="W229">
        <f t="shared" si="72"/>
        <v>5028730109569413</v>
      </c>
      <c r="Y229">
        <f t="shared" si="73"/>
        <v>2.2249999999999965</v>
      </c>
      <c r="Z229">
        <f t="shared" si="68"/>
        <v>0</v>
      </c>
      <c r="AA229">
        <f t="shared" si="74"/>
        <v>0</v>
      </c>
      <c r="AB229">
        <f t="shared" si="75"/>
        <v>1.0000235668946658</v>
      </c>
      <c r="AC229" s="1">
        <f t="shared" si="69"/>
        <v>7.4493433161470389E-3</v>
      </c>
    </row>
    <row r="230" spans="9:29" x14ac:dyDescent="0.2">
      <c r="I230">
        <f t="shared" si="76"/>
        <v>2.2349999999999963</v>
      </c>
      <c r="J230">
        <f t="shared" si="58"/>
        <v>2.0181598225823508E-2</v>
      </c>
      <c r="K230">
        <f t="shared" si="70"/>
        <v>9.8459588357990551E-3</v>
      </c>
      <c r="L230">
        <f t="shared" si="59"/>
        <v>5.0986541728539802E+17</v>
      </c>
      <c r="M230">
        <f t="shared" si="60"/>
        <v>10.528189053966031</v>
      </c>
      <c r="N230">
        <f t="shared" si="61"/>
        <v>0</v>
      </c>
      <c r="O230">
        <f t="shared" si="62"/>
        <v>0</v>
      </c>
      <c r="P230">
        <f t="shared" si="63"/>
        <v>0</v>
      </c>
      <c r="R230">
        <f t="shared" si="64"/>
        <v>2.2349999999999963</v>
      </c>
      <c r="S230">
        <f t="shared" si="65"/>
        <v>2.0181727030421374E-2</v>
      </c>
      <c r="T230">
        <f t="shared" si="71"/>
        <v>9.8396455092988628E-3</v>
      </c>
      <c r="U230" s="1">
        <f t="shared" si="66"/>
        <v>81.601064462871378</v>
      </c>
      <c r="V230">
        <f t="shared" si="67"/>
        <v>2.5263877101318771E+19</v>
      </c>
      <c r="W230">
        <f t="shared" si="72"/>
        <v>5098686713889287</v>
      </c>
      <c r="Y230">
        <f t="shared" si="73"/>
        <v>2.2349999999999963</v>
      </c>
      <c r="Z230">
        <f t="shared" si="68"/>
        <v>0</v>
      </c>
      <c r="AA230">
        <f t="shared" si="74"/>
        <v>0</v>
      </c>
      <c r="AB230">
        <f t="shared" si="75"/>
        <v>1.0000235668946658</v>
      </c>
      <c r="AC230" s="1">
        <f t="shared" si="69"/>
        <v>7.4493433161470389E-3</v>
      </c>
    </row>
    <row r="231" spans="9:29" x14ac:dyDescent="0.2">
      <c r="I231">
        <f t="shared" si="76"/>
        <v>2.2449999999999961</v>
      </c>
      <c r="J231">
        <f t="shared" si="58"/>
        <v>1.9767673351736108E-2</v>
      </c>
      <c r="K231">
        <f t="shared" si="70"/>
        <v>9.6441428535408193E-3</v>
      </c>
      <c r="L231">
        <f t="shared" si="59"/>
        <v>5.1695835177905222E+17</v>
      </c>
      <c r="M231">
        <f t="shared" si="60"/>
        <v>10.312389165833133</v>
      </c>
      <c r="N231">
        <f t="shared" si="61"/>
        <v>0</v>
      </c>
      <c r="O231">
        <f t="shared" si="62"/>
        <v>0</v>
      </c>
      <c r="P231">
        <f t="shared" si="63"/>
        <v>0</v>
      </c>
      <c r="R231">
        <f t="shared" si="64"/>
        <v>2.2449999999999961</v>
      </c>
      <c r="S231">
        <f t="shared" si="65"/>
        <v>1.9767799514549794E-2</v>
      </c>
      <c r="T231">
        <f t="shared" si="71"/>
        <v>9.6378282389946498E-3</v>
      </c>
      <c r="U231" s="1">
        <f t="shared" si="66"/>
        <v>79.927375703631881</v>
      </c>
      <c r="V231">
        <f t="shared" si="67"/>
        <v>2.6151704481379951E+19</v>
      </c>
      <c r="W231">
        <f t="shared" si="72"/>
        <v>5169616511516723</v>
      </c>
      <c r="Y231">
        <f t="shared" si="73"/>
        <v>2.2449999999999961</v>
      </c>
      <c r="Z231">
        <f t="shared" si="68"/>
        <v>0</v>
      </c>
      <c r="AA231">
        <f t="shared" si="74"/>
        <v>0</v>
      </c>
      <c r="AB231">
        <f t="shared" si="75"/>
        <v>1.0000235668946658</v>
      </c>
      <c r="AC231" s="1">
        <f t="shared" si="69"/>
        <v>7.4493433161470389E-3</v>
      </c>
    </row>
    <row r="232" spans="9:29" x14ac:dyDescent="0.2">
      <c r="I232">
        <f t="shared" si="76"/>
        <v>2.2549999999999959</v>
      </c>
      <c r="J232">
        <f t="shared" si="58"/>
        <v>1.9362238082855941E-2</v>
      </c>
      <c r="K232">
        <f t="shared" si="70"/>
        <v>9.4464661200234588E-3</v>
      </c>
      <c r="L232">
        <f t="shared" si="59"/>
        <v>5.2414995882044531E+17</v>
      </c>
      <c r="M232">
        <f t="shared" si="60"/>
        <v>10.101015336554642</v>
      </c>
      <c r="N232">
        <f t="shared" si="61"/>
        <v>0</v>
      </c>
      <c r="O232">
        <f t="shared" si="62"/>
        <v>0</v>
      </c>
      <c r="P232">
        <f t="shared" si="63"/>
        <v>0</v>
      </c>
      <c r="R232">
        <f t="shared" si="64"/>
        <v>2.2549999999999959</v>
      </c>
      <c r="S232">
        <f t="shared" si="65"/>
        <v>1.9362361658068476E-2</v>
      </c>
      <c r="T232">
        <f t="shared" si="71"/>
        <v>9.4401502438491523E-3</v>
      </c>
      <c r="U232" s="1">
        <f t="shared" si="66"/>
        <v>78.288014325265692</v>
      </c>
      <c r="V232">
        <f t="shared" si="67"/>
        <v>2.7070732039213355E+19</v>
      </c>
      <c r="W232">
        <f t="shared" si="72"/>
        <v>5241533040919105</v>
      </c>
      <c r="Y232">
        <f t="shared" si="73"/>
        <v>2.2549999999999959</v>
      </c>
      <c r="Z232">
        <f t="shared" si="68"/>
        <v>0</v>
      </c>
      <c r="AA232">
        <f t="shared" si="74"/>
        <v>0</v>
      </c>
      <c r="AB232">
        <f t="shared" si="75"/>
        <v>1.0000235668946658</v>
      </c>
      <c r="AC232" s="1">
        <f t="shared" si="69"/>
        <v>7.4493433161470389E-3</v>
      </c>
    </row>
    <row r="233" spans="9:29" x14ac:dyDescent="0.2">
      <c r="I233">
        <f t="shared" si="76"/>
        <v>2.2649999999999957</v>
      </c>
      <c r="J233">
        <f t="shared" si="58"/>
        <v>1.896511829725632E-2</v>
      </c>
      <c r="K233">
        <f t="shared" si="70"/>
        <v>9.2528437391948999E-3</v>
      </c>
      <c r="L233">
        <f t="shared" si="59"/>
        <v>5.3144161108146106E+17</v>
      </c>
      <c r="M233">
        <f t="shared" si="60"/>
        <v>9.8939767875988718</v>
      </c>
      <c r="N233">
        <f t="shared" si="61"/>
        <v>0</v>
      </c>
      <c r="O233">
        <f t="shared" si="62"/>
        <v>0</v>
      </c>
      <c r="P233">
        <f t="shared" si="63"/>
        <v>0</v>
      </c>
      <c r="R233">
        <f t="shared" si="64"/>
        <v>2.2649999999999957</v>
      </c>
      <c r="S233">
        <f t="shared" si="65"/>
        <v>1.8965239337939442E-2</v>
      </c>
      <c r="T233">
        <f t="shared" si="71"/>
        <v>9.2465266272684678E-3</v>
      </c>
      <c r="U233" s="1">
        <f t="shared" si="66"/>
        <v>76.682276272690203</v>
      </c>
      <c r="V233">
        <f t="shared" si="67"/>
        <v>2.8022056216667238E+19</v>
      </c>
      <c r="W233">
        <f t="shared" si="72"/>
        <v>5314450028902880</v>
      </c>
      <c r="Y233">
        <f t="shared" si="73"/>
        <v>2.2649999999999957</v>
      </c>
      <c r="Z233">
        <f t="shared" si="68"/>
        <v>0</v>
      </c>
      <c r="AA233">
        <f t="shared" si="74"/>
        <v>0</v>
      </c>
      <c r="AB233">
        <f t="shared" si="75"/>
        <v>1.0000235668946658</v>
      </c>
      <c r="AC233" s="1">
        <f t="shared" si="69"/>
        <v>7.4493433161470389E-3</v>
      </c>
    </row>
    <row r="234" spans="9:29" x14ac:dyDescent="0.2">
      <c r="I234">
        <f t="shared" si="76"/>
        <v>2.2749999999999955</v>
      </c>
      <c r="J234">
        <f t="shared" si="58"/>
        <v>1.8576143444253852E-2</v>
      </c>
      <c r="K234">
        <f t="shared" si="70"/>
        <v>9.0631925562223367E-3</v>
      </c>
      <c r="L234">
        <f t="shared" si="59"/>
        <v>5.3883470032973792E+17</v>
      </c>
      <c r="M234">
        <f t="shared" si="60"/>
        <v>9.6911846023031476</v>
      </c>
      <c r="N234">
        <f t="shared" si="61"/>
        <v>0</v>
      </c>
      <c r="O234">
        <f t="shared" si="62"/>
        <v>0</v>
      </c>
      <c r="P234">
        <f t="shared" si="63"/>
        <v>0</v>
      </c>
      <c r="R234">
        <f t="shared" si="64"/>
        <v>2.2749999999999955</v>
      </c>
      <c r="S234">
        <f t="shared" si="65"/>
        <v>1.8576262002390796E-2</v>
      </c>
      <c r="T234">
        <f t="shared" si="71"/>
        <v>9.0568742338890725E-3</v>
      </c>
      <c r="U234" s="1">
        <f t="shared" si="66"/>
        <v>75.10947193100283</v>
      </c>
      <c r="V234">
        <f t="shared" si="67"/>
        <v>2.9006811986931298E+19</v>
      </c>
      <c r="W234">
        <f t="shared" si="72"/>
        <v>5388381393233258</v>
      </c>
      <c r="Y234">
        <f t="shared" si="73"/>
        <v>2.2749999999999955</v>
      </c>
      <c r="Z234">
        <f t="shared" si="68"/>
        <v>0</v>
      </c>
      <c r="AA234">
        <f t="shared" si="74"/>
        <v>0</v>
      </c>
      <c r="AB234">
        <f t="shared" si="75"/>
        <v>1.0000235668946658</v>
      </c>
      <c r="AC234" s="1">
        <f t="shared" si="69"/>
        <v>7.4493433161470389E-3</v>
      </c>
    </row>
    <row r="235" spans="9:29" x14ac:dyDescent="0.2">
      <c r="I235">
        <f t="shared" si="76"/>
        <v>2.2849999999999953</v>
      </c>
      <c r="J235">
        <f t="shared" si="58"/>
        <v>1.8195146471162101E-2</v>
      </c>
      <c r="K235">
        <f t="shared" si="70"/>
        <v>8.8774311217797979E-3</v>
      </c>
      <c r="L235">
        <f t="shared" si="59"/>
        <v>5.463306376943289E+17</v>
      </c>
      <c r="M235">
        <f t="shared" si="60"/>
        <v>9.4925516876868379</v>
      </c>
      <c r="N235">
        <f t="shared" si="61"/>
        <v>0</v>
      </c>
      <c r="O235">
        <f t="shared" si="62"/>
        <v>0</v>
      </c>
      <c r="P235">
        <f t="shared" si="63"/>
        <v>0</v>
      </c>
      <c r="R235">
        <f t="shared" si="64"/>
        <v>2.2849999999999953</v>
      </c>
      <c r="S235">
        <f t="shared" si="65"/>
        <v>1.8195262597669928E-2</v>
      </c>
      <c r="T235">
        <f t="shared" si="71"/>
        <v>8.8711116138651645E-3</v>
      </c>
      <c r="U235" s="1">
        <f t="shared" si="66"/>
        <v>73.568925829312747</v>
      </c>
      <c r="V235">
        <f t="shared" si="67"/>
        <v>3.0026174208612209E+19</v>
      </c>
      <c r="W235">
        <f t="shared" si="72"/>
        <v>5463341245290831</v>
      </c>
      <c r="Y235">
        <f t="shared" si="73"/>
        <v>2.2849999999999953</v>
      </c>
      <c r="Z235">
        <f t="shared" si="68"/>
        <v>0</v>
      </c>
      <c r="AA235">
        <f t="shared" si="74"/>
        <v>0</v>
      </c>
      <c r="AB235">
        <f t="shared" si="75"/>
        <v>1.0000235668946658</v>
      </c>
      <c r="AC235" s="1">
        <f t="shared" si="69"/>
        <v>7.4493433161470389E-3</v>
      </c>
    </row>
    <row r="236" spans="9:29" x14ac:dyDescent="0.2">
      <c r="I236">
        <f t="shared" si="76"/>
        <v>2.294999999999995</v>
      </c>
      <c r="J236">
        <f t="shared" si="58"/>
        <v>1.7821963751547723E-2</v>
      </c>
      <c r="K236">
        <f t="shared" si="70"/>
        <v>8.6954796570681767E-3</v>
      </c>
      <c r="L236">
        <f t="shared" si="59"/>
        <v>5.5393085393506118E+17</v>
      </c>
      <c r="M236">
        <f t="shared" si="60"/>
        <v>9.2979927370476236</v>
      </c>
      <c r="N236">
        <f t="shared" si="61"/>
        <v>0</v>
      </c>
      <c r="O236">
        <f t="shared" si="62"/>
        <v>0</v>
      </c>
      <c r="P236">
        <f t="shared" si="63"/>
        <v>0</v>
      </c>
      <c r="R236">
        <f t="shared" si="64"/>
        <v>2.294999999999995</v>
      </c>
      <c r="S236">
        <f t="shared" si="65"/>
        <v>1.7822077496299178E-2</v>
      </c>
      <c r="T236">
        <f t="shared" si="71"/>
        <v>8.6891589878884644E-3</v>
      </c>
      <c r="U236" s="1">
        <f t="shared" si="66"/>
        <v>72.059976350646878</v>
      </c>
      <c r="V236">
        <f t="shared" si="67"/>
        <v>3.1081359027394265E+19</v>
      </c>
      <c r="W236">
        <f t="shared" si="72"/>
        <v>5539343892765186</v>
      </c>
      <c r="Y236">
        <f t="shared" si="73"/>
        <v>2.294999999999995</v>
      </c>
      <c r="Z236">
        <f t="shared" si="68"/>
        <v>0</v>
      </c>
      <c r="AA236">
        <f t="shared" si="74"/>
        <v>0</v>
      </c>
      <c r="AB236">
        <f t="shared" si="75"/>
        <v>1.0000235668946658</v>
      </c>
      <c r="AC236" s="1">
        <f t="shared" si="69"/>
        <v>7.4493433161470389E-3</v>
      </c>
    </row>
    <row r="237" spans="9:29" x14ac:dyDescent="0.2">
      <c r="I237">
        <f t="shared" si="76"/>
        <v>2.3049999999999948</v>
      </c>
      <c r="J237">
        <f t="shared" si="58"/>
        <v>1.745643501495785E-2</v>
      </c>
      <c r="K237">
        <f t="shared" si="70"/>
        <v>8.5172600195527002E-3</v>
      </c>
      <c r="L237">
        <f t="shared" si="59"/>
        <v>5.6163679971560435E+17</v>
      </c>
      <c r="M237">
        <f t="shared" si="60"/>
        <v>9.1074241933248867</v>
      </c>
      <c r="N237">
        <f t="shared" si="61"/>
        <v>0</v>
      </c>
      <c r="O237">
        <f t="shared" si="62"/>
        <v>0</v>
      </c>
      <c r="P237">
        <f t="shared" si="63"/>
        <v>0</v>
      </c>
      <c r="R237">
        <f t="shared" si="64"/>
        <v>2.3049999999999948</v>
      </c>
      <c r="S237">
        <f t="shared" si="65"/>
        <v>1.7456546426802794E-2</v>
      </c>
      <c r="T237">
        <f t="shared" si="71"/>
        <v>8.5109382129254733E-3</v>
      </c>
      <c r="U237" s="1">
        <f t="shared" si="66"/>
        <v>70.581975447805988</v>
      </c>
      <c r="V237">
        <f t="shared" si="67"/>
        <v>3.2173625326955708E+19</v>
      </c>
      <c r="W237">
        <f t="shared" si="72"/>
        <v>5616403842385606</v>
      </c>
      <c r="Y237">
        <f t="shared" si="73"/>
        <v>2.3049999999999948</v>
      </c>
      <c r="Z237">
        <f t="shared" si="68"/>
        <v>0</v>
      </c>
      <c r="AA237">
        <f t="shared" si="74"/>
        <v>0</v>
      </c>
      <c r="AB237">
        <f t="shared" si="75"/>
        <v>1.0000235668946658</v>
      </c>
      <c r="AC237" s="1">
        <f t="shared" si="69"/>
        <v>7.4493433161470389E-3</v>
      </c>
    </row>
    <row r="238" spans="9:29" x14ac:dyDescent="0.2">
      <c r="I238">
        <f t="shared" si="76"/>
        <v>2.3149999999999946</v>
      </c>
      <c r="J238">
        <f t="shared" si="58"/>
        <v>1.7098403278088963E-2</v>
      </c>
      <c r="K238">
        <f t="shared" si="70"/>
        <v>8.3426956694031221E-3</v>
      </c>
      <c r="L238">
        <f t="shared" si="59"/>
        <v>5.6944994588036211E+17</v>
      </c>
      <c r="M238">
        <f t="shared" si="60"/>
        <v>8.9207642132145466</v>
      </c>
      <c r="N238">
        <f t="shared" si="61"/>
        <v>0</v>
      </c>
      <c r="O238">
        <f t="shared" si="62"/>
        <v>0</v>
      </c>
      <c r="P238">
        <f t="shared" si="63"/>
        <v>0</v>
      </c>
      <c r="R238">
        <f t="shared" si="64"/>
        <v>2.3149999999999946</v>
      </c>
      <c r="S238">
        <f t="shared" si="65"/>
        <v>1.7098512404875341E-2</v>
      </c>
      <c r="T238">
        <f t="shared" si="71"/>
        <v>8.3363727486574449E-3</v>
      </c>
      <c r="U238" s="1">
        <f t="shared" si="66"/>
        <v>69.134288365048334</v>
      </c>
      <c r="V238">
        <f t="shared" si="67"/>
        <v>3.3304276230874337E+19</v>
      </c>
      <c r="W238">
        <f t="shared" si="72"/>
        <v>5694535802689998</v>
      </c>
      <c r="Y238">
        <f t="shared" si="73"/>
        <v>2.3149999999999946</v>
      </c>
      <c r="Z238">
        <f t="shared" si="68"/>
        <v>0</v>
      </c>
      <c r="AA238">
        <f t="shared" si="74"/>
        <v>0</v>
      </c>
      <c r="AB238">
        <f t="shared" si="75"/>
        <v>1.0000235668946658</v>
      </c>
      <c r="AC238" s="1">
        <f t="shared" si="69"/>
        <v>7.4493433161470389E-3</v>
      </c>
    </row>
    <row r="239" spans="9:29" x14ac:dyDescent="0.2">
      <c r="I239">
        <f t="shared" si="76"/>
        <v>2.3249999999999944</v>
      </c>
      <c r="J239">
        <f t="shared" si="58"/>
        <v>1.6747714777367421E-2</v>
      </c>
      <c r="K239">
        <f t="shared" si="70"/>
        <v>8.1717116366222323E-3</v>
      </c>
      <c r="L239">
        <f t="shared" si="59"/>
        <v>5.7737178373523546E+17</v>
      </c>
      <c r="M239">
        <f t="shared" si="60"/>
        <v>8.7379326320198807</v>
      </c>
      <c r="N239">
        <f t="shared" si="61"/>
        <v>0</v>
      </c>
      <c r="O239">
        <f t="shared" si="62"/>
        <v>0</v>
      </c>
      <c r="P239">
        <f t="shared" si="63"/>
        <v>0</v>
      </c>
      <c r="R239">
        <f t="shared" si="64"/>
        <v>2.3249999999999944</v>
      </c>
      <c r="S239">
        <f t="shared" si="65"/>
        <v>1.674782166596182E-2</v>
      </c>
      <c r="T239">
        <f t="shared" si="71"/>
        <v>8.1653876246086908E-3</v>
      </c>
      <c r="U239" s="1">
        <f t="shared" si="66"/>
        <v>67.716293365481661</v>
      </c>
      <c r="V239">
        <f t="shared" si="67"/>
        <v>3.4474660657314628E+19</v>
      </c>
      <c r="W239">
        <f t="shared" si="72"/>
        <v>5773754686832554</v>
      </c>
      <c r="Y239">
        <f t="shared" si="73"/>
        <v>2.3249999999999944</v>
      </c>
      <c r="Z239">
        <f t="shared" si="68"/>
        <v>0</v>
      </c>
      <c r="AA239">
        <f t="shared" si="74"/>
        <v>0</v>
      </c>
      <c r="AB239">
        <f t="shared" si="75"/>
        <v>1.0000235668946658</v>
      </c>
      <c r="AC239" s="1">
        <f t="shared" si="69"/>
        <v>7.4493433161470389E-3</v>
      </c>
    </row>
    <row r="240" spans="9:29" x14ac:dyDescent="0.2">
      <c r="I240">
        <f t="shared" si="76"/>
        <v>2.3349999999999942</v>
      </c>
      <c r="J240">
        <f t="shared" si="58"/>
        <v>1.6404218902912666E-2</v>
      </c>
      <c r="K240">
        <f t="shared" si="70"/>
        <v>8.0042344888485578E-3</v>
      </c>
      <c r="L240">
        <f t="shared" si="59"/>
        <v>5.8540382533224678E+17</v>
      </c>
      <c r="M240">
        <f t="shared" si="60"/>
        <v>8.5588509292232668</v>
      </c>
      <c r="N240">
        <f t="shared" si="61"/>
        <v>0</v>
      </c>
      <c r="O240">
        <f t="shared" si="62"/>
        <v>0</v>
      </c>
      <c r="P240">
        <f t="shared" si="63"/>
        <v>0</v>
      </c>
      <c r="R240">
        <f t="shared" si="64"/>
        <v>2.3349999999999942</v>
      </c>
      <c r="S240">
        <f t="shared" si="65"/>
        <v>1.6404323599220436E-2</v>
      </c>
      <c r="T240">
        <f t="shared" si="71"/>
        <v>7.9979094079490731E-3</v>
      </c>
      <c r="U240" s="1">
        <f t="shared" si="66"/>
        <v>66.327381464046496</v>
      </c>
      <c r="V240">
        <f t="shared" si="67"/>
        <v>3.5686174928347537E+19</v>
      </c>
      <c r="W240">
        <f t="shared" si="72"/>
        <v>5854075615430002</v>
      </c>
      <c r="Y240">
        <f t="shared" si="73"/>
        <v>2.3349999999999942</v>
      </c>
      <c r="Z240">
        <f t="shared" si="68"/>
        <v>0</v>
      </c>
      <c r="AA240">
        <f t="shared" si="74"/>
        <v>0</v>
      </c>
      <c r="AB240">
        <f t="shared" si="75"/>
        <v>1.0000235668946658</v>
      </c>
      <c r="AC240" s="1">
        <f t="shared" si="69"/>
        <v>7.4493433161470389E-3</v>
      </c>
    </row>
    <row r="241" spans="9:29" x14ac:dyDescent="0.2">
      <c r="I241">
        <f t="shared" si="76"/>
        <v>2.344999999999994</v>
      </c>
      <c r="J241">
        <f t="shared" si="58"/>
        <v>1.6067768133855041E-2</v>
      </c>
      <c r="K241">
        <f t="shared" si="70"/>
        <v>7.8401922998194307E-3</v>
      </c>
      <c r="L241">
        <f t="shared" si="59"/>
        <v>5.9354760375817152E+17</v>
      </c>
      <c r="M241">
        <f t="shared" si="60"/>
        <v>8.3834421947640472</v>
      </c>
      <c r="N241">
        <f t="shared" si="61"/>
        <v>0</v>
      </c>
      <c r="O241">
        <f t="shared" si="62"/>
        <v>0</v>
      </c>
      <c r="P241">
        <f t="shared" si="63"/>
        <v>0</v>
      </c>
      <c r="R241">
        <f t="shared" si="64"/>
        <v>2.344999999999994</v>
      </c>
      <c r="S241">
        <f t="shared" si="65"/>
        <v>1.6067870682840008E-2</v>
      </c>
      <c r="T241">
        <f t="shared" si="71"/>
        <v>7.833866171956869E-3</v>
      </c>
      <c r="U241" s="1">
        <f t="shared" si="66"/>
        <v>64.966956165975802</v>
      </c>
      <c r="V241">
        <f t="shared" si="67"/>
        <v>3.6940264435827737E+19</v>
      </c>
      <c r="W241">
        <f t="shared" si="72"/>
        <v>5935513919447939</v>
      </c>
      <c r="Y241">
        <f t="shared" si="73"/>
        <v>2.344999999999994</v>
      </c>
      <c r="Z241">
        <f t="shared" si="68"/>
        <v>0</v>
      </c>
      <c r="AA241">
        <f t="shared" si="74"/>
        <v>0</v>
      </c>
      <c r="AB241">
        <f t="shared" si="75"/>
        <v>1.0000235668946658</v>
      </c>
      <c r="AC241" s="1">
        <f t="shared" si="69"/>
        <v>7.4493433161470389E-3</v>
      </c>
    </row>
    <row r="242" spans="9:29" x14ac:dyDescent="0.2">
      <c r="I242">
        <f t="shared" si="76"/>
        <v>2.3549999999999938</v>
      </c>
      <c r="J242">
        <f t="shared" si="58"/>
        <v>1.5738217974980047E-2</v>
      </c>
      <c r="K242">
        <f t="shared" si="70"/>
        <v>7.6795146184808804E-3</v>
      </c>
      <c r="L242">
        <f t="shared" si="59"/>
        <v>6.0180467342713382E+17</v>
      </c>
      <c r="M242">
        <f t="shared" si="60"/>
        <v>8.2116310960080288</v>
      </c>
      <c r="N242">
        <f t="shared" si="61"/>
        <v>0</v>
      </c>
      <c r="O242">
        <f t="shared" si="62"/>
        <v>0</v>
      </c>
      <c r="P242">
        <f t="shared" si="63"/>
        <v>0</v>
      </c>
      <c r="R242">
        <f t="shared" si="64"/>
        <v>2.3549999999999938</v>
      </c>
      <c r="S242">
        <f t="shared" si="65"/>
        <v>1.5738318420683833E-2</v>
      </c>
      <c r="T242">
        <f t="shared" si="71"/>
        <v>7.6731874651284684E-3</v>
      </c>
      <c r="U242" s="1">
        <f t="shared" si="66"/>
        <v>63.634433210618916</v>
      </c>
      <c r="V242">
        <f t="shared" si="67"/>
        <v>3.8238425365810627E+19</v>
      </c>
      <c r="W242">
        <f t="shared" si="72"/>
        <v>6018085143126814</v>
      </c>
      <c r="Y242">
        <f t="shared" si="73"/>
        <v>2.3549999999999938</v>
      </c>
      <c r="Z242">
        <f t="shared" si="68"/>
        <v>0</v>
      </c>
      <c r="AA242">
        <f t="shared" si="74"/>
        <v>0</v>
      </c>
      <c r="AB242">
        <f t="shared" si="75"/>
        <v>1.0000235668946658</v>
      </c>
      <c r="AC242" s="1">
        <f t="shared" si="69"/>
        <v>7.4493433161470389E-3</v>
      </c>
    </row>
    <row r="243" spans="9:29" x14ac:dyDescent="0.2">
      <c r="I243">
        <f t="shared" si="76"/>
        <v>2.3649999999999936</v>
      </c>
      <c r="J243">
        <f t="shared" si="58"/>
        <v>1.5415426894672124E-2</v>
      </c>
      <c r="K243">
        <f t="shared" si="70"/>
        <v>7.5221324387310801E-3</v>
      </c>
      <c r="L243">
        <f t="shared" si="59"/>
        <v>6.1017661037731482E+17</v>
      </c>
      <c r="M243">
        <f t="shared" si="60"/>
        <v>8.0433438453944426</v>
      </c>
      <c r="N243">
        <f t="shared" si="61"/>
        <v>0</v>
      </c>
      <c r="O243">
        <f t="shared" si="62"/>
        <v>0</v>
      </c>
      <c r="P243">
        <f t="shared" si="63"/>
        <v>0</v>
      </c>
      <c r="R243">
        <f t="shared" si="64"/>
        <v>2.3649999999999936</v>
      </c>
      <c r="S243">
        <f t="shared" si="65"/>
        <v>1.5415525280233064E-2</v>
      </c>
      <c r="T243">
        <f t="shared" si="71"/>
        <v>7.5158042809216298E-3</v>
      </c>
      <c r="U243" s="1">
        <f t="shared" si="66"/>
        <v>62.329240320519624</v>
      </c>
      <c r="V243">
        <f t="shared" si="67"/>
        <v>3.9582206483571589E+19</v>
      </c>
      <c r="W243">
        <f t="shared" si="72"/>
        <v>6101805046949029</v>
      </c>
      <c r="Y243">
        <f t="shared" si="73"/>
        <v>2.3649999999999936</v>
      </c>
      <c r="Z243">
        <f t="shared" si="68"/>
        <v>0</v>
      </c>
      <c r="AA243">
        <f t="shared" si="74"/>
        <v>0</v>
      </c>
      <c r="AB243">
        <f t="shared" si="75"/>
        <v>1.0000235668946658</v>
      </c>
      <c r="AC243" s="1">
        <f t="shared" si="69"/>
        <v>7.4493433161470389E-3</v>
      </c>
    </row>
    <row r="244" spans="9:29" x14ac:dyDescent="0.2">
      <c r="I244">
        <f t="shared" si="76"/>
        <v>2.3749999999999933</v>
      </c>
      <c r="J244">
        <f t="shared" si="58"/>
        <v>1.5099256264131276E-2</v>
      </c>
      <c r="K244">
        <f t="shared" si="70"/>
        <v>7.3679781697843592E-3</v>
      </c>
      <c r="L244">
        <f t="shared" si="59"/>
        <v>6.186650125717737E+17</v>
      </c>
      <c r="M244">
        <f t="shared" si="60"/>
        <v>7.8785081687464729</v>
      </c>
      <c r="N244">
        <f t="shared" si="61"/>
        <v>0</v>
      </c>
      <c r="O244">
        <f t="shared" si="62"/>
        <v>0</v>
      </c>
      <c r="P244">
        <f t="shared" si="63"/>
        <v>0</v>
      </c>
      <c r="R244">
        <f t="shared" si="64"/>
        <v>2.3749999999999933</v>
      </c>
      <c r="S244">
        <f t="shared" si="65"/>
        <v>1.5099352631802922E-2</v>
      </c>
      <c r="T244">
        <f t="shared" si="71"/>
        <v>7.361649028119299E-3</v>
      </c>
      <c r="U244" s="1">
        <f t="shared" si="66"/>
        <v>61.050816955640748</v>
      </c>
      <c r="V244">
        <f t="shared" si="67"/>
        <v>4.0973210981353464E+19</v>
      </c>
      <c r="W244">
        <f t="shared" si="72"/>
        <v>6186689610647158</v>
      </c>
      <c r="Y244">
        <f t="shared" si="73"/>
        <v>2.3749999999999933</v>
      </c>
      <c r="Z244">
        <f t="shared" si="68"/>
        <v>0</v>
      </c>
      <c r="AA244">
        <f t="shared" si="74"/>
        <v>0</v>
      </c>
      <c r="AB244">
        <f t="shared" si="75"/>
        <v>1.0000235668946658</v>
      </c>
      <c r="AC244" s="1">
        <f t="shared" si="69"/>
        <v>7.4493433161470389E-3</v>
      </c>
    </row>
    <row r="245" spans="9:29" x14ac:dyDescent="0.2">
      <c r="I245">
        <f t="shared" si="76"/>
        <v>2.3849999999999931</v>
      </c>
      <c r="J245">
        <f t="shared" si="58"/>
        <v>1.4789570297836147E-2</v>
      </c>
      <c r="K245">
        <f t="shared" si="70"/>
        <v>7.2169856071430463E-3</v>
      </c>
      <c r="L245">
        <f t="shared" si="59"/>
        <v>6.2727150020344704E+17</v>
      </c>
      <c r="M245">
        <f t="shared" si="60"/>
        <v>7.7170532742317182</v>
      </c>
      <c r="N245">
        <f t="shared" si="61"/>
        <v>0</v>
      </c>
      <c r="O245">
        <f t="shared" si="62"/>
        <v>0</v>
      </c>
      <c r="P245">
        <f t="shared" si="63"/>
        <v>0</v>
      </c>
      <c r="R245">
        <f t="shared" si="64"/>
        <v>2.3849999999999931</v>
      </c>
      <c r="S245">
        <f t="shared" si="65"/>
        <v>1.4789664689005444E-2</v>
      </c>
      <c r="T245">
        <f t="shared" si="71"/>
        <v>7.2106555018012696E-3</v>
      </c>
      <c r="U245" s="1">
        <f t="shared" si="66"/>
        <v>59.798614072629391</v>
      </c>
      <c r="V245">
        <f t="shared" si="67"/>
        <v>4.2413098391048102E+19</v>
      </c>
      <c r="W245">
        <f t="shared" si="72"/>
        <v>6272755036253978</v>
      </c>
      <c r="Y245">
        <f t="shared" si="73"/>
        <v>2.3849999999999931</v>
      </c>
      <c r="Z245">
        <f t="shared" si="68"/>
        <v>0</v>
      </c>
      <c r="AA245">
        <f t="shared" si="74"/>
        <v>0</v>
      </c>
      <c r="AB245">
        <f t="shared" si="75"/>
        <v>1.0000235668946658</v>
      </c>
      <c r="AC245" s="1">
        <f t="shared" si="69"/>
        <v>7.4493433161470389E-3</v>
      </c>
    </row>
    <row r="246" spans="9:29" x14ac:dyDescent="0.2">
      <c r="I246">
        <f t="shared" si="76"/>
        <v>2.3949999999999929</v>
      </c>
      <c r="J246">
        <f t="shared" si="58"/>
        <v>1.4486235995228464E-2</v>
      </c>
      <c r="K246">
        <f t="shared" si="70"/>
        <v>7.0690899041646847E-3</v>
      </c>
      <c r="L246">
        <f t="shared" si="59"/>
        <v>6.3599771600440307E+17</v>
      </c>
      <c r="M246">
        <f t="shared" si="60"/>
        <v>7.5589098219592987</v>
      </c>
      <c r="N246">
        <f t="shared" si="61"/>
        <v>0</v>
      </c>
      <c r="O246">
        <f t="shared" si="62"/>
        <v>0</v>
      </c>
      <c r="P246">
        <f t="shared" si="63"/>
        <v>0</v>
      </c>
      <c r="R246">
        <f t="shared" si="64"/>
        <v>2.3949999999999929</v>
      </c>
      <c r="S246">
        <f t="shared" si="65"/>
        <v>1.4486328450433503E-2</v>
      </c>
      <c r="T246">
        <f t="shared" si="71"/>
        <v>7.0627588549112153E-3</v>
      </c>
      <c r="U246" s="1">
        <f t="shared" si="66"/>
        <v>58.572093889019868</v>
      </c>
      <c r="V246">
        <f t="shared" si="67"/>
        <v>4.3903586564093714E+19</v>
      </c>
      <c r="W246">
        <f t="shared" si="72"/>
        <v>6360017751195008</v>
      </c>
      <c r="Y246">
        <f t="shared" si="73"/>
        <v>2.3949999999999929</v>
      </c>
      <c r="Z246">
        <f t="shared" si="68"/>
        <v>0</v>
      </c>
      <c r="AA246">
        <f t="shared" si="74"/>
        <v>0</v>
      </c>
      <c r="AB246">
        <f t="shared" si="75"/>
        <v>1.0000235668946658</v>
      </c>
      <c r="AC246" s="1">
        <f t="shared" si="69"/>
        <v>7.4493433161470389E-3</v>
      </c>
    </row>
    <row r="247" spans="9:29" x14ac:dyDescent="0.2">
      <c r="I247">
        <f t="shared" si="76"/>
        <v>2.4049999999999927</v>
      </c>
      <c r="J247">
        <f t="shared" si="58"/>
        <v>1.4189123083593311E-2</v>
      </c>
      <c r="K247">
        <f t="shared" si="70"/>
        <v>6.9242275442123998E-3</v>
      </c>
      <c r="L247">
        <f t="shared" si="59"/>
        <v>6.4484532555938803E+17</v>
      </c>
      <c r="M247">
        <f t="shared" si="60"/>
        <v>7.404009894200505</v>
      </c>
      <c r="N247">
        <f t="shared" si="61"/>
        <v>0</v>
      </c>
      <c r="O247">
        <f t="shared" si="62"/>
        <v>0</v>
      </c>
      <c r="P247">
        <f t="shared" si="63"/>
        <v>0</v>
      </c>
      <c r="R247">
        <f t="shared" si="64"/>
        <v>2.4049999999999927</v>
      </c>
      <c r="S247">
        <f t="shared" si="65"/>
        <v>1.4189213642540742E-2</v>
      </c>
      <c r="T247">
        <f t="shared" si="71"/>
        <v>6.91789557040688E-3</v>
      </c>
      <c r="U247" s="1">
        <f t="shared" si="66"/>
        <v>57.370729652272693</v>
      </c>
      <c r="V247">
        <f t="shared" si="67"/>
        <v>4.5446453720950088E+19</v>
      </c>
      <c r="W247">
        <f t="shared" si="72"/>
        <v>6448494411424014</v>
      </c>
      <c r="Y247">
        <f t="shared" si="73"/>
        <v>2.4049999999999927</v>
      </c>
      <c r="Z247">
        <f t="shared" si="68"/>
        <v>0</v>
      </c>
      <c r="AA247">
        <f t="shared" si="74"/>
        <v>0</v>
      </c>
      <c r="AB247">
        <f t="shared" si="75"/>
        <v>1.0000235668946658</v>
      </c>
      <c r="AC247" s="1">
        <f t="shared" si="69"/>
        <v>7.4493433161470389E-3</v>
      </c>
    </row>
    <row r="248" spans="9:29" x14ac:dyDescent="0.2">
      <c r="I248">
        <f t="shared" si="76"/>
        <v>2.4149999999999925</v>
      </c>
      <c r="J248">
        <f t="shared" si="58"/>
        <v>1.389810396211104E-2</v>
      </c>
      <c r="K248">
        <f t="shared" si="70"/>
        <v>6.7823363133764671E-3</v>
      </c>
      <c r="L248">
        <f t="shared" si="59"/>
        <v>6.538160176237344E+17</v>
      </c>
      <c r="M248">
        <f t="shared" si="60"/>
        <v>7.2522869662202352</v>
      </c>
      <c r="N248">
        <f t="shared" si="61"/>
        <v>0</v>
      </c>
      <c r="O248">
        <f t="shared" si="62"/>
        <v>0</v>
      </c>
      <c r="P248">
        <f t="shared" si="63"/>
        <v>0</v>
      </c>
      <c r="R248">
        <f t="shared" si="64"/>
        <v>2.4149999999999925</v>
      </c>
      <c r="S248">
        <f t="shared" si="65"/>
        <v>1.3898192663693141E-2</v>
      </c>
      <c r="T248">
        <f t="shared" si="71"/>
        <v>6.7760034339814723E-3</v>
      </c>
      <c r="U248" s="1">
        <f t="shared" si="66"/>
        <v>56.194005413550677</v>
      </c>
      <c r="V248">
        <f t="shared" si="67"/>
        <v>4.7043540572596462E+19</v>
      </c>
      <c r="W248">
        <f t="shared" si="72"/>
        <v>6538201904602107</v>
      </c>
      <c r="Y248">
        <f t="shared" si="73"/>
        <v>2.4149999999999925</v>
      </c>
      <c r="Z248">
        <f t="shared" si="68"/>
        <v>0</v>
      </c>
      <c r="AA248">
        <f t="shared" si="74"/>
        <v>0</v>
      </c>
      <c r="AB248">
        <f t="shared" si="75"/>
        <v>1.0000235668946658</v>
      </c>
      <c r="AC248" s="1">
        <f t="shared" si="69"/>
        <v>7.4493433161470389E-3</v>
      </c>
    </row>
    <row r="249" spans="9:29" x14ac:dyDescent="0.2">
      <c r="I249">
        <f t="shared" si="76"/>
        <v>2.4249999999999923</v>
      </c>
      <c r="J249">
        <f t="shared" si="58"/>
        <v>1.3613053647056733E-2</v>
      </c>
      <c r="K249">
        <f t="shared" si="70"/>
        <v>6.643355273755357E-3</v>
      </c>
      <c r="L249">
        <f t="shared" si="59"/>
        <v>6.6291150444572275E+17</v>
      </c>
      <c r="M249">
        <f t="shared" si="60"/>
        <v>7.1036758777066762</v>
      </c>
      <c r="N249">
        <f t="shared" si="61"/>
        <v>0</v>
      </c>
      <c r="O249">
        <f t="shared" si="62"/>
        <v>0</v>
      </c>
      <c r="P249">
        <f t="shared" si="63"/>
        <v>0</v>
      </c>
      <c r="R249">
        <f t="shared" si="64"/>
        <v>2.4249999999999923</v>
      </c>
      <c r="S249">
        <f t="shared" si="65"/>
        <v>1.361314052936809E-2</v>
      </c>
      <c r="T249">
        <f t="shared" si="71"/>
        <v>6.6370215073445413E-3</v>
      </c>
      <c r="U249" s="1">
        <f t="shared" si="66"/>
        <v>55.0414158061348</v>
      </c>
      <c r="V249">
        <f t="shared" si="67"/>
        <v>4.8696752516585456E+19</v>
      </c>
      <c r="W249">
        <f t="shared" si="72"/>
        <v>6629157353321370</v>
      </c>
      <c r="Y249">
        <f t="shared" si="73"/>
        <v>2.4249999999999923</v>
      </c>
      <c r="Z249">
        <f t="shared" si="68"/>
        <v>0</v>
      </c>
      <c r="AA249">
        <f t="shared" si="74"/>
        <v>0</v>
      </c>
      <c r="AB249">
        <f t="shared" si="75"/>
        <v>1.0000235668946658</v>
      </c>
      <c r="AC249" s="1">
        <f t="shared" si="69"/>
        <v>7.4493433161470389E-3</v>
      </c>
    </row>
    <row r="250" spans="9:29" x14ac:dyDescent="0.2">
      <c r="I250">
        <f t="shared" si="76"/>
        <v>2.4349999999999921</v>
      </c>
      <c r="J250">
        <f t="shared" si="58"/>
        <v>1.3333849718123434E-2</v>
      </c>
      <c r="K250">
        <f t="shared" si="70"/>
        <v>6.5072247372847895E-3</v>
      </c>
      <c r="L250">
        <f t="shared" si="59"/>
        <v>6.7213352209334963E+17</v>
      </c>
      <c r="M250">
        <f t="shared" si="60"/>
        <v>6.9581128047869587</v>
      </c>
      <c r="N250">
        <f t="shared" si="61"/>
        <v>0</v>
      </c>
      <c r="O250">
        <f t="shared" si="62"/>
        <v>0</v>
      </c>
      <c r="P250">
        <f t="shared" si="63"/>
        <v>0</v>
      </c>
      <c r="R250">
        <f t="shared" si="64"/>
        <v>2.4349999999999921</v>
      </c>
      <c r="S250">
        <f t="shared" si="65"/>
        <v>1.3333934818477316E-2</v>
      </c>
      <c r="T250">
        <f t="shared" si="71"/>
        <v>6.5008901020508604E-3</v>
      </c>
      <c r="U250" s="1">
        <f t="shared" si="66"/>
        <v>53.912465828384782</v>
      </c>
      <c r="V250">
        <f t="shared" si="67"/>
        <v>5.0408061910266053E+19</v>
      </c>
      <c r="W250">
        <f t="shared" si="72"/>
        <v>6721378118372567</v>
      </c>
      <c r="Y250">
        <f t="shared" si="73"/>
        <v>2.4349999999999921</v>
      </c>
      <c r="Z250">
        <f t="shared" si="68"/>
        <v>0</v>
      </c>
      <c r="AA250">
        <f t="shared" si="74"/>
        <v>0</v>
      </c>
      <c r="AB250">
        <f t="shared" si="75"/>
        <v>1.0000235668946658</v>
      </c>
      <c r="AC250" s="1">
        <f t="shared" si="69"/>
        <v>7.4493433161470389E-3</v>
      </c>
    </row>
    <row r="251" spans="9:29" x14ac:dyDescent="0.2">
      <c r="I251">
        <f t="shared" si="76"/>
        <v>2.4449999999999918</v>
      </c>
      <c r="J251">
        <f t="shared" si="58"/>
        <v>1.3060372265846517E-2</v>
      </c>
      <c r="K251">
        <f t="shared" si="70"/>
        <v>6.3738862401035547E-3</v>
      </c>
      <c r="L251">
        <f t="shared" si="59"/>
        <v>6.8148383078573875E+17</v>
      </c>
      <c r="M251">
        <f t="shared" si="60"/>
        <v>6.8155352326167788</v>
      </c>
      <c r="N251">
        <f t="shared" si="61"/>
        <v>0</v>
      </c>
      <c r="O251">
        <f t="shared" si="62"/>
        <v>0</v>
      </c>
      <c r="P251">
        <f t="shared" si="63"/>
        <v>0</v>
      </c>
      <c r="R251">
        <f t="shared" si="64"/>
        <v>2.4449999999999918</v>
      </c>
      <c r="S251">
        <f t="shared" si="65"/>
        <v>1.30604556207909E-2</v>
      </c>
      <c r="T251">
        <f t="shared" si="71"/>
        <v>6.3675507538660872E-3</v>
      </c>
      <c r="U251" s="1">
        <f t="shared" si="66"/>
        <v>52.80667063115127</v>
      </c>
      <c r="V251">
        <f t="shared" si="67"/>
        <v>5.2179510423898923E+19</v>
      </c>
      <c r="W251">
        <f t="shared" si="72"/>
        <v>6814881802059281</v>
      </c>
      <c r="Y251">
        <f t="shared" si="73"/>
        <v>2.4449999999999918</v>
      </c>
      <c r="Z251">
        <f t="shared" si="68"/>
        <v>0</v>
      </c>
      <c r="AA251">
        <f t="shared" si="74"/>
        <v>0</v>
      </c>
      <c r="AB251">
        <f t="shared" si="75"/>
        <v>1.0000235668946658</v>
      </c>
      <c r="AC251" s="1">
        <f t="shared" si="69"/>
        <v>7.4493433161470389E-3</v>
      </c>
    </row>
    <row r="252" spans="9:29" x14ac:dyDescent="0.2">
      <c r="I252">
        <f t="shared" si="76"/>
        <v>2.4549999999999916</v>
      </c>
      <c r="J252">
        <f t="shared" si="58"/>
        <v>1.279250384010619E-2</v>
      </c>
      <c r="K252">
        <f t="shared" si="70"/>
        <v>6.2432825174450896E-3</v>
      </c>
      <c r="L252">
        <f t="shared" si="59"/>
        <v>6.909642152291095E+17</v>
      </c>
      <c r="M252">
        <f t="shared" si="60"/>
        <v>6.6758819285322026</v>
      </c>
      <c r="N252">
        <f t="shared" si="61"/>
        <v>0</v>
      </c>
      <c r="O252">
        <f t="shared" si="62"/>
        <v>0</v>
      </c>
      <c r="P252">
        <f t="shared" si="63"/>
        <v>0</v>
      </c>
      <c r="R252">
        <f t="shared" si="64"/>
        <v>2.4549999999999916</v>
      </c>
      <c r="S252">
        <f t="shared" si="65"/>
        <v>1.2792585485439448E-2</v>
      </c>
      <c r="T252">
        <f t="shared" si="71"/>
        <v>6.2369461976581782E-3</v>
      </c>
      <c r="U252" s="1">
        <f t="shared" si="66"/>
        <v>51.723555309548018</v>
      </c>
      <c r="V252">
        <f t="shared" si="67"/>
        <v>5.4013211476462133E+19</v>
      </c>
      <c r="W252">
        <f t="shared" si="72"/>
        <v>6909686251557609</v>
      </c>
      <c r="Y252">
        <f t="shared" si="73"/>
        <v>2.4549999999999916</v>
      </c>
      <c r="Z252">
        <f t="shared" si="68"/>
        <v>0</v>
      </c>
      <c r="AA252">
        <f t="shared" si="74"/>
        <v>0</v>
      </c>
      <c r="AB252">
        <f t="shared" si="75"/>
        <v>1.0000235668946658</v>
      </c>
      <c r="AC252" s="1">
        <f t="shared" si="69"/>
        <v>7.4493433161470389E-3</v>
      </c>
    </row>
    <row r="253" spans="9:29" x14ac:dyDescent="0.2">
      <c r="I253">
        <f t="shared" si="76"/>
        <v>2.4649999999999914</v>
      </c>
      <c r="J253">
        <f t="shared" si="58"/>
        <v>1.2530129399686335E-2</v>
      </c>
      <c r="K253">
        <f t="shared" si="70"/>
        <v>6.1153574790440276E-3</v>
      </c>
      <c r="L253">
        <f t="shared" si="59"/>
        <v>7.0057648495740352E+17</v>
      </c>
      <c r="M253">
        <f t="shared" si="60"/>
        <v>6.539092915752124</v>
      </c>
      <c r="N253">
        <f t="shared" si="61"/>
        <v>0</v>
      </c>
      <c r="O253">
        <f t="shared" si="62"/>
        <v>0</v>
      </c>
      <c r="P253">
        <f t="shared" si="63"/>
        <v>0</v>
      </c>
      <c r="R253">
        <f t="shared" si="64"/>
        <v>2.4649999999999914</v>
      </c>
      <c r="S253">
        <f t="shared" si="65"/>
        <v>1.2530209370472617E-2</v>
      </c>
      <c r="T253">
        <f t="shared" si="71"/>
        <v>6.1090203428037834E-3</v>
      </c>
      <c r="U253" s="1">
        <f t="shared" si="66"/>
        <v>50.662654698994899</v>
      </c>
      <c r="V253">
        <f t="shared" si="67"/>
        <v>5.5911352757054603E+19</v>
      </c>
      <c r="W253">
        <f t="shared" si="72"/>
        <v>7005809562322455</v>
      </c>
      <c r="Y253">
        <f t="shared" si="73"/>
        <v>2.4649999999999914</v>
      </c>
      <c r="Z253">
        <f t="shared" si="68"/>
        <v>0</v>
      </c>
      <c r="AA253">
        <f t="shared" si="74"/>
        <v>0</v>
      </c>
      <c r="AB253">
        <f t="shared" si="75"/>
        <v>1.0000235668946658</v>
      </c>
      <c r="AC253" s="1">
        <f t="shared" si="69"/>
        <v>7.4493433161470389E-3</v>
      </c>
    </row>
    <row r="254" spans="9:29" x14ac:dyDescent="0.2">
      <c r="I254">
        <f t="shared" si="76"/>
        <v>2.4749999999999912</v>
      </c>
      <c r="J254">
        <f t="shared" si="58"/>
        <v>1.2273136262867888E-2</v>
      </c>
      <c r="K254">
        <f t="shared" si="70"/>
        <v>5.9900561850471639E-3</v>
      </c>
      <c r="L254">
        <f t="shared" si="59"/>
        <v>7.1032247467769344E+17</v>
      </c>
      <c r="M254">
        <f t="shared" si="60"/>
        <v>6.4051094476200943</v>
      </c>
      <c r="N254">
        <f t="shared" si="61"/>
        <v>0</v>
      </c>
      <c r="O254">
        <f t="shared" si="62"/>
        <v>0</v>
      </c>
      <c r="P254">
        <f t="shared" si="63"/>
        <v>0</v>
      </c>
      <c r="R254">
        <f t="shared" si="64"/>
        <v>2.4749999999999912</v>
      </c>
      <c r="S254">
        <f t="shared" si="65"/>
        <v>1.2273214593452174E-2</v>
      </c>
      <c r="T254">
        <f t="shared" si="71"/>
        <v>5.9837182490990572E-3</v>
      </c>
      <c r="U254" s="1">
        <f t="shared" si="66"/>
        <v>49.623513175444153</v>
      </c>
      <c r="V254">
        <f t="shared" si="67"/>
        <v>5.7876198834910593E+19</v>
      </c>
      <c r="W254">
        <f t="shared" si="72"/>
        <v>7103270081541644</v>
      </c>
      <c r="Y254">
        <f t="shared" si="73"/>
        <v>2.4749999999999912</v>
      </c>
      <c r="Z254">
        <f t="shared" si="68"/>
        <v>0</v>
      </c>
      <c r="AA254">
        <f t="shared" si="74"/>
        <v>0</v>
      </c>
      <c r="AB254">
        <f t="shared" si="75"/>
        <v>1.0000235668946658</v>
      </c>
      <c r="AC254" s="1">
        <f t="shared" si="69"/>
        <v>7.4493433161470389E-3</v>
      </c>
    </row>
    <row r="255" spans="9:29" x14ac:dyDescent="0.2">
      <c r="I255">
        <f t="shared" si="76"/>
        <v>2.484999999999991</v>
      </c>
      <c r="J255">
        <f t="shared" si="58"/>
        <v>1.2021414059035437E-2</v>
      </c>
      <c r="K255">
        <f t="shared" si="70"/>
        <v>5.867324822418485E-3</v>
      </c>
      <c r="L255">
        <f t="shared" si="59"/>
        <v>7.2020404462037235E+17</v>
      </c>
      <c r="M255">
        <f t="shared" si="60"/>
        <v>6.2738739823744467</v>
      </c>
      <c r="N255">
        <f t="shared" si="61"/>
        <v>0</v>
      </c>
      <c r="O255">
        <f t="shared" si="62"/>
        <v>0</v>
      </c>
      <c r="P255">
        <f t="shared" si="63"/>
        <v>0</v>
      </c>
      <c r="R255">
        <f t="shared" si="64"/>
        <v>2.484999999999991</v>
      </c>
      <c r="S255">
        <f t="shared" si="65"/>
        <v>1.2021490783058298E-2</v>
      </c>
      <c r="T255">
        <f t="shared" si="71"/>
        <v>5.8609861031645354E-3</v>
      </c>
      <c r="U255" s="1">
        <f t="shared" si="66"/>
        <v>48.605684459703859</v>
      </c>
      <c r="V255">
        <f t="shared" si="67"/>
        <v>5.9910093861134287E+19</v>
      </c>
      <c r="W255">
        <f t="shared" si="72"/>
        <v>7202086411637833</v>
      </c>
      <c r="Y255">
        <f t="shared" si="73"/>
        <v>2.484999999999991</v>
      </c>
      <c r="Z255">
        <f t="shared" si="68"/>
        <v>0</v>
      </c>
      <c r="AA255">
        <f t="shared" si="74"/>
        <v>0</v>
      </c>
      <c r="AB255">
        <f t="shared" si="75"/>
        <v>1.0000235668946658</v>
      </c>
      <c r="AC255" s="1">
        <f t="shared" si="69"/>
        <v>7.4493433161470389E-3</v>
      </c>
    </row>
    <row r="256" spans="9:29" x14ac:dyDescent="0.2">
      <c r="I256">
        <f t="shared" si="76"/>
        <v>2.4949999999999908</v>
      </c>
      <c r="J256">
        <f t="shared" si="58"/>
        <v>1.1774854681276561E-2</v>
      </c>
      <c r="K256">
        <f t="shared" si="70"/>
        <v>5.747110681828131E-3</v>
      </c>
      <c r="L256">
        <f t="shared" si="59"/>
        <v>7.3022308089419853E+17</v>
      </c>
      <c r="M256">
        <f t="shared" si="60"/>
        <v>6.1453301584358817</v>
      </c>
      <c r="N256">
        <f t="shared" si="61"/>
        <v>0</v>
      </c>
      <c r="O256">
        <f t="shared" si="62"/>
        <v>0</v>
      </c>
      <c r="P256">
        <f t="shared" si="63"/>
        <v>0</v>
      </c>
      <c r="R256">
        <f t="shared" si="64"/>
        <v>2.4949999999999908</v>
      </c>
      <c r="S256">
        <f t="shared" si="65"/>
        <v>1.1774929831688593E-2</v>
      </c>
      <c r="T256">
        <f t="shared" si="71"/>
        <v>5.7407711953339526E-3</v>
      </c>
      <c r="U256" s="1">
        <f t="shared" si="66"/>
        <v>47.608731425774835</v>
      </c>
      <c r="V256">
        <f t="shared" si="67"/>
        <v>6.2015464365376954E+19</v>
      </c>
      <c r="W256">
        <f t="shared" si="72"/>
        <v>7302277413818980</v>
      </c>
      <c r="Y256">
        <f t="shared" si="73"/>
        <v>2.4949999999999908</v>
      </c>
      <c r="Z256">
        <f t="shared" si="68"/>
        <v>0</v>
      </c>
      <c r="AA256">
        <f t="shared" si="74"/>
        <v>0</v>
      </c>
      <c r="AB256">
        <f t="shared" si="75"/>
        <v>1.0000235668946658</v>
      </c>
      <c r="AC256" s="1">
        <f t="shared" si="69"/>
        <v>7.4493433161470389E-3</v>
      </c>
    </row>
    <row r="257" spans="9:29" x14ac:dyDescent="0.2">
      <c r="I257">
        <f t="shared" si="76"/>
        <v>2.5049999999999906</v>
      </c>
      <c r="J257">
        <f t="shared" si="58"/>
        <v>1.1533352239953136E-2</v>
      </c>
      <c r="K257">
        <f t="shared" si="70"/>
        <v>5.6293621350153658E-3</v>
      </c>
      <c r="L257">
        <f t="shared" si="59"/>
        <v>7.4038149584634458E+17</v>
      </c>
      <c r="M257">
        <f t="shared" si="60"/>
        <v>6.0194227702019205</v>
      </c>
      <c r="N257">
        <f t="shared" si="61"/>
        <v>0</v>
      </c>
      <c r="O257">
        <f t="shared" si="62"/>
        <v>0</v>
      </c>
      <c r="P257">
        <f t="shared" si="63"/>
        <v>0</v>
      </c>
      <c r="R257">
        <f t="shared" si="64"/>
        <v>2.5049999999999906</v>
      </c>
      <c r="S257">
        <f t="shared" si="65"/>
        <v>1.1533425849029121E-2</v>
      </c>
      <c r="T257">
        <f t="shared" si="71"/>
        <v>5.6230218970170663E-3</v>
      </c>
      <c r="U257" s="1">
        <f t="shared" si="66"/>
        <v>46.632225913118539</v>
      </c>
      <c r="V257">
        <f t="shared" si="67"/>
        <v>6.4194822150801924E+19</v>
      </c>
      <c r="W257">
        <f t="shared" si="72"/>
        <v>7403862211678861</v>
      </c>
      <c r="Y257">
        <f t="shared" si="73"/>
        <v>2.5049999999999906</v>
      </c>
      <c r="Z257">
        <f t="shared" si="68"/>
        <v>0</v>
      </c>
      <c r="AA257">
        <f t="shared" si="74"/>
        <v>0</v>
      </c>
      <c r="AB257">
        <f t="shared" si="75"/>
        <v>1.0000235668946658</v>
      </c>
      <c r="AC257" s="1">
        <f t="shared" si="69"/>
        <v>7.4493433161470389E-3</v>
      </c>
    </row>
    <row r="258" spans="9:29" x14ac:dyDescent="0.2">
      <c r="I258">
        <f t="shared" si="76"/>
        <v>2.5149999999999904</v>
      </c>
      <c r="J258">
        <f t="shared" si="58"/>
        <v>1.129680301722508E-2</v>
      </c>
      <c r="K258">
        <f t="shared" si="70"/>
        <v>5.5140286126158346E-3</v>
      </c>
      <c r="L258">
        <f t="shared" si="59"/>
        <v>7.5068122842736256E+17</v>
      </c>
      <c r="M258">
        <f t="shared" si="60"/>
        <v>5.8960977443377889</v>
      </c>
      <c r="N258">
        <f t="shared" si="61"/>
        <v>0</v>
      </c>
      <c r="O258">
        <f t="shared" si="62"/>
        <v>0</v>
      </c>
      <c r="P258">
        <f t="shared" si="63"/>
        <v>0</v>
      </c>
      <c r="R258">
        <f t="shared" si="64"/>
        <v>2.5149999999999904</v>
      </c>
      <c r="S258">
        <f t="shared" si="65"/>
        <v>1.1296875116577842E-2</v>
      </c>
      <c r="T258">
        <f t="shared" si="71"/>
        <v>5.5076876385267747E-3</v>
      </c>
      <c r="U258" s="1">
        <f t="shared" si="66"/>
        <v>45.67574854277531</v>
      </c>
      <c r="V258">
        <f t="shared" si="67"/>
        <v>6.6450767290776232E+19</v>
      </c>
      <c r="W258">
        <f t="shared" si="72"/>
        <v>7506860194846748</v>
      </c>
      <c r="Y258">
        <f t="shared" si="73"/>
        <v>2.5149999999999904</v>
      </c>
      <c r="Z258">
        <f t="shared" si="68"/>
        <v>0</v>
      </c>
      <c r="AA258">
        <f t="shared" si="74"/>
        <v>0</v>
      </c>
      <c r="AB258">
        <f t="shared" si="75"/>
        <v>1.0000235668946658</v>
      </c>
      <c r="AC258" s="1">
        <f t="shared" si="69"/>
        <v>7.4493433161470389E-3</v>
      </c>
    </row>
    <row r="259" spans="9:29" x14ac:dyDescent="0.2">
      <c r="I259">
        <f t="shared" si="76"/>
        <v>2.5249999999999901</v>
      </c>
      <c r="J259">
        <f t="shared" si="58"/>
        <v>1.1065105422506749E-2</v>
      </c>
      <c r="K259">
        <f t="shared" si="70"/>
        <v>5.4010605824435839E-3</v>
      </c>
      <c r="L259">
        <f t="shared" si="59"/>
        <v>7.611242445612951E+17</v>
      </c>
      <c r="M259">
        <f t="shared" si="60"/>
        <v>5.7753021165536031</v>
      </c>
      <c r="N259">
        <f t="shared" si="61"/>
        <v>0</v>
      </c>
      <c r="O259">
        <f t="shared" si="62"/>
        <v>0</v>
      </c>
      <c r="P259">
        <f t="shared" si="63"/>
        <v>0</v>
      </c>
      <c r="R259">
        <f t="shared" si="64"/>
        <v>2.5249999999999901</v>
      </c>
      <c r="S259">
        <f t="shared" si="65"/>
        <v>1.1065176043100734E-2</v>
      </c>
      <c r="T259">
        <f t="shared" si="71"/>
        <v>5.394718887360996E-3</v>
      </c>
      <c r="U259" s="1">
        <f t="shared" si="66"/>
        <v>44.73888853725407</v>
      </c>
      <c r="V259">
        <f t="shared" si="67"/>
        <v>6.8785991230878474E+19</v>
      </c>
      <c r="W259">
        <f t="shared" si="72"/>
        <v>7611291022688536</v>
      </c>
      <c r="Y259">
        <f t="shared" si="73"/>
        <v>2.5249999999999901</v>
      </c>
      <c r="Z259">
        <f t="shared" si="68"/>
        <v>0</v>
      </c>
      <c r="AA259">
        <f t="shared" si="74"/>
        <v>0</v>
      </c>
      <c r="AB259">
        <f t="shared" si="75"/>
        <v>1.0000235668946658</v>
      </c>
      <c r="AC259" s="1">
        <f t="shared" si="69"/>
        <v>7.4493433161470389E-3</v>
      </c>
    </row>
    <row r="260" spans="9:29" x14ac:dyDescent="0.2">
      <c r="I260">
        <f t="shared" si="76"/>
        <v>2.5349999999999899</v>
      </c>
      <c r="J260">
        <f t="shared" si="58"/>
        <v>1.0838159948836849E-2</v>
      </c>
      <c r="K260">
        <f t="shared" si="70"/>
        <v>5.2904095282185161E-3</v>
      </c>
      <c r="L260">
        <f t="shared" si="59"/>
        <v>7.7171253752092582E+17</v>
      </c>
      <c r="M260">
        <f t="shared" si="60"/>
        <v>5.6569840088578367</v>
      </c>
      <c r="N260">
        <f t="shared" si="61"/>
        <v>0</v>
      </c>
      <c r="O260">
        <f t="shared" si="62"/>
        <v>0</v>
      </c>
      <c r="P260">
        <f t="shared" si="63"/>
        <v>0</v>
      </c>
      <c r="R260">
        <f t="shared" si="64"/>
        <v>2.5349999999999899</v>
      </c>
      <c r="S260">
        <f t="shared" si="65"/>
        <v>1.083822912100142E-2</v>
      </c>
      <c r="T260">
        <f t="shared" si="71"/>
        <v>5.284067126929989E-3</v>
      </c>
      <c r="U260" s="1">
        <f t="shared" si="66"/>
        <v>43.821243544116086</v>
      </c>
      <c r="V260">
        <f t="shared" si="67"/>
        <v>7.1203279999917883E+19</v>
      </c>
      <c r="W260">
        <f t="shared" si="72"/>
        <v>7717174628059281</v>
      </c>
      <c r="Y260">
        <f t="shared" si="73"/>
        <v>2.5349999999999899</v>
      </c>
      <c r="Z260">
        <f t="shared" si="68"/>
        <v>0</v>
      </c>
      <c r="AA260">
        <f t="shared" si="74"/>
        <v>0</v>
      </c>
      <c r="AB260">
        <f t="shared" si="75"/>
        <v>1.0000235668946658</v>
      </c>
      <c r="AC260" s="1">
        <f t="shared" si="69"/>
        <v>7.4493433161470389E-3</v>
      </c>
    </row>
    <row r="261" spans="9:29" x14ac:dyDescent="0.2">
      <c r="I261">
        <f t="shared" si="76"/>
        <v>2.5449999999999897</v>
      </c>
      <c r="J261">
        <f t="shared" si="58"/>
        <v>1.0615869130143358E-2</v>
      </c>
      <c r="K261">
        <f t="shared" si="70"/>
        <v>5.182027928730148E-3</v>
      </c>
      <c r="L261">
        <f t="shared" si="59"/>
        <v>7.8244812830821709E+17</v>
      </c>
      <c r="M261">
        <f t="shared" si="60"/>
        <v>5.5410926072773261</v>
      </c>
      <c r="N261">
        <f t="shared" si="61"/>
        <v>0</v>
      </c>
      <c r="O261">
        <f t="shared" si="62"/>
        <v>0</v>
      </c>
      <c r="P261">
        <f t="shared" si="63"/>
        <v>0</v>
      </c>
      <c r="R261">
        <f t="shared" si="64"/>
        <v>2.5449999999999897</v>
      </c>
      <c r="S261">
        <f t="shared" si="65"/>
        <v>1.0615936883585824E-2</v>
      </c>
      <c r="T261">
        <f t="shared" si="71"/>
        <v>5.1756848357199748E-3</v>
      </c>
      <c r="U261" s="1">
        <f t="shared" si="66"/>
        <v>42.922419463176979</v>
      </c>
      <c r="V261">
        <f t="shared" si="67"/>
        <v>7.3705517533791494E+19</v>
      </c>
      <c r="W261">
        <f t="shared" si="72"/>
        <v>7824531221107588</v>
      </c>
      <c r="Y261">
        <f t="shared" si="73"/>
        <v>2.5449999999999897</v>
      </c>
      <c r="Z261">
        <f t="shared" si="68"/>
        <v>0</v>
      </c>
      <c r="AA261">
        <f t="shared" si="74"/>
        <v>0</v>
      </c>
      <c r="AB261">
        <f t="shared" si="75"/>
        <v>1.0000235668946658</v>
      </c>
      <c r="AC261" s="1">
        <f t="shared" si="69"/>
        <v>7.4493433161470389E-3</v>
      </c>
    </row>
    <row r="262" spans="9:29" x14ac:dyDescent="0.2">
      <c r="I262">
        <f t="shared" si="76"/>
        <v>2.5549999999999895</v>
      </c>
      <c r="J262">
        <f t="shared" si="58"/>
        <v>1.0398137499384784E-2</v>
      </c>
      <c r="K262">
        <f t="shared" si="70"/>
        <v>5.0758692374287141E-3</v>
      </c>
      <c r="L262">
        <f t="shared" si="59"/>
        <v>7.9333306604005619E+17</v>
      </c>
      <c r="M262">
        <f t="shared" si="60"/>
        <v>5.4275781400342371</v>
      </c>
      <c r="N262">
        <f t="shared" si="61"/>
        <v>0</v>
      </c>
      <c r="O262">
        <f t="shared" si="62"/>
        <v>0</v>
      </c>
      <c r="P262">
        <f t="shared" si="63"/>
        <v>0</v>
      </c>
      <c r="R262">
        <f t="shared" si="64"/>
        <v>2.5549999999999895</v>
      </c>
      <c r="S262">
        <f t="shared" si="65"/>
        <v>1.0398203863203158E-2</v>
      </c>
      <c r="T262">
        <f t="shared" si="71"/>
        <v>5.0695254668841165E-3</v>
      </c>
      <c r="U262" s="1">
        <f t="shared" si="66"/>
        <v>42.042030277252962</v>
      </c>
      <c r="V262">
        <f t="shared" si="67"/>
        <v>7.6295689116151284E+19</v>
      </c>
      <c r="W262">
        <f t="shared" si="72"/>
        <v>7933381293133115</v>
      </c>
      <c r="Y262">
        <f t="shared" si="73"/>
        <v>2.5549999999999895</v>
      </c>
      <c r="Z262">
        <f t="shared" si="68"/>
        <v>0</v>
      </c>
      <c r="AA262">
        <f t="shared" si="74"/>
        <v>0</v>
      </c>
      <c r="AB262">
        <f t="shared" si="75"/>
        <v>1.0000235668946658</v>
      </c>
      <c r="AC262" s="1">
        <f t="shared" si="69"/>
        <v>7.4493433161470389E-3</v>
      </c>
    </row>
    <row r="263" spans="9:29" x14ac:dyDescent="0.2">
      <c r="I263">
        <f t="shared" si="76"/>
        <v>2.5649999999999893</v>
      </c>
      <c r="J263">
        <f t="shared" ref="J263:J326" si="77">IF($I263&gt;$B$23,0,1)*IF($I263&lt;($B$23-$B$21),$B$10*EXP(-$B$10*($I263-$B$8)),$B$10*EXP(-$B$10*($B$23-$B$20-$B$21-$B$8)))/(1-EXP(-$B$10*($B$23-$B$21-$B$8)))*(1/(1+$B$24))</f>
        <v>1.0184871547550045E-2</v>
      </c>
      <c r="K263">
        <f t="shared" si="70"/>
        <v>4.9718878624348661E-3</v>
      </c>
      <c r="L263">
        <f t="shared" ref="L263:L326" si="78">$V263*$J263</f>
        <v>8.0436942833940173E+17</v>
      </c>
      <c r="M263">
        <f t="shared" ref="M263:M326" si="79">$K263/$L$4*$B$18</f>
        <v>5.3163918561706272</v>
      </c>
      <c r="N263">
        <f t="shared" ref="N263:N326" si="80">IF($I263&gt;$B$23,0,1)*IF($I263&lt;($B$23-$B$21),0,M263)</f>
        <v>0</v>
      </c>
      <c r="O263">
        <f t="shared" ref="O263:O326" si="81">IF($I263&gt;$B$23,0,1)*IF($I263&lt;($B$23-$B$33),0,1)*IF($I263&lt;($B$23-$B$21),$B$10*EXP(-$B$10*($I263-$B$8)),$B$10*EXP(-$B$10*($B$23-$B$20-$B$21-$B$8)))/(1-EXP(-$B$10*($B$23-$B$21-$B$8)))*(1/(1+$B$24))*($B$18/(SUM($L$7:$L$105)*0.05))</f>
        <v>0</v>
      </c>
      <c r="P263">
        <f t="shared" ref="P263:P326" si="82">IF($I263&gt;$B$23,0,1)*IF($I263&lt;($B$23-$B$21),0,1)*$L263</f>
        <v>0</v>
      </c>
      <c r="R263">
        <f t="shared" ref="R263:R326" si="83">$I263</f>
        <v>2.5649999999999893</v>
      </c>
      <c r="S263">
        <f t="shared" ref="S263:S326" si="84">IF($I263&lt;$B$23+0.01,$B$10*EXP(-$B$10*($I263-$B$8))/(1-EXP(-$B$10*($B$23-$B$8))),0)</f>
        <v>1.0184936550245535E-2</v>
      </c>
      <c r="T263">
        <f t="shared" si="71"/>
        <v>4.965543428252085E-3</v>
      </c>
      <c r="U263" s="1">
        <f t="shared" ref="U263:U326" si="85">T263*$B$18/$W$4</f>
        <v>41.179697886378257</v>
      </c>
      <c r="V263">
        <f t="shared" ref="V263:V326" si="86">10^(1.5*$I263+16.05)</f>
        <v>7.8976884939986452E+19</v>
      </c>
      <c r="W263">
        <f t="shared" si="72"/>
        <v>8043745620498042</v>
      </c>
      <c r="Y263">
        <f t="shared" si="73"/>
        <v>2.5649999999999893</v>
      </c>
      <c r="Z263">
        <f t="shared" ref="Z263:Z326" si="87">IF(AND($Y263&lt;$B$9+$B$27*$B$28,$Y263&gt;$B$9-$B$27*$B$28),NORMDIST($Y263,$B$9,$B$27,0) / (2*NORMDIST($B$28,0,1,1)-1),0)</f>
        <v>0</v>
      </c>
      <c r="AA263">
        <f t="shared" si="74"/>
        <v>0</v>
      </c>
      <c r="AB263">
        <f t="shared" si="75"/>
        <v>1.0000235668946658</v>
      </c>
      <c r="AC263" s="1">
        <f t="shared" ref="AC263:AC326" si="88">$AB263*$B$18/$AA$4</f>
        <v>7.4493433161470389E-3</v>
      </c>
    </row>
    <row r="264" spans="9:29" x14ac:dyDescent="0.2">
      <c r="I264">
        <f t="shared" si="76"/>
        <v>2.5749999999999891</v>
      </c>
      <c r="J264">
        <f t="shared" si="77"/>
        <v>9.9759796834992739E-3</v>
      </c>
      <c r="K264">
        <f t="shared" ref="K264:K327" si="89">$J264*K$4+K265</f>
        <v>4.8700391469593653E-3</v>
      </c>
      <c r="L264">
        <f t="shared" si="78"/>
        <v>8.1555932173181824E+17</v>
      </c>
      <c r="M264">
        <f t="shared" si="79"/>
        <v>5.2074860046114129</v>
      </c>
      <c r="N264">
        <f t="shared" si="80"/>
        <v>0</v>
      </c>
      <c r="O264">
        <f t="shared" si="81"/>
        <v>0</v>
      </c>
      <c r="P264">
        <f t="shared" si="82"/>
        <v>0</v>
      </c>
      <c r="R264">
        <f t="shared" si="83"/>
        <v>2.5749999999999891</v>
      </c>
      <c r="S264">
        <f t="shared" si="84"/>
        <v>9.9760433529885312E-3</v>
      </c>
      <c r="T264">
        <f t="shared" ref="T264:T327" si="90">T265+$S264*0.01</f>
        <v>4.8636940627496293E-3</v>
      </c>
      <c r="U264" s="1">
        <f t="shared" si="85"/>
        <v>40.335051945422947</v>
      </c>
      <c r="V264">
        <f t="shared" si="86"/>
        <v>8.1752303794362237E+19</v>
      </c>
      <c r="W264">
        <f t="shared" ref="W264:W327" si="91">$S264*$V264*0.01</f>
        <v>8155645268592465</v>
      </c>
      <c r="Y264">
        <f t="shared" ref="Y264:Y327" si="92">I264</f>
        <v>2.5749999999999891</v>
      </c>
      <c r="Z264">
        <f t="shared" si="87"/>
        <v>0</v>
      </c>
      <c r="AA264">
        <f t="shared" ref="AA264:AA327" si="93">$V264*$Z264*$K$4</f>
        <v>0</v>
      </c>
      <c r="AB264">
        <f t="shared" ref="AB264:AB327" si="94">Z264*$K$4+AB265</f>
        <v>1.0000235668946658</v>
      </c>
      <c r="AC264" s="1">
        <f t="shared" si="88"/>
        <v>7.4493433161470389E-3</v>
      </c>
    </row>
    <row r="265" spans="9:29" x14ac:dyDescent="0.2">
      <c r="I265">
        <f t="shared" si="76"/>
        <v>2.5849999999999889</v>
      </c>
      <c r="J265">
        <f t="shared" si="77"/>
        <v>9.7713721946281768E-3</v>
      </c>
      <c r="K265">
        <f t="shared" si="89"/>
        <v>4.7702793501243727E-3</v>
      </c>
      <c r="L265">
        <f t="shared" si="78"/>
        <v>8.2690488204757376E+17</v>
      </c>
      <c r="M265">
        <f t="shared" si="79"/>
        <v>5.1008138136567567</v>
      </c>
      <c r="N265">
        <f t="shared" si="80"/>
        <v>0</v>
      </c>
      <c r="O265">
        <f t="shared" si="81"/>
        <v>0</v>
      </c>
      <c r="P265">
        <f t="shared" si="82"/>
        <v>0</v>
      </c>
      <c r="R265">
        <f t="shared" si="83"/>
        <v>2.5849999999999889</v>
      </c>
      <c r="S265">
        <f t="shared" si="84"/>
        <v>9.771434558255283E-3</v>
      </c>
      <c r="T265">
        <f t="shared" si="90"/>
        <v>4.7639336292197437E-3</v>
      </c>
      <c r="U265" s="1">
        <f t="shared" si="85"/>
        <v>39.507729705041115</v>
      </c>
      <c r="V265">
        <f t="shared" si="86"/>
        <v>8.462525688072405E+19</v>
      </c>
      <c r="W265">
        <f t="shared" si="91"/>
        <v>8269101595855377</v>
      </c>
      <c r="Y265">
        <f t="shared" si="92"/>
        <v>2.5849999999999889</v>
      </c>
      <c r="Z265">
        <f t="shared" si="87"/>
        <v>0</v>
      </c>
      <c r="AA265">
        <f t="shared" si="93"/>
        <v>0</v>
      </c>
      <c r="AB265">
        <f t="shared" si="94"/>
        <v>1.0000235668946658</v>
      </c>
      <c r="AC265" s="1">
        <f t="shared" si="88"/>
        <v>7.4493433161470389E-3</v>
      </c>
    </row>
    <row r="266" spans="9:29" x14ac:dyDescent="0.2">
      <c r="I266">
        <f t="shared" si="76"/>
        <v>2.5949999999999886</v>
      </c>
      <c r="J266">
        <f t="shared" si="77"/>
        <v>9.5709612083393278E-3</v>
      </c>
      <c r="K266">
        <f t="shared" si="89"/>
        <v>4.6725656281780912E-3</v>
      </c>
      <c r="L266">
        <f t="shared" si="78"/>
        <v>8.3840827482928154E+17</v>
      </c>
      <c r="M266">
        <f t="shared" si="79"/>
        <v>4.9963294708950654</v>
      </c>
      <c r="N266">
        <f t="shared" si="80"/>
        <v>0</v>
      </c>
      <c r="O266">
        <f t="shared" si="81"/>
        <v>0</v>
      </c>
      <c r="P266">
        <f t="shared" si="82"/>
        <v>0</v>
      </c>
      <c r="R266">
        <f t="shared" si="83"/>
        <v>2.5949999999999886</v>
      </c>
      <c r="S266">
        <f t="shared" si="84"/>
        <v>9.5710222928875287E-3</v>
      </c>
      <c r="T266">
        <f t="shared" si="90"/>
        <v>4.6662192836371911E-3</v>
      </c>
      <c r="U266" s="1">
        <f t="shared" si="85"/>
        <v>38.697375855881226</v>
      </c>
      <c r="V266">
        <f t="shared" si="86"/>
        <v>8.7599171763308724E+19</v>
      </c>
      <c r="W266">
        <f t="shared" si="91"/>
        <v>8384136257851116</v>
      </c>
      <c r="Y266">
        <f t="shared" si="92"/>
        <v>2.5949999999999886</v>
      </c>
      <c r="Z266">
        <f t="shared" si="87"/>
        <v>0</v>
      </c>
      <c r="AA266">
        <f t="shared" si="93"/>
        <v>0</v>
      </c>
      <c r="AB266">
        <f t="shared" si="94"/>
        <v>1.0000235668946658</v>
      </c>
      <c r="AC266" s="1">
        <f t="shared" si="88"/>
        <v>7.4493433161470389E-3</v>
      </c>
    </row>
    <row r="267" spans="9:29" x14ac:dyDescent="0.2">
      <c r="I267">
        <f t="shared" si="76"/>
        <v>2.6049999999999884</v>
      </c>
      <c r="J267">
        <f t="shared" si="77"/>
        <v>9.3746606543035193E-3</v>
      </c>
      <c r="K267">
        <f t="shared" si="89"/>
        <v>4.5768560160946983E-3</v>
      </c>
      <c r="L267">
        <f t="shared" si="78"/>
        <v>8.5007169574525632E+17</v>
      </c>
      <c r="M267">
        <f t="shared" si="79"/>
        <v>4.8939881035279802</v>
      </c>
      <c r="N267">
        <f t="shared" si="80"/>
        <v>0</v>
      </c>
      <c r="O267">
        <f t="shared" si="81"/>
        <v>0</v>
      </c>
      <c r="P267">
        <f t="shared" si="82"/>
        <v>0</v>
      </c>
      <c r="R267">
        <f t="shared" si="83"/>
        <v>2.6049999999999884</v>
      </c>
      <c r="S267">
        <f t="shared" si="84"/>
        <v>9.3747204860067466E-3</v>
      </c>
      <c r="T267">
        <f t="shared" si="90"/>
        <v>4.5705090607083155E-3</v>
      </c>
      <c r="U267" s="1">
        <f t="shared" si="85"/>
        <v>37.903642375991716</v>
      </c>
      <c r="V267">
        <f t="shared" si="86"/>
        <v>9.0677596458387374E+19</v>
      </c>
      <c r="W267">
        <f t="shared" si="91"/>
        <v>8500771211402970</v>
      </c>
      <c r="Y267">
        <f t="shared" si="92"/>
        <v>2.6049999999999884</v>
      </c>
      <c r="Z267">
        <f t="shared" si="87"/>
        <v>0</v>
      </c>
      <c r="AA267">
        <f t="shared" si="93"/>
        <v>0</v>
      </c>
      <c r="AB267">
        <f t="shared" si="94"/>
        <v>1.0000235668946658</v>
      </c>
      <c r="AC267" s="1">
        <f t="shared" si="88"/>
        <v>7.4493433161470389E-3</v>
      </c>
    </row>
    <row r="268" spans="9:29" x14ac:dyDescent="0.2">
      <c r="I268">
        <f t="shared" si="76"/>
        <v>2.6149999999999882</v>
      </c>
      <c r="J268">
        <f t="shared" si="77"/>
        <v>9.182386227495256E-3</v>
      </c>
      <c r="K268">
        <f t="shared" si="89"/>
        <v>4.4831094095516633E-3</v>
      </c>
      <c r="L268">
        <f t="shared" si="78"/>
        <v>8.6189737100860147E+17</v>
      </c>
      <c r="M268">
        <f t="shared" si="79"/>
        <v>4.7937457590988872</v>
      </c>
      <c r="N268">
        <f t="shared" si="80"/>
        <v>0</v>
      </c>
      <c r="O268">
        <f t="shared" si="81"/>
        <v>0</v>
      </c>
      <c r="P268">
        <f t="shared" si="82"/>
        <v>0</v>
      </c>
      <c r="R268">
        <f t="shared" si="83"/>
        <v>2.6149999999999882</v>
      </c>
      <c r="S268">
        <f t="shared" si="84"/>
        <v>9.182444832049377E-3</v>
      </c>
      <c r="T268">
        <f t="shared" si="90"/>
        <v>4.4767618558482483E-3</v>
      </c>
      <c r="U268" s="1">
        <f t="shared" si="85"/>
        <v>37.12618838135635</v>
      </c>
      <c r="V268">
        <f t="shared" si="86"/>
        <v>9.3864203667210289E+19</v>
      </c>
      <c r="W268">
        <f t="shared" si="91"/>
        <v>8619028718784053</v>
      </c>
      <c r="Y268">
        <f t="shared" si="92"/>
        <v>2.6149999999999882</v>
      </c>
      <c r="Z268">
        <f t="shared" si="87"/>
        <v>0</v>
      </c>
      <c r="AA268">
        <f t="shared" si="93"/>
        <v>0</v>
      </c>
      <c r="AB268">
        <f t="shared" si="94"/>
        <v>1.0000235668946658</v>
      </c>
      <c r="AC268" s="1">
        <f t="shared" si="88"/>
        <v>7.4493433161470389E-3</v>
      </c>
    </row>
    <row r="269" spans="9:29" x14ac:dyDescent="0.2">
      <c r="I269">
        <f t="shared" si="76"/>
        <v>2.624999999999988</v>
      </c>
      <c r="J269">
        <f t="shared" si="77"/>
        <v>8.9940553519863731E-3</v>
      </c>
      <c r="K269">
        <f t="shared" si="89"/>
        <v>4.3912855472767109E-3</v>
      </c>
      <c r="L269">
        <f t="shared" si="78"/>
        <v>8.7388755780213261E+17</v>
      </c>
      <c r="M269">
        <f t="shared" si="79"/>
        <v>4.6955593866167016</v>
      </c>
      <c r="N269">
        <f t="shared" si="80"/>
        <v>0</v>
      </c>
      <c r="O269">
        <f t="shared" si="81"/>
        <v>0</v>
      </c>
      <c r="P269">
        <f t="shared" si="82"/>
        <v>0</v>
      </c>
      <c r="R269">
        <f t="shared" si="83"/>
        <v>2.624999999999988</v>
      </c>
      <c r="S269">
        <f t="shared" si="84"/>
        <v>8.994112754560234E-3</v>
      </c>
      <c r="T269">
        <f t="shared" si="90"/>
        <v>4.3849374075277548E-3</v>
      </c>
      <c r="U269" s="1">
        <f t="shared" si="85"/>
        <v>36.364679979495023</v>
      </c>
      <c r="V269">
        <f t="shared" si="86"/>
        <v>9.716279515770726E+19</v>
      </c>
      <c r="W269">
        <f t="shared" si="91"/>
        <v>8738931351966582</v>
      </c>
      <c r="Y269">
        <f t="shared" si="92"/>
        <v>2.624999999999988</v>
      </c>
      <c r="Z269">
        <f t="shared" si="87"/>
        <v>0</v>
      </c>
      <c r="AA269">
        <f t="shared" si="93"/>
        <v>0</v>
      </c>
      <c r="AB269">
        <f t="shared" si="94"/>
        <v>1.0000235668946658</v>
      </c>
      <c r="AC269" s="1">
        <f t="shared" si="88"/>
        <v>7.4493433161470389E-3</v>
      </c>
    </row>
    <row r="270" spans="9:29" x14ac:dyDescent="0.2">
      <c r="I270">
        <f t="shared" si="76"/>
        <v>2.6349999999999878</v>
      </c>
      <c r="J270">
        <f t="shared" si="77"/>
        <v>8.8095871454821634E-3</v>
      </c>
      <c r="K270">
        <f t="shared" si="89"/>
        <v>4.3013449937568471E-3</v>
      </c>
      <c r="L270">
        <f t="shared" si="78"/>
        <v>8.8604454470920269E+17</v>
      </c>
      <c r="M270">
        <f t="shared" si="79"/>
        <v>4.5993868180667912</v>
      </c>
      <c r="N270">
        <f t="shared" si="80"/>
        <v>0</v>
      </c>
      <c r="O270">
        <f t="shared" si="81"/>
        <v>0</v>
      </c>
      <c r="P270">
        <f t="shared" si="82"/>
        <v>0</v>
      </c>
      <c r="R270">
        <f t="shared" si="83"/>
        <v>2.6349999999999878</v>
      </c>
      <c r="S270">
        <f t="shared" si="84"/>
        <v>8.8096433707283966E-3</v>
      </c>
      <c r="T270">
        <f t="shared" si="90"/>
        <v>4.2949962799821526E-3</v>
      </c>
      <c r="U270" s="1">
        <f t="shared" si="85"/>
        <v>35.61879012606726</v>
      </c>
      <c r="V270">
        <f t="shared" si="86"/>
        <v>1.0057730630017032E+20</v>
      </c>
      <c r="W270">
        <f t="shared" si="91"/>
        <v>8860501996930149</v>
      </c>
      <c r="Y270">
        <f t="shared" si="92"/>
        <v>2.6349999999999878</v>
      </c>
      <c r="Z270">
        <f t="shared" si="87"/>
        <v>0</v>
      </c>
      <c r="AA270">
        <f t="shared" si="93"/>
        <v>0</v>
      </c>
      <c r="AB270">
        <f t="shared" si="94"/>
        <v>1.0000235668946658</v>
      </c>
      <c r="AC270" s="1">
        <f t="shared" si="88"/>
        <v>7.4493433161470389E-3</v>
      </c>
    </row>
    <row r="271" spans="9:29" x14ac:dyDescent="0.2">
      <c r="I271">
        <f t="shared" si="76"/>
        <v>2.6449999999999876</v>
      </c>
      <c r="J271">
        <f t="shared" si="77"/>
        <v>8.6289023845849914E-3</v>
      </c>
      <c r="K271">
        <f t="shared" si="89"/>
        <v>4.2132491223020258E-3</v>
      </c>
      <c r="L271">
        <f t="shared" si="78"/>
        <v>8.9837065215053338E+17</v>
      </c>
      <c r="M271">
        <f t="shared" si="79"/>
        <v>4.5051867503011227</v>
      </c>
      <c r="N271">
        <f t="shared" si="80"/>
        <v>0</v>
      </c>
      <c r="O271">
        <f t="shared" si="81"/>
        <v>0</v>
      </c>
      <c r="P271">
        <f t="shared" si="82"/>
        <v>0</v>
      </c>
      <c r="R271">
        <f t="shared" si="83"/>
        <v>2.6449999999999876</v>
      </c>
      <c r="S271">
        <f t="shared" si="84"/>
        <v>8.6289574566506041E-3</v>
      </c>
      <c r="T271">
        <f t="shared" si="90"/>
        <v>4.2068998462748688E-3</v>
      </c>
      <c r="U271" s="1">
        <f t="shared" si="85"/>
        <v>34.888198484416812</v>
      </c>
      <c r="V271">
        <f t="shared" si="86"/>
        <v>1.0411181076233031E+20</v>
      </c>
      <c r="W271">
        <f t="shared" si="91"/>
        <v>8983763858030067</v>
      </c>
      <c r="Y271">
        <f t="shared" si="92"/>
        <v>2.6449999999999876</v>
      </c>
      <c r="Z271">
        <f t="shared" si="87"/>
        <v>0</v>
      </c>
      <c r="AA271">
        <f t="shared" si="93"/>
        <v>0</v>
      </c>
      <c r="AB271">
        <f t="shared" si="94"/>
        <v>1.0000235668946658</v>
      </c>
      <c r="AC271" s="1">
        <f t="shared" si="88"/>
        <v>7.4493433161470389E-3</v>
      </c>
    </row>
    <row r="272" spans="9:29" x14ac:dyDescent="0.2">
      <c r="I272">
        <f t="shared" si="76"/>
        <v>2.6549999999999874</v>
      </c>
      <c r="J272">
        <f t="shared" si="77"/>
        <v>8.4519234707702458E-3</v>
      </c>
      <c r="K272">
        <f t="shared" si="89"/>
        <v>4.1269600984561762E-3</v>
      </c>
      <c r="L272">
        <f t="shared" si="78"/>
        <v>9.1086823282710566E+17</v>
      </c>
      <c r="M272">
        <f t="shared" si="79"/>
        <v>4.4129187272998305</v>
      </c>
      <c r="N272">
        <f t="shared" si="80"/>
        <v>0</v>
      </c>
      <c r="O272">
        <f t="shared" si="81"/>
        <v>0</v>
      </c>
      <c r="P272">
        <f t="shared" si="82"/>
        <v>0</v>
      </c>
      <c r="R272">
        <f t="shared" si="83"/>
        <v>2.6549999999999874</v>
      </c>
      <c r="S272">
        <f t="shared" si="84"/>
        <v>8.4519774133069887E-3</v>
      </c>
      <c r="T272">
        <f t="shared" si="90"/>
        <v>4.1206102717083627E-3</v>
      </c>
      <c r="U272" s="1">
        <f t="shared" si="85"/>
        <v>34.172591287996887</v>
      </c>
      <c r="V272">
        <f t="shared" si="86"/>
        <v>1.0777052536942764E+20</v>
      </c>
      <c r="W272">
        <f t="shared" si="91"/>
        <v>9108740462426302</v>
      </c>
      <c r="Y272">
        <f t="shared" si="92"/>
        <v>2.6549999999999874</v>
      </c>
      <c r="Z272">
        <f t="shared" si="87"/>
        <v>0</v>
      </c>
      <c r="AA272">
        <f t="shared" si="93"/>
        <v>0</v>
      </c>
      <c r="AB272">
        <f t="shared" si="94"/>
        <v>1.0000235668946658</v>
      </c>
      <c r="AC272" s="1">
        <f t="shared" si="88"/>
        <v>7.4493433161470389E-3</v>
      </c>
    </row>
    <row r="273" spans="9:29" x14ac:dyDescent="0.2">
      <c r="I273">
        <f t="shared" si="76"/>
        <v>2.6649999999999872</v>
      </c>
      <c r="J273">
        <f t="shared" si="77"/>
        <v>8.2785743970601854E-3</v>
      </c>
      <c r="K273">
        <f t="shared" si="89"/>
        <v>4.0424408637484734E-3</v>
      </c>
      <c r="L273">
        <f t="shared" si="78"/>
        <v>9.2353967216925734E+17</v>
      </c>
      <c r="M273">
        <f t="shared" si="79"/>
        <v>4.3225431227966045</v>
      </c>
      <c r="N273">
        <f t="shared" si="80"/>
        <v>0</v>
      </c>
      <c r="O273">
        <f t="shared" si="81"/>
        <v>0</v>
      </c>
      <c r="P273">
        <f t="shared" si="82"/>
        <v>0</v>
      </c>
      <c r="R273">
        <f t="shared" si="83"/>
        <v>2.6649999999999872</v>
      </c>
      <c r="S273">
        <f t="shared" si="84"/>
        <v>8.2786272332347147E-3</v>
      </c>
      <c r="T273">
        <f t="shared" si="90"/>
        <v>4.0360904975752926E-3</v>
      </c>
      <c r="U273" s="1">
        <f t="shared" si="85"/>
        <v>33.471661205617181</v>
      </c>
      <c r="V273">
        <f t="shared" si="86"/>
        <v>1.115578151350813E+20</v>
      </c>
      <c r="W273">
        <f t="shared" si="91"/>
        <v>9235455664574480</v>
      </c>
      <c r="Y273">
        <f t="shared" si="92"/>
        <v>2.6649999999999872</v>
      </c>
      <c r="Z273">
        <f t="shared" si="87"/>
        <v>0</v>
      </c>
      <c r="AA273">
        <f t="shared" si="93"/>
        <v>0</v>
      </c>
      <c r="AB273">
        <f t="shared" si="94"/>
        <v>1.0000235668946658</v>
      </c>
      <c r="AC273" s="1">
        <f t="shared" si="88"/>
        <v>7.4493433161470389E-3</v>
      </c>
    </row>
    <row r="274" spans="9:29" x14ac:dyDescent="0.2">
      <c r="I274">
        <f t="shared" si="76"/>
        <v>2.6749999999999869</v>
      </c>
      <c r="J274">
        <f t="shared" si="77"/>
        <v>8.1087807153813161E-3</v>
      </c>
      <c r="K274">
        <f t="shared" si="89"/>
        <v>3.9596551197778711E-3</v>
      </c>
      <c r="L274">
        <f t="shared" si="78"/>
        <v>9.3638738879193101E+17</v>
      </c>
      <c r="M274">
        <f t="shared" si="79"/>
        <v>4.2340211232604368</v>
      </c>
      <c r="N274">
        <f t="shared" si="80"/>
        <v>0</v>
      </c>
      <c r="O274">
        <f t="shared" si="81"/>
        <v>0</v>
      </c>
      <c r="P274">
        <f t="shared" si="82"/>
        <v>0</v>
      </c>
      <c r="R274">
        <f t="shared" si="83"/>
        <v>2.6749999999999869</v>
      </c>
      <c r="S274">
        <f t="shared" si="84"/>
        <v>8.1088324678851333E-3</v>
      </c>
      <c r="T274">
        <f t="shared" si="90"/>
        <v>3.9533042252429453E-3</v>
      </c>
      <c r="U274" s="1">
        <f t="shared" si="85"/>
        <v>32.785107209454566</v>
      </c>
      <c r="V274">
        <f t="shared" si="86"/>
        <v>1.1547819846894174E+20</v>
      </c>
      <c r="W274">
        <f t="shared" si="91"/>
        <v>9363933650778380</v>
      </c>
      <c r="Y274">
        <f t="shared" si="92"/>
        <v>2.6749999999999869</v>
      </c>
      <c r="Z274">
        <f t="shared" si="87"/>
        <v>0</v>
      </c>
      <c r="AA274">
        <f t="shared" si="93"/>
        <v>0</v>
      </c>
      <c r="AB274">
        <f t="shared" si="94"/>
        <v>1.0000235668946658</v>
      </c>
      <c r="AC274" s="1">
        <f t="shared" si="88"/>
        <v>7.4493433161470389E-3</v>
      </c>
    </row>
    <row r="275" spans="9:29" x14ac:dyDescent="0.2">
      <c r="I275">
        <f t="shared" si="76"/>
        <v>2.6849999999999867</v>
      </c>
      <c r="J275">
        <f t="shared" si="77"/>
        <v>7.9424695045911854E-3</v>
      </c>
      <c r="K275">
        <f t="shared" si="89"/>
        <v>3.878567312624058E-3</v>
      </c>
      <c r="L275">
        <f t="shared" si="78"/>
        <v>9.4941383495637082E+17</v>
      </c>
      <c r="M275">
        <f t="shared" si="79"/>
        <v>4.1473147112264082</v>
      </c>
      <c r="N275">
        <f t="shared" si="80"/>
        <v>0</v>
      </c>
      <c r="O275">
        <f t="shared" si="81"/>
        <v>0</v>
      </c>
      <c r="P275">
        <f t="shared" si="82"/>
        <v>0</v>
      </c>
      <c r="R275">
        <f t="shared" si="83"/>
        <v>2.6849999999999867</v>
      </c>
      <c r="S275">
        <f t="shared" si="84"/>
        <v>7.9425201956503932E-3</v>
      </c>
      <c r="T275">
        <f t="shared" si="90"/>
        <v>3.8722159005640938E-3</v>
      </c>
      <c r="U275" s="1">
        <f t="shared" si="85"/>
        <v>32.112634445770951</v>
      </c>
      <c r="V275">
        <f t="shared" si="86"/>
        <v>1.1953635256736676E+20</v>
      </c>
      <c r="W275">
        <f t="shared" si="91"/>
        <v>9494198943806962</v>
      </c>
      <c r="Y275">
        <f t="shared" si="92"/>
        <v>2.6849999999999867</v>
      </c>
      <c r="Z275">
        <f t="shared" si="87"/>
        <v>0</v>
      </c>
      <c r="AA275">
        <f t="shared" si="93"/>
        <v>0</v>
      </c>
      <c r="AB275">
        <f t="shared" si="94"/>
        <v>1.0000235668946658</v>
      </c>
      <c r="AC275" s="1">
        <f t="shared" si="88"/>
        <v>7.4493433161470389E-3</v>
      </c>
    </row>
    <row r="276" spans="9:29" x14ac:dyDescent="0.2">
      <c r="I276">
        <f t="shared" si="76"/>
        <v>2.6949999999999865</v>
      </c>
      <c r="J276">
        <f t="shared" si="77"/>
        <v>7.7795693391610613E-3</v>
      </c>
      <c r="K276">
        <f t="shared" si="89"/>
        <v>3.7991426175781463E-3</v>
      </c>
      <c r="L276">
        <f t="shared" si="78"/>
        <v>9.6262149703818944E+17</v>
      </c>
      <c r="M276">
        <f t="shared" si="79"/>
        <v>4.0623866489683556</v>
      </c>
      <c r="N276">
        <f t="shared" si="80"/>
        <v>0</v>
      </c>
      <c r="O276">
        <f t="shared" si="81"/>
        <v>0</v>
      </c>
      <c r="P276">
        <f t="shared" si="82"/>
        <v>0</v>
      </c>
      <c r="R276">
        <f t="shared" si="83"/>
        <v>2.6949999999999865</v>
      </c>
      <c r="S276">
        <f t="shared" si="84"/>
        <v>7.779618990545906E-3</v>
      </c>
      <c r="T276">
        <f t="shared" si="90"/>
        <v>3.7927906986075901E-3</v>
      </c>
      <c r="U276" s="1">
        <f t="shared" si="85"/>
        <v>31.453954108282755</v>
      </c>
      <c r="V276">
        <f t="shared" si="86"/>
        <v>1.2373711899352996E+20</v>
      </c>
      <c r="W276">
        <f t="shared" si="91"/>
        <v>9626276407575042</v>
      </c>
      <c r="Y276">
        <f t="shared" si="92"/>
        <v>2.6949999999999865</v>
      </c>
      <c r="Z276">
        <f t="shared" si="87"/>
        <v>0</v>
      </c>
      <c r="AA276">
        <f t="shared" si="93"/>
        <v>0</v>
      </c>
      <c r="AB276">
        <f t="shared" si="94"/>
        <v>1.0000235668946658</v>
      </c>
      <c r="AC276" s="1">
        <f t="shared" si="88"/>
        <v>7.4493433161470389E-3</v>
      </c>
    </row>
    <row r="277" spans="9:29" x14ac:dyDescent="0.2">
      <c r="I277">
        <f t="shared" si="76"/>
        <v>2.7049999999999863</v>
      </c>
      <c r="J277">
        <f t="shared" si="77"/>
        <v>7.6200102585008353E-3</v>
      </c>
      <c r="K277">
        <f t="shared" si="89"/>
        <v>3.7213469241865358E-3</v>
      </c>
      <c r="L277">
        <f t="shared" si="78"/>
        <v>9.7601289600190822E+17</v>
      </c>
      <c r="M277">
        <f t="shared" si="79"/>
        <v>3.9792004625064274</v>
      </c>
      <c r="N277">
        <f t="shared" si="80"/>
        <v>0</v>
      </c>
      <c r="O277">
        <f t="shared" si="81"/>
        <v>0</v>
      </c>
      <c r="P277">
        <f t="shared" si="82"/>
        <v>0</v>
      </c>
      <c r="R277">
        <f t="shared" si="83"/>
        <v>2.7049999999999863</v>
      </c>
      <c r="S277">
        <f t="shared" si="84"/>
        <v>7.6200588915350522E-3</v>
      </c>
      <c r="T277">
        <f t="shared" si="90"/>
        <v>3.7149945087021309E-3</v>
      </c>
      <c r="U277" s="1">
        <f t="shared" si="85"/>
        <v>30.808783314127435</v>
      </c>
      <c r="V277">
        <f t="shared" si="86"/>
        <v>1.2808550945362238E+20</v>
      </c>
      <c r="W277">
        <f t="shared" si="91"/>
        <v>9760191251888722</v>
      </c>
      <c r="Y277">
        <f t="shared" si="92"/>
        <v>2.7049999999999863</v>
      </c>
      <c r="Z277">
        <f t="shared" si="87"/>
        <v>0</v>
      </c>
      <c r="AA277">
        <f t="shared" si="93"/>
        <v>0</v>
      </c>
      <c r="AB277">
        <f t="shared" si="94"/>
        <v>1.0000235668946658</v>
      </c>
      <c r="AC277" s="1">
        <f t="shared" si="88"/>
        <v>7.4493433161470389E-3</v>
      </c>
    </row>
    <row r="278" spans="9:29" x14ac:dyDescent="0.2">
      <c r="I278">
        <f t="shared" si="76"/>
        <v>2.7149999999999861</v>
      </c>
      <c r="J278">
        <f t="shared" si="77"/>
        <v>7.4637237369131176E-3</v>
      </c>
      <c r="K278">
        <f t="shared" si="89"/>
        <v>3.6451468216015274E-3</v>
      </c>
      <c r="L278">
        <f t="shared" si="78"/>
        <v>9.8959058788216397E+17</v>
      </c>
      <c r="M278">
        <f t="shared" si="79"/>
        <v>3.8977204259426279</v>
      </c>
      <c r="N278">
        <f t="shared" si="80"/>
        <v>0</v>
      </c>
      <c r="O278">
        <f t="shared" si="81"/>
        <v>0</v>
      </c>
      <c r="P278">
        <f t="shared" si="82"/>
        <v>0</v>
      </c>
      <c r="R278">
        <f t="shared" si="83"/>
        <v>2.7149999999999861</v>
      </c>
      <c r="S278">
        <f t="shared" si="84"/>
        <v>7.4637713724830931E-3</v>
      </c>
      <c r="T278">
        <f t="shared" si="90"/>
        <v>3.6387939197867806E-3</v>
      </c>
      <c r="U278" s="1">
        <f t="shared" si="85"/>
        <v>30.176844982374128</v>
      </c>
      <c r="V278">
        <f t="shared" si="86"/>
        <v>1.3258671177605022E+20</v>
      </c>
      <c r="W278">
        <f t="shared" si="91"/>
        <v>9895969037257506</v>
      </c>
      <c r="Y278">
        <f t="shared" si="92"/>
        <v>2.7149999999999861</v>
      </c>
      <c r="Z278">
        <f t="shared" si="87"/>
        <v>0</v>
      </c>
      <c r="AA278">
        <f t="shared" si="93"/>
        <v>0</v>
      </c>
      <c r="AB278">
        <f t="shared" si="94"/>
        <v>1.0000235668946658</v>
      </c>
      <c r="AC278" s="1">
        <f t="shared" si="88"/>
        <v>7.4493433161470389E-3</v>
      </c>
    </row>
    <row r="279" spans="9:29" x14ac:dyDescent="0.2">
      <c r="I279">
        <f t="shared" si="76"/>
        <v>2.7249999999999859</v>
      </c>
      <c r="J279">
        <f t="shared" si="77"/>
        <v>7.3106426541635957E-3</v>
      </c>
      <c r="K279">
        <f t="shared" si="89"/>
        <v>3.5705095842323963E-3</v>
      </c>
      <c r="L279">
        <f t="shared" si="78"/>
        <v>1.003357164271588E+18</v>
      </c>
      <c r="M279">
        <f t="shared" si="79"/>
        <v>3.8179115461176512</v>
      </c>
      <c r="N279">
        <f t="shared" si="80"/>
        <v>0</v>
      </c>
      <c r="O279">
        <f t="shared" si="81"/>
        <v>0</v>
      </c>
      <c r="P279">
        <f t="shared" si="82"/>
        <v>0</v>
      </c>
      <c r="R279">
        <f t="shared" si="83"/>
        <v>2.7249999999999859</v>
      </c>
      <c r="S279">
        <f t="shared" si="84"/>
        <v>7.3106893127273358E-3</v>
      </c>
      <c r="T279">
        <f t="shared" si="90"/>
        <v>3.5641562060619498E-3</v>
      </c>
      <c r="U279" s="1">
        <f t="shared" si="85"/>
        <v>29.557867715025878</v>
      </c>
      <c r="V279">
        <f t="shared" si="86"/>
        <v>1.3724609610075125E+20</v>
      </c>
      <c r="W279">
        <f t="shared" si="91"/>
        <v>1.003363567977311E+16</v>
      </c>
      <c r="Y279">
        <f t="shared" si="92"/>
        <v>2.7249999999999859</v>
      </c>
      <c r="Z279">
        <f t="shared" si="87"/>
        <v>0</v>
      </c>
      <c r="AA279">
        <f t="shared" si="93"/>
        <v>0</v>
      </c>
      <c r="AB279">
        <f t="shared" si="94"/>
        <v>1.0000235668946658</v>
      </c>
      <c r="AC279" s="1">
        <f t="shared" si="88"/>
        <v>7.4493433161470389E-3</v>
      </c>
    </row>
    <row r="280" spans="9:29" x14ac:dyDescent="0.2">
      <c r="I280">
        <f t="shared" si="76"/>
        <v>2.7349999999999857</v>
      </c>
      <c r="J280">
        <f t="shared" si="77"/>
        <v>7.1607012666549102E-3</v>
      </c>
      <c r="K280">
        <f t="shared" si="89"/>
        <v>3.4974031576907602E-3</v>
      </c>
      <c r="L280">
        <f t="shared" si="78"/>
        <v>1.0173152528154232E+18</v>
      </c>
      <c r="M280">
        <f t="shared" si="79"/>
        <v>3.7397395475824005</v>
      </c>
      <c r="N280">
        <f t="shared" si="80"/>
        <v>0</v>
      </c>
      <c r="O280">
        <f t="shared" si="81"/>
        <v>0</v>
      </c>
      <c r="P280">
        <f t="shared" si="82"/>
        <v>0</v>
      </c>
      <c r="R280">
        <f t="shared" si="83"/>
        <v>2.7349999999999857</v>
      </c>
      <c r="S280">
        <f t="shared" si="84"/>
        <v>7.1607469682508284E-3</v>
      </c>
      <c r="T280">
        <f t="shared" si="90"/>
        <v>3.4910493129346764E-3</v>
      </c>
      <c r="U280" s="1">
        <f t="shared" si="85"/>
        <v>28.951585680462625</v>
      </c>
      <c r="V280">
        <f t="shared" si="86"/>
        <v>1.4206922128601206E+20</v>
      </c>
      <c r="W280">
        <f t="shared" si="91"/>
        <v>1.017321745605567E+16</v>
      </c>
      <c r="Y280">
        <f t="shared" si="92"/>
        <v>2.7349999999999857</v>
      </c>
      <c r="Z280">
        <f t="shared" si="87"/>
        <v>0</v>
      </c>
      <c r="AA280">
        <f t="shared" si="93"/>
        <v>0</v>
      </c>
      <c r="AB280">
        <f t="shared" si="94"/>
        <v>1.0000235668946658</v>
      </c>
      <c r="AC280" s="1">
        <f t="shared" si="88"/>
        <v>7.4493433161470389E-3</v>
      </c>
    </row>
    <row r="281" spans="9:29" x14ac:dyDescent="0.2">
      <c r="I281">
        <f t="shared" si="76"/>
        <v>2.7449999999999855</v>
      </c>
      <c r="J281">
        <f t="shared" si="77"/>
        <v>7.0138351791918761E-3</v>
      </c>
      <c r="K281">
        <f t="shared" si="89"/>
        <v>3.425796145024211E-3</v>
      </c>
      <c r="L281">
        <f t="shared" si="78"/>
        <v>1.031467517713147E+18</v>
      </c>
      <c r="M281">
        <f t="shared" si="79"/>
        <v>3.6631708578777387</v>
      </c>
      <c r="N281">
        <f t="shared" si="80"/>
        <v>0</v>
      </c>
      <c r="O281">
        <f t="shared" si="81"/>
        <v>0</v>
      </c>
      <c r="P281">
        <f t="shared" si="82"/>
        <v>0</v>
      </c>
      <c r="R281">
        <f t="shared" si="83"/>
        <v>2.7449999999999855</v>
      </c>
      <c r="S281">
        <f t="shared" si="84"/>
        <v>7.0138799434473946E-3</v>
      </c>
      <c r="T281">
        <f t="shared" si="90"/>
        <v>3.4194418432521682E-3</v>
      </c>
      <c r="U281" s="1">
        <f t="shared" si="85"/>
        <v>28.357738499274717</v>
      </c>
      <c r="V281">
        <f t="shared" si="86"/>
        <v>1.4706184154044965E+20</v>
      </c>
      <c r="W281">
        <f t="shared" si="91"/>
        <v>1.0314741008269986E+16</v>
      </c>
      <c r="Y281">
        <f t="shared" si="92"/>
        <v>2.7449999999999855</v>
      </c>
      <c r="Z281">
        <f t="shared" si="87"/>
        <v>0</v>
      </c>
      <c r="AA281">
        <f t="shared" si="93"/>
        <v>0</v>
      </c>
      <c r="AB281">
        <f t="shared" si="94"/>
        <v>1.0000235668946658</v>
      </c>
      <c r="AC281" s="1">
        <f t="shared" si="88"/>
        <v>7.4493433161470389E-3</v>
      </c>
    </row>
    <row r="282" spans="9:29" x14ac:dyDescent="0.2">
      <c r="I282">
        <f t="shared" si="76"/>
        <v>2.7549999999999852</v>
      </c>
      <c r="J282">
        <f t="shared" si="77"/>
        <v>6.869981317325669E-3</v>
      </c>
      <c r="K282">
        <f t="shared" si="89"/>
        <v>3.3556577932322921E-3</v>
      </c>
      <c r="L282">
        <f t="shared" si="78"/>
        <v>1.0458166602269096E+18</v>
      </c>
      <c r="M282">
        <f t="shared" si="79"/>
        <v>3.5881725931161563</v>
      </c>
      <c r="N282">
        <f t="shared" si="80"/>
        <v>0</v>
      </c>
      <c r="O282">
        <f t="shared" si="81"/>
        <v>0</v>
      </c>
      <c r="P282">
        <f t="shared" si="82"/>
        <v>0</v>
      </c>
      <c r="R282">
        <f t="shared" si="83"/>
        <v>2.7549999999999852</v>
      </c>
      <c r="S282">
        <f t="shared" si="84"/>
        <v>6.8700251634656534E-3</v>
      </c>
      <c r="T282">
        <f t="shared" si="90"/>
        <v>3.3493030438176944E-3</v>
      </c>
      <c r="U282" s="1">
        <f t="shared" si="85"/>
        <v>27.776071132437963</v>
      </c>
      <c r="V282">
        <f t="shared" si="86"/>
        <v>1.5222991328803537E+20</v>
      </c>
      <c r="W282">
        <f t="shared" si="91"/>
        <v>1.0458233349209974E+16</v>
      </c>
      <c r="Y282">
        <f t="shared" si="92"/>
        <v>2.7549999999999852</v>
      </c>
      <c r="Z282">
        <f t="shared" si="87"/>
        <v>0</v>
      </c>
      <c r="AA282">
        <f t="shared" si="93"/>
        <v>0</v>
      </c>
      <c r="AB282">
        <f t="shared" si="94"/>
        <v>1.0000235668946658</v>
      </c>
      <c r="AC282" s="1">
        <f t="shared" si="88"/>
        <v>7.4493433161470389E-3</v>
      </c>
    </row>
    <row r="283" spans="9:29" x14ac:dyDescent="0.2">
      <c r="I283">
        <f t="shared" si="76"/>
        <v>2.764999999999985</v>
      </c>
      <c r="J283">
        <f t="shared" si="77"/>
        <v>6.7290779002653579E-3</v>
      </c>
      <c r="K283">
        <f t="shared" si="89"/>
        <v>3.2869579800590353E-3</v>
      </c>
      <c r="L283">
        <f t="shared" si="78"/>
        <v>1.0603654191971649E+18</v>
      </c>
      <c r="M283">
        <f t="shared" si="79"/>
        <v>3.5147125438591562</v>
      </c>
      <c r="N283">
        <f t="shared" si="80"/>
        <v>0</v>
      </c>
      <c r="O283">
        <f t="shared" si="81"/>
        <v>0</v>
      </c>
      <c r="P283">
        <f t="shared" si="82"/>
        <v>0</v>
      </c>
      <c r="R283">
        <f t="shared" si="83"/>
        <v>2.764999999999985</v>
      </c>
      <c r="S283">
        <f t="shared" si="84"/>
        <v>6.729120847120372E-3</v>
      </c>
      <c r="T283">
        <f t="shared" si="90"/>
        <v>3.280602792183038E-3</v>
      </c>
      <c r="U283" s="1">
        <f t="shared" si="85"/>
        <v>27.206333771782322</v>
      </c>
      <c r="V283">
        <f t="shared" si="86"/>
        <v>1.5757960227438441E+20</v>
      </c>
      <c r="W283">
        <f t="shared" si="91"/>
        <v>1.060372186745497E+16</v>
      </c>
      <c r="Y283">
        <f t="shared" si="92"/>
        <v>2.764999999999985</v>
      </c>
      <c r="Z283">
        <f t="shared" si="87"/>
        <v>0</v>
      </c>
      <c r="AA283">
        <f t="shared" si="93"/>
        <v>0</v>
      </c>
      <c r="AB283">
        <f t="shared" si="94"/>
        <v>1.0000235668946658</v>
      </c>
      <c r="AC283" s="1">
        <f t="shared" si="88"/>
        <v>7.4493433161470389E-3</v>
      </c>
    </row>
    <row r="284" spans="9:29" x14ac:dyDescent="0.2">
      <c r="I284">
        <f t="shared" si="76"/>
        <v>2.7749999999999848</v>
      </c>
      <c r="J284">
        <f t="shared" si="77"/>
        <v>6.5910644143449184E-3</v>
      </c>
      <c r="K284">
        <f t="shared" si="89"/>
        <v>3.2196672010563819E-3</v>
      </c>
      <c r="L284">
        <f t="shared" si="78"/>
        <v>1.0751165715654531E+18</v>
      </c>
      <c r="M284">
        <f t="shared" si="79"/>
        <v>3.4427591612842949</v>
      </c>
      <c r="N284">
        <f t="shared" si="80"/>
        <v>0</v>
      </c>
      <c r="O284">
        <f t="shared" si="81"/>
        <v>0</v>
      </c>
      <c r="P284">
        <f t="shared" si="82"/>
        <v>0</v>
      </c>
      <c r="R284">
        <f t="shared" si="83"/>
        <v>2.7749999999999848</v>
      </c>
      <c r="S284">
        <f t="shared" si="84"/>
        <v>6.5911064803593098E-3</v>
      </c>
      <c r="T284">
        <f t="shared" si="90"/>
        <v>3.2133115837118345E-3</v>
      </c>
      <c r="U284" s="1">
        <f t="shared" si="85"/>
        <v>26.648281732706938</v>
      </c>
      <c r="V284">
        <f t="shared" si="86"/>
        <v>1.6311729092277551E+20</v>
      </c>
      <c r="W284">
        <f t="shared" si="91"/>
        <v>1.0751234332597606E+16</v>
      </c>
      <c r="Y284">
        <f t="shared" si="92"/>
        <v>2.7749999999999848</v>
      </c>
      <c r="Z284">
        <f t="shared" si="87"/>
        <v>0</v>
      </c>
      <c r="AA284">
        <f t="shared" si="93"/>
        <v>0</v>
      </c>
      <c r="AB284">
        <f t="shared" si="94"/>
        <v>1.0000235668946658</v>
      </c>
      <c r="AC284" s="1">
        <f t="shared" si="88"/>
        <v>7.4493433161470389E-3</v>
      </c>
    </row>
    <row r="285" spans="9:29" x14ac:dyDescent="0.2">
      <c r="I285">
        <f t="shared" si="76"/>
        <v>2.7849999999999846</v>
      </c>
      <c r="J285">
        <f t="shared" si="77"/>
        <v>6.4558815870344993E-3</v>
      </c>
      <c r="K285">
        <f t="shared" si="89"/>
        <v>3.1537565569129326E-3</v>
      </c>
      <c r="L285">
        <f t="shared" si="78"/>
        <v>1.090072932904404E+18</v>
      </c>
      <c r="M285">
        <f t="shared" si="79"/>
        <v>3.3722815436359377</v>
      </c>
      <c r="N285">
        <f t="shared" si="80"/>
        <v>0</v>
      </c>
      <c r="O285">
        <f t="shared" si="81"/>
        <v>0</v>
      </c>
      <c r="P285">
        <f t="shared" si="82"/>
        <v>0</v>
      </c>
      <c r="R285">
        <f t="shared" si="83"/>
        <v>2.7849999999999846</v>
      </c>
      <c r="S285">
        <f t="shared" si="84"/>
        <v>6.455922790274321E-3</v>
      </c>
      <c r="T285">
        <f t="shared" si="90"/>
        <v>3.1474005189082413E-3</v>
      </c>
      <c r="U285" s="1">
        <f t="shared" si="85"/>
        <v>26.101675349095689</v>
      </c>
      <c r="V285">
        <f t="shared" si="86"/>
        <v>1.6884958594866787E+20</v>
      </c>
      <c r="W285">
        <f t="shared" si="91"/>
        <v>1.0900798900543878E+16</v>
      </c>
      <c r="Y285">
        <f t="shared" si="92"/>
        <v>2.7849999999999846</v>
      </c>
      <c r="Z285">
        <f t="shared" si="87"/>
        <v>0</v>
      </c>
      <c r="AA285">
        <f t="shared" si="93"/>
        <v>0</v>
      </c>
      <c r="AB285">
        <f t="shared" si="94"/>
        <v>1.0000235668946658</v>
      </c>
      <c r="AC285" s="1">
        <f t="shared" si="88"/>
        <v>7.4493433161470389E-3</v>
      </c>
    </row>
    <row r="286" spans="9:29" x14ac:dyDescent="0.2">
      <c r="I286">
        <f t="shared" si="76"/>
        <v>2.7949999999999844</v>
      </c>
      <c r="J286">
        <f t="shared" si="77"/>
        <v>6.3234713614847135E-3</v>
      </c>
      <c r="K286">
        <f t="shared" si="89"/>
        <v>3.0891977410425877E-3</v>
      </c>
      <c r="L286">
        <f t="shared" si="78"/>
        <v>1.1052373579551514E+18</v>
      </c>
      <c r="M286">
        <f t="shared" si="79"/>
        <v>3.3032494229539084</v>
      </c>
      <c r="N286">
        <f t="shared" si="80"/>
        <v>0</v>
      </c>
      <c r="O286">
        <f t="shared" si="81"/>
        <v>0</v>
      </c>
      <c r="P286">
        <f t="shared" si="82"/>
        <v>0</v>
      </c>
      <c r="R286">
        <f t="shared" si="83"/>
        <v>2.7949999999999844</v>
      </c>
      <c r="S286">
        <f t="shared" si="84"/>
        <v>6.3235117196454851E-3</v>
      </c>
      <c r="T286">
        <f t="shared" si="90"/>
        <v>3.0828412910054981E-3</v>
      </c>
      <c r="U286" s="1">
        <f t="shared" si="85"/>
        <v>25.566279870388005</v>
      </c>
      <c r="V286">
        <f t="shared" si="86"/>
        <v>1.7478332624181415E+20</v>
      </c>
      <c r="W286">
        <f t="shared" si="91"/>
        <v>1.105244411888732E+16</v>
      </c>
      <c r="Y286">
        <f t="shared" si="92"/>
        <v>2.7949999999999844</v>
      </c>
      <c r="Z286">
        <f t="shared" si="87"/>
        <v>0</v>
      </c>
      <c r="AA286">
        <f t="shared" si="93"/>
        <v>0</v>
      </c>
      <c r="AB286">
        <f t="shared" si="94"/>
        <v>1.0000235668946658</v>
      </c>
      <c r="AC286" s="1">
        <f t="shared" si="88"/>
        <v>7.4493433161470389E-3</v>
      </c>
    </row>
    <row r="287" spans="9:29" x14ac:dyDescent="0.2">
      <c r="I287">
        <f t="shared" si="76"/>
        <v>2.8049999999999842</v>
      </c>
      <c r="J287">
        <f t="shared" si="77"/>
        <v>6.1937768715929877E-3</v>
      </c>
      <c r="K287">
        <f t="shared" si="89"/>
        <v>3.0259630274277406E-3</v>
      </c>
      <c r="L287">
        <f t="shared" si="78"/>
        <v>1.1206127411722537E+18</v>
      </c>
      <c r="M287">
        <f t="shared" si="79"/>
        <v>3.2356331520743358</v>
      </c>
      <c r="N287">
        <f t="shared" si="80"/>
        <v>0</v>
      </c>
      <c r="O287">
        <f t="shared" si="81"/>
        <v>0</v>
      </c>
      <c r="P287">
        <f t="shared" si="82"/>
        <v>0</v>
      </c>
      <c r="R287">
        <f t="shared" si="83"/>
        <v>2.8049999999999842</v>
      </c>
      <c r="S287">
        <f t="shared" si="84"/>
        <v>6.1938164020072925E-3</v>
      </c>
      <c r="T287">
        <f t="shared" si="90"/>
        <v>3.0196061738090433E-3</v>
      </c>
      <c r="U287" s="1">
        <f t="shared" si="85"/>
        <v>25.041865360760738</v>
      </c>
      <c r="V287">
        <f t="shared" si="86"/>
        <v>1.8092559102537407E+20</v>
      </c>
      <c r="W287">
        <f t="shared" si="91"/>
        <v>1.1206198932358254E+16</v>
      </c>
      <c r="Y287">
        <f t="shared" si="92"/>
        <v>2.8049999999999842</v>
      </c>
      <c r="Z287">
        <f t="shared" si="87"/>
        <v>0</v>
      </c>
      <c r="AA287">
        <f t="shared" si="93"/>
        <v>0</v>
      </c>
      <c r="AB287">
        <f t="shared" si="94"/>
        <v>1.0000235668946658</v>
      </c>
      <c r="AC287" s="1">
        <f t="shared" si="88"/>
        <v>7.4493433161470389E-3</v>
      </c>
    </row>
    <row r="288" spans="9:29" x14ac:dyDescent="0.2">
      <c r="I288">
        <f t="shared" si="76"/>
        <v>2.814999999999984</v>
      </c>
      <c r="J288">
        <f t="shared" si="77"/>
        <v>6.0667424175813566E-3</v>
      </c>
      <c r="K288">
        <f t="shared" si="89"/>
        <v>2.9640252587118106E-3</v>
      </c>
      <c r="L288">
        <f t="shared" si="78"/>
        <v>1.1362020172761312E+18</v>
      </c>
      <c r="M288">
        <f t="shared" si="79"/>
        <v>3.169403691897112</v>
      </c>
      <c r="N288">
        <f t="shared" si="80"/>
        <v>0</v>
      </c>
      <c r="O288">
        <f t="shared" si="81"/>
        <v>0</v>
      </c>
      <c r="P288">
        <f t="shared" si="82"/>
        <v>0</v>
      </c>
      <c r="R288">
        <f t="shared" si="83"/>
        <v>2.814999999999984</v>
      </c>
      <c r="S288">
        <f t="shared" si="84"/>
        <v>6.0667811372262879E-3</v>
      </c>
      <c r="T288">
        <f t="shared" si="90"/>
        <v>2.9576680097889705E-3</v>
      </c>
      <c r="U288" s="1">
        <f t="shared" si="85"/>
        <v>24.528206600377811</v>
      </c>
      <c r="V288">
        <f t="shared" si="86"/>
        <v>1.8728370830174519E+20</v>
      </c>
      <c r="W288">
        <f t="shared" si="91"/>
        <v>1.136209268834818E+16</v>
      </c>
      <c r="Y288">
        <f t="shared" si="92"/>
        <v>2.814999999999984</v>
      </c>
      <c r="Z288">
        <f t="shared" si="87"/>
        <v>0</v>
      </c>
      <c r="AA288">
        <f t="shared" si="93"/>
        <v>0</v>
      </c>
      <c r="AB288">
        <f t="shared" si="94"/>
        <v>1.0000235668946658</v>
      </c>
      <c r="AC288" s="1">
        <f t="shared" si="88"/>
        <v>7.4493433161470389E-3</v>
      </c>
    </row>
    <row r="289" spans="9:29" x14ac:dyDescent="0.2">
      <c r="I289">
        <f t="shared" si="76"/>
        <v>2.8249999999999837</v>
      </c>
      <c r="J289">
        <f t="shared" si="77"/>
        <v>5.9423134420751025E-3</v>
      </c>
      <c r="K289">
        <f t="shared" si="89"/>
        <v>2.9033578345359968E-3</v>
      </c>
      <c r="L289">
        <f t="shared" si="78"/>
        <v>1.1520081618132536E+18</v>
      </c>
      <c r="M289">
        <f t="shared" si="79"/>
        <v>3.1045325989144974</v>
      </c>
      <c r="N289">
        <f t="shared" si="80"/>
        <v>0</v>
      </c>
      <c r="O289">
        <f t="shared" si="81"/>
        <v>0</v>
      </c>
      <c r="P289">
        <f t="shared" si="82"/>
        <v>0</v>
      </c>
      <c r="R289">
        <f t="shared" si="83"/>
        <v>2.8249999999999837</v>
      </c>
      <c r="S289">
        <f t="shared" si="84"/>
        <v>5.9423513675795512E-3</v>
      </c>
      <c r="T289">
        <f t="shared" si="90"/>
        <v>2.8970001984167078E-3</v>
      </c>
      <c r="U289" s="1">
        <f t="shared" si="85"/>
        <v>24.025082988665293</v>
      </c>
      <c r="V289">
        <f t="shared" si="86"/>
        <v>1.938652635952107E+20</v>
      </c>
      <c r="W289">
        <f t="shared" si="91"/>
        <v>1.1520155142511706E+16</v>
      </c>
      <c r="Y289">
        <f t="shared" si="92"/>
        <v>2.8249999999999837</v>
      </c>
      <c r="Z289">
        <f t="shared" si="87"/>
        <v>0</v>
      </c>
      <c r="AA289">
        <f t="shared" si="93"/>
        <v>0</v>
      </c>
      <c r="AB289">
        <f t="shared" si="94"/>
        <v>1.0000235668946658</v>
      </c>
      <c r="AC289" s="1">
        <f t="shared" si="88"/>
        <v>7.4493433161470389E-3</v>
      </c>
    </row>
    <row r="290" spans="9:29" x14ac:dyDescent="0.2">
      <c r="I290">
        <f t="shared" si="76"/>
        <v>2.8349999999999835</v>
      </c>
      <c r="J290">
        <f t="shared" si="77"/>
        <v>5.8204365066720559E-3</v>
      </c>
      <c r="K290">
        <f t="shared" si="89"/>
        <v>2.8439347001152459E-3</v>
      </c>
      <c r="L290">
        <f t="shared" si="78"/>
        <v>1.1680341917240486E+18</v>
      </c>
      <c r="M290">
        <f t="shared" si="79"/>
        <v>3.0409920129955106</v>
      </c>
      <c r="N290">
        <f t="shared" si="80"/>
        <v>0</v>
      </c>
      <c r="O290">
        <f t="shared" si="81"/>
        <v>0</v>
      </c>
      <c r="P290">
        <f t="shared" si="82"/>
        <v>0</v>
      </c>
      <c r="R290">
        <f t="shared" si="83"/>
        <v>2.8349999999999835</v>
      </c>
      <c r="S290">
        <f t="shared" si="84"/>
        <v>5.8204736543238551E-3</v>
      </c>
      <c r="T290">
        <f t="shared" si="90"/>
        <v>2.8375766847409125E-3</v>
      </c>
      <c r="U290" s="1">
        <f t="shared" si="85"/>
        <v>23.532278449570221</v>
      </c>
      <c r="V290">
        <f t="shared" si="86"/>
        <v>2.0067810900180992E+20</v>
      </c>
      <c r="W290">
        <f t="shared" si="91"/>
        <v>1.1680416464445656E+16</v>
      </c>
      <c r="Y290">
        <f t="shared" si="92"/>
        <v>2.8349999999999835</v>
      </c>
      <c r="Z290">
        <f t="shared" si="87"/>
        <v>0</v>
      </c>
      <c r="AA290">
        <f t="shared" si="93"/>
        <v>0</v>
      </c>
      <c r="AB290">
        <f t="shared" si="94"/>
        <v>1.0000235668946658</v>
      </c>
      <c r="AC290" s="1">
        <f t="shared" si="88"/>
        <v>7.4493433161470389E-3</v>
      </c>
    </row>
    <row r="291" spans="9:29" x14ac:dyDescent="0.2">
      <c r="I291">
        <f t="shared" si="76"/>
        <v>2.8449999999999833</v>
      </c>
      <c r="J291">
        <f t="shared" si="77"/>
        <v>5.7010592689924755E-3</v>
      </c>
      <c r="K291">
        <f t="shared" si="89"/>
        <v>2.7857303350485255E-3</v>
      </c>
      <c r="L291">
        <f t="shared" si="78"/>
        <v>1.1842831659187448E+18</v>
      </c>
      <c r="M291">
        <f t="shared" si="79"/>
        <v>2.9787546454208615</v>
      </c>
      <c r="N291">
        <f t="shared" si="80"/>
        <v>0</v>
      </c>
      <c r="O291">
        <f t="shared" si="81"/>
        <v>0</v>
      </c>
      <c r="P291">
        <f t="shared" si="82"/>
        <v>0</v>
      </c>
      <c r="R291">
        <f t="shared" si="83"/>
        <v>2.8449999999999833</v>
      </c>
      <c r="S291">
        <f t="shared" si="84"/>
        <v>5.7010956547453948E-3</v>
      </c>
      <c r="T291">
        <f t="shared" si="90"/>
        <v>2.7793719481976741E-3</v>
      </c>
      <c r="U291" s="1">
        <f t="shared" si="85"/>
        <v>23.049581338762653</v>
      </c>
      <c r="V291">
        <f t="shared" si="86"/>
        <v>2.0773037255724555E+20</v>
      </c>
      <c r="W291">
        <f t="shared" si="91"/>
        <v>1.1842907243447548E+16</v>
      </c>
      <c r="Y291">
        <f t="shared" si="92"/>
        <v>2.8449999999999833</v>
      </c>
      <c r="Z291">
        <f t="shared" si="87"/>
        <v>0</v>
      </c>
      <c r="AA291">
        <f t="shared" si="93"/>
        <v>0</v>
      </c>
      <c r="AB291">
        <f t="shared" si="94"/>
        <v>1.0000235668946658</v>
      </c>
      <c r="AC291" s="1">
        <f t="shared" si="88"/>
        <v>7.4493433161470389E-3</v>
      </c>
    </row>
    <row r="292" spans="9:29" x14ac:dyDescent="0.2">
      <c r="I292">
        <f t="shared" ref="I292:I353" si="95">I291+0.01</f>
        <v>2.8549999999999831</v>
      </c>
      <c r="J292">
        <f t="shared" si="77"/>
        <v>5.5841304601995656E-3</v>
      </c>
      <c r="K292">
        <f t="shared" si="89"/>
        <v>2.7287197423586009E-3</v>
      </c>
      <c r="L292">
        <f t="shared" si="78"/>
        <v>1.2007581858612959E+18</v>
      </c>
      <c r="M292">
        <f t="shared" si="79"/>
        <v>2.9177937671632925</v>
      </c>
      <c r="N292">
        <f t="shared" si="80"/>
        <v>0</v>
      </c>
      <c r="O292">
        <f t="shared" si="81"/>
        <v>0</v>
      </c>
      <c r="P292">
        <f t="shared" si="82"/>
        <v>0</v>
      </c>
      <c r="R292">
        <f t="shared" si="83"/>
        <v>2.8549999999999831</v>
      </c>
      <c r="S292">
        <f t="shared" si="84"/>
        <v>5.5841660996801615E-3</v>
      </c>
      <c r="T292">
        <f t="shared" si="90"/>
        <v>2.7223609916502203E-3</v>
      </c>
      <c r="U292" s="1">
        <f t="shared" si="85"/>
        <v>22.576784352740923</v>
      </c>
      <c r="V292">
        <f t="shared" si="86"/>
        <v>2.1503046793401444E+20</v>
      </c>
      <c r="W292">
        <f t="shared" si="91"/>
        <v>1.2007658494354854E+16</v>
      </c>
      <c r="Y292">
        <f t="shared" si="92"/>
        <v>2.8549999999999831</v>
      </c>
      <c r="Z292">
        <f t="shared" si="87"/>
        <v>0</v>
      </c>
      <c r="AA292">
        <f t="shared" si="93"/>
        <v>0</v>
      </c>
      <c r="AB292">
        <f t="shared" si="94"/>
        <v>1.0000235668946658</v>
      </c>
      <c r="AC292" s="1">
        <f t="shared" si="88"/>
        <v>7.4493433161470389E-3</v>
      </c>
    </row>
    <row r="293" spans="9:29" x14ac:dyDescent="0.2">
      <c r="I293">
        <f t="shared" si="95"/>
        <v>2.8649999999999829</v>
      </c>
      <c r="J293">
        <f t="shared" si="77"/>
        <v>5.4695998629811478E-3</v>
      </c>
      <c r="K293">
        <f t="shared" si="89"/>
        <v>2.6728784377566053E-3</v>
      </c>
      <c r="L293">
        <f t="shared" si="78"/>
        <v>1.2174623961612884E+18</v>
      </c>
      <c r="M293">
        <f t="shared" si="79"/>
        <v>2.858083197408285</v>
      </c>
      <c r="N293">
        <f t="shared" si="80"/>
        <v>0</v>
      </c>
      <c r="O293">
        <f t="shared" si="81"/>
        <v>0</v>
      </c>
      <c r="P293">
        <f t="shared" si="82"/>
        <v>0</v>
      </c>
      <c r="R293">
        <f t="shared" si="83"/>
        <v>2.8649999999999829</v>
      </c>
      <c r="S293">
        <f t="shared" si="84"/>
        <v>5.469634771495477E-3</v>
      </c>
      <c r="T293">
        <f t="shared" si="90"/>
        <v>2.6665193306534187E-3</v>
      </c>
      <c r="U293" s="1">
        <f t="shared" si="85"/>
        <v>22.113684439801222</v>
      </c>
      <c r="V293">
        <f t="shared" si="86"/>
        <v>2.2258710447928882E+20</v>
      </c>
      <c r="W293">
        <f t="shared" si="91"/>
        <v>1.2174701663464148E+16</v>
      </c>
      <c r="Y293">
        <f t="shared" si="92"/>
        <v>2.8649999999999829</v>
      </c>
      <c r="Z293">
        <f t="shared" si="87"/>
        <v>0</v>
      </c>
      <c r="AA293">
        <f t="shared" si="93"/>
        <v>0</v>
      </c>
      <c r="AB293">
        <f t="shared" si="94"/>
        <v>1.0000235668946658</v>
      </c>
      <c r="AC293" s="1">
        <f t="shared" si="88"/>
        <v>7.4493433161470389E-3</v>
      </c>
    </row>
    <row r="294" spans="9:29" x14ac:dyDescent="0.2">
      <c r="I294">
        <f t="shared" si="95"/>
        <v>2.8749999999999827</v>
      </c>
      <c r="J294">
        <f t="shared" si="77"/>
        <v>5.3574182899828304E-3</v>
      </c>
      <c r="K294">
        <f t="shared" si="89"/>
        <v>2.6181824391267937E-3</v>
      </c>
      <c r="L294">
        <f t="shared" si="78"/>
        <v>1.2343989851741914E+18</v>
      </c>
      <c r="M294">
        <f t="shared" si="79"/>
        <v>2.799597292310207</v>
      </c>
      <c r="N294">
        <f t="shared" si="80"/>
        <v>0</v>
      </c>
      <c r="O294">
        <f t="shared" si="81"/>
        <v>0</v>
      </c>
      <c r="P294">
        <f t="shared" si="82"/>
        <v>0</v>
      </c>
      <c r="R294">
        <f t="shared" si="83"/>
        <v>2.8749999999999827</v>
      </c>
      <c r="S294">
        <f t="shared" si="84"/>
        <v>5.3574524825230211E-3</v>
      </c>
      <c r="T294">
        <f t="shared" si="90"/>
        <v>2.6118229829384639E-3</v>
      </c>
      <c r="U294" s="1">
        <f t="shared" si="85"/>
        <v>21.660082712833145</v>
      </c>
      <c r="V294">
        <f t="shared" si="86"/>
        <v>2.3040929760557249E+20</v>
      </c>
      <c r="W294">
        <f t="shared" si="91"/>
        <v>1.2344068634533598E+16</v>
      </c>
      <c r="Y294">
        <f t="shared" si="92"/>
        <v>2.8749999999999827</v>
      </c>
      <c r="Z294">
        <f t="shared" si="87"/>
        <v>0</v>
      </c>
      <c r="AA294">
        <f t="shared" si="93"/>
        <v>0</v>
      </c>
      <c r="AB294">
        <f t="shared" si="94"/>
        <v>1.0000235668946658</v>
      </c>
      <c r="AC294" s="1">
        <f t="shared" si="88"/>
        <v>7.4493433161470389E-3</v>
      </c>
    </row>
    <row r="295" spans="9:29" x14ac:dyDescent="0.2">
      <c r="I295">
        <f t="shared" si="95"/>
        <v>2.8849999999999825</v>
      </c>
      <c r="J295">
        <f t="shared" si="77"/>
        <v>5.2475375626835786E-3</v>
      </c>
      <c r="K295">
        <f t="shared" si="89"/>
        <v>2.5646082562269653E-3</v>
      </c>
      <c r="L295">
        <f t="shared" si="78"/>
        <v>1.2515711856099146E+18</v>
      </c>
      <c r="M295">
        <f t="shared" si="79"/>
        <v>2.7423109339790765</v>
      </c>
      <c r="N295">
        <f t="shared" si="80"/>
        <v>0</v>
      </c>
      <c r="O295">
        <f t="shared" si="81"/>
        <v>0</v>
      </c>
      <c r="P295">
        <f t="shared" si="82"/>
        <v>0</v>
      </c>
      <c r="R295">
        <f t="shared" si="83"/>
        <v>2.8849999999999825</v>
      </c>
      <c r="S295">
        <f t="shared" si="84"/>
        <v>5.2475710539342706E-3</v>
      </c>
      <c r="T295">
        <f t="shared" si="90"/>
        <v>2.5582484581132335E-3</v>
      </c>
      <c r="U295" s="1">
        <f t="shared" si="85"/>
        <v>21.215784363903822</v>
      </c>
      <c r="V295">
        <f t="shared" si="86"/>
        <v>2.3850637954649801E+20</v>
      </c>
      <c r="W295">
        <f t="shared" si="91"/>
        <v>1.2515791734868636E+16</v>
      </c>
      <c r="Y295">
        <f t="shared" si="92"/>
        <v>2.8849999999999825</v>
      </c>
      <c r="Z295">
        <f t="shared" si="87"/>
        <v>0</v>
      </c>
      <c r="AA295">
        <f t="shared" si="93"/>
        <v>0</v>
      </c>
      <c r="AB295">
        <f t="shared" si="94"/>
        <v>1.0000235668946658</v>
      </c>
      <c r="AC295" s="1">
        <f t="shared" si="88"/>
        <v>7.4493433161470389E-3</v>
      </c>
    </row>
    <row r="296" spans="9:29" x14ac:dyDescent="0.2">
      <c r="I296">
        <f t="shared" si="95"/>
        <v>2.8949999999999823</v>
      </c>
      <c r="J296">
        <f t="shared" si="77"/>
        <v>5.1399104907045422E-3</v>
      </c>
      <c r="K296">
        <f t="shared" si="89"/>
        <v>2.5121328806001295E-3</v>
      </c>
      <c r="L296">
        <f t="shared" si="78"/>
        <v>1.2689822751498394E+18</v>
      </c>
      <c r="M296">
        <f t="shared" si="79"/>
        <v>2.6861995196932003</v>
      </c>
      <c r="N296">
        <f t="shared" si="80"/>
        <v>0</v>
      </c>
      <c r="O296">
        <f t="shared" si="81"/>
        <v>0</v>
      </c>
      <c r="P296">
        <f t="shared" si="82"/>
        <v>0</v>
      </c>
      <c r="R296">
        <f t="shared" si="83"/>
        <v>2.8949999999999823</v>
      </c>
      <c r="S296">
        <f t="shared" si="84"/>
        <v>5.1399432950491944E-3</v>
      </c>
      <c r="T296">
        <f t="shared" si="90"/>
        <v>2.5057727475738907E-3</v>
      </c>
      <c r="U296" s="1">
        <f t="shared" si="85"/>
        <v>20.780598580593928</v>
      </c>
      <c r="V296">
        <f t="shared" si="86"/>
        <v>2.4688801049060609E+20</v>
      </c>
      <c r="W296">
        <f t="shared" si="91"/>
        <v>1.268990374149226E+16</v>
      </c>
      <c r="Y296">
        <f t="shared" si="92"/>
        <v>2.8949999999999823</v>
      </c>
      <c r="Z296">
        <f t="shared" si="87"/>
        <v>0</v>
      </c>
      <c r="AA296">
        <f t="shared" si="93"/>
        <v>0</v>
      </c>
      <c r="AB296">
        <f t="shared" si="94"/>
        <v>1.0000235668946658</v>
      </c>
      <c r="AC296" s="1">
        <f t="shared" si="88"/>
        <v>7.4493433161470389E-3</v>
      </c>
    </row>
    <row r="297" spans="9:29" x14ac:dyDescent="0.2">
      <c r="I297">
        <f t="shared" si="95"/>
        <v>2.904999999999982</v>
      </c>
      <c r="J297">
        <f t="shared" si="77"/>
        <v>5.03449085154221E-3</v>
      </c>
      <c r="K297">
        <f t="shared" si="89"/>
        <v>2.4607337756930841E-3</v>
      </c>
      <c r="L297">
        <f t="shared" si="78"/>
        <v>1.2866355770724667E+18</v>
      </c>
      <c r="M297">
        <f t="shared" si="79"/>
        <v>2.6312389513330654</v>
      </c>
      <c r="N297">
        <f t="shared" si="80"/>
        <v>0</v>
      </c>
      <c r="O297">
        <f t="shared" si="81"/>
        <v>0</v>
      </c>
      <c r="P297">
        <f t="shared" si="82"/>
        <v>0</v>
      </c>
      <c r="R297">
        <f t="shared" si="83"/>
        <v>2.904999999999982</v>
      </c>
      <c r="S297">
        <f t="shared" si="84"/>
        <v>5.034522983069274E-3</v>
      </c>
      <c r="T297">
        <f t="shared" si="90"/>
        <v>2.4543733146233987E-3</v>
      </c>
      <c r="U297" s="1">
        <f t="shared" si="85"/>
        <v>20.354338464049651</v>
      </c>
      <c r="V297">
        <f t="shared" si="86"/>
        <v>2.5556419010640033E+20</v>
      </c>
      <c r="W297">
        <f t="shared" si="91"/>
        <v>1.2866437887401578E+16</v>
      </c>
      <c r="Y297">
        <f t="shared" si="92"/>
        <v>2.904999999999982</v>
      </c>
      <c r="Z297">
        <f t="shared" si="87"/>
        <v>0</v>
      </c>
      <c r="AA297">
        <f t="shared" si="93"/>
        <v>0</v>
      </c>
      <c r="AB297">
        <f t="shared" si="94"/>
        <v>1.0000235668946658</v>
      </c>
      <c r="AC297" s="1">
        <f t="shared" si="88"/>
        <v>7.4493433161470389E-3</v>
      </c>
    </row>
    <row r="298" spans="9:29" x14ac:dyDescent="0.2">
      <c r="I298">
        <f t="shared" si="95"/>
        <v>2.9149999999999818</v>
      </c>
      <c r="J298">
        <f t="shared" si="77"/>
        <v>4.9312333707173103E-3</v>
      </c>
      <c r="K298">
        <f t="shared" si="89"/>
        <v>2.410388867177662E-3</v>
      </c>
      <c r="L298">
        <f t="shared" si="78"/>
        <v>1.3045344608876575E+18</v>
      </c>
      <c r="M298">
        <f t="shared" si="79"/>
        <v>2.5774056250319428</v>
      </c>
      <c r="N298">
        <f t="shared" si="80"/>
        <v>0</v>
      </c>
      <c r="O298">
        <f t="shared" si="81"/>
        <v>0</v>
      </c>
      <c r="P298">
        <f t="shared" si="82"/>
        <v>0</v>
      </c>
      <c r="R298">
        <f t="shared" si="83"/>
        <v>2.9149999999999818</v>
      </c>
      <c r="S298">
        <f t="shared" si="84"/>
        <v>4.931264843226286E-3</v>
      </c>
      <c r="T298">
        <f t="shared" si="90"/>
        <v>2.4040280847927057E-3</v>
      </c>
      <c r="U298" s="1">
        <f t="shared" si="85"/>
        <v>19.936820948715383</v>
      </c>
      <c r="V298">
        <f t="shared" si="86"/>
        <v>2.6454526947239094E+20</v>
      </c>
      <c r="W298">
        <f t="shared" si="91"/>
        <v>1.3045427867910254E+16</v>
      </c>
      <c r="Y298">
        <f t="shared" si="92"/>
        <v>2.9149999999999818</v>
      </c>
      <c r="Z298">
        <f t="shared" si="87"/>
        <v>0</v>
      </c>
      <c r="AA298">
        <f t="shared" si="93"/>
        <v>0</v>
      </c>
      <c r="AB298">
        <f t="shared" si="94"/>
        <v>1.0000235668946658</v>
      </c>
      <c r="AC298" s="1">
        <f t="shared" si="88"/>
        <v>7.4493433161470389E-3</v>
      </c>
    </row>
    <row r="299" spans="9:29" x14ac:dyDescent="0.2">
      <c r="I299">
        <f t="shared" si="95"/>
        <v>2.9249999999999816</v>
      </c>
      <c r="J299">
        <f t="shared" si="77"/>
        <v>4.8300937023307913E-3</v>
      </c>
      <c r="K299">
        <f t="shared" si="89"/>
        <v>2.3610765334704889E-3</v>
      </c>
      <c r="L299">
        <f t="shared" si="78"/>
        <v>1.3226823429798484E+18</v>
      </c>
      <c r="M299">
        <f t="shared" si="79"/>
        <v>2.5246764210387544</v>
      </c>
      <c r="N299">
        <f t="shared" si="80"/>
        <v>0</v>
      </c>
      <c r="O299">
        <f t="shared" si="81"/>
        <v>0</v>
      </c>
      <c r="P299">
        <f t="shared" si="82"/>
        <v>0</v>
      </c>
      <c r="R299">
        <f t="shared" si="83"/>
        <v>2.9249999999999816</v>
      </c>
      <c r="S299">
        <f t="shared" si="84"/>
        <v>4.8301245293381478E-3</v>
      </c>
      <c r="T299">
        <f t="shared" si="90"/>
        <v>2.3547154363604429E-3</v>
      </c>
      <c r="U299" s="1">
        <f t="shared" si="85"/>
        <v>19.527866723712744</v>
      </c>
      <c r="V299">
        <f t="shared" si="86"/>
        <v>2.7384196342641964E+20</v>
      </c>
      <c r="W299">
        <f t="shared" si="91"/>
        <v>1.3226907847080694E+16</v>
      </c>
      <c r="Y299">
        <f t="shared" si="92"/>
        <v>2.9249999999999816</v>
      </c>
      <c r="Z299">
        <f t="shared" si="87"/>
        <v>0</v>
      </c>
      <c r="AA299">
        <f t="shared" si="93"/>
        <v>0</v>
      </c>
      <c r="AB299">
        <f t="shared" si="94"/>
        <v>1.0000235668946658</v>
      </c>
      <c r="AC299" s="1">
        <f t="shared" si="88"/>
        <v>7.4493433161470389E-3</v>
      </c>
    </row>
    <row r="300" spans="9:29" x14ac:dyDescent="0.2">
      <c r="I300">
        <f t="shared" si="95"/>
        <v>2.9349999999999814</v>
      </c>
      <c r="J300">
        <f t="shared" si="77"/>
        <v>4.7310284100186345E-3</v>
      </c>
      <c r="K300">
        <f t="shared" si="89"/>
        <v>2.3127755964471811E-3</v>
      </c>
      <c r="L300">
        <f t="shared" si="78"/>
        <v>1.3410826872601354E+18</v>
      </c>
      <c r="M300">
        <f t="shared" si="79"/>
        <v>2.4730286937888546</v>
      </c>
      <c r="N300">
        <f t="shared" si="80"/>
        <v>0</v>
      </c>
      <c r="O300">
        <f t="shared" si="81"/>
        <v>0</v>
      </c>
      <c r="P300">
        <f t="shared" si="82"/>
        <v>0</v>
      </c>
      <c r="R300">
        <f t="shared" si="83"/>
        <v>2.9349999999999814</v>
      </c>
      <c r="S300">
        <f t="shared" si="84"/>
        <v>4.7310586047636209E-3</v>
      </c>
      <c r="T300">
        <f t="shared" si="90"/>
        <v>2.3064141910670612E-3</v>
      </c>
      <c r="U300" s="1">
        <f t="shared" si="85"/>
        <v>19.127300155832081</v>
      </c>
      <c r="V300">
        <f t="shared" si="86"/>
        <v>2.834653633489496E+20</v>
      </c>
      <c r="W300">
        <f t="shared" si="91"/>
        <v>1.3410912464244944E+16</v>
      </c>
      <c r="Y300">
        <f t="shared" si="92"/>
        <v>2.9349999999999814</v>
      </c>
      <c r="Z300">
        <f t="shared" si="87"/>
        <v>0</v>
      </c>
      <c r="AA300">
        <f t="shared" si="93"/>
        <v>0</v>
      </c>
      <c r="AB300">
        <f t="shared" si="94"/>
        <v>1.0000235668946658</v>
      </c>
      <c r="AC300" s="1">
        <f t="shared" si="88"/>
        <v>7.4493433161470389E-3</v>
      </c>
    </row>
    <row r="301" spans="9:29" x14ac:dyDescent="0.2">
      <c r="I301">
        <f t="shared" si="95"/>
        <v>2.9449999999999812</v>
      </c>
      <c r="J301">
        <f t="shared" si="77"/>
        <v>4.6339949482972955E-3</v>
      </c>
      <c r="K301">
        <f t="shared" si="89"/>
        <v>2.265465312346995E-3</v>
      </c>
      <c r="L301">
        <f t="shared" si="78"/>
        <v>1.3597390058273948E+18</v>
      </c>
      <c r="M301">
        <f t="shared" si="79"/>
        <v>2.422440262178458</v>
      </c>
      <c r="N301">
        <f t="shared" si="80"/>
        <v>0</v>
      </c>
      <c r="O301">
        <f t="shared" si="81"/>
        <v>0</v>
      </c>
      <c r="P301">
        <f t="shared" si="82"/>
        <v>0</v>
      </c>
      <c r="R301">
        <f t="shared" si="83"/>
        <v>2.9449999999999812</v>
      </c>
      <c r="S301">
        <f t="shared" si="84"/>
        <v>4.6340245237476221E-3</v>
      </c>
      <c r="T301">
        <f t="shared" si="90"/>
        <v>2.2591036050194249E-3</v>
      </c>
      <c r="U301" s="1">
        <f t="shared" si="85"/>
        <v>18.734949214103445</v>
      </c>
      <c r="V301">
        <f t="shared" si="86"/>
        <v>2.9342695039557911E+20</v>
      </c>
      <c r="W301">
        <f t="shared" si="91"/>
        <v>1.3597476840615906E+16</v>
      </c>
      <c r="Y301">
        <f t="shared" si="92"/>
        <v>2.9449999999999812</v>
      </c>
      <c r="Z301">
        <f t="shared" si="87"/>
        <v>0</v>
      </c>
      <c r="AA301">
        <f t="shared" si="93"/>
        <v>0</v>
      </c>
      <c r="AB301">
        <f t="shared" si="94"/>
        <v>1.0000235668946658</v>
      </c>
      <c r="AC301" s="1">
        <f t="shared" si="88"/>
        <v>7.4493433161470389E-3</v>
      </c>
    </row>
    <row r="302" spans="9:29" x14ac:dyDescent="0.2">
      <c r="I302">
        <f t="shared" si="95"/>
        <v>2.954999999999981</v>
      </c>
      <c r="J302">
        <f t="shared" si="77"/>
        <v>4.5389516442917027E-3</v>
      </c>
      <c r="K302">
        <f t="shared" si="89"/>
        <v>2.219125362864022E-3</v>
      </c>
      <c r="L302">
        <f t="shared" si="78"/>
        <v>1.3786548596386783E+18</v>
      </c>
      <c r="M302">
        <f t="shared" si="79"/>
        <v>2.3728894000385412</v>
      </c>
      <c r="N302">
        <f t="shared" si="80"/>
        <v>0</v>
      </c>
      <c r="O302">
        <f t="shared" si="81"/>
        <v>0</v>
      </c>
      <c r="P302">
        <f t="shared" si="82"/>
        <v>0</v>
      </c>
      <c r="R302">
        <f t="shared" si="83"/>
        <v>2.954999999999981</v>
      </c>
      <c r="S302">
        <f t="shared" si="84"/>
        <v>4.5389806131491111E-3</v>
      </c>
      <c r="T302">
        <f t="shared" si="90"/>
        <v>2.2127633597819486E-3</v>
      </c>
      <c r="U302" s="1">
        <f t="shared" si="85"/>
        <v>18.350645395914569</v>
      </c>
      <c r="V302">
        <f t="shared" si="86"/>
        <v>3.0373860919459421E+20</v>
      </c>
      <c r="W302">
        <f t="shared" si="91"/>
        <v>1.3786636585991376E+16</v>
      </c>
      <c r="Y302">
        <f t="shared" si="92"/>
        <v>2.954999999999981</v>
      </c>
      <c r="Z302">
        <f t="shared" si="87"/>
        <v>0</v>
      </c>
      <c r="AA302">
        <f t="shared" si="93"/>
        <v>0</v>
      </c>
      <c r="AB302">
        <f t="shared" si="94"/>
        <v>1.0000235668946658</v>
      </c>
      <c r="AC302" s="1">
        <f t="shared" si="88"/>
        <v>7.4493433161470389E-3</v>
      </c>
    </row>
    <row r="303" spans="9:29" x14ac:dyDescent="0.2">
      <c r="I303">
        <f t="shared" si="95"/>
        <v>2.9649999999999808</v>
      </c>
      <c r="J303">
        <f t="shared" si="77"/>
        <v>4.4458576798380731E-3</v>
      </c>
      <c r="K303">
        <f t="shared" si="89"/>
        <v>2.1737358464211051E-3</v>
      </c>
      <c r="L303">
        <f t="shared" si="78"/>
        <v>1.3978338591888604E+18</v>
      </c>
      <c r="M303">
        <f t="shared" si="79"/>
        <v>2.3243548268041256</v>
      </c>
      <c r="N303">
        <f t="shared" si="80"/>
        <v>0</v>
      </c>
      <c r="O303">
        <f t="shared" si="81"/>
        <v>0</v>
      </c>
      <c r="P303">
        <f t="shared" si="82"/>
        <v>0</v>
      </c>
      <c r="R303">
        <f t="shared" si="83"/>
        <v>2.9649999999999808</v>
      </c>
      <c r="S303">
        <f t="shared" si="84"/>
        <v>4.4458860545437935E-3</v>
      </c>
      <c r="T303">
        <f t="shared" si="90"/>
        <v>2.1673735536504573E-3</v>
      </c>
      <c r="U303" s="1">
        <f t="shared" si="85"/>
        <v>17.974223654644238</v>
      </c>
      <c r="V303">
        <f t="shared" si="86"/>
        <v>3.1441264202586266E+20</v>
      </c>
      <c r="W303">
        <f t="shared" si="91"/>
        <v>1.3978427805550528E+16</v>
      </c>
      <c r="Y303">
        <f t="shared" si="92"/>
        <v>2.9649999999999808</v>
      </c>
      <c r="Z303">
        <f t="shared" si="87"/>
        <v>0</v>
      </c>
      <c r="AA303">
        <f t="shared" si="93"/>
        <v>0</v>
      </c>
      <c r="AB303">
        <f t="shared" si="94"/>
        <v>1.0000235668946658</v>
      </c>
      <c r="AC303" s="1">
        <f t="shared" si="88"/>
        <v>7.4493433161470389E-3</v>
      </c>
    </row>
    <row r="304" spans="9:29" x14ac:dyDescent="0.2">
      <c r="I304">
        <f t="shared" si="95"/>
        <v>2.9749999999999805</v>
      </c>
      <c r="J304">
        <f t="shared" si="77"/>
        <v>4.3546730739537493E-3</v>
      </c>
      <c r="K304">
        <f t="shared" si="89"/>
        <v>2.1292772696227245E-3</v>
      </c>
      <c r="L304">
        <f t="shared" si="78"/>
        <v>1.4172796651998188E+18</v>
      </c>
      <c r="M304">
        <f t="shared" si="79"/>
        <v>2.2768156983749308</v>
      </c>
      <c r="N304">
        <f t="shared" si="80"/>
        <v>0</v>
      </c>
      <c r="O304">
        <f t="shared" si="81"/>
        <v>0</v>
      </c>
      <c r="P304">
        <f t="shared" si="82"/>
        <v>0</v>
      </c>
      <c r="R304">
        <f t="shared" si="83"/>
        <v>2.9749999999999805</v>
      </c>
      <c r="S304">
        <f t="shared" si="84"/>
        <v>4.3547008666938412E-3</v>
      </c>
      <c r="T304">
        <f t="shared" si="90"/>
        <v>2.1229146931050192E-3</v>
      </c>
      <c r="U304" s="1">
        <f t="shared" si="85"/>
        <v>17.605522328779845</v>
      </c>
      <c r="V304">
        <f t="shared" si="86"/>
        <v>3.2546178349802606E+20</v>
      </c>
      <c r="W304">
        <f t="shared" si="91"/>
        <v>1.4172887106745774E+16</v>
      </c>
      <c r="Y304">
        <f t="shared" si="92"/>
        <v>2.9749999999999805</v>
      </c>
      <c r="Z304">
        <f t="shared" si="87"/>
        <v>0</v>
      </c>
      <c r="AA304">
        <f t="shared" si="93"/>
        <v>0</v>
      </c>
      <c r="AB304">
        <f t="shared" si="94"/>
        <v>1.0000235668946658</v>
      </c>
      <c r="AC304" s="1">
        <f t="shared" si="88"/>
        <v>7.4493433161470389E-3</v>
      </c>
    </row>
    <row r="305" spans="9:29" x14ac:dyDescent="0.2">
      <c r="I305">
        <f t="shared" si="95"/>
        <v>2.9849999999999803</v>
      </c>
      <c r="J305">
        <f t="shared" si="77"/>
        <v>4.2653586656666116E-3</v>
      </c>
      <c r="K305">
        <f t="shared" si="89"/>
        <v>2.0857305388831868E-3</v>
      </c>
      <c r="L305">
        <f t="shared" si="78"/>
        <v>1.4369959893191649E+18</v>
      </c>
      <c r="M305">
        <f t="shared" si="79"/>
        <v>2.2302515981634756</v>
      </c>
      <c r="N305">
        <f t="shared" si="80"/>
        <v>0</v>
      </c>
      <c r="O305">
        <f t="shared" si="81"/>
        <v>0</v>
      </c>
      <c r="P305">
        <f t="shared" si="82"/>
        <v>0</v>
      </c>
      <c r="R305">
        <f t="shared" si="83"/>
        <v>2.9849999999999803</v>
      </c>
      <c r="S305">
        <f t="shared" si="84"/>
        <v>4.2653858883771991E-3</v>
      </c>
      <c r="T305">
        <f t="shared" si="90"/>
        <v>2.0793676844380808E-3</v>
      </c>
      <c r="U305" s="1">
        <f t="shared" si="85"/>
        <v>17.244383072488766</v>
      </c>
      <c r="V305">
        <f t="shared" si="86"/>
        <v>3.3689921574147011E+20</v>
      </c>
      <c r="W305">
        <f t="shared" si="91"/>
        <v>1.4370051606290122E+16</v>
      </c>
      <c r="Y305">
        <f t="shared" si="92"/>
        <v>2.9849999999999803</v>
      </c>
      <c r="Z305">
        <f t="shared" si="87"/>
        <v>0</v>
      </c>
      <c r="AA305">
        <f t="shared" si="93"/>
        <v>0</v>
      </c>
      <c r="AB305">
        <f t="shared" si="94"/>
        <v>1.0000235668946658</v>
      </c>
      <c r="AC305" s="1">
        <f t="shared" si="88"/>
        <v>7.4493433161470389E-3</v>
      </c>
    </row>
    <row r="306" spans="9:29" x14ac:dyDescent="0.2">
      <c r="I306">
        <f t="shared" si="95"/>
        <v>2.9949999999999801</v>
      </c>
      <c r="J306">
        <f t="shared" si="77"/>
        <v>4.1778760971966601E-3</v>
      </c>
      <c r="K306">
        <f t="shared" si="89"/>
        <v>2.0430769522265207E-3</v>
      </c>
      <c r="L306">
        <f t="shared" si="78"/>
        <v>1.4569865948286461E+18</v>
      </c>
      <c r="M306">
        <f t="shared" si="79"/>
        <v>2.1846425283267892</v>
      </c>
      <c r="N306">
        <f t="shared" si="80"/>
        <v>0</v>
      </c>
      <c r="O306">
        <f t="shared" si="81"/>
        <v>0</v>
      </c>
      <c r="P306">
        <f t="shared" si="82"/>
        <v>0</v>
      </c>
      <c r="R306">
        <f t="shared" si="83"/>
        <v>2.9949999999999801</v>
      </c>
      <c r="S306">
        <f t="shared" si="84"/>
        <v>4.177902761569055E-3</v>
      </c>
      <c r="T306">
        <f t="shared" si="90"/>
        <v>2.0367138255543088E-3</v>
      </c>
      <c r="U306" s="1">
        <f t="shared" si="85"/>
        <v>16.890650787613708</v>
      </c>
      <c r="V306">
        <f t="shared" si="86"/>
        <v>3.4873858413519707E+20</v>
      </c>
      <c r="W306">
        <f t="shared" si="91"/>
        <v>1.4569958937241222E+16</v>
      </c>
      <c r="Y306">
        <f t="shared" si="92"/>
        <v>2.9949999999999801</v>
      </c>
      <c r="Z306">
        <f t="shared" si="87"/>
        <v>0</v>
      </c>
      <c r="AA306">
        <f t="shared" si="93"/>
        <v>0</v>
      </c>
      <c r="AB306">
        <f t="shared" si="94"/>
        <v>1.0000235668946658</v>
      </c>
      <c r="AC306" s="1">
        <f t="shared" si="88"/>
        <v>7.4493433161470389E-3</v>
      </c>
    </row>
    <row r="307" spans="9:29" x14ac:dyDescent="0.2">
      <c r="I307">
        <f t="shared" si="95"/>
        <v>3.0049999999999799</v>
      </c>
      <c r="J307">
        <f t="shared" si="77"/>
        <v>4.0921877974825077E-3</v>
      </c>
      <c r="K307">
        <f t="shared" si="89"/>
        <v>2.0012981912545542E-3</v>
      </c>
      <c r="L307">
        <f t="shared" si="78"/>
        <v>1.4772552973624676E+18</v>
      </c>
      <c r="M307">
        <f t="shared" si="79"/>
        <v>2.1399689011779484</v>
      </c>
      <c r="N307">
        <f t="shared" si="80"/>
        <v>0</v>
      </c>
      <c r="O307">
        <f t="shared" si="81"/>
        <v>0</v>
      </c>
      <c r="P307">
        <f t="shared" si="82"/>
        <v>0</v>
      </c>
      <c r="R307">
        <f t="shared" si="83"/>
        <v>3.0049999999999799</v>
      </c>
      <c r="S307">
        <f t="shared" si="84"/>
        <v>4.0922139149682365E-3</v>
      </c>
      <c r="T307">
        <f t="shared" si="90"/>
        <v>1.9949347979386182E-3</v>
      </c>
      <c r="U307" s="1">
        <f t="shared" si="85"/>
        <v>16.544173557062848</v>
      </c>
      <c r="V307">
        <f t="shared" si="86"/>
        <v>3.6099401358639189E+20</v>
      </c>
      <c r="W307">
        <f t="shared" si="91"/>
        <v>1.4772647256184656E+16</v>
      </c>
      <c r="Y307">
        <f t="shared" si="92"/>
        <v>3.0049999999999799</v>
      </c>
      <c r="Z307">
        <f t="shared" si="87"/>
        <v>0</v>
      </c>
      <c r="AA307">
        <f t="shared" si="93"/>
        <v>0</v>
      </c>
      <c r="AB307">
        <f t="shared" si="94"/>
        <v>1.0000235668946658</v>
      </c>
      <c r="AC307" s="1">
        <f t="shared" si="88"/>
        <v>7.4493433161470389E-3</v>
      </c>
    </row>
    <row r="308" spans="9:29" x14ac:dyDescent="0.2">
      <c r="I308">
        <f t="shared" si="95"/>
        <v>3.0149999999999797</v>
      </c>
      <c r="J308">
        <f t="shared" si="77"/>
        <v>4.0082569660458006E-3</v>
      </c>
      <c r="K308">
        <f t="shared" si="89"/>
        <v>1.9603763132797292E-3</v>
      </c>
      <c r="L308">
        <f t="shared" si="78"/>
        <v>1.4978059656356308E+18</v>
      </c>
      <c r="M308">
        <f t="shared" si="79"/>
        <v>2.0962115307737768</v>
      </c>
      <c r="N308">
        <f t="shared" si="80"/>
        <v>0</v>
      </c>
      <c r="O308">
        <f t="shared" si="81"/>
        <v>0</v>
      </c>
      <c r="P308">
        <f t="shared" si="82"/>
        <v>0</v>
      </c>
      <c r="R308">
        <f t="shared" si="83"/>
        <v>3.0149999999999797</v>
      </c>
      <c r="S308">
        <f t="shared" si="84"/>
        <v>4.0082825478615159E-3</v>
      </c>
      <c r="T308">
        <f t="shared" si="90"/>
        <v>1.9540126587889359E-3</v>
      </c>
      <c r="U308" s="1">
        <f t="shared" si="85"/>
        <v>16.204802579566145</v>
      </c>
      <c r="V308">
        <f t="shared" si="86"/>
        <v>3.736801253820901E+20</v>
      </c>
      <c r="W308">
        <f t="shared" si="91"/>
        <v>1.4978155250517348E+16</v>
      </c>
      <c r="Y308">
        <f t="shared" si="92"/>
        <v>3.0149999999999797</v>
      </c>
      <c r="Z308">
        <f t="shared" si="87"/>
        <v>0</v>
      </c>
      <c r="AA308">
        <f t="shared" si="93"/>
        <v>0</v>
      </c>
      <c r="AB308">
        <f t="shared" si="94"/>
        <v>1.0000235668946658</v>
      </c>
      <c r="AC308" s="1">
        <f t="shared" si="88"/>
        <v>7.4493433161470389E-3</v>
      </c>
    </row>
    <row r="309" spans="9:29" x14ac:dyDescent="0.2">
      <c r="I309">
        <f t="shared" si="95"/>
        <v>3.0249999999999795</v>
      </c>
      <c r="J309">
        <f t="shared" si="77"/>
        <v>3.9260475571865202E-3</v>
      </c>
      <c r="K309">
        <f t="shared" si="89"/>
        <v>1.9202937436192712E-3</v>
      </c>
      <c r="L309">
        <f t="shared" si="78"/>
        <v>1.5186425221822996E+18</v>
      </c>
      <c r="M309">
        <f t="shared" si="79"/>
        <v>2.0533516246750714</v>
      </c>
      <c r="N309">
        <f t="shared" si="80"/>
        <v>0</v>
      </c>
      <c r="O309">
        <f t="shared" si="81"/>
        <v>0</v>
      </c>
      <c r="P309">
        <f t="shared" si="82"/>
        <v>0</v>
      </c>
      <c r="R309">
        <f t="shared" si="83"/>
        <v>3.0249999999999795</v>
      </c>
      <c r="S309">
        <f t="shared" si="84"/>
        <v>3.9260726143188216E-3</v>
      </c>
      <c r="T309">
        <f t="shared" si="90"/>
        <v>1.9139298333103207E-3</v>
      </c>
      <c r="U309" s="1">
        <f t="shared" si="85"/>
        <v>15.872392105769761</v>
      </c>
      <c r="V309">
        <f t="shared" si="86"/>
        <v>3.8681205463302832E+20</v>
      </c>
      <c r="W309">
        <f t="shared" si="91"/>
        <v>1.5186522145831284E+16</v>
      </c>
      <c r="Y309">
        <f t="shared" si="92"/>
        <v>3.0249999999999795</v>
      </c>
      <c r="Z309">
        <f t="shared" si="87"/>
        <v>0</v>
      </c>
      <c r="AA309">
        <f t="shared" si="93"/>
        <v>0</v>
      </c>
      <c r="AB309">
        <f t="shared" si="94"/>
        <v>1.0000235668946658</v>
      </c>
      <c r="AC309" s="1">
        <f t="shared" si="88"/>
        <v>7.4493433161470389E-3</v>
      </c>
    </row>
    <row r="310" spans="9:29" x14ac:dyDescent="0.2">
      <c r="I310">
        <f t="shared" si="95"/>
        <v>3.0349999999999793</v>
      </c>
      <c r="J310">
        <f t="shared" si="77"/>
        <v>3.8455242645024819E-3</v>
      </c>
      <c r="K310">
        <f t="shared" si="89"/>
        <v>1.8810332680474059E-3</v>
      </c>
      <c r="L310">
        <f t="shared" si="78"/>
        <v>1.5397689441045007E+18</v>
      </c>
      <c r="M310">
        <f t="shared" si="79"/>
        <v>2.0113707758758324</v>
      </c>
      <c r="N310">
        <f t="shared" si="80"/>
        <v>0</v>
      </c>
      <c r="O310">
        <f t="shared" si="81"/>
        <v>0</v>
      </c>
      <c r="P310">
        <f t="shared" si="82"/>
        <v>0</v>
      </c>
      <c r="R310">
        <f t="shared" si="83"/>
        <v>3.0349999999999793</v>
      </c>
      <c r="S310">
        <f t="shared" si="84"/>
        <v>3.8455488077126345E-3</v>
      </c>
      <c r="T310">
        <f t="shared" si="90"/>
        <v>1.8746691071671324E-3</v>
      </c>
      <c r="U310" s="1">
        <f t="shared" si="85"/>
        <v>15.546799375641241</v>
      </c>
      <c r="V310">
        <f t="shared" si="86"/>
        <v>4.0040546833052159E+20</v>
      </c>
      <c r="W310">
        <f t="shared" si="91"/>
        <v>1.5397787713400564E+16</v>
      </c>
      <c r="Y310">
        <f t="shared" si="92"/>
        <v>3.0349999999999793</v>
      </c>
      <c r="Z310">
        <f t="shared" si="87"/>
        <v>0</v>
      </c>
      <c r="AA310">
        <f t="shared" si="93"/>
        <v>0</v>
      </c>
      <c r="AB310">
        <f t="shared" si="94"/>
        <v>1.0000235668946658</v>
      </c>
      <c r="AC310" s="1">
        <f t="shared" si="88"/>
        <v>7.4493433161470389E-3</v>
      </c>
    </row>
    <row r="311" spans="9:29" x14ac:dyDescent="0.2">
      <c r="I311">
        <f t="shared" si="95"/>
        <v>3.0449999999999791</v>
      </c>
      <c r="J311">
        <f t="shared" si="77"/>
        <v>3.7666525057263359E-3</v>
      </c>
      <c r="K311">
        <f t="shared" si="89"/>
        <v>1.842578025402381E-3</v>
      </c>
      <c r="L311">
        <f t="shared" si="78"/>
        <v>1.5611892638312991E+18</v>
      </c>
      <c r="M311">
        <f t="shared" si="79"/>
        <v>1.9702509548980205</v>
      </c>
      <c r="N311">
        <f t="shared" si="80"/>
        <v>0</v>
      </c>
      <c r="O311">
        <f t="shared" si="81"/>
        <v>0</v>
      </c>
      <c r="P311">
        <f t="shared" si="82"/>
        <v>0</v>
      </c>
      <c r="R311">
        <f t="shared" si="83"/>
        <v>3.0449999999999791</v>
      </c>
      <c r="S311">
        <f t="shared" si="84"/>
        <v>3.7666765455548899E-3</v>
      </c>
      <c r="T311">
        <f t="shared" si="90"/>
        <v>1.836213619090006E-3</v>
      </c>
      <c r="U311" s="1">
        <f t="shared" si="85"/>
        <v>15.227884557158479</v>
      </c>
      <c r="V311">
        <f t="shared" si="86"/>
        <v>4.1447658403791346E+20</v>
      </c>
      <c r="W311">
        <f t="shared" si="91"/>
        <v>1.561199227777319E+16</v>
      </c>
      <c r="Y311">
        <f t="shared" si="92"/>
        <v>3.0449999999999791</v>
      </c>
      <c r="Z311">
        <f t="shared" si="87"/>
        <v>0</v>
      </c>
      <c r="AA311">
        <f t="shared" si="93"/>
        <v>0</v>
      </c>
      <c r="AB311">
        <f t="shared" si="94"/>
        <v>1.0000235668946658</v>
      </c>
      <c r="AC311" s="1">
        <f t="shared" si="88"/>
        <v>7.4493433161470389E-3</v>
      </c>
    </row>
    <row r="312" spans="9:29" x14ac:dyDescent="0.2">
      <c r="I312">
        <f t="shared" si="95"/>
        <v>3.0549999999999788</v>
      </c>
      <c r="J312">
        <f t="shared" si="77"/>
        <v>3.6893984078735279E-3</v>
      </c>
      <c r="K312">
        <f t="shared" si="89"/>
        <v>1.8049115003451177E-3</v>
      </c>
      <c r="L312">
        <f t="shared" si="78"/>
        <v>1.5829075698884073E+18</v>
      </c>
      <c r="M312">
        <f t="shared" si="79"/>
        <v>1.9299745020484558</v>
      </c>
      <c r="N312">
        <f t="shared" si="80"/>
        <v>0</v>
      </c>
      <c r="O312">
        <f t="shared" si="81"/>
        <v>0</v>
      </c>
      <c r="P312">
        <f t="shared" si="82"/>
        <v>0</v>
      </c>
      <c r="R312">
        <f t="shared" si="83"/>
        <v>3.0549999999999788</v>
      </c>
      <c r="S312">
        <f t="shared" si="84"/>
        <v>3.689421954644848E-3</v>
      </c>
      <c r="T312">
        <f t="shared" si="90"/>
        <v>1.798546853634457E-3</v>
      </c>
      <c r="U312" s="1">
        <f t="shared" si="85"/>
        <v>14.91551068625618</v>
      </c>
      <c r="V312">
        <f t="shared" si="86"/>
        <v>4.2904218923885573E+20</v>
      </c>
      <c r="W312">
        <f t="shared" si="91"/>
        <v>1.5829176724467238E+16</v>
      </c>
      <c r="Y312">
        <f t="shared" si="92"/>
        <v>3.0549999999999788</v>
      </c>
      <c r="Z312">
        <f t="shared" si="87"/>
        <v>0</v>
      </c>
      <c r="AA312">
        <f t="shared" si="93"/>
        <v>0</v>
      </c>
      <c r="AB312">
        <f t="shared" si="94"/>
        <v>1.0000235668946658</v>
      </c>
      <c r="AC312" s="1">
        <f t="shared" si="88"/>
        <v>7.4493433161470389E-3</v>
      </c>
    </row>
    <row r="313" spans="9:29" x14ac:dyDescent="0.2">
      <c r="I313">
        <f t="shared" si="95"/>
        <v>3.0649999999999786</v>
      </c>
      <c r="J313">
        <f t="shared" si="77"/>
        <v>3.6137287926949219E-3</v>
      </c>
      <c r="K313">
        <f t="shared" si="89"/>
        <v>1.7680175162663825E-3</v>
      </c>
      <c r="L313">
        <f t="shared" si="78"/>
        <v>1.6049280076786358E+18</v>
      </c>
      <c r="M313">
        <f t="shared" si="79"/>
        <v>1.8905241198345215</v>
      </c>
      <c r="N313">
        <f t="shared" si="80"/>
        <v>0</v>
      </c>
      <c r="O313">
        <f t="shared" si="81"/>
        <v>0</v>
      </c>
      <c r="P313">
        <f t="shared" si="82"/>
        <v>0</v>
      </c>
      <c r="R313">
        <f t="shared" si="83"/>
        <v>3.0649999999999786</v>
      </c>
      <c r="S313">
        <f t="shared" si="84"/>
        <v>3.6137518565216181E-3</v>
      </c>
      <c r="T313">
        <f t="shared" si="90"/>
        <v>1.7616526340880085E-3</v>
      </c>
      <c r="U313" s="1">
        <f t="shared" si="85"/>
        <v>14.609543608004028</v>
      </c>
      <c r="V313">
        <f t="shared" si="86"/>
        <v>4.4411966136555812E+20</v>
      </c>
      <c r="W313">
        <f t="shared" si="91"/>
        <v>1.604938250777538E+16</v>
      </c>
      <c r="Y313">
        <f t="shared" si="92"/>
        <v>3.0649999999999786</v>
      </c>
      <c r="Z313">
        <f t="shared" si="87"/>
        <v>0</v>
      </c>
      <c r="AA313">
        <f t="shared" si="93"/>
        <v>0</v>
      </c>
      <c r="AB313">
        <f t="shared" si="94"/>
        <v>1.0000235668946658</v>
      </c>
      <c r="AC313" s="1">
        <f t="shared" si="88"/>
        <v>7.4493433161470389E-3</v>
      </c>
    </row>
    <row r="314" spans="9:29" x14ac:dyDescent="0.2">
      <c r="I314">
        <f t="shared" si="95"/>
        <v>3.0749999999999784</v>
      </c>
      <c r="J314">
        <f t="shared" si="77"/>
        <v>3.5396111624277468E-3</v>
      </c>
      <c r="K314">
        <f t="shared" si="89"/>
        <v>1.7318802283394332E-3</v>
      </c>
      <c r="L314">
        <f t="shared" si="78"/>
        <v>1.6272547802730665E+18</v>
      </c>
      <c r="M314">
        <f t="shared" si="79"/>
        <v>1.8518828655354271</v>
      </c>
      <c r="N314">
        <f t="shared" si="80"/>
        <v>0</v>
      </c>
      <c r="O314">
        <f t="shared" si="81"/>
        <v>0</v>
      </c>
      <c r="P314">
        <f t="shared" si="82"/>
        <v>0</v>
      </c>
      <c r="R314">
        <f t="shared" si="83"/>
        <v>3.0749999999999784</v>
      </c>
      <c r="S314">
        <f t="shared" si="84"/>
        <v>3.5396337532150207E-3</v>
      </c>
      <c r="T314">
        <f t="shared" si="90"/>
        <v>1.7255151155227922E-3</v>
      </c>
      <c r="U314" s="1">
        <f t="shared" si="85"/>
        <v>14.309851918991285</v>
      </c>
      <c r="V314">
        <f t="shared" si="86"/>
        <v>4.5972698853084352E+20</v>
      </c>
      <c r="W314">
        <f t="shared" si="91"/>
        <v>1.6272651658676686E+16</v>
      </c>
      <c r="Y314">
        <f t="shared" si="92"/>
        <v>3.0749999999999784</v>
      </c>
      <c r="Z314">
        <f t="shared" si="87"/>
        <v>0</v>
      </c>
      <c r="AA314">
        <f t="shared" si="93"/>
        <v>0</v>
      </c>
      <c r="AB314">
        <f t="shared" si="94"/>
        <v>1.0000235668946658</v>
      </c>
      <c r="AC314" s="1">
        <f t="shared" si="88"/>
        <v>7.4493433161470389E-3</v>
      </c>
    </row>
    <row r="315" spans="9:29" x14ac:dyDescent="0.2">
      <c r="I315">
        <f t="shared" si="95"/>
        <v>3.0849999999999782</v>
      </c>
      <c r="J315">
        <f t="shared" si="77"/>
        <v>3.4670136858388208E-3</v>
      </c>
      <c r="K315">
        <f t="shared" si="89"/>
        <v>1.6964841167151556E-3</v>
      </c>
      <c r="L315">
        <f t="shared" si="78"/>
        <v>1.6498921492132882E+18</v>
      </c>
      <c r="M315">
        <f t="shared" si="79"/>
        <v>1.8140341439258332</v>
      </c>
      <c r="N315">
        <f t="shared" si="80"/>
        <v>0</v>
      </c>
      <c r="O315">
        <f t="shared" si="81"/>
        <v>0</v>
      </c>
      <c r="P315">
        <f t="shared" si="82"/>
        <v>0</v>
      </c>
      <c r="R315">
        <f t="shared" si="83"/>
        <v>3.0849999999999782</v>
      </c>
      <c r="S315">
        <f t="shared" si="84"/>
        <v>3.4670358132887187E-3</v>
      </c>
      <c r="T315">
        <f t="shared" si="90"/>
        <v>1.690118777990642E-3</v>
      </c>
      <c r="U315" s="1">
        <f t="shared" si="85"/>
        <v>14.016306910893087</v>
      </c>
      <c r="V315">
        <f t="shared" si="86"/>
        <v>4.7588279098878375E+20</v>
      </c>
      <c r="W315">
        <f t="shared" si="91"/>
        <v>1.6499026792859032E+16</v>
      </c>
      <c r="Y315">
        <f t="shared" si="92"/>
        <v>3.0849999999999782</v>
      </c>
      <c r="Z315">
        <f t="shared" si="87"/>
        <v>0</v>
      </c>
      <c r="AA315">
        <f t="shared" si="93"/>
        <v>0</v>
      </c>
      <c r="AB315">
        <f t="shared" si="94"/>
        <v>1.0000235668946658</v>
      </c>
      <c r="AC315" s="1">
        <f t="shared" si="88"/>
        <v>7.4493433161470389E-3</v>
      </c>
    </row>
    <row r="316" spans="9:29" x14ac:dyDescent="0.2">
      <c r="I316">
        <f t="shared" si="95"/>
        <v>3.094999999999978</v>
      </c>
      <c r="J316">
        <f t="shared" si="77"/>
        <v>3.3959051845540282E-3</v>
      </c>
      <c r="K316">
        <f t="shared" si="89"/>
        <v>1.6618139798567674E-3</v>
      </c>
      <c r="L316">
        <f t="shared" si="78"/>
        <v>1.6728444353249142E+18</v>
      </c>
      <c r="M316">
        <f t="shared" si="79"/>
        <v>1.7769617001487144</v>
      </c>
      <c r="N316">
        <f t="shared" si="80"/>
        <v>0</v>
      </c>
      <c r="O316">
        <f t="shared" si="81"/>
        <v>0</v>
      </c>
      <c r="P316">
        <f t="shared" si="82"/>
        <v>0</v>
      </c>
      <c r="R316">
        <f t="shared" si="83"/>
        <v>3.094999999999978</v>
      </c>
      <c r="S316">
        <f t="shared" si="84"/>
        <v>3.3959268581696058E-3</v>
      </c>
      <c r="T316">
        <f t="shared" si="90"/>
        <v>1.6554484198577548E-3</v>
      </c>
      <c r="U316" s="1">
        <f t="shared" si="85"/>
        <v>13.728782515194187</v>
      </c>
      <c r="V316">
        <f t="shared" si="86"/>
        <v>4.9260634334954285E+20</v>
      </c>
      <c r="W316">
        <f t="shared" si="91"/>
        <v>1.672855111885431E+16</v>
      </c>
      <c r="Y316">
        <f t="shared" si="92"/>
        <v>3.094999999999978</v>
      </c>
      <c r="Z316">
        <f t="shared" si="87"/>
        <v>0</v>
      </c>
      <c r="AA316">
        <f t="shared" si="93"/>
        <v>0</v>
      </c>
      <c r="AB316">
        <f t="shared" si="94"/>
        <v>1.0000235668946658</v>
      </c>
      <c r="AC316" s="1">
        <f t="shared" si="88"/>
        <v>7.4493433161470389E-3</v>
      </c>
    </row>
    <row r="317" spans="9:29" x14ac:dyDescent="0.2">
      <c r="I317">
        <f t="shared" si="95"/>
        <v>3.1049999999999778</v>
      </c>
      <c r="J317">
        <f t="shared" si="77"/>
        <v>3.3262551196681501E-3</v>
      </c>
      <c r="K317">
        <f t="shared" si="89"/>
        <v>1.6278549280112271E-3</v>
      </c>
      <c r="L317">
        <f t="shared" si="78"/>
        <v>1.6961160195421768E+18</v>
      </c>
      <c r="M317">
        <f t="shared" si="79"/>
        <v>1.7406496127343993</v>
      </c>
      <c r="N317">
        <f t="shared" si="80"/>
        <v>0</v>
      </c>
      <c r="O317">
        <f t="shared" si="81"/>
        <v>0</v>
      </c>
      <c r="P317">
        <f t="shared" si="82"/>
        <v>0</v>
      </c>
      <c r="R317">
        <f t="shared" si="83"/>
        <v>3.1049999999999778</v>
      </c>
      <c r="S317">
        <f t="shared" si="84"/>
        <v>3.3262763487575558E-3</v>
      </c>
      <c r="T317">
        <f t="shared" si="90"/>
        <v>1.6214891512760588E-3</v>
      </c>
      <c r="U317" s="1">
        <f t="shared" si="85"/>
        <v>13.447155249046423</v>
      </c>
      <c r="V317">
        <f t="shared" si="86"/>
        <v>5.0991759757483449E+20</v>
      </c>
      <c r="W317">
        <f t="shared" si="91"/>
        <v>1.6961268446284452E+16</v>
      </c>
      <c r="Y317">
        <f t="shared" si="92"/>
        <v>3.1049999999999778</v>
      </c>
      <c r="Z317">
        <f t="shared" si="87"/>
        <v>0</v>
      </c>
      <c r="AA317">
        <f t="shared" si="93"/>
        <v>0</v>
      </c>
      <c r="AB317">
        <f t="shared" si="94"/>
        <v>1.0000235668946658</v>
      </c>
      <c r="AC317" s="1">
        <f t="shared" si="88"/>
        <v>7.4493433161470389E-3</v>
      </c>
    </row>
    <row r="318" spans="9:29" x14ac:dyDescent="0.2">
      <c r="I318">
        <f t="shared" si="95"/>
        <v>3.1149999999999776</v>
      </c>
      <c r="J318">
        <f t="shared" si="77"/>
        <v>3.2580335786293688E-3</v>
      </c>
      <c r="K318">
        <f t="shared" si="89"/>
        <v>1.5945923768145456E-3</v>
      </c>
      <c r="L318">
        <f t="shared" si="78"/>
        <v>1.7197113437441902E+18</v>
      </c>
      <c r="M318">
        <f t="shared" si="79"/>
        <v>1.7050822867627926</v>
      </c>
      <c r="N318">
        <f t="shared" si="80"/>
        <v>0</v>
      </c>
      <c r="O318">
        <f t="shared" si="81"/>
        <v>0</v>
      </c>
      <c r="P318">
        <f t="shared" si="82"/>
        <v>0</v>
      </c>
      <c r="R318">
        <f t="shared" si="83"/>
        <v>3.1149999999999776</v>
      </c>
      <c r="S318">
        <f t="shared" si="84"/>
        <v>3.2580543723098408E-3</v>
      </c>
      <c r="T318">
        <f t="shared" si="90"/>
        <v>1.5882263877884833E-3</v>
      </c>
      <c r="U318" s="1">
        <f t="shared" si="85"/>
        <v>13.171304162236661</v>
      </c>
      <c r="V318">
        <f t="shared" si="86"/>
        <v>5.2783720678153978E+20</v>
      </c>
      <c r="W318">
        <f t="shared" si="91"/>
        <v>1.7197223194224092E+16</v>
      </c>
      <c r="Y318">
        <f t="shared" si="92"/>
        <v>3.1149999999999776</v>
      </c>
      <c r="Z318">
        <f t="shared" si="87"/>
        <v>0</v>
      </c>
      <c r="AA318">
        <f t="shared" si="93"/>
        <v>0</v>
      </c>
      <c r="AB318">
        <f t="shared" si="94"/>
        <v>1.0000235668946658</v>
      </c>
      <c r="AC318" s="1">
        <f t="shared" si="88"/>
        <v>7.4493433161470389E-3</v>
      </c>
    </row>
    <row r="319" spans="9:29" x14ac:dyDescent="0.2">
      <c r="I319">
        <f t="shared" si="95"/>
        <v>3.1249999999999774</v>
      </c>
      <c r="J319">
        <f t="shared" si="77"/>
        <v>3.1912112623927341E-3</v>
      </c>
      <c r="K319">
        <f t="shared" si="89"/>
        <v>1.562012041028252E-3</v>
      </c>
      <c r="L319">
        <f t="shared" si="78"/>
        <v>1.7436349116027599E+18</v>
      </c>
      <c r="M319">
        <f t="shared" si="79"/>
        <v>1.6702444471658371</v>
      </c>
      <c r="N319">
        <f t="shared" si="80"/>
        <v>0</v>
      </c>
      <c r="O319">
        <f t="shared" si="81"/>
        <v>0</v>
      </c>
      <c r="P319">
        <f t="shared" si="82"/>
        <v>0</v>
      </c>
      <c r="R319">
        <f t="shared" si="83"/>
        <v>3.1249999999999774</v>
      </c>
      <c r="S319">
        <f t="shared" si="84"/>
        <v>3.1912316295945164E-3</v>
      </c>
      <c r="T319">
        <f t="shared" si="90"/>
        <v>1.5556458440653849E-3</v>
      </c>
      <c r="U319" s="1">
        <f t="shared" si="85"/>
        <v>12.901110785242391</v>
      </c>
      <c r="V319">
        <f t="shared" si="86"/>
        <v>5.4638654988181583E+20</v>
      </c>
      <c r="W319">
        <f t="shared" si="91"/>
        <v>1.7436460399678726E+16</v>
      </c>
      <c r="Y319">
        <f t="shared" si="92"/>
        <v>3.1249999999999774</v>
      </c>
      <c r="Z319">
        <f t="shared" si="87"/>
        <v>0</v>
      </c>
      <c r="AA319">
        <f t="shared" si="93"/>
        <v>0</v>
      </c>
      <c r="AB319">
        <f t="shared" si="94"/>
        <v>1.0000235668946658</v>
      </c>
      <c r="AC319" s="1">
        <f t="shared" si="88"/>
        <v>7.4493433161470389E-3</v>
      </c>
    </row>
    <row r="320" spans="9:29" x14ac:dyDescent="0.2">
      <c r="I320">
        <f t="shared" si="95"/>
        <v>3.1349999999999771</v>
      </c>
      <c r="J320">
        <f t="shared" si="77"/>
        <v>3.1257594728371341E-3</v>
      </c>
      <c r="K320">
        <f>$J320*K$4+K321</f>
        <v>1.5300999284043246E-3</v>
      </c>
      <c r="L320">
        <f t="shared" si="78"/>
        <v>1.767891289441994E+18</v>
      </c>
      <c r="M320" s="1">
        <f t="shared" si="79"/>
        <v>1.6361211321673446</v>
      </c>
      <c r="N320">
        <f t="shared" si="80"/>
        <v>0</v>
      </c>
      <c r="O320">
        <f t="shared" si="81"/>
        <v>0</v>
      </c>
      <c r="P320">
        <f t="shared" si="82"/>
        <v>0</v>
      </c>
      <c r="R320">
        <f t="shared" si="83"/>
        <v>3.1349999999999771</v>
      </c>
      <c r="S320">
        <f t="shared" si="84"/>
        <v>3.1257794223073111E-3</v>
      </c>
      <c r="T320">
        <f t="shared" si="90"/>
        <v>1.5237335277694397E-3</v>
      </c>
      <c r="U320" s="1">
        <f t="shared" si="85"/>
        <v>12.636459078352749</v>
      </c>
      <c r="V320">
        <f t="shared" si="86"/>
        <v>5.6558775708911016E+20</v>
      </c>
      <c r="W320">
        <f t="shared" si="91"/>
        <v>1.7679025726180866E+16</v>
      </c>
      <c r="Y320">
        <f t="shared" si="92"/>
        <v>3.1349999999999771</v>
      </c>
      <c r="Z320">
        <f t="shared" si="87"/>
        <v>0</v>
      </c>
      <c r="AA320">
        <f t="shared" si="93"/>
        <v>0</v>
      </c>
      <c r="AB320">
        <f t="shared" si="94"/>
        <v>1.0000235668946658</v>
      </c>
      <c r="AC320" s="1">
        <f t="shared" si="88"/>
        <v>7.4493433161470389E-3</v>
      </c>
    </row>
    <row r="321" spans="9:29" x14ac:dyDescent="0.2">
      <c r="I321">
        <f t="shared" si="95"/>
        <v>3.1449999999999769</v>
      </c>
      <c r="J321">
        <f t="shared" si="77"/>
        <v>3.0616501004403491E-3</v>
      </c>
      <c r="K321">
        <f t="shared" si="89"/>
        <v>1.4988423336759532E-3</v>
      </c>
      <c r="L321">
        <f t="shared" si="78"/>
        <v>1.792485107109951E+18</v>
      </c>
      <c r="M321">
        <f t="shared" si="79"/>
        <v>1.6026976868573746</v>
      </c>
      <c r="N321">
        <f t="shared" si="80"/>
        <v>0</v>
      </c>
      <c r="O321">
        <f t="shared" si="81"/>
        <v>0</v>
      </c>
      <c r="P321">
        <f t="shared" si="82"/>
        <v>0</v>
      </c>
      <c r="R321">
        <f t="shared" si="83"/>
        <v>3.1449999999999769</v>
      </c>
      <c r="S321">
        <f t="shared" si="84"/>
        <v>3.0616696407466015E-3</v>
      </c>
      <c r="T321">
        <f t="shared" si="90"/>
        <v>1.4924757335463665E-3</v>
      </c>
      <c r="U321" s="1">
        <f t="shared" si="85"/>
        <v>12.377235381833021</v>
      </c>
      <c r="V321">
        <f t="shared" si="86"/>
        <v>5.8546373632053595E+20</v>
      </c>
      <c r="W321">
        <f t="shared" si="91"/>
        <v>1.7924965472506584E+16</v>
      </c>
      <c r="Y321">
        <f t="shared" si="92"/>
        <v>3.1449999999999769</v>
      </c>
      <c r="Z321">
        <f t="shared" si="87"/>
        <v>0</v>
      </c>
      <c r="AA321">
        <f t="shared" si="93"/>
        <v>0</v>
      </c>
      <c r="AB321">
        <f t="shared" si="94"/>
        <v>1.0000235668946658</v>
      </c>
      <c r="AC321" s="1">
        <f t="shared" si="88"/>
        <v>7.4493433161470389E-3</v>
      </c>
    </row>
    <row r="322" spans="9:29" x14ac:dyDescent="0.2">
      <c r="I322">
        <f t="shared" si="95"/>
        <v>3.1549999999999767</v>
      </c>
      <c r="J322">
        <f t="shared" si="77"/>
        <v>2.9988556122068593E-3</v>
      </c>
      <c r="K322">
        <f t="shared" si="89"/>
        <v>1.4682258326715496E-3</v>
      </c>
      <c r="L322">
        <f t="shared" si="78"/>
        <v>1.8174210588622106E+18</v>
      </c>
      <c r="M322">
        <f t="shared" si="79"/>
        <v>1.5699597568984034</v>
      </c>
      <c r="N322">
        <f t="shared" si="80"/>
        <v>0</v>
      </c>
      <c r="O322">
        <f t="shared" si="81"/>
        <v>0</v>
      </c>
      <c r="P322">
        <f t="shared" si="82"/>
        <v>0</v>
      </c>
      <c r="R322">
        <f t="shared" si="83"/>
        <v>3.1549999999999767</v>
      </c>
      <c r="S322">
        <f t="shared" si="84"/>
        <v>2.9988747517411449E-3</v>
      </c>
      <c r="T322">
        <f t="shared" si="90"/>
        <v>1.4618590371389005E-3</v>
      </c>
      <c r="U322" s="1">
        <f t="shared" si="85"/>
        <v>12.123328367111329</v>
      </c>
      <c r="V322">
        <f t="shared" si="86"/>
        <v>6.0603820052702351E+20</v>
      </c>
      <c r="W322">
        <f t="shared" si="91"/>
        <v>1.817432658151128E+16</v>
      </c>
      <c r="Y322">
        <f t="shared" si="92"/>
        <v>3.1549999999999767</v>
      </c>
      <c r="Z322">
        <f t="shared" si="87"/>
        <v>0</v>
      </c>
      <c r="AA322">
        <f t="shared" si="93"/>
        <v>0</v>
      </c>
      <c r="AB322">
        <f t="shared" si="94"/>
        <v>1.0000235668946658</v>
      </c>
      <c r="AC322" s="1">
        <f t="shared" si="88"/>
        <v>7.4493433161470389E-3</v>
      </c>
    </row>
    <row r="323" spans="9:29" x14ac:dyDescent="0.2">
      <c r="I323">
        <f t="shared" si="95"/>
        <v>3.1649999999999765</v>
      </c>
      <c r="J323">
        <f t="shared" si="77"/>
        <v>2.9373490398432933E-3</v>
      </c>
      <c r="K323">
        <f t="shared" si="89"/>
        <v>1.438237276549481E-3</v>
      </c>
      <c r="L323">
        <f t="shared" si="78"/>
        <v>1.842703904257995E+18</v>
      </c>
      <c r="M323">
        <f t="shared" si="79"/>
        <v>1.5378932823605798</v>
      </c>
      <c r="N323">
        <f t="shared" si="80"/>
        <v>0</v>
      </c>
      <c r="O323">
        <f t="shared" si="81"/>
        <v>0</v>
      </c>
      <c r="P323">
        <f t="shared" si="82"/>
        <v>0</v>
      </c>
      <c r="R323">
        <f t="shared" si="83"/>
        <v>3.1649999999999765</v>
      </c>
      <c r="S323">
        <f t="shared" si="84"/>
        <v>2.9373677868254518E-3</v>
      </c>
      <c r="T323">
        <f t="shared" si="90"/>
        <v>1.4318702896214891E-3</v>
      </c>
      <c r="U323" s="1">
        <f t="shared" si="85"/>
        <v>11.874628988966411</v>
      </c>
      <c r="V323">
        <f t="shared" si="86"/>
        <v>6.2733569598398923E+20</v>
      </c>
      <c r="W323">
        <f t="shared" si="91"/>
        <v>1.8427156649090948E+16</v>
      </c>
      <c r="Y323">
        <f t="shared" si="92"/>
        <v>3.1649999999999765</v>
      </c>
      <c r="Z323">
        <f t="shared" si="87"/>
        <v>0</v>
      </c>
      <c r="AA323">
        <f t="shared" si="93"/>
        <v>0</v>
      </c>
      <c r="AB323">
        <f t="shared" si="94"/>
        <v>1.0000235668946658</v>
      </c>
      <c r="AC323" s="1">
        <f t="shared" si="88"/>
        <v>7.4493433161470389E-3</v>
      </c>
    </row>
    <row r="324" spans="9:29" x14ac:dyDescent="0.2">
      <c r="I324">
        <f t="shared" si="95"/>
        <v>3.1749999999999763</v>
      </c>
      <c r="J324">
        <f t="shared" si="77"/>
        <v>2.8771039681763652E-3</v>
      </c>
      <c r="K324">
        <f t="shared" si="89"/>
        <v>1.4088637861510481E-3</v>
      </c>
      <c r="L324">
        <f t="shared" si="78"/>
        <v>1.8683384690686141E+18</v>
      </c>
      <c r="M324">
        <f t="shared" si="79"/>
        <v>1.5064844916834188</v>
      </c>
      <c r="N324">
        <f t="shared" si="80"/>
        <v>0</v>
      </c>
      <c r="O324">
        <f t="shared" si="81"/>
        <v>0</v>
      </c>
      <c r="P324">
        <f t="shared" si="82"/>
        <v>0</v>
      </c>
      <c r="R324">
        <f t="shared" si="83"/>
        <v>3.1749999999999763</v>
      </c>
      <c r="S324">
        <f t="shared" si="84"/>
        <v>2.877122330657646E-3</v>
      </c>
      <c r="T324">
        <f t="shared" si="90"/>
        <v>1.4024966117532347E-3</v>
      </c>
      <c r="U324" s="1">
        <f t="shared" si="85"/>
        <v>11.631030438696094</v>
      </c>
      <c r="V324">
        <f t="shared" si="86"/>
        <v>6.493816315761606E+20</v>
      </c>
      <c r="W324">
        <f t="shared" si="91"/>
        <v>1.868350393326668E+16</v>
      </c>
      <c r="Y324">
        <f t="shared" si="92"/>
        <v>3.1749999999999763</v>
      </c>
      <c r="Z324">
        <f t="shared" si="87"/>
        <v>0</v>
      </c>
      <c r="AA324">
        <f t="shared" si="93"/>
        <v>0</v>
      </c>
      <c r="AB324">
        <f t="shared" si="94"/>
        <v>1.0000235668946658</v>
      </c>
      <c r="AC324" s="1">
        <f t="shared" si="88"/>
        <v>7.4493433161470389E-3</v>
      </c>
    </row>
    <row r="325" spans="9:29" x14ac:dyDescent="0.2">
      <c r="I325">
        <f t="shared" si="95"/>
        <v>3.1849999999999761</v>
      </c>
      <c r="J325">
        <f t="shared" si="77"/>
        <v>2.8180945238083775E-3</v>
      </c>
      <c r="K325">
        <f t="shared" si="89"/>
        <v>1.3800927464692845E-3</v>
      </c>
      <c r="L325">
        <f t="shared" si="78"/>
        <v>1.8943296461985044E+18</v>
      </c>
      <c r="M325">
        <f t="shared" si="79"/>
        <v>1.4757198957613413</v>
      </c>
      <c r="N325">
        <f t="shared" si="80"/>
        <v>0</v>
      </c>
      <c r="O325">
        <f t="shared" si="81"/>
        <v>0</v>
      </c>
      <c r="P325">
        <f t="shared" si="82"/>
        <v>0</v>
      </c>
      <c r="R325">
        <f t="shared" si="83"/>
        <v>3.1849999999999761</v>
      </c>
      <c r="S325">
        <f t="shared" si="84"/>
        <v>2.8181125096748993E-3</v>
      </c>
      <c r="T325">
        <f t="shared" si="90"/>
        <v>1.3737253884466582E-3</v>
      </c>
      <c r="U325" s="1">
        <f t="shared" si="85"/>
        <v>11.392428098246237</v>
      </c>
      <c r="V325">
        <f t="shared" si="86"/>
        <v>6.7220230911151427E+20</v>
      </c>
      <c r="W325">
        <f t="shared" si="91"/>
        <v>1.894341736339512E+16</v>
      </c>
      <c r="Y325">
        <f t="shared" si="92"/>
        <v>3.1849999999999761</v>
      </c>
      <c r="Z325">
        <f t="shared" si="87"/>
        <v>0</v>
      </c>
      <c r="AA325">
        <f t="shared" si="93"/>
        <v>0</v>
      </c>
      <c r="AB325">
        <f t="shared" si="94"/>
        <v>1.0000235668946658</v>
      </c>
      <c r="AC325" s="1">
        <f t="shared" si="88"/>
        <v>7.4493433161470389E-3</v>
      </c>
    </row>
    <row r="326" spans="9:29" x14ac:dyDescent="0.2">
      <c r="I326">
        <f t="shared" si="95"/>
        <v>3.1949999999999759</v>
      </c>
      <c r="J326">
        <f t="shared" si="77"/>
        <v>2.7602953640054038E-3</v>
      </c>
      <c r="K326">
        <f t="shared" si="89"/>
        <v>1.3519118012312007E-3</v>
      </c>
      <c r="L326">
        <f t="shared" si="78"/>
        <v>1.9206823966192141E+18</v>
      </c>
      <c r="M326">
        <f t="shared" si="79"/>
        <v>1.445586282150521</v>
      </c>
      <c r="N326">
        <f t="shared" si="80"/>
        <v>0</v>
      </c>
      <c r="O326">
        <f t="shared" si="81"/>
        <v>0</v>
      </c>
      <c r="P326">
        <f t="shared" si="82"/>
        <v>0</v>
      </c>
      <c r="R326">
        <f t="shared" si="83"/>
        <v>3.1949999999999759</v>
      </c>
      <c r="S326">
        <f t="shared" si="84"/>
        <v>2.7603129809815412E-3</v>
      </c>
      <c r="T326">
        <f t="shared" si="90"/>
        <v>1.3455442633499093E-3</v>
      </c>
      <c r="U326" s="1">
        <f t="shared" si="85"/>
        <v>11.158719495280529</v>
      </c>
      <c r="V326">
        <f t="shared" si="86"/>
        <v>6.9582495470055575E+20</v>
      </c>
      <c r="W326">
        <f t="shared" si="91"/>
        <v>1.9206946549508372E+16</v>
      </c>
      <c r="Y326">
        <f t="shared" si="92"/>
        <v>3.1949999999999759</v>
      </c>
      <c r="Z326">
        <f t="shared" si="87"/>
        <v>0</v>
      </c>
      <c r="AA326">
        <f t="shared" si="93"/>
        <v>0</v>
      </c>
      <c r="AB326">
        <f t="shared" si="94"/>
        <v>1.0000235668946658</v>
      </c>
      <c r="AC326" s="1">
        <f t="shared" si="88"/>
        <v>7.4493433161470389E-3</v>
      </c>
    </row>
    <row r="327" spans="9:29" x14ac:dyDescent="0.2">
      <c r="I327">
        <f t="shared" si="95"/>
        <v>3.2049999999999756</v>
      </c>
      <c r="J327">
        <f t="shared" ref="J327:J390" si="96">IF($I327&gt;$B$23,0,1)*IF($I327&lt;($B$23-$B$21),$B$10*EXP(-$B$10*($I327-$B$8)),$B$10*EXP(-$B$10*($B$23-$B$20-$B$21-$B$8)))/(1-EXP(-$B$10*($B$23-$B$21-$B$8)))*(1/(1+$B$24))</f>
        <v>2.7036816658133527E-3</v>
      </c>
      <c r="K327">
        <f t="shared" si="89"/>
        <v>1.3243088475911465E-3</v>
      </c>
      <c r="L327">
        <f t="shared" ref="L327:L390" si="97">$V327*$J327</f>
        <v>1.947401750316234E+18</v>
      </c>
      <c r="M327">
        <f t="shared" ref="M327:M390" si="98">$K327/$L$4*$B$18</f>
        <v>1.4160707093945473</v>
      </c>
      <c r="N327">
        <f t="shared" ref="N327:N390" si="99">IF($I327&gt;$B$23,0,1)*IF($I327&lt;($B$23-$B$21),0,M327)</f>
        <v>0</v>
      </c>
      <c r="O327">
        <f t="shared" ref="O327:O390" si="100">IF($I327&gt;$B$23,0,1)*IF($I327&lt;($B$23-$B$33),0,1)*IF($I327&lt;($B$23-$B$21),$B$10*EXP(-$B$10*($I327-$B$8)),$B$10*EXP(-$B$10*($B$23-$B$20-$B$21-$B$8)))/(1-EXP(-$B$10*($B$23-$B$21-$B$8)))*(1/(1+$B$24))*($B$18/(SUM($L$7:$L$105)*0.05))</f>
        <v>0</v>
      </c>
      <c r="P327">
        <f t="shared" ref="P327:P390" si="101">IF($I327&gt;$B$23,0,1)*IF($I327&lt;($B$23-$B$21),0,1)*$L327</f>
        <v>0</v>
      </c>
      <c r="R327">
        <f t="shared" ref="R327:R390" si="102">$I327</f>
        <v>3.2049999999999756</v>
      </c>
      <c r="S327">
        <f t="shared" ref="S327:S390" si="103">IF($I327&lt;$B$23+0.01,$B$10*EXP(-$B$10*($I327-$B$8))/(1-EXP(-$B$10*($B$23-$B$8))),0)</f>
        <v>2.7036989214650519E-3</v>
      </c>
      <c r="T327">
        <f t="shared" si="90"/>
        <v>1.3179411335400939E-3</v>
      </c>
      <c r="U327" s="1">
        <f t="shared" ref="U327:U390" si="104">T327*$B$18/$W$4</f>
        <v>10.929804259171759</v>
      </c>
      <c r="V327">
        <f t="shared" ref="V327:V390" si="105">10^(1.5*$I327+16.05)</f>
        <v>7.2027775123828939E+20</v>
      </c>
      <c r="W327">
        <f t="shared" si="91"/>
        <v>1.947414179178236E+16</v>
      </c>
      <c r="Y327">
        <f t="shared" si="92"/>
        <v>3.2049999999999756</v>
      </c>
      <c r="Z327">
        <f t="shared" ref="Z327:Z390" si="106">IF(AND($Y327&lt;$B$9+$B$27*$B$28,$Y327&gt;$B$9-$B$27*$B$28),NORMDIST($Y327,$B$9,$B$27,0) / (2*NORMDIST($B$28,0,1,1)-1),0)</f>
        <v>0</v>
      </c>
      <c r="AA327">
        <f t="shared" si="93"/>
        <v>0</v>
      </c>
      <c r="AB327">
        <f t="shared" si="94"/>
        <v>1.0000235668946658</v>
      </c>
      <c r="AC327" s="1">
        <f t="shared" ref="AC327:AC390" si="107">$AB327*$B$18/$AA$4</f>
        <v>7.4493433161470389E-3</v>
      </c>
    </row>
    <row r="328" spans="9:29" x14ac:dyDescent="0.2">
      <c r="I328">
        <f t="shared" si="95"/>
        <v>3.2149999999999754</v>
      </c>
      <c r="J328">
        <f t="shared" si="96"/>
        <v>2.6482291153972887E-3</v>
      </c>
      <c r="K328">
        <f t="shared" ref="K328:K391" si="108">$J328*K$4+K329</f>
        <v>1.297272030933013E-3</v>
      </c>
      <c r="L328">
        <f t="shared" si="97"/>
        <v>1.974492807249154E+18</v>
      </c>
      <c r="M328">
        <f t="shared" si="98"/>
        <v>1.3871605014664692</v>
      </c>
      <c r="N328">
        <f t="shared" si="99"/>
        <v>0</v>
      </c>
      <c r="O328">
        <f t="shared" si="100"/>
        <v>0</v>
      </c>
      <c r="P328">
        <f t="shared" si="101"/>
        <v>0</v>
      </c>
      <c r="R328">
        <f t="shared" si="102"/>
        <v>3.2149999999999754</v>
      </c>
      <c r="S328">
        <f t="shared" si="103"/>
        <v>2.64824601713532E-3</v>
      </c>
      <c r="T328">
        <f t="shared" ref="T328:T391" si="109">T329+$S328*0.01</f>
        <v>1.2909041443254434E-3</v>
      </c>
      <c r="U328" s="1">
        <f t="shared" si="104"/>
        <v>10.70558407789575</v>
      </c>
      <c r="V328">
        <f t="shared" si="105"/>
        <v>7.4558987202772284E+20</v>
      </c>
      <c r="W328">
        <f t="shared" ref="W328:W391" si="110">$S328*$V328*0.01</f>
        <v>1.97450540901385E+16</v>
      </c>
      <c r="Y328">
        <f t="shared" ref="Y328:Y391" si="111">I328</f>
        <v>3.2149999999999754</v>
      </c>
      <c r="Z328">
        <f t="shared" si="106"/>
        <v>0</v>
      </c>
      <c r="AA328">
        <f t="shared" ref="AA328:AA391" si="112">$V328*$Z328*$K$4</f>
        <v>0</v>
      </c>
      <c r="AB328">
        <f t="shared" ref="AB328:AB391" si="113">Z328*$K$4+AB329</f>
        <v>1.0000235668946658</v>
      </c>
      <c r="AC328" s="1">
        <f t="shared" si="107"/>
        <v>7.4493433161470389E-3</v>
      </c>
    </row>
    <row r="329" spans="9:29" x14ac:dyDescent="0.2">
      <c r="I329">
        <f t="shared" si="95"/>
        <v>3.2249999999999752</v>
      </c>
      <c r="J329">
        <f t="shared" si="96"/>
        <v>2.5939138975993844E-3</v>
      </c>
      <c r="K329">
        <f t="shared" si="108"/>
        <v>1.2707897397790401E-3</v>
      </c>
      <c r="L329">
        <f t="shared" si="97"/>
        <v>2.0019607383250977E+18</v>
      </c>
      <c r="M329">
        <f t="shared" si="98"/>
        <v>1.3588432423248336</v>
      </c>
      <c r="N329">
        <f t="shared" si="99"/>
        <v>0</v>
      </c>
      <c r="O329">
        <f t="shared" si="100"/>
        <v>0</v>
      </c>
      <c r="P329">
        <f t="shared" si="101"/>
        <v>0</v>
      </c>
      <c r="R329">
        <f t="shared" si="102"/>
        <v>3.2249999999999752</v>
      </c>
      <c r="S329">
        <f t="shared" si="103"/>
        <v>2.5939304526825216E-3</v>
      </c>
      <c r="T329">
        <f t="shared" si="109"/>
        <v>1.2644216841540901E-3</v>
      </c>
      <c r="U329" s="1">
        <f t="shared" si="104"/>
        <v>10.485962655809375</v>
      </c>
      <c r="V329">
        <f t="shared" si="105"/>
        <v>7.7179151558495162E+20</v>
      </c>
      <c r="W329">
        <f t="shared" si="110"/>
        <v>2.0019735153978032E+16</v>
      </c>
      <c r="Y329">
        <f t="shared" si="111"/>
        <v>3.2249999999999752</v>
      </c>
      <c r="Z329">
        <f t="shared" si="106"/>
        <v>0</v>
      </c>
      <c r="AA329">
        <f t="shared" si="112"/>
        <v>0</v>
      </c>
      <c r="AB329">
        <f t="shared" si="113"/>
        <v>1.0000235668946658</v>
      </c>
      <c r="AC329" s="1">
        <f t="shared" si="107"/>
        <v>7.4493433161470389E-3</v>
      </c>
    </row>
    <row r="330" spans="9:29" x14ac:dyDescent="0.2">
      <c r="I330">
        <f t="shared" si="95"/>
        <v>3.234999999999975</v>
      </c>
      <c r="J330">
        <f t="shared" si="96"/>
        <v>2.5407126857110419E-3</v>
      </c>
      <c r="K330">
        <f t="shared" si="108"/>
        <v>1.2448506008030462E-3</v>
      </c>
      <c r="L330">
        <f t="shared" si="97"/>
        <v>2.0298107863856253E+18</v>
      </c>
      <c r="M330">
        <f t="shared" si="98"/>
        <v>1.3311067705813784</v>
      </c>
      <c r="N330">
        <f t="shared" si="99"/>
        <v>0</v>
      </c>
      <c r="O330">
        <f t="shared" si="100"/>
        <v>0</v>
      </c>
      <c r="P330">
        <f t="shared" si="101"/>
        <v>0</v>
      </c>
      <c r="R330">
        <f t="shared" si="102"/>
        <v>3.234999999999975</v>
      </c>
      <c r="S330">
        <f t="shared" si="103"/>
        <v>2.5407289012491828E-3</v>
      </c>
      <c r="T330">
        <f t="shared" si="109"/>
        <v>1.2384823796272649E-3</v>
      </c>
      <c r="U330" s="1">
        <f t="shared" si="104"/>
        <v>10.270845672294556</v>
      </c>
      <c r="V330">
        <f t="shared" si="105"/>
        <v>7.9891394166734127E+20</v>
      </c>
      <c r="W330">
        <f t="shared" si="110"/>
        <v>2.0298237412051176E+16</v>
      </c>
      <c r="Y330">
        <f t="shared" si="111"/>
        <v>3.234999999999975</v>
      </c>
      <c r="Z330">
        <f t="shared" si="106"/>
        <v>0</v>
      </c>
      <c r="AA330">
        <f t="shared" si="112"/>
        <v>0</v>
      </c>
      <c r="AB330">
        <f t="shared" si="113"/>
        <v>1.0000235668946658</v>
      </c>
      <c r="AC330" s="1">
        <f t="shared" si="107"/>
        <v>7.4493433161470389E-3</v>
      </c>
    </row>
    <row r="331" spans="9:29" x14ac:dyDescent="0.2">
      <c r="I331">
        <f t="shared" si="95"/>
        <v>3.2449999999999748</v>
      </c>
      <c r="J331">
        <f t="shared" si="96"/>
        <v>2.4886026314548063E-3</v>
      </c>
      <c r="K331">
        <f t="shared" si="108"/>
        <v>1.2194434739459358E-3</v>
      </c>
      <c r="L331">
        <f t="shared" si="97"/>
        <v>2.0580482672074947E+18</v>
      </c>
      <c r="M331">
        <f t="shared" si="98"/>
        <v>1.3039391742780928</v>
      </c>
      <c r="N331">
        <f t="shared" si="99"/>
        <v>0</v>
      </c>
      <c r="O331">
        <f t="shared" si="100"/>
        <v>0</v>
      </c>
      <c r="P331">
        <f t="shared" si="101"/>
        <v>0</v>
      </c>
      <c r="R331">
        <f t="shared" si="102"/>
        <v>3.2449999999999748</v>
      </c>
      <c r="S331">
        <f t="shared" si="103"/>
        <v>2.4886185144120231E-3</v>
      </c>
      <c r="T331">
        <f t="shared" si="109"/>
        <v>1.2130750906147732E-3</v>
      </c>
      <c r="U331" s="1">
        <f t="shared" si="104"/>
        <v>10.060140741250461</v>
      </c>
      <c r="V331">
        <f t="shared" si="105"/>
        <v>8.2698950856786051E+20</v>
      </c>
      <c r="W331">
        <f t="shared" si="110"/>
        <v>2.058061402246478E+16</v>
      </c>
      <c r="Y331">
        <f t="shared" si="111"/>
        <v>3.2449999999999748</v>
      </c>
      <c r="Z331">
        <f t="shared" si="106"/>
        <v>0</v>
      </c>
      <c r="AA331">
        <f t="shared" si="112"/>
        <v>0</v>
      </c>
      <c r="AB331">
        <f t="shared" si="113"/>
        <v>1.0000235668946658</v>
      </c>
      <c r="AC331" s="1">
        <f t="shared" si="107"/>
        <v>7.4493433161470389E-3</v>
      </c>
    </row>
    <row r="332" spans="9:29" x14ac:dyDescent="0.2">
      <c r="I332">
        <f t="shared" si="95"/>
        <v>3.2549999999999746</v>
      </c>
      <c r="J332">
        <f t="shared" si="96"/>
        <v>2.437561355171718E-3</v>
      </c>
      <c r="K332">
        <f t="shared" si="108"/>
        <v>1.1945574476313879E-3</v>
      </c>
      <c r="L332">
        <f t="shared" si="97"/>
        <v>2.0866785705173228E+18</v>
      </c>
      <c r="M332">
        <f t="shared" si="98"/>
        <v>1.2773287857713984</v>
      </c>
      <c r="N332">
        <f t="shared" si="99"/>
        <v>0</v>
      </c>
      <c r="O332">
        <f t="shared" si="100"/>
        <v>0</v>
      </c>
      <c r="P332">
        <f t="shared" si="101"/>
        <v>0</v>
      </c>
      <c r="R332">
        <f t="shared" si="102"/>
        <v>3.2549999999999746</v>
      </c>
      <c r="S332">
        <f t="shared" si="103"/>
        <v>2.4375769123692508E-3</v>
      </c>
      <c r="T332">
        <f t="shared" si="109"/>
        <v>1.1881889054706528E-3</v>
      </c>
      <c r="U332" s="1">
        <f t="shared" si="104"/>
        <v>9.8537573714165401</v>
      </c>
      <c r="V332">
        <f t="shared" si="105"/>
        <v>8.5605171172002077E+20</v>
      </c>
      <c r="W332">
        <f t="shared" si="110"/>
        <v>2.0866918882829004E+16</v>
      </c>
      <c r="Y332">
        <f t="shared" si="111"/>
        <v>3.2549999999999746</v>
      </c>
      <c r="Z332">
        <f t="shared" si="106"/>
        <v>0</v>
      </c>
      <c r="AA332">
        <f t="shared" si="112"/>
        <v>0</v>
      </c>
      <c r="AB332">
        <f t="shared" si="113"/>
        <v>1.0000235668946658</v>
      </c>
      <c r="AC332" s="1">
        <f t="shared" si="107"/>
        <v>7.4493433161470389E-3</v>
      </c>
    </row>
    <row r="333" spans="9:29" x14ac:dyDescent="0.2">
      <c r="I333">
        <f t="shared" si="95"/>
        <v>3.2649999999999744</v>
      </c>
      <c r="J333">
        <f t="shared" si="96"/>
        <v>2.3875669362099557E-3</v>
      </c>
      <c r="K333">
        <f t="shared" si="108"/>
        <v>1.1701818340796707E-3</v>
      </c>
      <c r="L333">
        <f t="shared" si="97"/>
        <v>2.115707161020268E+18</v>
      </c>
      <c r="M333">
        <f t="shared" si="98"/>
        <v>1.2512641767212562</v>
      </c>
      <c r="N333">
        <f t="shared" si="99"/>
        <v>0</v>
      </c>
      <c r="O333">
        <f t="shared" si="100"/>
        <v>0</v>
      </c>
      <c r="P333">
        <f t="shared" si="101"/>
        <v>0</v>
      </c>
      <c r="R333">
        <f t="shared" si="102"/>
        <v>3.2649999999999744</v>
      </c>
      <c r="S333">
        <f t="shared" si="103"/>
        <v>2.3875821743291402E-3</v>
      </c>
      <c r="T333">
        <f t="shared" si="109"/>
        <v>1.1638131363469603E-3</v>
      </c>
      <c r="U333" s="1">
        <f t="shared" si="104"/>
        <v>9.651606927509313</v>
      </c>
      <c r="V333">
        <f t="shared" si="105"/>
        <v>8.8613522365942949E+20</v>
      </c>
      <c r="W333">
        <f t="shared" si="110"/>
        <v>2.1157206640544196E+16</v>
      </c>
      <c r="Y333">
        <f t="shared" si="111"/>
        <v>3.2649999999999744</v>
      </c>
      <c r="Z333">
        <f t="shared" si="106"/>
        <v>0</v>
      </c>
      <c r="AA333">
        <f t="shared" si="112"/>
        <v>0</v>
      </c>
      <c r="AB333">
        <f t="shared" si="113"/>
        <v>1.0000235668946658</v>
      </c>
      <c r="AC333" s="1">
        <f t="shared" si="107"/>
        <v>7.4493433161470389E-3</v>
      </c>
    </row>
    <row r="334" spans="9:29" x14ac:dyDescent="0.2">
      <c r="I334">
        <f t="shared" si="95"/>
        <v>3.2749999999999742</v>
      </c>
      <c r="J334">
        <f t="shared" si="96"/>
        <v>2.3385979035105836E-3</v>
      </c>
      <c r="K334">
        <f t="shared" si="108"/>
        <v>1.1463061647175711E-3</v>
      </c>
      <c r="L334">
        <f t="shared" si="97"/>
        <v>2.1451395794430776E+18</v>
      </c>
      <c r="M334">
        <f t="shared" si="98"/>
        <v>1.225734153183049</v>
      </c>
      <c r="N334">
        <f t="shared" si="99"/>
        <v>0</v>
      </c>
      <c r="O334">
        <f t="shared" si="100"/>
        <v>0</v>
      </c>
      <c r="P334">
        <f t="shared" si="101"/>
        <v>0</v>
      </c>
      <c r="R334">
        <f t="shared" si="102"/>
        <v>3.2749999999999742</v>
      </c>
      <c r="S334">
        <f t="shared" si="103"/>
        <v>2.3386128290957208E-3</v>
      </c>
      <c r="T334">
        <f t="shared" si="109"/>
        <v>1.1399373146036688E-3</v>
      </c>
      <c r="U334" s="1">
        <f t="shared" si="104"/>
        <v>9.4536025921562636</v>
      </c>
      <c r="V334">
        <f t="shared" si="105"/>
        <v>9.1727593538970675E+20</v>
      </c>
      <c r="W334">
        <f t="shared" si="110"/>
        <v>2.1451532703231456E+16</v>
      </c>
      <c r="Y334">
        <f t="shared" si="111"/>
        <v>3.2749999999999742</v>
      </c>
      <c r="Z334">
        <f t="shared" si="106"/>
        <v>0</v>
      </c>
      <c r="AA334">
        <f t="shared" si="112"/>
        <v>0</v>
      </c>
      <c r="AB334">
        <f t="shared" si="113"/>
        <v>1.0000235668946658</v>
      </c>
      <c r="AC334" s="1">
        <f t="shared" si="107"/>
        <v>7.4493433161470389E-3</v>
      </c>
    </row>
    <row r="335" spans="9:29" x14ac:dyDescent="0.2">
      <c r="I335">
        <f t="shared" si="95"/>
        <v>3.2849999999999739</v>
      </c>
      <c r="J335">
        <f t="shared" si="96"/>
        <v>2.2906332263863951E-3</v>
      </c>
      <c r="K335">
        <f t="shared" si="108"/>
        <v>1.1229201856824652E-3</v>
      </c>
      <c r="L335">
        <f t="shared" si="97"/>
        <v>2.1749814435917281E+18</v>
      </c>
      <c r="M335">
        <f t="shared" si="98"/>
        <v>1.2007277508001266</v>
      </c>
      <c r="N335">
        <f t="shared" si="99"/>
        <v>0</v>
      </c>
      <c r="O335">
        <f t="shared" si="100"/>
        <v>0</v>
      </c>
      <c r="P335">
        <f t="shared" si="101"/>
        <v>0</v>
      </c>
      <c r="R335">
        <f t="shared" si="102"/>
        <v>3.2849999999999739</v>
      </c>
      <c r="S335">
        <f t="shared" si="103"/>
        <v>2.2906478458475637E-3</v>
      </c>
      <c r="T335">
        <f t="shared" si="109"/>
        <v>1.1165511863127115E-3</v>
      </c>
      <c r="U335" s="1">
        <f t="shared" si="104"/>
        <v>9.2596593286104447</v>
      </c>
      <c r="V335">
        <f t="shared" si="105"/>
        <v>9.4951099920212269E+20</v>
      </c>
      <c r="W335">
        <f t="shared" si="110"/>
        <v>2.1749953249309104E+16</v>
      </c>
      <c r="Y335">
        <f t="shared" si="111"/>
        <v>3.2849999999999739</v>
      </c>
      <c r="Z335">
        <f t="shared" si="106"/>
        <v>0</v>
      </c>
      <c r="AA335">
        <f t="shared" si="112"/>
        <v>0</v>
      </c>
      <c r="AB335">
        <f t="shared" si="113"/>
        <v>1.0000235668946658</v>
      </c>
      <c r="AC335" s="1">
        <f t="shared" si="107"/>
        <v>7.4493433161470389E-3</v>
      </c>
    </row>
    <row r="336" spans="9:29" x14ac:dyDescent="0.2">
      <c r="I336">
        <f t="shared" si="95"/>
        <v>3.2949999999999737</v>
      </c>
      <c r="J336">
        <f t="shared" si="96"/>
        <v>2.243652305489893E-3</v>
      </c>
      <c r="K336">
        <f t="shared" si="108"/>
        <v>1.1000138534186011E-3</v>
      </c>
      <c r="L336">
        <f t="shared" si="97"/>
        <v>2.2052384494236383E+18</v>
      </c>
      <c r="M336">
        <f t="shared" si="98"/>
        <v>1.176234230094954</v>
      </c>
      <c r="N336">
        <f t="shared" si="99"/>
        <v>0</v>
      </c>
      <c r="O336">
        <f t="shared" si="100"/>
        <v>0</v>
      </c>
      <c r="P336">
        <f t="shared" si="101"/>
        <v>0</v>
      </c>
      <c r="R336">
        <f t="shared" si="102"/>
        <v>3.2949999999999737</v>
      </c>
      <c r="S336">
        <f t="shared" si="103"/>
        <v>2.2436666251056995E-3</v>
      </c>
      <c r="T336">
        <f t="shared" si="109"/>
        <v>1.0936447078542359E-3</v>
      </c>
      <c r="U336" s="1">
        <f t="shared" si="104"/>
        <v>9.0696938442298354</v>
      </c>
      <c r="V336">
        <f t="shared" si="105"/>
        <v>9.8287887299994675E+20</v>
      </c>
      <c r="W336">
        <f t="shared" si="110"/>
        <v>2.205252523871484E+16</v>
      </c>
      <c r="Y336">
        <f t="shared" si="111"/>
        <v>3.2949999999999737</v>
      </c>
      <c r="Z336">
        <f t="shared" si="106"/>
        <v>0</v>
      </c>
      <c r="AA336">
        <f t="shared" si="112"/>
        <v>0</v>
      </c>
      <c r="AB336">
        <f t="shared" si="113"/>
        <v>1.0000235668946658</v>
      </c>
      <c r="AC336" s="1">
        <f t="shared" si="107"/>
        <v>7.4493433161470389E-3</v>
      </c>
    </row>
    <row r="337" spans="9:29" x14ac:dyDescent="0.2">
      <c r="I337">
        <f t="shared" si="95"/>
        <v>3.3049999999999735</v>
      </c>
      <c r="J337">
        <f t="shared" si="96"/>
        <v>2.1976349639664882E-3</v>
      </c>
      <c r="K337">
        <f t="shared" si="108"/>
        <v>1.0775773303637022E-3</v>
      </c>
      <c r="L337">
        <f t="shared" si="97"/>
        <v>2.2359163721349263E+18</v>
      </c>
      <c r="M337">
        <f t="shared" si="98"/>
        <v>1.1522430718568368</v>
      </c>
      <c r="N337">
        <f t="shared" si="99"/>
        <v>0</v>
      </c>
      <c r="O337">
        <f t="shared" si="100"/>
        <v>0</v>
      </c>
      <c r="P337">
        <f t="shared" si="101"/>
        <v>0</v>
      </c>
      <c r="R337">
        <f t="shared" si="102"/>
        <v>3.3049999999999735</v>
      </c>
      <c r="S337">
        <f t="shared" si="103"/>
        <v>2.1976489898867654E-3</v>
      </c>
      <c r="T337">
        <f t="shared" si="109"/>
        <v>1.0712080416031789E-3</v>
      </c>
      <c r="U337" s="1">
        <f t="shared" si="104"/>
        <v>8.8836245547057153</v>
      </c>
      <c r="V337">
        <f t="shared" si="105"/>
        <v>1.0174193661805164E+21</v>
      </c>
      <c r="W337">
        <f t="shared" si="110"/>
        <v>2.2359306423778452E+16</v>
      </c>
      <c r="Y337">
        <f t="shared" si="111"/>
        <v>3.3049999999999735</v>
      </c>
      <c r="Z337">
        <f t="shared" si="106"/>
        <v>0</v>
      </c>
      <c r="AA337">
        <f t="shared" si="112"/>
        <v>0</v>
      </c>
      <c r="AB337">
        <f t="shared" si="113"/>
        <v>1.0000235668946658</v>
      </c>
      <c r="AC337" s="1">
        <f t="shared" si="107"/>
        <v>7.4493433161470389E-3</v>
      </c>
    </row>
    <row r="338" spans="9:29" x14ac:dyDescent="0.2">
      <c r="I338">
        <f t="shared" si="95"/>
        <v>3.3149999999999733</v>
      </c>
      <c r="J338">
        <f t="shared" si="96"/>
        <v>2.1525614387891833E-3</v>
      </c>
      <c r="K338">
        <f t="shared" si="108"/>
        <v>1.0556009807240374E-3</v>
      </c>
      <c r="L338">
        <f t="shared" si="97"/>
        <v>2.2670210672626693E+18</v>
      </c>
      <c r="M338">
        <f t="shared" si="98"/>
        <v>1.1287439726242456</v>
      </c>
      <c r="N338">
        <f t="shared" si="99"/>
        <v>0</v>
      </c>
      <c r="O338">
        <f t="shared" si="100"/>
        <v>0</v>
      </c>
      <c r="P338">
        <f t="shared" si="101"/>
        <v>0</v>
      </c>
      <c r="R338">
        <f t="shared" si="102"/>
        <v>3.3149999999999733</v>
      </c>
      <c r="S338">
        <f t="shared" si="103"/>
        <v>2.1525751770376314E-3</v>
      </c>
      <c r="T338">
        <f t="shared" si="109"/>
        <v>1.0492315517043112E-3</v>
      </c>
      <c r="U338" s="1">
        <f t="shared" si="104"/>
        <v>8.7013715490247279</v>
      </c>
      <c r="V338">
        <f t="shared" si="105"/>
        <v>1.0531736871296318E+21</v>
      </c>
      <c r="W338">
        <f t="shared" si="110"/>
        <v>2.267035536024442E+16</v>
      </c>
      <c r="Y338">
        <f t="shared" si="111"/>
        <v>3.3149999999999733</v>
      </c>
      <c r="Z338">
        <f t="shared" si="106"/>
        <v>0</v>
      </c>
      <c r="AA338">
        <f t="shared" si="112"/>
        <v>0</v>
      </c>
      <c r="AB338">
        <f t="shared" si="113"/>
        <v>1.0000235668946658</v>
      </c>
      <c r="AC338" s="1">
        <f t="shared" si="107"/>
        <v>7.4493433161470389E-3</v>
      </c>
    </row>
    <row r="339" spans="9:29" x14ac:dyDescent="0.2">
      <c r="I339">
        <f t="shared" si="95"/>
        <v>3.3249999999999731</v>
      </c>
      <c r="J339">
        <f t="shared" si="96"/>
        <v>2.1084123722709476E-3</v>
      </c>
      <c r="K339">
        <f t="shared" si="108"/>
        <v>1.0340753663361456E-3</v>
      </c>
      <c r="L339">
        <f t="shared" si="97"/>
        <v>2.2985584718025252E+18</v>
      </c>
      <c r="M339">
        <f t="shared" si="98"/>
        <v>1.1057268402597973</v>
      </c>
      <c r="N339">
        <f t="shared" si="99"/>
        <v>0</v>
      </c>
      <c r="O339">
        <f t="shared" si="100"/>
        <v>0</v>
      </c>
      <c r="P339">
        <f t="shared" si="101"/>
        <v>0</v>
      </c>
      <c r="R339">
        <f t="shared" si="102"/>
        <v>3.3249999999999731</v>
      </c>
      <c r="S339">
        <f t="shared" si="103"/>
        <v>2.1084258287477195E-3</v>
      </c>
      <c r="T339">
        <f t="shared" si="109"/>
        <v>1.0277057999339349E-3</v>
      </c>
      <c r="U339" s="1">
        <f t="shared" si="104"/>
        <v>8.5228565551495681</v>
      </c>
      <c r="V339">
        <f t="shared" si="105"/>
        <v>1.0901844923850325E+21</v>
      </c>
      <c r="W339">
        <f t="shared" si="110"/>
        <v>2.298573141844824E+16</v>
      </c>
      <c r="Y339">
        <f t="shared" si="111"/>
        <v>3.3249999999999731</v>
      </c>
      <c r="Z339">
        <f t="shared" si="106"/>
        <v>0</v>
      </c>
      <c r="AA339">
        <f t="shared" si="112"/>
        <v>0</v>
      </c>
      <c r="AB339">
        <f t="shared" si="113"/>
        <v>1.0000235668946658</v>
      </c>
      <c r="AC339" s="1">
        <f t="shared" si="107"/>
        <v>7.4493433161470389E-3</v>
      </c>
    </row>
    <row r="340" spans="9:29" x14ac:dyDescent="0.2">
      <c r="I340">
        <f t="shared" si="95"/>
        <v>3.3349999999999729</v>
      </c>
      <c r="J340">
        <f t="shared" si="96"/>
        <v>2.0651688037511902E-3</v>
      </c>
      <c r="K340">
        <f t="shared" si="108"/>
        <v>1.0129912426134363E-3</v>
      </c>
      <c r="L340">
        <f t="shared" si="97"/>
        <v>2.3305346053420815E+18</v>
      </c>
      <c r="M340">
        <f t="shared" si="98"/>
        <v>1.0831817896159939</v>
      </c>
      <c r="N340">
        <f t="shared" si="99"/>
        <v>0</v>
      </c>
      <c r="O340">
        <f t="shared" si="100"/>
        <v>0</v>
      </c>
      <c r="P340">
        <f t="shared" si="101"/>
        <v>0</v>
      </c>
      <c r="R340">
        <f t="shared" si="102"/>
        <v>3.3349999999999729</v>
      </c>
      <c r="S340">
        <f t="shared" si="103"/>
        <v>2.0651819842354272E-3</v>
      </c>
      <c r="T340">
        <f t="shared" si="109"/>
        <v>1.0066215416464578E-3</v>
      </c>
      <c r="U340" s="1">
        <f t="shared" si="104"/>
        <v>8.3480029064035524</v>
      </c>
      <c r="V340">
        <f t="shared" si="105"/>
        <v>1.128495937527663E+21</v>
      </c>
      <c r="W340">
        <f t="shared" si="110"/>
        <v>2.330549479464998E+16</v>
      </c>
      <c r="Y340">
        <f t="shared" si="111"/>
        <v>3.3349999999999729</v>
      </c>
      <c r="Z340">
        <f t="shared" si="106"/>
        <v>0</v>
      </c>
      <c r="AA340">
        <f t="shared" si="112"/>
        <v>0</v>
      </c>
      <c r="AB340">
        <f t="shared" si="113"/>
        <v>1.0000235668946658</v>
      </c>
      <c r="AC340" s="1">
        <f t="shared" si="107"/>
        <v>7.4493433161470389E-3</v>
      </c>
    </row>
    <row r="341" spans="9:29" x14ac:dyDescent="0.2">
      <c r="I341">
        <f t="shared" si="95"/>
        <v>3.3449999999999727</v>
      </c>
      <c r="J341">
        <f t="shared" si="96"/>
        <v>2.0228121614527549E-3</v>
      </c>
      <c r="K341">
        <f t="shared" si="108"/>
        <v>9.9233955457592431E-4</v>
      </c>
      <c r="L341">
        <f t="shared" si="97"/>
        <v>2.3629555712096768E+18</v>
      </c>
      <c r="M341">
        <f t="shared" si="98"/>
        <v>1.0610991382898562</v>
      </c>
      <c r="N341">
        <f t="shared" si="99"/>
        <v>0</v>
      </c>
      <c r="O341">
        <f t="shared" si="100"/>
        <v>0</v>
      </c>
      <c r="P341">
        <f t="shared" si="101"/>
        <v>0</v>
      </c>
      <c r="R341">
        <f t="shared" si="102"/>
        <v>3.3449999999999727</v>
      </c>
      <c r="S341">
        <f t="shared" si="103"/>
        <v>2.0228250716050676E-3</v>
      </c>
      <c r="T341">
        <f t="shared" si="109"/>
        <v>9.8596972180410363E-4</v>
      </c>
      <c r="U341" s="1">
        <f t="shared" si="104"/>
        <v>8.1767355085446596</v>
      </c>
      <c r="V341">
        <f t="shared" si="105"/>
        <v>1.1681537298612223E+21</v>
      </c>
      <c r="W341">
        <f t="shared" si="110"/>
        <v>2.3629706522522536E+16</v>
      </c>
      <c r="Y341">
        <f t="shared" si="111"/>
        <v>3.3449999999999727</v>
      </c>
      <c r="Z341">
        <f t="shared" si="106"/>
        <v>0</v>
      </c>
      <c r="AA341">
        <f t="shared" si="112"/>
        <v>0</v>
      </c>
      <c r="AB341">
        <f t="shared" si="113"/>
        <v>1.0000235668946658</v>
      </c>
      <c r="AC341" s="1">
        <f t="shared" si="107"/>
        <v>7.4493433161470389E-3</v>
      </c>
    </row>
    <row r="342" spans="9:29" x14ac:dyDescent="0.2">
      <c r="I342">
        <f t="shared" si="95"/>
        <v>3.3549999999999724</v>
      </c>
      <c r="J342">
        <f t="shared" si="96"/>
        <v>1.9813242545058973E-3</v>
      </c>
      <c r="K342">
        <f t="shared" si="108"/>
        <v>9.7211143296139677E-4</v>
      </c>
      <c r="L342">
        <f t="shared" si="97"/>
        <v>2.3958275576394097E+18</v>
      </c>
      <c r="M342">
        <f t="shared" si="98"/>
        <v>1.0394694024646323</v>
      </c>
      <c r="N342">
        <f t="shared" si="99"/>
        <v>0</v>
      </c>
      <c r="O342">
        <f t="shared" si="100"/>
        <v>0</v>
      </c>
      <c r="P342">
        <f t="shared" si="101"/>
        <v>0</v>
      </c>
      <c r="R342">
        <f t="shared" si="102"/>
        <v>3.3549999999999724</v>
      </c>
      <c r="S342">
        <f t="shared" si="103"/>
        <v>1.9813368998707979E-3</v>
      </c>
      <c r="T342">
        <f t="shared" si="109"/>
        <v>9.65741471088053E-4</v>
      </c>
      <c r="U342" s="1">
        <f t="shared" si="104"/>
        <v>8.0089808075148667</v>
      </c>
      <c r="V342">
        <f t="shared" si="105"/>
        <v>1.2092051829431025E+21</v>
      </c>
      <c r="W342">
        <f t="shared" si="110"/>
        <v>2.395842848480188E+16</v>
      </c>
      <c r="Y342">
        <f t="shared" si="111"/>
        <v>3.3549999999999724</v>
      </c>
      <c r="Z342">
        <f t="shared" si="106"/>
        <v>0</v>
      </c>
      <c r="AA342">
        <f t="shared" si="112"/>
        <v>0</v>
      </c>
      <c r="AB342">
        <f t="shared" si="113"/>
        <v>1.0000235668946658</v>
      </c>
      <c r="AC342" s="1">
        <f t="shared" si="107"/>
        <v>7.4493433161470389E-3</v>
      </c>
    </row>
    <row r="343" spans="9:29" x14ac:dyDescent="0.2">
      <c r="I343">
        <f t="shared" si="95"/>
        <v>3.3649999999999722</v>
      </c>
      <c r="J343">
        <f t="shared" si="96"/>
        <v>1.9406872651358839E-3</v>
      </c>
      <c r="K343">
        <f t="shared" si="108"/>
        <v>9.5229819041633783E-4</v>
      </c>
      <c r="L343">
        <f t="shared" si="97"/>
        <v>2.4291568389522995E+18</v>
      </c>
      <c r="M343">
        <f t="shared" si="98"/>
        <v>1.0182832928367898</v>
      </c>
      <c r="N343">
        <f t="shared" si="99"/>
        <v>0</v>
      </c>
      <c r="O343">
        <f t="shared" si="100"/>
        <v>0</v>
      </c>
      <c r="P343">
        <f t="shared" si="101"/>
        <v>0</v>
      </c>
      <c r="R343">
        <f t="shared" si="102"/>
        <v>3.3649999999999722</v>
      </c>
      <c r="S343">
        <f t="shared" si="103"/>
        <v>1.9406996511441659E-3</v>
      </c>
      <c r="T343">
        <f t="shared" si="109"/>
        <v>9.4592810208934508E-4</v>
      </c>
      <c r="U343" s="1">
        <f t="shared" si="104"/>
        <v>7.8446667578509555</v>
      </c>
      <c r="V343">
        <f t="shared" si="105"/>
        <v>1.2516992730316153E+21</v>
      </c>
      <c r="W343">
        <f t="shared" si="110"/>
        <v>2.429172342509862E+16</v>
      </c>
      <c r="Y343">
        <f t="shared" si="111"/>
        <v>3.3649999999999722</v>
      </c>
      <c r="Z343">
        <f t="shared" si="106"/>
        <v>0</v>
      </c>
      <c r="AA343">
        <f t="shared" si="112"/>
        <v>0</v>
      </c>
      <c r="AB343">
        <f t="shared" si="113"/>
        <v>1.0000235668946658</v>
      </c>
      <c r="AC343" s="1">
        <f t="shared" si="107"/>
        <v>7.4493433161470389E-3</v>
      </c>
    </row>
    <row r="344" spans="9:29" x14ac:dyDescent="0.2">
      <c r="I344">
        <f t="shared" si="95"/>
        <v>3.374999999999972</v>
      </c>
      <c r="J344">
        <f t="shared" si="96"/>
        <v>1.9008837410107963E-3</v>
      </c>
      <c r="K344">
        <f t="shared" si="108"/>
        <v>9.3289131776497897E-4</v>
      </c>
      <c r="L344">
        <f t="shared" si="97"/>
        <v>2.4629497767538417E+18</v>
      </c>
      <c r="M344">
        <f t="shared" si="98"/>
        <v>0.99753171062654722</v>
      </c>
      <c r="N344">
        <f t="shared" si="99"/>
        <v>0</v>
      </c>
      <c r="O344">
        <f t="shared" si="100"/>
        <v>0</v>
      </c>
      <c r="P344">
        <f t="shared" si="101"/>
        <v>0</v>
      </c>
      <c r="R344">
        <f t="shared" si="102"/>
        <v>3.374999999999972</v>
      </c>
      <c r="S344">
        <f t="shared" si="103"/>
        <v>1.9008958729818677E-3</v>
      </c>
      <c r="T344">
        <f t="shared" si="109"/>
        <v>9.2652110557790344E-4</v>
      </c>
      <c r="U344" s="1">
        <f t="shared" si="104"/>
        <v>7.6837227917432047</v>
      </c>
      <c r="V344">
        <f t="shared" si="105"/>
        <v>1.2956866975168964E+21</v>
      </c>
      <c r="W344">
        <f t="shared" si="110"/>
        <v>2.4629654959873736E+16</v>
      </c>
      <c r="Y344">
        <f t="shared" si="111"/>
        <v>3.374999999999972</v>
      </c>
      <c r="Z344">
        <f t="shared" si="106"/>
        <v>0</v>
      </c>
      <c r="AA344">
        <f t="shared" si="112"/>
        <v>0</v>
      </c>
      <c r="AB344">
        <f t="shared" si="113"/>
        <v>1.0000235668946658</v>
      </c>
      <c r="AC344" s="1">
        <f t="shared" si="107"/>
        <v>7.4493433161470389E-3</v>
      </c>
    </row>
    <row r="345" spans="9:29" x14ac:dyDescent="0.2">
      <c r="I345">
        <f t="shared" si="95"/>
        <v>3.3849999999999718</v>
      </c>
      <c r="J345">
        <f t="shared" si="96"/>
        <v>1.8618965877462976E-3</v>
      </c>
      <c r="K345">
        <f t="shared" si="108"/>
        <v>9.1388248035487098E-4</v>
      </c>
      <c r="L345">
        <f t="shared" si="97"/>
        <v>2.49721282114835E+18</v>
      </c>
      <c r="M345">
        <f t="shared" si="98"/>
        <v>0.97720574367022917</v>
      </c>
      <c r="N345">
        <f t="shared" si="99"/>
        <v>0</v>
      </c>
      <c r="O345">
        <f t="shared" si="100"/>
        <v>0</v>
      </c>
      <c r="P345">
        <f t="shared" si="101"/>
        <v>0</v>
      </c>
      <c r="R345">
        <f t="shared" si="102"/>
        <v>3.3849999999999718</v>
      </c>
      <c r="S345">
        <f t="shared" si="103"/>
        <v>1.8619084708904653E-3</v>
      </c>
      <c r="T345">
        <f t="shared" si="109"/>
        <v>9.0751214684808477E-4</v>
      </c>
      <c r="U345" s="1">
        <f t="shared" si="104"/>
        <v>7.5260797887287074</v>
      </c>
      <c r="V345">
        <f t="shared" si="105"/>
        <v>1.3412199354052528E+21</v>
      </c>
      <c r="W345">
        <f t="shared" si="110"/>
        <v>2.4972287590582032E+16</v>
      </c>
      <c r="Y345">
        <f t="shared" si="111"/>
        <v>3.3849999999999718</v>
      </c>
      <c r="Z345">
        <f t="shared" si="106"/>
        <v>0</v>
      </c>
      <c r="AA345">
        <f t="shared" si="112"/>
        <v>0</v>
      </c>
      <c r="AB345">
        <f t="shared" si="113"/>
        <v>1.0000235668946658</v>
      </c>
      <c r="AC345" s="1">
        <f t="shared" si="107"/>
        <v>7.4493433161470389E-3</v>
      </c>
    </row>
    <row r="346" spans="9:29" x14ac:dyDescent="0.2">
      <c r="I346">
        <f t="shared" si="95"/>
        <v>3.3949999999999716</v>
      </c>
      <c r="J346">
        <f t="shared" si="96"/>
        <v>1.823709061564129E-3</v>
      </c>
      <c r="K346">
        <f t="shared" si="108"/>
        <v>8.9526351447740803E-4</v>
      </c>
      <c r="L346">
        <f t="shared" si="97"/>
        <v>2.5319525119699282E+18</v>
      </c>
      <c r="M346">
        <f t="shared" si="98"/>
        <v>0.95729666259276769</v>
      </c>
      <c r="N346">
        <f t="shared" si="99"/>
        <v>0</v>
      </c>
      <c r="O346">
        <f t="shared" si="100"/>
        <v>0</v>
      </c>
      <c r="P346">
        <f t="shared" si="101"/>
        <v>0</v>
      </c>
      <c r="R346">
        <f t="shared" si="102"/>
        <v>3.3949999999999716</v>
      </c>
      <c r="S346">
        <f t="shared" si="103"/>
        <v>1.8237207009848362E-3</v>
      </c>
      <c r="T346">
        <f t="shared" si="109"/>
        <v>8.8889306213918006E-4</v>
      </c>
      <c r="U346" s="1">
        <f t="shared" si="104"/>
        <v>7.371670046006253</v>
      </c>
      <c r="V346">
        <f t="shared" si="105"/>
        <v>1.3883533099289228E+21</v>
      </c>
      <c r="W346">
        <f t="shared" si="110"/>
        <v>2.5319686715981928E+16</v>
      </c>
      <c r="Y346">
        <f t="shared" si="111"/>
        <v>3.3949999999999716</v>
      </c>
      <c r="Z346">
        <f t="shared" si="106"/>
        <v>0</v>
      </c>
      <c r="AA346">
        <f t="shared" si="112"/>
        <v>0</v>
      </c>
      <c r="AB346">
        <f t="shared" si="113"/>
        <v>1.0000235668946658</v>
      </c>
      <c r="AC346" s="1">
        <f t="shared" si="107"/>
        <v>7.4493433161470389E-3</v>
      </c>
    </row>
    <row r="347" spans="9:29" x14ac:dyDescent="0.2">
      <c r="I347">
        <f t="shared" si="95"/>
        <v>3.4049999999999714</v>
      </c>
      <c r="J347">
        <f t="shared" si="96"/>
        <v>1.7863047621011602E-3</v>
      </c>
      <c r="K347">
        <f t="shared" si="108"/>
        <v>8.7702642386176669E-4</v>
      </c>
      <c r="L347">
        <f t="shared" si="97"/>
        <v>2.5671754800308772E+18</v>
      </c>
      <c r="M347">
        <f t="shared" si="98"/>
        <v>0.93779591705870402</v>
      </c>
      <c r="N347">
        <f t="shared" si="99"/>
        <v>0</v>
      </c>
      <c r="O347">
        <f t="shared" si="100"/>
        <v>0</v>
      </c>
      <c r="P347">
        <f t="shared" si="101"/>
        <v>0</v>
      </c>
      <c r="R347">
        <f t="shared" si="102"/>
        <v>3.4049999999999714</v>
      </c>
      <c r="S347">
        <f t="shared" si="103"/>
        <v>1.7863161627971792E-3</v>
      </c>
      <c r="T347">
        <f t="shared" si="109"/>
        <v>8.7065585512933173E-4</v>
      </c>
      <c r="U347" s="1">
        <f t="shared" si="104"/>
        <v>7.2204272493600756</v>
      </c>
      <c r="V347">
        <f t="shared" si="105"/>
        <v>1.4371430533562533E+21</v>
      </c>
      <c r="W347">
        <f t="shared" si="110"/>
        <v>2.5671918644619644E+16</v>
      </c>
      <c r="Y347">
        <f t="shared" si="111"/>
        <v>3.4049999999999714</v>
      </c>
      <c r="Z347">
        <f t="shared" si="106"/>
        <v>0</v>
      </c>
      <c r="AA347">
        <f t="shared" si="112"/>
        <v>0</v>
      </c>
      <c r="AB347">
        <f t="shared" si="113"/>
        <v>1.0000235668946658</v>
      </c>
      <c r="AC347" s="1">
        <f t="shared" si="107"/>
        <v>7.4493433161470389E-3</v>
      </c>
    </row>
    <row r="348" spans="9:29" x14ac:dyDescent="0.2">
      <c r="I348">
        <f t="shared" si="95"/>
        <v>3.4149999999999712</v>
      </c>
      <c r="J348">
        <f t="shared" si="96"/>
        <v>1.7496676253659562E-3</v>
      </c>
      <c r="K348">
        <f t="shared" si="108"/>
        <v>8.5916337624075505E-4</v>
      </c>
      <c r="L348">
        <f t="shared" si="97"/>
        <v>2.6028884483873336E+18</v>
      </c>
      <c r="M348">
        <f t="shared" si="98"/>
        <v>0.91869513210008547</v>
      </c>
      <c r="N348">
        <f t="shared" si="99"/>
        <v>0</v>
      </c>
      <c r="O348">
        <f t="shared" si="100"/>
        <v>0</v>
      </c>
      <c r="P348">
        <f t="shared" si="101"/>
        <v>0</v>
      </c>
      <c r="R348">
        <f t="shared" si="102"/>
        <v>3.4149999999999712</v>
      </c>
      <c r="S348">
        <f t="shared" si="103"/>
        <v>1.7496787922335333E-3</v>
      </c>
      <c r="T348">
        <f t="shared" si="109"/>
        <v>8.5279269350135997E-4</v>
      </c>
      <c r="U348" s="1">
        <f t="shared" si="104"/>
        <v>7.0722864446799401</v>
      </c>
      <c r="V348">
        <f t="shared" si="105"/>
        <v>1.4876473740793597E+21</v>
      </c>
      <c r="W348">
        <f t="shared" si="110"/>
        <v>2.6029050607485616E+16</v>
      </c>
      <c r="Y348">
        <f t="shared" si="111"/>
        <v>3.4149999999999712</v>
      </c>
      <c r="Z348">
        <f t="shared" si="106"/>
        <v>0</v>
      </c>
      <c r="AA348">
        <f t="shared" si="112"/>
        <v>0</v>
      </c>
      <c r="AB348">
        <f t="shared" si="113"/>
        <v>1.0000235668946658</v>
      </c>
      <c r="AC348" s="1">
        <f t="shared" si="107"/>
        <v>7.4493433161470389E-3</v>
      </c>
    </row>
    <row r="349" spans="9:29" x14ac:dyDescent="0.2">
      <c r="I349">
        <f t="shared" si="95"/>
        <v>3.424999999999971</v>
      </c>
      <c r="J349">
        <f t="shared" si="96"/>
        <v>1.7137819168397746E-3</v>
      </c>
      <c r="K349">
        <f t="shared" si="108"/>
        <v>8.4166669998709544E-4</v>
      </c>
      <c r="L349">
        <f t="shared" si="97"/>
        <v>2.6390982336223985E+18</v>
      </c>
      <c r="M349">
        <f t="shared" si="98"/>
        <v>0.89998610451967342</v>
      </c>
      <c r="N349">
        <f t="shared" si="99"/>
        <v>0</v>
      </c>
      <c r="O349">
        <f t="shared" si="100"/>
        <v>0</v>
      </c>
      <c r="P349">
        <f t="shared" si="101"/>
        <v>0</v>
      </c>
      <c r="R349">
        <f t="shared" si="102"/>
        <v>3.424999999999971</v>
      </c>
      <c r="S349">
        <f t="shared" si="103"/>
        <v>1.7137928546747349E-3</v>
      </c>
      <c r="T349">
        <f t="shared" si="109"/>
        <v>8.3529590557902464E-4</v>
      </c>
      <c r="U349" s="1">
        <f t="shared" si="104"/>
        <v>6.9271840100653606</v>
      </c>
      <c r="V349">
        <f t="shared" si="105"/>
        <v>1.5399265260593446E+21</v>
      </c>
      <c r="W349">
        <f t="shared" si="110"/>
        <v>2.6391150770845916E+16</v>
      </c>
      <c r="Y349">
        <f t="shared" si="111"/>
        <v>3.424999999999971</v>
      </c>
      <c r="Z349">
        <f t="shared" si="106"/>
        <v>0</v>
      </c>
      <c r="AA349">
        <f t="shared" si="112"/>
        <v>0</v>
      </c>
      <c r="AB349">
        <f t="shared" si="113"/>
        <v>1.0000235668946658</v>
      </c>
      <c r="AC349" s="1">
        <f t="shared" si="107"/>
        <v>7.4493433161470389E-3</v>
      </c>
    </row>
    <row r="350" spans="9:29" x14ac:dyDescent="0.2">
      <c r="I350">
        <f t="shared" si="95"/>
        <v>3.4349999999999707</v>
      </c>
      <c r="J350">
        <f t="shared" si="96"/>
        <v>1.6786322247190825E-3</v>
      </c>
      <c r="K350">
        <f t="shared" si="108"/>
        <v>8.2452888081869765E-4</v>
      </c>
      <c r="L350">
        <f t="shared" si="97"/>
        <v>2.675811747147327E+18</v>
      </c>
      <c r="M350">
        <f t="shared" si="98"/>
        <v>0.88166079936792452</v>
      </c>
      <c r="N350">
        <f t="shared" si="99"/>
        <v>0</v>
      </c>
      <c r="O350">
        <f t="shared" si="100"/>
        <v>0</v>
      </c>
      <c r="P350">
        <f t="shared" si="101"/>
        <v>0</v>
      </c>
      <c r="R350">
        <f t="shared" si="102"/>
        <v>3.4349999999999707</v>
      </c>
      <c r="S350">
        <f t="shared" si="103"/>
        <v>1.6786429382188882E-3</v>
      </c>
      <c r="T350">
        <f t="shared" si="109"/>
        <v>8.1815797703227726E-4</v>
      </c>
      <c r="U350" s="1">
        <f t="shared" si="104"/>
        <v>6.7850576285019599</v>
      </c>
      <c r="V350">
        <f t="shared" si="105"/>
        <v>1.5940428807120759E+21</v>
      </c>
      <c r="W350">
        <f t="shared" si="110"/>
        <v>2.6758288249254196E+16</v>
      </c>
      <c r="Y350">
        <f t="shared" si="111"/>
        <v>3.4349999999999707</v>
      </c>
      <c r="Z350">
        <f t="shared" si="106"/>
        <v>0</v>
      </c>
      <c r="AA350">
        <f t="shared" si="112"/>
        <v>0</v>
      </c>
      <c r="AB350">
        <f t="shared" si="113"/>
        <v>1.0000235668946658</v>
      </c>
      <c r="AC350" s="1">
        <f t="shared" si="107"/>
        <v>7.4493433161470389E-3</v>
      </c>
    </row>
    <row r="351" spans="9:29" x14ac:dyDescent="0.2">
      <c r="I351">
        <f t="shared" si="95"/>
        <v>3.4449999999999705</v>
      </c>
      <c r="J351">
        <f t="shared" si="96"/>
        <v>1.6442034532966672E-3</v>
      </c>
      <c r="K351">
        <f t="shared" si="108"/>
        <v>8.0774255857150683E-4</v>
      </c>
      <c r="L351">
        <f t="shared" si="97"/>
        <v>2.7130359965206333E+18</v>
      </c>
      <c r="M351">
        <f t="shared" si="98"/>
        <v>0.86371134649222825</v>
      </c>
      <c r="N351">
        <f t="shared" si="99"/>
        <v>0</v>
      </c>
      <c r="O351">
        <f t="shared" si="100"/>
        <v>0</v>
      </c>
      <c r="P351">
        <f t="shared" si="101"/>
        <v>0</v>
      </c>
      <c r="R351">
        <f t="shared" si="102"/>
        <v>3.4449999999999705</v>
      </c>
      <c r="S351">
        <f t="shared" si="103"/>
        <v>1.6442139470624355E-3</v>
      </c>
      <c r="T351">
        <f t="shared" si="109"/>
        <v>8.0137154765008841E-4</v>
      </c>
      <c r="U351" s="1">
        <f t="shared" si="104"/>
        <v>6.6458462610982325</v>
      </c>
      <c r="V351">
        <f t="shared" si="105"/>
        <v>1.6500610013200809E+21</v>
      </c>
      <c r="W351">
        <f t="shared" si="110"/>
        <v>2.7130533118742848E+16</v>
      </c>
      <c r="Y351">
        <f t="shared" si="111"/>
        <v>3.4449999999999705</v>
      </c>
      <c r="Z351">
        <f t="shared" si="106"/>
        <v>0</v>
      </c>
      <c r="AA351">
        <f t="shared" si="112"/>
        <v>0</v>
      </c>
      <c r="AB351">
        <f t="shared" si="113"/>
        <v>1.0000235668946658</v>
      </c>
      <c r="AC351" s="1">
        <f t="shared" si="107"/>
        <v>7.4493433161470389E-3</v>
      </c>
    </row>
    <row r="352" spans="9:29" x14ac:dyDescent="0.2">
      <c r="I352">
        <f t="shared" si="95"/>
        <v>3.4549999999999703</v>
      </c>
      <c r="J352">
        <f t="shared" si="96"/>
        <v>1.6104808164784847E-3</v>
      </c>
      <c r="K352">
        <f t="shared" si="108"/>
        <v>7.913005240385402E-4</v>
      </c>
      <c r="L352">
        <f t="shared" si="97"/>
        <v>2.7507780867857085E+18</v>
      </c>
      <c r="M352">
        <f t="shared" si="98"/>
        <v>0.84613003715691837</v>
      </c>
      <c r="N352">
        <f t="shared" si="99"/>
        <v>0</v>
      </c>
      <c r="O352">
        <f t="shared" si="100"/>
        <v>0</v>
      </c>
      <c r="P352">
        <f t="shared" si="101"/>
        <v>0</v>
      </c>
      <c r="R352">
        <f t="shared" si="102"/>
        <v>3.4549999999999703</v>
      </c>
      <c r="S352">
        <f t="shared" si="103"/>
        <v>1.6104910950169641E-3</v>
      </c>
      <c r="T352">
        <f t="shared" si="109"/>
        <v>7.8492940817946404E-4</v>
      </c>
      <c r="U352" s="1">
        <f t="shared" si="104"/>
        <v>6.5094901208712317</v>
      </c>
      <c r="V352">
        <f t="shared" si="105"/>
        <v>1.7080477200595437E+21</v>
      </c>
      <c r="W352">
        <f t="shared" si="110"/>
        <v>2.7507956430199236E+16</v>
      </c>
      <c r="Y352">
        <f t="shared" si="111"/>
        <v>3.4549999999999703</v>
      </c>
      <c r="Z352">
        <f t="shared" si="106"/>
        <v>0</v>
      </c>
      <c r="AA352">
        <f t="shared" si="112"/>
        <v>0</v>
      </c>
      <c r="AB352">
        <f t="shared" si="113"/>
        <v>1.0000235668946658</v>
      </c>
      <c r="AC352" s="1">
        <f t="shared" si="107"/>
        <v>7.4493433161470389E-3</v>
      </c>
    </row>
    <row r="353" spans="9:29" x14ac:dyDescent="0.2">
      <c r="I353">
        <f t="shared" si="95"/>
        <v>3.4649999999999701</v>
      </c>
      <c r="J353">
        <f t="shared" si="96"/>
        <v>1.5774498314335016E-3</v>
      </c>
      <c r="K353">
        <f t="shared" si="108"/>
        <v>7.7519571587375536E-4</v>
      </c>
      <c r="L353">
        <f t="shared" si="97"/>
        <v>2.7890452218269906E+18</v>
      </c>
      <c r="M353">
        <f t="shared" si="98"/>
        <v>0.82890932073260992</v>
      </c>
      <c r="N353">
        <f t="shared" si="99"/>
        <v>0</v>
      </c>
      <c r="O353">
        <f t="shared" si="100"/>
        <v>0</v>
      </c>
      <c r="P353">
        <f t="shared" si="101"/>
        <v>0</v>
      </c>
      <c r="R353">
        <f t="shared" si="102"/>
        <v>3.4649999999999701</v>
      </c>
      <c r="S353">
        <f t="shared" si="103"/>
        <v>1.5774598991590068E-3</v>
      </c>
      <c r="T353">
        <f t="shared" si="109"/>
        <v>7.688244972292944E-4</v>
      </c>
      <c r="U353" s="1">
        <f t="shared" si="104"/>
        <v>6.3759306470698993</v>
      </c>
      <c r="V353">
        <f t="shared" si="105"/>
        <v>1.768072217734149E+21</v>
      </c>
      <c r="W353">
        <f t="shared" si="110"/>
        <v>2.7890630222927524E+16</v>
      </c>
      <c r="Y353">
        <f t="shared" si="111"/>
        <v>3.4649999999999701</v>
      </c>
      <c r="Z353">
        <f t="shared" si="106"/>
        <v>0</v>
      </c>
      <c r="AA353">
        <f t="shared" si="112"/>
        <v>0</v>
      </c>
      <c r="AB353">
        <f t="shared" si="113"/>
        <v>1.0000235668946658</v>
      </c>
      <c r="AC353" s="1">
        <f t="shared" si="107"/>
        <v>7.4493433161470389E-3</v>
      </c>
    </row>
    <row r="354" spans="9:29" x14ac:dyDescent="0.2">
      <c r="I354">
        <f t="shared" ref="I354:I417" si="114">I353+0.01</f>
        <v>3.4749999999999699</v>
      </c>
      <c r="J354">
        <f t="shared" si="96"/>
        <v>1.5450963123737566E-3</v>
      </c>
      <c r="K354">
        <f t="shared" si="108"/>
        <v>7.5942121755942038E-4</v>
      </c>
      <c r="L354">
        <f t="shared" si="97"/>
        <v>2.8278447057448714E+18</v>
      </c>
      <c r="M354">
        <f t="shared" si="98"/>
        <v>0.81204180145343663</v>
      </c>
      <c r="N354">
        <f t="shared" si="99"/>
        <v>0</v>
      </c>
      <c r="O354">
        <f t="shared" si="100"/>
        <v>0</v>
      </c>
      <c r="P354">
        <f t="shared" si="101"/>
        <v>0</v>
      </c>
      <c r="R354">
        <f t="shared" si="102"/>
        <v>3.4749999999999699</v>
      </c>
      <c r="S354">
        <f t="shared" si="103"/>
        <v>1.5451061736100643E-3</v>
      </c>
      <c r="T354">
        <f t="shared" si="109"/>
        <v>7.5304989823770437E-4</v>
      </c>
      <c r="U354" s="1">
        <f t="shared" si="104"/>
        <v>6.2451104800250397</v>
      </c>
      <c r="V354">
        <f t="shared" si="105"/>
        <v>1.8302061063108795E+21</v>
      </c>
      <c r="W354">
        <f t="shared" si="110"/>
        <v>2.827862753839778E+16</v>
      </c>
      <c r="Y354">
        <f t="shared" si="111"/>
        <v>3.4749999999999699</v>
      </c>
      <c r="Z354">
        <f t="shared" si="106"/>
        <v>0</v>
      </c>
      <c r="AA354">
        <f t="shared" si="112"/>
        <v>0</v>
      </c>
      <c r="AB354">
        <f t="shared" si="113"/>
        <v>1.0000235668946658</v>
      </c>
      <c r="AC354" s="1">
        <f t="shared" si="107"/>
        <v>7.4493433161470389E-3</v>
      </c>
    </row>
    <row r="355" spans="9:29" x14ac:dyDescent="0.2">
      <c r="I355">
        <f t="shared" si="114"/>
        <v>3.4849999999999697</v>
      </c>
      <c r="J355">
        <f t="shared" si="96"/>
        <v>1.513406364462005E-3</v>
      </c>
      <c r="K355">
        <f t="shared" si="108"/>
        <v>7.4397025443568286E-4</v>
      </c>
      <c r="L355">
        <f t="shared" si="97"/>
        <v>2.8671839442498934E+18</v>
      </c>
      <c r="M355">
        <f t="shared" si="98"/>
        <v>0.79552023524079818</v>
      </c>
      <c r="N355">
        <f t="shared" si="99"/>
        <v>0</v>
      </c>
      <c r="O355">
        <f t="shared" si="100"/>
        <v>0</v>
      </c>
      <c r="P355">
        <f t="shared" si="101"/>
        <v>0</v>
      </c>
      <c r="R355">
        <f t="shared" si="102"/>
        <v>3.4849999999999697</v>
      </c>
      <c r="S355">
        <f t="shared" si="103"/>
        <v>1.5134160234442124E-3</v>
      </c>
      <c r="T355">
        <f t="shared" si="109"/>
        <v>7.3759883650160378E-4</v>
      </c>
      <c r="U355" s="1">
        <f t="shared" si="104"/>
        <v>6.1169734365151056</v>
      </c>
      <c r="V355">
        <f t="shared" si="105"/>
        <v>1.8945235143563954E+21</v>
      </c>
      <c r="W355">
        <f t="shared" si="110"/>
        <v>2.86720224341881E+16</v>
      </c>
      <c r="Y355">
        <f t="shared" si="111"/>
        <v>3.4849999999999697</v>
      </c>
      <c r="Z355">
        <f t="shared" si="106"/>
        <v>0</v>
      </c>
      <c r="AA355">
        <f t="shared" si="112"/>
        <v>0</v>
      </c>
      <c r="AB355">
        <f t="shared" si="113"/>
        <v>1.0000235668946658</v>
      </c>
      <c r="AC355" s="1">
        <f t="shared" si="107"/>
        <v>7.4493433161470389E-3</v>
      </c>
    </row>
    <row r="356" spans="9:29" x14ac:dyDescent="0.2">
      <c r="I356">
        <f t="shared" si="114"/>
        <v>3.4949999999999695</v>
      </c>
      <c r="J356">
        <f t="shared" si="96"/>
        <v>1.4823663778443224E-3</v>
      </c>
      <c r="K356">
        <f t="shared" si="108"/>
        <v>7.2883619079106281E-4</v>
      </c>
      <c r="L356">
        <f t="shared" si="97"/>
        <v>2.9070704460763694E+18</v>
      </c>
      <c r="M356">
        <f t="shared" si="98"/>
        <v>0.77933752659225208</v>
      </c>
      <c r="N356">
        <f t="shared" si="99"/>
        <v>0</v>
      </c>
      <c r="O356">
        <f t="shared" si="100"/>
        <v>0</v>
      </c>
      <c r="P356">
        <f t="shared" si="101"/>
        <v>0</v>
      </c>
      <c r="R356">
        <f t="shared" si="102"/>
        <v>3.4949999999999695</v>
      </c>
      <c r="S356">
        <f t="shared" si="103"/>
        <v>1.4823758387206639E-3</v>
      </c>
      <c r="T356">
        <f t="shared" si="109"/>
        <v>7.2246467626716165E-4</v>
      </c>
      <c r="U356" s="1">
        <f t="shared" si="104"/>
        <v>5.9914644856372465</v>
      </c>
      <c r="V356">
        <f t="shared" si="105"/>
        <v>1.9611011754758439E+21</v>
      </c>
      <c r="W356">
        <f t="shared" si="110"/>
        <v>2.9070889998120836E+16</v>
      </c>
      <c r="Y356">
        <f t="shared" si="111"/>
        <v>3.4949999999999695</v>
      </c>
      <c r="Z356">
        <f t="shared" si="106"/>
        <v>0</v>
      </c>
      <c r="AA356">
        <f t="shared" si="112"/>
        <v>0</v>
      </c>
      <c r="AB356">
        <f t="shared" si="113"/>
        <v>1.0000235668946658</v>
      </c>
      <c r="AC356" s="1">
        <f t="shared" si="107"/>
        <v>7.4493433161470389E-3</v>
      </c>
    </row>
    <row r="357" spans="9:29" x14ac:dyDescent="0.2">
      <c r="I357">
        <f t="shared" si="114"/>
        <v>3.5049999999999693</v>
      </c>
      <c r="J357">
        <f t="shared" si="96"/>
        <v>1.4519630218050809E-3</v>
      </c>
      <c r="K357">
        <f t="shared" si="108"/>
        <v>7.1401252701261961E-4</v>
      </c>
      <c r="L357">
        <f t="shared" si="97"/>
        <v>2.9475118244154583E+18</v>
      </c>
      <c r="M357">
        <f t="shared" si="98"/>
        <v>0.76348672553421448</v>
      </c>
      <c r="N357">
        <f t="shared" si="99"/>
        <v>0</v>
      </c>
      <c r="O357">
        <f t="shared" si="100"/>
        <v>0</v>
      </c>
      <c r="P357">
        <f t="shared" si="101"/>
        <v>0</v>
      </c>
      <c r="R357">
        <f t="shared" si="102"/>
        <v>3.5049999999999693</v>
      </c>
      <c r="S357">
        <f t="shared" si="103"/>
        <v>1.4519722886387103E-3</v>
      </c>
      <c r="T357">
        <f t="shared" si="109"/>
        <v>7.0764091787995503E-4</v>
      </c>
      <c r="U357" s="1">
        <f t="shared" si="104"/>
        <v>5.8685297251732313</v>
      </c>
      <c r="V357">
        <f t="shared" si="105"/>
        <v>2.030018519859487E+21</v>
      </c>
      <c r="W357">
        <f t="shared" si="110"/>
        <v>2.9475306362593464E+16</v>
      </c>
      <c r="Y357">
        <f t="shared" si="111"/>
        <v>3.5049999999999693</v>
      </c>
      <c r="Z357">
        <f t="shared" si="106"/>
        <v>0</v>
      </c>
      <c r="AA357">
        <f t="shared" si="112"/>
        <v>0</v>
      </c>
      <c r="AB357">
        <f t="shared" si="113"/>
        <v>1.0000235668946658</v>
      </c>
      <c r="AC357" s="1">
        <f t="shared" si="107"/>
        <v>7.4493433161470389E-3</v>
      </c>
    </row>
    <row r="358" spans="9:29" x14ac:dyDescent="0.2">
      <c r="I358">
        <f t="shared" si="114"/>
        <v>3.514999999999969</v>
      </c>
      <c r="J358">
        <f t="shared" si="96"/>
        <v>1.4221832390418302E-3</v>
      </c>
      <c r="K358">
        <f t="shared" si="108"/>
        <v>6.9949289679456885E-4</v>
      </c>
      <c r="L358">
        <f t="shared" si="97"/>
        <v>2.9885157983683277E+18</v>
      </c>
      <c r="M358">
        <f t="shared" si="98"/>
        <v>0.74796102463716096</v>
      </c>
      <c r="N358">
        <f t="shared" si="99"/>
        <v>0</v>
      </c>
      <c r="O358">
        <f t="shared" si="100"/>
        <v>0</v>
      </c>
      <c r="P358">
        <f t="shared" si="101"/>
        <v>0</v>
      </c>
      <c r="R358">
        <f t="shared" si="102"/>
        <v>3.514999999999969</v>
      </c>
      <c r="S358">
        <f t="shared" si="103"/>
        <v>1.4221923158125669E-3</v>
      </c>
      <c r="T358">
        <f t="shared" si="109"/>
        <v>6.9312119499356794E-4</v>
      </c>
      <c r="U358" s="1">
        <f t="shared" si="104"/>
        <v>5.7481163584401118</v>
      </c>
      <c r="V358">
        <f t="shared" si="105"/>
        <v>2.1013577690465438E+21</v>
      </c>
      <c r="W358">
        <f t="shared" si="110"/>
        <v>2.9885348719110336E+16</v>
      </c>
      <c r="Y358">
        <f t="shared" si="111"/>
        <v>3.514999999999969</v>
      </c>
      <c r="Z358">
        <f t="shared" si="106"/>
        <v>0</v>
      </c>
      <c r="AA358">
        <f t="shared" si="112"/>
        <v>0</v>
      </c>
      <c r="AB358">
        <f t="shared" si="113"/>
        <v>1.0000235668946658</v>
      </c>
      <c r="AC358" s="1">
        <f t="shared" si="107"/>
        <v>7.4493433161470389E-3</v>
      </c>
    </row>
    <row r="359" spans="9:29" x14ac:dyDescent="0.2">
      <c r="I359">
        <f t="shared" si="114"/>
        <v>3.5249999999999688</v>
      </c>
      <c r="J359">
        <f t="shared" si="96"/>
        <v>1.3930142400575783E-3</v>
      </c>
      <c r="K359">
        <f t="shared" si="108"/>
        <v>6.8527106440415052E-4</v>
      </c>
      <c r="L359">
        <f t="shared" si="97"/>
        <v>3.0300901944195896E+18</v>
      </c>
      <c r="M359">
        <f t="shared" si="98"/>
        <v>0.73275375609204629</v>
      </c>
      <c r="N359">
        <f t="shared" si="99"/>
        <v>0</v>
      </c>
      <c r="O359">
        <f t="shared" si="100"/>
        <v>0</v>
      </c>
      <c r="P359">
        <f t="shared" si="101"/>
        <v>0</v>
      </c>
      <c r="R359">
        <f t="shared" si="102"/>
        <v>3.5249999999999688</v>
      </c>
      <c r="S359">
        <f t="shared" si="103"/>
        <v>1.3930231306636147E-3</v>
      </c>
      <c r="T359">
        <f t="shared" si="109"/>
        <v>6.7889927183544224E-4</v>
      </c>
      <c r="U359" s="1">
        <f t="shared" si="104"/>
        <v>5.6301726716156759</v>
      </c>
      <c r="V359">
        <f t="shared" si="105"/>
        <v>2.1752040340193112E+21</v>
      </c>
      <c r="W359">
        <f t="shared" si="110"/>
        <v>3.0301095333017048E+16</v>
      </c>
      <c r="Y359">
        <f t="shared" si="111"/>
        <v>3.5249999999999688</v>
      </c>
      <c r="Z359">
        <f t="shared" si="106"/>
        <v>0</v>
      </c>
      <c r="AA359">
        <f t="shared" si="112"/>
        <v>0</v>
      </c>
      <c r="AB359">
        <f t="shared" si="113"/>
        <v>1.0000235668946658</v>
      </c>
      <c r="AC359" s="1">
        <f t="shared" si="107"/>
        <v>7.4493433161470389E-3</v>
      </c>
    </row>
    <row r="360" spans="9:29" x14ac:dyDescent="0.2">
      <c r="I360">
        <f t="shared" si="114"/>
        <v>3.5349999999999686</v>
      </c>
      <c r="J360">
        <f t="shared" si="96"/>
        <v>1.3644434976681082E-3</v>
      </c>
      <c r="K360">
        <f t="shared" si="108"/>
        <v>6.713409220035747E-4</v>
      </c>
      <c r="L360">
        <f t="shared" si="97"/>
        <v>3.0722429479310705E+18</v>
      </c>
      <c r="M360">
        <f t="shared" si="98"/>
        <v>0.71785838884668574</v>
      </c>
      <c r="N360">
        <f t="shared" si="99"/>
        <v>0</v>
      </c>
      <c r="O360">
        <f t="shared" si="100"/>
        <v>0</v>
      </c>
      <c r="P360">
        <f t="shared" si="101"/>
        <v>0</v>
      </c>
      <c r="R360">
        <f t="shared" si="102"/>
        <v>3.5349999999999686</v>
      </c>
      <c r="S360">
        <f t="shared" si="103"/>
        <v>1.3644522059276852E-3</v>
      </c>
      <c r="T360">
        <f t="shared" si="109"/>
        <v>6.6496904052880607E-4</v>
      </c>
      <c r="U360" s="1">
        <f t="shared" si="104"/>
        <v>5.5146480115289602</v>
      </c>
      <c r="V360">
        <f t="shared" si="105"/>
        <v>2.2516454167443826E+21</v>
      </c>
      <c r="W360">
        <f t="shared" si="110"/>
        <v>3.0722625558438348E+16</v>
      </c>
      <c r="Y360">
        <f t="shared" si="111"/>
        <v>3.5349999999999686</v>
      </c>
      <c r="Z360">
        <f t="shared" si="106"/>
        <v>0</v>
      </c>
      <c r="AA360">
        <f t="shared" si="112"/>
        <v>0</v>
      </c>
      <c r="AB360">
        <f t="shared" si="113"/>
        <v>1.0000235668946658</v>
      </c>
      <c r="AC360" s="1">
        <f t="shared" si="107"/>
        <v>7.4493433161470389E-3</v>
      </c>
    </row>
    <row r="361" spans="9:29" x14ac:dyDescent="0.2">
      <c r="I361">
        <f t="shared" si="114"/>
        <v>3.5449999999999684</v>
      </c>
      <c r="J361">
        <f t="shared" si="96"/>
        <v>1.3364587416219305E-3</v>
      </c>
      <c r="K361">
        <f t="shared" si="108"/>
        <v>6.5769648702689357E-4</v>
      </c>
      <c r="L361">
        <f t="shared" si="97"/>
        <v>3.114982104656535E+18</v>
      </c>
      <c r="M361">
        <f t="shared" si="98"/>
        <v>0.70326852580087018</v>
      </c>
      <c r="N361">
        <f t="shared" si="99"/>
        <v>0</v>
      </c>
      <c r="O361">
        <f t="shared" si="100"/>
        <v>0</v>
      </c>
      <c r="P361">
        <f t="shared" si="101"/>
        <v>0</v>
      </c>
      <c r="R361">
        <f t="shared" si="102"/>
        <v>3.5449999999999684</v>
      </c>
      <c r="S361">
        <f t="shared" si="103"/>
        <v>1.3364672712749765E-3</v>
      </c>
      <c r="T361">
        <f t="shared" si="109"/>
        <v>6.5132451846952925E-4</v>
      </c>
      <c r="U361" s="1">
        <f t="shared" si="104"/>
        <v>5.401492763906278</v>
      </c>
      <c r="V361">
        <f t="shared" si="105"/>
        <v>2.3307731152823939E+21</v>
      </c>
      <c r="W361">
        <f t="shared" si="110"/>
        <v>3.1150019853425372E+16</v>
      </c>
      <c r="Y361">
        <f t="shared" si="111"/>
        <v>3.5449999999999684</v>
      </c>
      <c r="Z361">
        <f t="shared" si="106"/>
        <v>0</v>
      </c>
      <c r="AA361">
        <f t="shared" si="112"/>
        <v>0</v>
      </c>
      <c r="AB361">
        <f t="shared" si="113"/>
        <v>1.0000235668946658</v>
      </c>
      <c r="AC361" s="1">
        <f t="shared" si="107"/>
        <v>7.4493433161470389E-3</v>
      </c>
    </row>
    <row r="362" spans="9:29" x14ac:dyDescent="0.2">
      <c r="I362">
        <f t="shared" si="114"/>
        <v>3.5549999999999682</v>
      </c>
      <c r="J362">
        <f t="shared" si="96"/>
        <v>1.3090479533305925E-3</v>
      </c>
      <c r="K362">
        <f t="shared" si="108"/>
        <v>6.4433189961067431E-4</v>
      </c>
      <c r="L362">
        <f t="shared" si="97"/>
        <v>3.1583158222772864E+18</v>
      </c>
      <c r="M362">
        <f t="shared" si="98"/>
        <v>0.68897790105900947</v>
      </c>
      <c r="N362">
        <f t="shared" si="99"/>
        <v>0</v>
      </c>
      <c r="O362">
        <f t="shared" si="100"/>
        <v>0</v>
      </c>
      <c r="P362">
        <f t="shared" si="101"/>
        <v>0</v>
      </c>
      <c r="R362">
        <f t="shared" si="102"/>
        <v>3.5549999999999682</v>
      </c>
      <c r="S362">
        <f t="shared" si="103"/>
        <v>1.3090563080403299E-3</v>
      </c>
      <c r="T362">
        <f t="shared" si="109"/>
        <v>6.3795984575677951E-4</v>
      </c>
      <c r="U362" s="1">
        <f t="shared" si="104"/>
        <v>5.2906583320634208</v>
      </c>
      <c r="V362">
        <f t="shared" si="105"/>
        <v>2.4126815325913979E+21</v>
      </c>
      <c r="W362">
        <f t="shared" si="110"/>
        <v>3.15833597953118E+16</v>
      </c>
      <c r="Y362">
        <f t="shared" si="111"/>
        <v>3.5549999999999682</v>
      </c>
      <c r="Z362">
        <f t="shared" si="106"/>
        <v>0</v>
      </c>
      <c r="AA362">
        <f t="shared" si="112"/>
        <v>0</v>
      </c>
      <c r="AB362">
        <f t="shared" si="113"/>
        <v>1.0000235668946658</v>
      </c>
      <c r="AC362" s="1">
        <f t="shared" si="107"/>
        <v>7.4493433161470389E-3</v>
      </c>
    </row>
    <row r="363" spans="9:29" x14ac:dyDescent="0.2">
      <c r="I363">
        <f t="shared" si="114"/>
        <v>3.564999999999968</v>
      </c>
      <c r="J363">
        <f t="shared" si="96"/>
        <v>1.2821993607070703E-3</v>
      </c>
      <c r="K363">
        <f t="shared" si="108"/>
        <v>6.3124142007736834E-4</v>
      </c>
      <c r="L363">
        <f t="shared" si="97"/>
        <v>3.2022523719592228E+18</v>
      </c>
      <c r="M363">
        <f t="shared" si="98"/>
        <v>0.67498037723912307</v>
      </c>
      <c r="N363">
        <f t="shared" si="99"/>
        <v>0</v>
      </c>
      <c r="O363">
        <f t="shared" si="100"/>
        <v>0</v>
      </c>
      <c r="P363">
        <f t="shared" si="101"/>
        <v>0</v>
      </c>
      <c r="R363">
        <f t="shared" si="102"/>
        <v>3.564999999999968</v>
      </c>
      <c r="S363">
        <f t="shared" si="103"/>
        <v>1.282207544061589E-3</v>
      </c>
      <c r="T363">
        <f t="shared" si="109"/>
        <v>6.2486928267637624E-4</v>
      </c>
      <c r="U363" s="1">
        <f t="shared" si="104"/>
        <v>5.1820971160348774</v>
      </c>
      <c r="V363">
        <f t="shared" si="105"/>
        <v>2.4974683891538812E+21</v>
      </c>
      <c r="W363">
        <f t="shared" si="110"/>
        <v>3.2022728096284508E+16</v>
      </c>
      <c r="Y363">
        <f t="shared" si="111"/>
        <v>3.564999999999968</v>
      </c>
      <c r="Z363">
        <f t="shared" si="106"/>
        <v>0</v>
      </c>
      <c r="AA363">
        <f t="shared" si="112"/>
        <v>0</v>
      </c>
      <c r="AB363">
        <f t="shared" si="113"/>
        <v>1.0000235668946658</v>
      </c>
      <c r="AC363" s="1">
        <f t="shared" si="107"/>
        <v>7.4493433161470389E-3</v>
      </c>
    </row>
    <row r="364" spans="9:29" x14ac:dyDescent="0.2">
      <c r="I364">
        <f t="shared" si="114"/>
        <v>3.5749999999999678</v>
      </c>
      <c r="J364">
        <f t="shared" si="96"/>
        <v>1.255901433110011E-3</v>
      </c>
      <c r="K364">
        <f t="shared" si="108"/>
        <v>6.184194264702976E-4</v>
      </c>
      <c r="L364">
        <f t="shared" si="97"/>
        <v>3.2468001399317432E+18</v>
      </c>
      <c r="M364">
        <f t="shared" si="98"/>
        <v>0.66126994283702456</v>
      </c>
      <c r="N364">
        <f t="shared" si="99"/>
        <v>0</v>
      </c>
      <c r="O364">
        <f t="shared" si="100"/>
        <v>0</v>
      </c>
      <c r="P364">
        <f t="shared" si="101"/>
        <v>0</v>
      </c>
      <c r="R364">
        <f t="shared" si="102"/>
        <v>3.5749999999999678</v>
      </c>
      <c r="S364">
        <f t="shared" si="103"/>
        <v>1.2559094486238093E-3</v>
      </c>
      <c r="T364">
        <f t="shared" si="109"/>
        <v>6.1204720723576035E-4</v>
      </c>
      <c r="U364" s="1">
        <f t="shared" si="104"/>
        <v>5.0757624921311297</v>
      </c>
      <c r="V364">
        <f t="shared" si="105"/>
        <v>2.585234839561919E+21</v>
      </c>
      <c r="W364">
        <f t="shared" si="110"/>
        <v>3.2468208619172716E+16</v>
      </c>
      <c r="Y364">
        <f t="shared" si="111"/>
        <v>3.5749999999999678</v>
      </c>
      <c r="Z364">
        <f t="shared" si="106"/>
        <v>0</v>
      </c>
      <c r="AA364">
        <f t="shared" si="112"/>
        <v>0</v>
      </c>
      <c r="AB364">
        <f t="shared" si="113"/>
        <v>1.0000235668946658</v>
      </c>
      <c r="AC364" s="1">
        <f t="shared" si="107"/>
        <v>7.4493433161470389E-3</v>
      </c>
    </row>
    <row r="365" spans="9:29" x14ac:dyDescent="0.2">
      <c r="I365">
        <f t="shared" si="114"/>
        <v>3.5849999999999675</v>
      </c>
      <c r="J365">
        <f t="shared" si="96"/>
        <v>1.2301428763916899E-3</v>
      </c>
      <c r="K365">
        <f t="shared" si="108"/>
        <v>6.058604121391975E-4</v>
      </c>
      <c r="L365">
        <f t="shared" si="97"/>
        <v>3.2919676290882417E+18</v>
      </c>
      <c r="M365">
        <f t="shared" si="98"/>
        <v>0.6478407096445663</v>
      </c>
      <c r="N365">
        <f t="shared" si="99"/>
        <v>0</v>
      </c>
      <c r="O365">
        <f t="shared" si="100"/>
        <v>0</v>
      </c>
      <c r="P365">
        <f t="shared" si="101"/>
        <v>0</v>
      </c>
      <c r="R365">
        <f t="shared" si="102"/>
        <v>3.5849999999999675</v>
      </c>
      <c r="S365">
        <f t="shared" si="103"/>
        <v>1.2301507275071831E-3</v>
      </c>
      <c r="T365">
        <f t="shared" si="109"/>
        <v>5.994881127495223E-4</v>
      </c>
      <c r="U365" s="1">
        <f t="shared" si="104"/>
        <v>4.9716087929152089</v>
      </c>
      <c r="V365">
        <f t="shared" si="105"/>
        <v>2.6760855931990505E+21</v>
      </c>
      <c r="W365">
        <f t="shared" si="110"/>
        <v>3.2919886393453036E+16</v>
      </c>
      <c r="Y365">
        <f t="shared" si="111"/>
        <v>3.5849999999999675</v>
      </c>
      <c r="Z365">
        <f t="shared" si="106"/>
        <v>0</v>
      </c>
      <c r="AA365">
        <f t="shared" si="112"/>
        <v>0</v>
      </c>
      <c r="AB365">
        <f t="shared" si="113"/>
        <v>1.0000235668946658</v>
      </c>
      <c r="AC365" s="1">
        <f t="shared" si="107"/>
        <v>7.4493433161470389E-3</v>
      </c>
    </row>
    <row r="366" spans="9:29" x14ac:dyDescent="0.2">
      <c r="I366">
        <f t="shared" si="114"/>
        <v>3.5949999999999673</v>
      </c>
      <c r="J366">
        <f t="shared" si="96"/>
        <v>1.204912628047512E-3</v>
      </c>
      <c r="K366">
        <f t="shared" si="108"/>
        <v>5.9355898337528062E-4</v>
      </c>
      <c r="L366">
        <f t="shared" si="97"/>
        <v>3.337763460609152E+18</v>
      </c>
      <c r="M366">
        <f t="shared" si="98"/>
        <v>0.63468691022083523</v>
      </c>
      <c r="N366">
        <f t="shared" si="99"/>
        <v>0</v>
      </c>
      <c r="O366">
        <f t="shared" si="100"/>
        <v>0</v>
      </c>
      <c r="P366">
        <f t="shared" si="101"/>
        <v>0</v>
      </c>
      <c r="R366">
        <f t="shared" si="102"/>
        <v>3.5949999999999673</v>
      </c>
      <c r="S366">
        <f t="shared" si="103"/>
        <v>1.2049203181365119E-3</v>
      </c>
      <c r="T366">
        <f t="shared" si="109"/>
        <v>5.8718660547445048E-4</v>
      </c>
      <c r="U366" s="1">
        <f t="shared" si="104"/>
        <v>4.8695912875899436</v>
      </c>
      <c r="V366">
        <f t="shared" si="105"/>
        <v>2.7701290391634418E+21</v>
      </c>
      <c r="W366">
        <f t="shared" si="110"/>
        <v>3.3377847631480044E+16</v>
      </c>
      <c r="Y366">
        <f t="shared" si="111"/>
        <v>3.5949999999999673</v>
      </c>
      <c r="Z366">
        <f t="shared" si="106"/>
        <v>0</v>
      </c>
      <c r="AA366">
        <f t="shared" si="112"/>
        <v>0</v>
      </c>
      <c r="AB366">
        <f t="shared" si="113"/>
        <v>1.0000235668946658</v>
      </c>
      <c r="AC366" s="1">
        <f t="shared" si="107"/>
        <v>7.4493433161470389E-3</v>
      </c>
    </row>
    <row r="367" spans="9:29" x14ac:dyDescent="0.2">
      <c r="I367">
        <f t="shared" si="114"/>
        <v>3.6049999999999671</v>
      </c>
      <c r="J367">
        <f t="shared" si="96"/>
        <v>1.1801998524650146E-3</v>
      </c>
      <c r="K367">
        <f t="shared" si="108"/>
        <v>5.8150985709480552E-4</v>
      </c>
      <c r="L367">
        <f t="shared" si="97"/>
        <v>3.3841963756074798E+18</v>
      </c>
      <c r="M367">
        <f t="shared" si="98"/>
        <v>0.62180289541521605</v>
      </c>
      <c r="N367">
        <f t="shared" si="99"/>
        <v>0</v>
      </c>
      <c r="O367">
        <f t="shared" si="100"/>
        <v>0</v>
      </c>
      <c r="P367">
        <f t="shared" si="101"/>
        <v>0</v>
      </c>
      <c r="R367">
        <f t="shared" si="102"/>
        <v>3.6049999999999671</v>
      </c>
      <c r="S367">
        <f t="shared" si="103"/>
        <v>1.180207384830177E-3</v>
      </c>
      <c r="T367">
        <f t="shared" si="109"/>
        <v>5.7513740229308532E-4</v>
      </c>
      <c r="U367" s="1">
        <f t="shared" si="104"/>
        <v>4.769666162787467</v>
      </c>
      <c r="V367">
        <f t="shared" si="105"/>
        <v>2.8674773755810137E+21</v>
      </c>
      <c r="W367">
        <f t="shared" si="110"/>
        <v>3.3842179744941676E+16</v>
      </c>
      <c r="Y367">
        <f t="shared" si="111"/>
        <v>3.6049999999999671</v>
      </c>
      <c r="Z367">
        <f t="shared" si="106"/>
        <v>0</v>
      </c>
      <c r="AA367">
        <f t="shared" si="112"/>
        <v>0</v>
      </c>
      <c r="AB367">
        <f t="shared" si="113"/>
        <v>1.0000235668946658</v>
      </c>
      <c r="AC367" s="1">
        <f t="shared" si="107"/>
        <v>7.4493433161470389E-3</v>
      </c>
    </row>
    <row r="368" spans="9:29" x14ac:dyDescent="0.2">
      <c r="I368">
        <f t="shared" si="114"/>
        <v>3.6149999999999669</v>
      </c>
      <c r="J368">
        <f t="shared" si="96"/>
        <v>1.1559939362703066E-3</v>
      </c>
      <c r="K368">
        <f t="shared" si="108"/>
        <v>5.6970785857015543E-4</v>
      </c>
      <c r="L368">
        <f t="shared" si="97"/>
        <v>3.4312752367972055E+18</v>
      </c>
      <c r="M368">
        <f t="shared" si="98"/>
        <v>0.60918313194125473</v>
      </c>
      <c r="N368">
        <f t="shared" si="99"/>
        <v>0</v>
      </c>
      <c r="O368">
        <f t="shared" si="100"/>
        <v>0</v>
      </c>
      <c r="P368">
        <f t="shared" si="101"/>
        <v>0</v>
      </c>
      <c r="R368">
        <f t="shared" si="102"/>
        <v>3.6149999999999669</v>
      </c>
      <c r="S368">
        <f t="shared" si="103"/>
        <v>1.1560013141465495E-3</v>
      </c>
      <c r="T368">
        <f t="shared" si="109"/>
        <v>5.6333532844478351E-4</v>
      </c>
      <c r="U368" s="1">
        <f t="shared" si="104"/>
        <v>4.6717905037527272</v>
      </c>
      <c r="V368">
        <f t="shared" si="105"/>
        <v>2.9682467434629075E+21</v>
      </c>
      <c r="W368">
        <f t="shared" si="110"/>
        <v>3.4312971361543372E+16</v>
      </c>
      <c r="Y368">
        <f t="shared" si="111"/>
        <v>3.6149999999999669</v>
      </c>
      <c r="Z368">
        <f t="shared" si="106"/>
        <v>0</v>
      </c>
      <c r="AA368">
        <f t="shared" si="112"/>
        <v>0</v>
      </c>
      <c r="AB368">
        <f t="shared" si="113"/>
        <v>1.0000235668946658</v>
      </c>
      <c r="AC368" s="1">
        <f t="shared" si="107"/>
        <v>7.4493433161470389E-3</v>
      </c>
    </row>
    <row r="369" spans="9:29" x14ac:dyDescent="0.2">
      <c r="I369">
        <f t="shared" si="114"/>
        <v>3.6249999999999667</v>
      </c>
      <c r="J369">
        <f t="shared" si="96"/>
        <v>1.1322844837699467E-3</v>
      </c>
      <c r="K369">
        <f t="shared" si="108"/>
        <v>5.5814791920745239E-4</v>
      </c>
      <c r="L369">
        <f t="shared" si="97"/>
        <v>3.4790090301850307E+18</v>
      </c>
      <c r="M369">
        <f t="shared" si="98"/>
        <v>0.59682220000028297</v>
      </c>
      <c r="N369">
        <f t="shared" si="99"/>
        <v>0</v>
      </c>
      <c r="O369">
        <f t="shared" si="100"/>
        <v>0</v>
      </c>
      <c r="P369">
        <f t="shared" si="101"/>
        <v>0</v>
      </c>
      <c r="R369">
        <f t="shared" si="102"/>
        <v>3.6249999999999667</v>
      </c>
      <c r="S369">
        <f t="shared" si="103"/>
        <v>1.1322917103258404E-3</v>
      </c>
      <c r="T369">
        <f t="shared" si="109"/>
        <v>5.5177531530331797E-4</v>
      </c>
      <c r="U369" s="1">
        <f t="shared" si="104"/>
        <v>4.5759222759129239</v>
      </c>
      <c r="V369">
        <f t="shared" si="105"/>
        <v>3.0725573652671218E+21</v>
      </c>
      <c r="W369">
        <f t="shared" si="110"/>
        <v>3.4790312341925672E+16</v>
      </c>
      <c r="Y369">
        <f t="shared" si="111"/>
        <v>3.6249999999999667</v>
      </c>
      <c r="Z369">
        <f t="shared" si="106"/>
        <v>0</v>
      </c>
      <c r="AA369">
        <f t="shared" si="112"/>
        <v>0</v>
      </c>
      <c r="AB369">
        <f t="shared" si="113"/>
        <v>1.0000235668946658</v>
      </c>
      <c r="AC369" s="1">
        <f t="shared" si="107"/>
        <v>7.4493433161470389E-3</v>
      </c>
    </row>
    <row r="370" spans="9:29" x14ac:dyDescent="0.2">
      <c r="I370">
        <f t="shared" si="114"/>
        <v>3.6349999999999665</v>
      </c>
      <c r="J370">
        <f t="shared" si="96"/>
        <v>1.1090613124863221E-3</v>
      </c>
      <c r="K370">
        <f t="shared" si="108"/>
        <v>5.4682507436975289E-4</v>
      </c>
      <c r="L370">
        <f t="shared" si="97"/>
        <v>3.5274068667853276E+18</v>
      </c>
      <c r="M370">
        <f t="shared" si="98"/>
        <v>0.58471479095378254</v>
      </c>
      <c r="N370">
        <f t="shared" si="99"/>
        <v>0</v>
      </c>
      <c r="O370">
        <f t="shared" si="100"/>
        <v>0</v>
      </c>
      <c r="P370">
        <f t="shared" si="101"/>
        <v>0</v>
      </c>
      <c r="R370">
        <f t="shared" si="102"/>
        <v>3.6349999999999665</v>
      </c>
      <c r="S370">
        <f t="shared" si="103"/>
        <v>1.109068390825449E-3</v>
      </c>
      <c r="T370">
        <f t="shared" si="109"/>
        <v>5.4045239820005959E-4</v>
      </c>
      <c r="U370" s="1">
        <f t="shared" si="104"/>
        <v>4.4820203068249569</v>
      </c>
      <c r="V370">
        <f t="shared" si="105"/>
        <v>3.180533688329184E+21</v>
      </c>
      <c r="W370">
        <f t="shared" si="110"/>
        <v>3.5274293796813784E+16</v>
      </c>
      <c r="Y370">
        <f t="shared" si="111"/>
        <v>3.6349999999999665</v>
      </c>
      <c r="Z370">
        <f t="shared" si="106"/>
        <v>0</v>
      </c>
      <c r="AA370">
        <f t="shared" si="112"/>
        <v>0</v>
      </c>
      <c r="AB370">
        <f t="shared" si="113"/>
        <v>1.0000235668946658</v>
      </c>
      <c r="AC370" s="1">
        <f t="shared" si="107"/>
        <v>7.4493433161470389E-3</v>
      </c>
    </row>
    <row r="371" spans="9:29" x14ac:dyDescent="0.2">
      <c r="I371">
        <f t="shared" si="114"/>
        <v>3.6449999999999663</v>
      </c>
      <c r="J371">
        <f t="shared" si="96"/>
        <v>1.086314448784581E-3</v>
      </c>
      <c r="K371">
        <f t="shared" si="108"/>
        <v>5.3573446124488967E-4</v>
      </c>
      <c r="L371">
        <f t="shared" si="97"/>
        <v>3.5764779843593672E+18</v>
      </c>
      <c r="M371">
        <f t="shared" si="98"/>
        <v>0.57285570504348882</v>
      </c>
      <c r="N371">
        <f t="shared" si="99"/>
        <v>0</v>
      </c>
      <c r="O371">
        <f t="shared" si="100"/>
        <v>0</v>
      </c>
      <c r="P371">
        <f t="shared" si="101"/>
        <v>0</v>
      </c>
      <c r="R371">
        <f t="shared" si="102"/>
        <v>3.6449999999999663</v>
      </c>
      <c r="S371">
        <f t="shared" si="103"/>
        <v>1.0863213819468688E-3</v>
      </c>
      <c r="T371">
        <f t="shared" si="109"/>
        <v>5.2936171429180507E-4</v>
      </c>
      <c r="U371" s="1">
        <f t="shared" si="104"/>
        <v>4.3900442684931349</v>
      </c>
      <c r="V371">
        <f t="shared" si="105"/>
        <v>3.2923045333336924E+21</v>
      </c>
      <c r="W371">
        <f t="shared" si="110"/>
        <v>3.5765008104409976E+16</v>
      </c>
      <c r="Y371">
        <f t="shared" si="111"/>
        <v>3.6449999999999663</v>
      </c>
      <c r="Z371">
        <f t="shared" si="106"/>
        <v>0</v>
      </c>
      <c r="AA371">
        <f t="shared" si="112"/>
        <v>0</v>
      </c>
      <c r="AB371">
        <f t="shared" si="113"/>
        <v>1.0000235668946658</v>
      </c>
      <c r="AC371" s="1">
        <f t="shared" si="107"/>
        <v>7.4493433161470389E-3</v>
      </c>
    </row>
    <row r="372" spans="9:29" x14ac:dyDescent="0.2">
      <c r="I372">
        <f t="shared" si="114"/>
        <v>3.6549999999999661</v>
      </c>
      <c r="J372">
        <f t="shared" si="96"/>
        <v>1.0640341235892679E-3</v>
      </c>
      <c r="K372">
        <f t="shared" si="108"/>
        <v>5.2487131675704388E-4</v>
      </c>
      <c r="L372">
        <f t="shared" si="97"/>
        <v>3.6262317491785308E+18</v>
      </c>
      <c r="M372">
        <f t="shared" si="98"/>
        <v>0.56123984915825476</v>
      </c>
      <c r="N372">
        <f t="shared" si="99"/>
        <v>0</v>
      </c>
      <c r="O372">
        <f t="shared" si="100"/>
        <v>0</v>
      </c>
      <c r="P372">
        <f t="shared" si="101"/>
        <v>0</v>
      </c>
      <c r="R372">
        <f t="shared" si="102"/>
        <v>3.6549999999999661</v>
      </c>
      <c r="S372">
        <f t="shared" si="103"/>
        <v>1.0640409145522963E-3</v>
      </c>
      <c r="T372">
        <f t="shared" si="109"/>
        <v>5.1849850047233637E-4</v>
      </c>
      <c r="U372" s="1">
        <f t="shared" si="104"/>
        <v>4.2999546600495488</v>
      </c>
      <c r="V372">
        <f t="shared" si="105"/>
        <v>3.4080032480032635E+21</v>
      </c>
      <c r="W372">
        <f t="shared" si="110"/>
        <v>3.6262548928025888E+16</v>
      </c>
      <c r="Y372">
        <f t="shared" si="111"/>
        <v>3.6549999999999661</v>
      </c>
      <c r="Z372">
        <f t="shared" si="106"/>
        <v>0</v>
      </c>
      <c r="AA372">
        <f t="shared" si="112"/>
        <v>0</v>
      </c>
      <c r="AB372">
        <f t="shared" si="113"/>
        <v>1.0000235668946658</v>
      </c>
      <c r="AC372" s="1">
        <f t="shared" si="107"/>
        <v>7.4493433161470389E-3</v>
      </c>
    </row>
    <row r="373" spans="9:29" x14ac:dyDescent="0.2">
      <c r="I373">
        <f t="shared" si="114"/>
        <v>3.6649999999999658</v>
      </c>
      <c r="J373">
        <f t="shared" si="96"/>
        <v>1.0422107681888108E-3</v>
      </c>
      <c r="K373">
        <f t="shared" si="108"/>
        <v>5.1423097552115123E-4</v>
      </c>
      <c r="L373">
        <f t="shared" si="97"/>
        <v>3.6766776578119506E+18</v>
      </c>
      <c r="M373">
        <f t="shared" si="98"/>
        <v>0.54986223464671724</v>
      </c>
      <c r="N373">
        <f t="shared" si="99"/>
        <v>0</v>
      </c>
      <c r="O373">
        <f t="shared" si="100"/>
        <v>0</v>
      </c>
      <c r="P373">
        <f t="shared" si="101"/>
        <v>0</v>
      </c>
      <c r="R373">
        <f t="shared" si="102"/>
        <v>3.6649999999999658</v>
      </c>
      <c r="S373">
        <f t="shared" si="103"/>
        <v>1.0422174198690881E-3</v>
      </c>
      <c r="T373">
        <f t="shared" si="109"/>
        <v>5.0785809132681344E-4</v>
      </c>
      <c r="U373" s="1">
        <f t="shared" si="104"/>
        <v>4.2117127907896661</v>
      </c>
      <c r="V373">
        <f t="shared" si="105"/>
        <v>3.5277678661883391E+21</v>
      </c>
      <c r="W373">
        <f t="shared" si="110"/>
        <v>3.6767011233958896E+16</v>
      </c>
      <c r="Y373">
        <f t="shared" si="111"/>
        <v>3.6649999999999658</v>
      </c>
      <c r="Z373">
        <f t="shared" si="106"/>
        <v>0</v>
      </c>
      <c r="AA373">
        <f t="shared" si="112"/>
        <v>0</v>
      </c>
      <c r="AB373">
        <f t="shared" si="113"/>
        <v>1.0000235668946658</v>
      </c>
      <c r="AC373" s="1">
        <f t="shared" si="107"/>
        <v>7.4493433161470389E-3</v>
      </c>
    </row>
    <row r="374" spans="9:29" x14ac:dyDescent="0.2">
      <c r="I374">
        <f t="shared" si="114"/>
        <v>3.6749999999999656</v>
      </c>
      <c r="J374">
        <f t="shared" si="96"/>
        <v>1.0208350101260466E-3</v>
      </c>
      <c r="K374">
        <f t="shared" si="108"/>
        <v>5.0380886783926314E-4</v>
      </c>
      <c r="L374">
        <f t="shared" si="97"/>
        <v>3.7278253389392276E+18</v>
      </c>
      <c r="M374">
        <f t="shared" si="98"/>
        <v>0.53871797517482545</v>
      </c>
      <c r="N374">
        <f t="shared" si="99"/>
        <v>0</v>
      </c>
      <c r="O374">
        <f t="shared" si="100"/>
        <v>0</v>
      </c>
      <c r="P374">
        <f t="shared" si="101"/>
        <v>0</v>
      </c>
      <c r="R374">
        <f t="shared" si="102"/>
        <v>3.6749999999999656</v>
      </c>
      <c r="S374">
        <f t="shared" si="103"/>
        <v>1.0208415253802647E-3</v>
      </c>
      <c r="T374">
        <f t="shared" si="109"/>
        <v>4.9743591712812253E-4</v>
      </c>
      <c r="U374" s="1">
        <f t="shared" si="104"/>
        <v>4.1252807635558666</v>
      </c>
      <c r="V374">
        <f t="shared" si="105"/>
        <v>3.6517412725479881E+21</v>
      </c>
      <c r="W374">
        <f t="shared" si="110"/>
        <v>3.7278491309619568E+16</v>
      </c>
      <c r="Y374">
        <f t="shared" si="111"/>
        <v>3.6749999999999656</v>
      </c>
      <c r="Z374">
        <f t="shared" si="106"/>
        <v>0</v>
      </c>
      <c r="AA374">
        <f t="shared" si="112"/>
        <v>0</v>
      </c>
      <c r="AB374">
        <f t="shared" si="113"/>
        <v>1.0000235668946658</v>
      </c>
      <c r="AC374" s="1">
        <f t="shared" si="107"/>
        <v>7.4493433161470389E-3</v>
      </c>
    </row>
    <row r="375" spans="9:29" x14ac:dyDescent="0.2">
      <c r="I375">
        <f t="shared" si="114"/>
        <v>3.6849999999999654</v>
      </c>
      <c r="J375">
        <f t="shared" si="96"/>
        <v>9.9989766917305141E-4</v>
      </c>
      <c r="K375">
        <f t="shared" si="108"/>
        <v>4.9360051773800272E-4</v>
      </c>
      <c r="L375">
        <f t="shared" si="97"/>
        <v>3.7796845551881825E+18</v>
      </c>
      <c r="M375">
        <f t="shared" si="98"/>
        <v>0.5278022846273116</v>
      </c>
      <c r="N375">
        <f t="shared" si="99"/>
        <v>0</v>
      </c>
      <c r="O375">
        <f t="shared" si="100"/>
        <v>0</v>
      </c>
      <c r="P375">
        <f t="shared" si="101"/>
        <v>0</v>
      </c>
      <c r="R375">
        <f t="shared" si="102"/>
        <v>3.6849999999999654</v>
      </c>
      <c r="S375">
        <f t="shared" si="103"/>
        <v>9.9990405079931031E-4</v>
      </c>
      <c r="T375">
        <f t="shared" si="109"/>
        <v>4.8722750187431984E-4</v>
      </c>
      <c r="U375" s="1">
        <f t="shared" si="104"/>
        <v>4.0406214584617883</v>
      </c>
      <c r="V375">
        <f t="shared" si="105"/>
        <v>3.780071373017708E+21</v>
      </c>
      <c r="W375">
        <f t="shared" si="110"/>
        <v>3.7797086781909168E+16</v>
      </c>
      <c r="Y375">
        <f t="shared" si="111"/>
        <v>3.6849999999999654</v>
      </c>
      <c r="Z375">
        <f t="shared" si="106"/>
        <v>0</v>
      </c>
      <c r="AA375">
        <f t="shared" si="112"/>
        <v>0</v>
      </c>
      <c r="AB375">
        <f t="shared" si="113"/>
        <v>1.0000235668946658</v>
      </c>
      <c r="AC375" s="1">
        <f t="shared" si="107"/>
        <v>7.4493433161470389E-3</v>
      </c>
    </row>
    <row r="376" spans="9:29" x14ac:dyDescent="0.2">
      <c r="I376">
        <f t="shared" si="114"/>
        <v>3.6949999999999652</v>
      </c>
      <c r="J376">
        <f t="shared" si="96"/>
        <v>9.7938975338850479E-4</v>
      </c>
      <c r="K376">
        <f t="shared" si="108"/>
        <v>4.8360154104627219E-4</v>
      </c>
      <c r="L376">
        <f t="shared" si="97"/>
        <v>3.8322652049983493E+18</v>
      </c>
      <c r="M376">
        <f t="shared" si="98"/>
        <v>0.5171104750522012</v>
      </c>
      <c r="N376">
        <f t="shared" si="99"/>
        <v>0</v>
      </c>
      <c r="O376">
        <f t="shared" si="100"/>
        <v>0</v>
      </c>
      <c r="P376">
        <f t="shared" si="101"/>
        <v>0</v>
      </c>
      <c r="R376">
        <f t="shared" si="102"/>
        <v>3.6949999999999652</v>
      </c>
      <c r="S376">
        <f t="shared" si="103"/>
        <v>9.7939600412751604E-4</v>
      </c>
      <c r="T376">
        <f t="shared" si="109"/>
        <v>4.7722846136632671E-4</v>
      </c>
      <c r="U376" s="1">
        <f t="shared" si="104"/>
        <v>3.9576985169504786</v>
      </c>
      <c r="V376">
        <f t="shared" si="105"/>
        <v>3.9129112712680838E+21</v>
      </c>
      <c r="W376">
        <f t="shared" si="110"/>
        <v>3.83228966358548E+16</v>
      </c>
      <c r="Y376">
        <f t="shared" si="111"/>
        <v>3.6949999999999652</v>
      </c>
      <c r="Z376">
        <f t="shared" si="106"/>
        <v>0</v>
      </c>
      <c r="AA376">
        <f t="shared" si="112"/>
        <v>0</v>
      </c>
      <c r="AB376">
        <f t="shared" si="113"/>
        <v>1.0000235668946658</v>
      </c>
      <c r="AC376" s="1">
        <f t="shared" si="107"/>
        <v>7.4493433161470389E-3</v>
      </c>
    </row>
    <row r="377" spans="9:29" x14ac:dyDescent="0.2">
      <c r="I377">
        <f t="shared" si="114"/>
        <v>3.704999999999965</v>
      </c>
      <c r="J377">
        <f t="shared" si="96"/>
        <v>9.5930245525593569E-4</v>
      </c>
      <c r="K377">
        <f t="shared" si="108"/>
        <v>4.7380764351238712E-4</v>
      </c>
      <c r="L377">
        <f t="shared" si="97"/>
        <v>3.8855773245103355E+18</v>
      </c>
      <c r="M377">
        <f t="shared" si="98"/>
        <v>0.50663795464748373</v>
      </c>
      <c r="N377">
        <f t="shared" si="99"/>
        <v>0</v>
      </c>
      <c r="O377">
        <f t="shared" si="100"/>
        <v>0</v>
      </c>
      <c r="P377">
        <f t="shared" si="101"/>
        <v>0</v>
      </c>
      <c r="R377">
        <f t="shared" si="102"/>
        <v>3.704999999999965</v>
      </c>
      <c r="S377">
        <f t="shared" si="103"/>
        <v>9.5930857779219861E-4</v>
      </c>
      <c r="T377">
        <f t="shared" si="109"/>
        <v>4.6743450132505154E-4</v>
      </c>
      <c r="U377" s="1">
        <f t="shared" si="104"/>
        <v>3.8764763261795196</v>
      </c>
      <c r="V377">
        <f t="shared" si="105"/>
        <v>4.0504194513644694E+21</v>
      </c>
      <c r="W377">
        <f t="shared" si="110"/>
        <v>3.8856021233503064E+16</v>
      </c>
      <c r="Y377">
        <f t="shared" si="111"/>
        <v>3.704999999999965</v>
      </c>
      <c r="Z377">
        <f t="shared" si="106"/>
        <v>0</v>
      </c>
      <c r="AA377">
        <f t="shared" si="112"/>
        <v>0</v>
      </c>
      <c r="AB377">
        <f t="shared" si="113"/>
        <v>1.0000235668946658</v>
      </c>
      <c r="AC377" s="1">
        <f t="shared" si="107"/>
        <v>7.4493433161470389E-3</v>
      </c>
    </row>
    <row r="378" spans="9:29" x14ac:dyDescent="0.2">
      <c r="I378">
        <f t="shared" si="114"/>
        <v>3.7149999999999648</v>
      </c>
      <c r="J378">
        <f t="shared" si="96"/>
        <v>9.396271479011662E-4</v>
      </c>
      <c r="K378">
        <f t="shared" si="108"/>
        <v>4.6421461895982774E-4</v>
      </c>
      <c r="L378">
        <f t="shared" si="97"/>
        <v>3.9396310894812964E+18</v>
      </c>
      <c r="M378">
        <f t="shared" si="98"/>
        <v>0.49638022578907476</v>
      </c>
      <c r="N378">
        <f t="shared" si="99"/>
        <v>0</v>
      </c>
      <c r="O378">
        <f t="shared" si="100"/>
        <v>0</v>
      </c>
      <c r="P378">
        <f t="shared" si="101"/>
        <v>0</v>
      </c>
      <c r="R378">
        <f t="shared" si="102"/>
        <v>3.7149999999999648</v>
      </c>
      <c r="S378">
        <f t="shared" si="103"/>
        <v>9.3963314486412107E-4</v>
      </c>
      <c r="T378">
        <f t="shared" si="109"/>
        <v>4.5784141554712954E-4</v>
      </c>
      <c r="U378" s="1">
        <f t="shared" si="104"/>
        <v>3.7969200037264108</v>
      </c>
      <c r="V378">
        <f t="shared" si="105"/>
        <v>4.1927599668455754E+21</v>
      </c>
      <c r="W378">
        <f t="shared" si="110"/>
        <v>3.939656233307496E+16</v>
      </c>
      <c r="Y378">
        <f t="shared" si="111"/>
        <v>3.7149999999999648</v>
      </c>
      <c r="Z378">
        <f t="shared" si="106"/>
        <v>0</v>
      </c>
      <c r="AA378">
        <f t="shared" si="112"/>
        <v>0</v>
      </c>
      <c r="AB378">
        <f t="shared" si="113"/>
        <v>1.0000235668946658</v>
      </c>
      <c r="AC378" s="1">
        <f t="shared" si="107"/>
        <v>7.4493433161470389E-3</v>
      </c>
    </row>
    <row r="379" spans="9:29" x14ac:dyDescent="0.2">
      <c r="I379">
        <f t="shared" si="114"/>
        <v>3.7249999999999646</v>
      </c>
      <c r="J379">
        <f t="shared" si="96"/>
        <v>9.2035538138733055E-4</v>
      </c>
      <c r="K379">
        <f t="shared" si="108"/>
        <v>4.548183474808161E-4</v>
      </c>
      <c r="L379">
        <f t="shared" si="97"/>
        <v>3.9944368172272558E+18</v>
      </c>
      <c r="M379">
        <f t="shared" si="98"/>
        <v>0.4863328830992254</v>
      </c>
      <c r="N379">
        <f t="shared" si="99"/>
        <v>0</v>
      </c>
      <c r="O379">
        <f t="shared" si="100"/>
        <v>0</v>
      </c>
      <c r="P379">
        <f t="shared" si="101"/>
        <v>0</v>
      </c>
      <c r="R379">
        <f t="shared" si="102"/>
        <v>3.7249999999999646</v>
      </c>
      <c r="S379">
        <f t="shared" si="103"/>
        <v>9.203612553524876E-4</v>
      </c>
      <c r="T379">
        <f t="shared" si="109"/>
        <v>4.4844508409848833E-4</v>
      </c>
      <c r="U379" s="1">
        <f t="shared" si="104"/>
        <v>3.7189953826076452</v>
      </c>
      <c r="V379">
        <f t="shared" si="105"/>
        <v>4.3401026364469113E+21</v>
      </c>
      <c r="W379">
        <f t="shared" si="110"/>
        <v>3.99446231083892E+16</v>
      </c>
      <c r="Y379">
        <f t="shared" si="111"/>
        <v>3.7249999999999646</v>
      </c>
      <c r="Z379">
        <f t="shared" si="106"/>
        <v>0</v>
      </c>
      <c r="AA379">
        <f t="shared" si="112"/>
        <v>0</v>
      </c>
      <c r="AB379">
        <f t="shared" si="113"/>
        <v>1.0000235668946658</v>
      </c>
      <c r="AC379" s="1">
        <f t="shared" si="107"/>
        <v>7.4493433161470389E-3</v>
      </c>
    </row>
    <row r="380" spans="9:29" x14ac:dyDescent="0.2">
      <c r="I380">
        <f t="shared" si="114"/>
        <v>3.7349999999999643</v>
      </c>
      <c r="J380">
        <f t="shared" si="96"/>
        <v>9.0147887908589462E-4</v>
      </c>
      <c r="K380">
        <f t="shared" si="108"/>
        <v>4.4561479366694281E-4</v>
      </c>
      <c r="L380">
        <f t="shared" si="97"/>
        <v>4.0500049685925012E+18</v>
      </c>
      <c r="M380">
        <f t="shared" si="98"/>
        <v>0.47649161155454856</v>
      </c>
      <c r="N380">
        <f t="shared" si="99"/>
        <v>0</v>
      </c>
      <c r="O380">
        <f t="shared" si="100"/>
        <v>0</v>
      </c>
      <c r="P380">
        <f t="shared" si="101"/>
        <v>0</v>
      </c>
      <c r="R380">
        <f t="shared" si="102"/>
        <v>3.7349999999999643</v>
      </c>
      <c r="S380">
        <f t="shared" si="103"/>
        <v>9.0148463257594066E-4</v>
      </c>
      <c r="T380">
        <f t="shared" si="109"/>
        <v>4.3924147154496344E-4</v>
      </c>
      <c r="U380" s="1">
        <f t="shared" si="104"/>
        <v>3.6426689966050469</v>
      </c>
      <c r="V380">
        <f t="shared" si="105"/>
        <v>4.4926232467023877E+21</v>
      </c>
      <c r="W380">
        <f t="shared" si="110"/>
        <v>4.0500308168556312E+16</v>
      </c>
      <c r="Y380">
        <f t="shared" si="111"/>
        <v>3.7349999999999643</v>
      </c>
      <c r="Z380">
        <f t="shared" si="106"/>
        <v>0</v>
      </c>
      <c r="AA380">
        <f t="shared" si="112"/>
        <v>0</v>
      </c>
      <c r="AB380">
        <f t="shared" si="113"/>
        <v>1.0000235668946658</v>
      </c>
      <c r="AC380" s="1">
        <f t="shared" si="107"/>
        <v>7.4493433161470389E-3</v>
      </c>
    </row>
    <row r="381" spans="9:29" x14ac:dyDescent="0.2">
      <c r="I381">
        <f t="shared" si="114"/>
        <v>3.7449999999999641</v>
      </c>
      <c r="J381">
        <f t="shared" si="96"/>
        <v>8.8298953412209382E-4</v>
      </c>
      <c r="K381">
        <f t="shared" si="108"/>
        <v>4.3660000487608384E-4</v>
      </c>
      <c r="L381">
        <f t="shared" si="97"/>
        <v>4.106346149946091E+18</v>
      </c>
      <c r="M381">
        <f t="shared" si="98"/>
        <v>0.46685218463285005</v>
      </c>
      <c r="N381">
        <f t="shared" si="99"/>
        <v>0</v>
      </c>
      <c r="O381">
        <f t="shared" si="100"/>
        <v>0</v>
      </c>
      <c r="P381">
        <f t="shared" si="101"/>
        <v>0</v>
      </c>
      <c r="R381">
        <f t="shared" si="102"/>
        <v>3.7449999999999641</v>
      </c>
      <c r="S381">
        <f t="shared" si="103"/>
        <v>8.8299516960797504E-4</v>
      </c>
      <c r="T381">
        <f t="shared" si="109"/>
        <v>4.3022662521920402E-4</v>
      </c>
      <c r="U381" s="1">
        <f t="shared" si="104"/>
        <v>3.5679080658930631</v>
      </c>
      <c r="V381">
        <f t="shared" si="105"/>
        <v>4.65050376166553E+21</v>
      </c>
      <c r="W381">
        <f t="shared" si="110"/>
        <v>4.1063723577943808E+16</v>
      </c>
      <c r="Y381">
        <f t="shared" si="111"/>
        <v>3.7449999999999641</v>
      </c>
      <c r="Z381">
        <f t="shared" si="106"/>
        <v>0</v>
      </c>
      <c r="AA381">
        <f t="shared" si="112"/>
        <v>0</v>
      </c>
      <c r="AB381">
        <f t="shared" si="113"/>
        <v>1.0000235668946658</v>
      </c>
      <c r="AC381" s="1">
        <f t="shared" si="107"/>
        <v>7.4493433161470389E-3</v>
      </c>
    </row>
    <row r="382" spans="9:29" x14ac:dyDescent="0.2">
      <c r="I382">
        <f t="shared" si="114"/>
        <v>3.7549999999999639</v>
      </c>
      <c r="J382">
        <f t="shared" si="96"/>
        <v>8.6487940589328343E-4</v>
      </c>
      <c r="K382">
        <f t="shared" si="108"/>
        <v>4.277701095348629E-4</v>
      </c>
      <c r="L382">
        <f t="shared" si="97"/>
        <v>4.1634711152063186E+18</v>
      </c>
      <c r="M382">
        <f t="shared" si="98"/>
        <v>0.45741046249796735</v>
      </c>
      <c r="N382">
        <f t="shared" si="99"/>
        <v>0</v>
      </c>
      <c r="O382">
        <f t="shared" si="100"/>
        <v>0</v>
      </c>
      <c r="P382">
        <f t="shared" si="101"/>
        <v>0</v>
      </c>
      <c r="R382">
        <f t="shared" si="102"/>
        <v>3.7549999999999639</v>
      </c>
      <c r="S382">
        <f t="shared" si="103"/>
        <v>8.6488492579526695E-4</v>
      </c>
      <c r="T382">
        <f t="shared" si="109"/>
        <v>4.2139667352312425E-4</v>
      </c>
      <c r="U382" s="1">
        <f t="shared" si="104"/>
        <v>3.4946804829608413</v>
      </c>
      <c r="V382">
        <f t="shared" si="105"/>
        <v>4.8139325400008947E+21</v>
      </c>
      <c r="W382">
        <f t="shared" si="110"/>
        <v>4.1634976876420944E+16</v>
      </c>
      <c r="Y382">
        <f t="shared" si="111"/>
        <v>3.7549999999999639</v>
      </c>
      <c r="Z382">
        <f t="shared" si="106"/>
        <v>0</v>
      </c>
      <c r="AA382">
        <f t="shared" si="112"/>
        <v>0</v>
      </c>
      <c r="AB382">
        <f t="shared" si="113"/>
        <v>1.0000235668946658</v>
      </c>
      <c r="AC382" s="1">
        <f t="shared" si="107"/>
        <v>7.4493433161470389E-3</v>
      </c>
    </row>
    <row r="383" spans="9:29" x14ac:dyDescent="0.2">
      <c r="I383">
        <f t="shared" si="114"/>
        <v>3.7649999999999637</v>
      </c>
      <c r="J383">
        <f t="shared" si="96"/>
        <v>8.4714071665869704E-4</v>
      </c>
      <c r="K383">
        <f t="shared" si="108"/>
        <v>4.1912131547593005E-4</v>
      </c>
      <c r="L383">
        <f t="shared" si="97"/>
        <v>4.2213907678934799E+18</v>
      </c>
      <c r="M383">
        <f t="shared" si="98"/>
        <v>0.44816239022183807</v>
      </c>
      <c r="N383">
        <f t="shared" si="99"/>
        <v>0</v>
      </c>
      <c r="O383">
        <f t="shared" si="100"/>
        <v>0</v>
      </c>
      <c r="P383">
        <f t="shared" si="101"/>
        <v>0</v>
      </c>
      <c r="R383">
        <f t="shared" si="102"/>
        <v>3.7649999999999637</v>
      </c>
      <c r="S383">
        <f t="shared" si="103"/>
        <v>8.4714612334741042E-4</v>
      </c>
      <c r="T383">
        <f t="shared" si="109"/>
        <v>4.1274782426517156E-4</v>
      </c>
      <c r="U383" s="1">
        <f t="shared" si="104"/>
        <v>3.4229547988230453</v>
      </c>
      <c r="V383">
        <f t="shared" si="105"/>
        <v>4.9831045597047229E+21</v>
      </c>
      <c r="W383">
        <f t="shared" si="110"/>
        <v>4.2214177099886608E+16</v>
      </c>
      <c r="Y383">
        <f t="shared" si="111"/>
        <v>3.7649999999999637</v>
      </c>
      <c r="Z383">
        <f t="shared" si="106"/>
        <v>0</v>
      </c>
      <c r="AA383">
        <f t="shared" si="112"/>
        <v>0</v>
      </c>
      <c r="AB383">
        <f t="shared" si="113"/>
        <v>1.0000235668946658</v>
      </c>
      <c r="AC383" s="1">
        <f t="shared" si="107"/>
        <v>7.4493433161470389E-3</v>
      </c>
    </row>
    <row r="384" spans="9:29" x14ac:dyDescent="0.2">
      <c r="I384">
        <f t="shared" si="114"/>
        <v>3.7749999999999635</v>
      </c>
      <c r="J384">
        <f t="shared" si="96"/>
        <v>8.2976584819914178E-4</v>
      </c>
      <c r="K384">
        <f t="shared" si="108"/>
        <v>4.1064990830934307E-4</v>
      </c>
      <c r="L384">
        <f t="shared" si="97"/>
        <v>4.2801161632108718E+18</v>
      </c>
      <c r="M384">
        <f t="shared" si="98"/>
        <v>0.43910399604303357</v>
      </c>
      <c r="N384">
        <f t="shared" si="99"/>
        <v>0</v>
      </c>
      <c r="O384">
        <f t="shared" si="100"/>
        <v>0</v>
      </c>
      <c r="P384">
        <f t="shared" si="101"/>
        <v>0</v>
      </c>
      <c r="R384">
        <f t="shared" si="102"/>
        <v>3.7749999999999635</v>
      </c>
      <c r="S384">
        <f t="shared" si="103"/>
        <v>8.2977114399659067E-4</v>
      </c>
      <c r="T384">
        <f t="shared" si="109"/>
        <v>4.0427636303169744E-4</v>
      </c>
      <c r="U384" s="1">
        <f t="shared" si="104"/>
        <v>3.3527002095134866</v>
      </c>
      <c r="V384">
        <f t="shared" si="105"/>
        <v>5.158221650722427E+21</v>
      </c>
      <c r="W384">
        <f t="shared" si="110"/>
        <v>4.2801434801079304E+16</v>
      </c>
      <c r="Y384">
        <f t="shared" si="111"/>
        <v>3.7749999999999635</v>
      </c>
      <c r="Z384">
        <f t="shared" si="106"/>
        <v>0</v>
      </c>
      <c r="AA384">
        <f t="shared" si="112"/>
        <v>0</v>
      </c>
      <c r="AB384">
        <f t="shared" si="113"/>
        <v>1.0000235668946658</v>
      </c>
      <c r="AC384" s="1">
        <f t="shared" si="107"/>
        <v>7.4493433161470389E-3</v>
      </c>
    </row>
    <row r="385" spans="9:29" x14ac:dyDescent="0.2">
      <c r="I385">
        <f t="shared" si="114"/>
        <v>3.7849999999999633</v>
      </c>
      <c r="J385">
        <f t="shared" si="96"/>
        <v>8.1274733854521471E-4</v>
      </c>
      <c r="K385">
        <f t="shared" si="108"/>
        <v>4.0235224982735165E-4</v>
      </c>
      <c r="L385">
        <f t="shared" si="97"/>
        <v>4.3396585101550971E+18</v>
      </c>
      <c r="M385">
        <f t="shared" si="98"/>
        <v>0.43023138966101021</v>
      </c>
      <c r="N385">
        <f t="shared" si="99"/>
        <v>0</v>
      </c>
      <c r="O385">
        <f t="shared" si="100"/>
        <v>0</v>
      </c>
      <c r="P385">
        <f t="shared" si="101"/>
        <v>0</v>
      </c>
      <c r="R385">
        <f t="shared" si="102"/>
        <v>3.7849999999999633</v>
      </c>
      <c r="S385">
        <f t="shared" si="103"/>
        <v>8.1275252572578064E-4</v>
      </c>
      <c r="T385">
        <f t="shared" si="109"/>
        <v>3.9597865159173153E-4</v>
      </c>
      <c r="U385" s="1">
        <f t="shared" si="104"/>
        <v>3.2838865428557726</v>
      </c>
      <c r="V385">
        <f t="shared" si="105"/>
        <v>5.3394927357411134E+21</v>
      </c>
      <c r="W385">
        <f t="shared" si="110"/>
        <v>4.3396862070680488E+16</v>
      </c>
      <c r="Y385">
        <f t="shared" si="111"/>
        <v>3.7849999999999633</v>
      </c>
      <c r="Z385">
        <f t="shared" si="106"/>
        <v>0</v>
      </c>
      <c r="AA385">
        <f t="shared" si="112"/>
        <v>0</v>
      </c>
      <c r="AB385">
        <f t="shared" si="113"/>
        <v>1.0000235668946658</v>
      </c>
      <c r="AC385" s="1">
        <f t="shared" si="107"/>
        <v>7.4493433161470389E-3</v>
      </c>
    </row>
    <row r="386" spans="9:29" x14ac:dyDescent="0.2">
      <c r="I386">
        <f t="shared" si="114"/>
        <v>3.7949999999999631</v>
      </c>
      <c r="J386">
        <f t="shared" si="96"/>
        <v>7.9607787877261182E-4</v>
      </c>
      <c r="K386">
        <f t="shared" si="108"/>
        <v>3.9422477644189948E-4</v>
      </c>
      <c r="L386">
        <f t="shared" si="97"/>
        <v>4.4000291736553631E+18</v>
      </c>
      <c r="M386">
        <f t="shared" si="98"/>
        <v>0.42154076056534495</v>
      </c>
      <c r="N386">
        <f t="shared" si="99"/>
        <v>0</v>
      </c>
      <c r="O386">
        <f t="shared" si="100"/>
        <v>0</v>
      </c>
      <c r="P386">
        <f t="shared" si="101"/>
        <v>0</v>
      </c>
      <c r="R386">
        <f t="shared" si="102"/>
        <v>3.7949999999999631</v>
      </c>
      <c r="S386">
        <f t="shared" si="103"/>
        <v>7.9608295956402875E-4</v>
      </c>
      <c r="T386">
        <f t="shared" si="109"/>
        <v>3.8785112633447374E-4</v>
      </c>
      <c r="U386" s="1">
        <f t="shared" si="104"/>
        <v>3.2164842455052893</v>
      </c>
      <c r="V386">
        <f t="shared" si="105"/>
        <v>5.5271340794437121E+21</v>
      </c>
      <c r="W386">
        <f t="shared" si="110"/>
        <v>4.4000572558707536E+16</v>
      </c>
      <c r="Y386">
        <f t="shared" si="111"/>
        <v>3.7949999999999631</v>
      </c>
      <c r="Z386">
        <f t="shared" si="106"/>
        <v>0</v>
      </c>
      <c r="AA386">
        <f t="shared" si="112"/>
        <v>0</v>
      </c>
      <c r="AB386">
        <f t="shared" si="113"/>
        <v>1.0000235668946658</v>
      </c>
      <c r="AC386" s="1">
        <f t="shared" si="107"/>
        <v>7.4493433161470389E-3</v>
      </c>
    </row>
    <row r="387" spans="9:29" x14ac:dyDescent="0.2">
      <c r="I387">
        <f t="shared" si="114"/>
        <v>3.8049999999999629</v>
      </c>
      <c r="J387">
        <f t="shared" si="96"/>
        <v>7.7975030986317348E-4</v>
      </c>
      <c r="K387">
        <f t="shared" si="108"/>
        <v>3.8626399765417338E-4</v>
      </c>
      <c r="L387">
        <f t="shared" si="97"/>
        <v>4.4612396767426924E+18</v>
      </c>
      <c r="M387">
        <f t="shared" si="98"/>
        <v>0.41302837639923939</v>
      </c>
      <c r="N387">
        <f t="shared" si="99"/>
        <v>0</v>
      </c>
      <c r="O387">
        <f t="shared" si="100"/>
        <v>0</v>
      </c>
      <c r="P387">
        <f t="shared" si="101"/>
        <v>0</v>
      </c>
      <c r="R387">
        <f t="shared" si="102"/>
        <v>3.8049999999999629</v>
      </c>
      <c r="S387">
        <f t="shared" si="103"/>
        <v>7.7975528644748425E-4</v>
      </c>
      <c r="T387">
        <f t="shared" si="109"/>
        <v>3.7989029673883345E-4</v>
      </c>
      <c r="U387" s="1">
        <f t="shared" si="104"/>
        <v>3.1504643702569517</v>
      </c>
      <c r="V387">
        <f t="shared" si="105"/>
        <v>5.7213695465225621E+21</v>
      </c>
      <c r="W387">
        <f t="shared" si="110"/>
        <v>4.4612681496206136E+16</v>
      </c>
      <c r="Y387">
        <f t="shared" si="111"/>
        <v>3.8049999999999629</v>
      </c>
      <c r="Z387">
        <f t="shared" si="106"/>
        <v>0</v>
      </c>
      <c r="AA387">
        <f t="shared" si="112"/>
        <v>0</v>
      </c>
      <c r="AB387">
        <f t="shared" si="113"/>
        <v>1.0000235668946658</v>
      </c>
      <c r="AC387" s="1">
        <f t="shared" si="107"/>
        <v>7.4493433161470389E-3</v>
      </c>
    </row>
    <row r="388" spans="9:29" x14ac:dyDescent="0.2">
      <c r="I388">
        <f t="shared" si="114"/>
        <v>3.8149999999999626</v>
      </c>
      <c r="J388">
        <f t="shared" si="96"/>
        <v>7.6375761963030865E-4</v>
      </c>
      <c r="K388">
        <f t="shared" si="108"/>
        <v>3.7846649455554164E-4</v>
      </c>
      <c r="L388">
        <f t="shared" si="97"/>
        <v>4.5233017027496412E+18</v>
      </c>
      <c r="M388">
        <f t="shared" si="98"/>
        <v>0.40469058135658742</v>
      </c>
      <c r="N388">
        <f t="shared" si="99"/>
        <v>0</v>
      </c>
      <c r="O388">
        <f t="shared" si="100"/>
        <v>0</v>
      </c>
      <c r="P388">
        <f t="shared" si="101"/>
        <v>0</v>
      </c>
      <c r="R388">
        <f t="shared" si="102"/>
        <v>3.8149999999999626</v>
      </c>
      <c r="S388">
        <f t="shared" si="103"/>
        <v>7.6376249414480274E-4</v>
      </c>
      <c r="T388">
        <f t="shared" si="109"/>
        <v>3.7209274387435862E-4</v>
      </c>
      <c r="U388" s="1">
        <f t="shared" si="104"/>
        <v>3.0857985636132734</v>
      </c>
      <c r="V388">
        <f t="shared" si="105"/>
        <v>5.9224308687605795E+21</v>
      </c>
      <c r="W388">
        <f t="shared" si="110"/>
        <v>4.5233305717247512E+16</v>
      </c>
      <c r="Y388">
        <f t="shared" si="111"/>
        <v>3.8149999999999626</v>
      </c>
      <c r="Z388">
        <f t="shared" si="106"/>
        <v>0</v>
      </c>
      <c r="AA388">
        <f t="shared" si="112"/>
        <v>0</v>
      </c>
      <c r="AB388">
        <f t="shared" si="113"/>
        <v>1.0000235668946658</v>
      </c>
      <c r="AC388" s="1">
        <f t="shared" si="107"/>
        <v>7.4493433161470389E-3</v>
      </c>
    </row>
    <row r="389" spans="9:29" x14ac:dyDescent="0.2">
      <c r="I389">
        <f t="shared" si="114"/>
        <v>3.8249999999999624</v>
      </c>
      <c r="J389">
        <f t="shared" si="96"/>
        <v>7.4809293970747362E-4</v>
      </c>
      <c r="K389">
        <f t="shared" si="108"/>
        <v>3.7082891835923856E-4</v>
      </c>
      <c r="L389">
        <f t="shared" si="97"/>
        <v>4.5862270975399695E+18</v>
      </c>
      <c r="M389">
        <f t="shared" si="98"/>
        <v>0.39652379461191944</v>
      </c>
      <c r="N389">
        <f t="shared" si="99"/>
        <v>0</v>
      </c>
      <c r="O389">
        <f t="shared" si="100"/>
        <v>0</v>
      </c>
      <c r="P389">
        <f t="shared" si="101"/>
        <v>0</v>
      </c>
      <c r="R389">
        <f t="shared" si="102"/>
        <v>3.8249999999999624</v>
      </c>
      <c r="S389">
        <f t="shared" si="103"/>
        <v>7.4809771424560426E-4</v>
      </c>
      <c r="T389">
        <f t="shared" si="109"/>
        <v>3.6445511893291058E-4</v>
      </c>
      <c r="U389" s="1">
        <f t="shared" si="104"/>
        <v>3.022459053607415</v>
      </c>
      <c r="V389">
        <f t="shared" si="105"/>
        <v>6.1305579214974537E+21</v>
      </c>
      <c r="W389">
        <f t="shared" si="110"/>
        <v>4.586256368122528E+16</v>
      </c>
      <c r="Y389">
        <f t="shared" si="111"/>
        <v>3.8249999999999624</v>
      </c>
      <c r="Z389">
        <f t="shared" si="106"/>
        <v>0</v>
      </c>
      <c r="AA389">
        <f t="shared" si="112"/>
        <v>0</v>
      </c>
      <c r="AB389">
        <f t="shared" si="113"/>
        <v>1.0000235668946658</v>
      </c>
      <c r="AC389" s="1">
        <f t="shared" si="107"/>
        <v>7.4493433161470389E-3</v>
      </c>
    </row>
    <row r="390" spans="9:29" x14ac:dyDescent="0.2">
      <c r="I390">
        <f t="shared" si="114"/>
        <v>3.8349999999999622</v>
      </c>
      <c r="J390">
        <f t="shared" si="96"/>
        <v>7.3274954259842451E-4</v>
      </c>
      <c r="K390">
        <f t="shared" si="108"/>
        <v>3.6334798896216382E-4</v>
      </c>
      <c r="L390">
        <f t="shared" si="97"/>
        <v>4.6500278717698621E+18</v>
      </c>
      <c r="M390">
        <f t="shared" si="98"/>
        <v>0.38852450878254879</v>
      </c>
      <c r="N390">
        <f t="shared" si="99"/>
        <v>0</v>
      </c>
      <c r="O390">
        <f t="shared" si="100"/>
        <v>0</v>
      </c>
      <c r="P390">
        <f t="shared" si="101"/>
        <v>0</v>
      </c>
      <c r="R390">
        <f t="shared" si="102"/>
        <v>3.8349999999999622</v>
      </c>
      <c r="S390">
        <f t="shared" si="103"/>
        <v>7.3275421921070835E-4</v>
      </c>
      <c r="T390">
        <f t="shared" si="109"/>
        <v>3.5697414179045451E-4</v>
      </c>
      <c r="U390" s="1">
        <f t="shared" si="104"/>
        <v>2.960418637875982</v>
      </c>
      <c r="V390">
        <f t="shared" si="105"/>
        <v>6.3459990098120876E+21</v>
      </c>
      <c r="W390">
        <f t="shared" si="110"/>
        <v>4.6500575495467848E+16</v>
      </c>
      <c r="Y390">
        <f t="shared" si="111"/>
        <v>3.8349999999999622</v>
      </c>
      <c r="Z390">
        <f t="shared" si="106"/>
        <v>0</v>
      </c>
      <c r="AA390">
        <f t="shared" si="112"/>
        <v>0</v>
      </c>
      <c r="AB390">
        <f t="shared" si="113"/>
        <v>1.0000235668946658</v>
      </c>
      <c r="AC390" s="1">
        <f t="shared" si="107"/>
        <v>7.4493433161470389E-3</v>
      </c>
    </row>
    <row r="391" spans="9:29" x14ac:dyDescent="0.2">
      <c r="I391">
        <f t="shared" si="114"/>
        <v>3.844999999999962</v>
      </c>
      <c r="J391">
        <f t="shared" ref="J391:J454" si="115">IF($I391&gt;$B$23,0,1)*IF($I391&lt;($B$23-$B$21),$B$10*EXP(-$B$10*($I391-$B$8)),$B$10*EXP(-$B$10*($B$23-$B$20-$B$21-$B$8)))/(1-EXP(-$B$10*($B$23-$B$21-$B$8)))*(1/(1+$B$24))</f>
        <v>7.177208387879623E-4</v>
      </c>
      <c r="K391">
        <f t="shared" si="108"/>
        <v>3.5602049353617956E-4</v>
      </c>
      <c r="L391">
        <f t="shared" ref="L391:L454" si="116">$V391*$J391</f>
        <v>4.7147162031803668E+18</v>
      </c>
      <c r="M391">
        <f t="shared" ref="M391:M454" si="117">$K391/$L$4*$B$18</f>
        <v>0.38068928842225841</v>
      </c>
      <c r="N391">
        <f t="shared" ref="N391:N454" si="118">IF($I391&gt;$B$23,0,1)*IF($I391&lt;($B$23-$B$21),0,M391)</f>
        <v>0</v>
      </c>
      <c r="O391">
        <f t="shared" ref="O391:O454" si="119">IF($I391&gt;$B$23,0,1)*IF($I391&lt;($B$23-$B$33),0,1)*IF($I391&lt;($B$23-$B$21),$B$10*EXP(-$B$10*($I391-$B$8)),$B$10*EXP(-$B$10*($B$23-$B$20-$B$21-$B$8)))/(1-EXP(-$B$10*($B$23-$B$21-$B$8)))*(1/(1+$B$24))*($B$18/(SUM($L$7:$L$105)*0.05))</f>
        <v>0</v>
      </c>
      <c r="P391">
        <f t="shared" ref="P391:P454" si="120">IF($I391&gt;$B$23,0,1)*IF($I391&lt;($B$23-$B$21),0,1)*$L391</f>
        <v>0</v>
      </c>
      <c r="R391">
        <f t="shared" ref="R391:R454" si="121">$I391</f>
        <v>3.844999999999962</v>
      </c>
      <c r="S391">
        <f t="shared" ref="S391:S454" si="122">IF($I391&lt;$B$23+0.01,$B$10*EXP(-$B$10*($I391-$B$8))/(1-EXP(-$B$10*($B$23-$B$8))),0)</f>
        <v>7.1772541948285991E-4</v>
      </c>
      <c r="T391">
        <f t="shared" si="109"/>
        <v>3.4964659959834743E-4</v>
      </c>
      <c r="U391" s="1">
        <f t="shared" ref="U391:U454" si="123">T391*$B$18/$W$4</f>
        <v>2.8996506719764521</v>
      </c>
      <c r="V391">
        <f t="shared" ref="V391:V454" si="124">10^(1.5*$I391+16.05)</f>
        <v>6.5690111647618538E+21</v>
      </c>
      <c r="W391">
        <f t="shared" si="110"/>
        <v>4.7147462938162912E+16</v>
      </c>
      <c r="Y391">
        <f t="shared" si="111"/>
        <v>3.844999999999962</v>
      </c>
      <c r="Z391">
        <f t="shared" ref="Z391:Z454" si="125">IF(AND($Y391&lt;$B$9+$B$27*$B$28,$Y391&gt;$B$9-$B$27*$B$28),NORMDIST($Y391,$B$9,$B$27,0) / (2*NORMDIST($B$28,0,1,1)-1),0)</f>
        <v>0</v>
      </c>
      <c r="AA391">
        <f t="shared" si="112"/>
        <v>0</v>
      </c>
      <c r="AB391">
        <f t="shared" si="113"/>
        <v>1.0000235668946658</v>
      </c>
      <c r="AC391" s="1">
        <f t="shared" ref="AC391:AC454" si="126">$AB391*$B$18/$AA$4</f>
        <v>7.4493433161470389E-3</v>
      </c>
    </row>
    <row r="392" spans="9:29" x14ac:dyDescent="0.2">
      <c r="I392">
        <f t="shared" si="114"/>
        <v>3.8549999999999618</v>
      </c>
      <c r="J392">
        <f t="shared" si="115"/>
        <v>7.0300037391194021E-4</v>
      </c>
      <c r="K392">
        <f t="shared" ref="K392:K455" si="127">$J392*K$4+K393</f>
        <v>3.4884328514829993E-4</v>
      </c>
      <c r="L392">
        <f t="shared" si="116"/>
        <v>4.7803044389217464E+18</v>
      </c>
      <c r="M392">
        <f t="shared" si="117"/>
        <v>0.37301476854588367</v>
      </c>
      <c r="N392">
        <f t="shared" si="118"/>
        <v>0</v>
      </c>
      <c r="O392">
        <f t="shared" si="119"/>
        <v>0</v>
      </c>
      <c r="P392">
        <f t="shared" si="120"/>
        <v>0</v>
      </c>
      <c r="R392">
        <f t="shared" si="121"/>
        <v>3.8549999999999618</v>
      </c>
      <c r="S392">
        <f t="shared" si="122"/>
        <v>7.0300486065671866E-4</v>
      </c>
      <c r="T392">
        <f t="shared" ref="T392:T455" si="128">T393+$S392*0.01</f>
        <v>3.4246934540351886E-4</v>
      </c>
      <c r="U392" s="1">
        <f t="shared" si="123"/>
        <v>2.8401290579442047</v>
      </c>
      <c r="V392">
        <f t="shared" si="124"/>
        <v>6.7998604500323365E+21</v>
      </c>
      <c r="W392">
        <f t="shared" ref="W392:W455" si="129">$S392*$V392*0.01</f>
        <v>4.7803349481601144E+16</v>
      </c>
      <c r="Y392">
        <f t="shared" ref="Y392:Y455" si="130">I392</f>
        <v>3.8549999999999618</v>
      </c>
      <c r="Z392">
        <f t="shared" si="125"/>
        <v>0</v>
      </c>
      <c r="AA392">
        <f t="shared" ref="AA392:AA455" si="131">$V392*$Z392*$K$4</f>
        <v>0</v>
      </c>
      <c r="AB392">
        <f t="shared" ref="AB392:AB455" si="132">Z392*$K$4+AB393</f>
        <v>1.0000235668946658</v>
      </c>
      <c r="AC392" s="1">
        <f t="shared" si="126"/>
        <v>7.4493433161470389E-3</v>
      </c>
    </row>
    <row r="393" spans="9:29" x14ac:dyDescent="0.2">
      <c r="I393">
        <f t="shared" si="114"/>
        <v>3.8649999999999616</v>
      </c>
      <c r="J393">
        <f t="shared" si="115"/>
        <v>6.8858182598531667E-4</v>
      </c>
      <c r="K393">
        <f t="shared" si="127"/>
        <v>3.4181328140918052E-4</v>
      </c>
      <c r="L393">
        <f t="shared" si="116"/>
        <v>4.8468050979103857E+18</v>
      </c>
      <c r="M393">
        <f t="shared" si="117"/>
        <v>0.3654976531841545</v>
      </c>
      <c r="N393">
        <f t="shared" si="118"/>
        <v>0</v>
      </c>
      <c r="O393">
        <f t="shared" si="119"/>
        <v>0</v>
      </c>
      <c r="P393">
        <f t="shared" si="120"/>
        <v>0</v>
      </c>
      <c r="R393">
        <f t="shared" si="121"/>
        <v>3.8649999999999616</v>
      </c>
      <c r="S393">
        <f t="shared" si="122"/>
        <v>6.885862207068942E-4</v>
      </c>
      <c r="T393">
        <f t="shared" si="128"/>
        <v>3.3543929679695169E-4</v>
      </c>
      <c r="U393" s="1">
        <f t="shared" si="123"/>
        <v>2.7818282330842568</v>
      </c>
      <c r="V393">
        <f t="shared" si="124"/>
        <v>7.0388222793636999E+21</v>
      </c>
      <c r="W393">
        <f t="shared" si="129"/>
        <v>4.8468360315745376E+16</v>
      </c>
      <c r="Y393">
        <f t="shared" si="130"/>
        <v>3.8649999999999616</v>
      </c>
      <c r="Z393">
        <f t="shared" si="125"/>
        <v>0</v>
      </c>
      <c r="AA393">
        <f t="shared" si="131"/>
        <v>0</v>
      </c>
      <c r="AB393">
        <f t="shared" si="132"/>
        <v>1.0000235668946658</v>
      </c>
      <c r="AC393" s="1">
        <f t="shared" si="126"/>
        <v>7.4493433161470389E-3</v>
      </c>
    </row>
    <row r="394" spans="9:29" x14ac:dyDescent="0.2">
      <c r="I394">
        <f t="shared" si="114"/>
        <v>3.8749999999999614</v>
      </c>
      <c r="J394">
        <f t="shared" si="115"/>
        <v>6.7445900268705357E-4</v>
      </c>
      <c r="K394">
        <f t="shared" si="127"/>
        <v>3.3492746314932738E-4</v>
      </c>
      <c r="L394">
        <f t="shared" si="116"/>
        <v>4.9142308732179241E+18</v>
      </c>
      <c r="M394">
        <f t="shared" si="117"/>
        <v>0.35813471396817903</v>
      </c>
      <c r="N394">
        <f t="shared" si="118"/>
        <v>0</v>
      </c>
      <c r="O394">
        <f t="shared" si="119"/>
        <v>0</v>
      </c>
      <c r="P394">
        <f t="shared" si="120"/>
        <v>0</v>
      </c>
      <c r="R394">
        <f t="shared" si="121"/>
        <v>3.8749999999999614</v>
      </c>
      <c r="S394">
        <f t="shared" si="122"/>
        <v>6.7446330727282745E-4</v>
      </c>
      <c r="T394">
        <f t="shared" si="128"/>
        <v>3.2855343458988273E-4</v>
      </c>
      <c r="U394" s="1">
        <f t="shared" si="123"/>
        <v>2.7247231589928709</v>
      </c>
      <c r="V394">
        <f t="shared" si="124"/>
        <v>7.2861817451313763E+21</v>
      </c>
      <c r="W394">
        <f t="shared" si="129"/>
        <v>4.9142622372122096E+16</v>
      </c>
      <c r="Y394">
        <f t="shared" si="130"/>
        <v>3.8749999999999614</v>
      </c>
      <c r="Z394">
        <f t="shared" si="125"/>
        <v>0</v>
      </c>
      <c r="AA394">
        <f t="shared" si="131"/>
        <v>0</v>
      </c>
      <c r="AB394">
        <f t="shared" si="132"/>
        <v>1.0000235668946658</v>
      </c>
      <c r="AC394" s="1">
        <f t="shared" si="126"/>
        <v>7.4493433161470389E-3</v>
      </c>
    </row>
    <row r="395" spans="9:29" x14ac:dyDescent="0.2">
      <c r="I395">
        <f t="shared" si="114"/>
        <v>3.8849999999999612</v>
      </c>
      <c r="J395">
        <f t="shared" si="115"/>
        <v>6.6062583870070705E-4</v>
      </c>
      <c r="K395">
        <f t="shared" si="127"/>
        <v>3.2818287312245682E-4</v>
      </c>
      <c r="L395">
        <f t="shared" si="116"/>
        <v>4.9825946344943165E+18</v>
      </c>
      <c r="M395">
        <f t="shared" si="117"/>
        <v>0.35092278874295801</v>
      </c>
      <c r="N395">
        <f t="shared" si="118"/>
        <v>0</v>
      </c>
      <c r="O395">
        <f t="shared" si="119"/>
        <v>0</v>
      </c>
      <c r="P395">
        <f t="shared" si="120"/>
        <v>0</v>
      </c>
      <c r="R395">
        <f t="shared" si="121"/>
        <v>3.8849999999999612</v>
      </c>
      <c r="S395">
        <f t="shared" si="122"/>
        <v>6.6063005499936395E-4</v>
      </c>
      <c r="T395">
        <f t="shared" si="128"/>
        <v>3.2180880151715444E-4</v>
      </c>
      <c r="U395" s="1">
        <f t="shared" si="123"/>
        <v>2.6687893108043368</v>
      </c>
      <c r="V395">
        <f t="shared" si="124"/>
        <v>7.5422339584747215E+21</v>
      </c>
      <c r="W395">
        <f t="shared" si="129"/>
        <v>4.9826264348052256E+16</v>
      </c>
      <c r="Y395">
        <f t="shared" si="130"/>
        <v>3.8849999999999612</v>
      </c>
      <c r="Z395">
        <f t="shared" si="125"/>
        <v>0</v>
      </c>
      <c r="AA395">
        <f t="shared" si="131"/>
        <v>0</v>
      </c>
      <c r="AB395">
        <f t="shared" si="132"/>
        <v>1.0000235668946658</v>
      </c>
      <c r="AC395" s="1">
        <f t="shared" si="126"/>
        <v>7.4493433161470389E-3</v>
      </c>
    </row>
    <row r="396" spans="9:29" x14ac:dyDescent="0.2">
      <c r="I396">
        <f t="shared" si="114"/>
        <v>3.8949999999999609</v>
      </c>
      <c r="J396">
        <f t="shared" si="115"/>
        <v>6.4707639310956553E-4</v>
      </c>
      <c r="K396">
        <f t="shared" si="127"/>
        <v>3.2157661473544973E-4</v>
      </c>
      <c r="L396">
        <f t="shared" si="116"/>
        <v>5.051909430424279E+18</v>
      </c>
      <c r="M396">
        <f t="shared" si="117"/>
        <v>0.34385878020933769</v>
      </c>
      <c r="N396">
        <f t="shared" si="118"/>
        <v>0</v>
      </c>
      <c r="O396">
        <f t="shared" si="119"/>
        <v>0</v>
      </c>
      <c r="P396">
        <f t="shared" si="120"/>
        <v>0</v>
      </c>
      <c r="R396">
        <f t="shared" si="121"/>
        <v>3.8949999999999609</v>
      </c>
      <c r="S396">
        <f t="shared" si="122"/>
        <v>6.470805229318755E-4</v>
      </c>
      <c r="T396">
        <f t="shared" si="128"/>
        <v>3.1520250096716082E-4</v>
      </c>
      <c r="U396" s="1">
        <f t="shared" si="123"/>
        <v>2.6140026666582972</v>
      </c>
      <c r="V396">
        <f t="shared" si="124"/>
        <v>7.8072844013780452E+21</v>
      </c>
      <c r="W396">
        <f t="shared" si="129"/>
        <v>5.05194167312158E+16</v>
      </c>
      <c r="Y396">
        <f t="shared" si="130"/>
        <v>3.8949999999999609</v>
      </c>
      <c r="Z396">
        <f t="shared" si="125"/>
        <v>0</v>
      </c>
      <c r="AA396">
        <f t="shared" si="131"/>
        <v>0</v>
      </c>
      <c r="AB396">
        <f t="shared" si="132"/>
        <v>1.0000235668946658</v>
      </c>
      <c r="AC396" s="1">
        <f t="shared" si="126"/>
        <v>7.4493433161470389E-3</v>
      </c>
    </row>
    <row r="397" spans="9:29" x14ac:dyDescent="0.2">
      <c r="I397">
        <f t="shared" si="114"/>
        <v>3.9049999999999607</v>
      </c>
      <c r="J397">
        <f t="shared" si="115"/>
        <v>6.3380484684520233E-4</v>
      </c>
      <c r="K397">
        <f t="shared" si="127"/>
        <v>3.1510585080435409E-4</v>
      </c>
      <c r="L397">
        <f t="shared" si="116"/>
        <v>5.1221884912176835E+18</v>
      </c>
      <c r="M397">
        <f t="shared" si="117"/>
        <v>0.33693965459381497</v>
      </c>
      <c r="N397">
        <f t="shared" si="118"/>
        <v>0</v>
      </c>
      <c r="O397">
        <f t="shared" si="119"/>
        <v>0</v>
      </c>
      <c r="P397">
        <f t="shared" si="120"/>
        <v>0</v>
      </c>
      <c r="R397">
        <f t="shared" si="121"/>
        <v>3.9049999999999607</v>
      </c>
      <c r="S397">
        <f t="shared" si="122"/>
        <v>6.3380889196479643E-4</v>
      </c>
      <c r="T397">
        <f t="shared" si="128"/>
        <v>3.0873169573784204E-4</v>
      </c>
      <c r="U397" s="1">
        <f t="shared" si="123"/>
        <v>2.5603396973831014</v>
      </c>
      <c r="V397">
        <f t="shared" si="124"/>
        <v>8.0816492911243129E+21</v>
      </c>
      <c r="W397">
        <f t="shared" si="129"/>
        <v>5.122221182455584E+16</v>
      </c>
      <c r="Y397">
        <f t="shared" si="130"/>
        <v>3.9049999999999607</v>
      </c>
      <c r="Z397">
        <f t="shared" si="125"/>
        <v>0</v>
      </c>
      <c r="AA397">
        <f t="shared" si="131"/>
        <v>0</v>
      </c>
      <c r="AB397">
        <f t="shared" si="132"/>
        <v>1.0000235668946658</v>
      </c>
      <c r="AC397" s="1">
        <f t="shared" si="126"/>
        <v>7.4493433161470389E-3</v>
      </c>
    </row>
    <row r="398" spans="9:29" x14ac:dyDescent="0.2">
      <c r="I398">
        <f t="shared" si="114"/>
        <v>3.9149999999999605</v>
      </c>
      <c r="J398">
        <f t="shared" si="115"/>
        <v>6.2080550018837042E-4</v>
      </c>
      <c r="K398">
        <f t="shared" si="127"/>
        <v>3.0876780233590208E-4</v>
      </c>
      <c r="L398">
        <f t="shared" si="116"/>
        <v>5.1934452311350333E+18</v>
      </c>
      <c r="M398">
        <f t="shared" si="117"/>
        <v>0.33016244034562564</v>
      </c>
      <c r="N398">
        <f t="shared" si="118"/>
        <v>0</v>
      </c>
      <c r="O398">
        <f t="shared" si="119"/>
        <v>0</v>
      </c>
      <c r="P398">
        <f t="shared" si="120"/>
        <v>0</v>
      </c>
      <c r="R398">
        <f t="shared" si="121"/>
        <v>3.9149999999999605</v>
      </c>
      <c r="S398">
        <f t="shared" si="122"/>
        <v>6.2080946234250266E-4</v>
      </c>
      <c r="T398">
        <f t="shared" si="128"/>
        <v>3.0239360681819409E-4</v>
      </c>
      <c r="U398" s="1">
        <f t="shared" si="123"/>
        <v>2.5077773563907519</v>
      </c>
      <c r="V398">
        <f t="shared" si="124"/>
        <v>8.3656559575570621E+21</v>
      </c>
      <c r="W398">
        <f t="shared" si="129"/>
        <v>5.1934783771533536E+16</v>
      </c>
      <c r="Y398">
        <f t="shared" si="130"/>
        <v>3.9149999999999605</v>
      </c>
      <c r="Z398">
        <f t="shared" si="125"/>
        <v>0</v>
      </c>
      <c r="AA398">
        <f t="shared" si="131"/>
        <v>0</v>
      </c>
      <c r="AB398">
        <f t="shared" si="132"/>
        <v>1.0000235668946658</v>
      </c>
      <c r="AC398" s="1">
        <f t="shared" si="126"/>
        <v>7.4493433161470389E-3</v>
      </c>
    </row>
    <row r="399" spans="9:29" x14ac:dyDescent="0.2">
      <c r="I399">
        <f t="shared" si="114"/>
        <v>3.9249999999999603</v>
      </c>
      <c r="J399">
        <f t="shared" si="115"/>
        <v>6.0807277032114745E-4</v>
      </c>
      <c r="K399">
        <f t="shared" si="127"/>
        <v>3.0255974733401839E-4</v>
      </c>
      <c r="L399">
        <f t="shared" si="116"/>
        <v>5.2656932510476739E+18</v>
      </c>
      <c r="M399">
        <f t="shared" si="117"/>
        <v>0.3235242268605551</v>
      </c>
      <c r="N399">
        <f t="shared" si="118"/>
        <v>0</v>
      </c>
      <c r="O399">
        <f t="shared" si="119"/>
        <v>0</v>
      </c>
      <c r="P399">
        <f t="shared" si="120"/>
        <v>0</v>
      </c>
      <c r="R399">
        <f t="shared" si="121"/>
        <v>3.9249999999999603</v>
      </c>
      <c r="S399">
        <f t="shared" si="122"/>
        <v>6.080766512114405E-4</v>
      </c>
      <c r="T399">
        <f t="shared" si="128"/>
        <v>2.9618551219476904E-4</v>
      </c>
      <c r="U399" s="1">
        <f t="shared" si="123"/>
        <v>2.4562930697791088</v>
      </c>
      <c r="V399">
        <f t="shared" si="124"/>
        <v>8.6596432335995771E+21</v>
      </c>
      <c r="W399">
        <f t="shared" si="129"/>
        <v>5.2657268581730408E+16</v>
      </c>
      <c r="Y399">
        <f t="shared" si="130"/>
        <v>3.9249999999999603</v>
      </c>
      <c r="Z399">
        <f t="shared" si="125"/>
        <v>0</v>
      </c>
      <c r="AA399">
        <f t="shared" si="131"/>
        <v>0</v>
      </c>
      <c r="AB399">
        <f t="shared" si="132"/>
        <v>1.0000235668946658</v>
      </c>
      <c r="AC399" s="1">
        <f t="shared" si="126"/>
        <v>7.4493433161470389E-3</v>
      </c>
    </row>
    <row r="400" spans="9:29" x14ac:dyDescent="0.2">
      <c r="I400">
        <f t="shared" si="114"/>
        <v>3.9349999999999601</v>
      </c>
      <c r="J400">
        <f t="shared" si="115"/>
        <v>5.9560118892928711E-4</v>
      </c>
      <c r="K400">
        <f t="shared" si="127"/>
        <v>2.964790196308069E-4</v>
      </c>
      <c r="L400">
        <f t="shared" si="116"/>
        <v>5.338946341033983E+18</v>
      </c>
      <c r="M400">
        <f t="shared" si="117"/>
        <v>0.31702216323092347</v>
      </c>
      <c r="N400">
        <f t="shared" si="118"/>
        <v>0</v>
      </c>
      <c r="O400">
        <f t="shared" si="119"/>
        <v>0</v>
      </c>
      <c r="P400">
        <f t="shared" si="120"/>
        <v>0</v>
      </c>
      <c r="R400">
        <f t="shared" si="121"/>
        <v>3.9349999999999601</v>
      </c>
      <c r="S400">
        <f t="shared" si="122"/>
        <v>5.9560499022246372E-4</v>
      </c>
      <c r="T400">
        <f t="shared" si="128"/>
        <v>2.9010474568265463E-4</v>
      </c>
      <c r="U400" s="1">
        <f t="shared" si="123"/>
        <v>2.4058647266370929</v>
      </c>
      <c r="V400">
        <f t="shared" si="124"/>
        <v>8.9639618594983201E+21</v>
      </c>
      <c r="W400">
        <f t="shared" si="129"/>
        <v>5.3389804156810344E+16</v>
      </c>
      <c r="Y400">
        <f t="shared" si="130"/>
        <v>3.9349999999999601</v>
      </c>
      <c r="Z400">
        <f t="shared" si="125"/>
        <v>0</v>
      </c>
      <c r="AA400">
        <f t="shared" si="131"/>
        <v>0</v>
      </c>
      <c r="AB400">
        <f t="shared" si="132"/>
        <v>1.0000235668946658</v>
      </c>
      <c r="AC400" s="1">
        <f t="shared" si="126"/>
        <v>7.4493433161470389E-3</v>
      </c>
    </row>
    <row r="401" spans="9:29" x14ac:dyDescent="0.2">
      <c r="I401">
        <f t="shared" si="114"/>
        <v>3.9449999999999599</v>
      </c>
      <c r="J401">
        <f t="shared" si="115"/>
        <v>5.8338539985375174E-4</v>
      </c>
      <c r="K401">
        <f t="shared" si="127"/>
        <v>2.9052300774151402E-4</v>
      </c>
      <c r="L401">
        <f t="shared" si="116"/>
        <v>5.4132184830115441E+18</v>
      </c>
      <c r="M401">
        <f t="shared" si="117"/>
        <v>0.31065345702120917</v>
      </c>
      <c r="N401">
        <f t="shared" si="118"/>
        <v>0</v>
      </c>
      <c r="O401">
        <f t="shared" si="119"/>
        <v>0</v>
      </c>
      <c r="P401">
        <f t="shared" si="120"/>
        <v>0</v>
      </c>
      <c r="R401">
        <f t="shared" si="121"/>
        <v>3.9449999999999599</v>
      </c>
      <c r="S401">
        <f t="shared" si="122"/>
        <v>5.8338912318234976E-4</v>
      </c>
      <c r="T401">
        <f t="shared" si="128"/>
        <v>2.8414869578042998E-4</v>
      </c>
      <c r="U401" s="1">
        <f t="shared" si="123"/>
        <v>2.356470669548735</v>
      </c>
      <c r="V401">
        <f t="shared" si="124"/>
        <v>9.2789749012720895E+21</v>
      </c>
      <c r="W401">
        <f t="shared" si="129"/>
        <v>5.4132530316841544E+16</v>
      </c>
      <c r="Y401">
        <f t="shared" si="130"/>
        <v>3.9449999999999599</v>
      </c>
      <c r="Z401">
        <f t="shared" si="125"/>
        <v>0</v>
      </c>
      <c r="AA401">
        <f t="shared" si="131"/>
        <v>0</v>
      </c>
      <c r="AB401">
        <f t="shared" si="132"/>
        <v>1.0000235668946658</v>
      </c>
      <c r="AC401" s="1">
        <f t="shared" si="126"/>
        <v>7.4493433161470389E-3</v>
      </c>
    </row>
    <row r="402" spans="9:29" x14ac:dyDescent="0.2">
      <c r="I402">
        <f t="shared" si="114"/>
        <v>3.9549999999999597</v>
      </c>
      <c r="J402">
        <f t="shared" si="115"/>
        <v>5.7142015679039957E-4</v>
      </c>
      <c r="K402">
        <f t="shared" si="127"/>
        <v>2.8468915374297649E-4</v>
      </c>
      <c r="L402">
        <f t="shared" si="116"/>
        <v>5.4885238534056428E+18</v>
      </c>
      <c r="M402">
        <f t="shared" si="117"/>
        <v>0.3044153730687838</v>
      </c>
      <c r="N402">
        <f t="shared" si="118"/>
        <v>0</v>
      </c>
      <c r="O402">
        <f t="shared" si="119"/>
        <v>0</v>
      </c>
      <c r="P402">
        <f t="shared" si="120"/>
        <v>0</v>
      </c>
      <c r="R402">
        <f t="shared" si="121"/>
        <v>3.9549999999999597</v>
      </c>
      <c r="S402">
        <f t="shared" si="122"/>
        <v>5.7142380375347376E-4</v>
      </c>
      <c r="T402">
        <f t="shared" si="128"/>
        <v>2.7831480454860649E-4</v>
      </c>
      <c r="U402" s="1">
        <f t="shared" si="123"/>
        <v>2.308089685291983</v>
      </c>
      <c r="V402">
        <f t="shared" si="124"/>
        <v>9.6050581838660391E+21</v>
      </c>
      <c r="W402">
        <f t="shared" si="129"/>
        <v>5.488558882698164E+16</v>
      </c>
      <c r="Y402">
        <f t="shared" si="130"/>
        <v>3.9549999999999597</v>
      </c>
      <c r="Z402">
        <f t="shared" si="125"/>
        <v>0</v>
      </c>
      <c r="AA402">
        <f t="shared" si="131"/>
        <v>0</v>
      </c>
      <c r="AB402">
        <f t="shared" si="132"/>
        <v>1.0000235668946658</v>
      </c>
      <c r="AC402" s="1">
        <f t="shared" si="126"/>
        <v>7.4493433161470389E-3</v>
      </c>
    </row>
    <row r="403" spans="9:29" x14ac:dyDescent="0.2">
      <c r="I403">
        <f t="shared" si="114"/>
        <v>3.9649999999999594</v>
      </c>
      <c r="J403">
        <f t="shared" si="115"/>
        <v>5.5970032103686528E-4</v>
      </c>
      <c r="K403">
        <f t="shared" si="127"/>
        <v>2.7897495217507249E-4</v>
      </c>
      <c r="L403">
        <f t="shared" si="116"/>
        <v>5.5648768258552986E+18</v>
      </c>
      <c r="M403">
        <f t="shared" si="117"/>
        <v>0.29830523230924444</v>
      </c>
      <c r="N403">
        <f t="shared" si="118"/>
        <v>0</v>
      </c>
      <c r="O403">
        <f t="shared" si="119"/>
        <v>0</v>
      </c>
      <c r="P403">
        <f t="shared" si="120"/>
        <v>0</v>
      </c>
      <c r="R403">
        <f t="shared" si="121"/>
        <v>3.9649999999999594</v>
      </c>
      <c r="S403">
        <f t="shared" si="122"/>
        <v>5.5970389320067363E-4</v>
      </c>
      <c r="T403">
        <f t="shared" si="128"/>
        <v>2.7260056651107174E-4</v>
      </c>
      <c r="U403" s="1">
        <f t="shared" si="123"/>
        <v>2.260700995728278</v>
      </c>
      <c r="V403">
        <f t="shared" si="124"/>
        <v>9.9426007395281834E+21</v>
      </c>
      <c r="W403">
        <f t="shared" si="129"/>
        <v>5.5649123424538216E+16</v>
      </c>
      <c r="Y403">
        <f t="shared" si="130"/>
        <v>3.9649999999999594</v>
      </c>
      <c r="Z403">
        <f t="shared" si="125"/>
        <v>0</v>
      </c>
      <c r="AA403">
        <f t="shared" si="131"/>
        <v>0</v>
      </c>
      <c r="AB403">
        <f t="shared" si="132"/>
        <v>1.0000235668946658</v>
      </c>
      <c r="AC403" s="1">
        <f t="shared" si="126"/>
        <v>7.4493433161470389E-3</v>
      </c>
    </row>
    <row r="404" spans="9:29" x14ac:dyDescent="0.2">
      <c r="I404">
        <f t="shared" si="114"/>
        <v>3.9749999999999592</v>
      </c>
      <c r="J404">
        <f t="shared" si="115"/>
        <v>5.482208592856437E-4</v>
      </c>
      <c r="K404">
        <f t="shared" si="127"/>
        <v>2.7337794896470385E-4</v>
      </c>
      <c r="L404">
        <f t="shared" si="116"/>
        <v>5.6422919739568845E+18</v>
      </c>
      <c r="M404">
        <f t="shared" si="117"/>
        <v>0.29232041062583819</v>
      </c>
      <c r="N404">
        <f t="shared" si="118"/>
        <v>0</v>
      </c>
      <c r="O404">
        <f t="shared" si="119"/>
        <v>0</v>
      </c>
      <c r="P404">
        <f t="shared" si="120"/>
        <v>0</v>
      </c>
      <c r="R404">
        <f t="shared" si="121"/>
        <v>3.9749999999999592</v>
      </c>
      <c r="S404">
        <f t="shared" si="122"/>
        <v>5.4822435818432024E-4</v>
      </c>
      <c r="T404">
        <f t="shared" si="128"/>
        <v>2.6700352757906499E-4</v>
      </c>
      <c r="U404" s="1">
        <f t="shared" si="123"/>
        <v>2.2142842488789878</v>
      </c>
      <c r="V404">
        <f t="shared" si="124"/>
        <v>1.0292005271942849E+22</v>
      </c>
      <c r="W404">
        <f t="shared" si="129"/>
        <v>5.6423279846405088E+16</v>
      </c>
      <c r="Y404">
        <f t="shared" si="130"/>
        <v>3.9749999999999592</v>
      </c>
      <c r="Z404">
        <f t="shared" si="125"/>
        <v>0</v>
      </c>
      <c r="AA404">
        <f t="shared" si="131"/>
        <v>0</v>
      </c>
      <c r="AB404">
        <f t="shared" si="132"/>
        <v>1.0000235668946658</v>
      </c>
      <c r="AC404" s="1">
        <f t="shared" si="126"/>
        <v>7.4493433161470389E-3</v>
      </c>
    </row>
    <row r="405" spans="9:29" x14ac:dyDescent="0.2">
      <c r="I405">
        <f t="shared" si="114"/>
        <v>3.984999999999959</v>
      </c>
      <c r="J405">
        <f t="shared" si="115"/>
        <v>5.36976841462439E-4</v>
      </c>
      <c r="K405">
        <f t="shared" si="127"/>
        <v>2.6789574037184742E-4</v>
      </c>
      <c r="L405">
        <f t="shared" si="116"/>
        <v>5.7207840740456028E+18</v>
      </c>
      <c r="M405">
        <f t="shared" si="117"/>
        <v>0.28645833772248486</v>
      </c>
      <c r="N405">
        <f t="shared" si="118"/>
        <v>0</v>
      </c>
      <c r="O405">
        <f t="shared" si="119"/>
        <v>0</v>
      </c>
      <c r="P405">
        <f t="shared" si="120"/>
        <v>0</v>
      </c>
      <c r="R405">
        <f t="shared" si="121"/>
        <v>3.984999999999959</v>
      </c>
      <c r="S405">
        <f t="shared" si="122"/>
        <v>5.369802685986526E-4</v>
      </c>
      <c r="T405">
        <f t="shared" si="128"/>
        <v>2.6152128399722181E-4</v>
      </c>
      <c r="U405" s="1">
        <f t="shared" si="123"/>
        <v>2.1688195101848571</v>
      </c>
      <c r="V405">
        <f t="shared" si="124"/>
        <v>1.0653688636674224E+22</v>
      </c>
      <c r="W405">
        <f t="shared" si="129"/>
        <v>5.7208205856877376E+16</v>
      </c>
      <c r="Y405">
        <f t="shared" si="130"/>
        <v>3.984999999999959</v>
      </c>
      <c r="Z405">
        <f t="shared" si="125"/>
        <v>0</v>
      </c>
      <c r="AA405">
        <f t="shared" si="131"/>
        <v>0</v>
      </c>
      <c r="AB405">
        <f t="shared" si="132"/>
        <v>1.0000235668946658</v>
      </c>
      <c r="AC405" s="1">
        <f t="shared" si="126"/>
        <v>7.4493433161470389E-3</v>
      </c>
    </row>
    <row r="406" spans="9:29" x14ac:dyDescent="0.2">
      <c r="I406">
        <f t="shared" si="114"/>
        <v>3.9949999999999588</v>
      </c>
      <c r="J406">
        <f t="shared" si="115"/>
        <v>5.2596343860885405E-4</v>
      </c>
      <c r="K406">
        <f t="shared" si="127"/>
        <v>2.6252597195722304E-4</v>
      </c>
      <c r="L406">
        <f t="shared" si="116"/>
        <v>5.8003681080159068E+18</v>
      </c>
      <c r="M406">
        <f t="shared" si="117"/>
        <v>0.28071649601991466</v>
      </c>
      <c r="N406">
        <f t="shared" si="118"/>
        <v>0</v>
      </c>
      <c r="O406">
        <f t="shared" si="119"/>
        <v>0</v>
      </c>
      <c r="P406">
        <f t="shared" si="120"/>
        <v>0</v>
      </c>
      <c r="R406">
        <f t="shared" si="121"/>
        <v>3.9949999999999588</v>
      </c>
      <c r="S406">
        <f t="shared" si="122"/>
        <v>5.2596679545445382E-4</v>
      </c>
      <c r="T406">
        <f t="shared" si="128"/>
        <v>2.5615148131123526E-4</v>
      </c>
      <c r="U406" s="1">
        <f t="shared" si="123"/>
        <v>2.1242872539447326</v>
      </c>
      <c r="V406">
        <f t="shared" si="124"/>
        <v>1.1028082338494058E+22</v>
      </c>
      <c r="W406">
        <f t="shared" si="129"/>
        <v>5.8004051275855792E+16</v>
      </c>
      <c r="Y406">
        <f t="shared" si="130"/>
        <v>3.9949999999999588</v>
      </c>
      <c r="Z406">
        <f t="shared" si="125"/>
        <v>0</v>
      </c>
      <c r="AA406">
        <f t="shared" si="131"/>
        <v>0</v>
      </c>
      <c r="AB406">
        <f t="shared" si="132"/>
        <v>1.0000235668946658</v>
      </c>
      <c r="AC406" s="1">
        <f t="shared" si="126"/>
        <v>7.4493433161470389E-3</v>
      </c>
    </row>
    <row r="407" spans="9:29" x14ac:dyDescent="0.2">
      <c r="I407">
        <f t="shared" si="114"/>
        <v>4.004999999999959</v>
      </c>
      <c r="J407">
        <f t="shared" si="115"/>
        <v>5.1517592080849606E-4</v>
      </c>
      <c r="K407">
        <f t="shared" si="127"/>
        <v>2.5726633757113448E-4</v>
      </c>
      <c r="L407">
        <f t="shared" si="116"/>
        <v>5.8810592661812552E+18</v>
      </c>
      <c r="M407">
        <f t="shared" si="117"/>
        <v>0.27509241957444502</v>
      </c>
      <c r="N407">
        <f t="shared" si="118"/>
        <v>0</v>
      </c>
      <c r="O407">
        <f t="shared" si="119"/>
        <v>0</v>
      </c>
      <c r="P407">
        <f t="shared" si="120"/>
        <v>0</v>
      </c>
      <c r="R407">
        <f t="shared" si="121"/>
        <v>4.004999999999959</v>
      </c>
      <c r="S407">
        <f t="shared" si="122"/>
        <v>5.1517920880514358E-4</v>
      </c>
      <c r="T407">
        <f t="shared" si="128"/>
        <v>2.5089181335669075E-4</v>
      </c>
      <c r="U407" s="1">
        <f t="shared" si="123"/>
        <v>2.0806683549298768</v>
      </c>
      <c r="V407">
        <f t="shared" si="124"/>
        <v>1.1415633046186943E+22</v>
      </c>
      <c r="W407">
        <f t="shared" si="129"/>
        <v>5.88109680074444E+16</v>
      </c>
      <c r="Y407">
        <f t="shared" si="130"/>
        <v>4.004999999999959</v>
      </c>
      <c r="Z407">
        <f t="shared" si="125"/>
        <v>0</v>
      </c>
      <c r="AA407">
        <f t="shared" si="131"/>
        <v>0</v>
      </c>
      <c r="AB407">
        <f t="shared" si="132"/>
        <v>1.0000235668946658</v>
      </c>
      <c r="AC407" s="1">
        <f t="shared" si="126"/>
        <v>7.4493433161470389E-3</v>
      </c>
    </row>
    <row r="408" spans="9:29" x14ac:dyDescent="0.2">
      <c r="I408">
        <f t="shared" si="114"/>
        <v>4.0149999999999588</v>
      </c>
      <c r="J408">
        <f t="shared" si="115"/>
        <v>5.046096551556263E-4</v>
      </c>
      <c r="K408">
        <f t="shared" si="127"/>
        <v>2.5211457836304952E-4</v>
      </c>
      <c r="L408">
        <f t="shared" si="116"/>
        <v>5.9628729501733683E+18</v>
      </c>
      <c r="M408">
        <f t="shared" si="117"/>
        <v>0.26958369301893459</v>
      </c>
      <c r="N408">
        <f t="shared" si="118"/>
        <v>0</v>
      </c>
      <c r="O408">
        <f t="shared" si="119"/>
        <v>0</v>
      </c>
      <c r="P408">
        <f t="shared" si="120"/>
        <v>0</v>
      </c>
      <c r="R408">
        <f t="shared" si="121"/>
        <v>4.0149999999999588</v>
      </c>
      <c r="S408">
        <f t="shared" si="122"/>
        <v>5.0461287571541456E-4</v>
      </c>
      <c r="T408">
        <f t="shared" si="128"/>
        <v>2.4574002126863929E-4</v>
      </c>
      <c r="U408" s="1">
        <f t="shared" si="123"/>
        <v>2.0379440801702717</v>
      </c>
      <c r="V408">
        <f t="shared" si="124"/>
        <v>1.1816803125446268E+22</v>
      </c>
      <c r="W408">
        <f t="shared" si="129"/>
        <v>5.96291100689434E+16</v>
      </c>
      <c r="Y408">
        <f t="shared" si="130"/>
        <v>4.0149999999999588</v>
      </c>
      <c r="Z408">
        <f t="shared" si="125"/>
        <v>0</v>
      </c>
      <c r="AA408">
        <f t="shared" si="131"/>
        <v>0</v>
      </c>
      <c r="AB408">
        <f t="shared" si="132"/>
        <v>1.0000235668946658</v>
      </c>
      <c r="AC408" s="1">
        <f t="shared" si="126"/>
        <v>7.4493433161470389E-3</v>
      </c>
    </row>
    <row r="409" spans="9:29" x14ac:dyDescent="0.2">
      <c r="I409">
        <f t="shared" si="114"/>
        <v>4.0249999999999586</v>
      </c>
      <c r="J409">
        <f t="shared" si="115"/>
        <v>4.9426010376547316E-4</v>
      </c>
      <c r="K409">
        <f t="shared" si="127"/>
        <v>2.4706848181149324E-4</v>
      </c>
      <c r="L409">
        <f t="shared" si="116"/>
        <v>6.0458247758820004E+18</v>
      </c>
      <c r="M409">
        <f t="shared" si="117"/>
        <v>0.26418795052545718</v>
      </c>
      <c r="N409">
        <f t="shared" si="118"/>
        <v>0</v>
      </c>
      <c r="O409">
        <f t="shared" si="119"/>
        <v>0</v>
      </c>
      <c r="P409">
        <f t="shared" si="120"/>
        <v>0</v>
      </c>
      <c r="R409">
        <f t="shared" si="121"/>
        <v>4.0249999999999586</v>
      </c>
      <c r="S409">
        <f t="shared" si="122"/>
        <v>4.9426325827153339E-4</v>
      </c>
      <c r="T409">
        <f t="shared" si="128"/>
        <v>2.4069389251148512E-4</v>
      </c>
      <c r="U409" s="1">
        <f t="shared" si="123"/>
        <v>1.9960960809093893</v>
      </c>
      <c r="V409">
        <f t="shared" si="124"/>
        <v>1.2232071190497603E+22</v>
      </c>
      <c r="W409">
        <f t="shared" si="129"/>
        <v>6.0458633620247E+16</v>
      </c>
      <c r="Y409">
        <f t="shared" si="130"/>
        <v>4.0249999999999586</v>
      </c>
      <c r="Z409">
        <f t="shared" si="125"/>
        <v>0</v>
      </c>
      <c r="AA409">
        <f t="shared" si="131"/>
        <v>0</v>
      </c>
      <c r="AB409">
        <f t="shared" si="132"/>
        <v>1.0000235668946658</v>
      </c>
      <c r="AC409" s="1">
        <f t="shared" si="126"/>
        <v>7.4493433161470389E-3</v>
      </c>
    </row>
    <row r="410" spans="9:29" x14ac:dyDescent="0.2">
      <c r="I410">
        <f t="shared" si="114"/>
        <v>4.0349999999999584</v>
      </c>
      <c r="J410">
        <f t="shared" si="115"/>
        <v>4.8412282182534586E-4</v>
      </c>
      <c r="K410">
        <f t="shared" si="127"/>
        <v>2.4212588077383851E-4</v>
      </c>
      <c r="L410">
        <f t="shared" si="116"/>
        <v>6.1299305764357181E+18</v>
      </c>
      <c r="M410">
        <f t="shared" si="117"/>
        <v>0.25890287478925189</v>
      </c>
      <c r="N410">
        <f t="shared" si="118"/>
        <v>0</v>
      </c>
      <c r="O410">
        <f t="shared" si="119"/>
        <v>0</v>
      </c>
      <c r="P410">
        <f t="shared" si="120"/>
        <v>0</v>
      </c>
      <c r="R410">
        <f t="shared" si="121"/>
        <v>4.0349999999999584</v>
      </c>
      <c r="S410">
        <f t="shared" si="122"/>
        <v>4.8412591163244067E-4</v>
      </c>
      <c r="T410">
        <f t="shared" si="128"/>
        <v>2.3575125992876978E-4</v>
      </c>
      <c r="U410" s="1">
        <f t="shared" si="123"/>
        <v>1.9551063847239643</v>
      </c>
      <c r="V410">
        <f t="shared" si="124"/>
        <v>1.2661932675107759E+22</v>
      </c>
      <c r="W410">
        <f t="shared" si="129"/>
        <v>6.1299696993651328E+16</v>
      </c>
      <c r="Y410">
        <f t="shared" si="130"/>
        <v>4.0349999999999584</v>
      </c>
      <c r="Z410">
        <f t="shared" si="125"/>
        <v>0</v>
      </c>
      <c r="AA410">
        <f t="shared" si="131"/>
        <v>0</v>
      </c>
      <c r="AB410">
        <f t="shared" si="132"/>
        <v>1.0000235668946658</v>
      </c>
      <c r="AC410" s="1">
        <f t="shared" si="126"/>
        <v>7.4493433161470389E-3</v>
      </c>
    </row>
    <row r="411" spans="9:29" x14ac:dyDescent="0.2">
      <c r="I411">
        <f t="shared" si="114"/>
        <v>4.0449999999999582</v>
      </c>
      <c r="J411">
        <f t="shared" si="115"/>
        <v>4.7419345568572649E-4</v>
      </c>
      <c r="K411">
        <f t="shared" si="127"/>
        <v>2.3728465255558505E-4</v>
      </c>
      <c r="L411">
        <f t="shared" si="116"/>
        <v>6.2152064052235407E+18</v>
      </c>
      <c r="M411">
        <f t="shared" si="117"/>
        <v>0.25372619603351226</v>
      </c>
      <c r="N411">
        <f t="shared" si="118"/>
        <v>0</v>
      </c>
      <c r="O411">
        <f t="shared" si="119"/>
        <v>0</v>
      </c>
      <c r="P411">
        <f t="shared" si="120"/>
        <v>0</v>
      </c>
      <c r="R411">
        <f t="shared" si="121"/>
        <v>4.0449999999999582</v>
      </c>
      <c r="S411">
        <f t="shared" si="122"/>
        <v>4.7419648212083276E-4</v>
      </c>
      <c r="T411">
        <f t="shared" si="128"/>
        <v>2.3091000081244538E-4</v>
      </c>
      <c r="U411" s="1">
        <f t="shared" si="123"/>
        <v>1.9149573878053949</v>
      </c>
      <c r="V411">
        <f t="shared" si="124"/>
        <v>1.3106900423658929E+22</v>
      </c>
      <c r="W411">
        <f t="shared" si="129"/>
        <v>6.2152460724071168E+16</v>
      </c>
      <c r="Y411">
        <f t="shared" si="130"/>
        <v>4.0449999999999582</v>
      </c>
      <c r="Z411">
        <f t="shared" si="125"/>
        <v>0</v>
      </c>
      <c r="AA411">
        <f t="shared" si="131"/>
        <v>0</v>
      </c>
      <c r="AB411">
        <f t="shared" si="132"/>
        <v>1.0000235668946658</v>
      </c>
      <c r="AC411" s="1">
        <f t="shared" si="126"/>
        <v>7.4493433161470389E-3</v>
      </c>
    </row>
    <row r="412" spans="9:29" x14ac:dyDescent="0.2">
      <c r="I412">
        <f t="shared" si="114"/>
        <v>4.054999999999958</v>
      </c>
      <c r="J412">
        <f t="shared" si="115"/>
        <v>4.6446774099051313E-4</v>
      </c>
      <c r="K412">
        <f t="shared" si="127"/>
        <v>2.3254271799872777E-4</v>
      </c>
      <c r="L412">
        <f t="shared" si="116"/>
        <v>6.3016685389596908E+18</v>
      </c>
      <c r="M412">
        <f t="shared" si="117"/>
        <v>0.24865569103458737</v>
      </c>
      <c r="N412">
        <f t="shared" si="118"/>
        <v>0</v>
      </c>
      <c r="O412">
        <f t="shared" si="119"/>
        <v>0</v>
      </c>
      <c r="P412">
        <f t="shared" si="120"/>
        <v>0</v>
      </c>
      <c r="R412">
        <f t="shared" si="121"/>
        <v>4.054999999999958</v>
      </c>
      <c r="S412">
        <f t="shared" si="122"/>
        <v>4.6447070535339112E-4</v>
      </c>
      <c r="T412">
        <f t="shared" si="128"/>
        <v>2.2616803599123704E-4</v>
      </c>
      <c r="U412" s="1">
        <f t="shared" si="123"/>
        <v>1.875631847399452</v>
      </c>
      <c r="V412">
        <f t="shared" si="124"/>
        <v>1.3567505302996713E+22</v>
      </c>
      <c r="W412">
        <f t="shared" si="129"/>
        <v>6.3017087579687576E+16</v>
      </c>
      <c r="Y412">
        <f t="shared" si="130"/>
        <v>4.054999999999958</v>
      </c>
      <c r="Z412">
        <f t="shared" si="125"/>
        <v>0</v>
      </c>
      <c r="AA412">
        <f t="shared" si="131"/>
        <v>0</v>
      </c>
      <c r="AB412">
        <f t="shared" si="132"/>
        <v>1.0000235668946658</v>
      </c>
      <c r="AC412" s="1">
        <f t="shared" si="126"/>
        <v>7.4493433161470389E-3</v>
      </c>
    </row>
    <row r="413" spans="9:29" x14ac:dyDescent="0.2">
      <c r="I413">
        <f t="shared" si="114"/>
        <v>4.0649999999999578</v>
      </c>
      <c r="J413">
        <f t="shared" si="115"/>
        <v>4.5494150084560858E-4</v>
      </c>
      <c r="K413">
        <f t="shared" si="127"/>
        <v>2.2789804058882265E-4</v>
      </c>
      <c r="L413">
        <f t="shared" si="116"/>
        <v>6.3893334807898481E+18</v>
      </c>
      <c r="M413">
        <f t="shared" si="117"/>
        <v>0.24368918216717569</v>
      </c>
      <c r="N413">
        <f t="shared" si="118"/>
        <v>0</v>
      </c>
      <c r="O413">
        <f t="shared" si="119"/>
        <v>0</v>
      </c>
      <c r="P413">
        <f t="shared" si="120"/>
        <v>0</v>
      </c>
      <c r="R413">
        <f t="shared" si="121"/>
        <v>4.0649999999999578</v>
      </c>
      <c r="S413">
        <f t="shared" si="122"/>
        <v>4.5494440440936069E-4</v>
      </c>
      <c r="T413">
        <f t="shared" si="128"/>
        <v>2.2152332893770314E-4</v>
      </c>
      <c r="U413" s="1">
        <f t="shared" si="123"/>
        <v>1.8371128744010456</v>
      </c>
      <c r="V413">
        <f t="shared" si="124"/>
        <v>1.4044296835777501E+22</v>
      </c>
      <c r="W413">
        <f t="shared" si="129"/>
        <v>6.389374259301064E+16</v>
      </c>
      <c r="Y413">
        <f t="shared" si="130"/>
        <v>4.0649999999999578</v>
      </c>
      <c r="Z413">
        <f t="shared" si="125"/>
        <v>0</v>
      </c>
      <c r="AA413">
        <f t="shared" si="131"/>
        <v>0</v>
      </c>
      <c r="AB413">
        <f t="shared" si="132"/>
        <v>1.0000235668946658</v>
      </c>
      <c r="AC413" s="1">
        <f t="shared" si="126"/>
        <v>7.4493433161470389E-3</v>
      </c>
    </row>
    <row r="414" spans="9:29" x14ac:dyDescent="0.2">
      <c r="I414">
        <f t="shared" si="114"/>
        <v>4.0749999999999575</v>
      </c>
      <c r="J414">
        <f t="shared" si="115"/>
        <v>4.4561064402507707E-4</v>
      </c>
      <c r="K414">
        <f t="shared" si="127"/>
        <v>2.2334862558036657E-4</v>
      </c>
      <c r="L414">
        <f t="shared" si="116"/>
        <v>6.4782179634413998E+18</v>
      </c>
      <c r="M414">
        <f t="shared" si="117"/>
        <v>0.23882453646910246</v>
      </c>
      <c r="N414">
        <f t="shared" si="118"/>
        <v>0</v>
      </c>
      <c r="O414">
        <f t="shared" si="119"/>
        <v>0</v>
      </c>
      <c r="P414">
        <f t="shared" si="120"/>
        <v>0</v>
      </c>
      <c r="R414">
        <f t="shared" si="121"/>
        <v>4.0749999999999575</v>
      </c>
      <c r="S414">
        <f t="shared" si="122"/>
        <v>4.4561348803669426E-4</v>
      </c>
      <c r="T414">
        <f t="shared" si="128"/>
        <v>2.1697388489360953E-4</v>
      </c>
      <c r="U414" s="1">
        <f t="shared" si="123"/>
        <v>1.7993839261008784</v>
      </c>
      <c r="V414">
        <f t="shared" si="124"/>
        <v>1.4537843856074573E+22</v>
      </c>
      <c r="W414">
        <f t="shared" si="129"/>
        <v>6.478259309238216E+16</v>
      </c>
      <c r="Y414">
        <f t="shared" si="130"/>
        <v>4.0749999999999575</v>
      </c>
      <c r="Z414">
        <f t="shared" si="125"/>
        <v>0</v>
      </c>
      <c r="AA414">
        <f t="shared" si="131"/>
        <v>0</v>
      </c>
      <c r="AB414">
        <f t="shared" si="132"/>
        <v>1.0000235668946658</v>
      </c>
      <c r="AC414" s="1">
        <f t="shared" si="126"/>
        <v>7.4493433161470389E-3</v>
      </c>
    </row>
    <row r="415" spans="9:29" x14ac:dyDescent="0.2">
      <c r="I415">
        <f t="shared" si="114"/>
        <v>4.0849999999999573</v>
      </c>
      <c r="J415">
        <f t="shared" si="115"/>
        <v>4.3647116321408392E-4</v>
      </c>
      <c r="K415">
        <f t="shared" si="127"/>
        <v>2.1889251914011579E-4</v>
      </c>
      <c r="L415">
        <f t="shared" si="116"/>
        <v>6.5683389524171223E+18</v>
      </c>
      <c r="M415">
        <f t="shared" si="117"/>
        <v>0.2340596647252782</v>
      </c>
      <c r="N415">
        <f t="shared" si="118"/>
        <v>0</v>
      </c>
      <c r="O415">
        <f t="shared" si="119"/>
        <v>0</v>
      </c>
      <c r="P415">
        <f t="shared" si="120"/>
        <v>0</v>
      </c>
      <c r="R415">
        <f t="shared" si="121"/>
        <v>4.0849999999999573</v>
      </c>
      <c r="S415">
        <f t="shared" si="122"/>
        <v>4.3647394889498141E-4</v>
      </c>
      <c r="T415">
        <f t="shared" si="128"/>
        <v>2.1251775001324258E-4</v>
      </c>
      <c r="U415" s="1">
        <f t="shared" si="123"/>
        <v>1.7624287990808618</v>
      </c>
      <c r="V415">
        <f t="shared" si="124"/>
        <v>1.5048735188023018E+22</v>
      </c>
      <c r="W415">
        <f t="shared" si="129"/>
        <v>6.5683808733912672E+16</v>
      </c>
      <c r="Y415">
        <f t="shared" si="130"/>
        <v>4.0849999999999573</v>
      </c>
      <c r="Z415">
        <f t="shared" si="125"/>
        <v>0</v>
      </c>
      <c r="AA415">
        <f t="shared" si="131"/>
        <v>0</v>
      </c>
      <c r="AB415">
        <f t="shared" si="132"/>
        <v>1.0000235668946658</v>
      </c>
      <c r="AC415" s="1">
        <f t="shared" si="126"/>
        <v>7.4493433161470389E-3</v>
      </c>
    </row>
    <row r="416" spans="9:29" x14ac:dyDescent="0.2">
      <c r="I416">
        <f t="shared" si="114"/>
        <v>4.0949999999999571</v>
      </c>
      <c r="J416">
        <f t="shared" si="115"/>
        <v>4.2751913328788129E-4</v>
      </c>
      <c r="K416">
        <f t="shared" si="127"/>
        <v>2.1452780750797496E-4</v>
      </c>
      <c r="L416">
        <f t="shared" si="116"/>
        <v>6.6597136492335063E+18</v>
      </c>
      <c r="M416">
        <f t="shared" si="117"/>
        <v>0.22939252057044543</v>
      </c>
      <c r="N416">
        <f t="shared" si="118"/>
        <v>0</v>
      </c>
      <c r="O416">
        <f t="shared" si="119"/>
        <v>0</v>
      </c>
      <c r="P416">
        <f t="shared" si="120"/>
        <v>0</v>
      </c>
      <c r="R416">
        <f t="shared" si="121"/>
        <v>4.0949999999999571</v>
      </c>
      <c r="S416">
        <f t="shared" si="122"/>
        <v>4.2752186183442288E-4</v>
      </c>
      <c r="T416">
        <f t="shared" si="128"/>
        <v>2.0815301052429277E-4</v>
      </c>
      <c r="U416" s="1">
        <f t="shared" si="123"/>
        <v>1.7262316222552496</v>
      </c>
      <c r="V416">
        <f t="shared" si="124"/>
        <v>1.5577580348313937E+22</v>
      </c>
      <c r="W416">
        <f t="shared" si="129"/>
        <v>6.659756153386492E+16</v>
      </c>
      <c r="Y416">
        <f t="shared" si="130"/>
        <v>4.0949999999999571</v>
      </c>
      <c r="Z416">
        <f t="shared" si="125"/>
        <v>0</v>
      </c>
      <c r="AA416">
        <f t="shared" si="131"/>
        <v>0</v>
      </c>
      <c r="AB416">
        <f t="shared" si="132"/>
        <v>1.0000235668946658</v>
      </c>
      <c r="AC416" s="1">
        <f t="shared" si="126"/>
        <v>7.4493433161470389E-3</v>
      </c>
    </row>
    <row r="417" spans="9:29" x14ac:dyDescent="0.2">
      <c r="I417">
        <f t="shared" si="114"/>
        <v>4.1049999999999569</v>
      </c>
      <c r="J417">
        <f t="shared" si="115"/>
        <v>4.187507096260868E-4</v>
      </c>
      <c r="K417">
        <f t="shared" si="127"/>
        <v>2.1025261617509615E-4</v>
      </c>
      <c r="L417">
        <f t="shared" si="116"/>
        <v>6.7523594947037798E+18</v>
      </c>
      <c r="M417">
        <f t="shared" si="117"/>
        <v>0.22482109961032803</v>
      </c>
      <c r="N417">
        <f t="shared" si="118"/>
        <v>0</v>
      </c>
      <c r="O417">
        <f t="shared" si="119"/>
        <v>0</v>
      </c>
      <c r="P417">
        <f t="shared" si="120"/>
        <v>0</v>
      </c>
      <c r="R417">
        <f t="shared" si="121"/>
        <v>4.1049999999999569</v>
      </c>
      <c r="S417">
        <f t="shared" si="122"/>
        <v>4.1875338221009897E-4</v>
      </c>
      <c r="T417">
        <f t="shared" si="128"/>
        <v>2.0387779190594854E-4</v>
      </c>
      <c r="U417" s="1">
        <f t="shared" si="123"/>
        <v>1.6907768500544946</v>
      </c>
      <c r="V417">
        <f t="shared" si="124"/>
        <v>1.6125010273375141E+22</v>
      </c>
      <c r="W417">
        <f t="shared" si="129"/>
        <v>6.7524025901484328E+16</v>
      </c>
      <c r="Y417">
        <f t="shared" si="130"/>
        <v>4.1049999999999569</v>
      </c>
      <c r="Z417">
        <f t="shared" si="125"/>
        <v>0</v>
      </c>
      <c r="AA417">
        <f t="shared" si="131"/>
        <v>0</v>
      </c>
      <c r="AB417">
        <f t="shared" si="132"/>
        <v>1.0000235668946658</v>
      </c>
      <c r="AC417" s="1">
        <f t="shared" si="126"/>
        <v>7.4493433161470389E-3</v>
      </c>
    </row>
    <row r="418" spans="9:29" x14ac:dyDescent="0.2">
      <c r="I418">
        <f t="shared" ref="I418:I481" si="133">I417+0.01</f>
        <v>4.1149999999999567</v>
      </c>
      <c r="J418">
        <f t="shared" si="115"/>
        <v>4.1016212646153758E-4</v>
      </c>
      <c r="K418">
        <f t="shared" si="127"/>
        <v>2.0606510907883528E-4</v>
      </c>
      <c r="L418">
        <f t="shared" si="116"/>
        <v>6.8462941722673244E+18</v>
      </c>
      <c r="M418">
        <f t="shared" si="117"/>
        <v>0.22034343856080557</v>
      </c>
      <c r="N418">
        <f t="shared" si="118"/>
        <v>0</v>
      </c>
      <c r="O418">
        <f t="shared" si="119"/>
        <v>0</v>
      </c>
      <c r="P418">
        <f t="shared" si="120"/>
        <v>0</v>
      </c>
      <c r="R418">
        <f t="shared" si="121"/>
        <v>4.1149999999999567</v>
      </c>
      <c r="S418">
        <f t="shared" si="122"/>
        <v>4.1016474423081274E-4</v>
      </c>
      <c r="T418">
        <f t="shared" si="128"/>
        <v>1.9969025808384757E-4</v>
      </c>
      <c r="U418" s="1">
        <f t="shared" si="123"/>
        <v>1.6560492557489082</v>
      </c>
      <c r="V418">
        <f t="shared" si="124"/>
        <v>1.6691678072108218E+22</v>
      </c>
      <c r="W418">
        <f t="shared" si="129"/>
        <v>6.8463378672293328E+16</v>
      </c>
      <c r="Y418">
        <f t="shared" si="130"/>
        <v>4.1149999999999567</v>
      </c>
      <c r="Z418">
        <f t="shared" si="125"/>
        <v>0</v>
      </c>
      <c r="AA418">
        <f t="shared" si="131"/>
        <v>0</v>
      </c>
      <c r="AB418">
        <f t="shared" si="132"/>
        <v>1.0000235668946658</v>
      </c>
      <c r="AC418" s="1">
        <f t="shared" si="126"/>
        <v>7.4493433161470389E-3</v>
      </c>
    </row>
    <row r="419" spans="9:29" x14ac:dyDescent="0.2">
      <c r="I419">
        <f t="shared" si="133"/>
        <v>4.1249999999999565</v>
      </c>
      <c r="J419">
        <f t="shared" si="115"/>
        <v>4.0174969526301265E-4</v>
      </c>
      <c r="K419">
        <f t="shared" si="127"/>
        <v>2.0196348781421989E-4</v>
      </c>
      <c r="L419">
        <f t="shared" si="116"/>
        <v>6.9415356113644708E+18</v>
      </c>
      <c r="M419">
        <f t="shared" si="117"/>
        <v>0.2159576144047437</v>
      </c>
      <c r="N419">
        <f t="shared" si="118"/>
        <v>0</v>
      </c>
      <c r="O419">
        <f t="shared" si="119"/>
        <v>0</v>
      </c>
      <c r="P419">
        <f t="shared" si="120"/>
        <v>0</v>
      </c>
      <c r="R419">
        <f t="shared" si="121"/>
        <v>4.1249999999999565</v>
      </c>
      <c r="S419">
        <f t="shared" si="122"/>
        <v>4.0175225934180179E-4</v>
      </c>
      <c r="T419">
        <f t="shared" si="128"/>
        <v>1.9558861064153943E-4</v>
      </c>
      <c r="U419" s="1">
        <f t="shared" si="123"/>
        <v>1.6220339249092499</v>
      </c>
      <c r="V419">
        <f t="shared" si="124"/>
        <v>1.7278259805076068E+22</v>
      </c>
      <c r="W419">
        <f t="shared" si="129"/>
        <v>6.9415799141839504E+16</v>
      </c>
      <c r="Y419">
        <f t="shared" si="130"/>
        <v>4.1249999999999565</v>
      </c>
      <c r="Z419">
        <f t="shared" si="125"/>
        <v>0</v>
      </c>
      <c r="AA419">
        <f t="shared" si="131"/>
        <v>0</v>
      </c>
      <c r="AB419">
        <f t="shared" si="132"/>
        <v>1.0000235668946658</v>
      </c>
      <c r="AC419" s="1">
        <f t="shared" si="126"/>
        <v>7.4493433161470389E-3</v>
      </c>
    </row>
    <row r="420" spans="9:29" x14ac:dyDescent="0.2">
      <c r="I420">
        <f t="shared" si="133"/>
        <v>4.1349999999999563</v>
      </c>
      <c r="J420">
        <f t="shared" si="115"/>
        <v>3.9350980315111788E-4</v>
      </c>
      <c r="K420">
        <f t="shared" si="127"/>
        <v>1.9794599086158976E-4</v>
      </c>
      <c r="L420">
        <f t="shared" si="116"/>
        <v>7.0381019908590653E+18</v>
      </c>
      <c r="M420">
        <f t="shared" si="117"/>
        <v>0.21166174356611761</v>
      </c>
      <c r="N420">
        <f t="shared" si="118"/>
        <v>0</v>
      </c>
      <c r="O420">
        <f t="shared" si="119"/>
        <v>0</v>
      </c>
      <c r="P420">
        <f t="shared" si="120"/>
        <v>0</v>
      </c>
      <c r="R420">
        <f t="shared" si="121"/>
        <v>4.1349999999999563</v>
      </c>
      <c r="S420">
        <f t="shared" si="122"/>
        <v>3.9351231464061358E-4</v>
      </c>
      <c r="T420">
        <f t="shared" si="128"/>
        <v>1.9157108804812142E-4</v>
      </c>
      <c r="U420" s="1">
        <f t="shared" si="123"/>
        <v>1.588716249001441</v>
      </c>
      <c r="V420">
        <f t="shared" si="124"/>
        <v>1.7885455291075057E+22</v>
      </c>
      <c r="W420">
        <f t="shared" si="129"/>
        <v>7.0381469099921552E+16</v>
      </c>
      <c r="Y420">
        <f t="shared" si="130"/>
        <v>4.1349999999999563</v>
      </c>
      <c r="Z420">
        <f t="shared" si="125"/>
        <v>0</v>
      </c>
      <c r="AA420">
        <f t="shared" si="131"/>
        <v>0</v>
      </c>
      <c r="AB420">
        <f t="shared" si="132"/>
        <v>1.0000235668946658</v>
      </c>
      <c r="AC420" s="1">
        <f t="shared" si="126"/>
        <v>7.4493433161470389E-3</v>
      </c>
    </row>
    <row r="421" spans="9:29" x14ac:dyDescent="0.2">
      <c r="I421">
        <f t="shared" si="133"/>
        <v>4.1449999999999561</v>
      </c>
      <c r="J421">
        <f t="shared" si="115"/>
        <v>3.8543891134666869E-4</v>
      </c>
      <c r="K421">
        <f t="shared" si="127"/>
        <v>1.9401089283007858E-4</v>
      </c>
      <c r="L421">
        <f t="shared" si="116"/>
        <v>7.1360117425080013E+18</v>
      </c>
      <c r="M421">
        <f t="shared" si="117"/>
        <v>0.20745398110107402</v>
      </c>
      <c r="N421">
        <f t="shared" si="118"/>
        <v>0</v>
      </c>
      <c r="O421">
        <f t="shared" si="119"/>
        <v>0</v>
      </c>
      <c r="P421">
        <f t="shared" si="120"/>
        <v>0</v>
      </c>
      <c r="R421">
        <f t="shared" si="121"/>
        <v>4.1449999999999561</v>
      </c>
      <c r="S421">
        <f t="shared" si="122"/>
        <v>3.8544137132547822E-4</v>
      </c>
      <c r="T421">
        <f t="shared" si="128"/>
        <v>1.8763596490171529E-4</v>
      </c>
      <c r="U421" s="1">
        <f t="shared" si="123"/>
        <v>1.5560819191126498</v>
      </c>
      <c r="V421">
        <f t="shared" si="124"/>
        <v>1.8513988942049965E+22</v>
      </c>
      <c r="W421">
        <f t="shared" si="129"/>
        <v>7.1360572865284784E+16</v>
      </c>
      <c r="Y421">
        <f t="shared" si="130"/>
        <v>4.1449999999999561</v>
      </c>
      <c r="Z421">
        <f t="shared" si="125"/>
        <v>0</v>
      </c>
      <c r="AA421">
        <f t="shared" si="131"/>
        <v>0</v>
      </c>
      <c r="AB421">
        <f t="shared" si="132"/>
        <v>1.0000235668946658</v>
      </c>
      <c r="AC421" s="1">
        <f t="shared" si="126"/>
        <v>7.4493433161470389E-3</v>
      </c>
    </row>
    <row r="422" spans="9:29" x14ac:dyDescent="0.2">
      <c r="I422">
        <f t="shared" si="133"/>
        <v>4.1549999999999558</v>
      </c>
      <c r="J422">
        <f t="shared" si="115"/>
        <v>3.7753355365089357E-4</v>
      </c>
      <c r="K422">
        <f t="shared" si="127"/>
        <v>1.9015650371661191E-4</v>
      </c>
      <c r="L422">
        <f t="shared" si="116"/>
        <v>7.2352835544795597E+18</v>
      </c>
      <c r="M422">
        <f t="shared" si="117"/>
        <v>0.20333251990558526</v>
      </c>
      <c r="N422">
        <f t="shared" si="118"/>
        <v>0</v>
      </c>
      <c r="O422">
        <f t="shared" si="119"/>
        <v>0</v>
      </c>
      <c r="P422">
        <f t="shared" si="120"/>
        <v>0</v>
      </c>
      <c r="R422">
        <f t="shared" si="121"/>
        <v>4.1549999999999558</v>
      </c>
      <c r="S422">
        <f t="shared" si="122"/>
        <v>3.7753596317550178E-4</v>
      </c>
      <c r="T422">
        <f t="shared" si="128"/>
        <v>1.8378155118846051E-4</v>
      </c>
      <c r="U422" s="1">
        <f t="shared" si="123"/>
        <v>1.5241169198060547</v>
      </c>
      <c r="V422">
        <f t="shared" si="124"/>
        <v>1.9164610627351148E+22</v>
      </c>
      <c r="W422">
        <f t="shared" si="129"/>
        <v>7.2353297320804736E+16</v>
      </c>
      <c r="Y422">
        <f t="shared" si="130"/>
        <v>4.1549999999999558</v>
      </c>
      <c r="Z422">
        <f t="shared" si="125"/>
        <v>0</v>
      </c>
      <c r="AA422">
        <f t="shared" si="131"/>
        <v>0</v>
      </c>
      <c r="AB422">
        <f t="shared" si="132"/>
        <v>1.0000235668946658</v>
      </c>
      <c r="AC422" s="1">
        <f t="shared" si="126"/>
        <v>7.4493433161470389E-3</v>
      </c>
    </row>
    <row r="423" spans="9:29" x14ac:dyDescent="0.2">
      <c r="I423">
        <f t="shared" si="133"/>
        <v>4.1649999999999556</v>
      </c>
      <c r="J423">
        <f t="shared" si="115"/>
        <v>3.6979033495680762E-4</v>
      </c>
      <c r="K423">
        <f t="shared" si="127"/>
        <v>1.8638116818010296E-4</v>
      </c>
      <c r="L423">
        <f t="shared" si="116"/>
        <v>7.3359363749201695E+18</v>
      </c>
      <c r="M423">
        <f t="shared" si="117"/>
        <v>0.1992955899393534</v>
      </c>
      <c r="N423">
        <f t="shared" si="118"/>
        <v>0</v>
      </c>
      <c r="O423">
        <f t="shared" si="119"/>
        <v>0</v>
      </c>
      <c r="P423">
        <f t="shared" si="120"/>
        <v>0</v>
      </c>
      <c r="R423">
        <f t="shared" si="121"/>
        <v>4.1649999999999556</v>
      </c>
      <c r="S423">
        <f t="shared" si="122"/>
        <v>3.6979269506203096E-4</v>
      </c>
      <c r="T423">
        <f t="shared" si="128"/>
        <v>1.800061915567055E-4</v>
      </c>
      <c r="U423" s="1">
        <f t="shared" si="123"/>
        <v>1.4928075231016489</v>
      </c>
      <c r="V423">
        <f t="shared" si="124"/>
        <v>1.9838096568362243E+22</v>
      </c>
      <c r="W423">
        <f t="shared" si="129"/>
        <v>7.3359831949155024E+16</v>
      </c>
      <c r="Y423">
        <f t="shared" si="130"/>
        <v>4.1649999999999556</v>
      </c>
      <c r="Z423">
        <f t="shared" si="125"/>
        <v>0</v>
      </c>
      <c r="AA423">
        <f t="shared" si="131"/>
        <v>0</v>
      </c>
      <c r="AB423">
        <f t="shared" si="132"/>
        <v>1.0000235668946658</v>
      </c>
      <c r="AC423" s="1">
        <f t="shared" si="126"/>
        <v>7.4493433161470389E-3</v>
      </c>
    </row>
    <row r="424" spans="9:29" x14ac:dyDescent="0.2">
      <c r="I424">
        <f t="shared" si="133"/>
        <v>4.1749999999999554</v>
      </c>
      <c r="J424">
        <f t="shared" si="115"/>
        <v>3.6220592979112158E-4</v>
      </c>
      <c r="K424">
        <f t="shared" si="127"/>
        <v>1.8268326483053489E-4</v>
      </c>
      <c r="L424">
        <f t="shared" si="116"/>
        <v>7.4379894155714243E+18</v>
      </c>
      <c r="M424">
        <f t="shared" si="117"/>
        <v>0.19534145746563303</v>
      </c>
      <c r="N424">
        <f t="shared" si="118"/>
        <v>0</v>
      </c>
      <c r="O424">
        <f t="shared" si="119"/>
        <v>0</v>
      </c>
      <c r="P424">
        <f t="shared" si="120"/>
        <v>0</v>
      </c>
      <c r="R424">
        <f t="shared" si="121"/>
        <v>4.1749999999999554</v>
      </c>
      <c r="S424">
        <f t="shared" si="122"/>
        <v>3.6220824149055242E-4</v>
      </c>
      <c r="T424">
        <f t="shared" si="128"/>
        <v>1.7630826460608519E-4</v>
      </c>
      <c r="U424" s="1">
        <f t="shared" si="123"/>
        <v>1.4621402825804954</v>
      </c>
      <c r="V424">
        <f t="shared" si="124"/>
        <v>2.0535250264568541E+22</v>
      </c>
      <c r="W424">
        <f t="shared" si="129"/>
        <v>7.4380368868977728E+16</v>
      </c>
      <c r="Y424">
        <f t="shared" si="130"/>
        <v>4.1749999999999554</v>
      </c>
      <c r="Z424">
        <f t="shared" si="125"/>
        <v>0</v>
      </c>
      <c r="AA424">
        <f t="shared" si="131"/>
        <v>0</v>
      </c>
      <c r="AB424">
        <f t="shared" si="132"/>
        <v>1.0000235668946658</v>
      </c>
      <c r="AC424" s="1">
        <f t="shared" si="126"/>
        <v>7.4493433161470389E-3</v>
      </c>
    </row>
    <row r="425" spans="9:29" x14ac:dyDescent="0.2">
      <c r="I425">
        <f t="shared" si="133"/>
        <v>4.1849999999999552</v>
      </c>
      <c r="J425">
        <f t="shared" si="115"/>
        <v>3.5477708088605027E-4</v>
      </c>
      <c r="K425">
        <f t="shared" si="127"/>
        <v>1.7906120553262366E-4</v>
      </c>
      <c r="L425">
        <f t="shared" si="116"/>
        <v>7.5414621554367304E+18</v>
      </c>
      <c r="M425">
        <f t="shared" si="117"/>
        <v>0.19146842430664462</v>
      </c>
      <c r="N425">
        <f t="shared" si="118"/>
        <v>0</v>
      </c>
      <c r="O425">
        <f t="shared" si="119"/>
        <v>0</v>
      </c>
      <c r="P425">
        <f t="shared" si="120"/>
        <v>0</v>
      </c>
      <c r="R425">
        <f t="shared" si="121"/>
        <v>4.1849999999999552</v>
      </c>
      <c r="S425">
        <f t="shared" si="122"/>
        <v>3.5477934517249199E-4</v>
      </c>
      <c r="T425">
        <f t="shared" si="128"/>
        <v>1.7268618219117967E-4</v>
      </c>
      <c r="U425" s="1">
        <f t="shared" si="123"/>
        <v>1.4321020276099055</v>
      </c>
      <c r="V425">
        <f t="shared" si="124"/>
        <v>2.1256903452167894E+22</v>
      </c>
      <c r="W425">
        <f t="shared" si="129"/>
        <v>7.5415102871550096E+16</v>
      </c>
      <c r="Y425">
        <f t="shared" si="130"/>
        <v>4.1849999999999552</v>
      </c>
      <c r="Z425">
        <f t="shared" si="125"/>
        <v>0</v>
      </c>
      <c r="AA425">
        <f t="shared" si="131"/>
        <v>0</v>
      </c>
      <c r="AB425">
        <f t="shared" si="132"/>
        <v>1.0000235668946658</v>
      </c>
      <c r="AC425" s="1">
        <f t="shared" si="126"/>
        <v>7.4493433161470389E-3</v>
      </c>
    </row>
    <row r="426" spans="9:29" x14ac:dyDescent="0.2">
      <c r="I426">
        <f t="shared" si="133"/>
        <v>4.194999999999955</v>
      </c>
      <c r="J426">
        <f t="shared" si="115"/>
        <v>3.4750059778041836E-4</v>
      </c>
      <c r="K426">
        <f t="shared" si="127"/>
        <v>1.7551343472376317E-4</v>
      </c>
      <c r="L426">
        <f t="shared" si="116"/>
        <v>7.646374344499584E+18</v>
      </c>
      <c r="M426">
        <f t="shared" si="117"/>
        <v>0.18767482711425967</v>
      </c>
      <c r="N426">
        <f t="shared" si="118"/>
        <v>0</v>
      </c>
      <c r="O426">
        <f t="shared" si="119"/>
        <v>0</v>
      </c>
      <c r="P426">
        <f t="shared" si="120"/>
        <v>0</v>
      </c>
      <c r="R426">
        <f t="shared" si="121"/>
        <v>4.194999999999955</v>
      </c>
      <c r="S426">
        <f t="shared" si="122"/>
        <v>3.4750281562631217E-4</v>
      </c>
      <c r="T426">
        <f t="shared" si="128"/>
        <v>1.6913838873945476E-4</v>
      </c>
      <c r="U426" s="1">
        <f t="shared" si="123"/>
        <v>1.4026798576870598</v>
      </c>
      <c r="V426">
        <f t="shared" si="124"/>
        <v>2.2003917096370695E+22</v>
      </c>
      <c r="W426">
        <f t="shared" si="129"/>
        <v>7.6464231457967632E+16</v>
      </c>
      <c r="Y426">
        <f t="shared" si="130"/>
        <v>4.194999999999955</v>
      </c>
      <c r="Z426">
        <f t="shared" si="125"/>
        <v>0</v>
      </c>
      <c r="AA426">
        <f t="shared" si="131"/>
        <v>0</v>
      </c>
      <c r="AB426">
        <f t="shared" si="132"/>
        <v>1.0000235668946658</v>
      </c>
      <c r="AC426" s="1">
        <f t="shared" si="126"/>
        <v>7.4493433161470389E-3</v>
      </c>
    </row>
    <row r="427" spans="9:29" x14ac:dyDescent="0.2">
      <c r="I427">
        <f t="shared" si="133"/>
        <v>4.2049999999999548</v>
      </c>
      <c r="J427">
        <f t="shared" si="115"/>
        <v>3.4037335544945642E-4</v>
      </c>
      <c r="K427">
        <f t="shared" si="127"/>
        <v>1.7203842874595899E-4</v>
      </c>
      <c r="L427">
        <f t="shared" si="116"/>
        <v>7.7527460074929172E+18</v>
      </c>
      <c r="M427">
        <f t="shared" si="117"/>
        <v>0.183959036655644</v>
      </c>
      <c r="N427">
        <f t="shared" si="118"/>
        <v>0</v>
      </c>
      <c r="O427">
        <f t="shared" si="119"/>
        <v>0</v>
      </c>
      <c r="P427">
        <f t="shared" si="120"/>
        <v>0</v>
      </c>
      <c r="R427">
        <f t="shared" si="121"/>
        <v>4.2049999999999548</v>
      </c>
      <c r="S427">
        <f t="shared" si="122"/>
        <v>3.4037552780729854E-4</v>
      </c>
      <c r="T427">
        <f t="shared" si="128"/>
        <v>1.6566336058319164E-4</v>
      </c>
      <c r="U427" s="1">
        <f t="shared" si="123"/>
        <v>1.3738611368986393</v>
      </c>
      <c r="V427">
        <f t="shared" si="124"/>
        <v>2.2777182418569651E+22</v>
      </c>
      <c r="W427">
        <f t="shared" si="129"/>
        <v>7.7527954876837648E+16</v>
      </c>
      <c r="Y427">
        <f t="shared" si="130"/>
        <v>4.2049999999999548</v>
      </c>
      <c r="Z427">
        <f t="shared" si="125"/>
        <v>0</v>
      </c>
      <c r="AA427">
        <f t="shared" si="131"/>
        <v>0</v>
      </c>
      <c r="AB427">
        <f t="shared" si="132"/>
        <v>1.0000235668946658</v>
      </c>
      <c r="AC427" s="1">
        <f t="shared" si="126"/>
        <v>7.4493433161470389E-3</v>
      </c>
    </row>
    <row r="428" spans="9:29" x14ac:dyDescent="0.2">
      <c r="I428">
        <f t="shared" si="133"/>
        <v>4.2149999999999546</v>
      </c>
      <c r="J428">
        <f t="shared" si="115"/>
        <v>3.3339229296269768E-4</v>
      </c>
      <c r="K428">
        <f t="shared" si="127"/>
        <v>1.6863469519146442E-4</v>
      </c>
      <c r="L428">
        <f t="shared" si="116"/>
        <v>7.8605974477216451E+18</v>
      </c>
      <c r="M428">
        <f t="shared" si="117"/>
        <v>0.18031945711355279</v>
      </c>
      <c r="N428">
        <f t="shared" si="118"/>
        <v>0</v>
      </c>
      <c r="O428">
        <f t="shared" si="119"/>
        <v>0</v>
      </c>
      <c r="P428">
        <f t="shared" si="120"/>
        <v>0</v>
      </c>
      <c r="R428">
        <f t="shared" si="121"/>
        <v>4.2149999999999546</v>
      </c>
      <c r="S428">
        <f t="shared" si="122"/>
        <v>3.3339442076544878E-4</v>
      </c>
      <c r="T428">
        <f t="shared" si="128"/>
        <v>1.6225960530511866E-4</v>
      </c>
      <c r="U428" s="1">
        <f t="shared" si="123"/>
        <v>1.3456334884940919</v>
      </c>
      <c r="V428">
        <f t="shared" si="124"/>
        <v>2.3577621959608843E+22</v>
      </c>
      <c r="W428">
        <f t="shared" si="129"/>
        <v>7.8606476162505152E+16</v>
      </c>
      <c r="Y428">
        <f t="shared" si="130"/>
        <v>4.2149999999999546</v>
      </c>
      <c r="Z428">
        <f t="shared" si="125"/>
        <v>0</v>
      </c>
      <c r="AA428">
        <f t="shared" si="131"/>
        <v>0</v>
      </c>
      <c r="AB428">
        <f t="shared" si="132"/>
        <v>1.0000235668946658</v>
      </c>
      <c r="AC428" s="1">
        <f t="shared" si="126"/>
        <v>7.4493433161470389E-3</v>
      </c>
    </row>
    <row r="429" spans="9:29" x14ac:dyDescent="0.2">
      <c r="I429">
        <f t="shared" si="133"/>
        <v>4.2249999999999543</v>
      </c>
      <c r="J429">
        <f t="shared" si="115"/>
        <v>3.265544121694056E-4</v>
      </c>
      <c r="K429">
        <f t="shared" si="127"/>
        <v>1.6530077226183744E-4</v>
      </c>
      <c r="L429">
        <f t="shared" si="116"/>
        <v>7.9699492509377188E+18</v>
      </c>
      <c r="M429">
        <f t="shared" si="117"/>
        <v>0.17675452540097605</v>
      </c>
      <c r="N429">
        <f t="shared" si="118"/>
        <v>0</v>
      </c>
      <c r="O429">
        <f t="shared" si="119"/>
        <v>0</v>
      </c>
      <c r="P429">
        <f t="shared" si="120"/>
        <v>0</v>
      </c>
      <c r="R429">
        <f t="shared" si="121"/>
        <v>4.2249999999999543</v>
      </c>
      <c r="S429">
        <f t="shared" si="122"/>
        <v>3.2655649633089124E-4</v>
      </c>
      <c r="T429">
        <f t="shared" si="128"/>
        <v>1.5892566109746418E-4</v>
      </c>
      <c r="U429" s="1">
        <f t="shared" si="123"/>
        <v>1.3179847895701999</v>
      </c>
      <c r="V429">
        <f t="shared" si="124"/>
        <v>2.4406190680416144E+22</v>
      </c>
      <c r="W429">
        <f t="shared" si="129"/>
        <v>7.9700001173803472E+16</v>
      </c>
      <c r="Y429">
        <f t="shared" si="130"/>
        <v>4.2249999999999543</v>
      </c>
      <c r="Z429">
        <f t="shared" si="125"/>
        <v>0</v>
      </c>
      <c r="AA429">
        <f t="shared" si="131"/>
        <v>0</v>
      </c>
      <c r="AB429">
        <f t="shared" si="132"/>
        <v>1.0000235668946658</v>
      </c>
      <c r="AC429" s="1">
        <f t="shared" si="126"/>
        <v>7.4493433161470389E-3</v>
      </c>
    </row>
    <row r="430" spans="9:29" x14ac:dyDescent="0.2">
      <c r="I430">
        <f t="shared" si="133"/>
        <v>4.2349999999999541</v>
      </c>
      <c r="J430">
        <f t="shared" si="115"/>
        <v>3.1985677641095759E-4</v>
      </c>
      <c r="K430">
        <f t="shared" si="127"/>
        <v>1.6203522814014338E-4</v>
      </c>
      <c r="L430">
        <f t="shared" si="116"/>
        <v>8.0808222892692787E+18</v>
      </c>
      <c r="M430">
        <f t="shared" si="117"/>
        <v>0.17326271048984124</v>
      </c>
      <c r="N430">
        <f t="shared" si="118"/>
        <v>0</v>
      </c>
      <c r="O430">
        <f t="shared" si="119"/>
        <v>0</v>
      </c>
      <c r="P430">
        <f t="shared" si="120"/>
        <v>0</v>
      </c>
      <c r="R430">
        <f t="shared" si="121"/>
        <v>4.2349999999999541</v>
      </c>
      <c r="S430">
        <f t="shared" si="122"/>
        <v>3.1985881782626077E-4</v>
      </c>
      <c r="T430">
        <f t="shared" si="128"/>
        <v>1.5566009613415528E-4</v>
      </c>
      <c r="U430" s="1">
        <f t="shared" si="123"/>
        <v>1.2909031658646675</v>
      </c>
      <c r="V430">
        <f t="shared" si="124"/>
        <v>2.5263877101315173E+22</v>
      </c>
      <c r="W430">
        <f t="shared" si="129"/>
        <v>8.0808738633346112E+16</v>
      </c>
      <c r="Y430">
        <f t="shared" si="130"/>
        <v>4.2349999999999541</v>
      </c>
      <c r="Z430">
        <f t="shared" si="125"/>
        <v>0</v>
      </c>
      <c r="AA430">
        <f t="shared" si="131"/>
        <v>0</v>
      </c>
      <c r="AB430">
        <f t="shared" si="132"/>
        <v>1.0000235668946658</v>
      </c>
      <c r="AC430" s="1">
        <f t="shared" si="126"/>
        <v>7.4493433161470389E-3</v>
      </c>
    </row>
    <row r="431" spans="9:29" x14ac:dyDescent="0.2">
      <c r="I431">
        <f t="shared" si="133"/>
        <v>4.2449999999999539</v>
      </c>
      <c r="J431">
        <f t="shared" si="115"/>
        <v>3.1329650925964261E-4</v>
      </c>
      <c r="K431">
        <f t="shared" si="127"/>
        <v>1.5883666037603381E-4</v>
      </c>
      <c r="L431">
        <f t="shared" si="116"/>
        <v>8.1932377252048671E+18</v>
      </c>
      <c r="M431">
        <f t="shared" si="117"/>
        <v>0.169842512753484</v>
      </c>
      <c r="N431">
        <f t="shared" si="118"/>
        <v>0</v>
      </c>
      <c r="O431">
        <f t="shared" si="119"/>
        <v>0</v>
      </c>
      <c r="P431">
        <f t="shared" si="120"/>
        <v>0</v>
      </c>
      <c r="R431">
        <f t="shared" si="121"/>
        <v>4.2449999999999539</v>
      </c>
      <c r="S431">
        <f t="shared" si="122"/>
        <v>3.1329850880548808E-4</v>
      </c>
      <c r="T431">
        <f t="shared" si="128"/>
        <v>1.5246150795589268E-4</v>
      </c>
      <c r="U431" s="1">
        <f t="shared" si="123"/>
        <v>1.2643769866564916</v>
      </c>
      <c r="V431">
        <f t="shared" si="124"/>
        <v>2.6151704481376045E+22</v>
      </c>
      <c r="W431">
        <f t="shared" si="129"/>
        <v>8.1932900167369152E+16</v>
      </c>
      <c r="Y431">
        <f t="shared" si="130"/>
        <v>4.2449999999999539</v>
      </c>
      <c r="Z431">
        <f t="shared" si="125"/>
        <v>0</v>
      </c>
      <c r="AA431">
        <f t="shared" si="131"/>
        <v>0</v>
      </c>
      <c r="AB431">
        <f t="shared" si="132"/>
        <v>1.0000235668946658</v>
      </c>
      <c r="AC431" s="1">
        <f t="shared" si="126"/>
        <v>7.4493433161470389E-3</v>
      </c>
    </row>
    <row r="432" spans="9:29" x14ac:dyDescent="0.2">
      <c r="I432">
        <f t="shared" si="133"/>
        <v>4.2549999999999537</v>
      </c>
      <c r="J432">
        <f t="shared" si="115"/>
        <v>3.0687079328332384E-4</v>
      </c>
      <c r="K432">
        <f t="shared" si="127"/>
        <v>1.5570369528343739E-4</v>
      </c>
      <c r="L432">
        <f t="shared" si="116"/>
        <v>8.30721701563251E+18</v>
      </c>
      <c r="M432">
        <f t="shared" si="117"/>
        <v>0.16649246332260448</v>
      </c>
      <c r="N432">
        <f t="shared" si="118"/>
        <v>0</v>
      </c>
      <c r="O432">
        <f t="shared" si="119"/>
        <v>0</v>
      </c>
      <c r="P432">
        <f t="shared" si="120"/>
        <v>0</v>
      </c>
      <c r="R432">
        <f t="shared" si="121"/>
        <v>4.2549999999999537</v>
      </c>
      <c r="S432">
        <f t="shared" si="122"/>
        <v>3.068727518184549E-4</v>
      </c>
      <c r="T432">
        <f t="shared" si="128"/>
        <v>1.4932852286783779E-4</v>
      </c>
      <c r="U432" s="1">
        <f t="shared" si="123"/>
        <v>1.2383948597709267</v>
      </c>
      <c r="V432">
        <f t="shared" si="124"/>
        <v>2.7070732039209498E+22</v>
      </c>
      <c r="W432">
        <f t="shared" si="129"/>
        <v>8.307270034612232E+16</v>
      </c>
      <c r="Y432">
        <f t="shared" si="130"/>
        <v>4.2549999999999537</v>
      </c>
      <c r="Z432">
        <f t="shared" si="125"/>
        <v>0</v>
      </c>
      <c r="AA432">
        <f t="shared" si="131"/>
        <v>0</v>
      </c>
      <c r="AB432">
        <f t="shared" si="132"/>
        <v>1.0000235668946658</v>
      </c>
      <c r="AC432" s="1">
        <f t="shared" si="126"/>
        <v>7.4493433161470389E-3</v>
      </c>
    </row>
    <row r="433" spans="9:29" x14ac:dyDescent="0.2">
      <c r="I433">
        <f t="shared" si="133"/>
        <v>4.2649999999999535</v>
      </c>
      <c r="J433">
        <f t="shared" si="115"/>
        <v>3.0057686883543843E-4</v>
      </c>
      <c r="K433">
        <f t="shared" si="127"/>
        <v>1.5263498735060415E-4</v>
      </c>
      <c r="L433">
        <f t="shared" si="116"/>
        <v>8.4227819159352125E+18</v>
      </c>
      <c r="M433">
        <f t="shared" si="117"/>
        <v>0.16321112345443395</v>
      </c>
      <c r="N433">
        <f t="shared" si="118"/>
        <v>0</v>
      </c>
      <c r="O433">
        <f t="shared" si="119"/>
        <v>0</v>
      </c>
      <c r="P433">
        <f t="shared" si="120"/>
        <v>0</v>
      </c>
      <c r="R433">
        <f t="shared" si="121"/>
        <v>4.2649999999999535</v>
      </c>
      <c r="S433">
        <f t="shared" si="122"/>
        <v>3.0057878720098535E-4</v>
      </c>
      <c r="T433">
        <f t="shared" si="128"/>
        <v>1.4625979534965325E-4</v>
      </c>
      <c r="U433" s="1">
        <f t="shared" si="123"/>
        <v>1.2129456266868979</v>
      </c>
      <c r="V433">
        <f t="shared" si="124"/>
        <v>2.8022056216663052E+22</v>
      </c>
      <c r="W433">
        <f t="shared" si="129"/>
        <v>8.4228356724824128E+16</v>
      </c>
      <c r="Y433">
        <f t="shared" si="130"/>
        <v>4.2649999999999535</v>
      </c>
      <c r="Z433">
        <f t="shared" si="125"/>
        <v>0</v>
      </c>
      <c r="AA433">
        <f t="shared" si="131"/>
        <v>0</v>
      </c>
      <c r="AB433">
        <f t="shared" si="132"/>
        <v>1.0000235668946658</v>
      </c>
      <c r="AC433" s="1">
        <f t="shared" si="126"/>
        <v>7.4493433161470389E-3</v>
      </c>
    </row>
    <row r="434" spans="9:29" x14ac:dyDescent="0.2">
      <c r="I434">
        <f t="shared" si="133"/>
        <v>4.2749999999999533</v>
      </c>
      <c r="J434">
        <f t="shared" si="115"/>
        <v>2.9441203286981622E-4</v>
      </c>
      <c r="K434">
        <f t="shared" si="127"/>
        <v>1.4962921866224977E-4</v>
      </c>
      <c r="L434">
        <f t="shared" si="116"/>
        <v>8.5399544841437798E+18</v>
      </c>
      <c r="M434">
        <f t="shared" si="117"/>
        <v>0.15999708391483858</v>
      </c>
      <c r="N434">
        <f t="shared" si="118"/>
        <v>0</v>
      </c>
      <c r="O434">
        <f t="shared" si="119"/>
        <v>0</v>
      </c>
      <c r="P434">
        <f t="shared" si="120"/>
        <v>0</v>
      </c>
      <c r="R434">
        <f t="shared" si="121"/>
        <v>4.2749999999999533</v>
      </c>
      <c r="S434">
        <f t="shared" si="122"/>
        <v>2.9441391188965779E-4</v>
      </c>
      <c r="T434">
        <f t="shared" si="128"/>
        <v>1.4325400747764339E-4</v>
      </c>
      <c r="U434" s="1">
        <f t="shared" si="123"/>
        <v>1.1880183577447598</v>
      </c>
      <c r="V434">
        <f t="shared" si="124"/>
        <v>2.9006811986927167E+22</v>
      </c>
      <c r="W434">
        <f t="shared" si="129"/>
        <v>8.5400089885190448E+16</v>
      </c>
      <c r="Y434">
        <f t="shared" si="130"/>
        <v>4.2749999999999533</v>
      </c>
      <c r="Z434">
        <f t="shared" si="125"/>
        <v>0</v>
      </c>
      <c r="AA434">
        <f t="shared" si="131"/>
        <v>0</v>
      </c>
      <c r="AB434">
        <f t="shared" si="132"/>
        <v>1.0000235668946658</v>
      </c>
      <c r="AC434" s="1">
        <f t="shared" si="126"/>
        <v>7.4493433161470389E-3</v>
      </c>
    </row>
    <row r="435" spans="9:29" x14ac:dyDescent="0.2">
      <c r="I435">
        <f t="shared" si="133"/>
        <v>4.2849999999999531</v>
      </c>
      <c r="J435">
        <f t="shared" si="115"/>
        <v>2.8837363777980187E-4</v>
      </c>
      <c r="K435">
        <f t="shared" si="127"/>
        <v>1.4668509833355161E-4</v>
      </c>
      <c r="L435">
        <f t="shared" si="116"/>
        <v>8.6587570851463332E+18</v>
      </c>
      <c r="M435">
        <f t="shared" si="117"/>
        <v>0.15684896437309734</v>
      </c>
      <c r="N435">
        <f t="shared" si="118"/>
        <v>0</v>
      </c>
      <c r="O435">
        <f t="shared" si="119"/>
        <v>0</v>
      </c>
      <c r="P435">
        <f t="shared" si="120"/>
        <v>0</v>
      </c>
      <c r="R435">
        <f t="shared" si="121"/>
        <v>4.2849999999999531</v>
      </c>
      <c r="S435">
        <f t="shared" si="122"/>
        <v>2.8837547826091904E-4</v>
      </c>
      <c r="T435">
        <f t="shared" si="128"/>
        <v>1.4030986835874681E-4</v>
      </c>
      <c r="U435" s="1">
        <f t="shared" si="123"/>
        <v>1.1636023474523465</v>
      </c>
      <c r="V435">
        <f t="shared" si="124"/>
        <v>3.0026174208607932E+22</v>
      </c>
      <c r="W435">
        <f t="shared" si="129"/>
        <v>8.658812347752984E+16</v>
      </c>
      <c r="Y435">
        <f t="shared" si="130"/>
        <v>4.2849999999999531</v>
      </c>
      <c r="Z435">
        <f t="shared" si="125"/>
        <v>0</v>
      </c>
      <c r="AA435">
        <f t="shared" si="131"/>
        <v>0</v>
      </c>
      <c r="AB435">
        <f t="shared" si="132"/>
        <v>1.0000235668946658</v>
      </c>
      <c r="AC435" s="1">
        <f t="shared" si="126"/>
        <v>7.4493433161470389E-3</v>
      </c>
    </row>
    <row r="436" spans="9:29" x14ac:dyDescent="0.2">
      <c r="I436">
        <f t="shared" si="133"/>
        <v>4.2949999999999529</v>
      </c>
      <c r="J436">
        <f t="shared" si="115"/>
        <v>2.8245909026119174E-4</v>
      </c>
      <c r="K436">
        <f t="shared" si="127"/>
        <v>1.4380136195575361E-4</v>
      </c>
      <c r="L436">
        <f t="shared" si="116"/>
        <v>8.7792123949580145E+18</v>
      </c>
      <c r="M436">
        <f t="shared" si="117"/>
        <v>0.15376541280909237</v>
      </c>
      <c r="N436">
        <f t="shared" si="118"/>
        <v>0</v>
      </c>
      <c r="O436">
        <f t="shared" si="119"/>
        <v>0</v>
      </c>
      <c r="P436">
        <f t="shared" si="120"/>
        <v>0</v>
      </c>
      <c r="R436">
        <f t="shared" si="121"/>
        <v>4.2949999999999529</v>
      </c>
      <c r="S436">
        <f t="shared" si="122"/>
        <v>2.8246089299401435E-4</v>
      </c>
      <c r="T436">
        <f t="shared" si="128"/>
        <v>1.3742611357613763E-4</v>
      </c>
      <c r="U436" s="1">
        <f t="shared" si="123"/>
        <v>1.1396871098872918</v>
      </c>
      <c r="V436">
        <f t="shared" si="124"/>
        <v>3.1081359027389843E+22</v>
      </c>
      <c r="W436">
        <f t="shared" si="129"/>
        <v>8.779268426344104E+16</v>
      </c>
      <c r="Y436">
        <f t="shared" si="130"/>
        <v>4.2949999999999529</v>
      </c>
      <c r="Z436">
        <f t="shared" si="125"/>
        <v>0</v>
      </c>
      <c r="AA436">
        <f t="shared" si="131"/>
        <v>0</v>
      </c>
      <c r="AB436">
        <f t="shared" si="132"/>
        <v>1.0000235668946658</v>
      </c>
      <c r="AC436" s="1">
        <f t="shared" si="126"/>
        <v>7.4493433161470389E-3</v>
      </c>
    </row>
    <row r="437" spans="9:29" x14ac:dyDescent="0.2">
      <c r="I437">
        <f t="shared" si="133"/>
        <v>4.3049999999999526</v>
      </c>
      <c r="J437">
        <f t="shared" si="115"/>
        <v>2.766658501984893E-4</v>
      </c>
      <c r="K437">
        <f t="shared" si="127"/>
        <v>1.4097677105314168E-4</v>
      </c>
      <c r="L437">
        <f t="shared" si="116"/>
        <v>8.9013434050485187E+18</v>
      </c>
      <c r="M437">
        <f t="shared" si="117"/>
        <v>0.15074510493265816</v>
      </c>
      <c r="N437">
        <f t="shared" si="118"/>
        <v>0</v>
      </c>
      <c r="O437">
        <f t="shared" si="119"/>
        <v>0</v>
      </c>
      <c r="P437">
        <f t="shared" si="120"/>
        <v>0</v>
      </c>
      <c r="R437">
        <f t="shared" si="121"/>
        <v>4.3049999999999526</v>
      </c>
      <c r="S437">
        <f t="shared" si="122"/>
        <v>2.7666761595723538E-4</v>
      </c>
      <c r="T437">
        <f t="shared" si="128"/>
        <v>1.3460150464619748E-4</v>
      </c>
      <c r="U437" s="1">
        <f t="shared" si="123"/>
        <v>1.1162623741936506</v>
      </c>
      <c r="V437">
        <f t="shared" si="124"/>
        <v>3.2173625326950901E+22</v>
      </c>
      <c r="W437">
        <f t="shared" si="129"/>
        <v>8.9014002159088336E+16</v>
      </c>
      <c r="Y437">
        <f t="shared" si="130"/>
        <v>4.3049999999999526</v>
      </c>
      <c r="Z437">
        <f t="shared" si="125"/>
        <v>0</v>
      </c>
      <c r="AA437">
        <f t="shared" si="131"/>
        <v>0</v>
      </c>
      <c r="AB437">
        <f t="shared" si="132"/>
        <v>1.0000235668946658</v>
      </c>
      <c r="AC437" s="1">
        <f t="shared" si="126"/>
        <v>7.4493433161470389E-3</v>
      </c>
    </row>
    <row r="438" spans="9:29" x14ac:dyDescent="0.2">
      <c r="I438">
        <f t="shared" si="133"/>
        <v>4.3149999999999524</v>
      </c>
      <c r="J438">
        <f t="shared" si="115"/>
        <v>2.7099142957400326E-4</v>
      </c>
      <c r="K438">
        <f t="shared" si="127"/>
        <v>1.3821011255115678E-4</v>
      </c>
      <c r="L438">
        <f t="shared" si="116"/>
        <v>9.0251734267307848E+18</v>
      </c>
      <c r="M438">
        <f t="shared" si="117"/>
        <v>0.14778674361483984</v>
      </c>
      <c r="N438">
        <f t="shared" si="118"/>
        <v>0</v>
      </c>
      <c r="O438">
        <f t="shared" si="119"/>
        <v>0</v>
      </c>
      <c r="P438">
        <f t="shared" si="120"/>
        <v>0</v>
      </c>
      <c r="R438">
        <f t="shared" si="121"/>
        <v>4.3149999999999524</v>
      </c>
      <c r="S438">
        <f t="shared" si="122"/>
        <v>2.7099315911701175E-4</v>
      </c>
      <c r="T438">
        <f t="shared" si="128"/>
        <v>1.3183482848662511E-4</v>
      </c>
      <c r="U438" s="1">
        <f t="shared" si="123"/>
        <v>1.0933180801708835</v>
      </c>
      <c r="V438">
        <f t="shared" si="124"/>
        <v>3.3304276230869359E+22</v>
      </c>
      <c r="W438">
        <f t="shared" si="129"/>
        <v>9.0252310279088928E+16</v>
      </c>
      <c r="Y438">
        <f t="shared" si="130"/>
        <v>4.3149999999999524</v>
      </c>
      <c r="Z438">
        <f t="shared" si="125"/>
        <v>0</v>
      </c>
      <c r="AA438">
        <f t="shared" si="131"/>
        <v>0</v>
      </c>
      <c r="AB438">
        <f t="shared" si="132"/>
        <v>1.0000235668946658</v>
      </c>
      <c r="AC438" s="1">
        <f t="shared" si="126"/>
        <v>7.4493433161470389E-3</v>
      </c>
    </row>
    <row r="439" spans="9:29" x14ac:dyDescent="0.2">
      <c r="I439">
        <f t="shared" si="133"/>
        <v>4.3249999999999522</v>
      </c>
      <c r="J439">
        <f t="shared" si="115"/>
        <v>2.6543339139932314E-4</v>
      </c>
      <c r="K439">
        <f t="shared" si="127"/>
        <v>1.3550019825541676E-4</v>
      </c>
      <c r="L439">
        <f t="shared" si="116"/>
        <v>9.1507260956104724E+18</v>
      </c>
      <c r="M439">
        <f t="shared" si="117"/>
        <v>0.14488905833081636</v>
      </c>
      <c r="N439">
        <f t="shared" si="118"/>
        <v>0</v>
      </c>
      <c r="O439">
        <f t="shared" si="119"/>
        <v>0</v>
      </c>
      <c r="P439">
        <f t="shared" si="120"/>
        <v>0</v>
      </c>
      <c r="R439">
        <f t="shared" si="121"/>
        <v>4.3249999999999522</v>
      </c>
      <c r="S439">
        <f t="shared" si="122"/>
        <v>2.6543508546937925E-4</v>
      </c>
      <c r="T439">
        <f t="shared" si="128"/>
        <v>1.2912489689545501E-4</v>
      </c>
      <c r="U439" s="1">
        <f t="shared" si="123"/>
        <v>1.0708443739533104</v>
      </c>
      <c r="V439">
        <f t="shared" si="124"/>
        <v>3.4474660657309476E+22</v>
      </c>
      <c r="W439">
        <f t="shared" si="129"/>
        <v>9.1507844981007872E+16</v>
      </c>
      <c r="Y439">
        <f t="shared" si="130"/>
        <v>4.3249999999999522</v>
      </c>
      <c r="Z439">
        <f t="shared" si="125"/>
        <v>0</v>
      </c>
      <c r="AA439">
        <f t="shared" si="131"/>
        <v>0</v>
      </c>
      <c r="AB439">
        <f t="shared" si="132"/>
        <v>1.0000235668946658</v>
      </c>
      <c r="AC439" s="1">
        <f t="shared" si="126"/>
        <v>7.4493433161470389E-3</v>
      </c>
    </row>
    <row r="440" spans="9:29" x14ac:dyDescent="0.2">
      <c r="I440">
        <f t="shared" si="133"/>
        <v>4.334999999999952</v>
      </c>
      <c r="J440">
        <f t="shared" si="115"/>
        <v>2.5998934866870466E-4</v>
      </c>
      <c r="K440">
        <f t="shared" si="127"/>
        <v>1.3284586434142353E-4</v>
      </c>
      <c r="L440">
        <f t="shared" si="116"/>
        <v>9.27802537609728E+18</v>
      </c>
      <c r="M440">
        <f t="shared" si="117"/>
        <v>0.14205080461424915</v>
      </c>
      <c r="N440">
        <f t="shared" si="118"/>
        <v>0</v>
      </c>
      <c r="O440">
        <f t="shared" si="119"/>
        <v>0</v>
      </c>
      <c r="P440">
        <f t="shared" si="120"/>
        <v>0</v>
      </c>
      <c r="R440">
        <f t="shared" si="121"/>
        <v>4.334999999999952</v>
      </c>
      <c r="S440">
        <f t="shared" si="122"/>
        <v>2.5999100799335923E-4</v>
      </c>
      <c r="T440">
        <f t="shared" si="128"/>
        <v>1.2647054604076122E-4</v>
      </c>
      <c r="U440" s="1">
        <f t="shared" si="123"/>
        <v>1.0488316037781806</v>
      </c>
      <c r="V440">
        <f t="shared" si="124"/>
        <v>3.568617492834271E+22</v>
      </c>
      <c r="W440">
        <f t="shared" si="129"/>
        <v>9.2780845910471664E+16</v>
      </c>
      <c r="Y440">
        <f t="shared" si="130"/>
        <v>4.334999999999952</v>
      </c>
      <c r="Z440">
        <f t="shared" si="125"/>
        <v>0</v>
      </c>
      <c r="AA440">
        <f t="shared" si="131"/>
        <v>0</v>
      </c>
      <c r="AB440">
        <f t="shared" si="132"/>
        <v>1.0000235668946658</v>
      </c>
      <c r="AC440" s="1">
        <f t="shared" si="126"/>
        <v>7.4493433161470389E-3</v>
      </c>
    </row>
    <row r="441" spans="9:29" x14ac:dyDescent="0.2">
      <c r="I441">
        <f t="shared" si="133"/>
        <v>4.3449999999999518</v>
      </c>
      <c r="J441">
        <f t="shared" si="115"/>
        <v>2.5465696333392687E-4</v>
      </c>
      <c r="K441">
        <f t="shared" si="127"/>
        <v>1.3024597085473647E-4</v>
      </c>
      <c r="L441">
        <f t="shared" si="116"/>
        <v>9.4070955659788083E+18</v>
      </c>
      <c r="M441">
        <f t="shared" si="117"/>
        <v>0.13927076352282253</v>
      </c>
      <c r="N441">
        <f t="shared" si="118"/>
        <v>0</v>
      </c>
      <c r="O441">
        <f t="shared" si="119"/>
        <v>0</v>
      </c>
      <c r="P441">
        <f t="shared" si="120"/>
        <v>0</v>
      </c>
      <c r="R441">
        <f t="shared" si="121"/>
        <v>4.3449999999999518</v>
      </c>
      <c r="S441">
        <f t="shared" si="122"/>
        <v>2.5465858862580858E-4</v>
      </c>
      <c r="T441">
        <f t="shared" si="128"/>
        <v>1.2387063596082764E-4</v>
      </c>
      <c r="U441" s="1">
        <f t="shared" si="123"/>
        <v>1.0272703158405374</v>
      </c>
      <c r="V441">
        <f t="shared" si="124"/>
        <v>3.6940264435822484E+22</v>
      </c>
      <c r="W441">
        <f t="shared" si="129"/>
        <v>9.407155604690704E+16</v>
      </c>
      <c r="Y441">
        <f t="shared" si="130"/>
        <v>4.3449999999999518</v>
      </c>
      <c r="Z441">
        <f t="shared" si="125"/>
        <v>0</v>
      </c>
      <c r="AA441">
        <f t="shared" si="131"/>
        <v>0</v>
      </c>
      <c r="AB441">
        <f t="shared" si="132"/>
        <v>1.0000235668946658</v>
      </c>
      <c r="AC441" s="1">
        <f t="shared" si="126"/>
        <v>7.4493433161470389E-3</v>
      </c>
    </row>
    <row r="442" spans="9:29" x14ac:dyDescent="0.2">
      <c r="I442">
        <f t="shared" si="133"/>
        <v>4.3549999999999516</v>
      </c>
      <c r="J442">
        <f t="shared" si="115"/>
        <v>2.4943394530017182E-4</v>
      </c>
      <c r="K442">
        <f t="shared" si="127"/>
        <v>1.276994012213972E-4</v>
      </c>
      <c r="L442">
        <f t="shared" si="116"/>
        <v>9.5379613010589532E+18</v>
      </c>
      <c r="M442">
        <f t="shared" si="117"/>
        <v>0.13654774111474549</v>
      </c>
      <c r="N442">
        <f t="shared" si="118"/>
        <v>0</v>
      </c>
      <c r="O442">
        <f t="shared" si="119"/>
        <v>0</v>
      </c>
      <c r="P442">
        <f t="shared" si="120"/>
        <v>0</v>
      </c>
      <c r="R442">
        <f t="shared" si="121"/>
        <v>4.3549999999999516</v>
      </c>
      <c r="S442">
        <f t="shared" si="122"/>
        <v>2.4943553725729329E-4</v>
      </c>
      <c r="T442">
        <f t="shared" si="128"/>
        <v>1.2132405007456956E-4</v>
      </c>
      <c r="U442" s="1">
        <f t="shared" si="123"/>
        <v>1.0061512502331027</v>
      </c>
      <c r="V442">
        <f t="shared" si="124"/>
        <v>3.8238425365805187E+22</v>
      </c>
      <c r="W442">
        <f t="shared" si="129"/>
        <v>9.5380221749925296E+16</v>
      </c>
      <c r="Y442">
        <f t="shared" si="130"/>
        <v>4.3549999999999516</v>
      </c>
      <c r="Z442">
        <f t="shared" si="125"/>
        <v>0</v>
      </c>
      <c r="AA442">
        <f t="shared" si="131"/>
        <v>0</v>
      </c>
      <c r="AB442">
        <f t="shared" si="132"/>
        <v>1.0000235668946658</v>
      </c>
      <c r="AC442" s="1">
        <f t="shared" si="126"/>
        <v>7.4493433161470389E-3</v>
      </c>
    </row>
    <row r="443" spans="9:29" x14ac:dyDescent="0.2">
      <c r="I443">
        <f t="shared" si="133"/>
        <v>4.3649999999999514</v>
      </c>
      <c r="J443">
        <f t="shared" si="115"/>
        <v>2.4431805144249923E-4</v>
      </c>
      <c r="K443">
        <f t="shared" si="127"/>
        <v>1.2520506176839547E-4</v>
      </c>
      <c r="L443">
        <f t="shared" si="116"/>
        <v>9.6706475598594232E+18</v>
      </c>
      <c r="M443">
        <f t="shared" si="117"/>
        <v>0.13388056793599057</v>
      </c>
      <c r="N443">
        <f t="shared" si="118"/>
        <v>0</v>
      </c>
      <c r="O443">
        <f t="shared" si="119"/>
        <v>0</v>
      </c>
      <c r="P443">
        <f t="shared" si="120"/>
        <v>0</v>
      </c>
      <c r="R443">
        <f t="shared" si="121"/>
        <v>4.3649999999999514</v>
      </c>
      <c r="S443">
        <f t="shared" si="122"/>
        <v>2.4431961074855693E-4</v>
      </c>
      <c r="T443">
        <f t="shared" si="128"/>
        <v>1.1882969470199664E-4</v>
      </c>
      <c r="U443" s="1">
        <f t="shared" si="123"/>
        <v>0.98546533696943095</v>
      </c>
      <c r="V443">
        <f t="shared" si="124"/>
        <v>3.9582206483565671E+22</v>
      </c>
      <c r="W443">
        <f t="shared" si="129"/>
        <v>9.6707092806337728E+16</v>
      </c>
      <c r="Y443">
        <f t="shared" si="130"/>
        <v>4.3649999999999514</v>
      </c>
      <c r="Z443">
        <f t="shared" si="125"/>
        <v>0</v>
      </c>
      <c r="AA443">
        <f t="shared" si="131"/>
        <v>0</v>
      </c>
      <c r="AB443">
        <f t="shared" si="132"/>
        <v>1.0000235668946658</v>
      </c>
      <c r="AC443" s="1">
        <f t="shared" si="126"/>
        <v>7.4493433161470389E-3</v>
      </c>
    </row>
    <row r="444" spans="9:29" x14ac:dyDescent="0.2">
      <c r="I444">
        <f t="shared" si="133"/>
        <v>4.3749999999999512</v>
      </c>
      <c r="J444">
        <f t="shared" si="115"/>
        <v>2.393070846424955E-4</v>
      </c>
      <c r="K444">
        <f t="shared" si="127"/>
        <v>1.2276188125397047E-4</v>
      </c>
      <c r="L444">
        <f t="shared" si="116"/>
        <v>9.8051796683881144E+18</v>
      </c>
      <c r="M444">
        <f t="shared" si="117"/>
        <v>0.13126809851804944</v>
      </c>
      <c r="N444">
        <f t="shared" si="118"/>
        <v>0</v>
      </c>
      <c r="O444">
        <f t="shared" si="119"/>
        <v>0</v>
      </c>
      <c r="P444">
        <f t="shared" si="120"/>
        <v>0</v>
      </c>
      <c r="R444">
        <f t="shared" si="121"/>
        <v>4.3749999999999512</v>
      </c>
      <c r="S444">
        <f t="shared" si="122"/>
        <v>2.393086119671632E-4</v>
      </c>
      <c r="T444">
        <f t="shared" si="128"/>
        <v>1.1638649859451106E-4</v>
      </c>
      <c r="U444" s="1">
        <f t="shared" si="123"/>
        <v>0.96520369208863144</v>
      </c>
      <c r="V444">
        <f t="shared" si="124"/>
        <v>4.097321098134734E+22</v>
      </c>
      <c r="W444">
        <f t="shared" si="129"/>
        <v>9.80524224778396E+16</v>
      </c>
      <c r="Y444">
        <f t="shared" si="130"/>
        <v>4.3749999999999512</v>
      </c>
      <c r="Z444">
        <f t="shared" si="125"/>
        <v>0</v>
      </c>
      <c r="AA444">
        <f t="shared" si="131"/>
        <v>0</v>
      </c>
      <c r="AB444">
        <f t="shared" si="132"/>
        <v>1.0000235668946658</v>
      </c>
      <c r="AC444" s="1">
        <f t="shared" si="126"/>
        <v>7.4493433161470389E-3</v>
      </c>
    </row>
    <row r="445" spans="9:29" x14ac:dyDescent="0.2">
      <c r="I445">
        <f t="shared" si="133"/>
        <v>4.3849999999999509</v>
      </c>
      <c r="J445">
        <f t="shared" si="115"/>
        <v>2.3439889284467639E-4</v>
      </c>
      <c r="K445">
        <f t="shared" si="127"/>
        <v>1.2036881040754551E-4</v>
      </c>
      <c r="L445">
        <f t="shared" si="116"/>
        <v>9.9415833049725133E+18</v>
      </c>
      <c r="M445">
        <f t="shared" si="117"/>
        <v>0.12870921088598958</v>
      </c>
      <c r="N445">
        <f t="shared" si="118"/>
        <v>0</v>
      </c>
      <c r="O445">
        <f t="shared" si="119"/>
        <v>0</v>
      </c>
      <c r="P445">
        <f t="shared" si="120"/>
        <v>0</v>
      </c>
      <c r="R445">
        <f t="shared" si="121"/>
        <v>4.3849999999999509</v>
      </c>
      <c r="S445">
        <f t="shared" si="122"/>
        <v>2.3440038884389285E-4</v>
      </c>
      <c r="T445">
        <f t="shared" si="128"/>
        <v>1.1399341247483943E-4</v>
      </c>
      <c r="U445" s="1">
        <f t="shared" si="123"/>
        <v>0.94535761383998107</v>
      </c>
      <c r="V445">
        <f t="shared" si="124"/>
        <v>4.2413098391041756E+22</v>
      </c>
      <c r="W445">
        <f t="shared" si="129"/>
        <v>9.9416467549344752E+16</v>
      </c>
      <c r="Y445">
        <f t="shared" si="130"/>
        <v>4.3849999999999509</v>
      </c>
      <c r="Z445">
        <f t="shared" si="125"/>
        <v>0</v>
      </c>
      <c r="AA445">
        <f t="shared" si="131"/>
        <v>0</v>
      </c>
      <c r="AB445">
        <f t="shared" si="132"/>
        <v>1.0000235668946658</v>
      </c>
      <c r="AC445" s="1">
        <f t="shared" si="126"/>
        <v>7.4493433161470389E-3</v>
      </c>
    </row>
    <row r="446" spans="9:29" x14ac:dyDescent="0.2">
      <c r="I446">
        <f t="shared" si="133"/>
        <v>4.3949999999999507</v>
      </c>
      <c r="J446">
        <f t="shared" si="115"/>
        <v>2.2959136813224741E-4</v>
      </c>
      <c r="K446">
        <f t="shared" si="127"/>
        <v>1.1802482147909874E-4</v>
      </c>
      <c r="L446">
        <f t="shared" si="116"/>
        <v>1.0079884505161396E+19</v>
      </c>
      <c r="M446">
        <f t="shared" si="117"/>
        <v>0.12620280607660081</v>
      </c>
      <c r="N446">
        <f t="shared" si="118"/>
        <v>0</v>
      </c>
      <c r="O446">
        <f t="shared" si="119"/>
        <v>0</v>
      </c>
      <c r="P446">
        <f t="shared" si="120"/>
        <v>0</v>
      </c>
      <c r="R446">
        <f t="shared" si="121"/>
        <v>4.3949999999999507</v>
      </c>
      <c r="S446">
        <f t="shared" si="122"/>
        <v>2.2959283344849813E-4</v>
      </c>
      <c r="T446">
        <f t="shared" si="128"/>
        <v>1.116494085864005E-4</v>
      </c>
      <c r="U446" s="1">
        <f t="shared" si="123"/>
        <v>0.92591857894579055</v>
      </c>
      <c r="V446">
        <f t="shared" si="124"/>
        <v>4.3903586564087466E+22</v>
      </c>
      <c r="W446">
        <f t="shared" si="129"/>
        <v>1.0079948837800254E+17</v>
      </c>
      <c r="Y446">
        <f t="shared" si="130"/>
        <v>4.3949999999999507</v>
      </c>
      <c r="Z446">
        <f t="shared" si="125"/>
        <v>0</v>
      </c>
      <c r="AA446">
        <f t="shared" si="131"/>
        <v>0</v>
      </c>
      <c r="AB446">
        <f t="shared" si="132"/>
        <v>1.0000235668946658</v>
      </c>
      <c r="AC446" s="1">
        <f t="shared" si="126"/>
        <v>7.4493433161470389E-3</v>
      </c>
    </row>
    <row r="447" spans="9:29" x14ac:dyDescent="0.2">
      <c r="I447">
        <f t="shared" si="133"/>
        <v>4.4049999999999505</v>
      </c>
      <c r="J447">
        <f t="shared" si="115"/>
        <v>2.2488244582181841E-4</v>
      </c>
      <c r="K447">
        <f t="shared" si="127"/>
        <v>1.1572890779777627E-4</v>
      </c>
      <c r="L447">
        <f t="shared" si="116"/>
        <v>1.0220109666693882E+19</v>
      </c>
      <c r="M447">
        <f t="shared" si="117"/>
        <v>0.12374780766642428</v>
      </c>
      <c r="N447">
        <f t="shared" si="118"/>
        <v>0</v>
      </c>
      <c r="O447">
        <f t="shared" si="119"/>
        <v>0</v>
      </c>
      <c r="P447">
        <f t="shared" si="120"/>
        <v>0</v>
      </c>
      <c r="R447">
        <f t="shared" si="121"/>
        <v>4.4049999999999505</v>
      </c>
      <c r="S447">
        <f t="shared" si="122"/>
        <v>2.2488388108441145E-4</v>
      </c>
      <c r="T447">
        <f t="shared" si="128"/>
        <v>1.0935348025191551E-4</v>
      </c>
      <c r="U447" s="1">
        <f t="shared" si="123"/>
        <v>0.90687823894092057</v>
      </c>
      <c r="V447">
        <f t="shared" si="124"/>
        <v>4.5446453720943621E+22</v>
      </c>
      <c r="W447">
        <f t="shared" si="129"/>
        <v>1.0220174894288894E+17</v>
      </c>
      <c r="Y447">
        <f t="shared" si="130"/>
        <v>4.4049999999999505</v>
      </c>
      <c r="Z447">
        <f t="shared" si="125"/>
        <v>0</v>
      </c>
      <c r="AA447">
        <f t="shared" si="131"/>
        <v>0</v>
      </c>
      <c r="AB447">
        <f t="shared" si="132"/>
        <v>1.0000235668946658</v>
      </c>
      <c r="AC447" s="1">
        <f t="shared" si="126"/>
        <v>7.4493433161470389E-3</v>
      </c>
    </row>
    <row r="448" spans="9:29" x14ac:dyDescent="0.2">
      <c r="I448">
        <f t="shared" si="133"/>
        <v>4.4149999999999503</v>
      </c>
      <c r="J448">
        <f t="shared" si="115"/>
        <v>2.2027010357668521E-4</v>
      </c>
      <c r="K448">
        <f t="shared" si="127"/>
        <v>1.1348008333955808E-4</v>
      </c>
      <c r="L448">
        <f t="shared" si="116"/>
        <v>1.0362285554538414E+19</v>
      </c>
      <c r="M448">
        <f t="shared" si="117"/>
        <v>0.1213431613094621</v>
      </c>
      <c r="N448">
        <f t="shared" si="118"/>
        <v>0</v>
      </c>
      <c r="O448">
        <f t="shared" si="119"/>
        <v>0</v>
      </c>
      <c r="P448">
        <f t="shared" si="120"/>
        <v>0</v>
      </c>
      <c r="R448">
        <f t="shared" si="121"/>
        <v>4.4149999999999503</v>
      </c>
      <c r="S448">
        <f t="shared" si="122"/>
        <v>2.2027150940202151E-4</v>
      </c>
      <c r="T448">
        <f t="shared" si="128"/>
        <v>1.071046414410714E-4</v>
      </c>
      <c r="U448" s="1">
        <f t="shared" si="123"/>
        <v>0.88822841658737373</v>
      </c>
      <c r="V448">
        <f t="shared" si="124"/>
        <v>4.7043540572590102E+22</v>
      </c>
      <c r="W448">
        <f t="shared" si="129"/>
        <v>1.0362351689539659E+17</v>
      </c>
      <c r="Y448">
        <f t="shared" si="130"/>
        <v>4.4149999999999503</v>
      </c>
      <c r="Z448">
        <f t="shared" si="125"/>
        <v>0</v>
      </c>
      <c r="AA448">
        <f t="shared" si="131"/>
        <v>0</v>
      </c>
      <c r="AB448">
        <f t="shared" si="132"/>
        <v>1.0000235668946658</v>
      </c>
      <c r="AC448" s="1">
        <f t="shared" si="126"/>
        <v>7.4493433161470389E-3</v>
      </c>
    </row>
    <row r="449" spans="9:29" x14ac:dyDescent="0.2">
      <c r="I449">
        <f t="shared" si="133"/>
        <v>4.4249999999999501</v>
      </c>
      <c r="J449">
        <f t="shared" si="115"/>
        <v>2.1575236053830019E-4</v>
      </c>
      <c r="K449">
        <f t="shared" si="127"/>
        <v>1.1127738230379123E-4</v>
      </c>
      <c r="L449">
        <f t="shared" si="116"/>
        <v>1.0506439306001152E+19</v>
      </c>
      <c r="M449">
        <f t="shared" si="117"/>
        <v>0.11898783428436813</v>
      </c>
      <c r="N449">
        <f t="shared" si="118"/>
        <v>0</v>
      </c>
      <c r="O449">
        <f t="shared" si="119"/>
        <v>0</v>
      </c>
      <c r="P449">
        <f t="shared" si="120"/>
        <v>0</v>
      </c>
      <c r="R449">
        <f t="shared" si="121"/>
        <v>4.4249999999999501</v>
      </c>
      <c r="S449">
        <f t="shared" si="122"/>
        <v>2.1575373753013834E-4</v>
      </c>
      <c r="T449">
        <f t="shared" si="128"/>
        <v>1.0490192634705118E-4</v>
      </c>
      <c r="U449" s="1">
        <f t="shared" si="123"/>
        <v>0.86996110236242341</v>
      </c>
      <c r="V449">
        <f t="shared" si="124"/>
        <v>4.8696752516578182E+22</v>
      </c>
      <c r="W449">
        <f t="shared" si="129"/>
        <v>1.0506506361031914E+17</v>
      </c>
      <c r="Y449">
        <f t="shared" si="130"/>
        <v>4.4249999999999501</v>
      </c>
      <c r="Z449">
        <f t="shared" si="125"/>
        <v>0</v>
      </c>
      <c r="AA449">
        <f t="shared" si="131"/>
        <v>0</v>
      </c>
      <c r="AB449">
        <f t="shared" si="132"/>
        <v>1.0000235668946658</v>
      </c>
      <c r="AC449" s="1">
        <f t="shared" si="126"/>
        <v>7.4493433161470389E-3</v>
      </c>
    </row>
    <row r="450" spans="9:29" x14ac:dyDescent="0.2">
      <c r="I450">
        <f t="shared" si="133"/>
        <v>4.4349999999999499</v>
      </c>
      <c r="J450">
        <f t="shared" si="115"/>
        <v>2.1132727647555217E-4</v>
      </c>
      <c r="K450">
        <f t="shared" si="127"/>
        <v>1.0911985869840823E-4</v>
      </c>
      <c r="L450">
        <f t="shared" si="116"/>
        <v>1.0652598435905952E+19</v>
      </c>
      <c r="M450">
        <f t="shared" si="117"/>
        <v>0.11668081505092613</v>
      </c>
      <c r="N450">
        <f t="shared" si="118"/>
        <v>0</v>
      </c>
      <c r="O450">
        <f t="shared" si="119"/>
        <v>0</v>
      </c>
      <c r="P450">
        <f t="shared" si="120"/>
        <v>0</v>
      </c>
      <c r="R450">
        <f t="shared" si="121"/>
        <v>4.4349999999999499</v>
      </c>
      <c r="S450">
        <f t="shared" si="122"/>
        <v>2.113286252252676E-4</v>
      </c>
      <c r="T450">
        <f t="shared" si="128"/>
        <v>1.0274438897174979E-4</v>
      </c>
      <c r="U450" s="1">
        <f t="shared" si="123"/>
        <v>0.85206845101877071</v>
      </c>
      <c r="V450">
        <f t="shared" si="124"/>
        <v>5.0408061910258517E+22</v>
      </c>
      <c r="W450">
        <f t="shared" si="129"/>
        <v>1.0652666423765109E+17</v>
      </c>
      <c r="Y450">
        <f t="shared" si="130"/>
        <v>4.4349999999999499</v>
      </c>
      <c r="Z450">
        <f t="shared" si="125"/>
        <v>0</v>
      </c>
      <c r="AA450">
        <f t="shared" si="131"/>
        <v>0</v>
      </c>
      <c r="AB450">
        <f t="shared" si="132"/>
        <v>1.0000235668946658</v>
      </c>
      <c r="AC450" s="1">
        <f t="shared" si="126"/>
        <v>7.4493433161470389E-3</v>
      </c>
    </row>
    <row r="451" spans="9:29" x14ac:dyDescent="0.2">
      <c r="I451">
        <f t="shared" si="133"/>
        <v>4.4449999999999497</v>
      </c>
      <c r="J451">
        <f t="shared" si="115"/>
        <v>2.0699295095149883E-4</v>
      </c>
      <c r="K451">
        <f t="shared" si="127"/>
        <v>1.0700658593365271E-4</v>
      </c>
      <c r="L451">
        <f t="shared" si="116"/>
        <v>1.0800790841845719E+19</v>
      </c>
      <c r="M451">
        <f t="shared" si="117"/>
        <v>0.11442111281562445</v>
      </c>
      <c r="N451">
        <f t="shared" si="118"/>
        <v>0</v>
      </c>
      <c r="O451">
        <f t="shared" si="119"/>
        <v>0</v>
      </c>
      <c r="P451">
        <f t="shared" si="120"/>
        <v>0</v>
      </c>
      <c r="R451">
        <f t="shared" si="121"/>
        <v>4.4449999999999497</v>
      </c>
      <c r="S451">
        <f t="shared" si="122"/>
        <v>2.0699427203833793E-4</v>
      </c>
      <c r="T451">
        <f t="shared" si="128"/>
        <v>1.0063110271949711E-4</v>
      </c>
      <c r="U451" s="1">
        <f t="shared" si="123"/>
        <v>0.83454277821525347</v>
      </c>
      <c r="V451">
        <f t="shared" si="124"/>
        <v>5.2179510423891128E+22</v>
      </c>
      <c r="W451">
        <f t="shared" si="129"/>
        <v>1.0800859775510211E+17</v>
      </c>
      <c r="Y451">
        <f t="shared" si="130"/>
        <v>4.4449999999999497</v>
      </c>
      <c r="Z451">
        <f t="shared" si="125"/>
        <v>0</v>
      </c>
      <c r="AA451">
        <f t="shared" si="131"/>
        <v>0</v>
      </c>
      <c r="AB451">
        <f t="shared" si="132"/>
        <v>1.0000235668946658</v>
      </c>
      <c r="AC451" s="1">
        <f t="shared" si="126"/>
        <v>7.4493433161470389E-3</v>
      </c>
    </row>
    <row r="452" spans="9:29" x14ac:dyDescent="0.2">
      <c r="I452">
        <f t="shared" si="133"/>
        <v>4.4549999999999494</v>
      </c>
      <c r="J452">
        <f t="shared" si="115"/>
        <v>2.0274752250718723E-4</v>
      </c>
      <c r="K452">
        <f t="shared" si="127"/>
        <v>1.0493665642413772E-4</v>
      </c>
      <c r="L452">
        <f t="shared" si="116"/>
        <v>1.0951044809507834E+19</v>
      </c>
      <c r="M452">
        <f t="shared" si="117"/>
        <v>0.11220775710614077</v>
      </c>
      <c r="N452">
        <f t="shared" si="118"/>
        <v>0</v>
      </c>
      <c r="O452">
        <f t="shared" si="119"/>
        <v>0</v>
      </c>
      <c r="P452">
        <f t="shared" si="120"/>
        <v>0</v>
      </c>
      <c r="R452">
        <f t="shared" si="121"/>
        <v>4.4549999999999494</v>
      </c>
      <c r="S452">
        <f t="shared" si="122"/>
        <v>2.0274881649851601E-4</v>
      </c>
      <c r="T452">
        <f t="shared" si="128"/>
        <v>9.8561159999113737E-5</v>
      </c>
      <c r="U452" s="1">
        <f t="shared" si="123"/>
        <v>0.81737655721665858</v>
      </c>
      <c r="V452">
        <f t="shared" si="124"/>
        <v>5.4013211476454061E+22</v>
      </c>
      <c r="W452">
        <f t="shared" si="129"/>
        <v>1.0951114702135125E+17</v>
      </c>
      <c r="Y452">
        <f t="shared" si="130"/>
        <v>4.4549999999999494</v>
      </c>
      <c r="Z452">
        <f t="shared" si="125"/>
        <v>0</v>
      </c>
      <c r="AA452">
        <f t="shared" si="131"/>
        <v>0</v>
      </c>
      <c r="AB452">
        <f t="shared" si="132"/>
        <v>1.0000235668946658</v>
      </c>
      <c r="AC452" s="1">
        <f t="shared" si="126"/>
        <v>7.4493433161470389E-3</v>
      </c>
    </row>
    <row r="453" spans="9:29" x14ac:dyDescent="0.2">
      <c r="I453">
        <f t="shared" si="133"/>
        <v>4.4649999999999492</v>
      </c>
      <c r="J453">
        <f t="shared" si="115"/>
        <v>1.9858916786221446E-4</v>
      </c>
      <c r="K453">
        <f t="shared" si="127"/>
        <v>1.0290918119906584E-4</v>
      </c>
      <c r="L453">
        <f t="shared" si="116"/>
        <v>1.1103389018072623E+19</v>
      </c>
      <c r="M453">
        <f t="shared" si="117"/>
        <v>0.11003979735455435</v>
      </c>
      <c r="N453">
        <f t="shared" si="118"/>
        <v>0</v>
      </c>
      <c r="O453">
        <f t="shared" si="119"/>
        <v>0</v>
      </c>
      <c r="P453">
        <f t="shared" si="120"/>
        <v>0</v>
      </c>
      <c r="R453">
        <f t="shared" si="121"/>
        <v>4.4649999999999492</v>
      </c>
      <c r="S453">
        <f t="shared" si="122"/>
        <v>1.985904353137622E-4</v>
      </c>
      <c r="T453">
        <f t="shared" si="128"/>
        <v>9.6533671834128578E-5</v>
      </c>
      <c r="U453" s="1">
        <f t="shared" si="123"/>
        <v>0.80056241566122233</v>
      </c>
      <c r="V453">
        <f t="shared" si="124"/>
        <v>5.5911352757046645E+22</v>
      </c>
      <c r="W453">
        <f t="shared" si="129"/>
        <v>1.1103459883003213E+17</v>
      </c>
      <c r="Y453">
        <f t="shared" si="130"/>
        <v>4.4649999999999492</v>
      </c>
      <c r="Z453">
        <f t="shared" si="125"/>
        <v>0</v>
      </c>
      <c r="AA453">
        <f t="shared" si="131"/>
        <v>0</v>
      </c>
      <c r="AB453">
        <f t="shared" si="132"/>
        <v>1.0000235668946658</v>
      </c>
      <c r="AC453" s="1">
        <f t="shared" si="126"/>
        <v>7.4493433161470389E-3</v>
      </c>
    </row>
    <row r="454" spans="9:29" x14ac:dyDescent="0.2">
      <c r="I454">
        <f t="shared" si="133"/>
        <v>4.474999999999949</v>
      </c>
      <c r="J454">
        <f t="shared" si="115"/>
        <v>1.9451610113168627E-4</v>
      </c>
      <c r="K454">
        <f t="shared" si="127"/>
        <v>1.0092328952044369E-4</v>
      </c>
      <c r="L454">
        <f t="shared" si="116"/>
        <v>1.1257852545687452E+19</v>
      </c>
      <c r="M454">
        <f t="shared" si="117"/>
        <v>0.10791630248910632</v>
      </c>
      <c r="N454">
        <f t="shared" si="118"/>
        <v>0</v>
      </c>
      <c r="O454">
        <f t="shared" si="119"/>
        <v>0</v>
      </c>
      <c r="P454">
        <f t="shared" si="120"/>
        <v>0</v>
      </c>
      <c r="R454">
        <f t="shared" si="121"/>
        <v>4.474999999999949</v>
      </c>
      <c r="S454">
        <f t="shared" si="122"/>
        <v>1.9451734258778427E-4</v>
      </c>
      <c r="T454">
        <f t="shared" si="128"/>
        <v>9.4547767480990952E-5</v>
      </c>
      <c r="U454" s="1">
        <f t="shared" si="123"/>
        <v>0.78409313239442846</v>
      </c>
      <c r="V454">
        <f t="shared" si="124"/>
        <v>5.7876198834902361E+22</v>
      </c>
      <c r="W454">
        <f t="shared" si="129"/>
        <v>1.1257924396447422E+17</v>
      </c>
      <c r="Y454">
        <f t="shared" si="130"/>
        <v>4.474999999999949</v>
      </c>
      <c r="Z454">
        <f t="shared" si="125"/>
        <v>0</v>
      </c>
      <c r="AA454">
        <f t="shared" si="131"/>
        <v>0</v>
      </c>
      <c r="AB454">
        <f t="shared" si="132"/>
        <v>1.0000235668946658</v>
      </c>
      <c r="AC454" s="1">
        <f t="shared" si="126"/>
        <v>7.4493433161470389E-3</v>
      </c>
    </row>
    <row r="455" spans="9:29" x14ac:dyDescent="0.2">
      <c r="I455">
        <f t="shared" si="133"/>
        <v>4.4849999999999488</v>
      </c>
      <c r="J455">
        <f t="shared" ref="J455:J518" si="134">IF($I455&gt;$B$23,0,1)*IF($I455&lt;($B$23-$B$21),$B$10*EXP(-$B$10*($I455-$B$8)),$B$10*EXP(-$B$10*($B$23-$B$20-$B$21-$B$8)))/(1-EXP(-$B$10*($B$23-$B$21-$B$8)))*(1/(1+$B$24))</f>
        <v>1.9052657305923255E-4</v>
      </c>
      <c r="K455">
        <f t="shared" si="127"/>
        <v>9.8978128509126829E-5</v>
      </c>
      <c r="L455">
        <f t="shared" ref="L455:L518" si="135">$V455*$J455</f>
        <v>1.1414464875017175E+19</v>
      </c>
      <c r="M455">
        <f t="shared" ref="M455:M518" si="136">$K455/$L$4*$B$18</f>
        <v>0.10583636053433318</v>
      </c>
      <c r="N455">
        <f t="shared" ref="N455:N518" si="137">IF($I455&gt;$B$23,0,1)*IF($I455&lt;($B$23-$B$21),0,M455)</f>
        <v>0</v>
      </c>
      <c r="O455">
        <f t="shared" ref="O455:O518" si="138">IF($I455&gt;$B$23,0,1)*IF($I455&lt;($B$23-$B$33),0,1)*IF($I455&lt;($B$23-$B$21),$B$10*EXP(-$B$10*($I455-$B$8)),$B$10*EXP(-$B$10*($B$23-$B$20-$B$21-$B$8)))/(1-EXP(-$B$10*($B$23-$B$21-$B$8)))*(1/(1+$B$24))*($B$18/(SUM($L$7:$L$105)*0.05))</f>
        <v>0</v>
      </c>
      <c r="P455">
        <f t="shared" ref="P455:P518" si="139">IF($I455&gt;$B$23,0,1)*IF($I455&lt;($B$23-$B$21),0,1)*$L455</f>
        <v>0</v>
      </c>
      <c r="R455">
        <f t="shared" ref="R455:R518" si="140">$I455</f>
        <v>4.4849999999999488</v>
      </c>
      <c r="S455">
        <f t="shared" ref="S455:S518" si="141">IF($I455&lt;$B$23+0.01,$B$10*EXP(-$B$10*($I455-$B$8))/(1-EXP(-$B$10*($B$23-$B$8))),0)</f>
        <v>1.9052778905304785E-4</v>
      </c>
      <c r="T455">
        <f t="shared" si="128"/>
        <v>9.2602594055113104E-5</v>
      </c>
      <c r="U455" s="1">
        <f t="shared" ref="U455:U518" si="142">T455*$B$18/$W$4</f>
        <v>0.76796163436774467</v>
      </c>
      <c r="V455">
        <f t="shared" ref="V455:V518" si="143">10^(1.5*$I455+16.05)</f>
        <v>5.9910093861125332E+22</v>
      </c>
      <c r="W455">
        <f t="shared" si="129"/>
        <v>1.1414537725320784E+17</v>
      </c>
      <c r="Y455">
        <f t="shared" si="130"/>
        <v>4.4849999999999488</v>
      </c>
      <c r="Z455">
        <f t="shared" ref="Z455:Z518" si="144">IF(AND($Y455&lt;$B$9+$B$27*$B$28,$Y455&gt;$B$9-$B$27*$B$28),NORMDIST($Y455,$B$9,$B$27,0) / (2*NORMDIST($B$28,0,1,1)-1),0)</f>
        <v>0</v>
      </c>
      <c r="AA455">
        <f t="shared" si="131"/>
        <v>0</v>
      </c>
      <c r="AB455">
        <f t="shared" si="132"/>
        <v>1.0000235668946658</v>
      </c>
      <c r="AC455" s="1">
        <f t="shared" ref="AC455:AC518" si="145">$AB455*$B$18/$AA$4</f>
        <v>7.4493433161470389E-3</v>
      </c>
    </row>
    <row r="456" spans="9:29" x14ac:dyDescent="0.2">
      <c r="I456">
        <f t="shared" si="133"/>
        <v>4.4949999999999486</v>
      </c>
      <c r="J456">
        <f t="shared" si="134"/>
        <v>1.8661887026575721E-4</v>
      </c>
      <c r="K456">
        <f t="shared" ref="K456:K519" si="146">$J456*K$4+K457</f>
        <v>9.7072862778534497E-5</v>
      </c>
      <c r="L456">
        <f t="shared" si="135"/>
        <v>1.1573255898871323E+19</v>
      </c>
      <c r="M456">
        <f t="shared" si="136"/>
        <v>0.10379907821940151</v>
      </c>
      <c r="N456">
        <f t="shared" si="137"/>
        <v>0</v>
      </c>
      <c r="O456">
        <f t="shared" si="138"/>
        <v>0</v>
      </c>
      <c r="P456">
        <f t="shared" si="139"/>
        <v>0</v>
      </c>
      <c r="R456">
        <f t="shared" si="140"/>
        <v>4.4949999999999486</v>
      </c>
      <c r="S456">
        <f t="shared" si="141"/>
        <v>1.8662006131952162E-4</v>
      </c>
      <c r="T456">
        <f t="shared" ref="T456:T519" si="147">T457+$S456*0.01</f>
        <v>9.0697316164582622E-5</v>
      </c>
      <c r="U456" s="1">
        <f t="shared" si="142"/>
        <v>0.75216099360096778</v>
      </c>
      <c r="V456">
        <f t="shared" si="143"/>
        <v>6.2015464365368122E+22</v>
      </c>
      <c r="W456">
        <f t="shared" ref="W456:W519" si="148">$S456*$V456*0.01</f>
        <v>1.1573329762623606E+17</v>
      </c>
      <c r="Y456">
        <f t="shared" ref="Y456:Y519" si="149">I456</f>
        <v>4.4949999999999486</v>
      </c>
      <c r="Z456">
        <f t="shared" si="144"/>
        <v>0</v>
      </c>
      <c r="AA456">
        <f t="shared" ref="AA456:AA519" si="150">$V456*$Z456*$K$4</f>
        <v>0</v>
      </c>
      <c r="AB456">
        <f t="shared" ref="AB456:AB519" si="151">Z456*$K$4+AB457</f>
        <v>1.0000235668946658</v>
      </c>
      <c r="AC456" s="1">
        <f t="shared" si="145"/>
        <v>7.4493433161470389E-3</v>
      </c>
    </row>
    <row r="457" spans="9:29" x14ac:dyDescent="0.2">
      <c r="I457">
        <f t="shared" si="133"/>
        <v>4.5049999999999484</v>
      </c>
      <c r="J457">
        <f t="shared" si="134"/>
        <v>1.8279131451359422E-4</v>
      </c>
      <c r="K457">
        <f t="shared" si="146"/>
        <v>9.5206674075876927E-5</v>
      </c>
      <c r="L457">
        <f t="shared" si="135"/>
        <v>1.1734255925909727E+19</v>
      </c>
      <c r="M457">
        <f t="shared" si="136"/>
        <v>0.10180358059447567</v>
      </c>
      <c r="N457">
        <f t="shared" si="137"/>
        <v>0</v>
      </c>
      <c r="O457">
        <f t="shared" si="138"/>
        <v>0</v>
      </c>
      <c r="P457">
        <f t="shared" si="139"/>
        <v>0</v>
      </c>
      <c r="R457">
        <f t="shared" si="140"/>
        <v>4.5049999999999484</v>
      </c>
      <c r="S457">
        <f t="shared" si="141"/>
        <v>1.8279248113882855E-4</v>
      </c>
      <c r="T457">
        <f t="shared" si="147"/>
        <v>8.8831115551387405E-5</v>
      </c>
      <c r="U457" s="1">
        <f t="shared" si="142"/>
        <v>0.7366844242068693</v>
      </c>
      <c r="V457">
        <f t="shared" si="143"/>
        <v>6.4194822150792331E+22</v>
      </c>
      <c r="W457">
        <f t="shared" si="148"/>
        <v>1.173433081720916E+17</v>
      </c>
      <c r="Y457">
        <f t="shared" si="149"/>
        <v>4.5049999999999484</v>
      </c>
      <c r="Z457">
        <f t="shared" si="144"/>
        <v>0</v>
      </c>
      <c r="AA457">
        <f t="shared" si="150"/>
        <v>0</v>
      </c>
      <c r="AB457">
        <f t="shared" si="151"/>
        <v>1.0000235668946658</v>
      </c>
      <c r="AC457" s="1">
        <f t="shared" si="145"/>
        <v>7.4493433161470389E-3</v>
      </c>
    </row>
    <row r="458" spans="9:29" x14ac:dyDescent="0.2">
      <c r="I458">
        <f t="shared" si="133"/>
        <v>4.5149999999999482</v>
      </c>
      <c r="J458">
        <f t="shared" si="134"/>
        <v>1.7904226198575744E-4</v>
      </c>
      <c r="K458">
        <f t="shared" si="146"/>
        <v>9.3378760930740983E-5</v>
      </c>
      <c r="L458">
        <f t="shared" si="135"/>
        <v>1.1897495686428066E+19</v>
      </c>
      <c r="M458">
        <f t="shared" si="136"/>
        <v>9.9849010654953982E-2</v>
      </c>
      <c r="N458">
        <f t="shared" si="137"/>
        <v>0</v>
      </c>
      <c r="O458">
        <f t="shared" si="138"/>
        <v>0</v>
      </c>
      <c r="P458">
        <f t="shared" si="139"/>
        <v>0</v>
      </c>
      <c r="R458">
        <f t="shared" si="140"/>
        <v>4.5149999999999482</v>
      </c>
      <c r="S458">
        <f t="shared" si="141"/>
        <v>1.7904340468349119E-4</v>
      </c>
      <c r="T458">
        <f t="shared" si="147"/>
        <v>8.700319073999912E-5</v>
      </c>
      <c r="U458" s="1">
        <f t="shared" si="142"/>
        <v>0.72152527947686707</v>
      </c>
      <c r="V458">
        <f t="shared" si="143"/>
        <v>6.6450767290766773E+22</v>
      </c>
      <c r="W458">
        <f t="shared" si="148"/>
        <v>1.1897571619569254E+17</v>
      </c>
      <c r="Y458">
        <f t="shared" si="149"/>
        <v>4.5149999999999482</v>
      </c>
      <c r="Z458">
        <f t="shared" si="144"/>
        <v>0</v>
      </c>
      <c r="AA458">
        <f t="shared" si="150"/>
        <v>0</v>
      </c>
      <c r="AB458">
        <f t="shared" si="151"/>
        <v>1.0000235668946658</v>
      </c>
      <c r="AC458" s="1">
        <f t="shared" si="145"/>
        <v>7.4493433161470389E-3</v>
      </c>
    </row>
    <row r="459" spans="9:29" x14ac:dyDescent="0.2">
      <c r="I459">
        <f t="shared" si="133"/>
        <v>4.524999999999948</v>
      </c>
      <c r="J459">
        <f t="shared" si="134"/>
        <v>1.7537010257997012E-4</v>
      </c>
      <c r="K459">
        <f t="shared" si="146"/>
        <v>9.1588338310883408E-5</v>
      </c>
      <c r="L459">
        <f t="shared" si="135"/>
        <v>1.2063006338222367E+19</v>
      </c>
      <c r="M459">
        <f t="shared" si="136"/>
        <v>9.7934528973411594E-2</v>
      </c>
      <c r="N459">
        <f t="shared" si="137"/>
        <v>0</v>
      </c>
      <c r="O459">
        <f t="shared" si="138"/>
        <v>0</v>
      </c>
      <c r="P459">
        <f t="shared" si="139"/>
        <v>0</v>
      </c>
      <c r="R459">
        <f t="shared" si="140"/>
        <v>4.524999999999948</v>
      </c>
      <c r="S459">
        <f t="shared" si="141"/>
        <v>1.753712218409567E-4</v>
      </c>
      <c r="T459">
        <f t="shared" si="147"/>
        <v>8.5212756693164206E-5</v>
      </c>
      <c r="U459" s="1">
        <f t="shared" si="142"/>
        <v>0.70667704902646888</v>
      </c>
      <c r="V459">
        <f t="shared" si="143"/>
        <v>6.8785991230868685E+22</v>
      </c>
      <c r="W459">
        <f t="shared" si="148"/>
        <v>1.2063083327698774E+17</v>
      </c>
      <c r="Y459">
        <f t="shared" si="149"/>
        <v>4.524999999999948</v>
      </c>
      <c r="Z459">
        <f t="shared" si="144"/>
        <v>0</v>
      </c>
      <c r="AA459">
        <f t="shared" si="150"/>
        <v>0</v>
      </c>
      <c r="AB459">
        <f t="shared" si="151"/>
        <v>1.0000235668946658</v>
      </c>
      <c r="AC459" s="1">
        <f t="shared" si="145"/>
        <v>7.4493433161470389E-3</v>
      </c>
    </row>
    <row r="460" spans="9:29" x14ac:dyDescent="0.2">
      <c r="I460">
        <f t="shared" si="133"/>
        <v>4.5349999999999477</v>
      </c>
      <c r="J460">
        <f t="shared" si="134"/>
        <v>1.7177325921717708E-4</v>
      </c>
      <c r="K460">
        <f t="shared" si="146"/>
        <v>8.9834637285083707E-5</v>
      </c>
      <c r="L460">
        <f t="shared" si="135"/>
        <v>1.2230819472537393E+19</v>
      </c>
      <c r="M460">
        <f t="shared" si="136"/>
        <v>9.6059313339092414E-2</v>
      </c>
      <c r="N460">
        <f t="shared" si="137"/>
        <v>0</v>
      </c>
      <c r="O460">
        <f t="shared" si="138"/>
        <v>0</v>
      </c>
      <c r="P460">
        <f t="shared" si="139"/>
        <v>0</v>
      </c>
      <c r="R460">
        <f t="shared" si="140"/>
        <v>4.5349999999999477</v>
      </c>
      <c r="S460">
        <f t="shared" si="141"/>
        <v>1.7177435552210448E-4</v>
      </c>
      <c r="T460">
        <f t="shared" si="147"/>
        <v>8.3459044474754637E-5</v>
      </c>
      <c r="U460" s="1">
        <f t="shared" si="142"/>
        <v>0.69213335599926329</v>
      </c>
      <c r="V460">
        <f t="shared" si="143"/>
        <v>7.1203279999907746E+22</v>
      </c>
      <c r="W460">
        <f t="shared" si="148"/>
        <v>1.2230897533044106E+17</v>
      </c>
      <c r="Y460">
        <f t="shared" si="149"/>
        <v>4.5349999999999477</v>
      </c>
      <c r="Z460">
        <f t="shared" si="144"/>
        <v>0</v>
      </c>
      <c r="AA460">
        <f t="shared" si="150"/>
        <v>0</v>
      </c>
      <c r="AB460">
        <f t="shared" si="151"/>
        <v>1.0000235668946658</v>
      </c>
      <c r="AC460" s="1">
        <f t="shared" si="145"/>
        <v>7.4493433161470389E-3</v>
      </c>
    </row>
    <row r="461" spans="9:29" x14ac:dyDescent="0.2">
      <c r="I461">
        <f t="shared" si="133"/>
        <v>4.5449999999999475</v>
      </c>
      <c r="J461">
        <f t="shared" si="134"/>
        <v>1.6825018716423758E-4</v>
      </c>
      <c r="K461">
        <f t="shared" si="146"/>
        <v>8.8116904692911942E-5</v>
      </c>
      <c r="L461">
        <f t="shared" si="135"/>
        <v>1.2400967120095562E+19</v>
      </c>
      <c r="M461">
        <f t="shared" si="136"/>
        <v>9.4222558404794959E-2</v>
      </c>
      <c r="N461">
        <f t="shared" si="137"/>
        <v>0</v>
      </c>
      <c r="O461">
        <f t="shared" si="138"/>
        <v>0</v>
      </c>
      <c r="P461">
        <f t="shared" si="139"/>
        <v>0</v>
      </c>
      <c r="R461">
        <f t="shared" si="140"/>
        <v>4.5449999999999475</v>
      </c>
      <c r="S461">
        <f t="shared" si="141"/>
        <v>1.6825126098393492E-4</v>
      </c>
      <c r="T461">
        <f t="shared" si="147"/>
        <v>8.1741300919533597E-5</v>
      </c>
      <c r="U461" s="1">
        <f t="shared" si="142"/>
        <v>0.67788795432825721</v>
      </c>
      <c r="V461">
        <f t="shared" si="143"/>
        <v>7.3705517533780484E+22</v>
      </c>
      <c r="W461">
        <f t="shared" si="148"/>
        <v>1.2401046266532093E+17</v>
      </c>
      <c r="Y461">
        <f t="shared" si="149"/>
        <v>4.5449999999999475</v>
      </c>
      <c r="Z461">
        <f t="shared" si="144"/>
        <v>0</v>
      </c>
      <c r="AA461">
        <f t="shared" si="150"/>
        <v>0</v>
      </c>
      <c r="AB461">
        <f t="shared" si="151"/>
        <v>1.0000235668946658</v>
      </c>
      <c r="AC461" s="1">
        <f t="shared" si="145"/>
        <v>7.4493433161470389E-3</v>
      </c>
    </row>
    <row r="462" spans="9:29" x14ac:dyDescent="0.2">
      <c r="I462">
        <f t="shared" si="133"/>
        <v>4.5549999999999473</v>
      </c>
      <c r="J462">
        <f t="shared" si="134"/>
        <v>1.6479937337050978E-4</v>
      </c>
      <c r="K462">
        <f t="shared" si="146"/>
        <v>8.6434402821269565E-5</v>
      </c>
      <c r="L462">
        <f t="shared" si="135"/>
        <v>1.2573481757211075E+19</v>
      </c>
      <c r="M462">
        <f t="shared" si="136"/>
        <v>9.2423475341000608E-2</v>
      </c>
      <c r="N462">
        <f t="shared" si="137"/>
        <v>0</v>
      </c>
      <c r="O462">
        <f t="shared" si="138"/>
        <v>0</v>
      </c>
      <c r="P462">
        <f t="shared" si="139"/>
        <v>0</v>
      </c>
      <c r="R462">
        <f t="shared" si="140"/>
        <v>4.5549999999999473</v>
      </c>
      <c r="S462">
        <f t="shared" si="141"/>
        <v>1.6480042516614946E-4</v>
      </c>
      <c r="T462">
        <f t="shared" si="147"/>
        <v>8.0058788309694253E-5</v>
      </c>
      <c r="U462" s="1">
        <f t="shared" si="142"/>
        <v>0.66393472605338233</v>
      </c>
      <c r="V462">
        <f t="shared" si="143"/>
        <v>7.6295689116139875E+22</v>
      </c>
      <c r="W462">
        <f t="shared" si="148"/>
        <v>1.2573562004684214E+17</v>
      </c>
      <c r="Y462">
        <f t="shared" si="149"/>
        <v>4.5549999999999473</v>
      </c>
      <c r="Z462">
        <f t="shared" si="144"/>
        <v>0</v>
      </c>
      <c r="AA462">
        <f t="shared" si="150"/>
        <v>0</v>
      </c>
      <c r="AB462">
        <f t="shared" si="151"/>
        <v>1.0000235668946658</v>
      </c>
      <c r="AC462" s="1">
        <f t="shared" si="145"/>
        <v>7.4493433161470389E-3</v>
      </c>
    </row>
    <row r="463" spans="9:29" x14ac:dyDescent="0.2">
      <c r="I463">
        <f t="shared" si="133"/>
        <v>4.5649999999999471</v>
      </c>
      <c r="J463">
        <f t="shared" si="134"/>
        <v>1.6141933581804348E-4</v>
      </c>
      <c r="K463">
        <f t="shared" si="146"/>
        <v>8.4786409087564467E-5</v>
      </c>
      <c r="L463">
        <f t="shared" si="135"/>
        <v>1.274839631198875E+19</v>
      </c>
      <c r="M463">
        <f t="shared" si="136"/>
        <v>9.0661291497095606E-2</v>
      </c>
      <c r="N463">
        <f t="shared" si="137"/>
        <v>0</v>
      </c>
      <c r="O463">
        <f t="shared" si="138"/>
        <v>0</v>
      </c>
      <c r="P463">
        <f t="shared" si="139"/>
        <v>0</v>
      </c>
      <c r="R463">
        <f t="shared" si="140"/>
        <v>4.5649999999999471</v>
      </c>
      <c r="S463">
        <f t="shared" si="141"/>
        <v>1.6142036604133923E-4</v>
      </c>
      <c r="T463">
        <f t="shared" si="147"/>
        <v>7.8410784058032763E-5</v>
      </c>
      <c r="U463" s="1">
        <f t="shared" si="142"/>
        <v>0.65026767869402091</v>
      </c>
      <c r="V463">
        <f t="shared" si="143"/>
        <v>7.8976884939974657E+22</v>
      </c>
      <c r="W463">
        <f t="shared" si="148"/>
        <v>1.274847767581544E+17</v>
      </c>
      <c r="Y463">
        <f t="shared" si="149"/>
        <v>4.5649999999999471</v>
      </c>
      <c r="Z463">
        <f t="shared" si="144"/>
        <v>0</v>
      </c>
      <c r="AA463">
        <f t="shared" si="150"/>
        <v>0</v>
      </c>
      <c r="AB463">
        <f t="shared" si="151"/>
        <v>1.0000235668946658</v>
      </c>
      <c r="AC463" s="1">
        <f t="shared" si="145"/>
        <v>7.4493433161470389E-3</v>
      </c>
    </row>
    <row r="464" spans="9:29" x14ac:dyDescent="0.2">
      <c r="I464">
        <f t="shared" si="133"/>
        <v>4.5749999999999469</v>
      </c>
      <c r="J464">
        <f t="shared" si="134"/>
        <v>1.5810862288509741E-4</v>
      </c>
      <c r="K464">
        <f t="shared" si="146"/>
        <v>8.3172215729384032E-5</v>
      </c>
      <c r="L464">
        <f t="shared" si="135"/>
        <v>1.2925744170608988E+19</v>
      </c>
      <c r="M464">
        <f t="shared" si="136"/>
        <v>8.8935250069541671E-2</v>
      </c>
      <c r="N464">
        <f t="shared" si="137"/>
        <v>0</v>
      </c>
      <c r="O464">
        <f t="shared" si="138"/>
        <v>0</v>
      </c>
      <c r="P464">
        <f t="shared" si="139"/>
        <v>0</v>
      </c>
      <c r="R464">
        <f t="shared" si="140"/>
        <v>4.5749999999999469</v>
      </c>
      <c r="S464">
        <f t="shared" si="141"/>
        <v>1.5810963197849831E-4</v>
      </c>
      <c r="T464">
        <f t="shared" si="147"/>
        <v>7.6796580397619371E-5</v>
      </c>
      <c r="U464" s="1">
        <f t="shared" si="142"/>
        <v>0.63688094267541995</v>
      </c>
      <c r="V464">
        <f t="shared" si="143"/>
        <v>8.1752303794351176E+22</v>
      </c>
      <c r="W464">
        <f t="shared" si="148"/>
        <v>1.2925826666319256E+17</v>
      </c>
      <c r="Y464">
        <f t="shared" si="149"/>
        <v>4.5749999999999469</v>
      </c>
      <c r="Z464">
        <f t="shared" si="144"/>
        <v>0</v>
      </c>
      <c r="AA464">
        <f t="shared" si="150"/>
        <v>0</v>
      </c>
      <c r="AB464">
        <f t="shared" si="151"/>
        <v>1.0000235668946658</v>
      </c>
      <c r="AC464" s="1">
        <f t="shared" si="145"/>
        <v>7.4493433161470389E-3</v>
      </c>
    </row>
    <row r="465" spans="9:29" x14ac:dyDescent="0.2">
      <c r="I465">
        <f t="shared" si="133"/>
        <v>4.5849999999999467</v>
      </c>
      <c r="J465">
        <f t="shared" si="134"/>
        <v>1.5486581272271361E-4</v>
      </c>
      <c r="K465">
        <f t="shared" si="146"/>
        <v>8.1591129500533058E-5</v>
      </c>
      <c r="L465">
        <f t="shared" si="135"/>
        <v>1.3105559183699876E+19</v>
      </c>
      <c r="M465">
        <f t="shared" si="136"/>
        <v>8.7244609776852042E-2</v>
      </c>
      <c r="N465">
        <f t="shared" si="137"/>
        <v>0</v>
      </c>
      <c r="O465">
        <f t="shared" si="138"/>
        <v>0</v>
      </c>
      <c r="P465">
        <f t="shared" si="139"/>
        <v>0</v>
      </c>
      <c r="R465">
        <f t="shared" si="140"/>
        <v>4.5849999999999467</v>
      </c>
      <c r="S465">
        <f t="shared" si="141"/>
        <v>1.5486680111959417E-4</v>
      </c>
      <c r="T465">
        <f t="shared" si="147"/>
        <v>7.5215484077834394E-5</v>
      </c>
      <c r="U465" s="1">
        <f t="shared" si="142"/>
        <v>0.62376876880789045</v>
      </c>
      <c r="V465">
        <f t="shared" si="143"/>
        <v>8.4625256880711999E+22</v>
      </c>
      <c r="W465">
        <f t="shared" si="148"/>
        <v>1.3105642827039794E+17</v>
      </c>
      <c r="Y465">
        <f t="shared" si="149"/>
        <v>4.5849999999999467</v>
      </c>
      <c r="Z465">
        <f t="shared" si="144"/>
        <v>0</v>
      </c>
      <c r="AA465">
        <f t="shared" si="150"/>
        <v>0</v>
      </c>
      <c r="AB465">
        <f t="shared" si="151"/>
        <v>1.0000235668946658</v>
      </c>
      <c r="AC465" s="1">
        <f t="shared" si="145"/>
        <v>7.4493433161470389E-3</v>
      </c>
    </row>
    <row r="466" spans="9:29" x14ac:dyDescent="0.2">
      <c r="I466">
        <f t="shared" si="133"/>
        <v>4.5949999999999465</v>
      </c>
      <c r="J466">
        <f t="shared" si="134"/>
        <v>1.5168951264407719E-4</v>
      </c>
      <c r="K466">
        <f t="shared" si="146"/>
        <v>8.0042471373305925E-5</v>
      </c>
      <c r="L466">
        <f t="shared" si="135"/>
        <v>1.3287875672799216E+19</v>
      </c>
      <c r="M466">
        <f t="shared" si="136"/>
        <v>8.5588644541234146E-2</v>
      </c>
      <c r="N466">
        <f t="shared" si="137"/>
        <v>0</v>
      </c>
      <c r="O466">
        <f t="shared" si="138"/>
        <v>0</v>
      </c>
      <c r="P466">
        <f t="shared" si="139"/>
        <v>0</v>
      </c>
      <c r="R466">
        <f t="shared" si="140"/>
        <v>4.5949999999999465</v>
      </c>
      <c r="S466">
        <f t="shared" si="141"/>
        <v>1.5169048076892329E-4</v>
      </c>
      <c r="T466">
        <f t="shared" si="147"/>
        <v>7.3666816066638455E-5</v>
      </c>
      <c r="U466" s="1">
        <f t="shared" si="142"/>
        <v>0.61092552581770765</v>
      </c>
      <c r="V466">
        <f t="shared" si="143"/>
        <v>8.7599171763296254E+22</v>
      </c>
      <c r="W466">
        <f t="shared" si="148"/>
        <v>1.3287960479733899E+17</v>
      </c>
      <c r="Y466">
        <f t="shared" si="149"/>
        <v>4.5949999999999465</v>
      </c>
      <c r="Z466">
        <f t="shared" si="144"/>
        <v>0</v>
      </c>
      <c r="AA466">
        <f t="shared" si="150"/>
        <v>0</v>
      </c>
      <c r="AB466">
        <f t="shared" si="151"/>
        <v>1.0000235668946658</v>
      </c>
      <c r="AC466" s="1">
        <f t="shared" si="145"/>
        <v>7.4493433161470389E-3</v>
      </c>
    </row>
    <row r="467" spans="9:29" x14ac:dyDescent="0.2">
      <c r="I467">
        <f t="shared" si="133"/>
        <v>4.6049999999999462</v>
      </c>
      <c r="J467">
        <f t="shared" si="134"/>
        <v>1.4857835852639966E-4</v>
      </c>
      <c r="K467">
        <f t="shared" si="146"/>
        <v>7.8525576246865151E-5</v>
      </c>
      <c r="L467">
        <f t="shared" si="135"/>
        <v>1.3472728436904454E+19</v>
      </c>
      <c r="M467">
        <f t="shared" si="136"/>
        <v>8.3966643176761432E-2</v>
      </c>
      <c r="N467">
        <f t="shared" si="137"/>
        <v>0</v>
      </c>
      <c r="O467">
        <f t="shared" si="138"/>
        <v>0</v>
      </c>
      <c r="P467">
        <f t="shared" si="139"/>
        <v>0</v>
      </c>
      <c r="R467">
        <f t="shared" si="140"/>
        <v>4.6049999999999462</v>
      </c>
      <c r="S467">
        <f t="shared" si="141"/>
        <v>1.4857930679499105E-4</v>
      </c>
      <c r="T467">
        <f t="shared" si="147"/>
        <v>7.2149911258949216E-5</v>
      </c>
      <c r="U467" s="1">
        <f t="shared" si="142"/>
        <v>0.598345697928653</v>
      </c>
      <c r="V467">
        <f t="shared" si="143"/>
        <v>9.0677596458373828E+22</v>
      </c>
      <c r="W467">
        <f t="shared" si="148"/>
        <v>1.3472814423621118E+17</v>
      </c>
      <c r="Y467">
        <f t="shared" si="149"/>
        <v>4.6049999999999462</v>
      </c>
      <c r="Z467">
        <f t="shared" si="144"/>
        <v>0</v>
      </c>
      <c r="AA467">
        <f t="shared" si="150"/>
        <v>0</v>
      </c>
      <c r="AB467">
        <f t="shared" si="151"/>
        <v>1.0000235668946658</v>
      </c>
      <c r="AC467" s="1">
        <f t="shared" si="145"/>
        <v>7.4493433161470389E-3</v>
      </c>
    </row>
    <row r="468" spans="9:29" x14ac:dyDescent="0.2">
      <c r="I468">
        <f t="shared" si="133"/>
        <v>4.614999999999946</v>
      </c>
      <c r="J468">
        <f t="shared" si="134"/>
        <v>1.4553101422507176E-4</v>
      </c>
      <c r="K468">
        <f t="shared" si="146"/>
        <v>7.7039792661601157E-5</v>
      </c>
      <c r="L468">
        <f t="shared" si="135"/>
        <v>1.3660152759115772E+19</v>
      </c>
      <c r="M468">
        <f t="shared" si="136"/>
        <v>8.2377909083941173E-2</v>
      </c>
      <c r="N468">
        <f t="shared" si="137"/>
        <v>0</v>
      </c>
      <c r="O468">
        <f t="shared" si="138"/>
        <v>0</v>
      </c>
      <c r="P468">
        <f t="shared" si="139"/>
        <v>0</v>
      </c>
      <c r="R468">
        <f t="shared" si="140"/>
        <v>4.614999999999946</v>
      </c>
      <c r="S468">
        <f t="shared" si="141"/>
        <v>1.455319430446605E-4</v>
      </c>
      <c r="T468">
        <f t="shared" si="147"/>
        <v>7.0664118190999305E-5</v>
      </c>
      <c r="U468" s="1">
        <f t="shared" si="142"/>
        <v>0.58602388249315895</v>
      </c>
      <c r="V468">
        <f t="shared" si="143"/>
        <v>9.3864203667196258E+22</v>
      </c>
      <c r="W468">
        <f t="shared" si="148"/>
        <v>1.3660239942026819E+17</v>
      </c>
      <c r="Y468">
        <f t="shared" si="149"/>
        <v>4.614999999999946</v>
      </c>
      <c r="Z468">
        <f t="shared" si="144"/>
        <v>0</v>
      </c>
      <c r="AA468">
        <f t="shared" si="150"/>
        <v>0</v>
      </c>
      <c r="AB468">
        <f t="shared" si="151"/>
        <v>1.0000235668946658</v>
      </c>
      <c r="AC468" s="1">
        <f t="shared" si="145"/>
        <v>7.4493433161470389E-3</v>
      </c>
    </row>
    <row r="469" spans="9:29" x14ac:dyDescent="0.2">
      <c r="I469">
        <f t="shared" si="133"/>
        <v>4.6249999999999458</v>
      </c>
      <c r="J469">
        <f t="shared" si="134"/>
        <v>1.4254617099982879E-4</v>
      </c>
      <c r="K469">
        <f t="shared" si="146"/>
        <v>7.5584482519350444E-5</v>
      </c>
      <c r="L469">
        <f t="shared" si="135"/>
        <v>1.3850184413369805E+19</v>
      </c>
      <c r="M469">
        <f t="shared" si="136"/>
        <v>8.0821759950546357E-2</v>
      </c>
      <c r="N469">
        <f t="shared" si="137"/>
        <v>0</v>
      </c>
      <c r="O469">
        <f t="shared" si="138"/>
        <v>0</v>
      </c>
      <c r="P469">
        <f t="shared" si="139"/>
        <v>0</v>
      </c>
      <c r="R469">
        <f t="shared" si="140"/>
        <v>4.6249999999999458</v>
      </c>
      <c r="S469">
        <f t="shared" si="141"/>
        <v>1.425470807693142E-4</v>
      </c>
      <c r="T469">
        <f t="shared" si="147"/>
        <v>6.9208798760552701E-5</v>
      </c>
      <c r="U469" s="1">
        <f t="shared" si="142"/>
        <v>0.57395478767203834</v>
      </c>
      <c r="V469">
        <f t="shared" si="143"/>
        <v>9.7162795157692738E+22</v>
      </c>
      <c r="W469">
        <f t="shared" si="148"/>
        <v>1.3850272809115957E+17</v>
      </c>
      <c r="Y469">
        <f t="shared" si="149"/>
        <v>4.6249999999999458</v>
      </c>
      <c r="Z469">
        <f t="shared" si="144"/>
        <v>0</v>
      </c>
      <c r="AA469">
        <f t="shared" si="150"/>
        <v>0</v>
      </c>
      <c r="AB469">
        <f t="shared" si="151"/>
        <v>1.0000235668946658</v>
      </c>
      <c r="AC469" s="1">
        <f t="shared" si="145"/>
        <v>7.4493433161470389E-3</v>
      </c>
    </row>
    <row r="470" spans="9:29" x14ac:dyDescent="0.2">
      <c r="I470">
        <f t="shared" si="133"/>
        <v>4.6349999999999456</v>
      </c>
      <c r="J470">
        <f t="shared" si="134"/>
        <v>1.396225469526883E-4</v>
      </c>
      <c r="K470">
        <f t="shared" si="146"/>
        <v>7.4159020809352159E-5</v>
      </c>
      <c r="L470">
        <f t="shared" si="135"/>
        <v>1.4042859671268446E+19</v>
      </c>
      <c r="M470">
        <f t="shared" si="136"/>
        <v>7.9297527458583719E-2</v>
      </c>
      <c r="N470">
        <f t="shared" si="137"/>
        <v>0</v>
      </c>
      <c r="O470">
        <f t="shared" si="138"/>
        <v>0</v>
      </c>
      <c r="P470">
        <f t="shared" si="139"/>
        <v>0</v>
      </c>
      <c r="R470">
        <f t="shared" si="140"/>
        <v>4.6349999999999456</v>
      </c>
      <c r="S470">
        <f t="shared" si="141"/>
        <v>1.3962343806278829E-4</v>
      </c>
      <c r="T470">
        <f t="shared" si="147"/>
        <v>6.7783327952859556E-5</v>
      </c>
      <c r="U470" s="1">
        <f t="shared" si="142"/>
        <v>0.5621332301618025</v>
      </c>
      <c r="V470">
        <f t="shared" si="143"/>
        <v>1.0057730630015602E+23</v>
      </c>
      <c r="W470">
        <f t="shared" si="148"/>
        <v>1.404294929672192E+17</v>
      </c>
      <c r="Y470">
        <f t="shared" si="149"/>
        <v>4.6349999999999456</v>
      </c>
      <c r="Z470">
        <f t="shared" si="144"/>
        <v>0</v>
      </c>
      <c r="AA470">
        <f t="shared" si="150"/>
        <v>0</v>
      </c>
      <c r="AB470">
        <f t="shared" si="151"/>
        <v>1.0000235668946658</v>
      </c>
      <c r="AC470" s="1">
        <f t="shared" si="145"/>
        <v>7.4493433161470389E-3</v>
      </c>
    </row>
    <row r="471" spans="9:29" x14ac:dyDescent="0.2">
      <c r="I471">
        <f t="shared" si="133"/>
        <v>4.6449999999999454</v>
      </c>
      <c r="J471">
        <f t="shared" si="134"/>
        <v>1.3675888647741416E-4</v>
      </c>
      <c r="K471">
        <f t="shared" si="146"/>
        <v>7.2762795339825282E-5</v>
      </c>
      <c r="L471">
        <f t="shared" si="135"/>
        <v>1.4238215309001531E+19</v>
      </c>
      <c r="M471">
        <f t="shared" si="136"/>
        <v>7.7804556997271762E-2</v>
      </c>
      <c r="N471">
        <f t="shared" si="137"/>
        <v>0</v>
      </c>
      <c r="O471">
        <f t="shared" si="138"/>
        <v>0</v>
      </c>
      <c r="P471">
        <f t="shared" si="139"/>
        <v>0</v>
      </c>
      <c r="R471">
        <f t="shared" si="140"/>
        <v>4.6449999999999454</v>
      </c>
      <c r="S471">
        <f t="shared" si="141"/>
        <v>1.3675975931083301E-4</v>
      </c>
      <c r="T471">
        <f t="shared" si="147"/>
        <v>6.6387093572231669E-5</v>
      </c>
      <c r="U471" s="1">
        <f t="shared" si="142"/>
        <v>0.55055413296859357</v>
      </c>
      <c r="V471">
        <f t="shared" si="143"/>
        <v>1.041118107623155E+23</v>
      </c>
      <c r="W471">
        <f t="shared" si="148"/>
        <v>1.4238306181269262E+17</v>
      </c>
      <c r="Y471">
        <f t="shared" si="149"/>
        <v>4.6449999999999454</v>
      </c>
      <c r="Z471">
        <f t="shared" si="144"/>
        <v>0</v>
      </c>
      <c r="AA471">
        <f t="shared" si="150"/>
        <v>0</v>
      </c>
      <c r="AB471">
        <f t="shared" si="151"/>
        <v>1.0000235668946658</v>
      </c>
      <c r="AC471" s="1">
        <f t="shared" si="145"/>
        <v>7.4493433161470389E-3</v>
      </c>
    </row>
    <row r="472" spans="9:29" x14ac:dyDescent="0.2">
      <c r="I472">
        <f t="shared" si="133"/>
        <v>4.6549999999999452</v>
      </c>
      <c r="J472">
        <f t="shared" si="134"/>
        <v>1.3395395972027219E-4</v>
      </c>
      <c r="K472">
        <f t="shared" si="146"/>
        <v>7.1395206475051144E-5</v>
      </c>
      <c r="L472">
        <f t="shared" si="135"/>
        <v>1.4436288614366931E+19</v>
      </c>
      <c r="M472">
        <f t="shared" si="136"/>
        <v>7.6342207381905697E-2</v>
      </c>
      <c r="N472">
        <f t="shared" si="137"/>
        <v>0</v>
      </c>
      <c r="O472">
        <f t="shared" si="138"/>
        <v>0</v>
      </c>
      <c r="P472">
        <f t="shared" si="139"/>
        <v>0</v>
      </c>
      <c r="R472">
        <f t="shared" si="140"/>
        <v>4.6549999999999452</v>
      </c>
      <c r="S472">
        <f t="shared" si="141"/>
        <v>1.3395481465186486E-4</v>
      </c>
      <c r="T472">
        <f t="shared" si="147"/>
        <v>6.501949597912334E-5</v>
      </c>
      <c r="U472" s="1">
        <f t="shared" si="142"/>
        <v>0.53921252322777147</v>
      </c>
      <c r="V472">
        <f t="shared" si="143"/>
        <v>1.0777052536941308E+23</v>
      </c>
      <c r="W472">
        <f t="shared" si="148"/>
        <v>1.4436380750793827E+17</v>
      </c>
      <c r="Y472">
        <f t="shared" si="149"/>
        <v>4.6549999999999452</v>
      </c>
      <c r="Z472">
        <f t="shared" si="144"/>
        <v>0</v>
      </c>
      <c r="AA472">
        <f t="shared" si="150"/>
        <v>0</v>
      </c>
      <c r="AB472">
        <f t="shared" si="151"/>
        <v>1.0000235668946658</v>
      </c>
      <c r="AC472" s="1">
        <f t="shared" si="145"/>
        <v>7.4493433161470389E-3</v>
      </c>
    </row>
    <row r="473" spans="9:29" x14ac:dyDescent="0.2">
      <c r="I473">
        <f t="shared" si="133"/>
        <v>4.664999999999945</v>
      </c>
      <c r="J473">
        <f t="shared" si="134"/>
        <v>1.3120656205184691E-4</v>
      </c>
      <c r="K473">
        <f t="shared" si="146"/>
        <v>7.0055666877848427E-5</v>
      </c>
      <c r="L473">
        <f t="shared" si="135"/>
        <v>1.4637117393887322E+19</v>
      </c>
      <c r="M473">
        <f t="shared" si="136"/>
        <v>7.4909850578488354E-2</v>
      </c>
      <c r="N473">
        <f t="shared" si="137"/>
        <v>0</v>
      </c>
      <c r="O473">
        <f t="shared" si="138"/>
        <v>0</v>
      </c>
      <c r="P473">
        <f t="shared" si="139"/>
        <v>0</v>
      </c>
      <c r="R473">
        <f t="shared" si="140"/>
        <v>4.664999999999945</v>
      </c>
      <c r="S473">
        <f t="shared" si="141"/>
        <v>1.3120739944878014E-4</v>
      </c>
      <c r="T473">
        <f t="shared" si="147"/>
        <v>6.3679947832604692E-5</v>
      </c>
      <c r="U473" s="1">
        <f t="shared" si="142"/>
        <v>0.52810353006822242</v>
      </c>
      <c r="V473">
        <f t="shared" si="143"/>
        <v>1.1155781513506463E+23</v>
      </c>
      <c r="W473">
        <f t="shared" si="148"/>
        <v>1.4637210812059594E+17</v>
      </c>
      <c r="Y473">
        <f t="shared" si="149"/>
        <v>4.664999999999945</v>
      </c>
      <c r="Z473">
        <f t="shared" si="144"/>
        <v>0</v>
      </c>
      <c r="AA473">
        <f t="shared" si="150"/>
        <v>0</v>
      </c>
      <c r="AB473">
        <f t="shared" si="151"/>
        <v>1.0000235668946658</v>
      </c>
      <c r="AC473" s="1">
        <f t="shared" si="145"/>
        <v>7.4493433161470389E-3</v>
      </c>
    </row>
    <row r="474" spans="9:29" x14ac:dyDescent="0.2">
      <c r="I474">
        <f t="shared" si="133"/>
        <v>4.6749999999999448</v>
      </c>
      <c r="J474">
        <f t="shared" si="134"/>
        <v>1.2851551354968918E-4</v>
      </c>
      <c r="K474">
        <f t="shared" si="146"/>
        <v>6.8743601257329964E-5</v>
      </c>
      <c r="L474">
        <f t="shared" si="135"/>
        <v>1.4840739980026759E+19</v>
      </c>
      <c r="M474">
        <f t="shared" si="136"/>
        <v>7.350687143400908E-2</v>
      </c>
      <c r="N474">
        <f t="shared" si="137"/>
        <v>0</v>
      </c>
      <c r="O474">
        <f t="shared" si="138"/>
        <v>0</v>
      </c>
      <c r="P474">
        <f t="shared" si="139"/>
        <v>0</v>
      </c>
      <c r="R474">
        <f t="shared" si="140"/>
        <v>4.6749999999999448</v>
      </c>
      <c r="S474">
        <f t="shared" si="141"/>
        <v>1.2851633377159913E-4</v>
      </c>
      <c r="T474">
        <f t="shared" si="147"/>
        <v>6.2367873838116891E-5</v>
      </c>
      <c r="U474" s="1">
        <f t="shared" si="142"/>
        <v>0.51722238252047048</v>
      </c>
      <c r="V474">
        <f t="shared" si="143"/>
        <v>1.1547819846892448E+23</v>
      </c>
      <c r="W474">
        <f t="shared" si="148"/>
        <v>1.4840834697775267E+17</v>
      </c>
      <c r="Y474">
        <f t="shared" si="149"/>
        <v>4.6749999999999448</v>
      </c>
      <c r="Z474">
        <f t="shared" si="144"/>
        <v>0</v>
      </c>
      <c r="AA474">
        <f t="shared" si="150"/>
        <v>0</v>
      </c>
      <c r="AB474">
        <f t="shared" si="151"/>
        <v>1.0000235668946658</v>
      </c>
      <c r="AC474" s="1">
        <f t="shared" si="145"/>
        <v>7.4493433161470389E-3</v>
      </c>
    </row>
    <row r="475" spans="9:29" x14ac:dyDescent="0.2">
      <c r="I475">
        <f t="shared" si="133"/>
        <v>4.6849999999999445</v>
      </c>
      <c r="J475">
        <f t="shared" si="134"/>
        <v>1.2587965849157661E-4</v>
      </c>
      <c r="K475">
        <f t="shared" si="146"/>
        <v>6.7458446121833069E-5</v>
      </c>
      <c r="L475">
        <f t="shared" si="135"/>
        <v>1.5047195238506576E+19</v>
      </c>
      <c r="M475">
        <f t="shared" si="136"/>
        <v>7.2132667412254339E-2</v>
      </c>
      <c r="N475">
        <f t="shared" si="137"/>
        <v>0</v>
      </c>
      <c r="O475">
        <f t="shared" si="138"/>
        <v>0</v>
      </c>
      <c r="P475">
        <f t="shared" si="139"/>
        <v>0</v>
      </c>
      <c r="R475">
        <f t="shared" si="140"/>
        <v>4.6849999999999445</v>
      </c>
      <c r="S475">
        <f t="shared" si="141"/>
        <v>1.2588046189072319E-4</v>
      </c>
      <c r="T475">
        <f t="shared" si="147"/>
        <v>6.10827105004009E-5</v>
      </c>
      <c r="U475" s="1">
        <f t="shared" si="142"/>
        <v>0.50656440746769293</v>
      </c>
      <c r="V475">
        <f t="shared" si="143"/>
        <v>1.1953635256734889E+23</v>
      </c>
      <c r="W475">
        <f t="shared" si="148"/>
        <v>1.5047291273910214E+17</v>
      </c>
      <c r="Y475">
        <f t="shared" si="149"/>
        <v>4.6849999999999445</v>
      </c>
      <c r="Z475">
        <f t="shared" si="144"/>
        <v>0</v>
      </c>
      <c r="AA475">
        <f t="shared" si="150"/>
        <v>0</v>
      </c>
      <c r="AB475">
        <f t="shared" si="151"/>
        <v>1.0000235668946658</v>
      </c>
      <c r="AC475" s="1">
        <f t="shared" si="145"/>
        <v>7.4493433161470389E-3</v>
      </c>
    </row>
    <row r="476" spans="9:29" x14ac:dyDescent="0.2">
      <c r="I476">
        <f t="shared" si="133"/>
        <v>4.6949999999999443</v>
      </c>
      <c r="J476">
        <f t="shared" si="134"/>
        <v>1.2329786485916646E-4</v>
      </c>
      <c r="K476">
        <f t="shared" si="146"/>
        <v>6.6199649536917302E-5</v>
      </c>
      <c r="L476">
        <f t="shared" si="135"/>
        <v>1.5256522575724575E+19</v>
      </c>
      <c r="M476">
        <f t="shared" si="136"/>
        <v>7.0786648335037214E-2</v>
      </c>
      <c r="N476">
        <f t="shared" si="137"/>
        <v>0</v>
      </c>
      <c r="O476">
        <f t="shared" si="138"/>
        <v>0</v>
      </c>
      <c r="P476">
        <f t="shared" si="139"/>
        <v>0</v>
      </c>
      <c r="R476">
        <f t="shared" si="140"/>
        <v>4.6949999999999443</v>
      </c>
      <c r="S476">
        <f t="shared" si="141"/>
        <v>1.2329865178058484E-4</v>
      </c>
      <c r="T476">
        <f t="shared" si="147"/>
        <v>5.9823905881493665E-5</v>
      </c>
      <c r="U476" s="1">
        <f t="shared" si="142"/>
        <v>0.4961250276387616</v>
      </c>
      <c r="V476">
        <f t="shared" si="143"/>
        <v>1.2373711899351146E+23</v>
      </c>
      <c r="W476">
        <f t="shared" si="148"/>
        <v>1.525661994711376E+17</v>
      </c>
      <c r="Y476">
        <f t="shared" si="149"/>
        <v>4.6949999999999443</v>
      </c>
      <c r="Z476">
        <f t="shared" si="144"/>
        <v>0</v>
      </c>
      <c r="AA476">
        <f t="shared" si="150"/>
        <v>0</v>
      </c>
      <c r="AB476">
        <f t="shared" si="151"/>
        <v>1.0000235668946658</v>
      </c>
      <c r="AC476" s="1">
        <f t="shared" si="145"/>
        <v>7.4493433161470389E-3</v>
      </c>
    </row>
    <row r="477" spans="9:29" x14ac:dyDescent="0.2">
      <c r="I477">
        <f t="shared" si="133"/>
        <v>4.7049999999999441</v>
      </c>
      <c r="J477">
        <f t="shared" si="134"/>
        <v>1.2076902385182859E-4</v>
      </c>
      <c r="K477">
        <f t="shared" si="146"/>
        <v>6.4966670888325635E-5</v>
      </c>
      <c r="L477">
        <f t="shared" si="135"/>
        <v>1.5468761946275936E+19</v>
      </c>
      <c r="M477">
        <f t="shared" si="136"/>
        <v>6.9468236128733984E-2</v>
      </c>
      <c r="N477">
        <f t="shared" si="137"/>
        <v>0</v>
      </c>
      <c r="O477">
        <f t="shared" si="138"/>
        <v>0</v>
      </c>
      <c r="P477">
        <f t="shared" si="139"/>
        <v>0</v>
      </c>
      <c r="R477">
        <f t="shared" si="140"/>
        <v>4.7049999999999441</v>
      </c>
      <c r="S477">
        <f t="shared" si="141"/>
        <v>1.2076979463347718E-4</v>
      </c>
      <c r="T477">
        <f t="shared" si="147"/>
        <v>5.859091936368782E-5</v>
      </c>
      <c r="U477" s="1">
        <f t="shared" si="142"/>
        <v>0.48589975964244575</v>
      </c>
      <c r="V477">
        <f t="shared" si="143"/>
        <v>1.2808550945360415E+23</v>
      </c>
      <c r="W477">
        <f t="shared" si="148"/>
        <v>1.5468860672236074E+17</v>
      </c>
      <c r="Y477">
        <f t="shared" si="149"/>
        <v>4.7049999999999441</v>
      </c>
      <c r="Z477">
        <f t="shared" si="144"/>
        <v>0</v>
      </c>
      <c r="AA477">
        <f t="shared" si="150"/>
        <v>0</v>
      </c>
      <c r="AB477">
        <f t="shared" si="151"/>
        <v>1.0000235668946658</v>
      </c>
      <c r="AC477" s="1">
        <f t="shared" si="145"/>
        <v>7.4493433161470389E-3</v>
      </c>
    </row>
    <row r="478" spans="9:29" x14ac:dyDescent="0.2">
      <c r="I478">
        <f t="shared" si="133"/>
        <v>4.7149999999999439</v>
      </c>
      <c r="J478">
        <f t="shared" si="134"/>
        <v>1.1829204941045046E-4</v>
      </c>
      <c r="K478">
        <f t="shared" si="146"/>
        <v>6.3758980649807352E-5</v>
      </c>
      <c r="L478">
        <f t="shared" si="135"/>
        <v>1.5683953860579453E+19</v>
      </c>
      <c r="M478">
        <f t="shared" si="136"/>
        <v>6.8176864576019389E-2</v>
      </c>
      <c r="N478">
        <f t="shared" si="137"/>
        <v>0</v>
      </c>
      <c r="O478">
        <f t="shared" si="138"/>
        <v>0</v>
      </c>
      <c r="P478">
        <f t="shared" si="139"/>
        <v>0</v>
      </c>
      <c r="R478">
        <f t="shared" si="140"/>
        <v>4.7149999999999439</v>
      </c>
      <c r="S478">
        <f t="shared" si="141"/>
        <v>1.182928043833562E-4</v>
      </c>
      <c r="T478">
        <f t="shared" si="147"/>
        <v>5.7383221417353049E-5</v>
      </c>
      <c r="U478" s="1">
        <f t="shared" si="142"/>
        <v>0.47588421204193437</v>
      </c>
      <c r="V478">
        <f t="shared" si="143"/>
        <v>1.3258671177603134E+23</v>
      </c>
      <c r="W478">
        <f t="shared" si="148"/>
        <v>1.5684053959954506E+17</v>
      </c>
      <c r="Y478">
        <f t="shared" si="149"/>
        <v>4.7149999999999439</v>
      </c>
      <c r="Z478">
        <f t="shared" si="144"/>
        <v>0</v>
      </c>
      <c r="AA478">
        <f t="shared" si="150"/>
        <v>0</v>
      </c>
      <c r="AB478">
        <f t="shared" si="151"/>
        <v>1.0000235668946658</v>
      </c>
      <c r="AC478" s="1">
        <f t="shared" si="145"/>
        <v>7.4493433161470389E-3</v>
      </c>
    </row>
    <row r="479" spans="9:29" x14ac:dyDescent="0.2">
      <c r="I479">
        <f t="shared" si="133"/>
        <v>4.7249999999999437</v>
      </c>
      <c r="J479">
        <f t="shared" si="134"/>
        <v>1.1586587775100731E-4</v>
      </c>
      <c r="K479">
        <f t="shared" si="146"/>
        <v>6.2576060155702853E-5</v>
      </c>
      <c r="L479">
        <f t="shared" si="135"/>
        <v>1.5902139392610269E+19</v>
      </c>
      <c r="M479">
        <f t="shared" si="136"/>
        <v>6.6911979072693778E-2</v>
      </c>
      <c r="N479">
        <f t="shared" si="137"/>
        <v>0</v>
      </c>
      <c r="O479">
        <f t="shared" si="138"/>
        <v>0</v>
      </c>
      <c r="P479">
        <f t="shared" si="139"/>
        <v>0</v>
      </c>
      <c r="R479">
        <f t="shared" si="140"/>
        <v>4.7249999999999437</v>
      </c>
      <c r="S479">
        <f t="shared" si="141"/>
        <v>1.1586661723940773E-4</v>
      </c>
      <c r="T479">
        <f t="shared" si="147"/>
        <v>5.6200293373519485E-5</v>
      </c>
      <c r="U479" s="1">
        <f t="shared" si="142"/>
        <v>0.46607408346884932</v>
      </c>
      <c r="V479">
        <f t="shared" si="143"/>
        <v>1.3724609610073074E+23</v>
      </c>
      <c r="W479">
        <f t="shared" si="148"/>
        <v>1.5902240884506339E+17</v>
      </c>
      <c r="Y479">
        <f t="shared" si="149"/>
        <v>4.7249999999999437</v>
      </c>
      <c r="Z479">
        <f t="shared" si="144"/>
        <v>0</v>
      </c>
      <c r="AA479">
        <f t="shared" si="150"/>
        <v>0</v>
      </c>
      <c r="AB479">
        <f t="shared" si="151"/>
        <v>1.0000235668946658</v>
      </c>
      <c r="AC479" s="1">
        <f t="shared" si="145"/>
        <v>7.4493433161470389E-3</v>
      </c>
    </row>
    <row r="480" spans="9:29" x14ac:dyDescent="0.2">
      <c r="I480">
        <f t="shared" si="133"/>
        <v>4.7349999999999435</v>
      </c>
      <c r="J480">
        <f t="shared" si="134"/>
        <v>1.1348946690770033E-4</v>
      </c>
      <c r="K480">
        <f t="shared" si="146"/>
        <v>6.1417401378192779E-5</v>
      </c>
      <c r="L480">
        <f t="shared" si="135"/>
        <v>1.6123360187739324E+19</v>
      </c>
      <c r="M480">
        <f t="shared" si="136"/>
        <v>6.567303638949766E-2</v>
      </c>
      <c r="N480">
        <f t="shared" si="137"/>
        <v>0</v>
      </c>
      <c r="O480">
        <f t="shared" si="138"/>
        <v>0</v>
      </c>
      <c r="P480">
        <f t="shared" si="139"/>
        <v>0</v>
      </c>
      <c r="R480">
        <f t="shared" si="140"/>
        <v>4.7349999999999435</v>
      </c>
      <c r="S480">
        <f t="shared" si="141"/>
        <v>1.1349019122918287E-4</v>
      </c>
      <c r="T480">
        <f t="shared" si="147"/>
        <v>5.5041627201125411E-5</v>
      </c>
      <c r="U480" s="1">
        <f t="shared" si="142"/>
        <v>0.45646516077594074</v>
      </c>
      <c r="V480">
        <f t="shared" si="143"/>
        <v>1.4206922128599184E+23</v>
      </c>
      <c r="W480">
        <f t="shared" si="148"/>
        <v>1.612346309152831E+17</v>
      </c>
      <c r="Y480">
        <f t="shared" si="149"/>
        <v>4.7349999999999435</v>
      </c>
      <c r="Z480">
        <f t="shared" si="144"/>
        <v>0</v>
      </c>
      <c r="AA480">
        <f t="shared" si="150"/>
        <v>0</v>
      </c>
      <c r="AB480">
        <f t="shared" si="151"/>
        <v>1.0000235668946658</v>
      </c>
      <c r="AC480" s="1">
        <f t="shared" si="145"/>
        <v>7.4493433161470389E-3</v>
      </c>
    </row>
    <row r="481" spans="9:29" x14ac:dyDescent="0.2">
      <c r="I481">
        <f t="shared" si="133"/>
        <v>4.7449999999999433</v>
      </c>
      <c r="J481">
        <f t="shared" si="134"/>
        <v>1.1116179628546449E-4</v>
      </c>
      <c r="K481">
        <f t="shared" si="146"/>
        <v>6.0282506709115777E-5</v>
      </c>
      <c r="L481">
        <f t="shared" si="135"/>
        <v>1.634765847068228E+19</v>
      </c>
      <c r="M481">
        <f t="shared" si="136"/>
        <v>6.445950443881171E-2</v>
      </c>
      <c r="N481">
        <f t="shared" si="137"/>
        <v>0</v>
      </c>
      <c r="O481">
        <f t="shared" si="138"/>
        <v>0</v>
      </c>
      <c r="P481">
        <f t="shared" si="139"/>
        <v>0</v>
      </c>
      <c r="R481">
        <f t="shared" si="140"/>
        <v>4.7449999999999433</v>
      </c>
      <c r="S481">
        <f t="shared" si="141"/>
        <v>1.1116250575110285E-4</v>
      </c>
      <c r="T481">
        <f t="shared" si="147"/>
        <v>5.3906725288833585E-5</v>
      </c>
      <c r="U481" s="1">
        <f t="shared" si="142"/>
        <v>0.44705331722767044</v>
      </c>
      <c r="V481">
        <f t="shared" si="143"/>
        <v>1.4706184154042767E+23</v>
      </c>
      <c r="W481">
        <f t="shared" si="148"/>
        <v>1.6347762806005568E+17</v>
      </c>
      <c r="Y481">
        <f t="shared" si="149"/>
        <v>4.7449999999999433</v>
      </c>
      <c r="Z481">
        <f t="shared" si="144"/>
        <v>0</v>
      </c>
      <c r="AA481">
        <f t="shared" si="150"/>
        <v>0</v>
      </c>
      <c r="AB481">
        <f t="shared" si="151"/>
        <v>1.0000235668946658</v>
      </c>
      <c r="AC481" s="1">
        <f t="shared" si="145"/>
        <v>7.4493433161470389E-3</v>
      </c>
    </row>
    <row r="482" spans="9:29" x14ac:dyDescent="0.2">
      <c r="I482">
        <f t="shared" ref="I482:I545" si="152">I481+0.01</f>
        <v>4.754999999999943</v>
      </c>
      <c r="J482">
        <f t="shared" si="134"/>
        <v>1.0888186622165426E-4</v>
      </c>
      <c r="K482">
        <f t="shared" si="146"/>
        <v>5.9170888746261133E-5</v>
      </c>
      <c r="L482">
        <f t="shared" si="135"/>
        <v>1.6575077053559538E+19</v>
      </c>
      <c r="M482">
        <f t="shared" si="136"/>
        <v>6.3270862046141338E-2</v>
      </c>
      <c r="N482">
        <f t="shared" si="137"/>
        <v>0</v>
      </c>
      <c r="O482">
        <f t="shared" si="138"/>
        <v>0</v>
      </c>
      <c r="P482">
        <f t="shared" si="139"/>
        <v>0</v>
      </c>
      <c r="R482">
        <f t="shared" si="140"/>
        <v>4.754999999999943</v>
      </c>
      <c r="S482">
        <f t="shared" si="141"/>
        <v>1.0888256113614203E-4</v>
      </c>
      <c r="T482">
        <f t="shared" si="147"/>
        <v>5.2795100231322555E-5</v>
      </c>
      <c r="U482" s="1">
        <f t="shared" si="142"/>
        <v>0.43783451072790619</v>
      </c>
      <c r="V482">
        <f t="shared" si="143"/>
        <v>1.5222991328801371E+23</v>
      </c>
      <c r="W482">
        <f t="shared" si="148"/>
        <v>1.6575182840331754E+17</v>
      </c>
      <c r="Y482">
        <f t="shared" si="149"/>
        <v>4.754999999999943</v>
      </c>
      <c r="Z482">
        <f t="shared" si="144"/>
        <v>0</v>
      </c>
      <c r="AA482">
        <f t="shared" si="150"/>
        <v>0</v>
      </c>
      <c r="AB482">
        <f t="shared" si="151"/>
        <v>1.0000235668946658</v>
      </c>
      <c r="AC482" s="1">
        <f t="shared" si="145"/>
        <v>7.4493433161470389E-3</v>
      </c>
    </row>
    <row r="483" spans="9:29" x14ac:dyDescent="0.2">
      <c r="I483">
        <f t="shared" si="152"/>
        <v>4.7649999999999428</v>
      </c>
      <c r="J483">
        <f t="shared" si="134"/>
        <v>1.0664869755672012E-4</v>
      </c>
      <c r="K483">
        <f t="shared" si="146"/>
        <v>5.808207008404459E-5</v>
      </c>
      <c r="L483">
        <f t="shared" si="135"/>
        <v>1.6805659344066677E+19</v>
      </c>
      <c r="M483">
        <f t="shared" si="136"/>
        <v>6.2106598726288452E-2</v>
      </c>
      <c r="N483">
        <f t="shared" si="137"/>
        <v>0</v>
      </c>
      <c r="O483">
        <f t="shared" si="138"/>
        <v>0</v>
      </c>
      <c r="P483">
        <f t="shared" si="139"/>
        <v>0</v>
      </c>
      <c r="R483">
        <f t="shared" si="140"/>
        <v>4.7649999999999428</v>
      </c>
      <c r="S483">
        <f t="shared" si="141"/>
        <v>1.0664937821850162E-4</v>
      </c>
      <c r="T483">
        <f t="shared" si="147"/>
        <v>5.1706274619961133E-5</v>
      </c>
      <c r="U483" s="1">
        <f t="shared" si="142"/>
        <v>0.42880478208396655</v>
      </c>
      <c r="V483">
        <f t="shared" si="143"/>
        <v>1.5757960227436197E+23</v>
      </c>
      <c r="W483">
        <f t="shared" si="148"/>
        <v>1.6805766602479488E+17</v>
      </c>
      <c r="Y483">
        <f t="shared" si="149"/>
        <v>4.7649999999999428</v>
      </c>
      <c r="Z483">
        <f t="shared" si="144"/>
        <v>0</v>
      </c>
      <c r="AA483">
        <f t="shared" si="150"/>
        <v>0</v>
      </c>
      <c r="AB483">
        <f t="shared" si="151"/>
        <v>1.0000235668946658</v>
      </c>
      <c r="AC483" s="1">
        <f t="shared" si="145"/>
        <v>7.4493433161470389E-3</v>
      </c>
    </row>
    <row r="484" spans="9:29" x14ac:dyDescent="0.2">
      <c r="I484">
        <f t="shared" si="152"/>
        <v>4.7749999999999426</v>
      </c>
      <c r="J484">
        <f t="shared" si="134"/>
        <v>1.0446133121368863E-4</v>
      </c>
      <c r="K484">
        <f t="shared" si="146"/>
        <v>5.7015583108477385E-5</v>
      </c>
      <c r="L484">
        <f t="shared" si="135"/>
        <v>1.7039449353761233E+19</v>
      </c>
      <c r="M484">
        <f t="shared" si="136"/>
        <v>6.096621446411387E-2</v>
      </c>
      <c r="N484">
        <f t="shared" si="137"/>
        <v>0</v>
      </c>
      <c r="O484">
        <f t="shared" si="138"/>
        <v>0</v>
      </c>
      <c r="P484">
        <f t="shared" si="139"/>
        <v>0</v>
      </c>
      <c r="R484">
        <f t="shared" si="140"/>
        <v>4.7749999999999426</v>
      </c>
      <c r="S484">
        <f t="shared" si="141"/>
        <v>1.0446199791508703E-4</v>
      </c>
      <c r="T484">
        <f t="shared" si="147"/>
        <v>5.0639780837776118E-5</v>
      </c>
      <c r="U484" s="1">
        <f t="shared" si="142"/>
        <v>0.41996025330626946</v>
      </c>
      <c r="V484">
        <f t="shared" si="143"/>
        <v>1.6311729092275229E+23</v>
      </c>
      <c r="W484">
        <f t="shared" si="148"/>
        <v>1.7039558104287197E+17</v>
      </c>
      <c r="Y484">
        <f t="shared" si="149"/>
        <v>4.7749999999999426</v>
      </c>
      <c r="Z484">
        <f t="shared" si="144"/>
        <v>0</v>
      </c>
      <c r="AA484">
        <f t="shared" si="150"/>
        <v>0</v>
      </c>
      <c r="AB484">
        <f t="shared" si="151"/>
        <v>1.0000235668946658</v>
      </c>
      <c r="AC484" s="1">
        <f t="shared" si="145"/>
        <v>7.4493433161470389E-3</v>
      </c>
    </row>
    <row r="485" spans="9:29" x14ac:dyDescent="0.2">
      <c r="I485">
        <f t="shared" si="152"/>
        <v>4.7849999999999424</v>
      </c>
      <c r="J485">
        <f t="shared" si="134"/>
        <v>1.023188277862692E-4</v>
      </c>
      <c r="K485">
        <f t="shared" si="146"/>
        <v>5.5970969796340497E-5</v>
      </c>
      <c r="L485">
        <f t="shared" si="135"/>
        <v>1.7276491706462028E+19</v>
      </c>
      <c r="M485">
        <f t="shared" si="136"/>
        <v>5.9849219499796186E-2</v>
      </c>
      <c r="N485">
        <f t="shared" si="137"/>
        <v>0</v>
      </c>
      <c r="O485">
        <f t="shared" si="138"/>
        <v>0</v>
      </c>
      <c r="P485">
        <f t="shared" si="139"/>
        <v>0</v>
      </c>
      <c r="R485">
        <f t="shared" si="140"/>
        <v>4.7849999999999424</v>
      </c>
      <c r="S485">
        <f t="shared" si="141"/>
        <v>1.0231948081361221E-4</v>
      </c>
      <c r="T485">
        <f t="shared" si="147"/>
        <v>4.959516085862525E-5</v>
      </c>
      <c r="U485" s="1">
        <f t="shared" si="142"/>
        <v>0.41129712594285628</v>
      </c>
      <c r="V485">
        <f t="shared" si="143"/>
        <v>1.6884958594864266E+23</v>
      </c>
      <c r="W485">
        <f t="shared" si="148"/>
        <v>1.7276601969858509E+17</v>
      </c>
      <c r="Y485">
        <f t="shared" si="149"/>
        <v>4.7849999999999424</v>
      </c>
      <c r="Z485">
        <f t="shared" si="144"/>
        <v>0</v>
      </c>
      <c r="AA485">
        <f t="shared" si="150"/>
        <v>0</v>
      </c>
      <c r="AB485">
        <f t="shared" si="151"/>
        <v>1.0000235668946658</v>
      </c>
      <c r="AC485" s="1">
        <f t="shared" si="145"/>
        <v>7.4493433161470389E-3</v>
      </c>
    </row>
    <row r="486" spans="9:29" x14ac:dyDescent="0.2">
      <c r="I486">
        <f t="shared" si="152"/>
        <v>4.7949999999999422</v>
      </c>
      <c r="J486">
        <f t="shared" si="134"/>
        <v>1.0022026713540807E-4</v>
      </c>
      <c r="K486">
        <f t="shared" si="146"/>
        <v>5.4947781518477802E-5</v>
      </c>
      <c r="L486">
        <f t="shared" si="135"/>
        <v>1.7516831646767176E+19</v>
      </c>
      <c r="M486">
        <f t="shared" si="136"/>
        <v>5.8755134118495068E-2</v>
      </c>
      <c r="N486">
        <f t="shared" si="137"/>
        <v>0</v>
      </c>
      <c r="O486">
        <f t="shared" si="138"/>
        <v>0</v>
      </c>
      <c r="P486">
        <f t="shared" si="139"/>
        <v>0</v>
      </c>
      <c r="R486">
        <f t="shared" si="140"/>
        <v>4.7949999999999422</v>
      </c>
      <c r="S486">
        <f t="shared" si="141"/>
        <v>1.0022090676915075E-4</v>
      </c>
      <c r="T486">
        <f t="shared" si="147"/>
        <v>4.8571966050489129E-5</v>
      </c>
      <c r="U486" s="1">
        <f t="shared" si="142"/>
        <v>0.40281167944807283</v>
      </c>
      <c r="V486">
        <f t="shared" si="143"/>
        <v>1.7478332624178803E+23</v>
      </c>
      <c r="W486">
        <f t="shared" si="148"/>
        <v>1.7516943444080298E+17</v>
      </c>
      <c r="Y486">
        <f t="shared" si="149"/>
        <v>4.7949999999999422</v>
      </c>
      <c r="Z486">
        <f t="shared" si="144"/>
        <v>0</v>
      </c>
      <c r="AA486">
        <f t="shared" si="150"/>
        <v>0</v>
      </c>
      <c r="AB486">
        <f t="shared" si="151"/>
        <v>1.0000235668946658</v>
      </c>
      <c r="AC486" s="1">
        <f t="shared" si="145"/>
        <v>7.4493433161470389E-3</v>
      </c>
    </row>
    <row r="487" spans="9:29" x14ac:dyDescent="0.2">
      <c r="I487">
        <f t="shared" si="152"/>
        <v>4.804999999999942</v>
      </c>
      <c r="J487">
        <f t="shared" si="134"/>
        <v>9.8164747994116669E-5</v>
      </c>
      <c r="K487">
        <f t="shared" si="146"/>
        <v>5.3945578847123723E-5</v>
      </c>
      <c r="L487">
        <f t="shared" si="135"/>
        <v>1.7760515048689807E+19</v>
      </c>
      <c r="M487">
        <f t="shared" si="136"/>
        <v>5.7683488444328558E-2</v>
      </c>
      <c r="N487">
        <f t="shared" si="137"/>
        <v>0</v>
      </c>
      <c r="O487">
        <f t="shared" si="138"/>
        <v>0</v>
      </c>
      <c r="P487">
        <f t="shared" si="139"/>
        <v>0</v>
      </c>
      <c r="R487">
        <f t="shared" si="140"/>
        <v>4.804999999999942</v>
      </c>
      <c r="S487">
        <f t="shared" si="141"/>
        <v>9.8165374508961948E-5</v>
      </c>
      <c r="T487">
        <f t="shared" si="147"/>
        <v>4.7569756982797624E-5</v>
      </c>
      <c r="U487" s="1">
        <f t="shared" si="142"/>
        <v>0.39450026958471124</v>
      </c>
      <c r="V487">
        <f t="shared" si="143"/>
        <v>1.8092559102534703E+23</v>
      </c>
      <c r="W487">
        <f t="shared" si="148"/>
        <v>1.7760628401258477E+17</v>
      </c>
      <c r="Y487">
        <f t="shared" si="149"/>
        <v>4.804999999999942</v>
      </c>
      <c r="Z487">
        <f t="shared" si="144"/>
        <v>0</v>
      </c>
      <c r="AA487">
        <f t="shared" si="150"/>
        <v>0</v>
      </c>
      <c r="AB487">
        <f t="shared" si="151"/>
        <v>1.0000235668946658</v>
      </c>
      <c r="AC487" s="1">
        <f t="shared" si="145"/>
        <v>7.4493433161470389E-3</v>
      </c>
    </row>
    <row r="488" spans="9:29" x14ac:dyDescent="0.2">
      <c r="I488">
        <f t="shared" si="152"/>
        <v>4.8149999999999418</v>
      </c>
      <c r="J488">
        <f t="shared" si="134"/>
        <v>9.6151387580405997E-5</v>
      </c>
      <c r="K488">
        <f t="shared" si="146"/>
        <v>5.2963931367182556E-5</v>
      </c>
      <c r="L488">
        <f t="shared" si="135"/>
        <v>1.800758842441437E+19</v>
      </c>
      <c r="M488">
        <f t="shared" si="136"/>
        <v>5.6633822238575916E-2</v>
      </c>
      <c r="N488">
        <f t="shared" si="137"/>
        <v>0</v>
      </c>
      <c r="O488">
        <f t="shared" si="138"/>
        <v>0</v>
      </c>
      <c r="P488">
        <f t="shared" si="139"/>
        <v>0</v>
      </c>
      <c r="R488">
        <f t="shared" si="140"/>
        <v>4.8149999999999418</v>
      </c>
      <c r="S488">
        <f t="shared" si="141"/>
        <v>9.6152001245422667E-5</v>
      </c>
      <c r="T488">
        <f t="shared" si="147"/>
        <v>4.6588103237708003E-5</v>
      </c>
      <c r="U488" s="1">
        <f t="shared" si="142"/>
        <v>0.38635932685892138</v>
      </c>
      <c r="V488">
        <f t="shared" si="143"/>
        <v>1.8728370830171989E+23</v>
      </c>
      <c r="W488">
        <f t="shared" si="148"/>
        <v>1.8007703353874346E+17</v>
      </c>
      <c r="Y488">
        <f t="shared" si="149"/>
        <v>4.8149999999999418</v>
      </c>
      <c r="Z488">
        <f t="shared" si="144"/>
        <v>0</v>
      </c>
      <c r="AA488">
        <f t="shared" si="150"/>
        <v>0</v>
      </c>
      <c r="AB488">
        <f t="shared" si="151"/>
        <v>1.0000235668946658</v>
      </c>
      <c r="AC488" s="1">
        <f t="shared" si="145"/>
        <v>7.4493433161470389E-3</v>
      </c>
    </row>
    <row r="489" spans="9:29" x14ac:dyDescent="0.2">
      <c r="I489">
        <f t="shared" si="152"/>
        <v>4.8249999999999416</v>
      </c>
      <c r="J489">
        <f t="shared" si="134"/>
        <v>9.4179321218158105E-5</v>
      </c>
      <c r="K489">
        <f t="shared" si="146"/>
        <v>5.2002417491378499E-5</v>
      </c>
      <c r="L489">
        <f t="shared" si="135"/>
        <v>1.8258098933173643E+19</v>
      </c>
      <c r="M489">
        <f t="shared" si="136"/>
        <v>5.5605684702019251E-2</v>
      </c>
      <c r="N489">
        <f t="shared" si="137"/>
        <v>0</v>
      </c>
      <c r="O489">
        <f t="shared" si="138"/>
        <v>0</v>
      </c>
      <c r="P489">
        <f t="shared" si="139"/>
        <v>0</v>
      </c>
      <c r="R489">
        <f t="shared" si="140"/>
        <v>4.8249999999999416</v>
      </c>
      <c r="S489">
        <f t="shared" si="141"/>
        <v>9.417992229689632E-5</v>
      </c>
      <c r="T489">
        <f t="shared" si="147"/>
        <v>4.5626583225253777E-5</v>
      </c>
      <c r="U489" s="1">
        <f t="shared" si="142"/>
        <v>0.37838535498722448</v>
      </c>
      <c r="V489">
        <f t="shared" si="143"/>
        <v>1.9386526359518312E+23</v>
      </c>
      <c r="W489">
        <f t="shared" si="148"/>
        <v>1.825821546146167E+17</v>
      </c>
      <c r="Y489">
        <f t="shared" si="149"/>
        <v>4.8249999999999416</v>
      </c>
      <c r="Z489">
        <f t="shared" si="144"/>
        <v>0</v>
      </c>
      <c r="AA489">
        <f t="shared" si="150"/>
        <v>0</v>
      </c>
      <c r="AB489">
        <f t="shared" si="151"/>
        <v>1.0000235668946658</v>
      </c>
      <c r="AC489" s="1">
        <f t="shared" si="145"/>
        <v>7.4493433161470389E-3</v>
      </c>
    </row>
    <row r="490" spans="9:29" x14ac:dyDescent="0.2">
      <c r="I490">
        <f t="shared" si="152"/>
        <v>4.8349999999999413</v>
      </c>
      <c r="J490">
        <f t="shared" si="134"/>
        <v>9.2247701965774922E-5</v>
      </c>
      <c r="K490">
        <f t="shared" si="146"/>
        <v>5.1060624279196916E-5</v>
      </c>
      <c r="L490">
        <f t="shared" si="135"/>
        <v>1.8512094390251487E+19</v>
      </c>
      <c r="M490">
        <f t="shared" si="136"/>
        <v>5.4598634281339223E-2</v>
      </c>
      <c r="N490">
        <f t="shared" si="137"/>
        <v>0</v>
      </c>
      <c r="O490">
        <f t="shared" si="138"/>
        <v>0</v>
      </c>
      <c r="P490">
        <f t="shared" si="139"/>
        <v>0</v>
      </c>
      <c r="R490">
        <f t="shared" si="140"/>
        <v>4.8349999999999413</v>
      </c>
      <c r="S490">
        <f t="shared" si="141"/>
        <v>9.2248290716379438E-5</v>
      </c>
      <c r="T490">
        <f t="shared" si="147"/>
        <v>4.4684784002284813E-5</v>
      </c>
      <c r="U490" s="1">
        <f t="shared" si="142"/>
        <v>0.37057492939496661</v>
      </c>
      <c r="V490">
        <f t="shared" si="143"/>
        <v>2.0067810900177992E+23</v>
      </c>
      <c r="W490">
        <f t="shared" si="148"/>
        <v>1.8512212539609478E+17</v>
      </c>
      <c r="Y490">
        <f t="shared" si="149"/>
        <v>4.8349999999999413</v>
      </c>
      <c r="Z490">
        <f t="shared" si="144"/>
        <v>0</v>
      </c>
      <c r="AA490">
        <f t="shared" si="150"/>
        <v>0</v>
      </c>
      <c r="AB490">
        <f t="shared" si="151"/>
        <v>1.0000235668946658</v>
      </c>
      <c r="AC490" s="1">
        <f t="shared" si="145"/>
        <v>7.4493433161470389E-3</v>
      </c>
    </row>
    <row r="491" spans="9:29" x14ac:dyDescent="0.2">
      <c r="I491">
        <f t="shared" si="152"/>
        <v>4.8449999999999411</v>
      </c>
      <c r="J491">
        <f t="shared" si="134"/>
        <v>9.0355700252442957E-5</v>
      </c>
      <c r="K491">
        <f t="shared" si="146"/>
        <v>5.0138147259539164E-5</v>
      </c>
      <c r="L491">
        <f t="shared" si="135"/>
        <v>1.8769623276107977E+19</v>
      </c>
      <c r="M491">
        <f t="shared" si="136"/>
        <v>5.3612238479481517E-2</v>
      </c>
      <c r="N491">
        <f t="shared" si="137"/>
        <v>0</v>
      </c>
      <c r="O491">
        <f t="shared" si="138"/>
        <v>0</v>
      </c>
      <c r="P491">
        <f t="shared" si="139"/>
        <v>0</v>
      </c>
      <c r="R491">
        <f t="shared" si="140"/>
        <v>4.8449999999999411</v>
      </c>
      <c r="S491">
        <f t="shared" si="141"/>
        <v>9.0356276927763991E-5</v>
      </c>
      <c r="T491">
        <f t="shared" si="147"/>
        <v>4.3762301095121016E-5</v>
      </c>
      <c r="U491" s="1">
        <f t="shared" si="142"/>
        <v>0.36292469574557024</v>
      </c>
      <c r="V491">
        <f t="shared" si="143"/>
        <v>2.0773037255721451E+23</v>
      </c>
      <c r="W491">
        <f t="shared" si="148"/>
        <v>1.8769743069087261E+17</v>
      </c>
      <c r="Y491">
        <f t="shared" si="149"/>
        <v>4.8449999999999411</v>
      </c>
      <c r="Z491">
        <f t="shared" si="144"/>
        <v>0</v>
      </c>
      <c r="AA491">
        <f t="shared" si="150"/>
        <v>0</v>
      </c>
      <c r="AB491">
        <f t="shared" si="151"/>
        <v>1.0000235668946658</v>
      </c>
      <c r="AC491" s="1">
        <f t="shared" si="145"/>
        <v>7.4493433161470389E-3</v>
      </c>
    </row>
    <row r="492" spans="9:29" x14ac:dyDescent="0.2">
      <c r="I492">
        <f t="shared" si="152"/>
        <v>4.8549999999999409</v>
      </c>
      <c r="J492">
        <f t="shared" si="134"/>
        <v>8.8502503521858025E-5</v>
      </c>
      <c r="K492">
        <f t="shared" si="146"/>
        <v>4.9234590257014737E-5</v>
      </c>
      <c r="L492">
        <f t="shared" si="135"/>
        <v>1.903073474563405E+19</v>
      </c>
      <c r="M492">
        <f t="shared" si="136"/>
        <v>5.2646073669912717E-2</v>
      </c>
      <c r="N492">
        <f t="shared" si="137"/>
        <v>0</v>
      </c>
      <c r="O492">
        <f t="shared" si="138"/>
        <v>0</v>
      </c>
      <c r="P492">
        <f t="shared" si="139"/>
        <v>0</v>
      </c>
      <c r="R492">
        <f t="shared" si="140"/>
        <v>4.8549999999999409</v>
      </c>
      <c r="S492">
        <f t="shared" si="141"/>
        <v>8.8503068369559813E-5</v>
      </c>
      <c r="T492">
        <f t="shared" si="147"/>
        <v>4.2858738325843377E-5</v>
      </c>
      <c r="U492" s="1">
        <f t="shared" si="142"/>
        <v>0.35543136849994994</v>
      </c>
      <c r="V492">
        <f t="shared" si="143"/>
        <v>2.1503046793398231E+23</v>
      </c>
      <c r="W492">
        <f t="shared" si="148"/>
        <v>1.9030856205099677E+17</v>
      </c>
      <c r="Y492">
        <f t="shared" si="149"/>
        <v>4.8549999999999409</v>
      </c>
      <c r="Z492">
        <f t="shared" si="144"/>
        <v>0</v>
      </c>
      <c r="AA492">
        <f t="shared" si="150"/>
        <v>0</v>
      </c>
      <c r="AB492">
        <f t="shared" si="151"/>
        <v>1.0000235668946658</v>
      </c>
      <c r="AC492" s="1">
        <f t="shared" si="145"/>
        <v>7.4493433161470389E-3</v>
      </c>
    </row>
    <row r="493" spans="9:29" x14ac:dyDescent="0.2">
      <c r="I493">
        <f t="shared" si="152"/>
        <v>4.8649999999999407</v>
      </c>
      <c r="J493">
        <f t="shared" si="134"/>
        <v>8.6687315883258114E-5</v>
      </c>
      <c r="K493">
        <f t="shared" si="146"/>
        <v>4.834956522179616E-5</v>
      </c>
      <c r="L493">
        <f t="shared" si="135"/>
        <v>1.9295478637533004E+19</v>
      </c>
      <c r="M493">
        <f t="shared" si="136"/>
        <v>5.1699724914685788E-2</v>
      </c>
      <c r="N493">
        <f t="shared" si="137"/>
        <v>0</v>
      </c>
      <c r="O493">
        <f t="shared" si="138"/>
        <v>0</v>
      </c>
      <c r="P493">
        <f t="shared" si="139"/>
        <v>0</v>
      </c>
      <c r="R493">
        <f t="shared" si="140"/>
        <v>4.8649999999999407</v>
      </c>
      <c r="S493">
        <f t="shared" si="141"/>
        <v>8.6687869145925294E-5</v>
      </c>
      <c r="T493">
        <f t="shared" si="147"/>
        <v>4.197370764214778E-5</v>
      </c>
      <c r="U493" s="1">
        <f t="shared" si="142"/>
        <v>0.34809172950547462</v>
      </c>
      <c r="V493">
        <f t="shared" si="143"/>
        <v>2.2258710447925558E+23</v>
      </c>
      <c r="W493">
        <f t="shared" si="148"/>
        <v>1.9295601786668109E+17</v>
      </c>
      <c r="Y493">
        <f t="shared" si="149"/>
        <v>4.8649999999999407</v>
      </c>
      <c r="Z493">
        <f t="shared" si="144"/>
        <v>0</v>
      </c>
      <c r="AA493">
        <f t="shared" si="150"/>
        <v>0</v>
      </c>
      <c r="AB493">
        <f t="shared" si="151"/>
        <v>1.0000235668946658</v>
      </c>
      <c r="AC493" s="1">
        <f t="shared" si="145"/>
        <v>7.4493433161470389E-3</v>
      </c>
    </row>
    <row r="494" spans="9:29" x14ac:dyDescent="0.2">
      <c r="I494">
        <f t="shared" si="152"/>
        <v>4.8749999999999405</v>
      </c>
      <c r="J494">
        <f t="shared" si="134"/>
        <v>8.4909357769611825E-5</v>
      </c>
      <c r="K494">
        <f t="shared" si="146"/>
        <v>4.7482692062963581E-5</v>
      </c>
      <c r="L494">
        <f t="shared" si="135"/>
        <v>1.9563905483833733E+19</v>
      </c>
      <c r="M494">
        <f t="shared" si="136"/>
        <v>5.0772785786237E-2</v>
      </c>
      <c r="N494">
        <f t="shared" si="137"/>
        <v>0</v>
      </c>
      <c r="O494">
        <f t="shared" si="138"/>
        <v>0</v>
      </c>
      <c r="P494">
        <f t="shared" si="139"/>
        <v>0</v>
      </c>
      <c r="R494">
        <f t="shared" si="140"/>
        <v>4.8749999999999405</v>
      </c>
      <c r="S494">
        <f t="shared" si="141"/>
        <v>8.4909899684853631E-5</v>
      </c>
      <c r="T494">
        <f t="shared" si="147"/>
        <v>4.1106828950688524E-5</v>
      </c>
      <c r="U494" s="1">
        <f t="shared" si="142"/>
        <v>0.34090262661387088</v>
      </c>
      <c r="V494">
        <f t="shared" si="143"/>
        <v>2.3040929760553967E+23</v>
      </c>
      <c r="W494">
        <f t="shared" si="148"/>
        <v>1.9564030346143962E+17</v>
      </c>
      <c r="Y494">
        <f t="shared" si="149"/>
        <v>4.8749999999999405</v>
      </c>
      <c r="Z494">
        <f t="shared" si="144"/>
        <v>0</v>
      </c>
      <c r="AA494">
        <f t="shared" si="150"/>
        <v>0</v>
      </c>
      <c r="AB494">
        <f t="shared" si="151"/>
        <v>1.0000235668946658</v>
      </c>
      <c r="AC494" s="1">
        <f t="shared" si="145"/>
        <v>7.4493433161470389E-3</v>
      </c>
    </row>
    <row r="495" spans="9:29" x14ac:dyDescent="0.2">
      <c r="I495">
        <f t="shared" si="152"/>
        <v>4.8849999999999403</v>
      </c>
      <c r="J495">
        <f t="shared" si="134"/>
        <v>8.3167865602819143E-5</v>
      </c>
      <c r="K495">
        <f t="shared" si="146"/>
        <v>4.6633598485267461E-5</v>
      </c>
      <c r="L495">
        <f t="shared" si="135"/>
        <v>1.9836066519535297E+19</v>
      </c>
      <c r="M495">
        <f t="shared" si="136"/>
        <v>4.9864858192837959E-2</v>
      </c>
      <c r="N495">
        <f t="shared" si="137"/>
        <v>0</v>
      </c>
      <c r="O495">
        <f t="shared" si="138"/>
        <v>0</v>
      </c>
      <c r="P495">
        <f t="shared" si="139"/>
        <v>0</v>
      </c>
      <c r="R495">
        <f t="shared" si="140"/>
        <v>4.8849999999999403</v>
      </c>
      <c r="S495">
        <f t="shared" si="141"/>
        <v>8.3168396403371432E-5</v>
      </c>
      <c r="T495">
        <f t="shared" si="147"/>
        <v>4.0257729953839985E-5</v>
      </c>
      <c r="U495" s="1">
        <f t="shared" si="142"/>
        <v>0.33386097232747231</v>
      </c>
      <c r="V495">
        <f t="shared" si="143"/>
        <v>2.3850637954646405E+23</v>
      </c>
      <c r="W495">
        <f t="shared" si="148"/>
        <v>1.9836193118853283E+17</v>
      </c>
      <c r="Y495">
        <f t="shared" si="149"/>
        <v>4.8849999999999403</v>
      </c>
      <c r="Z495">
        <f t="shared" si="144"/>
        <v>0</v>
      </c>
      <c r="AA495">
        <f t="shared" si="150"/>
        <v>0</v>
      </c>
      <c r="AB495">
        <f t="shared" si="151"/>
        <v>1.0000235668946658</v>
      </c>
      <c r="AC495" s="1">
        <f t="shared" si="145"/>
        <v>7.4493433161470389E-3</v>
      </c>
    </row>
    <row r="496" spans="9:29" x14ac:dyDescent="0.2">
      <c r="I496">
        <f t="shared" si="152"/>
        <v>4.8949999999999401</v>
      </c>
      <c r="J496">
        <f t="shared" si="134"/>
        <v>8.1462091465778013E-5</v>
      </c>
      <c r="K496">
        <f t="shared" si="146"/>
        <v>4.580191982923927E-5</v>
      </c>
      <c r="L496">
        <f t="shared" si="135"/>
        <v>2.0112013692386996E+19</v>
      </c>
      <c r="M496">
        <f t="shared" si="136"/>
        <v>4.8975552207627365E-2</v>
      </c>
      <c r="N496">
        <f t="shared" si="137"/>
        <v>0</v>
      </c>
      <c r="O496">
        <f t="shared" si="138"/>
        <v>0</v>
      </c>
      <c r="P496">
        <f t="shared" si="139"/>
        <v>0</v>
      </c>
      <c r="R496">
        <f t="shared" si="140"/>
        <v>4.8949999999999401</v>
      </c>
      <c r="S496">
        <f t="shared" si="141"/>
        <v>8.1462611379603221E-5</v>
      </c>
      <c r="T496">
        <f t="shared" si="147"/>
        <v>3.9426045989806268E-5</v>
      </c>
      <c r="U496" s="1">
        <f t="shared" si="142"/>
        <v>0.32696374247323456</v>
      </c>
      <c r="V496">
        <f t="shared" si="143"/>
        <v>2.468880104905727E+23</v>
      </c>
      <c r="W496">
        <f t="shared" si="148"/>
        <v>2.0112142052876928E+17</v>
      </c>
      <c r="Y496">
        <f t="shared" si="149"/>
        <v>4.8949999999999401</v>
      </c>
      <c r="Z496">
        <f t="shared" si="144"/>
        <v>0</v>
      </c>
      <c r="AA496">
        <f t="shared" si="150"/>
        <v>0</v>
      </c>
      <c r="AB496">
        <f t="shared" si="151"/>
        <v>1.0000235668946658</v>
      </c>
      <c r="AC496" s="1">
        <f t="shared" si="145"/>
        <v>7.4493433161470389E-3</v>
      </c>
    </row>
    <row r="497" spans="9:29" x14ac:dyDescent="0.2">
      <c r="I497">
        <f t="shared" si="152"/>
        <v>4.9049999999999399</v>
      </c>
      <c r="J497">
        <f t="shared" si="134"/>
        <v>7.979130278117693E-5</v>
      </c>
      <c r="K497">
        <f t="shared" si="146"/>
        <v>4.498729891458149E-5</v>
      </c>
      <c r="L497">
        <f t="shared" si="135"/>
        <v>2.0391799672803E+19</v>
      </c>
      <c r="M497">
        <f t="shared" si="136"/>
        <v>4.8104485901149581E-2</v>
      </c>
      <c r="N497">
        <f t="shared" si="137"/>
        <v>0</v>
      </c>
      <c r="O497">
        <f t="shared" si="138"/>
        <v>0</v>
      </c>
      <c r="P497">
        <f t="shared" si="139"/>
        <v>0</v>
      </c>
      <c r="R497">
        <f t="shared" si="140"/>
        <v>4.9049999999999399</v>
      </c>
      <c r="S497">
        <f t="shared" si="141"/>
        <v>7.9791812031561996E-5</v>
      </c>
      <c r="T497">
        <f t="shared" si="147"/>
        <v>3.8611419876010235E-5</v>
      </c>
      <c r="U497" s="1">
        <f t="shared" si="142"/>
        <v>0.32020797490394692</v>
      </c>
      <c r="V497">
        <f t="shared" si="143"/>
        <v>2.5556419010636213E+23</v>
      </c>
      <c r="W497">
        <f t="shared" si="148"/>
        <v>2.0391929818965222E+17</v>
      </c>
      <c r="Y497">
        <f t="shared" si="149"/>
        <v>4.9049999999999399</v>
      </c>
      <c r="Z497">
        <f t="shared" si="144"/>
        <v>0</v>
      </c>
      <c r="AA497">
        <f t="shared" si="150"/>
        <v>0</v>
      </c>
      <c r="AB497">
        <f t="shared" si="151"/>
        <v>1.0000235668946658</v>
      </c>
      <c r="AC497" s="1">
        <f t="shared" si="145"/>
        <v>7.4493433161470389E-3</v>
      </c>
    </row>
    <row r="498" spans="9:29" x14ac:dyDescent="0.2">
      <c r="I498">
        <f t="shared" si="152"/>
        <v>4.9149999999999396</v>
      </c>
      <c r="J498">
        <f t="shared" si="134"/>
        <v>7.8154781996876119E-5</v>
      </c>
      <c r="K498">
        <f t="shared" si="146"/>
        <v>4.4189385886769722E-5</v>
      </c>
      <c r="L498">
        <f t="shared" si="135"/>
        <v>2.067547786391647E+19</v>
      </c>
      <c r="M498">
        <f t="shared" si="136"/>
        <v>4.7251285177327643E-2</v>
      </c>
      <c r="N498">
        <f t="shared" si="137"/>
        <v>0</v>
      </c>
      <c r="O498">
        <f t="shared" si="138"/>
        <v>0</v>
      </c>
      <c r="P498">
        <f t="shared" si="139"/>
        <v>0</v>
      </c>
      <c r="R498">
        <f t="shared" si="140"/>
        <v>4.9149999999999396</v>
      </c>
      <c r="S498">
        <f t="shared" si="141"/>
        <v>7.8155280802528365E-5</v>
      </c>
      <c r="T498">
        <f t="shared" si="147"/>
        <v>3.7813501755694616E-5</v>
      </c>
      <c r="U498" s="1">
        <f t="shared" si="142"/>
        <v>0.31359076822608078</v>
      </c>
      <c r="V498">
        <f t="shared" si="143"/>
        <v>2.6454526947235139E+23</v>
      </c>
      <c r="W498">
        <f t="shared" si="148"/>
        <v>2.0675609820592157E+17</v>
      </c>
      <c r="Y498">
        <f t="shared" si="149"/>
        <v>4.9149999999999396</v>
      </c>
      <c r="Z498">
        <f t="shared" si="144"/>
        <v>0</v>
      </c>
      <c r="AA498">
        <f t="shared" si="150"/>
        <v>0</v>
      </c>
      <c r="AB498">
        <f t="shared" si="151"/>
        <v>1.0000235668946658</v>
      </c>
      <c r="AC498" s="1">
        <f t="shared" si="145"/>
        <v>7.4493433161470389E-3</v>
      </c>
    </row>
    <row r="499" spans="9:29" x14ac:dyDescent="0.2">
      <c r="I499">
        <f t="shared" si="152"/>
        <v>4.9249999999999394</v>
      </c>
      <c r="J499">
        <f t="shared" si="134"/>
        <v>7.65518262777403E-5</v>
      </c>
      <c r="K499">
        <f t="shared" si="146"/>
        <v>4.3407838066800961E-5</v>
      </c>
      <c r="L499">
        <f t="shared" si="135"/>
        <v>2.0963102411771453E+19</v>
      </c>
      <c r="M499">
        <f t="shared" si="136"/>
        <v>4.6415583612800605E-2</v>
      </c>
      <c r="N499">
        <f t="shared" si="137"/>
        <v>0</v>
      </c>
      <c r="O499">
        <f t="shared" si="138"/>
        <v>0</v>
      </c>
      <c r="P499">
        <f t="shared" si="139"/>
        <v>0</v>
      </c>
      <c r="R499">
        <f t="shared" si="140"/>
        <v>4.9249999999999394</v>
      </c>
      <c r="S499">
        <f t="shared" si="141"/>
        <v>7.6552314852881324E-5</v>
      </c>
      <c r="T499">
        <f t="shared" si="147"/>
        <v>3.703194894766933E-5</v>
      </c>
      <c r="U499" s="1">
        <f t="shared" si="142"/>
        <v>0.30710928055373127</v>
      </c>
      <c r="V499">
        <f t="shared" si="143"/>
        <v>2.738419634263787E+23</v>
      </c>
      <c r="W499">
        <f t="shared" si="148"/>
        <v>2.0963236204147357E+17</v>
      </c>
      <c r="Y499">
        <f t="shared" si="149"/>
        <v>4.9249999999999394</v>
      </c>
      <c r="Z499">
        <f t="shared" si="144"/>
        <v>0</v>
      </c>
      <c r="AA499">
        <f t="shared" si="150"/>
        <v>0</v>
      </c>
      <c r="AB499">
        <f t="shared" si="151"/>
        <v>1.0000235668946658</v>
      </c>
      <c r="AC499" s="1">
        <f t="shared" si="145"/>
        <v>7.4493433161470389E-3</v>
      </c>
    </row>
    <row r="500" spans="9:29" x14ac:dyDescent="0.2">
      <c r="I500">
        <f t="shared" si="152"/>
        <v>4.9349999999999392</v>
      </c>
      <c r="J500">
        <f t="shared" si="134"/>
        <v>7.4981747203793148E-5</v>
      </c>
      <c r="K500">
        <f t="shared" si="146"/>
        <v>4.2642319804023557E-5</v>
      </c>
      <c r="L500">
        <f t="shared" si="135"/>
        <v>2.1254728215659135E+19</v>
      </c>
      <c r="M500">
        <f t="shared" si="136"/>
        <v>4.5597022299555978E-2</v>
      </c>
      <c r="N500">
        <f t="shared" si="137"/>
        <v>0</v>
      </c>
      <c r="O500">
        <f t="shared" si="138"/>
        <v>0</v>
      </c>
      <c r="P500">
        <f t="shared" si="139"/>
        <v>0</v>
      </c>
      <c r="R500">
        <f t="shared" si="140"/>
        <v>4.9349999999999392</v>
      </c>
      <c r="S500">
        <f t="shared" si="141"/>
        <v>7.4982225758250915E-5</v>
      </c>
      <c r="T500">
        <f t="shared" si="147"/>
        <v>3.6266425799140516E-5</v>
      </c>
      <c r="U500" s="1">
        <f t="shared" si="142"/>
        <v>0.30076072828811506</v>
      </c>
      <c r="V500">
        <f t="shared" si="143"/>
        <v>2.8346536334890726E+23</v>
      </c>
      <c r="W500">
        <f t="shared" si="148"/>
        <v>2.1254863869272387E+17</v>
      </c>
      <c r="Y500">
        <f t="shared" si="149"/>
        <v>4.9349999999999392</v>
      </c>
      <c r="Z500">
        <f t="shared" si="144"/>
        <v>0</v>
      </c>
      <c r="AA500">
        <f t="shared" si="150"/>
        <v>0</v>
      </c>
      <c r="AB500">
        <f t="shared" si="151"/>
        <v>1.0000235668946658</v>
      </c>
      <c r="AC500" s="1">
        <f t="shared" si="145"/>
        <v>7.4493433161470389E-3</v>
      </c>
    </row>
    <row r="501" spans="9:29" x14ac:dyDescent="0.2">
      <c r="I501">
        <f t="shared" si="152"/>
        <v>4.944999999999939</v>
      </c>
      <c r="J501">
        <f t="shared" si="134"/>
        <v>7.3443870474562177E-5</v>
      </c>
      <c r="K501">
        <f t="shared" si="146"/>
        <v>4.1892502331985624E-5</v>
      </c>
      <c r="L501">
        <f t="shared" si="135"/>
        <v>2.1550410938595623E+19</v>
      </c>
      <c r="M501">
        <f t="shared" si="136"/>
        <v>4.4795249690789879E-2</v>
      </c>
      <c r="N501">
        <f t="shared" si="137"/>
        <v>0</v>
      </c>
      <c r="O501">
        <f t="shared" si="138"/>
        <v>0</v>
      </c>
      <c r="P501">
        <f t="shared" si="139"/>
        <v>0</v>
      </c>
      <c r="R501">
        <f t="shared" si="140"/>
        <v>4.944999999999939</v>
      </c>
      <c r="S501">
        <f t="shared" si="141"/>
        <v>7.3444339213861031E-5</v>
      </c>
      <c r="T501">
        <f t="shared" si="147"/>
        <v>3.5516603541558009E-5</v>
      </c>
      <c r="U501" s="1">
        <f t="shared" si="142"/>
        <v>0.29454238492210022</v>
      </c>
      <c r="V501">
        <f t="shared" si="143"/>
        <v>2.9342695039553733E+23</v>
      </c>
      <c r="W501">
        <f t="shared" si="148"/>
        <v>2.1550548479338621E+17</v>
      </c>
      <c r="Y501">
        <f t="shared" si="149"/>
        <v>4.944999999999939</v>
      </c>
      <c r="Z501">
        <f t="shared" si="144"/>
        <v>0</v>
      </c>
      <c r="AA501">
        <f t="shared" si="150"/>
        <v>0</v>
      </c>
      <c r="AB501">
        <f t="shared" si="151"/>
        <v>1.0000235668946658</v>
      </c>
      <c r="AC501" s="1">
        <f t="shared" si="145"/>
        <v>7.4493433161470389E-3</v>
      </c>
    </row>
    <row r="502" spans="9:29" x14ac:dyDescent="0.2">
      <c r="I502">
        <f t="shared" si="152"/>
        <v>4.9549999999999388</v>
      </c>
      <c r="J502">
        <f t="shared" si="134"/>
        <v>7.1937535619487185E-5</v>
      </c>
      <c r="K502">
        <f t="shared" si="146"/>
        <v>4.115806362724E-5</v>
      </c>
      <c r="L502">
        <f t="shared" si="135"/>
        <v>2.1850207017946354E+19</v>
      </c>
      <c r="M502">
        <f t="shared" si="136"/>
        <v>4.400992144992847E-2</v>
      </c>
      <c r="N502">
        <f t="shared" si="137"/>
        <v>0</v>
      </c>
      <c r="O502">
        <f t="shared" si="138"/>
        <v>0</v>
      </c>
      <c r="P502">
        <f t="shared" si="139"/>
        <v>0</v>
      </c>
      <c r="R502">
        <f t="shared" si="140"/>
        <v>4.9549999999999388</v>
      </c>
      <c r="S502">
        <f t="shared" si="141"/>
        <v>7.1937994744936188E-5</v>
      </c>
      <c r="T502">
        <f t="shared" si="147"/>
        <v>3.4782160149419401E-5</v>
      </c>
      <c r="U502" s="1">
        <f t="shared" si="142"/>
        <v>0.28845157986925613</v>
      </c>
      <c r="V502">
        <f t="shared" si="143"/>
        <v>3.0373860919454883E+23</v>
      </c>
      <c r="W502">
        <f t="shared" si="148"/>
        <v>2.185034647207168E+17</v>
      </c>
      <c r="Y502">
        <f t="shared" si="149"/>
        <v>4.9549999999999388</v>
      </c>
      <c r="Z502">
        <f t="shared" si="144"/>
        <v>0</v>
      </c>
      <c r="AA502">
        <f t="shared" si="150"/>
        <v>0</v>
      </c>
      <c r="AB502">
        <f t="shared" si="151"/>
        <v>1.0000235668946658</v>
      </c>
      <c r="AC502" s="1">
        <f t="shared" si="145"/>
        <v>7.4493433161470389E-3</v>
      </c>
    </row>
    <row r="503" spans="9:29" x14ac:dyDescent="0.2">
      <c r="I503">
        <f t="shared" si="152"/>
        <v>4.9649999999999386</v>
      </c>
      <c r="J503">
        <f t="shared" si="134"/>
        <v>7.0462095714269319E-5</v>
      </c>
      <c r="K503">
        <f t="shared" si="146"/>
        <v>4.0438688271045126E-5</v>
      </c>
      <c r="L503">
        <f t="shared" si="135"/>
        <v>2.2154173676199318E+19</v>
      </c>
      <c r="M503">
        <f t="shared" si="136"/>
        <v>4.3240700302746092E-2</v>
      </c>
      <c r="N503">
        <f t="shared" si="137"/>
        <v>0</v>
      </c>
      <c r="O503">
        <f t="shared" si="138"/>
        <v>0</v>
      </c>
      <c r="P503">
        <f t="shared" si="139"/>
        <v>0</v>
      </c>
      <c r="R503">
        <f t="shared" si="140"/>
        <v>4.9649999999999386</v>
      </c>
      <c r="S503">
        <f t="shared" si="141"/>
        <v>7.0462545423048649E-5</v>
      </c>
      <c r="T503">
        <f t="shared" si="147"/>
        <v>3.406278020197004E-5</v>
      </c>
      <c r="U503" s="1">
        <f t="shared" si="142"/>
        <v>0.28248569731691864</v>
      </c>
      <c r="V503">
        <f t="shared" si="143"/>
        <v>3.1441264202581566E+23</v>
      </c>
      <c r="W503">
        <f t="shared" si="148"/>
        <v>2.2154315070324768E+17</v>
      </c>
      <c r="Y503">
        <f t="shared" si="149"/>
        <v>4.9649999999999386</v>
      </c>
      <c r="Z503">
        <f t="shared" si="144"/>
        <v>0</v>
      </c>
      <c r="AA503">
        <f t="shared" si="150"/>
        <v>0</v>
      </c>
      <c r="AB503">
        <f t="shared" si="151"/>
        <v>1.0000235668946658</v>
      </c>
      <c r="AC503" s="1">
        <f t="shared" si="145"/>
        <v>7.4493433161470389E-3</v>
      </c>
    </row>
    <row r="504" spans="9:29" x14ac:dyDescent="0.2">
      <c r="I504">
        <f t="shared" si="152"/>
        <v>4.9749999999999384</v>
      </c>
      <c r="J504">
        <f t="shared" si="134"/>
        <v>6.9016917103036055E-5</v>
      </c>
      <c r="K504">
        <f t="shared" si="146"/>
        <v>3.9734067313902434E-5</v>
      </c>
      <c r="L504">
        <f t="shared" si="135"/>
        <v>2.2462368931886334E+19</v>
      </c>
      <c r="M504">
        <f t="shared" si="136"/>
        <v>4.2487255892516375E-2</v>
      </c>
      <c r="N504">
        <f t="shared" si="137"/>
        <v>0</v>
      </c>
      <c r="O504">
        <f t="shared" si="138"/>
        <v>0</v>
      </c>
      <c r="P504">
        <f t="shared" si="139"/>
        <v>0</v>
      </c>
      <c r="R504">
        <f t="shared" si="140"/>
        <v>4.9749999999999384</v>
      </c>
      <c r="S504">
        <f t="shared" si="141"/>
        <v>6.9017357588281773E-5</v>
      </c>
      <c r="T504">
        <f t="shared" si="147"/>
        <v>3.3358154747739553E-5</v>
      </c>
      <c r="U504" s="1">
        <f t="shared" si="142"/>
        <v>0.2766421751027795</v>
      </c>
      <c r="V504">
        <f t="shared" si="143"/>
        <v>3.2546178349797973E+23</v>
      </c>
      <c r="W504">
        <f t="shared" si="148"/>
        <v>2.2462512293000013E+17</v>
      </c>
      <c r="Y504">
        <f t="shared" si="149"/>
        <v>4.9749999999999384</v>
      </c>
      <c r="Z504">
        <f t="shared" si="144"/>
        <v>0</v>
      </c>
      <c r="AA504">
        <f t="shared" si="150"/>
        <v>0</v>
      </c>
      <c r="AB504">
        <f t="shared" si="151"/>
        <v>1.0000235668946658</v>
      </c>
      <c r="AC504" s="1">
        <f t="shared" si="145"/>
        <v>7.4493433161470389E-3</v>
      </c>
    </row>
    <row r="505" spans="9:29" x14ac:dyDescent="0.2">
      <c r="I505">
        <f t="shared" si="152"/>
        <v>4.9849999999999381</v>
      </c>
      <c r="J505">
        <f t="shared" si="134"/>
        <v>6.7601379126206224E-5</v>
      </c>
      <c r="K505">
        <f t="shared" si="146"/>
        <v>3.9043898142872071E-5</v>
      </c>
      <c r="L505">
        <f t="shared" si="135"/>
        <v>2.2774851610657264E+19</v>
      </c>
      <c r="M505">
        <f t="shared" si="136"/>
        <v>4.1749264638134193E-2</v>
      </c>
      <c r="N505">
        <f t="shared" si="137"/>
        <v>0</v>
      </c>
      <c r="O505">
        <f t="shared" si="138"/>
        <v>0</v>
      </c>
      <c r="P505">
        <f t="shared" si="139"/>
        <v>0</v>
      </c>
      <c r="R505">
        <f t="shared" si="140"/>
        <v>4.9849999999999381</v>
      </c>
      <c r="S505">
        <f t="shared" si="141"/>
        <v>6.7601810577093123E-5</v>
      </c>
      <c r="T505">
        <f t="shared" si="147"/>
        <v>3.2667981171856738E-5</v>
      </c>
      <c r="U505" s="1">
        <f t="shared" si="142"/>
        <v>0.27091850361451703</v>
      </c>
      <c r="V505">
        <f t="shared" si="143"/>
        <v>3.3689921574141979E+23</v>
      </c>
      <c r="W505">
        <f t="shared" si="148"/>
        <v>2.2774996966122688E+17</v>
      </c>
      <c r="Y505">
        <f t="shared" si="149"/>
        <v>4.9849999999999381</v>
      </c>
      <c r="Z505">
        <f t="shared" si="144"/>
        <v>0</v>
      </c>
      <c r="AA505">
        <f t="shared" si="150"/>
        <v>0</v>
      </c>
      <c r="AB505">
        <f t="shared" si="151"/>
        <v>1.0000235668946658</v>
      </c>
      <c r="AC505" s="1">
        <f t="shared" si="145"/>
        <v>7.4493433161470389E-3</v>
      </c>
    </row>
    <row r="506" spans="9:29" x14ac:dyDescent="0.2">
      <c r="I506">
        <f t="shared" si="152"/>
        <v>4.9949999999999379</v>
      </c>
      <c r="J506">
        <f t="shared" si="134"/>
        <v>6.6214873853935691E-5</v>
      </c>
      <c r="K506">
        <f t="shared" si="146"/>
        <v>3.8367884351610009E-5</v>
      </c>
      <c r="L506">
        <f t="shared" si="135"/>
        <v>2.3091681356508922E+19</v>
      </c>
      <c r="M506">
        <f t="shared" si="136"/>
        <v>4.1026409595147646E-2</v>
      </c>
      <c r="N506">
        <f t="shared" si="137"/>
        <v>0</v>
      </c>
      <c r="O506">
        <f t="shared" si="138"/>
        <v>0</v>
      </c>
      <c r="P506">
        <f t="shared" si="139"/>
        <v>0</v>
      </c>
      <c r="R506">
        <f t="shared" si="140"/>
        <v>4.9949999999999379</v>
      </c>
      <c r="S506">
        <f t="shared" si="141"/>
        <v>6.6215296455758598E-5</v>
      </c>
      <c r="T506">
        <f t="shared" si="147"/>
        <v>3.1991963066085809E-5</v>
      </c>
      <c r="U506" s="1">
        <f t="shared" si="142"/>
        <v>0.26531222471199462</v>
      </c>
      <c r="V506">
        <f t="shared" si="143"/>
        <v>3.4873858413514738E+23</v>
      </c>
      <c r="W506">
        <f t="shared" si="148"/>
        <v>2.3091828734070298E+17</v>
      </c>
      <c r="Y506">
        <f t="shared" si="149"/>
        <v>4.9949999999999379</v>
      </c>
      <c r="Z506">
        <f t="shared" si="144"/>
        <v>0</v>
      </c>
      <c r="AA506">
        <f t="shared" si="150"/>
        <v>0</v>
      </c>
      <c r="AB506">
        <f t="shared" si="151"/>
        <v>1.0000235668946658</v>
      </c>
      <c r="AC506" s="1">
        <f t="shared" si="145"/>
        <v>7.4493433161470389E-3</v>
      </c>
    </row>
    <row r="507" spans="9:29" x14ac:dyDescent="0.2">
      <c r="I507">
        <f t="shared" si="152"/>
        <v>5.0049999999999377</v>
      </c>
      <c r="J507">
        <f t="shared" si="134"/>
        <v>6.4856805825030256E-5</v>
      </c>
      <c r="K507">
        <f t="shared" si="146"/>
        <v>3.7705735613070653E-5</v>
      </c>
      <c r="L507">
        <f t="shared" si="135"/>
        <v>2.3412918643167621E+19</v>
      </c>
      <c r="M507">
        <f t="shared" si="136"/>
        <v>4.0318380319640149E-2</v>
      </c>
      <c r="N507">
        <f t="shared" si="137"/>
        <v>0</v>
      </c>
      <c r="O507">
        <f t="shared" si="138"/>
        <v>0</v>
      </c>
      <c r="P507">
        <f t="shared" si="139"/>
        <v>0</v>
      </c>
      <c r="R507">
        <f t="shared" si="140"/>
        <v>5.0049999999999377</v>
      </c>
      <c r="S507">
        <f t="shared" si="141"/>
        <v>6.4857219759283612E-5</v>
      </c>
      <c r="T507">
        <f t="shared" si="147"/>
        <v>3.1329810101528222E-5</v>
      </c>
      <c r="U507" s="1">
        <f t="shared" si="142"/>
        <v>0.25982093067156575</v>
      </c>
      <c r="V507">
        <f t="shared" si="143"/>
        <v>3.6099401358634052E+23</v>
      </c>
      <c r="W507">
        <f t="shared" si="148"/>
        <v>2.3413068070955104E+17</v>
      </c>
      <c r="Y507">
        <f t="shared" si="149"/>
        <v>5.0049999999999377</v>
      </c>
      <c r="Z507">
        <f t="shared" si="144"/>
        <v>0</v>
      </c>
      <c r="AA507">
        <f t="shared" si="150"/>
        <v>0</v>
      </c>
      <c r="AB507">
        <f t="shared" si="151"/>
        <v>1.0000235668946658</v>
      </c>
      <c r="AC507" s="1">
        <f t="shared" si="145"/>
        <v>7.4493433161470389E-3</v>
      </c>
    </row>
    <row r="508" spans="9:29" x14ac:dyDescent="0.2">
      <c r="I508">
        <f t="shared" si="152"/>
        <v>5.0149999999999375</v>
      </c>
      <c r="J508">
        <f t="shared" si="134"/>
        <v>6.3526591791213745E-5</v>
      </c>
      <c r="K508">
        <f t="shared" si="146"/>
        <v>3.7057167554820348E-5</v>
      </c>
      <c r="L508">
        <f t="shared" si="135"/>
        <v>2.373862478563423E+19</v>
      </c>
      <c r="M508">
        <f t="shared" si="136"/>
        <v>3.9624872734904365E-2</v>
      </c>
      <c r="N508">
        <f t="shared" si="137"/>
        <v>0</v>
      </c>
      <c r="O508">
        <f t="shared" si="138"/>
        <v>0</v>
      </c>
      <c r="P508">
        <f t="shared" si="139"/>
        <v>0</v>
      </c>
      <c r="R508">
        <f t="shared" si="140"/>
        <v>5.0149999999999375</v>
      </c>
      <c r="S508">
        <f t="shared" si="141"/>
        <v>6.3526997235669518E-5</v>
      </c>
      <c r="T508">
        <f t="shared" si="147"/>
        <v>3.0681237903935389E-5</v>
      </c>
      <c r="U508" s="1">
        <f t="shared" si="142"/>
        <v>0.25444226315203128</v>
      </c>
      <c r="V508">
        <f t="shared" si="143"/>
        <v>3.7368012538203691E+23</v>
      </c>
      <c r="W508">
        <f t="shared" si="148"/>
        <v>2.3738776292169299E+17</v>
      </c>
      <c r="Y508">
        <f t="shared" si="149"/>
        <v>5.0149999999999375</v>
      </c>
      <c r="Z508">
        <f t="shared" si="144"/>
        <v>0</v>
      </c>
      <c r="AA508">
        <f t="shared" si="150"/>
        <v>0</v>
      </c>
      <c r="AB508">
        <f t="shared" si="151"/>
        <v>1.0000235668946658</v>
      </c>
      <c r="AC508" s="1">
        <f t="shared" si="145"/>
        <v>7.4493433161470389E-3</v>
      </c>
    </row>
    <row r="509" spans="9:29" x14ac:dyDescent="0.2">
      <c r="I509">
        <f t="shared" si="152"/>
        <v>5.0249999999999373</v>
      </c>
      <c r="J509">
        <f t="shared" si="134"/>
        <v>6.222366046664038E-5</v>
      </c>
      <c r="K509">
        <f t="shared" si="146"/>
        <v>3.6421901636908211E-5</v>
      </c>
      <c r="L509">
        <f t="shared" si="135"/>
        <v>2.4068861951885509E+19</v>
      </c>
      <c r="M509">
        <f t="shared" si="136"/>
        <v>3.8945589000850704E-2</v>
      </c>
      <c r="N509">
        <f t="shared" si="137"/>
        <v>0</v>
      </c>
      <c r="O509">
        <f t="shared" si="138"/>
        <v>0</v>
      </c>
      <c r="P509">
        <f t="shared" si="139"/>
        <v>0</v>
      </c>
      <c r="R509">
        <f t="shared" si="140"/>
        <v>5.0249999999999373</v>
      </c>
      <c r="S509">
        <f t="shared" si="141"/>
        <v>6.2224057595424448E-5</v>
      </c>
      <c r="T509">
        <f t="shared" si="147"/>
        <v>3.0045967931578697E-5</v>
      </c>
      <c r="U509" s="1">
        <f t="shared" si="142"/>
        <v>0.24917391218180426</v>
      </c>
      <c r="V509">
        <f t="shared" si="143"/>
        <v>3.8681205463297053E+23</v>
      </c>
      <c r="W509">
        <f t="shared" si="148"/>
        <v>2.4069015566086426E+17</v>
      </c>
      <c r="Y509">
        <f t="shared" si="149"/>
        <v>5.0249999999999373</v>
      </c>
      <c r="Z509">
        <f t="shared" si="144"/>
        <v>0</v>
      </c>
      <c r="AA509">
        <f t="shared" si="150"/>
        <v>0</v>
      </c>
      <c r="AB509">
        <f t="shared" si="151"/>
        <v>1.0000235668946658</v>
      </c>
      <c r="AC509" s="1">
        <f t="shared" si="145"/>
        <v>7.4493433161470389E-3</v>
      </c>
    </row>
    <row r="510" spans="9:29" x14ac:dyDescent="0.2">
      <c r="I510">
        <f t="shared" si="152"/>
        <v>5.0349999999999371</v>
      </c>
      <c r="J510">
        <f t="shared" si="134"/>
        <v>6.0947452282545465E-5</v>
      </c>
      <c r="K510">
        <f t="shared" si="146"/>
        <v>3.5799665032241807E-5</v>
      </c>
      <c r="L510">
        <f t="shared" si="135"/>
        <v>2.4403693174741086E+19</v>
      </c>
      <c r="M510">
        <f t="shared" si="136"/>
        <v>3.8280237386094117E-2</v>
      </c>
      <c r="N510">
        <f t="shared" si="137"/>
        <v>0</v>
      </c>
      <c r="O510">
        <f t="shared" si="138"/>
        <v>0</v>
      </c>
      <c r="P510">
        <f t="shared" si="139"/>
        <v>0</v>
      </c>
      <c r="R510">
        <f t="shared" si="140"/>
        <v>5.0349999999999371</v>
      </c>
      <c r="S510">
        <f t="shared" si="141"/>
        <v>6.0947841266212384E-5</v>
      </c>
      <c r="T510">
        <f t="shared" si="147"/>
        <v>2.9423727355624453E-5</v>
      </c>
      <c r="U510" s="1">
        <f t="shared" si="142"/>
        <v>0.24401361516684861</v>
      </c>
      <c r="V510">
        <f t="shared" si="143"/>
        <v>4.0040546833046173E+23</v>
      </c>
      <c r="W510">
        <f t="shared" si="148"/>
        <v>2.4403848925928413E+17</v>
      </c>
      <c r="Y510">
        <f t="shared" si="149"/>
        <v>5.0349999999999371</v>
      </c>
      <c r="Z510">
        <f t="shared" si="144"/>
        <v>0</v>
      </c>
      <c r="AA510">
        <f t="shared" si="150"/>
        <v>0</v>
      </c>
      <c r="AB510">
        <f t="shared" si="151"/>
        <v>1.0000235668946658</v>
      </c>
      <c r="AC510" s="1">
        <f t="shared" si="145"/>
        <v>7.4493433161470389E-3</v>
      </c>
    </row>
    <row r="511" spans="9:29" x14ac:dyDescent="0.2">
      <c r="I511">
        <f t="shared" si="152"/>
        <v>5.0449999999999369</v>
      </c>
      <c r="J511">
        <f t="shared" si="134"/>
        <v>5.9697419146927874E-5</v>
      </c>
      <c r="K511">
        <f t="shared" si="146"/>
        <v>3.5190190509416355E-5</v>
      </c>
      <c r="L511">
        <f t="shared" si="135"/>
        <v>2.4743182363894497E+19</v>
      </c>
      <c r="M511">
        <f t="shared" si="136"/>
        <v>3.7628532142664532E-2</v>
      </c>
      <c r="N511">
        <f t="shared" si="137"/>
        <v>0</v>
      </c>
      <c r="O511">
        <f t="shared" si="138"/>
        <v>0</v>
      </c>
      <c r="P511">
        <f t="shared" si="139"/>
        <v>0</v>
      </c>
      <c r="R511">
        <f t="shared" si="140"/>
        <v>5.0449999999999369</v>
      </c>
      <c r="S511">
        <f t="shared" si="141"/>
        <v>5.9697800152534103E-5</v>
      </c>
      <c r="T511">
        <f t="shared" si="147"/>
        <v>2.8814248942962329E-5</v>
      </c>
      <c r="U511" s="1">
        <f t="shared" si="142"/>
        <v>0.23895915591896519</v>
      </c>
      <c r="V511">
        <f t="shared" si="143"/>
        <v>4.1447658403785152E+23</v>
      </c>
      <c r="W511">
        <f t="shared" si="148"/>
        <v>2.4743340281796666E+17</v>
      </c>
      <c r="Y511">
        <f t="shared" si="149"/>
        <v>5.0449999999999369</v>
      </c>
      <c r="Z511">
        <f t="shared" si="144"/>
        <v>0</v>
      </c>
      <c r="AA511">
        <f t="shared" si="150"/>
        <v>0</v>
      </c>
      <c r="AB511">
        <f t="shared" si="151"/>
        <v>1.0000235668946658</v>
      </c>
      <c r="AC511" s="1">
        <f t="shared" si="145"/>
        <v>7.4493433161470389E-3</v>
      </c>
    </row>
    <row r="512" spans="9:29" x14ac:dyDescent="0.2">
      <c r="I512">
        <f t="shared" si="152"/>
        <v>5.0549999999999367</v>
      </c>
      <c r="J512">
        <f t="shared" si="134"/>
        <v>5.8473024209161301E-5</v>
      </c>
      <c r="K512">
        <f t="shared" si="146"/>
        <v>3.4593216317947074E-5</v>
      </c>
      <c r="L512">
        <f t="shared" si="135"/>
        <v>2.5087394318111785E+19</v>
      </c>
      <c r="M512">
        <f t="shared" si="136"/>
        <v>3.6990193383286907E-2</v>
      </c>
      <c r="N512">
        <f t="shared" si="137"/>
        <v>0</v>
      </c>
      <c r="O512">
        <f t="shared" si="138"/>
        <v>0</v>
      </c>
      <c r="P512">
        <f t="shared" si="139"/>
        <v>0</v>
      </c>
      <c r="R512">
        <f t="shared" si="140"/>
        <v>5.0549999999999367</v>
      </c>
      <c r="S512">
        <f t="shared" si="141"/>
        <v>5.8473397400336997E-5</v>
      </c>
      <c r="T512">
        <f t="shared" si="147"/>
        <v>2.8217270941436988E-5</v>
      </c>
      <c r="U512" s="1">
        <f t="shared" si="142"/>
        <v>0.23400836370400696</v>
      </c>
      <c r="V512">
        <f t="shared" si="143"/>
        <v>4.2904218923879771E+23</v>
      </c>
      <c r="W512">
        <f t="shared" si="148"/>
        <v>2.508755443287081E+17</v>
      </c>
      <c r="Y512">
        <f t="shared" si="149"/>
        <v>5.0549999999999367</v>
      </c>
      <c r="Z512">
        <f t="shared" si="144"/>
        <v>0</v>
      </c>
      <c r="AA512">
        <f t="shared" si="150"/>
        <v>0</v>
      </c>
      <c r="AB512">
        <f t="shared" si="151"/>
        <v>1.0000235668946658</v>
      </c>
      <c r="AC512" s="1">
        <f t="shared" si="145"/>
        <v>7.4493433161470389E-3</v>
      </c>
    </row>
    <row r="513" spans="9:29" x14ac:dyDescent="0.2">
      <c r="I513">
        <f t="shared" si="152"/>
        <v>5.0649999999999364</v>
      </c>
      <c r="J513">
        <f t="shared" si="134"/>
        <v>5.727374162943395E-5</v>
      </c>
      <c r="K513">
        <f t="shared" si="146"/>
        <v>3.4008486075855459E-5</v>
      </c>
      <c r="L513">
        <f t="shared" si="135"/>
        <v>2.5436394737599054E+19</v>
      </c>
      <c r="M513">
        <f t="shared" si="136"/>
        <v>3.6364946961178313E-2</v>
      </c>
      <c r="N513">
        <f t="shared" si="137"/>
        <v>0</v>
      </c>
      <c r="O513">
        <f t="shared" si="138"/>
        <v>0</v>
      </c>
      <c r="P513">
        <f t="shared" si="139"/>
        <v>0</v>
      </c>
      <c r="R513">
        <f t="shared" si="140"/>
        <v>5.0649999999999364</v>
      </c>
      <c r="S513">
        <f t="shared" si="141"/>
        <v>5.7274107166453182E-5</v>
      </c>
      <c r="T513">
        <f t="shared" si="147"/>
        <v>2.7632536967433617E-5</v>
      </c>
      <c r="U513" s="1">
        <f t="shared" si="142"/>
        <v>0.22915911230961603</v>
      </c>
      <c r="V513">
        <f t="shared" si="143"/>
        <v>4.4411966136549491E+23</v>
      </c>
      <c r="W513">
        <f t="shared" si="148"/>
        <v>2.5436557079776253E+17</v>
      </c>
      <c r="Y513">
        <f t="shared" si="149"/>
        <v>5.0649999999999364</v>
      </c>
      <c r="Z513">
        <f t="shared" si="144"/>
        <v>0</v>
      </c>
      <c r="AA513">
        <f t="shared" si="150"/>
        <v>0</v>
      </c>
      <c r="AB513">
        <f t="shared" si="151"/>
        <v>1.0000235668946658</v>
      </c>
      <c r="AC513" s="1">
        <f t="shared" si="145"/>
        <v>7.4493433161470389E-3</v>
      </c>
    </row>
    <row r="514" spans="9:29" x14ac:dyDescent="0.2">
      <c r="I514">
        <f t="shared" si="152"/>
        <v>5.0749999999999362</v>
      </c>
      <c r="J514">
        <f t="shared" si="134"/>
        <v>5.609905635291589E-5</v>
      </c>
      <c r="K514">
        <f t="shared" si="146"/>
        <v>3.3435748659561117E-5</v>
      </c>
      <c r="L514">
        <f t="shared" si="135"/>
        <v>2.5790250236544254E+19</v>
      </c>
      <c r="M514">
        <f t="shared" si="136"/>
        <v>3.5752524352310328E-2</v>
      </c>
      <c r="N514">
        <f t="shared" si="137"/>
        <v>0</v>
      </c>
      <c r="O514">
        <f t="shared" si="138"/>
        <v>0</v>
      </c>
      <c r="P514">
        <f t="shared" si="139"/>
        <v>0</v>
      </c>
      <c r="R514">
        <f t="shared" si="140"/>
        <v>5.0749999999999362</v>
      </c>
      <c r="S514">
        <f t="shared" si="141"/>
        <v>5.6099414392765524E-5</v>
      </c>
      <c r="T514">
        <f t="shared" si="147"/>
        <v>2.7059795895769086E-5</v>
      </c>
      <c r="U514" s="1">
        <f t="shared" si="142"/>
        <v>0.22440931913208093</v>
      </c>
      <c r="V514">
        <f t="shared" si="143"/>
        <v>4.597269885307748E+23</v>
      </c>
      <c r="W514">
        <f t="shared" si="148"/>
        <v>2.5790414837126099E+17</v>
      </c>
      <c r="Y514">
        <f t="shared" si="149"/>
        <v>5.0749999999999362</v>
      </c>
      <c r="Z514">
        <f t="shared" si="144"/>
        <v>0</v>
      </c>
      <c r="AA514">
        <f t="shared" si="150"/>
        <v>0</v>
      </c>
      <c r="AB514">
        <f t="shared" si="151"/>
        <v>1.0000235668946658</v>
      </c>
      <c r="AC514" s="1">
        <f t="shared" si="145"/>
        <v>7.4493433161470389E-3</v>
      </c>
    </row>
    <row r="515" spans="9:29" x14ac:dyDescent="0.2">
      <c r="I515">
        <f t="shared" si="152"/>
        <v>5.084999999999936</v>
      </c>
      <c r="J515">
        <f t="shared" si="134"/>
        <v>5.4948463888559405E-5</v>
      </c>
      <c r="K515">
        <f t="shared" si="146"/>
        <v>3.2874758096031958E-5</v>
      </c>
      <c r="L515">
        <f t="shared" si="135"/>
        <v>2.6149028355830141E+19</v>
      </c>
      <c r="M515">
        <f t="shared" si="136"/>
        <v>3.5152662540086269E-2</v>
      </c>
      <c r="N515">
        <f t="shared" si="137"/>
        <v>0</v>
      </c>
      <c r="O515">
        <f t="shared" si="138"/>
        <v>0</v>
      </c>
      <c r="P515">
        <f t="shared" si="139"/>
        <v>0</v>
      </c>
      <c r="R515">
        <f t="shared" si="140"/>
        <v>5.084999999999936</v>
      </c>
      <c r="S515">
        <f t="shared" si="141"/>
        <v>5.49488145850065E-5</v>
      </c>
      <c r="T515">
        <f t="shared" si="147"/>
        <v>2.649880175184143E-5</v>
      </c>
      <c r="U515" s="1">
        <f t="shared" si="142"/>
        <v>0.21975694428192274</v>
      </c>
      <c r="V515">
        <f t="shared" si="143"/>
        <v>4.7588279098871265E+23</v>
      </c>
      <c r="W515">
        <f t="shared" si="148"/>
        <v>2.6149195246234173E+17</v>
      </c>
      <c r="Y515">
        <f t="shared" si="149"/>
        <v>5.084999999999936</v>
      </c>
      <c r="Z515">
        <f t="shared" si="144"/>
        <v>0</v>
      </c>
      <c r="AA515">
        <f t="shared" si="150"/>
        <v>0</v>
      </c>
      <c r="AB515">
        <f t="shared" si="151"/>
        <v>1.0000235668946658</v>
      </c>
      <c r="AC515" s="1">
        <f t="shared" si="145"/>
        <v>7.4493433161470389E-3</v>
      </c>
    </row>
    <row r="516" spans="9:29" x14ac:dyDescent="0.2">
      <c r="I516">
        <f t="shared" si="152"/>
        <v>5.0949999999999358</v>
      </c>
      <c r="J516">
        <f t="shared" si="134"/>
        <v>5.3821470092435517E-5</v>
      </c>
      <c r="K516">
        <f t="shared" si="146"/>
        <v>3.2325273457146365E-5</v>
      </c>
      <c r="L516">
        <f t="shared" si="135"/>
        <v>2.651279757592748E+19</v>
      </c>
      <c r="M516">
        <f t="shared" si="136"/>
        <v>3.4565103902383688E-2</v>
      </c>
      <c r="N516">
        <f t="shared" si="137"/>
        <v>0</v>
      </c>
      <c r="O516">
        <f t="shared" si="138"/>
        <v>0</v>
      </c>
      <c r="P516">
        <f t="shared" si="139"/>
        <v>0</v>
      </c>
      <c r="R516">
        <f t="shared" si="140"/>
        <v>5.0949999999999358</v>
      </c>
      <c r="S516">
        <f t="shared" si="141"/>
        <v>5.3821813596093361E-5</v>
      </c>
      <c r="T516">
        <f t="shared" si="147"/>
        <v>2.5949313605991367E-5</v>
      </c>
      <c r="U516" s="1">
        <f t="shared" si="142"/>
        <v>0.2151999897078255</v>
      </c>
      <c r="V516">
        <f t="shared" si="143"/>
        <v>4.926063433494692E+23</v>
      </c>
      <c r="W516">
        <f t="shared" si="148"/>
        <v>2.6512966788008298E+17</v>
      </c>
      <c r="Y516">
        <f t="shared" si="149"/>
        <v>5.0949999999999358</v>
      </c>
      <c r="Z516">
        <f t="shared" si="144"/>
        <v>0</v>
      </c>
      <c r="AA516">
        <f t="shared" si="150"/>
        <v>0</v>
      </c>
      <c r="AB516">
        <f t="shared" si="151"/>
        <v>1.0000235668946658</v>
      </c>
      <c r="AC516" s="1">
        <f t="shared" si="145"/>
        <v>7.4493433161470389E-3</v>
      </c>
    </row>
    <row r="517" spans="9:29" x14ac:dyDescent="0.2">
      <c r="I517">
        <f t="shared" si="152"/>
        <v>5.1049999999999356</v>
      </c>
      <c r="J517">
        <f t="shared" si="134"/>
        <v>5.2717590955514331E-5</v>
      </c>
      <c r="K517">
        <f t="shared" si="146"/>
        <v>3.1787058756222007E-5</v>
      </c>
      <c r="L517">
        <f t="shared" si="135"/>
        <v>2.6881627329964675E+19</v>
      </c>
      <c r="M517">
        <f t="shared" si="136"/>
        <v>3.3989596100913629E-2</v>
      </c>
      <c r="N517">
        <f t="shared" si="137"/>
        <v>0</v>
      </c>
      <c r="O517">
        <f t="shared" si="138"/>
        <v>0</v>
      </c>
      <c r="P517">
        <f t="shared" si="139"/>
        <v>0</v>
      </c>
      <c r="R517">
        <f t="shared" si="140"/>
        <v>5.1049999999999356</v>
      </c>
      <c r="S517">
        <f t="shared" si="141"/>
        <v>5.2717927413907142E-5</v>
      </c>
      <c r="T517">
        <f t="shared" si="147"/>
        <v>2.5411095470030432E-5</v>
      </c>
      <c r="U517" s="1">
        <f t="shared" si="142"/>
        <v>0.21073649833853492</v>
      </c>
      <c r="V517">
        <f t="shared" si="143"/>
        <v>5.0991759757475829E+23</v>
      </c>
      <c r="W517">
        <f t="shared" si="148"/>
        <v>2.6881798896020022E+17</v>
      </c>
      <c r="Y517">
        <f t="shared" si="149"/>
        <v>5.1049999999999356</v>
      </c>
      <c r="Z517">
        <f t="shared" si="144"/>
        <v>0</v>
      </c>
      <c r="AA517">
        <f t="shared" si="150"/>
        <v>0</v>
      </c>
      <c r="AB517">
        <f t="shared" si="151"/>
        <v>1.0000235668946658</v>
      </c>
      <c r="AC517" s="1">
        <f t="shared" si="145"/>
        <v>7.4493433161470389E-3</v>
      </c>
    </row>
    <row r="518" spans="9:29" x14ac:dyDescent="0.2">
      <c r="I518">
        <f t="shared" si="152"/>
        <v>5.1149999999999354</v>
      </c>
      <c r="J518">
        <f t="shared" si="134"/>
        <v>5.1636352395798535E-5</v>
      </c>
      <c r="K518">
        <f t="shared" si="146"/>
        <v>3.1259882846666866E-5</v>
      </c>
      <c r="L518">
        <f t="shared" si="135"/>
        <v>2.7255588016981688E+19</v>
      </c>
      <c r="M518">
        <f t="shared" si="136"/>
        <v>3.3425891972849134E-2</v>
      </c>
      <c r="N518">
        <f t="shared" si="137"/>
        <v>0</v>
      </c>
      <c r="O518">
        <f t="shared" si="138"/>
        <v>0</v>
      </c>
      <c r="P518">
        <f t="shared" si="139"/>
        <v>0</v>
      </c>
      <c r="R518">
        <f t="shared" si="140"/>
        <v>5.1149999999999354</v>
      </c>
      <c r="S518">
        <f t="shared" si="141"/>
        <v>5.16366819534248E-5</v>
      </c>
      <c r="T518">
        <f t="shared" si="147"/>
        <v>2.4883916195891359E-5</v>
      </c>
      <c r="U518" s="1">
        <f t="shared" si="142"/>
        <v>0.20636455324235656</v>
      </c>
      <c r="V518">
        <f t="shared" si="143"/>
        <v>5.2783720678146465E+23</v>
      </c>
      <c r="W518">
        <f t="shared" si="148"/>
        <v>2.7255761969758611E+17</v>
      </c>
      <c r="Y518">
        <f t="shared" si="149"/>
        <v>5.1149999999999354</v>
      </c>
      <c r="Z518">
        <f t="shared" si="144"/>
        <v>0</v>
      </c>
      <c r="AA518">
        <f t="shared" si="150"/>
        <v>0</v>
      </c>
      <c r="AB518">
        <f t="shared" si="151"/>
        <v>1.0000235668946658</v>
      </c>
      <c r="AC518" s="1">
        <f t="shared" si="145"/>
        <v>7.4493433161470389E-3</v>
      </c>
    </row>
    <row r="519" spans="9:29" x14ac:dyDescent="0.2">
      <c r="I519">
        <f t="shared" si="152"/>
        <v>5.1249999999999352</v>
      </c>
      <c r="J519">
        <f t="shared" ref="J519:J582" si="153">IF($I519&gt;$B$23,0,1)*IF($I519&lt;($B$23-$B$21),$B$10*EXP(-$B$10*($I519-$B$8)),$B$10*EXP(-$B$10*($B$23-$B$20-$B$21-$B$8)))/(1-EXP(-$B$10*($B$23-$B$21-$B$8)))*(1/(1+$B$24))</f>
        <v>5.0577290054719176E-5</v>
      </c>
      <c r="K519">
        <f t="shared" si="146"/>
        <v>3.074351932270888E-5</v>
      </c>
      <c r="L519">
        <f t="shared" ref="L519:L582" si="154">$V519*$J519</f>
        <v>2.7634751015365956E+19</v>
      </c>
      <c r="M519">
        <f t="shared" ref="M519:M582" si="155">$K519/$L$4*$B$18</f>
        <v>3.2873749424676413E-2</v>
      </c>
      <c r="N519">
        <f t="shared" ref="N519:N582" si="156">IF($I519&gt;$B$23,0,1)*IF($I519&lt;($B$23-$B$21),0,M519)</f>
        <v>0</v>
      </c>
      <c r="O519">
        <f t="shared" ref="O519:O582" si="157">IF($I519&gt;$B$23,0,1)*IF($I519&lt;($B$23-$B$33),0,1)*IF($I519&lt;($B$23-$B$21),$B$10*EXP(-$B$10*($I519-$B$8)),$B$10*EXP(-$B$10*($B$23-$B$20-$B$21-$B$8)))/(1-EXP(-$B$10*($B$23-$B$21-$B$8)))*(1/(1+$B$24))*($B$18/(SUM($L$7:$L$105)*0.05))</f>
        <v>0</v>
      </c>
      <c r="P519">
        <f t="shared" ref="P519:P582" si="158">IF($I519&gt;$B$23,0,1)*IF($I519&lt;($B$23-$B$21),0,1)*$L519</f>
        <v>0</v>
      </c>
      <c r="R519">
        <f t="shared" ref="R519:R582" si="159">$I519</f>
        <v>5.1249999999999352</v>
      </c>
      <c r="S519">
        <f t="shared" ref="S519:S582" si="160">IF($I519&lt;$B$23+0.01,$B$10*EXP(-$B$10*($I519-$B$8))/(1-EXP(-$B$10*($B$23-$B$8))),0)</f>
        <v>5.0577612853113717E-5</v>
      </c>
      <c r="T519">
        <f t="shared" si="147"/>
        <v>2.4367549376357112E-5</v>
      </c>
      <c r="U519" s="1">
        <f t="shared" ref="U519:U582" si="161">T519*$B$18/$W$4</f>
        <v>0.20208227680389323</v>
      </c>
      <c r="V519">
        <f t="shared" ref="V519:V582" si="162">10^(1.5*$I519+16.05)</f>
        <v>5.4638654988173807E+23</v>
      </c>
      <c r="W519">
        <f t="shared" si="148"/>
        <v>2.7634927388067053E+17</v>
      </c>
      <c r="Y519">
        <f t="shared" si="149"/>
        <v>5.1249999999999352</v>
      </c>
      <c r="Z519">
        <f t="shared" ref="Z519:Z582" si="163">IF(AND($Y519&lt;$B$9+$B$27*$B$28,$Y519&gt;$B$9-$B$27*$B$28),NORMDIST($Y519,$B$9,$B$27,0) / (2*NORMDIST($B$28,0,1,1)-1),0)</f>
        <v>0</v>
      </c>
      <c r="AA519">
        <f t="shared" si="150"/>
        <v>0</v>
      </c>
      <c r="AB519">
        <f t="shared" si="151"/>
        <v>1.0000235668946658</v>
      </c>
      <c r="AC519" s="1">
        <f t="shared" ref="AC519:AC582" si="164">$AB519*$B$18/$AA$4</f>
        <v>7.4493433161470389E-3</v>
      </c>
    </row>
    <row r="520" spans="9:29" x14ac:dyDescent="0.2">
      <c r="I520">
        <f t="shared" si="152"/>
        <v>5.1349999999999349</v>
      </c>
      <c r="J520">
        <f t="shared" si="153"/>
        <v>4.9539949097708453E-5</v>
      </c>
      <c r="K520">
        <f t="shared" ref="K520:K583" si="165">$J520*K$4+K521</f>
        <v>3.0237746422161691E-5</v>
      </c>
      <c r="L520">
        <f t="shared" si="154"/>
        <v>2.8019188696477819E+19</v>
      </c>
      <c r="M520">
        <f t="shared" si="155"/>
        <v>3.2332931328223194E-2</v>
      </c>
      <c r="N520">
        <f t="shared" si="156"/>
        <v>0</v>
      </c>
      <c r="O520">
        <f t="shared" si="157"/>
        <v>0</v>
      </c>
      <c r="P520">
        <f t="shared" si="158"/>
        <v>0</v>
      </c>
      <c r="R520">
        <f t="shared" si="159"/>
        <v>5.1349999999999349</v>
      </c>
      <c r="S520">
        <f t="shared" si="160"/>
        <v>4.9540265275503221E-5</v>
      </c>
      <c r="T520">
        <f t="shared" ref="T520:T583" si="166">T521+$S520*0.01</f>
        <v>2.3861773247825976E-5</v>
      </c>
      <c r="U520" s="1">
        <f t="shared" si="161"/>
        <v>0.19788782991766679</v>
      </c>
      <c r="V520">
        <f t="shared" si="162"/>
        <v>5.6558775708903366E+23</v>
      </c>
      <c r="W520">
        <f t="shared" ref="W520:W583" si="167">$S520*$V520*0.01</f>
        <v>2.8019367522767606E+17</v>
      </c>
      <c r="Y520">
        <f t="shared" ref="Y520:Y583" si="168">I520</f>
        <v>5.1349999999999349</v>
      </c>
      <c r="Z520">
        <f t="shared" si="163"/>
        <v>0</v>
      </c>
      <c r="AA520">
        <f t="shared" ref="AA520:AA583" si="169">$V520*$Z520*$K$4</f>
        <v>0</v>
      </c>
      <c r="AB520">
        <f t="shared" ref="AB520:AB583" si="170">Z520*$K$4+AB521</f>
        <v>1.0000235668946658</v>
      </c>
      <c r="AC520" s="1">
        <f t="shared" si="164"/>
        <v>7.4493433161470389E-3</v>
      </c>
    </row>
    <row r="521" spans="9:29" x14ac:dyDescent="0.2">
      <c r="I521">
        <f t="shared" si="152"/>
        <v>5.1449999999999347</v>
      </c>
      <c r="J521">
        <f t="shared" si="153"/>
        <v>4.8523884018862171E-5</v>
      </c>
      <c r="K521">
        <f t="shared" si="165"/>
        <v>2.9742346931184607E-5</v>
      </c>
      <c r="L521">
        <f t="shared" si="154"/>
        <v>2.8408974438463144E+19</v>
      </c>
      <c r="M521">
        <f t="shared" si="155"/>
        <v>3.1803205418819473E-2</v>
      </c>
      <c r="N521">
        <f t="shared" si="156"/>
        <v>0</v>
      </c>
      <c r="O521">
        <f t="shared" si="157"/>
        <v>0</v>
      </c>
      <c r="P521">
        <f t="shared" si="158"/>
        <v>0</v>
      </c>
      <c r="R521">
        <f t="shared" si="159"/>
        <v>5.1449999999999347</v>
      </c>
      <c r="S521">
        <f t="shared" si="160"/>
        <v>4.852419371184575E-5</v>
      </c>
      <c r="T521">
        <f t="shared" si="166"/>
        <v>2.3366370595070944E-5</v>
      </c>
      <c r="U521" s="1">
        <f t="shared" si="161"/>
        <v>0.19377941119827927</v>
      </c>
      <c r="V521">
        <f t="shared" si="162"/>
        <v>5.8546373632044845E+23</v>
      </c>
      <c r="W521">
        <f t="shared" si="167"/>
        <v>2.8409155752474422E+17</v>
      </c>
      <c r="Y521">
        <f t="shared" si="168"/>
        <v>5.1449999999999347</v>
      </c>
      <c r="Z521">
        <f t="shared" si="163"/>
        <v>0</v>
      </c>
      <c r="AA521">
        <f t="shared" si="169"/>
        <v>0</v>
      </c>
      <c r="AB521">
        <f t="shared" si="170"/>
        <v>1.0000235668946658</v>
      </c>
      <c r="AC521" s="1">
        <f t="shared" si="164"/>
        <v>7.4493433161470389E-3</v>
      </c>
    </row>
    <row r="522" spans="9:29" x14ac:dyDescent="0.2">
      <c r="I522">
        <f t="shared" si="152"/>
        <v>5.1549999999999345</v>
      </c>
      <c r="J522">
        <f t="shared" si="153"/>
        <v>4.7528658449608662E-5</v>
      </c>
      <c r="K522">
        <f t="shared" si="165"/>
        <v>2.9257108090995987E-5</v>
      </c>
      <c r="L522">
        <f t="shared" si="154"/>
        <v>2.8804182640260043E+19</v>
      </c>
      <c r="M522">
        <f t="shared" si="155"/>
        <v>3.1284344195547008E-2</v>
      </c>
      <c r="N522">
        <f t="shared" si="156"/>
        <v>0</v>
      </c>
      <c r="O522">
        <f t="shared" si="157"/>
        <v>0</v>
      </c>
      <c r="P522">
        <f t="shared" si="158"/>
        <v>0</v>
      </c>
      <c r="R522">
        <f t="shared" si="159"/>
        <v>5.1549999999999345</v>
      </c>
      <c r="S522">
        <f t="shared" si="160"/>
        <v>4.7528961790784625E-5</v>
      </c>
      <c r="T522">
        <f t="shared" si="166"/>
        <v>2.2881128657952486E-5</v>
      </c>
      <c r="U522" s="1">
        <f t="shared" si="161"/>
        <v>0.18975525620677353</v>
      </c>
      <c r="V522">
        <f t="shared" si="162"/>
        <v>6.0603820052693298E+23</v>
      </c>
      <c r="W522">
        <f t="shared" si="167"/>
        <v>2.8804366476600467E+17</v>
      </c>
      <c r="Y522">
        <f t="shared" si="168"/>
        <v>5.1549999999999345</v>
      </c>
      <c r="Z522">
        <f t="shared" si="163"/>
        <v>0</v>
      </c>
      <c r="AA522">
        <f t="shared" si="169"/>
        <v>0</v>
      </c>
      <c r="AB522">
        <f t="shared" si="170"/>
        <v>1.0000235668946658</v>
      </c>
      <c r="AC522" s="1">
        <f t="shared" si="164"/>
        <v>7.4493433161470389E-3</v>
      </c>
    </row>
    <row r="523" spans="9:29" x14ac:dyDescent="0.2">
      <c r="I523">
        <f t="shared" si="152"/>
        <v>5.1649999999999343</v>
      </c>
      <c r="J523">
        <f t="shared" si="153"/>
        <v>4.6553844971302257E-5</v>
      </c>
      <c r="K523">
        <f t="shared" si="165"/>
        <v>2.8781821506499902E-5</v>
      </c>
      <c r="L523">
        <f t="shared" si="154"/>
        <v>2.9204888735798272E+19</v>
      </c>
      <c r="M523">
        <f t="shared" si="155"/>
        <v>3.0776124823534725E-2</v>
      </c>
      <c r="N523">
        <f t="shared" si="156"/>
        <v>0</v>
      </c>
      <c r="O523">
        <f t="shared" si="157"/>
        <v>0</v>
      </c>
      <c r="P523">
        <f t="shared" si="158"/>
        <v>0</v>
      </c>
      <c r="R523">
        <f t="shared" si="159"/>
        <v>5.1649999999999343</v>
      </c>
      <c r="S523">
        <f t="shared" si="160"/>
        <v>4.6554142090946277E-5</v>
      </c>
      <c r="T523">
        <f t="shared" si="166"/>
        <v>2.2405839040044639E-5</v>
      </c>
      <c r="U523" s="1">
        <f t="shared" si="161"/>
        <v>0.18581363669286127</v>
      </c>
      <c r="V523">
        <f t="shared" si="162"/>
        <v>6.2733569598389546E+23</v>
      </c>
      <c r="W523">
        <f t="shared" si="167"/>
        <v>2.9205075129556941E+17</v>
      </c>
      <c r="Y523">
        <f t="shared" si="168"/>
        <v>5.1649999999999343</v>
      </c>
      <c r="Z523">
        <f t="shared" si="163"/>
        <v>0</v>
      </c>
      <c r="AA523">
        <f t="shared" si="169"/>
        <v>0</v>
      </c>
      <c r="AB523">
        <f t="shared" si="170"/>
        <v>1.0000235668946658</v>
      </c>
      <c r="AC523" s="1">
        <f t="shared" si="164"/>
        <v>7.4493433161470389E-3</v>
      </c>
    </row>
    <row r="524" spans="9:29" x14ac:dyDescent="0.2">
      <c r="I524">
        <f t="shared" si="152"/>
        <v>5.1749999999999341</v>
      </c>
      <c r="J524">
        <f t="shared" si="153"/>
        <v>4.5599024931659718E-5</v>
      </c>
      <c r="K524">
        <f t="shared" si="165"/>
        <v>2.831628305678688E-5</v>
      </c>
      <c r="L524">
        <f t="shared" si="154"/>
        <v>2.9611169208399004E+19</v>
      </c>
      <c r="M524">
        <f t="shared" si="155"/>
        <v>3.0278329038257994E-2</v>
      </c>
      <c r="N524">
        <f t="shared" si="156"/>
        <v>0</v>
      </c>
      <c r="O524">
        <f t="shared" si="157"/>
        <v>0</v>
      </c>
      <c r="P524">
        <f t="shared" si="158"/>
        <v>0</v>
      </c>
      <c r="R524">
        <f t="shared" si="159"/>
        <v>5.1749999999999341</v>
      </c>
      <c r="S524">
        <f t="shared" si="160"/>
        <v>4.5599315957375506E-5</v>
      </c>
      <c r="T524">
        <f t="shared" si="166"/>
        <v>2.1940297619135178E-5</v>
      </c>
      <c r="U524" s="1">
        <f t="shared" si="161"/>
        <v>0.18195285985269269</v>
      </c>
      <c r="V524">
        <f t="shared" si="162"/>
        <v>6.4938163157606825E+23</v>
      </c>
      <c r="W524">
        <f t="shared" si="167"/>
        <v>2.9611358195153152E+17</v>
      </c>
      <c r="Y524">
        <f t="shared" si="168"/>
        <v>5.1749999999999341</v>
      </c>
      <c r="Z524">
        <f t="shared" si="163"/>
        <v>0</v>
      </c>
      <c r="AA524">
        <f t="shared" si="169"/>
        <v>0</v>
      </c>
      <c r="AB524">
        <f t="shared" si="170"/>
        <v>1.0000235668946658</v>
      </c>
      <c r="AC524" s="1">
        <f t="shared" si="164"/>
        <v>7.4493433161470389E-3</v>
      </c>
    </row>
    <row r="525" spans="9:29" x14ac:dyDescent="0.2">
      <c r="I525">
        <f t="shared" si="152"/>
        <v>5.1849999999999339</v>
      </c>
      <c r="J525">
        <f t="shared" si="153"/>
        <v>4.4663788264962305E-5</v>
      </c>
      <c r="K525">
        <f t="shared" si="165"/>
        <v>2.7860292807470284E-5</v>
      </c>
      <c r="L525">
        <f t="shared" si="154"/>
        <v>3.0023101605371138E+19</v>
      </c>
      <c r="M525">
        <f t="shared" si="155"/>
        <v>2.979074305180078E-2</v>
      </c>
      <c r="N525">
        <f t="shared" si="156"/>
        <v>0</v>
      </c>
      <c r="O525">
        <f t="shared" si="157"/>
        <v>0</v>
      </c>
      <c r="P525">
        <f t="shared" si="158"/>
        <v>0</v>
      </c>
      <c r="R525">
        <f t="shared" si="159"/>
        <v>5.1849999999999339</v>
      </c>
      <c r="S525">
        <f t="shared" si="160"/>
        <v>4.4664073321736416E-5</v>
      </c>
      <c r="T525">
        <f t="shared" si="166"/>
        <v>2.1484304459561423E-5</v>
      </c>
      <c r="U525" s="1">
        <f t="shared" si="161"/>
        <v>0.17817126760184973</v>
      </c>
      <c r="V525">
        <f t="shared" si="162"/>
        <v>6.7220230911141849E+23</v>
      </c>
      <c r="W525">
        <f t="shared" si="167"/>
        <v>3.0023293221192922E+17</v>
      </c>
      <c r="Y525">
        <f t="shared" si="168"/>
        <v>5.1849999999999339</v>
      </c>
      <c r="Z525">
        <f t="shared" si="163"/>
        <v>0</v>
      </c>
      <c r="AA525">
        <f t="shared" si="169"/>
        <v>0</v>
      </c>
      <c r="AB525">
        <f t="shared" si="170"/>
        <v>1.0000235668946658</v>
      </c>
      <c r="AC525" s="1">
        <f t="shared" si="164"/>
        <v>7.4493433161470389E-3</v>
      </c>
    </row>
    <row r="526" spans="9:29" x14ac:dyDescent="0.2">
      <c r="I526">
        <f t="shared" si="152"/>
        <v>5.1949999999999337</v>
      </c>
      <c r="J526">
        <f t="shared" si="153"/>
        <v>4.3747733315945178E-5</v>
      </c>
      <c r="K526">
        <f t="shared" si="165"/>
        <v>2.7413654924820661E-5</v>
      </c>
      <c r="L526">
        <f t="shared" si="154"/>
        <v>3.0440764552814993E+19</v>
      </c>
      <c r="M526">
        <f t="shared" si="155"/>
        <v>2.9313157461040313E-2</v>
      </c>
      <c r="N526">
        <f t="shared" si="156"/>
        <v>0</v>
      </c>
      <c r="O526">
        <f t="shared" si="157"/>
        <v>0</v>
      </c>
      <c r="P526">
        <f t="shared" si="158"/>
        <v>0</v>
      </c>
      <c r="R526">
        <f t="shared" si="159"/>
        <v>5.1949999999999337</v>
      </c>
      <c r="S526">
        <f t="shared" si="160"/>
        <v>4.3748012526200694E-5</v>
      </c>
      <c r="T526">
        <f t="shared" si="166"/>
        <v>2.103766372634406E-5</v>
      </c>
      <c r="U526" s="1">
        <f t="shared" si="161"/>
        <v>0.17446723586324991</v>
      </c>
      <c r="V526">
        <f t="shared" si="162"/>
        <v>6.9582495470045169E+23</v>
      </c>
      <c r="W526">
        <f t="shared" si="167"/>
        <v>3.0440958834278394E+17</v>
      </c>
      <c r="Y526">
        <f t="shared" si="168"/>
        <v>5.1949999999999337</v>
      </c>
      <c r="Z526">
        <f t="shared" si="163"/>
        <v>0</v>
      </c>
      <c r="AA526">
        <f t="shared" si="169"/>
        <v>0</v>
      </c>
      <c r="AB526">
        <f t="shared" si="170"/>
        <v>1.0000235668946658</v>
      </c>
      <c r="AC526" s="1">
        <f t="shared" si="164"/>
        <v>7.4493433161470389E-3</v>
      </c>
    </row>
    <row r="527" spans="9:29" x14ac:dyDescent="0.2">
      <c r="I527">
        <f t="shared" si="152"/>
        <v>5.2049999999999335</v>
      </c>
      <c r="J527">
        <f t="shared" si="153"/>
        <v>4.2850466667298756E-5</v>
      </c>
      <c r="K527">
        <f t="shared" si="165"/>
        <v>2.6976177591661209E-5</v>
      </c>
      <c r="L527">
        <f t="shared" si="154"/>
        <v>3.0864237770628612E+19</v>
      </c>
      <c r="M527">
        <f t="shared" si="155"/>
        <v>2.8845367157714939E-2</v>
      </c>
      <c r="N527">
        <f t="shared" si="156"/>
        <v>0</v>
      </c>
      <c r="O527">
        <f t="shared" si="157"/>
        <v>0</v>
      </c>
      <c r="P527">
        <f t="shared" si="158"/>
        <v>0</v>
      </c>
      <c r="R527">
        <f t="shared" si="159"/>
        <v>5.2049999999999335</v>
      </c>
      <c r="S527">
        <f t="shared" si="160"/>
        <v>4.2850740150947853E-5</v>
      </c>
      <c r="T527">
        <f t="shared" si="166"/>
        <v>2.0600183601082054E-5</v>
      </c>
      <c r="U527" s="1">
        <f t="shared" si="161"/>
        <v>0.17083917386965541</v>
      </c>
      <c r="V527">
        <f t="shared" si="162"/>
        <v>7.2027775123818178E+23</v>
      </c>
      <c r="W527">
        <f t="shared" si="167"/>
        <v>3.0864434754816384E+17</v>
      </c>
      <c r="Y527">
        <f t="shared" si="168"/>
        <v>5.2049999999999335</v>
      </c>
      <c r="Z527">
        <f t="shared" si="163"/>
        <v>0</v>
      </c>
      <c r="AA527">
        <f t="shared" si="169"/>
        <v>0</v>
      </c>
      <c r="AB527">
        <f t="shared" si="170"/>
        <v>1.0000235668946658</v>
      </c>
      <c r="AC527" s="1">
        <f t="shared" si="164"/>
        <v>7.4493433161470389E-3</v>
      </c>
    </row>
    <row r="528" spans="9:29" x14ac:dyDescent="0.2">
      <c r="I528">
        <f t="shared" si="152"/>
        <v>5.2149999999999332</v>
      </c>
      <c r="J528">
        <f t="shared" si="153"/>
        <v>4.1971602970708426E-5</v>
      </c>
      <c r="K528">
        <f t="shared" si="165"/>
        <v>2.6547672924988222E-5</v>
      </c>
      <c r="L528">
        <f t="shared" si="154"/>
        <v>3.1293602087724433E+19</v>
      </c>
      <c r="M528">
        <f t="shared" si="155"/>
        <v>2.8387171240336437E-2</v>
      </c>
      <c r="N528">
        <f t="shared" si="156"/>
        <v>0</v>
      </c>
      <c r="O528">
        <f t="shared" si="157"/>
        <v>0</v>
      </c>
      <c r="P528">
        <f t="shared" si="158"/>
        <v>0</v>
      </c>
      <c r="R528">
        <f t="shared" si="159"/>
        <v>5.2149999999999332</v>
      </c>
      <c r="S528">
        <f t="shared" si="160"/>
        <v>4.1971870845203893E-5</v>
      </c>
      <c r="T528">
        <f t="shared" si="166"/>
        <v>2.0171676199572577E-5</v>
      </c>
      <c r="U528" s="1">
        <f t="shared" si="161"/>
        <v>0.1672855234804877</v>
      </c>
      <c r="V528">
        <f t="shared" si="162"/>
        <v>7.4558987202761669E+23</v>
      </c>
      <c r="W528">
        <f t="shared" si="167"/>
        <v>3.1293801812235226E+17</v>
      </c>
      <c r="Y528">
        <f t="shared" si="168"/>
        <v>5.2149999999999332</v>
      </c>
      <c r="Z528">
        <f t="shared" si="163"/>
        <v>0</v>
      </c>
      <c r="AA528">
        <f t="shared" si="169"/>
        <v>0</v>
      </c>
      <c r="AB528">
        <f t="shared" si="170"/>
        <v>1.0000235668946658</v>
      </c>
      <c r="AC528" s="1">
        <f t="shared" si="164"/>
        <v>7.4493433161470389E-3</v>
      </c>
    </row>
    <row r="529" spans="9:29" x14ac:dyDescent="0.2">
      <c r="I529">
        <f t="shared" si="152"/>
        <v>5.224999999999933</v>
      </c>
      <c r="J529">
        <f t="shared" si="153"/>
        <v>4.1110764781358933E-5</v>
      </c>
      <c r="K529">
        <f t="shared" si="165"/>
        <v>2.6127956895281137E-5</v>
      </c>
      <c r="L529">
        <f t="shared" si="154"/>
        <v>3.1728939457456726E+19</v>
      </c>
      <c r="M529">
        <f t="shared" si="155"/>
        <v>2.7938372927909044E-2</v>
      </c>
      <c r="N529">
        <f t="shared" si="156"/>
        <v>0</v>
      </c>
      <c r="O529">
        <f t="shared" si="157"/>
        <v>0</v>
      </c>
      <c r="P529">
        <f t="shared" si="158"/>
        <v>0</v>
      </c>
      <c r="R529">
        <f t="shared" si="159"/>
        <v>5.224999999999933</v>
      </c>
      <c r="S529">
        <f t="shared" si="160"/>
        <v>4.1111027161744587E-5</v>
      </c>
      <c r="T529">
        <f t="shared" si="166"/>
        <v>1.9751957491120537E-5</v>
      </c>
      <c r="U529" s="1">
        <f t="shared" si="161"/>
        <v>0.16380475851265414</v>
      </c>
      <c r="V529">
        <f t="shared" si="162"/>
        <v>7.7179151558483635E+23</v>
      </c>
      <c r="W529">
        <f t="shared" si="167"/>
        <v>3.172914196041223E+17</v>
      </c>
      <c r="Y529">
        <f t="shared" si="168"/>
        <v>5.224999999999933</v>
      </c>
      <c r="Z529">
        <f t="shared" si="163"/>
        <v>0</v>
      </c>
      <c r="AA529">
        <f t="shared" si="169"/>
        <v>0</v>
      </c>
      <c r="AB529">
        <f t="shared" si="170"/>
        <v>1.0000235668946658</v>
      </c>
      <c r="AC529" s="1">
        <f t="shared" si="164"/>
        <v>7.4493433161470389E-3</v>
      </c>
    </row>
    <row r="530" spans="9:29" x14ac:dyDescent="0.2">
      <c r="I530">
        <f t="shared" si="152"/>
        <v>5.2349999999999328</v>
      </c>
      <c r="J530">
        <f t="shared" si="153"/>
        <v>4.0267582395833741E-5</v>
      </c>
      <c r="K530">
        <f t="shared" si="165"/>
        <v>2.5716849247467548E-5</v>
      </c>
      <c r="L530">
        <f t="shared" si="154"/>
        <v>3.21703329732654E+19</v>
      </c>
      <c r="M530">
        <f t="shared" si="155"/>
        <v>2.7498779475418084E-2</v>
      </c>
      <c r="N530">
        <f t="shared" si="156"/>
        <v>0</v>
      </c>
      <c r="O530">
        <f t="shared" si="157"/>
        <v>0</v>
      </c>
      <c r="P530">
        <f t="shared" si="158"/>
        <v>0</v>
      </c>
      <c r="R530">
        <f t="shared" si="159"/>
        <v>5.2349999999999328</v>
      </c>
      <c r="S530">
        <f t="shared" si="160"/>
        <v>4.0267839394793858E-5</v>
      </c>
      <c r="T530">
        <f t="shared" si="166"/>
        <v>1.9340847219503091E-5</v>
      </c>
      <c r="U530" s="1">
        <f t="shared" si="161"/>
        <v>0.16039538408509979</v>
      </c>
      <c r="V530">
        <f t="shared" si="162"/>
        <v>7.989139416672276E+23</v>
      </c>
      <c r="W530">
        <f t="shared" si="167"/>
        <v>3.2170538293317632E+17</v>
      </c>
      <c r="Y530">
        <f t="shared" si="168"/>
        <v>5.2349999999999328</v>
      </c>
      <c r="Z530">
        <f t="shared" si="163"/>
        <v>0</v>
      </c>
      <c r="AA530">
        <f t="shared" si="169"/>
        <v>0</v>
      </c>
      <c r="AB530">
        <f t="shared" si="170"/>
        <v>1.0000235668946658</v>
      </c>
      <c r="AC530" s="1">
        <f t="shared" si="164"/>
        <v>7.4493433161470389E-3</v>
      </c>
    </row>
    <row r="531" spans="9:29" x14ac:dyDescent="0.2">
      <c r="I531">
        <f t="shared" si="152"/>
        <v>5.2449999999999326</v>
      </c>
      <c r="J531">
        <f t="shared" si="153"/>
        <v>3.9441693693338812E-5</v>
      </c>
      <c r="K531">
        <f t="shared" si="165"/>
        <v>2.5314173423509211E-5</v>
      </c>
      <c r="L531">
        <f t="shared" si="154"/>
        <v>3.2617866884533707E+19</v>
      </c>
      <c r="M531">
        <f t="shared" si="155"/>
        <v>2.7068202091051961E-2</v>
      </c>
      <c r="N531">
        <f t="shared" si="156"/>
        <v>0</v>
      </c>
      <c r="O531">
        <f t="shared" si="157"/>
        <v>0</v>
      </c>
      <c r="P531">
        <f t="shared" si="158"/>
        <v>0</v>
      </c>
      <c r="R531">
        <f t="shared" si="159"/>
        <v>5.2449999999999326</v>
      </c>
      <c r="S531">
        <f t="shared" si="160"/>
        <v>3.9441945421246502E-5</v>
      </c>
      <c r="T531">
        <f t="shared" si="166"/>
        <v>1.8938168825555153E-5</v>
      </c>
      <c r="U531" s="1">
        <f t="shared" si="161"/>
        <v>0.15705593597680176</v>
      </c>
      <c r="V531">
        <f t="shared" si="162"/>
        <v>8.2698950856774288E+23</v>
      </c>
      <c r="W531">
        <f t="shared" si="167"/>
        <v>3.2618075060872384E+17</v>
      </c>
      <c r="Y531">
        <f t="shared" si="168"/>
        <v>5.2449999999999326</v>
      </c>
      <c r="Z531">
        <f t="shared" si="163"/>
        <v>0</v>
      </c>
      <c r="AA531">
        <f t="shared" si="169"/>
        <v>0</v>
      </c>
      <c r="AB531">
        <f t="shared" si="170"/>
        <v>1.0000235668946658</v>
      </c>
      <c r="AC531" s="1">
        <f t="shared" si="164"/>
        <v>7.4493433161470389E-3</v>
      </c>
    </row>
    <row r="532" spans="9:29" x14ac:dyDescent="0.2">
      <c r="I532">
        <f t="shared" si="152"/>
        <v>5.2549999999999324</v>
      </c>
      <c r="J532">
        <f t="shared" si="153"/>
        <v>3.8632743980182764E-5</v>
      </c>
      <c r="K532">
        <f t="shared" si="165"/>
        <v>2.4919756486575825E-5</v>
      </c>
      <c r="L532">
        <f t="shared" si="154"/>
        <v>3.3071626612672078E+19</v>
      </c>
      <c r="M532">
        <f t="shared" si="155"/>
        <v>2.6646455855121865E-2</v>
      </c>
      <c r="N532">
        <f t="shared" si="156"/>
        <v>0</v>
      </c>
      <c r="O532">
        <f t="shared" si="157"/>
        <v>0</v>
      </c>
      <c r="P532">
        <f t="shared" si="158"/>
        <v>0</v>
      </c>
      <c r="R532">
        <f t="shared" si="159"/>
        <v>5.2549999999999324</v>
      </c>
      <c r="S532">
        <f t="shared" si="160"/>
        <v>3.863299054514739E-5</v>
      </c>
      <c r="T532">
        <f t="shared" si="166"/>
        <v>1.8543749371342687E-5</v>
      </c>
      <c r="U532" s="1">
        <f t="shared" si="161"/>
        <v>0.15378497999793181</v>
      </c>
      <c r="V532">
        <f t="shared" si="162"/>
        <v>8.5605171171989901E+23</v>
      </c>
      <c r="W532">
        <f t="shared" si="167"/>
        <v>3.3071837685032096E+17</v>
      </c>
      <c r="Y532">
        <f t="shared" si="168"/>
        <v>5.2549999999999324</v>
      </c>
      <c r="Z532">
        <f t="shared" si="163"/>
        <v>0</v>
      </c>
      <c r="AA532">
        <f t="shared" si="169"/>
        <v>0</v>
      </c>
      <c r="AB532">
        <f t="shared" si="170"/>
        <v>1.0000235668946658</v>
      </c>
      <c r="AC532" s="1">
        <f t="shared" si="164"/>
        <v>7.4493433161470389E-3</v>
      </c>
    </row>
    <row r="533" spans="9:29" x14ac:dyDescent="0.2">
      <c r="I533">
        <f t="shared" si="152"/>
        <v>5.2649999999999322</v>
      </c>
      <c r="J533">
        <f t="shared" si="153"/>
        <v>3.7840385837447241E-5</v>
      </c>
      <c r="K533">
        <f t="shared" si="165"/>
        <v>2.4533429046773997E-5</v>
      </c>
      <c r="L533">
        <f t="shared" si="154"/>
        <v>3.3531698767420412E+19</v>
      </c>
      <c r="M533">
        <f t="shared" si="155"/>
        <v>2.6233359640644525E-2</v>
      </c>
      <c r="N533">
        <f t="shared" si="156"/>
        <v>0</v>
      </c>
      <c r="O533">
        <f t="shared" si="157"/>
        <v>0</v>
      </c>
      <c r="P533">
        <f t="shared" si="158"/>
        <v>0</v>
      </c>
      <c r="R533">
        <f t="shared" si="159"/>
        <v>5.2649999999999322</v>
      </c>
      <c r="S533">
        <f t="shared" si="160"/>
        <v>3.7840627345360857E-5</v>
      </c>
      <c r="T533">
        <f t="shared" si="166"/>
        <v>1.8157419465891213E-5</v>
      </c>
      <c r="U533" s="1">
        <f t="shared" si="161"/>
        <v>0.150581111373916</v>
      </c>
      <c r="V533">
        <f t="shared" si="162"/>
        <v>8.8613522365929714E+23</v>
      </c>
      <c r="W533">
        <f t="shared" si="167"/>
        <v>3.3531912776089459E+17</v>
      </c>
      <c r="Y533">
        <f t="shared" si="168"/>
        <v>5.2649999999999322</v>
      </c>
      <c r="Z533">
        <f t="shared" si="163"/>
        <v>0</v>
      </c>
      <c r="AA533">
        <f t="shared" si="169"/>
        <v>0</v>
      </c>
      <c r="AB533">
        <f t="shared" si="170"/>
        <v>1.0000235668946658</v>
      </c>
      <c r="AC533" s="1">
        <f t="shared" si="164"/>
        <v>7.4493433161470389E-3</v>
      </c>
    </row>
    <row r="534" spans="9:29" x14ac:dyDescent="0.2">
      <c r="I534">
        <f t="shared" si="152"/>
        <v>5.274999999999932</v>
      </c>
      <c r="J534">
        <f t="shared" si="153"/>
        <v>3.7064278971780765E-5</v>
      </c>
      <c r="K534">
        <f t="shared" si="165"/>
        <v>2.4155025188399525E-5</v>
      </c>
      <c r="L534">
        <f t="shared" si="154"/>
        <v>3.3998171163380154E+19</v>
      </c>
      <c r="M534">
        <f t="shared" si="155"/>
        <v>2.5828736035553725E-2</v>
      </c>
      <c r="N534">
        <f t="shared" si="156"/>
        <v>0</v>
      </c>
      <c r="O534">
        <f t="shared" si="157"/>
        <v>0</v>
      </c>
      <c r="P534">
        <f t="shared" si="158"/>
        <v>0</v>
      </c>
      <c r="R534">
        <f t="shared" si="159"/>
        <v>5.274999999999932</v>
      </c>
      <c r="S534">
        <f t="shared" si="160"/>
        <v>3.7064515526363544E-5</v>
      </c>
      <c r="T534">
        <f t="shared" si="166"/>
        <v>1.7779013192437604E-5</v>
      </c>
      <c r="U534" s="1">
        <f t="shared" si="161"/>
        <v>0.14744295414212735</v>
      </c>
      <c r="V534">
        <f t="shared" si="162"/>
        <v>9.1727593538956956E+23</v>
      </c>
      <c r="W534">
        <f t="shared" si="167"/>
        <v>3.3998388149206342E+17</v>
      </c>
      <c r="Y534">
        <f t="shared" si="168"/>
        <v>5.274999999999932</v>
      </c>
      <c r="Z534">
        <f t="shared" si="163"/>
        <v>0</v>
      </c>
      <c r="AA534">
        <f t="shared" si="169"/>
        <v>0</v>
      </c>
      <c r="AB534">
        <f t="shared" si="170"/>
        <v>1.0000235668946658</v>
      </c>
      <c r="AC534" s="1">
        <f t="shared" si="164"/>
        <v>7.4493433161470389E-3</v>
      </c>
    </row>
    <row r="535" spans="9:29" x14ac:dyDescent="0.2">
      <c r="I535">
        <f t="shared" si="152"/>
        <v>5.2849999999999318</v>
      </c>
      <c r="J535">
        <f t="shared" si="153"/>
        <v>3.6304090069253512E-5</v>
      </c>
      <c r="K535">
        <f t="shared" si="165"/>
        <v>2.3784382398681718E-5</v>
      </c>
      <c r="L535">
        <f t="shared" si="154"/>
        <v>3.4471132836775608E+19</v>
      </c>
      <c r="M535">
        <f t="shared" si="155"/>
        <v>2.5432411266507318E-2</v>
      </c>
      <c r="N535">
        <f t="shared" si="156"/>
        <v>0</v>
      </c>
      <c r="O535">
        <f t="shared" si="157"/>
        <v>0</v>
      </c>
      <c r="P535">
        <f t="shared" si="158"/>
        <v>0</v>
      </c>
      <c r="R535">
        <f t="shared" si="159"/>
        <v>5.2849999999999318</v>
      </c>
      <c r="S535">
        <f t="shared" si="160"/>
        <v>3.6304321772098343E-5</v>
      </c>
      <c r="T535">
        <f t="shared" si="166"/>
        <v>1.7408368037173969E-5</v>
      </c>
      <c r="U535" s="1">
        <f t="shared" si="161"/>
        <v>0.1443691605609525</v>
      </c>
      <c r="V535">
        <f t="shared" si="162"/>
        <v>9.4951099920198072E+23</v>
      </c>
      <c r="W535">
        <f t="shared" si="167"/>
        <v>3.4471352841175322E+17</v>
      </c>
      <c r="Y535">
        <f t="shared" si="168"/>
        <v>5.2849999999999318</v>
      </c>
      <c r="Z535">
        <f t="shared" si="163"/>
        <v>0</v>
      </c>
      <c r="AA535">
        <f t="shared" si="169"/>
        <v>0</v>
      </c>
      <c r="AB535">
        <f t="shared" si="170"/>
        <v>1.0000235668946658</v>
      </c>
      <c r="AC535" s="1">
        <f t="shared" si="164"/>
        <v>7.4493433161470389E-3</v>
      </c>
    </row>
    <row r="536" spans="9:29" x14ac:dyDescent="0.2">
      <c r="I536">
        <f t="shared" si="152"/>
        <v>5.2949999999999315</v>
      </c>
      <c r="J536">
        <f t="shared" si="153"/>
        <v>3.5559492652209232E-5</v>
      </c>
      <c r="K536">
        <f t="shared" si="165"/>
        <v>2.3421341497989183E-5</v>
      </c>
      <c r="L536">
        <f t="shared" si="154"/>
        <v>3.4950674062448574E+19</v>
      </c>
      <c r="M536">
        <f t="shared" si="155"/>
        <v>2.5044215124256954E-2</v>
      </c>
      <c r="N536">
        <f t="shared" si="156"/>
        <v>0</v>
      </c>
      <c r="O536">
        <f t="shared" si="157"/>
        <v>0</v>
      </c>
      <c r="P536">
        <f t="shared" si="158"/>
        <v>0</v>
      </c>
      <c r="R536">
        <f t="shared" si="159"/>
        <v>5.2949999999999315</v>
      </c>
      <c r="S536">
        <f t="shared" si="160"/>
        <v>3.5559719602825342E-5</v>
      </c>
      <c r="T536">
        <f t="shared" si="166"/>
        <v>1.7045324819452985E-5</v>
      </c>
      <c r="U536" s="1">
        <f t="shared" si="161"/>
        <v>0.14135841053097817</v>
      </c>
      <c r="V536">
        <f t="shared" si="162"/>
        <v>9.8287887299981391E+23</v>
      </c>
      <c r="W536">
        <f t="shared" si="167"/>
        <v>3.4950897127414362E+17</v>
      </c>
      <c r="Y536">
        <f t="shared" si="168"/>
        <v>5.2949999999999315</v>
      </c>
      <c r="Z536">
        <f t="shared" si="163"/>
        <v>0</v>
      </c>
      <c r="AA536">
        <f t="shared" si="169"/>
        <v>0</v>
      </c>
      <c r="AB536">
        <f t="shared" si="170"/>
        <v>1.0000235668946658</v>
      </c>
      <c r="AC536" s="1">
        <f t="shared" si="164"/>
        <v>7.4493433161470389E-3</v>
      </c>
    </row>
    <row r="537" spans="9:29" x14ac:dyDescent="0.2">
      <c r="I537">
        <f t="shared" si="152"/>
        <v>5.3049999999999313</v>
      </c>
      <c r="J537">
        <f t="shared" si="153"/>
        <v>3.4830166939053127E-5</v>
      </c>
      <c r="K537">
        <f t="shared" si="165"/>
        <v>2.3065746571467093E-5</v>
      </c>
      <c r="L537">
        <f t="shared" si="154"/>
        <v>3.5436886371087966E+19</v>
      </c>
      <c r="M537">
        <f t="shared" si="155"/>
        <v>2.4663980890548429E-2</v>
      </c>
      <c r="N537">
        <f t="shared" si="156"/>
        <v>0</v>
      </c>
      <c r="O537">
        <f t="shared" si="157"/>
        <v>0</v>
      </c>
      <c r="P537">
        <f t="shared" si="158"/>
        <v>0</v>
      </c>
      <c r="R537">
        <f t="shared" si="159"/>
        <v>5.3049999999999313</v>
      </c>
      <c r="S537">
        <f t="shared" si="160"/>
        <v>3.4830389234908787E-5</v>
      </c>
      <c r="T537">
        <f t="shared" si="166"/>
        <v>1.6689727623424731E-5</v>
      </c>
      <c r="U537" s="1">
        <f t="shared" si="161"/>
        <v>0.13840941102804938</v>
      </c>
      <c r="V537">
        <f t="shared" si="162"/>
        <v>1.0174193661803716E+24</v>
      </c>
      <c r="W537">
        <f t="shared" si="167"/>
        <v>3.5437112539196538E+17</v>
      </c>
      <c r="Y537">
        <f t="shared" si="168"/>
        <v>5.3049999999999313</v>
      </c>
      <c r="Z537">
        <f t="shared" si="163"/>
        <v>0</v>
      </c>
      <c r="AA537">
        <f t="shared" si="169"/>
        <v>0</v>
      </c>
      <c r="AB537">
        <f t="shared" si="170"/>
        <v>1.0000235668946658</v>
      </c>
      <c r="AC537" s="1">
        <f t="shared" si="164"/>
        <v>7.4493433161470389E-3</v>
      </c>
    </row>
    <row r="538" spans="9:29" x14ac:dyDescent="0.2">
      <c r="I538">
        <f t="shared" si="152"/>
        <v>5.3149999999999311</v>
      </c>
      <c r="J538">
        <f t="shared" si="153"/>
        <v>3.411579970691572E-5</v>
      </c>
      <c r="K538">
        <f t="shared" si="165"/>
        <v>2.2717444902076561E-5</v>
      </c>
      <c r="L538">
        <f t="shared" si="154"/>
        <v>3.5929862566703071E+19</v>
      </c>
      <c r="M538">
        <f t="shared" si="155"/>
        <v>2.4291545266521376E-2</v>
      </c>
      <c r="N538">
        <f t="shared" si="156"/>
        <v>0</v>
      </c>
      <c r="O538">
        <f t="shared" si="157"/>
        <v>0</v>
      </c>
      <c r="P538">
        <f t="shared" si="158"/>
        <v>0</v>
      </c>
      <c r="R538">
        <f t="shared" si="159"/>
        <v>5.3149999999999311</v>
      </c>
      <c r="S538">
        <f t="shared" si="160"/>
        <v>3.4116017443480135E-5</v>
      </c>
      <c r="T538">
        <f t="shared" si="166"/>
        <v>1.6341423731075643E-5</v>
      </c>
      <c r="U538" s="1">
        <f t="shared" si="161"/>
        <v>0.13552089554795541</v>
      </c>
      <c r="V538">
        <f t="shared" si="162"/>
        <v>1.0531736871294743E+24</v>
      </c>
      <c r="W538">
        <f t="shared" si="167"/>
        <v>3.5930091881123437E+17</v>
      </c>
      <c r="Y538">
        <f t="shared" si="168"/>
        <v>5.3149999999999311</v>
      </c>
      <c r="Z538">
        <f t="shared" si="163"/>
        <v>0</v>
      </c>
      <c r="AA538">
        <f t="shared" si="169"/>
        <v>0</v>
      </c>
      <c r="AB538">
        <f t="shared" si="170"/>
        <v>1.0000235668946658</v>
      </c>
      <c r="AC538" s="1">
        <f t="shared" si="164"/>
        <v>7.4493433161470389E-3</v>
      </c>
    </row>
    <row r="539" spans="9:29" x14ac:dyDescent="0.2">
      <c r="I539">
        <f t="shared" si="152"/>
        <v>5.3249999999999309</v>
      </c>
      <c r="J539">
        <f t="shared" si="153"/>
        <v>3.3416084157133004E-5</v>
      </c>
      <c r="K539">
        <f t="shared" si="165"/>
        <v>2.2376286905007402E-5</v>
      </c>
      <c r="L539">
        <f t="shared" si="154"/>
        <v>3.6429696744334127E+19</v>
      </c>
      <c r="M539">
        <f t="shared" si="155"/>
        <v>2.392674830257744E-2</v>
      </c>
      <c r="N539">
        <f t="shared" si="156"/>
        <v>0</v>
      </c>
      <c r="O539">
        <f t="shared" si="157"/>
        <v>0</v>
      </c>
      <c r="P539">
        <f t="shared" si="158"/>
        <v>0</v>
      </c>
      <c r="R539">
        <f t="shared" si="159"/>
        <v>5.3249999999999309</v>
      </c>
      <c r="S539">
        <f t="shared" si="160"/>
        <v>3.3416297427917303E-5</v>
      </c>
      <c r="T539">
        <f t="shared" si="166"/>
        <v>1.6000263556640843E-5</v>
      </c>
      <c r="U539" s="1">
        <f t="shared" si="161"/>
        <v>0.13269162356250536</v>
      </c>
      <c r="V539">
        <f t="shared" si="162"/>
        <v>1.0901844923848696E+24</v>
      </c>
      <c r="W539">
        <f t="shared" si="167"/>
        <v>3.6429929248835846E+17</v>
      </c>
      <c r="Y539">
        <f t="shared" si="168"/>
        <v>5.3249999999999309</v>
      </c>
      <c r="Z539">
        <f t="shared" si="163"/>
        <v>0</v>
      </c>
      <c r="AA539">
        <f t="shared" si="169"/>
        <v>0</v>
      </c>
      <c r="AB539">
        <f t="shared" si="170"/>
        <v>1.0000235668946658</v>
      </c>
      <c r="AC539" s="1">
        <f t="shared" si="164"/>
        <v>7.4493433161470389E-3</v>
      </c>
    </row>
    <row r="540" spans="9:29" x14ac:dyDescent="0.2">
      <c r="I540">
        <f t="shared" si="152"/>
        <v>5.3349999999999307</v>
      </c>
      <c r="J540">
        <f t="shared" si="153"/>
        <v>3.2730719783486076E-5</v>
      </c>
      <c r="K540">
        <f t="shared" si="165"/>
        <v>2.2042126063436071E-5</v>
      </c>
      <c r="L540">
        <f t="shared" si="154"/>
        <v>3.6936484308014825E+19</v>
      </c>
      <c r="M540">
        <f t="shared" si="155"/>
        <v>2.3569433329686855E-2</v>
      </c>
      <c r="N540">
        <f t="shared" si="156"/>
        <v>0</v>
      </c>
      <c r="O540">
        <f t="shared" si="157"/>
        <v>0</v>
      </c>
      <c r="P540">
        <f t="shared" si="158"/>
        <v>0</v>
      </c>
      <c r="R540">
        <f t="shared" si="159"/>
        <v>5.3349999999999307</v>
      </c>
      <c r="S540">
        <f t="shared" si="160"/>
        <v>3.2730928680083484E-5</v>
      </c>
      <c r="T540">
        <f t="shared" si="166"/>
        <v>1.5666100582361669E-5</v>
      </c>
      <c r="U540" s="1">
        <f t="shared" si="161"/>
        <v>0.12992037998675965</v>
      </c>
      <c r="V540">
        <f t="shared" si="162"/>
        <v>1.1284959375274944E+24</v>
      </c>
      <c r="W540">
        <f t="shared" si="167"/>
        <v>3.6936720046976371E+17</v>
      </c>
      <c r="Y540">
        <f t="shared" si="168"/>
        <v>5.3349999999999307</v>
      </c>
      <c r="Z540">
        <f t="shared" si="163"/>
        <v>0</v>
      </c>
      <c r="AA540">
        <f t="shared" si="169"/>
        <v>0</v>
      </c>
      <c r="AB540">
        <f t="shared" si="170"/>
        <v>1.0000235668946658</v>
      </c>
      <c r="AC540" s="1">
        <f t="shared" si="164"/>
        <v>7.4493433161470389E-3</v>
      </c>
    </row>
    <row r="541" spans="9:29" x14ac:dyDescent="0.2">
      <c r="I541">
        <f t="shared" si="152"/>
        <v>5.3449999999999305</v>
      </c>
      <c r="J541">
        <f t="shared" si="153"/>
        <v>3.2059412243143023E-5</v>
      </c>
      <c r="K541">
        <f t="shared" si="165"/>
        <v>2.1714818865601211E-5</v>
      </c>
      <c r="L541">
        <f t="shared" si="154"/>
        <v>3.7450321988980457E+19</v>
      </c>
      <c r="M541">
        <f t="shared" si="155"/>
        <v>2.3219446892103944E-2</v>
      </c>
      <c r="N541">
        <f t="shared" si="156"/>
        <v>0</v>
      </c>
      <c r="O541">
        <f t="shared" si="157"/>
        <v>0</v>
      </c>
      <c r="P541">
        <f t="shared" si="158"/>
        <v>0</v>
      </c>
      <c r="R541">
        <f t="shared" si="159"/>
        <v>5.3449999999999305</v>
      </c>
      <c r="S541">
        <f t="shared" si="160"/>
        <v>3.2059616855268165E-5</v>
      </c>
      <c r="T541">
        <f t="shared" si="166"/>
        <v>1.5338791295560836E-5</v>
      </c>
      <c r="U541" s="1">
        <f t="shared" si="161"/>
        <v>0.12720597465718853</v>
      </c>
      <c r="V541">
        <f t="shared" si="162"/>
        <v>1.1681537298610477E+24</v>
      </c>
      <c r="W541">
        <f t="shared" si="167"/>
        <v>3.7450561007397619E+17</v>
      </c>
      <c r="Y541">
        <f t="shared" si="168"/>
        <v>5.3449999999999305</v>
      </c>
      <c r="Z541">
        <f t="shared" si="163"/>
        <v>0</v>
      </c>
      <c r="AA541">
        <f t="shared" si="169"/>
        <v>0</v>
      </c>
      <c r="AB541">
        <f t="shared" si="170"/>
        <v>1.0000235668946658</v>
      </c>
      <c r="AC541" s="1">
        <f t="shared" si="164"/>
        <v>7.4493433161470389E-3</v>
      </c>
    </row>
    <row r="542" spans="9:29" x14ac:dyDescent="0.2">
      <c r="I542">
        <f t="shared" si="152"/>
        <v>5.3549999999999303</v>
      </c>
      <c r="J542">
        <f t="shared" si="153"/>
        <v>3.1401873230247585E-5</v>
      </c>
      <c r="K542">
        <f t="shared" si="165"/>
        <v>2.1394224743169779E-5</v>
      </c>
      <c r="L542">
        <f t="shared" si="154"/>
        <v>3.7971307864132231E+19</v>
      </c>
      <c r="M542">
        <f t="shared" si="155"/>
        <v>2.2876638681462617E-2</v>
      </c>
      <c r="N542">
        <f t="shared" si="156"/>
        <v>0</v>
      </c>
      <c r="O542">
        <f t="shared" si="157"/>
        <v>0</v>
      </c>
      <c r="P542">
        <f t="shared" si="158"/>
        <v>0</v>
      </c>
      <c r="R542">
        <f t="shared" si="159"/>
        <v>5.3549999999999303</v>
      </c>
      <c r="S542">
        <f t="shared" si="160"/>
        <v>3.1402073645775061E-5</v>
      </c>
      <c r="T542">
        <f t="shared" si="166"/>
        <v>1.5018195127008155E-5</v>
      </c>
      <c r="U542" s="1">
        <f t="shared" si="161"/>
        <v>0.12454724182053363</v>
      </c>
      <c r="V542">
        <f t="shared" si="162"/>
        <v>1.2092051829429302E+24</v>
      </c>
      <c r="W542">
        <f t="shared" si="167"/>
        <v>3.7971550207626797E+17</v>
      </c>
      <c r="Y542">
        <f t="shared" si="168"/>
        <v>5.3549999999999303</v>
      </c>
      <c r="Z542">
        <f t="shared" si="163"/>
        <v>0</v>
      </c>
      <c r="AA542">
        <f t="shared" si="169"/>
        <v>0</v>
      </c>
      <c r="AB542">
        <f t="shared" si="170"/>
        <v>1.0000235668946658</v>
      </c>
      <c r="AC542" s="1">
        <f t="shared" si="164"/>
        <v>7.4493433161470389E-3</v>
      </c>
    </row>
    <row r="543" spans="9:29" x14ac:dyDescent="0.2">
      <c r="I543">
        <f t="shared" si="152"/>
        <v>5.36499999999993</v>
      </c>
      <c r="J543">
        <f t="shared" si="153"/>
        <v>3.0757820352101046E-5</v>
      </c>
      <c r="K543">
        <f t="shared" si="165"/>
        <v>2.1080206010867302E-5</v>
      </c>
      <c r="L543">
        <f t="shared" si="154"/>
        <v>3.8499541374756422E+19</v>
      </c>
      <c r="M543">
        <f t="shared" si="155"/>
        <v>2.2540861472223561E-2</v>
      </c>
      <c r="N543">
        <f t="shared" si="156"/>
        <v>0</v>
      </c>
      <c r="O543">
        <f t="shared" si="157"/>
        <v>0</v>
      </c>
      <c r="P543">
        <f t="shared" si="158"/>
        <v>0</v>
      </c>
      <c r="R543">
        <f t="shared" si="159"/>
        <v>5.36499999999993</v>
      </c>
      <c r="S543">
        <f t="shared" si="160"/>
        <v>3.0758016657103125E-5</v>
      </c>
      <c r="T543">
        <f t="shared" si="166"/>
        <v>1.4704174390550405E-5</v>
      </c>
      <c r="U543" s="1">
        <f t="shared" si="161"/>
        <v>0.12194303963315287</v>
      </c>
      <c r="V543">
        <f t="shared" si="162"/>
        <v>1.2516992730314371E+24</v>
      </c>
      <c r="W543">
        <f t="shared" si="167"/>
        <v>3.8499787089584819E+17</v>
      </c>
      <c r="Y543">
        <f t="shared" si="168"/>
        <v>5.36499999999993</v>
      </c>
      <c r="Z543">
        <f t="shared" si="163"/>
        <v>0</v>
      </c>
      <c r="AA543">
        <f t="shared" si="169"/>
        <v>0</v>
      </c>
      <c r="AB543">
        <f t="shared" si="170"/>
        <v>1.0000235668946658</v>
      </c>
      <c r="AC543" s="1">
        <f t="shared" si="164"/>
        <v>7.4493433161470389E-3</v>
      </c>
    </row>
    <row r="544" spans="9:29" x14ac:dyDescent="0.2">
      <c r="I544">
        <f t="shared" si="152"/>
        <v>5.3749999999999298</v>
      </c>
      <c r="J544">
        <f t="shared" si="153"/>
        <v>3.012697700788286E-5</v>
      </c>
      <c r="K544">
        <f t="shared" si="165"/>
        <v>2.0772627807346291E-5</v>
      </c>
      <c r="L544">
        <f t="shared" si="154"/>
        <v>3.9035123345505927E+19</v>
      </c>
      <c r="M544">
        <f t="shared" si="155"/>
        <v>2.2211971058445426E-2</v>
      </c>
      <c r="N544">
        <f t="shared" si="156"/>
        <v>0</v>
      </c>
      <c r="O544">
        <f t="shared" si="157"/>
        <v>0</v>
      </c>
      <c r="P544">
        <f t="shared" si="158"/>
        <v>0</v>
      </c>
      <c r="R544">
        <f t="shared" si="159"/>
        <v>5.3749999999999298</v>
      </c>
      <c r="S544">
        <f t="shared" si="160"/>
        <v>3.012716928666648E-5</v>
      </c>
      <c r="T544">
        <f t="shared" si="166"/>
        <v>1.4396594223979373E-5</v>
      </c>
      <c r="U544" s="1">
        <f t="shared" si="161"/>
        <v>0.119392249670634</v>
      </c>
      <c r="V544">
        <f t="shared" si="162"/>
        <v>1.2956866975167209E+24</v>
      </c>
      <c r="W544">
        <f t="shared" si="167"/>
        <v>3.9035372478568083E+17</v>
      </c>
      <c r="Y544">
        <f t="shared" si="168"/>
        <v>5.3749999999999298</v>
      </c>
      <c r="Z544">
        <f t="shared" si="163"/>
        <v>0</v>
      </c>
      <c r="AA544">
        <f t="shared" si="169"/>
        <v>0</v>
      </c>
      <c r="AB544">
        <f t="shared" si="170"/>
        <v>1.0000235668946658</v>
      </c>
      <c r="AC544" s="1">
        <f t="shared" si="164"/>
        <v>7.4493433161470389E-3</v>
      </c>
    </row>
    <row r="545" spans="9:29" x14ac:dyDescent="0.2">
      <c r="I545">
        <f t="shared" si="152"/>
        <v>5.3849999999999296</v>
      </c>
      <c r="J545">
        <f t="shared" si="153"/>
        <v>2.9509072269859413E-5</v>
      </c>
      <c r="K545">
        <f t="shared" si="165"/>
        <v>2.0471358037267461E-5</v>
      </c>
      <c r="L545">
        <f t="shared" si="154"/>
        <v>3.9578156003643867E+19</v>
      </c>
      <c r="M545">
        <f t="shared" si="155"/>
        <v>2.1889826191852816E-2</v>
      </c>
      <c r="N545">
        <f t="shared" si="156"/>
        <v>0</v>
      </c>
      <c r="O545">
        <f t="shared" si="157"/>
        <v>0</v>
      </c>
      <c r="P545">
        <f t="shared" si="158"/>
        <v>0</v>
      </c>
      <c r="R545">
        <f t="shared" si="159"/>
        <v>5.3849999999999296</v>
      </c>
      <c r="S545">
        <f t="shared" si="160"/>
        <v>2.9509260605002376E-5</v>
      </c>
      <c r="T545">
        <f t="shared" si="166"/>
        <v>1.4095322531112708E-5</v>
      </c>
      <c r="U545" s="1">
        <f t="shared" si="161"/>
        <v>0.11689377644746575</v>
      </c>
      <c r="V545">
        <f t="shared" si="162"/>
        <v>1.3412199354050525E+24</v>
      </c>
      <c r="W545">
        <f t="shared" si="167"/>
        <v>3.9578408602492154E+17</v>
      </c>
      <c r="Y545">
        <f t="shared" si="168"/>
        <v>5.3849999999999296</v>
      </c>
      <c r="Z545">
        <f t="shared" si="163"/>
        <v>0</v>
      </c>
      <c r="AA545">
        <f t="shared" si="169"/>
        <v>0</v>
      </c>
      <c r="AB545">
        <f t="shared" si="170"/>
        <v>1.0000235668946658</v>
      </c>
      <c r="AC545" s="1">
        <f t="shared" si="164"/>
        <v>7.4493433161470389E-3</v>
      </c>
    </row>
    <row r="546" spans="9:29" x14ac:dyDescent="0.2">
      <c r="I546">
        <f t="shared" ref="I546:I609" si="171">I545+0.01</f>
        <v>5.3949999999999294</v>
      </c>
      <c r="J546">
        <f t="shared" si="153"/>
        <v>2.8903840767028855E-5</v>
      </c>
      <c r="K546">
        <f t="shared" si="165"/>
        <v>2.0176267314568868E-5</v>
      </c>
      <c r="L546">
        <f t="shared" si="154"/>
        <v>4.0128742998557049E+19</v>
      </c>
      <c r="M546">
        <f t="shared" si="155"/>
        <v>2.1574288521174538E-2</v>
      </c>
      <c r="N546">
        <f t="shared" si="156"/>
        <v>0</v>
      </c>
      <c r="O546">
        <f t="shared" si="157"/>
        <v>0</v>
      </c>
      <c r="P546">
        <f t="shared" si="158"/>
        <v>0</v>
      </c>
      <c r="R546">
        <f t="shared" si="159"/>
        <v>5.3949999999999294</v>
      </c>
      <c r="S546">
        <f t="shared" si="160"/>
        <v>2.890402523941529E-5</v>
      </c>
      <c r="T546">
        <f t="shared" si="166"/>
        <v>1.3800229925062684E-5</v>
      </c>
      <c r="U546" s="1">
        <f t="shared" si="161"/>
        <v>0.11444654694656062</v>
      </c>
      <c r="V546">
        <f t="shared" si="162"/>
        <v>1.3883533099287153E+24</v>
      </c>
      <c r="W546">
        <f t="shared" si="167"/>
        <v>4.012899911140535E+17</v>
      </c>
      <c r="Y546">
        <f t="shared" si="168"/>
        <v>5.3949999999999294</v>
      </c>
      <c r="Z546">
        <f t="shared" si="163"/>
        <v>0</v>
      </c>
      <c r="AA546">
        <f t="shared" si="169"/>
        <v>0</v>
      </c>
      <c r="AB546">
        <f t="shared" si="170"/>
        <v>1.0000235668946658</v>
      </c>
      <c r="AC546" s="1">
        <f t="shared" si="164"/>
        <v>7.4493433161470389E-3</v>
      </c>
    </row>
    <row r="547" spans="9:29" x14ac:dyDescent="0.2">
      <c r="I547">
        <f t="shared" si="171"/>
        <v>5.4049999999999292</v>
      </c>
      <c r="J547">
        <f t="shared" si="153"/>
        <v>2.8311022571152423E-5</v>
      </c>
      <c r="K547">
        <f t="shared" si="165"/>
        <v>1.9887228906898581E-5</v>
      </c>
      <c r="L547">
        <f t="shared" si="154"/>
        <v>4.0686989421537714E+19</v>
      </c>
      <c r="M547">
        <f t="shared" si="155"/>
        <v>2.1265222532725975E-2</v>
      </c>
      <c r="N547">
        <f t="shared" si="156"/>
        <v>0</v>
      </c>
      <c r="O547">
        <f t="shared" si="157"/>
        <v>0</v>
      </c>
      <c r="P547">
        <f t="shared" si="158"/>
        <v>0</v>
      </c>
      <c r="R547">
        <f t="shared" si="159"/>
        <v>5.4049999999999292</v>
      </c>
      <c r="S547">
        <f t="shared" si="160"/>
        <v>2.831120326000752E-5</v>
      </c>
      <c r="T547">
        <f t="shared" si="166"/>
        <v>1.3511189672668532E-5</v>
      </c>
      <c r="U547" s="1">
        <f t="shared" si="161"/>
        <v>0.11204951015842735</v>
      </c>
      <c r="V547">
        <f t="shared" si="162"/>
        <v>1.4371430533560385E+24</v>
      </c>
      <c r="W547">
        <f t="shared" si="167"/>
        <v>4.0687249097270643E+17</v>
      </c>
      <c r="Y547">
        <f t="shared" si="168"/>
        <v>5.4049999999999292</v>
      </c>
      <c r="Z547">
        <f t="shared" si="163"/>
        <v>0</v>
      </c>
      <c r="AA547">
        <f t="shared" si="169"/>
        <v>0</v>
      </c>
      <c r="AB547">
        <f t="shared" si="170"/>
        <v>1.0000235668946658</v>
      </c>
      <c r="AC547" s="1">
        <f t="shared" si="164"/>
        <v>7.4493433161470389E-3</v>
      </c>
    </row>
    <row r="548" spans="9:29" x14ac:dyDescent="0.2">
      <c r="I548">
        <f t="shared" si="171"/>
        <v>5.414999999999929</v>
      </c>
      <c r="J548">
        <f t="shared" si="153"/>
        <v>2.7730363085123454E-5</v>
      </c>
      <c r="K548">
        <f t="shared" si="165"/>
        <v>1.9604118681187057E-5</v>
      </c>
      <c r="L548">
        <f t="shared" si="154"/>
        <v>4.1253001825845248E+19</v>
      </c>
      <c r="M548">
        <f t="shared" si="155"/>
        <v>2.0962495492210166E-2</v>
      </c>
      <c r="N548">
        <f t="shared" si="156"/>
        <v>0</v>
      </c>
      <c r="O548">
        <f t="shared" si="157"/>
        <v>0</v>
      </c>
      <c r="P548">
        <f t="shared" si="158"/>
        <v>0</v>
      </c>
      <c r="R548">
        <f t="shared" si="159"/>
        <v>5.414999999999929</v>
      </c>
      <c r="S548">
        <f t="shared" si="160"/>
        <v>2.7730540068047497E-5</v>
      </c>
      <c r="T548">
        <f t="shared" si="166"/>
        <v>1.3228077640068456E-5</v>
      </c>
      <c r="U548" s="1">
        <f t="shared" si="161"/>
        <v>0.10970163662979454</v>
      </c>
      <c r="V548">
        <f t="shared" si="162"/>
        <v>1.487647374079148E+24</v>
      </c>
      <c r="W548">
        <f t="shared" si="167"/>
        <v>4.1253265114027462E+17</v>
      </c>
      <c r="Y548">
        <f t="shared" si="168"/>
        <v>5.414999999999929</v>
      </c>
      <c r="Z548">
        <f t="shared" si="163"/>
        <v>0</v>
      </c>
      <c r="AA548">
        <f t="shared" si="169"/>
        <v>0</v>
      </c>
      <c r="AB548">
        <f t="shared" si="170"/>
        <v>1.0000235668946658</v>
      </c>
      <c r="AC548" s="1">
        <f t="shared" si="164"/>
        <v>7.4493433161470389E-3</v>
      </c>
    </row>
    <row r="549" spans="9:29" x14ac:dyDescent="0.2">
      <c r="I549">
        <f t="shared" si="171"/>
        <v>5.4249999999999288</v>
      </c>
      <c r="J549">
        <f t="shared" si="153"/>
        <v>2.7161612933625516E-5</v>
      </c>
      <c r="K549">
        <f t="shared" si="165"/>
        <v>1.9326815050335824E-5</v>
      </c>
      <c r="L549">
        <f t="shared" si="154"/>
        <v>4.1826888247040541E+19</v>
      </c>
      <c r="M549">
        <f t="shared" si="155"/>
        <v>2.0665977387712524E-2</v>
      </c>
      <c r="N549">
        <f t="shared" si="156"/>
        <v>0</v>
      </c>
      <c r="O549">
        <f t="shared" si="157"/>
        <v>0</v>
      </c>
      <c r="P549">
        <f t="shared" si="158"/>
        <v>0</v>
      </c>
      <c r="R549">
        <f t="shared" si="159"/>
        <v>5.4249999999999288</v>
      </c>
      <c r="S549">
        <f t="shared" si="160"/>
        <v>2.7161786286627204E-5</v>
      </c>
      <c r="T549">
        <f t="shared" si="166"/>
        <v>1.295077223938798E-5</v>
      </c>
      <c r="U549" s="1">
        <f t="shared" si="161"/>
        <v>0.10740191802149254</v>
      </c>
      <c r="V549">
        <f t="shared" si="162"/>
        <v>1.5399265260591252E+24</v>
      </c>
      <c r="W549">
        <f t="shared" si="167"/>
        <v>4.1827155197926221E+17</v>
      </c>
      <c r="Y549">
        <f t="shared" si="168"/>
        <v>5.4249999999999288</v>
      </c>
      <c r="Z549">
        <f t="shared" si="163"/>
        <v>0</v>
      </c>
      <c r="AA549">
        <f t="shared" si="169"/>
        <v>0</v>
      </c>
      <c r="AB549">
        <f t="shared" si="170"/>
        <v>1.0000235668946658</v>
      </c>
      <c r="AC549" s="1">
        <f t="shared" si="164"/>
        <v>7.4493433161470389E-3</v>
      </c>
    </row>
    <row r="550" spans="9:29" x14ac:dyDescent="0.2">
      <c r="I550">
        <f t="shared" si="171"/>
        <v>5.4349999999999286</v>
      </c>
      <c r="J550">
        <f t="shared" si="153"/>
        <v>2.6604527856033604E-5</v>
      </c>
      <c r="K550">
        <f t="shared" si="165"/>
        <v>1.9055198920999569E-5</v>
      </c>
      <c r="L550">
        <f t="shared" si="154"/>
        <v>4.2408758223610135E+19</v>
      </c>
      <c r="M550">
        <f t="shared" si="155"/>
        <v>2.0375540873864704E-2</v>
      </c>
      <c r="N550">
        <f t="shared" si="156"/>
        <v>0</v>
      </c>
      <c r="O550">
        <f t="shared" si="157"/>
        <v>0</v>
      </c>
      <c r="P550">
        <f t="shared" si="158"/>
        <v>0</v>
      </c>
      <c r="R550">
        <f t="shared" si="159"/>
        <v>5.4349999999999286</v>
      </c>
      <c r="S550">
        <f t="shared" si="160"/>
        <v>2.6604697653562699E-5</v>
      </c>
      <c r="T550">
        <f t="shared" si="166"/>
        <v>1.2679154376521708E-5</v>
      </c>
      <c r="U550" s="1">
        <f t="shared" si="161"/>
        <v>0.10514936667540269</v>
      </c>
      <c r="V550">
        <f t="shared" si="162"/>
        <v>1.5940428807118377E+24</v>
      </c>
      <c r="W550">
        <f t="shared" si="167"/>
        <v>4.2409028888152557E+17</v>
      </c>
      <c r="Y550">
        <f t="shared" si="168"/>
        <v>5.4349999999999286</v>
      </c>
      <c r="Z550">
        <f t="shared" si="163"/>
        <v>0</v>
      </c>
      <c r="AA550">
        <f t="shared" si="169"/>
        <v>0</v>
      </c>
      <c r="AB550">
        <f t="shared" si="170"/>
        <v>1.0000235668946658</v>
      </c>
      <c r="AC550" s="1">
        <f t="shared" si="164"/>
        <v>7.4493433161470389E-3</v>
      </c>
    </row>
    <row r="551" spans="9:29" x14ac:dyDescent="0.2">
      <c r="I551">
        <f t="shared" si="171"/>
        <v>5.4449999999999283</v>
      </c>
      <c r="J551">
        <f t="shared" si="153"/>
        <v>2.6058868601511701E-5</v>
      </c>
      <c r="K551">
        <f t="shared" si="165"/>
        <v>1.8789153642439231E-5</v>
      </c>
      <c r="L551">
        <f t="shared" si="154"/>
        <v>4.2998722817872388E+19</v>
      </c>
      <c r="M551">
        <f t="shared" si="155"/>
        <v>2.0091061217153754E-2</v>
      </c>
      <c r="N551">
        <f t="shared" si="156"/>
        <v>0</v>
      </c>
      <c r="O551">
        <f t="shared" si="157"/>
        <v>0</v>
      </c>
      <c r="P551">
        <f t="shared" si="158"/>
        <v>0</v>
      </c>
      <c r="R551">
        <f t="shared" si="159"/>
        <v>5.4449999999999283</v>
      </c>
      <c r="S551">
        <f t="shared" si="160"/>
        <v>2.6059034916490993E-5</v>
      </c>
      <c r="T551">
        <f t="shared" si="166"/>
        <v>1.2413107399986082E-5</v>
      </c>
      <c r="U551" s="1">
        <f t="shared" si="161"/>
        <v>0.10294301519028883</v>
      </c>
      <c r="V551">
        <f t="shared" si="162"/>
        <v>1.6500610013198342E+24</v>
      </c>
      <c r="W551">
        <f t="shared" si="167"/>
        <v>4.2998997247733651E+17</v>
      </c>
      <c r="Y551">
        <f t="shared" si="168"/>
        <v>5.4449999999999283</v>
      </c>
      <c r="Z551">
        <f t="shared" si="163"/>
        <v>0</v>
      </c>
      <c r="AA551">
        <f t="shared" si="169"/>
        <v>0</v>
      </c>
      <c r="AB551">
        <f t="shared" si="170"/>
        <v>1.0000235668946658</v>
      </c>
      <c r="AC551" s="1">
        <f t="shared" si="164"/>
        <v>7.4493433161470389E-3</v>
      </c>
    </row>
    <row r="552" spans="9:29" x14ac:dyDescent="0.2">
      <c r="I552">
        <f t="shared" si="171"/>
        <v>5.4549999999999281</v>
      </c>
      <c r="J552">
        <f t="shared" si="153"/>
        <v>2.5524400826261872E-5</v>
      </c>
      <c r="K552">
        <f t="shared" si="165"/>
        <v>1.8528564956424114E-5</v>
      </c>
      <c r="L552">
        <f t="shared" si="154"/>
        <v>4.3596894637176324E+19</v>
      </c>
      <c r="M552">
        <f t="shared" si="155"/>
        <v>1.981241624235287E-2</v>
      </c>
      <c r="N552">
        <f t="shared" si="156"/>
        <v>0</v>
      </c>
      <c r="O552">
        <f t="shared" si="157"/>
        <v>0</v>
      </c>
      <c r="P552">
        <f t="shared" si="158"/>
        <v>0</v>
      </c>
      <c r="R552">
        <f t="shared" si="159"/>
        <v>5.4549999999999281</v>
      </c>
      <c r="S552">
        <f t="shared" si="160"/>
        <v>2.5524563730118513E-5</v>
      </c>
      <c r="T552">
        <f t="shared" si="166"/>
        <v>1.2152517050821171E-5</v>
      </c>
      <c r="U552" s="1">
        <f t="shared" si="161"/>
        <v>0.10078191600632815</v>
      </c>
      <c r="V552">
        <f t="shared" si="162"/>
        <v>1.7080477200593007E+24</v>
      </c>
      <c r="W552">
        <f t="shared" si="167"/>
        <v>4.3597172884737248E+17</v>
      </c>
      <c r="Y552">
        <f t="shared" si="168"/>
        <v>5.4549999999999281</v>
      </c>
      <c r="Z552">
        <f t="shared" si="163"/>
        <v>0</v>
      </c>
      <c r="AA552">
        <f t="shared" si="169"/>
        <v>0</v>
      </c>
      <c r="AB552">
        <f t="shared" si="170"/>
        <v>1.0000235668946658</v>
      </c>
      <c r="AC552" s="1">
        <f t="shared" si="164"/>
        <v>7.4493433161470389E-3</v>
      </c>
    </row>
    <row r="553" spans="9:29" x14ac:dyDescent="0.2">
      <c r="I553">
        <f t="shared" si="171"/>
        <v>5.4649999999999279</v>
      </c>
      <c r="J553">
        <f t="shared" si="153"/>
        <v>2.500089499288104E-5</v>
      </c>
      <c r="K553">
        <f t="shared" si="165"/>
        <v>1.8273320948161496E-5</v>
      </c>
      <c r="L553">
        <f t="shared" si="154"/>
        <v>4.420338785539516E+19</v>
      </c>
      <c r="M553">
        <f t="shared" si="155"/>
        <v>1.9539486280050949E-2</v>
      </c>
      <c r="N553">
        <f t="shared" si="156"/>
        <v>0</v>
      </c>
      <c r="O553">
        <f t="shared" si="157"/>
        <v>0</v>
      </c>
      <c r="P553">
        <f t="shared" si="158"/>
        <v>0</v>
      </c>
      <c r="R553">
        <f t="shared" si="159"/>
        <v>5.4649999999999279</v>
      </c>
      <c r="S553">
        <f t="shared" si="160"/>
        <v>2.5001054555577202E-5</v>
      </c>
      <c r="T553">
        <f t="shared" si="166"/>
        <v>1.1897271413519987E-5</v>
      </c>
      <c r="U553" s="1">
        <f t="shared" si="161"/>
        <v>9.8665140998163758E-2</v>
      </c>
      <c r="V553">
        <f t="shared" si="162"/>
        <v>1.7680722177338848E+24</v>
      </c>
      <c r="W553">
        <f t="shared" si="167"/>
        <v>4.4203669973765229E+17</v>
      </c>
      <c r="Y553">
        <f t="shared" si="168"/>
        <v>5.4649999999999279</v>
      </c>
      <c r="Z553">
        <f t="shared" si="163"/>
        <v>0</v>
      </c>
      <c r="AA553">
        <f t="shared" si="169"/>
        <v>0</v>
      </c>
      <c r="AB553">
        <f t="shared" si="170"/>
        <v>1.0000235668946658</v>
      </c>
      <c r="AC553" s="1">
        <f t="shared" si="164"/>
        <v>7.4493433161470389E-3</v>
      </c>
    </row>
    <row r="554" spans="9:29" x14ac:dyDescent="0.2">
      <c r="I554">
        <f t="shared" si="171"/>
        <v>5.4749999999999277</v>
      </c>
      <c r="J554">
        <f t="shared" si="153"/>
        <v>2.448812627178148E-5</v>
      </c>
      <c r="K554">
        <f t="shared" si="165"/>
        <v>1.8023311998232686E-5</v>
      </c>
      <c r="L554">
        <f t="shared" si="154"/>
        <v>4.4818318234719953E+19</v>
      </c>
      <c r="M554">
        <f t="shared" si="155"/>
        <v>1.9272154115258244E-2</v>
      </c>
      <c r="N554">
        <f t="shared" si="156"/>
        <v>0</v>
      </c>
      <c r="O554">
        <f t="shared" si="157"/>
        <v>0</v>
      </c>
      <c r="P554">
        <f t="shared" si="158"/>
        <v>0</v>
      </c>
      <c r="R554">
        <f t="shared" si="159"/>
        <v>5.4749999999999277</v>
      </c>
      <c r="S554">
        <f t="shared" si="160"/>
        <v>2.4488282561844419E-5</v>
      </c>
      <c r="T554">
        <f t="shared" si="166"/>
        <v>1.1647260867964214E-5</v>
      </c>
      <c r="U554" s="1">
        <f t="shared" si="161"/>
        <v>9.659178107630334E-2</v>
      </c>
      <c r="V554">
        <f t="shared" si="162"/>
        <v>1.8302061063106189E+24</v>
      </c>
      <c r="W554">
        <f t="shared" si="167"/>
        <v>4.4818604277747501E+17</v>
      </c>
      <c r="Y554">
        <f t="shared" si="168"/>
        <v>5.4749999999999277</v>
      </c>
      <c r="Z554">
        <f t="shared" si="163"/>
        <v>0</v>
      </c>
      <c r="AA554">
        <f t="shared" si="169"/>
        <v>0</v>
      </c>
      <c r="AB554">
        <f t="shared" si="170"/>
        <v>1.0000235668946658</v>
      </c>
      <c r="AC554" s="1">
        <f t="shared" si="164"/>
        <v>7.4493433161470389E-3</v>
      </c>
    </row>
    <row r="555" spans="9:29" x14ac:dyDescent="0.2">
      <c r="I555">
        <f t="shared" si="171"/>
        <v>5.4849999999999275</v>
      </c>
      <c r="J555">
        <f t="shared" si="153"/>
        <v>2.3985874444633644E-5</v>
      </c>
      <c r="K555">
        <f t="shared" si="165"/>
        <v>1.7778430735514871E-5</v>
      </c>
      <c r="L555">
        <f t="shared" si="154"/>
        <v>4.544180314775212E+19</v>
      </c>
      <c r="M555">
        <f t="shared" si="155"/>
        <v>1.9010304937066156E-2</v>
      </c>
      <c r="N555">
        <f t="shared" si="156"/>
        <v>0</v>
      </c>
      <c r="O555">
        <f t="shared" si="157"/>
        <v>0</v>
      </c>
      <c r="P555">
        <f t="shared" si="158"/>
        <v>0</v>
      </c>
      <c r="R555">
        <f t="shared" si="159"/>
        <v>5.4849999999999275</v>
      </c>
      <c r="S555">
        <f t="shared" si="160"/>
        <v>2.3986027529185109E-5</v>
      </c>
      <c r="T555">
        <f t="shared" si="166"/>
        <v>1.140237804234577E-5</v>
      </c>
      <c r="U555" s="1">
        <f t="shared" si="161"/>
        <v>9.4560945796693288E-2</v>
      </c>
      <c r="V555">
        <f t="shared" si="162"/>
        <v>1.8945235143561257E+24</v>
      </c>
      <c r="W555">
        <f t="shared" si="167"/>
        <v>4.5442093170034547E+17</v>
      </c>
      <c r="Y555">
        <f t="shared" si="168"/>
        <v>5.4849999999999275</v>
      </c>
      <c r="Z555">
        <f t="shared" si="163"/>
        <v>0</v>
      </c>
      <c r="AA555">
        <f t="shared" si="169"/>
        <v>0</v>
      </c>
      <c r="AB555">
        <f t="shared" si="170"/>
        <v>1.0000235668946658</v>
      </c>
      <c r="AC555" s="1">
        <f t="shared" si="164"/>
        <v>7.4493433161470389E-3</v>
      </c>
    </row>
    <row r="556" spans="9:29" x14ac:dyDescent="0.2">
      <c r="I556">
        <f t="shared" si="171"/>
        <v>5.4949999999999273</v>
      </c>
      <c r="J556">
        <f t="shared" si="153"/>
        <v>2.3493923809789107E-5</v>
      </c>
      <c r="K556">
        <f t="shared" si="165"/>
        <v>1.7538571991068534E-5</v>
      </c>
      <c r="L556">
        <f t="shared" si="154"/>
        <v>4.6073961599910773E+19</v>
      </c>
      <c r="M556">
        <f t="shared" si="155"/>
        <v>1.8753826289339512E-2</v>
      </c>
      <c r="N556">
        <f t="shared" si="156"/>
        <v>0</v>
      </c>
      <c r="O556">
        <f t="shared" si="157"/>
        <v>0</v>
      </c>
      <c r="P556">
        <f t="shared" si="158"/>
        <v>0</v>
      </c>
      <c r="R556">
        <f t="shared" si="159"/>
        <v>5.4949999999999273</v>
      </c>
      <c r="S556">
        <f t="shared" si="160"/>
        <v>2.3494073754574187E-5</v>
      </c>
      <c r="T556">
        <f t="shared" si="166"/>
        <v>1.116251776705392E-5</v>
      </c>
      <c r="U556" s="1">
        <f t="shared" si="161"/>
        <v>9.2571762978300567E-2</v>
      </c>
      <c r="V556">
        <f t="shared" si="162"/>
        <v>1.9611011754755647E+24</v>
      </c>
      <c r="W556">
        <f t="shared" si="167"/>
        <v>4.6074255656805056E+17</v>
      </c>
      <c r="Y556">
        <f t="shared" si="168"/>
        <v>5.4949999999999273</v>
      </c>
      <c r="Z556">
        <f t="shared" si="163"/>
        <v>0</v>
      </c>
      <c r="AA556">
        <f t="shared" si="169"/>
        <v>0</v>
      </c>
      <c r="AB556">
        <f t="shared" si="170"/>
        <v>1.0000235668946658</v>
      </c>
      <c r="AC556" s="1">
        <f t="shared" si="164"/>
        <v>7.4493433161470389E-3</v>
      </c>
    </row>
    <row r="557" spans="9:29" x14ac:dyDescent="0.2">
      <c r="I557">
        <f t="shared" si="171"/>
        <v>5.5049999999999271</v>
      </c>
      <c r="J557">
        <f t="shared" si="153"/>
        <v>2.3012063089643392E-5</v>
      </c>
      <c r="K557">
        <f t="shared" si="165"/>
        <v>1.7303632752970642E-5</v>
      </c>
      <c r="L557">
        <f t="shared" si="154"/>
        <v>4.6714914252144034E+19</v>
      </c>
      <c r="M557">
        <f t="shared" si="155"/>
        <v>1.8502608022420094E-2</v>
      </c>
      <c r="N557">
        <f t="shared" si="156"/>
        <v>0</v>
      </c>
      <c r="O557">
        <f t="shared" si="157"/>
        <v>0</v>
      </c>
      <c r="P557">
        <f t="shared" si="158"/>
        <v>0</v>
      </c>
      <c r="R557">
        <f t="shared" si="159"/>
        <v>5.5049999999999271</v>
      </c>
      <c r="S557">
        <f t="shared" si="160"/>
        <v>2.3012209959058748E-5</v>
      </c>
      <c r="T557">
        <f t="shared" si="166"/>
        <v>1.0927577029508177E-5</v>
      </c>
      <c r="U557" s="1">
        <f t="shared" si="161"/>
        <v>9.062337832853784E-2</v>
      </c>
      <c r="V557">
        <f t="shared" si="162"/>
        <v>2.0300185198591838E+24</v>
      </c>
      <c r="W557">
        <f t="shared" si="167"/>
        <v>4.671521239977721E+17</v>
      </c>
      <c r="Y557">
        <f t="shared" si="168"/>
        <v>5.5049999999999271</v>
      </c>
      <c r="Z557">
        <f t="shared" si="163"/>
        <v>0</v>
      </c>
      <c r="AA557">
        <f t="shared" si="169"/>
        <v>0</v>
      </c>
      <c r="AB557">
        <f t="shared" si="170"/>
        <v>1.0000235668946658</v>
      </c>
      <c r="AC557" s="1">
        <f t="shared" si="164"/>
        <v>7.4493433161470389E-3</v>
      </c>
    </row>
    <row r="558" spans="9:29" x14ac:dyDescent="0.2">
      <c r="I558">
        <f t="shared" si="171"/>
        <v>5.5149999999999268</v>
      </c>
      <c r="J558">
        <f t="shared" si="153"/>
        <v>2.2540085339898882E-5</v>
      </c>
      <c r="K558">
        <f t="shared" si="165"/>
        <v>1.7073512122074207E-5</v>
      </c>
      <c r="L558">
        <f t="shared" si="154"/>
        <v>4.7364783443961545E+19</v>
      </c>
      <c r="M558">
        <f t="shared" si="155"/>
        <v>1.8256542245820798E-2</v>
      </c>
      <c r="N558">
        <f t="shared" si="156"/>
        <v>0</v>
      </c>
      <c r="O558">
        <f t="shared" si="157"/>
        <v>0</v>
      </c>
      <c r="P558">
        <f t="shared" si="158"/>
        <v>0</v>
      </c>
      <c r="R558">
        <f t="shared" si="159"/>
        <v>5.5149999999999268</v>
      </c>
      <c r="S558">
        <f t="shared" si="160"/>
        <v>2.2540229197020383E-5</v>
      </c>
      <c r="T558">
        <f t="shared" si="166"/>
        <v>1.0697454929917589E-5</v>
      </c>
      <c r="U558" s="1">
        <f t="shared" si="161"/>
        <v>8.8714955076371213E-2</v>
      </c>
      <c r="V558">
        <f t="shared" si="162"/>
        <v>2.1013577690462297E+24</v>
      </c>
      <c r="W558">
        <f t="shared" si="167"/>
        <v>4.736508573924144E+17</v>
      </c>
      <c r="Y558">
        <f t="shared" si="168"/>
        <v>5.5149999999999268</v>
      </c>
      <c r="Z558">
        <f t="shared" si="163"/>
        <v>0</v>
      </c>
      <c r="AA558">
        <f t="shared" si="169"/>
        <v>0</v>
      </c>
      <c r="AB558">
        <f t="shared" si="170"/>
        <v>1.0000235668946658</v>
      </c>
      <c r="AC558" s="1">
        <f t="shared" si="164"/>
        <v>7.4493433161470389E-3</v>
      </c>
    </row>
    <row r="559" spans="9:29" x14ac:dyDescent="0.2">
      <c r="I559">
        <f t="shared" si="171"/>
        <v>5.5249999999999266</v>
      </c>
      <c r="J559">
        <f t="shared" si="153"/>
        <v>2.2077787860688401E-5</v>
      </c>
      <c r="K559">
        <f t="shared" si="165"/>
        <v>1.6848111268675218E-5</v>
      </c>
      <c r="L559">
        <f t="shared" si="154"/>
        <v>4.802369321678481E+19</v>
      </c>
      <c r="M559">
        <f t="shared" si="155"/>
        <v>1.8015523281889972E-2</v>
      </c>
      <c r="N559">
        <f t="shared" si="156"/>
        <v>0</v>
      </c>
      <c r="O559">
        <f t="shared" si="157"/>
        <v>0</v>
      </c>
      <c r="P559">
        <f t="shared" si="158"/>
        <v>0</v>
      </c>
      <c r="R559">
        <f t="shared" si="159"/>
        <v>5.5249999999999266</v>
      </c>
      <c r="S559">
        <f t="shared" si="160"/>
        <v>2.2077928767298237E-5</v>
      </c>
      <c r="T559">
        <f t="shared" si="166"/>
        <v>1.0472052637947385E-5</v>
      </c>
      <c r="U559" s="1">
        <f t="shared" si="161"/>
        <v>8.6845673612952909E-2</v>
      </c>
      <c r="V559">
        <f t="shared" si="162"/>
        <v>2.175204034018986E+24</v>
      </c>
      <c r="W559">
        <f t="shared" si="167"/>
        <v>4.802399971741095E+17</v>
      </c>
      <c r="Y559">
        <f t="shared" si="168"/>
        <v>5.5249999999999266</v>
      </c>
      <c r="Z559">
        <f t="shared" si="163"/>
        <v>0</v>
      </c>
      <c r="AA559">
        <f t="shared" si="169"/>
        <v>0</v>
      </c>
      <c r="AB559">
        <f t="shared" si="170"/>
        <v>1.0000235668946658</v>
      </c>
      <c r="AC559" s="1">
        <f t="shared" si="164"/>
        <v>7.4493433161470389E-3</v>
      </c>
    </row>
    <row r="560" spans="9:29" x14ac:dyDescent="0.2">
      <c r="I560">
        <f t="shared" si="171"/>
        <v>5.5349999999999264</v>
      </c>
      <c r="J560">
        <f t="shared" si="153"/>
        <v>2.1624972109522045E-5</v>
      </c>
      <c r="K560">
        <f t="shared" si="165"/>
        <v>1.6627333390068335E-5</v>
      </c>
      <c r="L560">
        <f t="shared" si="154"/>
        <v>4.8691769337623831E+19</v>
      </c>
      <c r="M560">
        <f t="shared" si="155"/>
        <v>1.7779447620426152E-2</v>
      </c>
      <c r="N560">
        <f t="shared" si="156"/>
        <v>0</v>
      </c>
      <c r="O560">
        <f t="shared" si="157"/>
        <v>0</v>
      </c>
      <c r="P560">
        <f t="shared" si="158"/>
        <v>0</v>
      </c>
      <c r="R560">
        <f t="shared" si="159"/>
        <v>5.5349999999999264</v>
      </c>
      <c r="S560">
        <f t="shared" si="160"/>
        <v>2.1625110126135266E-5</v>
      </c>
      <c r="T560">
        <f t="shared" si="166"/>
        <v>1.0251273350274403E-5</v>
      </c>
      <c r="U560" s="1">
        <f t="shared" si="161"/>
        <v>8.5014731139624558E-2</v>
      </c>
      <c r="V560">
        <f t="shared" si="162"/>
        <v>2.2516454167440779E+24</v>
      </c>
      <c r="W560">
        <f t="shared" si="167"/>
        <v>4.8692080102098419E+17</v>
      </c>
      <c r="Y560">
        <f t="shared" si="168"/>
        <v>5.5349999999999264</v>
      </c>
      <c r="Z560">
        <f t="shared" si="163"/>
        <v>0</v>
      </c>
      <c r="AA560">
        <f t="shared" si="169"/>
        <v>0</v>
      </c>
      <c r="AB560">
        <f t="shared" si="170"/>
        <v>1.0000235668946658</v>
      </c>
      <c r="AC560" s="1">
        <f t="shared" si="164"/>
        <v>7.4493433161470389E-3</v>
      </c>
    </row>
    <row r="561" spans="9:29" x14ac:dyDescent="0.2">
      <c r="I561">
        <f t="shared" si="171"/>
        <v>5.5449999999999262</v>
      </c>
      <c r="J561">
        <f t="shared" si="153"/>
        <v>2.1181443616019288E-5</v>
      </c>
      <c r="K561">
        <f t="shared" si="165"/>
        <v>1.6411083668973113E-5</v>
      </c>
      <c r="L561">
        <f t="shared" si="154"/>
        <v>4.9369139323080622E+19</v>
      </c>
      <c r="M561">
        <f t="shared" si="155"/>
        <v>1.75482138742236E-2</v>
      </c>
      <c r="N561">
        <f t="shared" si="156"/>
        <v>0</v>
      </c>
      <c r="O561">
        <f t="shared" si="157"/>
        <v>0</v>
      </c>
      <c r="P561">
        <f t="shared" si="158"/>
        <v>0</v>
      </c>
      <c r="R561">
        <f t="shared" si="159"/>
        <v>5.5449999999999262</v>
      </c>
      <c r="S561">
        <f t="shared" si="160"/>
        <v>2.1181578801909751E-5</v>
      </c>
      <c r="T561">
        <f t="shared" si="166"/>
        <v>1.003502224901305E-5</v>
      </c>
      <c r="U561" s="1">
        <f t="shared" si="161"/>
        <v>8.3221341323140005E-2</v>
      </c>
      <c r="V561">
        <f t="shared" si="162"/>
        <v>2.330773115282062E+24</v>
      </c>
      <c r="W561">
        <f t="shared" si="167"/>
        <v>4.9369454410719674E+17</v>
      </c>
      <c r="Y561">
        <f t="shared" si="168"/>
        <v>5.5449999999999262</v>
      </c>
      <c r="Z561">
        <f t="shared" si="163"/>
        <v>0</v>
      </c>
      <c r="AA561">
        <f t="shared" si="169"/>
        <v>0</v>
      </c>
      <c r="AB561">
        <f t="shared" si="170"/>
        <v>1.0000235668946658</v>
      </c>
      <c r="AC561" s="1">
        <f t="shared" si="164"/>
        <v>7.4493433161470389E-3</v>
      </c>
    </row>
    <row r="562" spans="9:29" x14ac:dyDescent="0.2">
      <c r="I562">
        <f t="shared" si="171"/>
        <v>5.554999999999926</v>
      </c>
      <c r="J562">
        <f t="shared" si="153"/>
        <v>2.074701189838989E-5</v>
      </c>
      <c r="K562">
        <f t="shared" si="165"/>
        <v>1.6199269232812919E-5</v>
      </c>
      <c r="L562">
        <f t="shared" si="154"/>
        <v>5.0055932463691809E+19</v>
      </c>
      <c r="M562">
        <f t="shared" si="155"/>
        <v>1.7321722735529666E-2</v>
      </c>
      <c r="N562">
        <f t="shared" si="156"/>
        <v>0</v>
      </c>
      <c r="O562">
        <f t="shared" si="157"/>
        <v>0</v>
      </c>
      <c r="P562">
        <f t="shared" si="158"/>
        <v>0</v>
      </c>
      <c r="R562">
        <f t="shared" si="159"/>
        <v>5.554999999999926</v>
      </c>
      <c r="S562">
        <f t="shared" si="160"/>
        <v>2.0747144311615768E-5</v>
      </c>
      <c r="T562">
        <f t="shared" si="166"/>
        <v>9.823206460993952E-6</v>
      </c>
      <c r="U562" s="1">
        <f t="shared" si="161"/>
        <v>8.1464733957959432E-2</v>
      </c>
      <c r="V562">
        <f t="shared" si="162"/>
        <v>2.4126815325910374E+24</v>
      </c>
      <c r="W562">
        <f t="shared" si="167"/>
        <v>5.0056251934636557E+17</v>
      </c>
      <c r="Y562">
        <f t="shared" si="168"/>
        <v>5.554999999999926</v>
      </c>
      <c r="Z562">
        <f t="shared" si="163"/>
        <v>0</v>
      </c>
      <c r="AA562">
        <f t="shared" si="169"/>
        <v>0</v>
      </c>
      <c r="AB562">
        <f t="shared" si="170"/>
        <v>1.0000235668946658</v>
      </c>
      <c r="AC562" s="1">
        <f t="shared" si="164"/>
        <v>7.4493433161470389E-3</v>
      </c>
    </row>
    <row r="563" spans="9:29" x14ac:dyDescent="0.2">
      <c r="I563">
        <f t="shared" si="171"/>
        <v>5.5649999999999258</v>
      </c>
      <c r="J563">
        <f t="shared" si="153"/>
        <v>2.0321490381628032E-5</v>
      </c>
      <c r="K563">
        <f t="shared" si="165"/>
        <v>1.599179911382902E-5</v>
      </c>
      <c r="L563">
        <f t="shared" si="154"/>
        <v>5.0752279848603075E+19</v>
      </c>
      <c r="M563">
        <f t="shared" si="155"/>
        <v>1.7099876933395142E-2</v>
      </c>
      <c r="N563">
        <f t="shared" si="156"/>
        <v>0</v>
      </c>
      <c r="O563">
        <f t="shared" si="157"/>
        <v>0</v>
      </c>
      <c r="P563">
        <f t="shared" si="158"/>
        <v>0</v>
      </c>
      <c r="R563">
        <f t="shared" si="159"/>
        <v>5.5649999999999258</v>
      </c>
      <c r="S563">
        <f t="shared" si="160"/>
        <v>2.0321620079056716E-5</v>
      </c>
      <c r="T563">
        <f t="shared" si="166"/>
        <v>9.615735017877795E-6</v>
      </c>
      <c r="U563" s="1">
        <f t="shared" si="161"/>
        <v>7.974415463546991E-2</v>
      </c>
      <c r="V563">
        <f t="shared" si="162"/>
        <v>2.4974683891535081E+24</v>
      </c>
      <c r="W563">
        <f t="shared" si="167"/>
        <v>5.0752603763831366E+17</v>
      </c>
      <c r="Y563">
        <f t="shared" si="168"/>
        <v>5.5649999999999258</v>
      </c>
      <c r="Z563">
        <f t="shared" si="163"/>
        <v>0</v>
      </c>
      <c r="AA563">
        <f t="shared" si="169"/>
        <v>0</v>
      </c>
      <c r="AB563">
        <f t="shared" si="170"/>
        <v>1.0000235668946658</v>
      </c>
      <c r="AC563" s="1">
        <f t="shared" si="164"/>
        <v>7.4493433161470389E-3</v>
      </c>
    </row>
    <row r="564" spans="9:29" x14ac:dyDescent="0.2">
      <c r="I564">
        <f t="shared" si="171"/>
        <v>5.5749999999999256</v>
      </c>
      <c r="J564">
        <f t="shared" si="153"/>
        <v>1.9904696317383871E-5</v>
      </c>
      <c r="K564">
        <f t="shared" si="165"/>
        <v>1.5788584210012739E-5</v>
      </c>
      <c r="L564">
        <f t="shared" si="154"/>
        <v>5.1458314390592922E+19</v>
      </c>
      <c r="M564">
        <f t="shared" si="155"/>
        <v>1.6882581191899421E-2</v>
      </c>
      <c r="N564">
        <f t="shared" si="156"/>
        <v>0</v>
      </c>
      <c r="O564">
        <f t="shared" si="157"/>
        <v>0</v>
      </c>
      <c r="P564">
        <f t="shared" si="158"/>
        <v>0</v>
      </c>
      <c r="R564">
        <f t="shared" si="159"/>
        <v>5.5749999999999256</v>
      </c>
      <c r="S564">
        <f t="shared" si="160"/>
        <v>1.9904823354716398E-5</v>
      </c>
      <c r="T564">
        <f t="shared" si="166"/>
        <v>9.4125188170872284E-6</v>
      </c>
      <c r="U564" s="1">
        <f t="shared" si="161"/>
        <v>7.8058864419990132E-2</v>
      </c>
      <c r="V564">
        <f t="shared" si="162"/>
        <v>2.5852348395615325E+24</v>
      </c>
      <c r="W564">
        <f t="shared" si="167"/>
        <v>5.1458642811930893E+17</v>
      </c>
      <c r="Y564">
        <f t="shared" si="168"/>
        <v>5.5749999999999256</v>
      </c>
      <c r="Z564">
        <f t="shared" si="163"/>
        <v>0</v>
      </c>
      <c r="AA564">
        <f t="shared" si="169"/>
        <v>0</v>
      </c>
      <c r="AB564">
        <f t="shared" si="170"/>
        <v>1.0000235668946658</v>
      </c>
      <c r="AC564" s="1">
        <f t="shared" si="164"/>
        <v>7.4493433161470389E-3</v>
      </c>
    </row>
    <row r="565" spans="9:29" x14ac:dyDescent="0.2">
      <c r="I565">
        <f t="shared" si="171"/>
        <v>5.5849999999999254</v>
      </c>
      <c r="J565">
        <f t="shared" si="153"/>
        <v>1.9496450705478927E-5</v>
      </c>
      <c r="K565">
        <f t="shared" si="165"/>
        <v>1.5589537246838901E-5</v>
      </c>
      <c r="L565">
        <f t="shared" si="154"/>
        <v>5.2174170851439821E+19</v>
      </c>
      <c r="M565">
        <f t="shared" si="155"/>
        <v>1.6669742189232402E-2</v>
      </c>
      <c r="N565">
        <f t="shared" si="156"/>
        <v>0</v>
      </c>
      <c r="O565">
        <f t="shared" si="157"/>
        <v>0</v>
      </c>
      <c r="P565">
        <f t="shared" si="158"/>
        <v>0</v>
      </c>
      <c r="R565">
        <f t="shared" si="159"/>
        <v>5.5849999999999254</v>
      </c>
      <c r="S565">
        <f t="shared" si="160"/>
        <v>1.9496575137273911E-5</v>
      </c>
      <c r="T565">
        <f t="shared" si="166"/>
        <v>9.2134705835400645E-6</v>
      </c>
      <c r="U565" s="1">
        <f t="shared" si="161"/>
        <v>7.6408139531420435E-2</v>
      </c>
      <c r="V565">
        <f t="shared" si="162"/>
        <v>2.6760855931986502E+24</v>
      </c>
      <c r="W565">
        <f t="shared" si="167"/>
        <v>5.2174503841573709E+17</v>
      </c>
      <c r="Y565">
        <f t="shared" si="168"/>
        <v>5.5849999999999254</v>
      </c>
      <c r="Z565">
        <f t="shared" si="163"/>
        <v>0</v>
      </c>
      <c r="AA565">
        <f t="shared" si="169"/>
        <v>0</v>
      </c>
      <c r="AB565">
        <f t="shared" si="170"/>
        <v>1.0000235668946658</v>
      </c>
      <c r="AC565" s="1">
        <f t="shared" si="164"/>
        <v>7.4493433161470389E-3</v>
      </c>
    </row>
    <row r="566" spans="9:29" x14ac:dyDescent="0.2">
      <c r="I566">
        <f t="shared" si="171"/>
        <v>5.5949999999999251</v>
      </c>
      <c r="J566">
        <f t="shared" si="153"/>
        <v>1.9096578217030982E-5</v>
      </c>
      <c r="K566">
        <f t="shared" si="165"/>
        <v>1.5394572739784112E-5</v>
      </c>
      <c r="L566">
        <f t="shared" si="154"/>
        <v>5.2899985867646018E+19</v>
      </c>
      <c r="M566">
        <f t="shared" si="155"/>
        <v>1.6461268517615684E-2</v>
      </c>
      <c r="N566">
        <f t="shared" si="156"/>
        <v>0</v>
      </c>
      <c r="O566">
        <f t="shared" si="157"/>
        <v>0</v>
      </c>
      <c r="P566">
        <f t="shared" si="158"/>
        <v>0</v>
      </c>
      <c r="R566">
        <f t="shared" si="159"/>
        <v>5.5949999999999251</v>
      </c>
      <c r="S566">
        <f t="shared" si="160"/>
        <v>1.9096700096728038E-5</v>
      </c>
      <c r="T566">
        <f t="shared" si="166"/>
        <v>9.0185048321673253E-6</v>
      </c>
      <c r="U566" s="1">
        <f t="shared" si="161"/>
        <v>7.4791271034401516E-2</v>
      </c>
      <c r="V566">
        <f t="shared" si="162"/>
        <v>2.7701290391630474E+24</v>
      </c>
      <c r="W566">
        <f t="shared" si="167"/>
        <v>5.2900323490134118E+17</v>
      </c>
      <c r="Y566">
        <f t="shared" si="168"/>
        <v>5.5949999999999251</v>
      </c>
      <c r="Z566">
        <f t="shared" si="163"/>
        <v>0</v>
      </c>
      <c r="AA566">
        <f t="shared" si="169"/>
        <v>0</v>
      </c>
      <c r="AB566">
        <f t="shared" si="170"/>
        <v>1.0000235668946658</v>
      </c>
      <c r="AC566" s="1">
        <f t="shared" si="164"/>
        <v>7.4493433161470389E-3</v>
      </c>
    </row>
    <row r="567" spans="9:29" x14ac:dyDescent="0.2">
      <c r="I567">
        <f t="shared" si="171"/>
        <v>5.6049999999999249</v>
      </c>
      <c r="J567">
        <f t="shared" si="153"/>
        <v>1.8704907119155737E-5</v>
      </c>
      <c r="K567">
        <f t="shared" si="165"/>
        <v>1.5203606957613803E-5</v>
      </c>
      <c r="L567">
        <f t="shared" si="154"/>
        <v>5.3635897976515674E+19</v>
      </c>
      <c r="M567">
        <f t="shared" si="155"/>
        <v>1.6257070644045725E-2</v>
      </c>
      <c r="N567">
        <f t="shared" si="156"/>
        <v>0</v>
      </c>
      <c r="O567">
        <f t="shared" si="157"/>
        <v>0</v>
      </c>
      <c r="P567">
        <f t="shared" si="158"/>
        <v>0</v>
      </c>
      <c r="R567">
        <f t="shared" si="159"/>
        <v>5.6049999999999249</v>
      </c>
      <c r="S567">
        <f t="shared" si="160"/>
        <v>1.8705026499098425E-5</v>
      </c>
      <c r="T567">
        <f t="shared" si="166"/>
        <v>8.8275378312000441E-6</v>
      </c>
      <c r="U567" s="1">
        <f t="shared" si="161"/>
        <v>7.3207564533848649E-2</v>
      </c>
      <c r="V567">
        <f t="shared" si="162"/>
        <v>2.8674773755806055E+24</v>
      </c>
      <c r="W567">
        <f t="shared" si="167"/>
        <v>5.3636240295800429E+17</v>
      </c>
      <c r="Y567">
        <f t="shared" si="168"/>
        <v>5.6049999999999249</v>
      </c>
      <c r="Z567">
        <f t="shared" si="163"/>
        <v>0</v>
      </c>
      <c r="AA567">
        <f t="shared" si="169"/>
        <v>0</v>
      </c>
      <c r="AB567">
        <f t="shared" si="170"/>
        <v>1.0000235668946658</v>
      </c>
      <c r="AC567" s="1">
        <f t="shared" si="164"/>
        <v>7.4493433161470389E-3</v>
      </c>
    </row>
    <row r="568" spans="9:29" x14ac:dyDescent="0.2">
      <c r="I568">
        <f t="shared" si="171"/>
        <v>5.6149999999999247</v>
      </c>
      <c r="J568">
        <f t="shared" si="153"/>
        <v>1.8321269201212936E-5</v>
      </c>
      <c r="K568">
        <f t="shared" si="165"/>
        <v>1.5016557886422244E-5</v>
      </c>
      <c r="L568">
        <f t="shared" si="154"/>
        <v>5.4382047642600202E+19</v>
      </c>
      <c r="M568">
        <f t="shared" si="155"/>
        <v>1.6057060871842197E-2</v>
      </c>
      <c r="N568">
        <f t="shared" si="156"/>
        <v>0</v>
      </c>
      <c r="O568">
        <f t="shared" si="157"/>
        <v>0</v>
      </c>
      <c r="P568">
        <f t="shared" si="158"/>
        <v>0</v>
      </c>
      <c r="R568">
        <f t="shared" si="159"/>
        <v>5.6149999999999247</v>
      </c>
      <c r="S568">
        <f t="shared" si="160"/>
        <v>1.8321386132671261E-5</v>
      </c>
      <c r="T568">
        <f t="shared" si="166"/>
        <v>8.6404875662090593E-6</v>
      </c>
      <c r="U568" s="1">
        <f t="shared" si="161"/>
        <v>7.1656339876730465E-2</v>
      </c>
      <c r="V568">
        <f t="shared" si="162"/>
        <v>2.9682467434625056E+24</v>
      </c>
      <c r="W568">
        <f t="shared" si="167"/>
        <v>5.4382394724020576E+17</v>
      </c>
      <c r="Y568">
        <f t="shared" si="168"/>
        <v>5.6149999999999247</v>
      </c>
      <c r="Z568">
        <f t="shared" si="163"/>
        <v>0</v>
      </c>
      <c r="AA568">
        <f t="shared" si="169"/>
        <v>0</v>
      </c>
      <c r="AB568">
        <f t="shared" si="170"/>
        <v>1.0000235668946658</v>
      </c>
      <c r="AC568" s="1">
        <f t="shared" si="164"/>
        <v>7.4493433161470389E-3</v>
      </c>
    </row>
    <row r="569" spans="9:29" x14ac:dyDescent="0.2">
      <c r="I569">
        <f t="shared" si="171"/>
        <v>5.6249999999999245</v>
      </c>
      <c r="J569">
        <f t="shared" si="153"/>
        <v>1.7945499702564915E-5</v>
      </c>
      <c r="K569">
        <f t="shared" si="165"/>
        <v>1.4833345194410115E-5</v>
      </c>
      <c r="L569">
        <f t="shared" si="154"/>
        <v>5.5138577284506534E+19</v>
      </c>
      <c r="M569">
        <f t="shared" si="155"/>
        <v>1.5861153302984966E-2</v>
      </c>
      <c r="N569">
        <f t="shared" si="156"/>
        <v>0</v>
      </c>
      <c r="O569">
        <f t="shared" si="157"/>
        <v>0</v>
      </c>
      <c r="P569">
        <f t="shared" si="158"/>
        <v>0</v>
      </c>
      <c r="R569">
        <f t="shared" si="159"/>
        <v>5.6249999999999245</v>
      </c>
      <c r="S569">
        <f t="shared" si="160"/>
        <v>1.7945614235757321E-5</v>
      </c>
      <c r="T569">
        <f t="shared" si="166"/>
        <v>8.4572737048823472E-6</v>
      </c>
      <c r="U569" s="1">
        <f t="shared" si="161"/>
        <v>7.0136930859964197E-2</v>
      </c>
      <c r="V569">
        <f t="shared" si="162"/>
        <v>3.0725573652666626E+24</v>
      </c>
      <c r="W569">
        <f t="shared" si="167"/>
        <v>5.5138929194310426E+17</v>
      </c>
      <c r="Y569">
        <f t="shared" si="168"/>
        <v>5.6249999999999245</v>
      </c>
      <c r="Z569">
        <f t="shared" si="163"/>
        <v>0</v>
      </c>
      <c r="AA569">
        <f t="shared" si="169"/>
        <v>0</v>
      </c>
      <c r="AB569">
        <f t="shared" si="170"/>
        <v>1.0000235668946658</v>
      </c>
      <c r="AC569" s="1">
        <f t="shared" si="164"/>
        <v>7.4493433161470389E-3</v>
      </c>
    </row>
    <row r="570" spans="9:29" x14ac:dyDescent="0.2">
      <c r="I570">
        <f t="shared" si="171"/>
        <v>5.6349999999999243</v>
      </c>
      <c r="J570">
        <f t="shared" si="153"/>
        <v>1.7577437241817136E-5</v>
      </c>
      <c r="K570">
        <f t="shared" si="165"/>
        <v>1.4653890197384465E-5</v>
      </c>
      <c r="L570">
        <f t="shared" si="154"/>
        <v>5.5905631302083052E+19</v>
      </c>
      <c r="M570">
        <f t="shared" si="155"/>
        <v>1.5669263801223545E-2</v>
      </c>
      <c r="N570">
        <f t="shared" si="156"/>
        <v>0</v>
      </c>
      <c r="O570">
        <f t="shared" si="157"/>
        <v>0</v>
      </c>
      <c r="P570">
        <f t="shared" si="158"/>
        <v>0</v>
      </c>
      <c r="R570">
        <f t="shared" si="159"/>
        <v>5.6349999999999243</v>
      </c>
      <c r="S570">
        <f t="shared" si="160"/>
        <v>1.7577549425932096E-5</v>
      </c>
      <c r="T570">
        <f t="shared" si="166"/>
        <v>8.2778175625247739E-6</v>
      </c>
      <c r="U570" s="1">
        <f t="shared" si="161"/>
        <v>6.864868494430193E-2</v>
      </c>
      <c r="V570">
        <f t="shared" si="162"/>
        <v>3.1805336883287083E+24</v>
      </c>
      <c r="W570">
        <f t="shared" si="167"/>
        <v>5.5905988107439981E+17</v>
      </c>
      <c r="Y570">
        <f t="shared" si="168"/>
        <v>5.6349999999999243</v>
      </c>
      <c r="Z570">
        <f t="shared" si="163"/>
        <v>0</v>
      </c>
      <c r="AA570">
        <f t="shared" si="169"/>
        <v>0</v>
      </c>
      <c r="AB570">
        <f t="shared" si="170"/>
        <v>1.0000235668946658</v>
      </c>
      <c r="AC570" s="1">
        <f t="shared" si="164"/>
        <v>7.4493433161470389E-3</v>
      </c>
    </row>
    <row r="571" spans="9:29" x14ac:dyDescent="0.2">
      <c r="I571">
        <f t="shared" si="171"/>
        <v>5.6449999999999241</v>
      </c>
      <c r="J571">
        <f t="shared" si="153"/>
        <v>1.7216923747509799E-5</v>
      </c>
      <c r="K571">
        <f t="shared" si="165"/>
        <v>1.4478115824966294E-5</v>
      </c>
      <c r="L571">
        <f t="shared" si="154"/>
        <v>5.6683356103978541E+19</v>
      </c>
      <c r="M571">
        <f t="shared" si="155"/>
        <v>1.5481309955943169E-2</v>
      </c>
      <c r="N571">
        <f t="shared" si="156"/>
        <v>0</v>
      </c>
      <c r="O571">
        <f t="shared" si="157"/>
        <v>0</v>
      </c>
      <c r="P571">
        <f t="shared" si="158"/>
        <v>0</v>
      </c>
      <c r="R571">
        <f t="shared" si="159"/>
        <v>5.6449999999999241</v>
      </c>
      <c r="S571">
        <f t="shared" si="160"/>
        <v>1.7217033630726924E-5</v>
      </c>
      <c r="T571">
        <f t="shared" si="166"/>
        <v>8.1020420682654527E-6</v>
      </c>
      <c r="U571" s="1">
        <f t="shared" si="161"/>
        <v>6.7190962974085333E-2</v>
      </c>
      <c r="V571">
        <f t="shared" si="162"/>
        <v>3.2923045333332002E+24</v>
      </c>
      <c r="W571">
        <f t="shared" si="167"/>
        <v>5.6683717872992422E+17</v>
      </c>
      <c r="Y571">
        <f t="shared" si="168"/>
        <v>5.6449999999999241</v>
      </c>
      <c r="Z571">
        <f t="shared" si="163"/>
        <v>0</v>
      </c>
      <c r="AA571">
        <f t="shared" si="169"/>
        <v>0</v>
      </c>
      <c r="AB571">
        <f t="shared" si="170"/>
        <v>1.0000235668946658</v>
      </c>
      <c r="AC571" s="1">
        <f t="shared" si="164"/>
        <v>7.4493433161470389E-3</v>
      </c>
    </row>
    <row r="572" spans="9:29" x14ac:dyDescent="0.2">
      <c r="I572">
        <f t="shared" si="171"/>
        <v>5.6549999999999239</v>
      </c>
      <c r="J572">
        <f t="shared" si="153"/>
        <v>1.6863804390231037E-5</v>
      </c>
      <c r="K572">
        <f t="shared" si="165"/>
        <v>1.4305946587491197E-5</v>
      </c>
      <c r="L572">
        <f t="shared" si="154"/>
        <v>5.7471900135590896E+19</v>
      </c>
      <c r="M572">
        <f t="shared" si="155"/>
        <v>1.5297211046771984E-2</v>
      </c>
      <c r="N572">
        <f t="shared" si="156"/>
        <v>0</v>
      </c>
      <c r="O572">
        <f t="shared" si="157"/>
        <v>0</v>
      </c>
      <c r="P572">
        <f t="shared" si="158"/>
        <v>0</v>
      </c>
      <c r="R572">
        <f t="shared" si="159"/>
        <v>5.6549999999999239</v>
      </c>
      <c r="S572">
        <f t="shared" si="160"/>
        <v>1.6863912019741776E-5</v>
      </c>
      <c r="T572">
        <f t="shared" si="166"/>
        <v>7.9298717319581841E-6</v>
      </c>
      <c r="U572" s="1">
        <f t="shared" si="161"/>
        <v>6.5763138902747958E-2</v>
      </c>
      <c r="V572">
        <f t="shared" si="162"/>
        <v>3.4080032480027787E+24</v>
      </c>
      <c r="W572">
        <f t="shared" si="167"/>
        <v>5.7472266937313075E+17</v>
      </c>
      <c r="Y572">
        <f t="shared" si="168"/>
        <v>5.6549999999999239</v>
      </c>
      <c r="Z572">
        <f t="shared" si="163"/>
        <v>0</v>
      </c>
      <c r="AA572">
        <f t="shared" si="169"/>
        <v>0</v>
      </c>
      <c r="AB572">
        <f t="shared" si="170"/>
        <v>1.0000235668946658</v>
      </c>
      <c r="AC572" s="1">
        <f t="shared" si="164"/>
        <v>7.4493433161470389E-3</v>
      </c>
    </row>
    <row r="573" spans="9:29" x14ac:dyDescent="0.2">
      <c r="I573">
        <f t="shared" si="171"/>
        <v>5.6649999999999237</v>
      </c>
      <c r="J573">
        <f t="shared" si="153"/>
        <v>1.6517927516122562E-5</v>
      </c>
      <c r="K573">
        <f t="shared" si="165"/>
        <v>1.4137308543588887E-5</v>
      </c>
      <c r="L573">
        <f t="shared" si="154"/>
        <v>5.8271413907397042E+19</v>
      </c>
      <c r="M573">
        <f t="shared" si="155"/>
        <v>1.511688800891414E-2</v>
      </c>
      <c r="N573">
        <f t="shared" si="156"/>
        <v>0</v>
      </c>
      <c r="O573">
        <f t="shared" si="157"/>
        <v>0</v>
      </c>
      <c r="P573">
        <f t="shared" si="158"/>
        <v>0</v>
      </c>
      <c r="R573">
        <f t="shared" si="159"/>
        <v>5.6649999999999237</v>
      </c>
      <c r="S573">
        <f t="shared" si="160"/>
        <v>1.6518032938150464E-5</v>
      </c>
      <c r="T573">
        <f t="shared" si="166"/>
        <v>7.7612326117607662E-6</v>
      </c>
      <c r="U573" s="1">
        <f t="shared" si="161"/>
        <v>6.4364599523947519E-2</v>
      </c>
      <c r="V573">
        <f t="shared" si="162"/>
        <v>3.5277678661878367E+24</v>
      </c>
      <c r="W573">
        <f t="shared" si="167"/>
        <v>5.8271785811839462E+17</v>
      </c>
      <c r="Y573">
        <f t="shared" si="168"/>
        <v>5.6649999999999237</v>
      </c>
      <c r="Z573">
        <f t="shared" si="163"/>
        <v>0</v>
      </c>
      <c r="AA573">
        <f t="shared" si="169"/>
        <v>0</v>
      </c>
      <c r="AB573">
        <f t="shared" si="170"/>
        <v>1.0000235668946658</v>
      </c>
      <c r="AC573" s="1">
        <f t="shared" si="164"/>
        <v>7.4493433161470389E-3</v>
      </c>
    </row>
    <row r="574" spans="9:29" x14ac:dyDescent="0.2">
      <c r="I574">
        <f t="shared" si="171"/>
        <v>5.6749999999999234</v>
      </c>
      <c r="J574">
        <f t="shared" si="153"/>
        <v>1.6179144581748845E-5</v>
      </c>
      <c r="K574">
        <f t="shared" si="165"/>
        <v>1.3972129268427662E-5</v>
      </c>
      <c r="L574">
        <f t="shared" si="154"/>
        <v>5.9082050023684588E+19</v>
      </c>
      <c r="M574">
        <f t="shared" si="155"/>
        <v>1.4940263399193911E-2</v>
      </c>
      <c r="N574">
        <f t="shared" si="156"/>
        <v>0</v>
      </c>
      <c r="O574">
        <f t="shared" si="157"/>
        <v>0</v>
      </c>
      <c r="P574">
        <f t="shared" si="158"/>
        <v>0</v>
      </c>
      <c r="R574">
        <f t="shared" si="159"/>
        <v>5.6749999999999234</v>
      </c>
      <c r="S574">
        <f t="shared" si="160"/>
        <v>1.617924784156942E-5</v>
      </c>
      <c r="T574">
        <f t="shared" si="166"/>
        <v>7.5960522823792619E-6</v>
      </c>
      <c r="U574" s="1">
        <f t="shared" si="161"/>
        <v>6.2994744208212772E-2</v>
      </c>
      <c r="V574">
        <f t="shared" si="162"/>
        <v>3.6517412725474425E+24</v>
      </c>
      <c r="W574">
        <f t="shared" si="167"/>
        <v>5.9082427101833178E+17</v>
      </c>
      <c r="Y574">
        <f t="shared" si="168"/>
        <v>5.6749999999999234</v>
      </c>
      <c r="Z574">
        <f t="shared" si="163"/>
        <v>0</v>
      </c>
      <c r="AA574">
        <f t="shared" si="169"/>
        <v>0</v>
      </c>
      <c r="AB574">
        <f t="shared" si="170"/>
        <v>1.0000235668946658</v>
      </c>
      <c r="AC574" s="1">
        <f t="shared" si="164"/>
        <v>7.4493433161470389E-3</v>
      </c>
    </row>
    <row r="575" spans="9:29" x14ac:dyDescent="0.2">
      <c r="I575">
        <f t="shared" si="171"/>
        <v>5.6849999999999232</v>
      </c>
      <c r="J575">
        <f t="shared" si="153"/>
        <v>1.584731009030242E-5</v>
      </c>
      <c r="K575">
        <f t="shared" si="165"/>
        <v>1.3810337822610174E-5</v>
      </c>
      <c r="L575">
        <f t="shared" si="154"/>
        <v>5.9903963211677893E+19</v>
      </c>
      <c r="M575">
        <f t="shared" si="155"/>
        <v>1.4767261362796226E-2</v>
      </c>
      <c r="N575">
        <f t="shared" si="156"/>
        <v>0</v>
      </c>
      <c r="O575">
        <f t="shared" si="157"/>
        <v>0</v>
      </c>
      <c r="P575">
        <f t="shared" si="158"/>
        <v>0</v>
      </c>
      <c r="R575">
        <f t="shared" si="159"/>
        <v>5.6849999999999232</v>
      </c>
      <c r="S575">
        <f t="shared" si="160"/>
        <v>1.5847411232262563E-5</v>
      </c>
      <c r="T575">
        <f t="shared" si="166"/>
        <v>7.4342598039635678E-6</v>
      </c>
      <c r="U575" s="1">
        <f t="shared" si="161"/>
        <v>6.1652984644991728E-2</v>
      </c>
      <c r="V575">
        <f t="shared" si="162"/>
        <v>3.780071373017143E+24</v>
      </c>
      <c r="W575">
        <f t="shared" si="167"/>
        <v>5.9904345535506035E+17</v>
      </c>
      <c r="Y575">
        <f t="shared" si="168"/>
        <v>5.6849999999999232</v>
      </c>
      <c r="Z575">
        <f t="shared" si="163"/>
        <v>0</v>
      </c>
      <c r="AA575">
        <f t="shared" si="169"/>
        <v>0</v>
      </c>
      <c r="AB575">
        <f t="shared" si="170"/>
        <v>1.0000235668946658</v>
      </c>
      <c r="AC575" s="1">
        <f t="shared" si="164"/>
        <v>7.4493433161470389E-3</v>
      </c>
    </row>
    <row r="576" spans="9:29" x14ac:dyDescent="0.2">
      <c r="I576">
        <f t="shared" si="171"/>
        <v>5.694999999999923</v>
      </c>
      <c r="J576">
        <f t="shared" si="153"/>
        <v>1.5522281529117457E-5</v>
      </c>
      <c r="K576">
        <f t="shared" si="165"/>
        <v>1.3651864721707149E-5</v>
      </c>
      <c r="L576">
        <f t="shared" si="154"/>
        <v>6.0737310351071445E+19</v>
      </c>
      <c r="M576">
        <f t="shared" si="155"/>
        <v>1.4597807600689381E-2</v>
      </c>
      <c r="N576">
        <f t="shared" si="156"/>
        <v>0</v>
      </c>
      <c r="O576">
        <f t="shared" si="157"/>
        <v>0</v>
      </c>
      <c r="P576">
        <f t="shared" si="158"/>
        <v>0</v>
      </c>
      <c r="R576">
        <f t="shared" si="159"/>
        <v>5.694999999999923</v>
      </c>
      <c r="S576">
        <f t="shared" si="160"/>
        <v>1.5522380596654525E-5</v>
      </c>
      <c r="T576">
        <f t="shared" si="166"/>
        <v>7.2757856916409419E-6</v>
      </c>
      <c r="U576" s="1">
        <f t="shared" si="161"/>
        <v>6.0338744589990362E-2</v>
      </c>
      <c r="V576">
        <f t="shared" si="162"/>
        <v>3.9129112712675272E+24</v>
      </c>
      <c r="W576">
        <f t="shared" si="167"/>
        <v>6.0737697993553856E+17</v>
      </c>
      <c r="Y576">
        <f t="shared" si="168"/>
        <v>5.694999999999923</v>
      </c>
      <c r="Z576">
        <f t="shared" si="163"/>
        <v>0</v>
      </c>
      <c r="AA576">
        <f t="shared" si="169"/>
        <v>0</v>
      </c>
      <c r="AB576">
        <f t="shared" si="170"/>
        <v>1.0000235668946658</v>
      </c>
      <c r="AC576" s="1">
        <f t="shared" si="164"/>
        <v>7.4493433161470389E-3</v>
      </c>
    </row>
    <row r="577" spans="9:29" x14ac:dyDescent="0.2">
      <c r="I577">
        <f t="shared" si="171"/>
        <v>5.7049999999999228</v>
      </c>
      <c r="J577">
        <f t="shared" si="153"/>
        <v>1.5203919308464958E-5</v>
      </c>
      <c r="K577">
        <f t="shared" si="165"/>
        <v>1.3496641906415973E-5</v>
      </c>
      <c r="L577">
        <f t="shared" si="154"/>
        <v>6.1582250503973093E+19</v>
      </c>
      <c r="M577">
        <f t="shared" si="155"/>
        <v>1.4431829337715899E-2</v>
      </c>
      <c r="N577">
        <f t="shared" si="156"/>
        <v>0</v>
      </c>
      <c r="O577">
        <f t="shared" si="157"/>
        <v>0</v>
      </c>
      <c r="P577">
        <f t="shared" si="158"/>
        <v>0</v>
      </c>
      <c r="R577">
        <f t="shared" si="159"/>
        <v>5.7049999999999228</v>
      </c>
      <c r="S577">
        <f t="shared" si="160"/>
        <v>1.5204016344125394E-5</v>
      </c>
      <c r="T577">
        <f t="shared" si="166"/>
        <v>7.1205618856743964E-6</v>
      </c>
      <c r="U577" s="1">
        <f t="shared" si="161"/>
        <v>5.9051459617693536E-2</v>
      </c>
      <c r="V577">
        <f t="shared" si="162"/>
        <v>4.0504194513638642E+24</v>
      </c>
      <c r="W577">
        <f t="shared" si="167"/>
        <v>6.158264353909961E+17</v>
      </c>
      <c r="Y577">
        <f t="shared" si="168"/>
        <v>5.7049999999999228</v>
      </c>
      <c r="Z577">
        <f t="shared" si="163"/>
        <v>0</v>
      </c>
      <c r="AA577">
        <f t="shared" si="169"/>
        <v>0</v>
      </c>
      <c r="AB577">
        <f t="shared" si="170"/>
        <v>1.0000235668946658</v>
      </c>
      <c r="AC577" s="1">
        <f t="shared" si="164"/>
        <v>7.4493433161470389E-3</v>
      </c>
    </row>
    <row r="578" spans="9:29" x14ac:dyDescent="0.2">
      <c r="I578">
        <f t="shared" si="171"/>
        <v>5.7149999999999226</v>
      </c>
      <c r="J578">
        <f t="shared" si="153"/>
        <v>1.489208670160339E-5</v>
      </c>
      <c r="K578">
        <f t="shared" si="165"/>
        <v>1.3344602713331324E-5</v>
      </c>
      <c r="L578">
        <f t="shared" si="154"/>
        <v>6.243894494526718E+19</v>
      </c>
      <c r="M578">
        <f t="shared" si="155"/>
        <v>1.4269255291337843E-2</v>
      </c>
      <c r="N578">
        <f t="shared" si="156"/>
        <v>0</v>
      </c>
      <c r="O578">
        <f t="shared" si="157"/>
        <v>0</v>
      </c>
      <c r="P578">
        <f t="shared" si="158"/>
        <v>0</v>
      </c>
      <c r="R578">
        <f t="shared" si="159"/>
        <v>5.7149999999999226</v>
      </c>
      <c r="S578">
        <f t="shared" si="160"/>
        <v>1.4892181747061014E-5</v>
      </c>
      <c r="T578">
        <f t="shared" si="166"/>
        <v>6.9685217222331425E-6</v>
      </c>
      <c r="U578" s="1">
        <f t="shared" si="161"/>
        <v>5.7790576878961691E-2</v>
      </c>
      <c r="V578">
        <f t="shared" si="162"/>
        <v>4.1927599668449788E+24</v>
      </c>
      <c r="W578">
        <f t="shared" si="167"/>
        <v>6.2439343448056934E+17</v>
      </c>
      <c r="Y578">
        <f t="shared" si="168"/>
        <v>5.7149999999999226</v>
      </c>
      <c r="Z578">
        <f t="shared" si="163"/>
        <v>0</v>
      </c>
      <c r="AA578">
        <f t="shared" si="169"/>
        <v>0</v>
      </c>
      <c r="AB578">
        <f t="shared" si="170"/>
        <v>1.0000235668946658</v>
      </c>
      <c r="AC578" s="1">
        <f t="shared" si="164"/>
        <v>7.4493433161470389E-3</v>
      </c>
    </row>
    <row r="579" spans="9:29" x14ac:dyDescent="0.2">
      <c r="I579">
        <f t="shared" si="171"/>
        <v>5.7249999999999224</v>
      </c>
      <c r="J579">
        <f t="shared" si="153"/>
        <v>1.4586649786058594E-5</v>
      </c>
      <c r="K579">
        <f t="shared" si="165"/>
        <v>1.319568184631529E-5</v>
      </c>
      <c r="L579">
        <f t="shared" si="154"/>
        <v>6.3307557193391661E+19</v>
      </c>
      <c r="M579">
        <f t="shared" si="155"/>
        <v>1.4110015641023165E-2</v>
      </c>
      <c r="N579">
        <f t="shared" si="156"/>
        <v>0</v>
      </c>
      <c r="O579">
        <f t="shared" si="157"/>
        <v>0</v>
      </c>
      <c r="P579">
        <f t="shared" si="158"/>
        <v>0</v>
      </c>
      <c r="R579">
        <f t="shared" si="159"/>
        <v>5.7249999999999224</v>
      </c>
      <c r="S579">
        <f t="shared" si="160"/>
        <v>1.4586742882132497E-5</v>
      </c>
      <c r="T579">
        <f t="shared" si="166"/>
        <v>6.8195999047625325E-6</v>
      </c>
      <c r="U579" s="1">
        <f t="shared" si="161"/>
        <v>5.6555554863599151E-2</v>
      </c>
      <c r="V579">
        <f t="shared" si="162"/>
        <v>4.3401026364462933E+24</v>
      </c>
      <c r="W579">
        <f t="shared" si="167"/>
        <v>6.3307961239907456E+17</v>
      </c>
      <c r="Y579">
        <f t="shared" si="168"/>
        <v>5.7249999999999224</v>
      </c>
      <c r="Z579">
        <f t="shared" si="163"/>
        <v>0</v>
      </c>
      <c r="AA579">
        <f t="shared" si="169"/>
        <v>0</v>
      </c>
      <c r="AB579">
        <f t="shared" si="170"/>
        <v>1.0000235668946658</v>
      </c>
      <c r="AC579" s="1">
        <f t="shared" si="164"/>
        <v>7.4493433161470389E-3</v>
      </c>
    </row>
    <row r="580" spans="9:29" x14ac:dyDescent="0.2">
      <c r="I580" s="6">
        <f t="shared" si="171"/>
        <v>5.7349999999999222</v>
      </c>
      <c r="J580" s="6">
        <f t="shared" si="153"/>
        <v>1.4287477386108345E-5</v>
      </c>
      <c r="K580">
        <f t="shared" si="165"/>
        <v>1.3049815348454704E-5</v>
      </c>
      <c r="L580">
        <f t="shared" si="154"/>
        <v>6.4188253041555874E+19</v>
      </c>
      <c r="M580">
        <f t="shared" si="155"/>
        <v>1.3954041998259956E-2</v>
      </c>
      <c r="N580">
        <f t="shared" si="156"/>
        <v>0</v>
      </c>
      <c r="O580">
        <f t="shared" si="157"/>
        <v>0</v>
      </c>
      <c r="P580">
        <f t="shared" si="158"/>
        <v>0</v>
      </c>
      <c r="R580">
        <f t="shared" si="159"/>
        <v>5.7349999999999222</v>
      </c>
      <c r="S580">
        <f t="shared" si="160"/>
        <v>1.4287568572780412E-5</v>
      </c>
      <c r="T580">
        <f t="shared" si="166"/>
        <v>6.6737324759412072E-6</v>
      </c>
      <c r="U580" s="1">
        <f t="shared" si="161"/>
        <v>5.5345863167792282E-2</v>
      </c>
      <c r="V580">
        <f t="shared" si="162"/>
        <v>4.492623246701748E+24</v>
      </c>
      <c r="W580">
        <f t="shared" si="167"/>
        <v>6.4188662708918592E+17</v>
      </c>
      <c r="Y580">
        <f t="shared" si="168"/>
        <v>5.7349999999999222</v>
      </c>
      <c r="Z580">
        <f t="shared" si="163"/>
        <v>0</v>
      </c>
      <c r="AA580">
        <f t="shared" si="169"/>
        <v>0</v>
      </c>
      <c r="AB580">
        <f t="shared" si="170"/>
        <v>1.0000235668946658</v>
      </c>
      <c r="AC580" s="1">
        <f t="shared" si="164"/>
        <v>7.4493433161470389E-3</v>
      </c>
    </row>
    <row r="581" spans="9:29" x14ac:dyDescent="0.2">
      <c r="I581">
        <f t="shared" si="171"/>
        <v>5.7449999999999219</v>
      </c>
      <c r="J581">
        <f t="shared" si="153"/>
        <v>1.3994441016446388E-5</v>
      </c>
      <c r="K581">
        <f t="shared" si="165"/>
        <v>1.290694057459362E-5</v>
      </c>
      <c r="L581">
        <f t="shared" si="154"/>
        <v>6.5081200589380583E+19</v>
      </c>
      <c r="M581">
        <f t="shared" si="155"/>
        <v>1.3801267377185678E-2</v>
      </c>
      <c r="N581">
        <f t="shared" si="156"/>
        <v>0</v>
      </c>
      <c r="O581">
        <f t="shared" si="157"/>
        <v>0</v>
      </c>
      <c r="P581">
        <f t="shared" si="158"/>
        <v>0</v>
      </c>
      <c r="R581">
        <f t="shared" si="159"/>
        <v>5.7449999999999219</v>
      </c>
      <c r="S581">
        <f t="shared" si="160"/>
        <v>1.3994530332878482E-5</v>
      </c>
      <c r="T581">
        <f t="shared" si="166"/>
        <v>6.5308567902134029E-6</v>
      </c>
      <c r="U581" s="1">
        <f t="shared" si="161"/>
        <v>5.4160982266317381E-2</v>
      </c>
      <c r="V581">
        <f t="shared" si="162"/>
        <v>4.6505037616648352E+24</v>
      </c>
      <c r="W581">
        <f t="shared" si="167"/>
        <v>6.5081615955784013E+17</v>
      </c>
      <c r="Y581">
        <f t="shared" si="168"/>
        <v>5.7449999999999219</v>
      </c>
      <c r="Z581">
        <f t="shared" si="163"/>
        <v>0</v>
      </c>
      <c r="AA581">
        <f t="shared" si="169"/>
        <v>0</v>
      </c>
      <c r="AB581">
        <f t="shared" si="170"/>
        <v>1.0000235668946658</v>
      </c>
      <c r="AC581" s="1">
        <f t="shared" si="164"/>
        <v>7.4493433161470389E-3</v>
      </c>
    </row>
    <row r="582" spans="9:29" x14ac:dyDescent="0.2">
      <c r="I582">
        <f t="shared" si="171"/>
        <v>5.7549999999999217</v>
      </c>
      <c r="J582">
        <f t="shared" si="153"/>
        <v>1.3707414827001957E-5</v>
      </c>
      <c r="K582">
        <f t="shared" si="165"/>
        <v>1.2766996164429157E-5</v>
      </c>
      <c r="L582">
        <f t="shared" si="154"/>
        <v>6.5986570274985599E+19</v>
      </c>
      <c r="M582">
        <f t="shared" si="155"/>
        <v>1.3651626165818817E-2</v>
      </c>
      <c r="N582">
        <f t="shared" si="156"/>
        <v>0</v>
      </c>
      <c r="O582">
        <f t="shared" si="157"/>
        <v>0</v>
      </c>
      <c r="P582">
        <f t="shared" si="158"/>
        <v>0</v>
      </c>
      <c r="R582">
        <f t="shared" si="159"/>
        <v>5.7549999999999217</v>
      </c>
      <c r="S582">
        <f t="shared" si="160"/>
        <v>1.3707502311552724E-5</v>
      </c>
      <c r="T582">
        <f t="shared" si="166"/>
        <v>6.390911486884618E-6</v>
      </c>
      <c r="U582" s="1">
        <f t="shared" si="161"/>
        <v>5.3000403289420683E-2</v>
      </c>
      <c r="V582">
        <f t="shared" si="162"/>
        <v>4.8139325400001755E+24</v>
      </c>
      <c r="W582">
        <f t="shared" si="167"/>
        <v>6.5986991419711283E+17</v>
      </c>
      <c r="Y582">
        <f t="shared" si="168"/>
        <v>5.7549999999999217</v>
      </c>
      <c r="Z582">
        <f t="shared" si="163"/>
        <v>0</v>
      </c>
      <c r="AA582">
        <f t="shared" si="169"/>
        <v>0</v>
      </c>
      <c r="AB582">
        <f t="shared" si="170"/>
        <v>1.0000235668946658</v>
      </c>
      <c r="AC582" s="1">
        <f t="shared" si="164"/>
        <v>7.4493433161470389E-3</v>
      </c>
    </row>
    <row r="583" spans="9:29" x14ac:dyDescent="0.2">
      <c r="I583">
        <f t="shared" si="171"/>
        <v>5.7649999999999215</v>
      </c>
      <c r="J583">
        <f t="shared" ref="J583:J646" si="172">IF($I583&gt;$B$23,0,1)*IF($I583&lt;($B$23-$B$21),$B$10*EXP(-$B$10*($I583-$B$8)),$B$10*EXP(-$B$10*($B$23-$B$20-$B$21-$B$8)))/(1-EXP(-$B$10*($B$23-$B$21-$B$8)))*(1/(1+$B$24))</f>
        <v>1.3426275548891138E-5</v>
      </c>
      <c r="K583">
        <f t="shared" si="165"/>
        <v>1.2629922016159137E-5</v>
      </c>
      <c r="L583">
        <f t="shared" ref="L583:L646" si="173">$V583*$J583</f>
        <v>6.6904534907521458E+19</v>
      </c>
      <c r="M583">
        <f t="shared" ref="M583:M646" si="174">$K583/$L$4*$B$18</f>
        <v>1.3505054097880546E-2</v>
      </c>
      <c r="N583">
        <f t="shared" ref="N583:N646" si="175">IF($I583&gt;$B$23,0,1)*IF($I583&lt;($B$23-$B$21),0,M583)</f>
        <v>0</v>
      </c>
      <c r="O583">
        <f t="shared" ref="O583:O646" si="176">IF($I583&gt;$B$23,0,1)*IF($I583&lt;($B$23-$B$33),0,1)*IF($I583&lt;($B$23-$B$21),$B$10*EXP(-$B$10*($I583-$B$8)),$B$10*EXP(-$B$10*($B$23-$B$20-$B$21-$B$8)))/(1-EXP(-$B$10*($B$23-$B$21-$B$8)))*(1/(1+$B$24))*($B$18/(SUM($L$7:$L$105)*0.05))</f>
        <v>0</v>
      </c>
      <c r="P583">
        <f t="shared" ref="P583:P646" si="177">IF($I583&gt;$B$23,0,1)*IF($I583&lt;($B$23-$B$21),0,1)*$L583</f>
        <v>0</v>
      </c>
      <c r="R583">
        <f t="shared" ref="R583:R646" si="178">$I583</f>
        <v>5.7649999999999215</v>
      </c>
      <c r="S583">
        <f t="shared" ref="S583:S646" si="179">IF($I583&lt;$B$23+0.01,$B$10*EXP(-$B$10*($I583-$B$8))/(1-EXP(-$B$10*($B$23-$B$8))),0)</f>
        <v>1.3426361239132494E-5</v>
      </c>
      <c r="T583">
        <f t="shared" si="166"/>
        <v>6.2538364637690906E-6</v>
      </c>
      <c r="U583" s="1">
        <f t="shared" ref="U583:U646" si="180">T583*$B$18/$W$4</f>
        <v>5.186362780427449E-2</v>
      </c>
      <c r="V583">
        <f t="shared" ref="V583:V646" si="181">10^(1.5*$I583+16.05)</f>
        <v>4.9831045597039777E+24</v>
      </c>
      <c r="W583">
        <f t="shared" si="167"/>
        <v>6.6904961910953882E+17</v>
      </c>
      <c r="Y583">
        <f t="shared" si="168"/>
        <v>5.7649999999999215</v>
      </c>
      <c r="Z583">
        <f t="shared" ref="Z583:Z646" si="182">IF(AND($Y583&lt;$B$9+$B$27*$B$28,$Y583&gt;$B$9-$B$27*$B$28),NORMDIST($Y583,$B$9,$B$27,0) / (2*NORMDIST($B$28,0,1,1)-1),0)</f>
        <v>0</v>
      </c>
      <c r="AA583">
        <f t="shared" si="169"/>
        <v>0</v>
      </c>
      <c r="AB583">
        <f t="shared" si="170"/>
        <v>1.0000235668946658</v>
      </c>
      <c r="AC583" s="1">
        <f t="shared" ref="AC583:AC646" si="183">$AB583*$B$18/$AA$4</f>
        <v>7.4493433161470389E-3</v>
      </c>
    </row>
    <row r="584" spans="9:29" x14ac:dyDescent="0.2">
      <c r="I584">
        <f t="shared" si="171"/>
        <v>5.7749999999999213</v>
      </c>
      <c r="J584">
        <f t="shared" si="172"/>
        <v>1.3150902441476562E-5</v>
      </c>
      <c r="K584">
        <f t="shared" ref="K584:K647" si="184">$J584*K$4+K585</f>
        <v>1.2495659260670225E-5</v>
      </c>
      <c r="L584">
        <f t="shared" si="173"/>
        <v>6.7835269700153647E+19</v>
      </c>
      <c r="M584">
        <f t="shared" si="174"/>
        <v>1.336148822519437E-2</v>
      </c>
      <c r="N584">
        <f t="shared" si="175"/>
        <v>0</v>
      </c>
      <c r="O584">
        <f t="shared" si="176"/>
        <v>0</v>
      </c>
      <c r="P584">
        <f t="shared" si="177"/>
        <v>0</v>
      </c>
      <c r="R584">
        <f t="shared" si="178"/>
        <v>5.7749999999999213</v>
      </c>
      <c r="S584">
        <f t="shared" si="179"/>
        <v>1.3150986374209817E-5</v>
      </c>
      <c r="T584">
        <f t="shared" ref="T584:T647" si="185">T585+$S584*0.01</f>
        <v>6.1195728513777654E-6</v>
      </c>
      <c r="U584" s="1">
        <f t="shared" si="180"/>
        <v>5.0750167600915684E-2</v>
      </c>
      <c r="V584">
        <f t="shared" si="181"/>
        <v>5.1582216507217288E+24</v>
      </c>
      <c r="W584">
        <f t="shared" ref="W584:W647" si="186">$S584*$V584*0.01</f>
        <v>6.7835702643795533E+17</v>
      </c>
      <c r="Y584">
        <f t="shared" ref="Y584:Y647" si="187">I584</f>
        <v>5.7749999999999213</v>
      </c>
      <c r="Z584">
        <f t="shared" si="182"/>
        <v>0</v>
      </c>
      <c r="AA584">
        <f t="shared" ref="AA584:AA647" si="188">$V584*$Z584*$K$4</f>
        <v>0</v>
      </c>
      <c r="AB584">
        <f t="shared" ref="AB584:AB647" si="189">Z584*$K$4+AB585</f>
        <v>1.0000235668946658</v>
      </c>
      <c r="AC584" s="1">
        <f t="shared" si="183"/>
        <v>7.4493433161470389E-3</v>
      </c>
    </row>
    <row r="585" spans="9:29" x14ac:dyDescent="0.2">
      <c r="I585">
        <f t="shared" si="171"/>
        <v>5.7849999999999211</v>
      </c>
      <c r="J585">
        <f t="shared" si="172"/>
        <v>1.2881177240513111E-5</v>
      </c>
      <c r="K585">
        <f t="shared" si="184"/>
        <v>1.2364150236255459E-5</v>
      </c>
      <c r="L585">
        <f t="shared" si="173"/>
        <v>6.8778952303503729E+19</v>
      </c>
      <c r="M585">
        <f t="shared" si="174"/>
        <v>1.3220866890651798E-2</v>
      </c>
      <c r="N585">
        <f t="shared" si="175"/>
        <v>0</v>
      </c>
      <c r="O585">
        <f t="shared" si="176"/>
        <v>0</v>
      </c>
      <c r="P585">
        <f t="shared" si="177"/>
        <v>0</v>
      </c>
      <c r="R585">
        <f t="shared" si="178"/>
        <v>5.7849999999999211</v>
      </c>
      <c r="S585">
        <f t="shared" si="179"/>
        <v>1.2881259451784783E-5</v>
      </c>
      <c r="T585">
        <f t="shared" si="185"/>
        <v>5.9880629876356669E-6</v>
      </c>
      <c r="U585" s="1">
        <f t="shared" si="180"/>
        <v>4.9659544482574591E-2</v>
      </c>
      <c r="V585">
        <f t="shared" si="181"/>
        <v>5.3394927357403536E+24</v>
      </c>
      <c r="W585">
        <f t="shared" si="186"/>
        <v>6.8779391269991616E+17</v>
      </c>
      <c r="Y585">
        <f t="shared" si="187"/>
        <v>5.7849999999999211</v>
      </c>
      <c r="Z585">
        <f t="shared" si="182"/>
        <v>0</v>
      </c>
      <c r="AA585">
        <f t="shared" si="188"/>
        <v>0</v>
      </c>
      <c r="AB585">
        <f t="shared" si="189"/>
        <v>1.0000235668946658</v>
      </c>
      <c r="AC585" s="1">
        <f t="shared" si="183"/>
        <v>7.4493433161470389E-3</v>
      </c>
    </row>
    <row r="586" spans="9:29" x14ac:dyDescent="0.2">
      <c r="I586">
        <f t="shared" si="171"/>
        <v>5.7949999999999209</v>
      </c>
      <c r="J586">
        <f t="shared" si="172"/>
        <v>1.2616984107357061E-5</v>
      </c>
      <c r="K586">
        <f t="shared" si="184"/>
        <v>1.2235338463850328E-5</v>
      </c>
      <c r="L586">
        <f t="shared" si="173"/>
        <v>6.9735762839562486E+19</v>
      </c>
      <c r="M586">
        <f t="shared" si="174"/>
        <v>1.3083129701732542E-2</v>
      </c>
      <c r="N586">
        <f t="shared" si="175"/>
        <v>0</v>
      </c>
      <c r="O586">
        <f t="shared" si="176"/>
        <v>0</v>
      </c>
      <c r="P586">
        <f t="shared" si="177"/>
        <v>0</v>
      </c>
      <c r="R586">
        <f t="shared" si="178"/>
        <v>5.7949999999999209</v>
      </c>
      <c r="S586">
        <f t="shared" si="179"/>
        <v>1.2617064632474351E-5</v>
      </c>
      <c r="T586">
        <f t="shared" si="185"/>
        <v>5.8592503931178188E-6</v>
      </c>
      <c r="U586" s="1">
        <f t="shared" si="180"/>
        <v>4.8591290060304292E-2</v>
      </c>
      <c r="V586">
        <f t="shared" si="181"/>
        <v>5.5271340794428856E+24</v>
      </c>
      <c r="W586">
        <f t="shared" si="186"/>
        <v>6.9736207912682509E+17</v>
      </c>
      <c r="Y586">
        <f t="shared" si="187"/>
        <v>5.7949999999999209</v>
      </c>
      <c r="Z586">
        <f t="shared" si="182"/>
        <v>0</v>
      </c>
      <c r="AA586">
        <f t="shared" si="188"/>
        <v>0</v>
      </c>
      <c r="AB586">
        <f t="shared" si="189"/>
        <v>1.0000235668946658</v>
      </c>
      <c r="AC586" s="1">
        <f t="shared" si="183"/>
        <v>7.4493433161470389E-3</v>
      </c>
    </row>
    <row r="587" spans="9:29" x14ac:dyDescent="0.2">
      <c r="I587">
        <f t="shared" si="171"/>
        <v>5.8049999999999207</v>
      </c>
      <c r="J587">
        <f t="shared" si="172"/>
        <v>1.2358209579216941E-5</v>
      </c>
      <c r="K587">
        <f t="shared" si="184"/>
        <v>1.2109168622776758E-5</v>
      </c>
      <c r="L587">
        <f t="shared" si="173"/>
        <v>7.0705883936064643E+19</v>
      </c>
      <c r="M587">
        <f t="shared" si="174"/>
        <v>1.2948217504567787E-2</v>
      </c>
      <c r="N587">
        <f t="shared" si="175"/>
        <v>0</v>
      </c>
      <c r="O587">
        <f t="shared" si="176"/>
        <v>0</v>
      </c>
      <c r="P587">
        <f t="shared" si="177"/>
        <v>0</v>
      </c>
      <c r="R587">
        <f t="shared" si="178"/>
        <v>5.8049999999999207</v>
      </c>
      <c r="S587">
        <f t="shared" si="179"/>
        <v>1.2358288452762899E-5</v>
      </c>
      <c r="T587">
        <f t="shared" si="185"/>
        <v>5.7330797467930755E-6</v>
      </c>
      <c r="U587" s="1">
        <f t="shared" si="180"/>
        <v>4.7544945551821975E-2</v>
      </c>
      <c r="V587">
        <f t="shared" si="181"/>
        <v>5.7213695465217071E+24</v>
      </c>
      <c r="W587">
        <f t="shared" si="186"/>
        <v>7.0706335200768512E+17</v>
      </c>
      <c r="Y587">
        <f t="shared" si="187"/>
        <v>5.8049999999999207</v>
      </c>
      <c r="Z587">
        <f t="shared" si="182"/>
        <v>0</v>
      </c>
      <c r="AA587">
        <f t="shared" si="188"/>
        <v>0</v>
      </c>
      <c r="AB587">
        <f t="shared" si="189"/>
        <v>1.0000235668946658</v>
      </c>
      <c r="AC587" s="1">
        <f t="shared" si="183"/>
        <v>7.4493433161470389E-3</v>
      </c>
    </row>
    <row r="588" spans="9:29" x14ac:dyDescent="0.2">
      <c r="I588">
        <f t="shared" si="171"/>
        <v>5.8149999999999205</v>
      </c>
      <c r="J588">
        <f t="shared" si="172"/>
        <v>1.2104742520424855E-5</v>
      </c>
      <c r="K588">
        <f t="shared" si="184"/>
        <v>1.1985586526984588E-5</v>
      </c>
      <c r="L588">
        <f t="shared" si="173"/>
        <v>7.1689500761352192E+19</v>
      </c>
      <c r="M588">
        <f t="shared" si="174"/>
        <v>1.2816072358535421E-2</v>
      </c>
      <c r="N588">
        <f t="shared" si="175"/>
        <v>0</v>
      </c>
      <c r="O588">
        <f t="shared" si="176"/>
        <v>0</v>
      </c>
      <c r="P588">
        <f t="shared" si="177"/>
        <v>0</v>
      </c>
      <c r="R588">
        <f t="shared" si="178"/>
        <v>5.8149999999999205</v>
      </c>
      <c r="S588">
        <f t="shared" si="179"/>
        <v>1.2104819776273236E-5</v>
      </c>
      <c r="T588">
        <f t="shared" si="185"/>
        <v>5.6094968622654467E-6</v>
      </c>
      <c r="U588" s="1">
        <f t="shared" si="180"/>
        <v>4.6520061584476163E-2</v>
      </c>
      <c r="V588">
        <f t="shared" si="181"/>
        <v>5.9224308687596947E+24</v>
      </c>
      <c r="W588">
        <f t="shared" si="186"/>
        <v>7.168995830377344E+17</v>
      </c>
      <c r="Y588">
        <f t="shared" si="187"/>
        <v>5.8149999999999205</v>
      </c>
      <c r="Z588">
        <f t="shared" si="182"/>
        <v>0</v>
      </c>
      <c r="AA588">
        <f t="shared" si="188"/>
        <v>0</v>
      </c>
      <c r="AB588">
        <f t="shared" si="189"/>
        <v>1.0000235668946658</v>
      </c>
      <c r="AC588" s="1">
        <f t="shared" si="183"/>
        <v>7.4493433161470389E-3</v>
      </c>
    </row>
    <row r="589" spans="9:29" x14ac:dyDescent="0.2">
      <c r="I589">
        <f t="shared" si="171"/>
        <v>5.8249999999999202</v>
      </c>
      <c r="J589">
        <f t="shared" si="172"/>
        <v>1.1856474074707008E-5</v>
      </c>
      <c r="K589">
        <f t="shared" si="184"/>
        <v>1.1864539101780339E-5</v>
      </c>
      <c r="L589">
        <f t="shared" si="173"/>
        <v>7.2686801059713376E+19</v>
      </c>
      <c r="M589">
        <f t="shared" si="174"/>
        <v>1.2686637511376353E-2</v>
      </c>
      <c r="N589">
        <f t="shared" si="175"/>
        <v>0</v>
      </c>
      <c r="O589">
        <f t="shared" si="176"/>
        <v>0</v>
      </c>
      <c r="P589">
        <f t="shared" si="177"/>
        <v>0</v>
      </c>
      <c r="R589">
        <f t="shared" si="178"/>
        <v>5.8249999999999202</v>
      </c>
      <c r="S589">
        <f t="shared" si="179"/>
        <v>1.1856549746036811E-5</v>
      </c>
      <c r="T589">
        <f t="shared" si="185"/>
        <v>5.4884486645027142E-6</v>
      </c>
      <c r="U589" s="1">
        <f t="shared" si="180"/>
        <v>4.5516198002255003E-2</v>
      </c>
      <c r="V589">
        <f t="shared" si="181"/>
        <v>6.1305579214965376E+24</v>
      </c>
      <c r="W589">
        <f t="shared" si="186"/>
        <v>7.2687264967183731E+17</v>
      </c>
      <c r="Y589">
        <f t="shared" si="187"/>
        <v>5.8249999999999202</v>
      </c>
      <c r="Z589">
        <f t="shared" si="182"/>
        <v>0</v>
      </c>
      <c r="AA589">
        <f t="shared" si="188"/>
        <v>0</v>
      </c>
      <c r="AB589">
        <f t="shared" si="189"/>
        <v>1.0000235668946658</v>
      </c>
      <c r="AC589" s="1">
        <f t="shared" si="183"/>
        <v>7.4493433161470389E-3</v>
      </c>
    </row>
    <row r="590" spans="9:29" x14ac:dyDescent="0.2">
      <c r="I590">
        <f t="shared" si="171"/>
        <v>5.83499999999992</v>
      </c>
      <c r="J590">
        <f t="shared" si="172"/>
        <v>1.1613297618433393E-5</v>
      </c>
      <c r="K590">
        <f t="shared" si="184"/>
        <v>1.1745974361033268E-5</v>
      </c>
      <c r="L590">
        <f t="shared" si="173"/>
        <v>7.3697975187220906E+19</v>
      </c>
      <c r="M590">
        <f t="shared" si="174"/>
        <v>1.2559857374821137E-2</v>
      </c>
      <c r="N590">
        <f t="shared" si="175"/>
        <v>0</v>
      </c>
      <c r="O590">
        <f t="shared" si="176"/>
        <v>0</v>
      </c>
      <c r="P590">
        <f t="shared" si="177"/>
        <v>0</v>
      </c>
      <c r="R590">
        <f t="shared" si="178"/>
        <v>5.83499999999992</v>
      </c>
      <c r="S590">
        <f t="shared" si="179"/>
        <v>1.1613371737743117E-5</v>
      </c>
      <c r="T590">
        <f t="shared" si="185"/>
        <v>5.3698831670423462E-6</v>
      </c>
      <c r="U590" s="1">
        <f t="shared" si="180"/>
        <v>4.4532923676752871E-2</v>
      </c>
      <c r="V590">
        <f t="shared" si="181"/>
        <v>6.3459990098111849E+24</v>
      </c>
      <c r="W590">
        <f t="shared" si="186"/>
        <v>7.3698445548287014E+17</v>
      </c>
      <c r="Y590">
        <f t="shared" si="187"/>
        <v>5.83499999999992</v>
      </c>
      <c r="Z590">
        <f t="shared" si="182"/>
        <v>0</v>
      </c>
      <c r="AA590">
        <f t="shared" si="188"/>
        <v>0</v>
      </c>
      <c r="AB590">
        <f t="shared" si="189"/>
        <v>1.0000235668946658</v>
      </c>
      <c r="AC590" s="1">
        <f t="shared" si="183"/>
        <v>7.4493433161470389E-3</v>
      </c>
    </row>
    <row r="591" spans="9:29" x14ac:dyDescent="0.2">
      <c r="I591">
        <f t="shared" si="171"/>
        <v>5.8449999999999198</v>
      </c>
      <c r="J591">
        <f t="shared" si="172"/>
        <v>1.1375108714826211E-5</v>
      </c>
      <c r="K591">
        <f t="shared" si="184"/>
        <v>1.1629841384848934E-5</v>
      </c>
      <c r="L591">
        <f t="shared" si="173"/>
        <v>7.4723216148062618E+19</v>
      </c>
      <c r="M591">
        <f t="shared" si="174"/>
        <v>1.2435677500716556E-2</v>
      </c>
      <c r="N591">
        <f t="shared" si="175"/>
        <v>0</v>
      </c>
      <c r="O591">
        <f t="shared" si="176"/>
        <v>0</v>
      </c>
      <c r="P591">
        <f t="shared" si="177"/>
        <v>0</v>
      </c>
      <c r="R591">
        <f t="shared" si="178"/>
        <v>5.8449999999999198</v>
      </c>
      <c r="S591">
        <f t="shared" si="179"/>
        <v>1.1375181313947811E-5</v>
      </c>
      <c r="T591">
        <f t="shared" si="185"/>
        <v>5.2537494496649153E-6</v>
      </c>
      <c r="U591" s="1">
        <f t="shared" si="180"/>
        <v>4.3569816322014045E-2</v>
      </c>
      <c r="V591">
        <f t="shared" si="181"/>
        <v>6.5690111647609196E+24</v>
      </c>
      <c r="W591">
        <f t="shared" si="186"/>
        <v>7.472369305250295E+17</v>
      </c>
      <c r="Y591">
        <f t="shared" si="187"/>
        <v>5.8449999999999198</v>
      </c>
      <c r="Z591">
        <f t="shared" si="182"/>
        <v>0</v>
      </c>
      <c r="AA591">
        <f t="shared" si="188"/>
        <v>0</v>
      </c>
      <c r="AB591">
        <f t="shared" si="189"/>
        <v>1.0000235668946658</v>
      </c>
      <c r="AC591" s="1">
        <f t="shared" si="183"/>
        <v>7.4493433161470389E-3</v>
      </c>
    </row>
    <row r="592" spans="9:29" x14ac:dyDescent="0.2">
      <c r="I592">
        <f t="shared" si="171"/>
        <v>5.8549999999999196</v>
      </c>
      <c r="J592">
        <f t="shared" si="172"/>
        <v>1.1141805069107476E-5</v>
      </c>
      <c r="K592">
        <f t="shared" si="184"/>
        <v>1.1516090297700672E-5</v>
      </c>
      <c r="L592">
        <f t="shared" si="173"/>
        <v>7.5762719631383495E+19</v>
      </c>
      <c r="M592">
        <f t="shared" si="174"/>
        <v>1.2314044557641809E-2</v>
      </c>
      <c r="N592">
        <f t="shared" si="175"/>
        <v>0</v>
      </c>
      <c r="O592">
        <f t="shared" si="176"/>
        <v>0</v>
      </c>
      <c r="P592">
        <f t="shared" si="177"/>
        <v>0</v>
      </c>
      <c r="R592">
        <f t="shared" si="178"/>
        <v>5.8549999999999196</v>
      </c>
      <c r="S592">
        <f t="shared" si="179"/>
        <v>1.1141876179220034E-5</v>
      </c>
      <c r="T592">
        <f t="shared" si="185"/>
        <v>5.1399976365254368E-6</v>
      </c>
      <c r="U592" s="1">
        <f t="shared" si="180"/>
        <v>4.2626462313173887E-2</v>
      </c>
      <c r="V592">
        <f t="shared" si="181"/>
        <v>6.7998604500314173E+24</v>
      </c>
      <c r="W592">
        <f t="shared" si="186"/>
        <v>7.5763203170225472E+17</v>
      </c>
      <c r="Y592">
        <f t="shared" si="187"/>
        <v>5.8549999999999196</v>
      </c>
      <c r="Z592">
        <f t="shared" si="182"/>
        <v>0</v>
      </c>
      <c r="AA592">
        <f t="shared" si="188"/>
        <v>0</v>
      </c>
      <c r="AB592">
        <f t="shared" si="189"/>
        <v>1.0000235668946658</v>
      </c>
      <c r="AC592" s="1">
        <f t="shared" si="183"/>
        <v>7.4493433161470389E-3</v>
      </c>
    </row>
    <row r="593" spans="9:29" x14ac:dyDescent="0.2">
      <c r="I593">
        <f t="shared" si="171"/>
        <v>5.8649999999999194</v>
      </c>
      <c r="J593">
        <f t="shared" si="172"/>
        <v>1.0913286484566657E-5</v>
      </c>
      <c r="K593">
        <f t="shared" si="184"/>
        <v>1.1404672247009598E-5</v>
      </c>
      <c r="L593">
        <f t="shared" si="173"/>
        <v>7.6816684048635052E+19</v>
      </c>
      <c r="M593">
        <f t="shared" si="174"/>
        <v>1.2194906308004305E-2</v>
      </c>
      <c r="N593">
        <f t="shared" si="175"/>
        <v>0</v>
      </c>
      <c r="O593">
        <f t="shared" si="176"/>
        <v>0</v>
      </c>
      <c r="P593">
        <f t="shared" si="177"/>
        <v>0</v>
      </c>
      <c r="R593">
        <f t="shared" si="178"/>
        <v>5.8649999999999194</v>
      </c>
      <c r="S593">
        <f t="shared" si="179"/>
        <v>1.0913356136209768E-5</v>
      </c>
      <c r="T593">
        <f t="shared" si="185"/>
        <v>5.0285788747332364E-6</v>
      </c>
      <c r="U593" s="1">
        <f t="shared" si="180"/>
        <v>4.1702456508819812E-2</v>
      </c>
      <c r="V593">
        <f t="shared" si="181"/>
        <v>7.0388222793626477E+24</v>
      </c>
      <c r="W593">
        <f t="shared" si="186"/>
        <v>7.681717431417239E+17</v>
      </c>
      <c r="Y593">
        <f t="shared" si="187"/>
        <v>5.8649999999999194</v>
      </c>
      <c r="Z593">
        <f t="shared" si="182"/>
        <v>0</v>
      </c>
      <c r="AA593">
        <f t="shared" si="188"/>
        <v>0</v>
      </c>
      <c r="AB593">
        <f t="shared" si="189"/>
        <v>1.0000235668946658</v>
      </c>
      <c r="AC593" s="1">
        <f t="shared" si="183"/>
        <v>7.4493433161470389E-3</v>
      </c>
    </row>
    <row r="594" spans="9:29" x14ac:dyDescent="0.2">
      <c r="I594">
        <f t="shared" si="171"/>
        <v>5.8749999999999192</v>
      </c>
      <c r="J594">
        <f t="shared" si="172"/>
        <v>1.0689454819529155E-5</v>
      </c>
      <c r="K594">
        <f t="shared" si="184"/>
        <v>1.1295539382163931E-5</v>
      </c>
      <c r="L594">
        <f t="shared" si="173"/>
        <v>7.7885310571448304E+19</v>
      </c>
      <c r="M594">
        <f t="shared" si="174"/>
        <v>1.2078211585605248E-2</v>
      </c>
      <c r="N594">
        <f t="shared" si="175"/>
        <v>0</v>
      </c>
      <c r="O594">
        <f t="shared" si="176"/>
        <v>0</v>
      </c>
      <c r="P594">
        <f t="shared" si="177"/>
        <v>0</v>
      </c>
      <c r="R594">
        <f t="shared" si="178"/>
        <v>5.8749999999999192</v>
      </c>
      <c r="S594">
        <f t="shared" si="179"/>
        <v>1.068952304261605E-5</v>
      </c>
      <c r="T594">
        <f t="shared" si="185"/>
        <v>4.9194453133711387E-6</v>
      </c>
      <c r="U594" s="1">
        <f t="shared" si="180"/>
        <v>4.079740207699549E-2</v>
      </c>
      <c r="V594">
        <f t="shared" si="181"/>
        <v>7.2861817451302879E+24</v>
      </c>
      <c r="W594">
        <f t="shared" si="186"/>
        <v>7.7885807657258637E+17</v>
      </c>
      <c r="Y594">
        <f t="shared" si="187"/>
        <v>5.8749999999999192</v>
      </c>
      <c r="Z594">
        <f t="shared" si="182"/>
        <v>0</v>
      </c>
      <c r="AA594">
        <f t="shared" si="188"/>
        <v>0</v>
      </c>
      <c r="AB594">
        <f t="shared" si="189"/>
        <v>1.0000235668946658</v>
      </c>
      <c r="AC594" s="1">
        <f t="shared" si="183"/>
        <v>7.4493433161470389E-3</v>
      </c>
    </row>
    <row r="595" spans="9:29" x14ac:dyDescent="0.2">
      <c r="I595">
        <f t="shared" si="171"/>
        <v>5.884999999999919</v>
      </c>
      <c r="J595">
        <f t="shared" si="172"/>
        <v>1.0470213945207566E-5</v>
      </c>
      <c r="K595">
        <f t="shared" si="184"/>
        <v>1.118864483396864E-5</v>
      </c>
      <c r="L595">
        <f t="shared" si="173"/>
        <v>7.896880317002829E+19</v>
      </c>
      <c r="M595">
        <f t="shared" si="174"/>
        <v>1.1963910273665326E-2</v>
      </c>
      <c r="N595">
        <f t="shared" si="175"/>
        <v>0</v>
      </c>
      <c r="O595">
        <f t="shared" si="176"/>
        <v>0</v>
      </c>
      <c r="P595">
        <f t="shared" si="177"/>
        <v>0</v>
      </c>
      <c r="R595">
        <f t="shared" si="178"/>
        <v>5.884999999999919</v>
      </c>
      <c r="S595">
        <f t="shared" si="179"/>
        <v>1.0470280769037953E-5</v>
      </c>
      <c r="T595">
        <f t="shared" si="185"/>
        <v>4.8125500829449782E-6</v>
      </c>
      <c r="U595" s="1">
        <f t="shared" si="180"/>
        <v>3.9910910324773799E-2</v>
      </c>
      <c r="V595">
        <f t="shared" si="181"/>
        <v>7.5422339584735933E+24</v>
      </c>
      <c r="W595">
        <f t="shared" si="186"/>
        <v>7.8969307170991066E+17</v>
      </c>
      <c r="Y595">
        <f t="shared" si="187"/>
        <v>5.884999999999919</v>
      </c>
      <c r="Z595">
        <f t="shared" si="182"/>
        <v>0</v>
      </c>
      <c r="AA595">
        <f t="shared" si="188"/>
        <v>0</v>
      </c>
      <c r="AB595">
        <f t="shared" si="189"/>
        <v>1.0000235668946658</v>
      </c>
      <c r="AC595" s="1">
        <f t="shared" si="183"/>
        <v>7.4493433161470389E-3</v>
      </c>
    </row>
    <row r="596" spans="9:29" x14ac:dyDescent="0.2">
      <c r="I596">
        <f t="shared" si="171"/>
        <v>5.8949999999999187</v>
      </c>
      <c r="J596">
        <f t="shared" si="172"/>
        <v>1.0255469704417323E-5</v>
      </c>
      <c r="K596">
        <f t="shared" si="184"/>
        <v>1.1083942694516565E-5</v>
      </c>
      <c r="L596">
        <f t="shared" si="173"/>
        <v>8.0067368652091081E+19</v>
      </c>
      <c r="M596">
        <f t="shared" si="174"/>
        <v>1.1851953283301096E-2</v>
      </c>
      <c r="N596">
        <f t="shared" si="175"/>
        <v>0</v>
      </c>
      <c r="O596">
        <f t="shared" si="176"/>
        <v>0</v>
      </c>
      <c r="P596">
        <f t="shared" si="177"/>
        <v>0</v>
      </c>
      <c r="R596">
        <f t="shared" si="178"/>
        <v>5.8949999999999187</v>
      </c>
      <c r="S596">
        <f t="shared" si="179"/>
        <v>1.0255535157689973E-5</v>
      </c>
      <c r="T596">
        <f t="shared" si="185"/>
        <v>4.7078472752545983E-6</v>
      </c>
      <c r="U596" s="1">
        <f t="shared" si="180"/>
        <v>3.9042600531325244E-2</v>
      </c>
      <c r="V596">
        <f t="shared" si="181"/>
        <v>7.8072844013769339E+24</v>
      </c>
      <c r="W596">
        <f t="shared" si="186"/>
        <v>8.0067879664405658E+17</v>
      </c>
      <c r="Y596">
        <f t="shared" si="187"/>
        <v>5.8949999999999187</v>
      </c>
      <c r="Z596">
        <f t="shared" si="182"/>
        <v>0</v>
      </c>
      <c r="AA596">
        <f t="shared" si="188"/>
        <v>0</v>
      </c>
      <c r="AB596">
        <f t="shared" si="189"/>
        <v>1.0000235668946658</v>
      </c>
      <c r="AC596" s="1">
        <f t="shared" si="183"/>
        <v>7.4493433161470389E-3</v>
      </c>
    </row>
    <row r="597" spans="9:29" x14ac:dyDescent="0.2">
      <c r="I597">
        <f t="shared" si="171"/>
        <v>5.9049999999999185</v>
      </c>
      <c r="J597">
        <f t="shared" si="172"/>
        <v>1.0045129871139067E-5</v>
      </c>
      <c r="K597">
        <f t="shared" si="184"/>
        <v>1.0981387997472391E-5</v>
      </c>
      <c r="L597">
        <f t="shared" si="173"/>
        <v>8.1181216702331142E+19</v>
      </c>
      <c r="M597">
        <f t="shared" si="174"/>
        <v>1.1742292532442834E-2</v>
      </c>
      <c r="N597">
        <f t="shared" si="175"/>
        <v>0</v>
      </c>
      <c r="O597">
        <f t="shared" si="176"/>
        <v>0</v>
      </c>
      <c r="P597">
        <f t="shared" si="177"/>
        <v>0</v>
      </c>
      <c r="R597">
        <f t="shared" si="178"/>
        <v>5.9049999999999185</v>
      </c>
      <c r="S597">
        <f t="shared" si="179"/>
        <v>1.0045193981964141E-5</v>
      </c>
      <c r="T597">
        <f t="shared" si="185"/>
        <v>4.6052919236776986E-6</v>
      </c>
      <c r="U597" s="1">
        <f t="shared" si="180"/>
        <v>3.8192099784410086E-2</v>
      </c>
      <c r="V597">
        <f t="shared" si="181"/>
        <v>8.0816492911231619E+24</v>
      </c>
      <c r="W597">
        <f t="shared" si="186"/>
        <v>8.1181734823535155E+17</v>
      </c>
      <c r="Y597">
        <f t="shared" si="187"/>
        <v>5.9049999999999185</v>
      </c>
      <c r="Z597">
        <f t="shared" si="182"/>
        <v>0</v>
      </c>
      <c r="AA597">
        <f t="shared" si="188"/>
        <v>0</v>
      </c>
      <c r="AB597">
        <f t="shared" si="189"/>
        <v>1.0000235668946658</v>
      </c>
      <c r="AC597" s="1">
        <f t="shared" si="183"/>
        <v>7.4493433161470389E-3</v>
      </c>
    </row>
    <row r="598" spans="9:29" x14ac:dyDescent="0.2">
      <c r="I598">
        <f t="shared" si="171"/>
        <v>5.9149999999999183</v>
      </c>
      <c r="J598">
        <f t="shared" si="172"/>
        <v>9.8391041109104971E-6</v>
      </c>
      <c r="K598">
        <f t="shared" si="184"/>
        <v>1.0880936698761E-5</v>
      </c>
      <c r="L598">
        <f t="shared" si="173"/>
        <v>8.2310559922450285E+19</v>
      </c>
      <c r="M598">
        <f t="shared" si="174"/>
        <v>1.1634880925184768E-2</v>
      </c>
      <c r="N598">
        <f t="shared" si="175"/>
        <v>0</v>
      </c>
      <c r="O598">
        <f t="shared" si="176"/>
        <v>0</v>
      </c>
      <c r="P598">
        <f t="shared" si="177"/>
        <v>0</v>
      </c>
      <c r="R598">
        <f t="shared" si="178"/>
        <v>5.9149999999999183</v>
      </c>
      <c r="S598">
        <f t="shared" si="179"/>
        <v>9.8391669068216141E-6</v>
      </c>
      <c r="T598">
        <f t="shared" si="185"/>
        <v>4.5048399838580574E-6</v>
      </c>
      <c r="U598" s="1">
        <f t="shared" si="180"/>
        <v>3.7359042820224078E-2</v>
      </c>
      <c r="V598">
        <f t="shared" si="181"/>
        <v>8.3656559575558119E+24</v>
      </c>
      <c r="W598">
        <f t="shared" si="186"/>
        <v>8.2311085251438234E+17</v>
      </c>
      <c r="Y598">
        <f t="shared" si="187"/>
        <v>5.9149999999999183</v>
      </c>
      <c r="Z598">
        <f t="shared" si="182"/>
        <v>0</v>
      </c>
      <c r="AA598">
        <f t="shared" si="188"/>
        <v>0</v>
      </c>
      <c r="AB598">
        <f t="shared" si="189"/>
        <v>1.0000235668946658</v>
      </c>
      <c r="AC598" s="1">
        <f t="shared" si="183"/>
        <v>7.4493433161470389E-3</v>
      </c>
    </row>
    <row r="599" spans="9:29" x14ac:dyDescent="0.2">
      <c r="I599">
        <f t="shared" si="171"/>
        <v>5.9249999999999181</v>
      </c>
      <c r="J599">
        <f t="shared" si="172"/>
        <v>9.637303942030401E-6</v>
      </c>
      <c r="K599">
        <f t="shared" si="184"/>
        <v>1.0782545657651895E-5</v>
      </c>
      <c r="L599">
        <f t="shared" si="173"/>
        <v>8.3455613871733621E+19</v>
      </c>
      <c r="M599">
        <f t="shared" si="174"/>
        <v>1.1529672331558837E-2</v>
      </c>
      <c r="N599">
        <f t="shared" si="175"/>
        <v>0</v>
      </c>
      <c r="O599">
        <f t="shared" si="176"/>
        <v>0</v>
      </c>
      <c r="P599">
        <f t="shared" si="177"/>
        <v>0</v>
      </c>
      <c r="R599">
        <f t="shared" si="178"/>
        <v>5.9249999999999181</v>
      </c>
      <c r="S599">
        <f t="shared" si="179"/>
        <v>9.6373654499964646E-6</v>
      </c>
      <c r="T599">
        <f t="shared" si="185"/>
        <v>4.4064483147898417E-6</v>
      </c>
      <c r="U599" s="1">
        <f t="shared" si="180"/>
        <v>3.6543071866528914E-2</v>
      </c>
      <c r="V599">
        <f t="shared" si="181"/>
        <v>8.6596432335982835E+24</v>
      </c>
      <c r="W599">
        <f t="shared" si="186"/>
        <v>8.345614650877577E+17</v>
      </c>
      <c r="Y599">
        <f t="shared" si="187"/>
        <v>5.9249999999999181</v>
      </c>
      <c r="Z599">
        <f t="shared" si="182"/>
        <v>0</v>
      </c>
      <c r="AA599">
        <f t="shared" si="188"/>
        <v>0</v>
      </c>
      <c r="AB599">
        <f t="shared" si="189"/>
        <v>1.0000235668946658</v>
      </c>
      <c r="AC599" s="1">
        <f t="shared" si="183"/>
        <v>7.4493433161470389E-3</v>
      </c>
    </row>
    <row r="600" spans="9:29" x14ac:dyDescent="0.2">
      <c r="I600">
        <f t="shared" si="171"/>
        <v>5.9349999999999179</v>
      </c>
      <c r="J600">
        <f t="shared" si="172"/>
        <v>9.4396426975585594E-6</v>
      </c>
      <c r="K600">
        <f t="shared" si="184"/>
        <v>1.0686172618231591E-5</v>
      </c>
      <c r="L600">
        <f t="shared" si="173"/>
        <v>8.4616597108194722E+19</v>
      </c>
      <c r="M600">
        <f t="shared" si="174"/>
        <v>1.1426621567723307E-2</v>
      </c>
      <c r="N600">
        <f t="shared" si="175"/>
        <v>0</v>
      </c>
      <c r="O600">
        <f t="shared" si="176"/>
        <v>0</v>
      </c>
      <c r="P600">
        <f t="shared" si="177"/>
        <v>0</v>
      </c>
      <c r="R600">
        <f t="shared" si="178"/>
        <v>5.9349999999999179</v>
      </c>
      <c r="S600">
        <f t="shared" si="179"/>
        <v>9.4397029439953423E-6</v>
      </c>
      <c r="T600">
        <f t="shared" si="185"/>
        <v>4.3100746602898771E-6</v>
      </c>
      <c r="U600" s="1">
        <f t="shared" si="180"/>
        <v>3.5743836489000105E-2</v>
      </c>
      <c r="V600">
        <f t="shared" si="181"/>
        <v>8.9639618594970447E+24</v>
      </c>
      <c r="W600">
        <f t="shared" si="186"/>
        <v>8.4617137154956211E+17</v>
      </c>
      <c r="Y600">
        <f t="shared" si="187"/>
        <v>5.9349999999999179</v>
      </c>
      <c r="Z600">
        <f t="shared" si="182"/>
        <v>0</v>
      </c>
      <c r="AA600">
        <f t="shared" si="188"/>
        <v>0</v>
      </c>
      <c r="AB600">
        <f t="shared" si="189"/>
        <v>1.0000235668946658</v>
      </c>
      <c r="AC600" s="1">
        <f t="shared" si="183"/>
        <v>7.4493433161470389E-3</v>
      </c>
    </row>
    <row r="601" spans="9:29" x14ac:dyDescent="0.2">
      <c r="I601">
        <f t="shared" si="171"/>
        <v>5.9449999999999177</v>
      </c>
      <c r="J601">
        <f t="shared" si="172"/>
        <v>9.2460354880949719E-6</v>
      </c>
      <c r="K601">
        <f t="shared" si="184"/>
        <v>1.0591776191256004E-5</v>
      </c>
      <c r="L601">
        <f t="shared" si="173"/>
        <v>8.579373123029146E+19</v>
      </c>
      <c r="M601">
        <f t="shared" si="174"/>
        <v>1.1325684376557689E-2</v>
      </c>
      <c r="N601">
        <f t="shared" si="175"/>
        <v>0</v>
      </c>
      <c r="O601">
        <f t="shared" si="176"/>
        <v>0</v>
      </c>
      <c r="P601">
        <f t="shared" si="177"/>
        <v>0</v>
      </c>
      <c r="R601">
        <f t="shared" si="178"/>
        <v>5.9449999999999177</v>
      </c>
      <c r="S601">
        <f t="shared" si="179"/>
        <v>9.2460944988764559E-6</v>
      </c>
      <c r="T601">
        <f t="shared" si="185"/>
        <v>4.2156776308499235E-6</v>
      </c>
      <c r="U601" s="1">
        <f t="shared" si="180"/>
        <v>3.4960993440726298E-2</v>
      </c>
      <c r="V601">
        <f t="shared" si="181"/>
        <v>9.2789749012707033E+24</v>
      </c>
      <c r="W601">
        <f t="shared" si="186"/>
        <v>8.5794278789851763E+17</v>
      </c>
      <c r="Y601">
        <f t="shared" si="187"/>
        <v>5.9449999999999177</v>
      </c>
      <c r="Z601">
        <f t="shared" si="182"/>
        <v>0</v>
      </c>
      <c r="AA601">
        <f t="shared" si="188"/>
        <v>0</v>
      </c>
      <c r="AB601">
        <f t="shared" si="189"/>
        <v>1.0000235668946658</v>
      </c>
      <c r="AC601" s="1">
        <f t="shared" si="183"/>
        <v>7.4493433161470389E-3</v>
      </c>
    </row>
    <row r="602" spans="9:29" x14ac:dyDescent="0.2">
      <c r="I602">
        <f t="shared" si="171"/>
        <v>5.9549999999999175</v>
      </c>
      <c r="J602">
        <f t="shared" si="172"/>
        <v>9.0563991653224464E-6</v>
      </c>
      <c r="K602">
        <f t="shared" si="184"/>
        <v>1.0499315836375054E-5</v>
      </c>
      <c r="L602">
        <f t="shared" si="173"/>
        <v>8.6987240919225549E+19</v>
      </c>
      <c r="M602">
        <f t="shared" si="174"/>
        <v>1.1226817408655681E-2</v>
      </c>
      <c r="N602">
        <f t="shared" si="175"/>
        <v>0</v>
      </c>
      <c r="O602">
        <f t="shared" si="176"/>
        <v>0</v>
      </c>
      <c r="P602">
        <f t="shared" si="177"/>
        <v>0</v>
      </c>
      <c r="R602">
        <f t="shared" si="178"/>
        <v>5.9549999999999175</v>
      </c>
      <c r="S602">
        <f t="shared" si="179"/>
        <v>9.056456965791942E-6</v>
      </c>
      <c r="T602">
        <f t="shared" si="185"/>
        <v>4.123216685861159E-6</v>
      </c>
      <c r="U602" s="1">
        <f t="shared" si="180"/>
        <v>3.4194206514795281E-2</v>
      </c>
      <c r="V602">
        <f t="shared" si="181"/>
        <v>9.6050581838646725E+24</v>
      </c>
      <c r="W602">
        <f t="shared" si="186"/>
        <v>8.6987796096098112E+17</v>
      </c>
      <c r="Y602">
        <f t="shared" si="187"/>
        <v>5.9549999999999175</v>
      </c>
      <c r="Z602">
        <f t="shared" si="182"/>
        <v>0</v>
      </c>
      <c r="AA602">
        <f t="shared" si="188"/>
        <v>0</v>
      </c>
      <c r="AB602">
        <f t="shared" si="189"/>
        <v>1.0000235668946658</v>
      </c>
      <c r="AC602" s="1">
        <f t="shared" si="183"/>
        <v>7.4493433161470389E-3</v>
      </c>
    </row>
    <row r="603" spans="9:29" x14ac:dyDescent="0.2">
      <c r="I603">
        <f t="shared" si="171"/>
        <v>5.9649999999999173</v>
      </c>
      <c r="J603">
        <f t="shared" si="172"/>
        <v>8.8706522862970447E-6</v>
      </c>
      <c r="K603">
        <f t="shared" si="184"/>
        <v>1.040875184472183E-5</v>
      </c>
      <c r="L603">
        <f t="shared" si="173"/>
        <v>8.8197353981821813E+19</v>
      </c>
      <c r="M603">
        <f t="shared" si="174"/>
        <v>1.1129978203707942E-2</v>
      </c>
      <c r="N603">
        <f t="shared" si="175"/>
        <v>0</v>
      </c>
      <c r="O603">
        <f t="shared" si="176"/>
        <v>0</v>
      </c>
      <c r="P603">
        <f t="shared" si="177"/>
        <v>0</v>
      </c>
      <c r="R603">
        <f t="shared" si="178"/>
        <v>5.9649999999999173</v>
      </c>
      <c r="S603">
        <f t="shared" si="179"/>
        <v>8.8707089012780653E-6</v>
      </c>
      <c r="T603">
        <f t="shared" si="185"/>
        <v>4.0326521162032395E-6</v>
      </c>
      <c r="U603" s="1">
        <f t="shared" si="180"/>
        <v>3.3443146399903527E-2</v>
      </c>
      <c r="V603">
        <f t="shared" si="181"/>
        <v>9.9426007395267677E+24</v>
      </c>
      <c r="W603">
        <f t="shared" si="186"/>
        <v>8.8197916881973965E+17</v>
      </c>
      <c r="Y603">
        <f t="shared" si="187"/>
        <v>5.9649999999999173</v>
      </c>
      <c r="Z603">
        <f t="shared" si="182"/>
        <v>0</v>
      </c>
      <c r="AA603">
        <f t="shared" si="188"/>
        <v>0</v>
      </c>
      <c r="AB603">
        <f t="shared" si="189"/>
        <v>1.0000235668946658</v>
      </c>
      <c r="AC603" s="1">
        <f t="shared" si="183"/>
        <v>7.4493433161470389E-3</v>
      </c>
    </row>
    <row r="604" spans="9:29" x14ac:dyDescent="0.2">
      <c r="I604">
        <f t="shared" si="171"/>
        <v>5.974999999999917</v>
      </c>
      <c r="J604">
        <f t="shared" si="172"/>
        <v>8.6887150784707396E-6</v>
      </c>
      <c r="K604">
        <f t="shared" si="184"/>
        <v>1.032004532185886E-5</v>
      </c>
      <c r="L604">
        <f t="shared" si="173"/>
        <v>8.9424301394017452E+19</v>
      </c>
      <c r="M604">
        <f t="shared" si="174"/>
        <v>1.1035125172266692E-2</v>
      </c>
      <c r="N604">
        <f t="shared" si="175"/>
        <v>0</v>
      </c>
      <c r="O604">
        <f t="shared" si="176"/>
        <v>0</v>
      </c>
      <c r="P604">
        <f t="shared" si="177"/>
        <v>0</v>
      </c>
      <c r="R604">
        <f t="shared" si="178"/>
        <v>5.974999999999917</v>
      </c>
      <c r="S604">
        <f t="shared" si="179"/>
        <v>8.6887705322776743E-6</v>
      </c>
      <c r="T604">
        <f t="shared" si="185"/>
        <v>3.9439450271904592E-6</v>
      </c>
      <c r="U604" s="1">
        <f t="shared" si="180"/>
        <v>3.2707490538927159E-2</v>
      </c>
      <c r="V604">
        <f t="shared" si="181"/>
        <v>1.0292005271941384E+25</v>
      </c>
      <c r="W604">
        <f t="shared" si="186"/>
        <v>8.9424872124890778E+17</v>
      </c>
      <c r="Y604">
        <f t="shared" si="187"/>
        <v>5.974999999999917</v>
      </c>
      <c r="Z604">
        <f t="shared" si="182"/>
        <v>0</v>
      </c>
      <c r="AA604">
        <f t="shared" si="188"/>
        <v>0</v>
      </c>
      <c r="AB604">
        <f t="shared" si="189"/>
        <v>1.0000235668946658</v>
      </c>
      <c r="AC604" s="1">
        <f t="shared" si="183"/>
        <v>7.4493433161470389E-3</v>
      </c>
    </row>
    <row r="605" spans="9:29" x14ac:dyDescent="0.2">
      <c r="I605">
        <f t="shared" si="171"/>
        <v>5.9849999999999168</v>
      </c>
      <c r="J605">
        <f t="shared" si="172"/>
        <v>8.510509405431655E-6</v>
      </c>
      <c r="K605">
        <f t="shared" si="184"/>
        <v>1.0233158171074152E-5</v>
      </c>
      <c r="L605">
        <f t="shared" si="173"/>
        <v>9.0668317344942768E+19</v>
      </c>
      <c r="M605">
        <f t="shared" si="174"/>
        <v>1.0942217577884328E-2</v>
      </c>
      <c r="N605">
        <f t="shared" si="175"/>
        <v>0</v>
      </c>
      <c r="O605">
        <f t="shared" si="176"/>
        <v>0</v>
      </c>
      <c r="P605">
        <f t="shared" si="177"/>
        <v>0</v>
      </c>
      <c r="R605">
        <f t="shared" si="178"/>
        <v>5.9849999999999168</v>
      </c>
      <c r="S605">
        <f t="shared" si="179"/>
        <v>8.5105637218802005E-6</v>
      </c>
      <c r="T605">
        <f t="shared" si="185"/>
        <v>3.8570573218676823E-6</v>
      </c>
      <c r="U605" s="1">
        <f t="shared" si="180"/>
        <v>3.1986922990393581E-2</v>
      </c>
      <c r="V605">
        <f t="shared" si="181"/>
        <v>1.0653688636672631E+25</v>
      </c>
      <c r="W605">
        <f t="shared" si="186"/>
        <v>9.0668896015473434E+17</v>
      </c>
      <c r="Y605">
        <f t="shared" si="187"/>
        <v>5.9849999999999168</v>
      </c>
      <c r="Z605">
        <f t="shared" si="182"/>
        <v>0</v>
      </c>
      <c r="AA605">
        <f t="shared" si="188"/>
        <v>0</v>
      </c>
      <c r="AB605">
        <f t="shared" si="189"/>
        <v>1.0000235668946658</v>
      </c>
      <c r="AC605" s="1">
        <f t="shared" si="183"/>
        <v>7.4493433161470389E-3</v>
      </c>
    </row>
    <row r="606" spans="9:29" x14ac:dyDescent="0.2">
      <c r="I606">
        <f t="shared" si="171"/>
        <v>5.9949999999999166</v>
      </c>
      <c r="J606">
        <f t="shared" si="172"/>
        <v>8.3359587333468528E-6</v>
      </c>
      <c r="K606">
        <f t="shared" si="184"/>
        <v>1.0148053077019835E-5</v>
      </c>
      <c r="L606">
        <f t="shared" si="173"/>
        <v>9.1929639281624007E+19</v>
      </c>
      <c r="M606">
        <f t="shared" si="174"/>
        <v>1.0851215519618393E-2</v>
      </c>
      <c r="N606">
        <f t="shared" si="175"/>
        <v>0</v>
      </c>
      <c r="O606">
        <f t="shared" si="176"/>
        <v>0</v>
      </c>
      <c r="P606">
        <f t="shared" si="177"/>
        <v>0</v>
      </c>
      <c r="R606">
        <f t="shared" si="178"/>
        <v>5.9949999999999166</v>
      </c>
      <c r="S606">
        <f t="shared" si="179"/>
        <v>8.3360119357642457E-6</v>
      </c>
      <c r="T606">
        <f t="shared" si="185"/>
        <v>3.7719516846488803E-6</v>
      </c>
      <c r="U606" s="1">
        <f t="shared" si="180"/>
        <v>3.1281134292794451E-2</v>
      </c>
      <c r="V606">
        <f t="shared" si="181"/>
        <v>1.1028082338492412E+25</v>
      </c>
      <c r="W606">
        <f t="shared" si="186"/>
        <v>9.1930226002263629E+17</v>
      </c>
      <c r="Y606">
        <f t="shared" si="187"/>
        <v>5.9949999999999166</v>
      </c>
      <c r="Z606">
        <f t="shared" si="182"/>
        <v>0</v>
      </c>
      <c r="AA606">
        <f t="shared" si="188"/>
        <v>0</v>
      </c>
      <c r="AB606">
        <f t="shared" si="189"/>
        <v>1.0000235668946658</v>
      </c>
      <c r="AC606" s="1">
        <f t="shared" si="183"/>
        <v>7.4493433161470389E-3</v>
      </c>
    </row>
    <row r="607" spans="9:29" x14ac:dyDescent="0.2">
      <c r="I607">
        <f t="shared" si="171"/>
        <v>6.0049999999999164</v>
      </c>
      <c r="J607">
        <f t="shared" si="172"/>
        <v>8.164988098093418E-6</v>
      </c>
      <c r="K607">
        <f t="shared" si="184"/>
        <v>1.0064693489686367E-5</v>
      </c>
      <c r="L607">
        <f t="shared" si="173"/>
        <v>9.3208507954304369E+19</v>
      </c>
      <c r="M607">
        <f t="shared" si="174"/>
        <v>1.0762079914895327E-2</v>
      </c>
      <c r="N607">
        <f t="shared" si="175"/>
        <v>0</v>
      </c>
      <c r="O607">
        <f t="shared" si="176"/>
        <v>0</v>
      </c>
      <c r="P607">
        <f t="shared" si="177"/>
        <v>0</v>
      </c>
      <c r="R607">
        <f t="shared" si="178"/>
        <v>6.0049999999999164</v>
      </c>
      <c r="S607">
        <f t="shared" si="179"/>
        <v>8.1650402093284534E-6</v>
      </c>
      <c r="T607">
        <f t="shared" si="185"/>
        <v>3.6885915652912378E-6</v>
      </c>
      <c r="U607" s="1">
        <f t="shared" si="180"/>
        <v>3.0589821331681449E-2</v>
      </c>
      <c r="V607">
        <f t="shared" si="181"/>
        <v>1.1415633046185236E+25</v>
      </c>
      <c r="W607">
        <f t="shared" si="186"/>
        <v>9.3209102837041126E+17</v>
      </c>
      <c r="Y607">
        <f t="shared" si="187"/>
        <v>6.0049999999999164</v>
      </c>
      <c r="Z607">
        <f t="shared" si="182"/>
        <v>0</v>
      </c>
      <c r="AA607">
        <f t="shared" si="188"/>
        <v>0</v>
      </c>
      <c r="AB607">
        <f t="shared" si="189"/>
        <v>1.0000235668946658</v>
      </c>
      <c r="AC607" s="1">
        <f t="shared" si="183"/>
        <v>7.4493433161470389E-3</v>
      </c>
    </row>
    <row r="608" spans="9:29" x14ac:dyDescent="0.2">
      <c r="I608">
        <f t="shared" si="171"/>
        <v>6.0149999999999162</v>
      </c>
      <c r="J608">
        <f t="shared" si="172"/>
        <v>7.9975240730637253E-6</v>
      </c>
      <c r="K608">
        <f t="shared" si="184"/>
        <v>9.9830436087054334E-6</v>
      </c>
      <c r="L608">
        <f t="shared" si="173"/>
        <v>9.4505167462397755E+19</v>
      </c>
      <c r="M608">
        <f t="shared" si="174"/>
        <v>1.0674772482725737E-2</v>
      </c>
      <c r="N608">
        <f t="shared" si="175"/>
        <v>0</v>
      </c>
      <c r="O608">
        <f t="shared" si="176"/>
        <v>0</v>
      </c>
      <c r="P608">
        <f t="shared" si="177"/>
        <v>0</v>
      </c>
      <c r="R608">
        <f t="shared" si="178"/>
        <v>6.0149999999999162</v>
      </c>
      <c r="S608">
        <f t="shared" si="179"/>
        <v>7.9975751154965705E-6</v>
      </c>
      <c r="T608">
        <f t="shared" si="185"/>
        <v>3.6069411631979534E-6</v>
      </c>
      <c r="U608" s="1">
        <f t="shared" si="180"/>
        <v>2.9912687209488031E-2</v>
      </c>
      <c r="V608">
        <f t="shared" si="181"/>
        <v>1.1816803125444587E+25</v>
      </c>
      <c r="W608">
        <f t="shared" si="186"/>
        <v>9.4505770620777728E+17</v>
      </c>
      <c r="Y608">
        <f t="shared" si="187"/>
        <v>6.0149999999999162</v>
      </c>
      <c r="Z608">
        <f t="shared" si="182"/>
        <v>0</v>
      </c>
      <c r="AA608">
        <f t="shared" si="188"/>
        <v>0</v>
      </c>
      <c r="AB608">
        <f t="shared" si="189"/>
        <v>1.0000235668946658</v>
      </c>
      <c r="AC608" s="1">
        <f t="shared" si="183"/>
        <v>7.4493433161470389E-3</v>
      </c>
    </row>
    <row r="609" spans="9:29" x14ac:dyDescent="0.2">
      <c r="I609">
        <f t="shared" si="171"/>
        <v>6.024999999999916</v>
      </c>
      <c r="J609">
        <f t="shared" si="172"/>
        <v>7.8334947376309128E-6</v>
      </c>
      <c r="K609">
        <f t="shared" si="184"/>
        <v>9.9030683679747962E-6</v>
      </c>
      <c r="L609">
        <f t="shared" si="173"/>
        <v>9.5819865301076034E+19</v>
      </c>
      <c r="M609">
        <f t="shared" si="174"/>
        <v>1.0589255727263876E-2</v>
      </c>
      <c r="N609">
        <f t="shared" si="175"/>
        <v>0</v>
      </c>
      <c r="O609">
        <f t="shared" si="176"/>
        <v>0</v>
      </c>
      <c r="P609">
        <f t="shared" si="177"/>
        <v>0</v>
      </c>
      <c r="R609">
        <f t="shared" si="178"/>
        <v>6.024999999999916</v>
      </c>
      <c r="S609">
        <f t="shared" si="179"/>
        <v>7.833544733182716E-6</v>
      </c>
      <c r="T609">
        <f t="shared" si="185"/>
        <v>3.5269654120429875E-6</v>
      </c>
      <c r="U609" s="1">
        <f t="shared" si="180"/>
        <v>2.9249441118021066E-2</v>
      </c>
      <c r="V609">
        <f t="shared" si="181"/>
        <v>1.2232071190495862E+25</v>
      </c>
      <c r="W609">
        <f t="shared" si="186"/>
        <v>9.5820476850224909E+17</v>
      </c>
      <c r="Y609">
        <f t="shared" si="187"/>
        <v>6.024999999999916</v>
      </c>
      <c r="Z609">
        <f t="shared" si="182"/>
        <v>0</v>
      </c>
      <c r="AA609">
        <f t="shared" si="188"/>
        <v>0</v>
      </c>
      <c r="AB609">
        <f t="shared" si="189"/>
        <v>1.0000235668946658</v>
      </c>
      <c r="AC609" s="1">
        <f t="shared" si="183"/>
        <v>7.4493433161470389E-3</v>
      </c>
    </row>
    <row r="610" spans="9:29" x14ac:dyDescent="0.2">
      <c r="I610">
        <f t="shared" ref="I610:I673" si="190">I609+0.01</f>
        <v>6.0349999999999158</v>
      </c>
      <c r="J610">
        <f t="shared" si="172"/>
        <v>7.672829646261229E-6</v>
      </c>
      <c r="K610">
        <f t="shared" si="184"/>
        <v>9.824733420598487E-6</v>
      </c>
      <c r="L610">
        <f t="shared" si="173"/>
        <v>9.7152852408516035E+19</v>
      </c>
      <c r="M610">
        <f t="shared" si="174"/>
        <v>1.0505492921704336E-2</v>
      </c>
      <c r="N610">
        <f t="shared" si="175"/>
        <v>0</v>
      </c>
      <c r="O610">
        <f t="shared" si="176"/>
        <v>0</v>
      </c>
      <c r="P610">
        <f t="shared" si="177"/>
        <v>0</v>
      </c>
      <c r="R610">
        <f t="shared" si="178"/>
        <v>6.0349999999999158</v>
      </c>
      <c r="S610">
        <f t="shared" si="179"/>
        <v>7.6728786164035335E-6</v>
      </c>
      <c r="T610">
        <f t="shared" si="185"/>
        <v>3.4486299647111606E-6</v>
      </c>
      <c r="U610" s="1">
        <f t="shared" si="180"/>
        <v>2.8599798213567722E-2</v>
      </c>
      <c r="V610">
        <f t="shared" si="181"/>
        <v>1.2661932675105866E+25</v>
      </c>
      <c r="W610">
        <f t="shared" si="186"/>
        <v>9.7153472465160986E+17</v>
      </c>
      <c r="Y610">
        <f t="shared" si="187"/>
        <v>6.0349999999999158</v>
      </c>
      <c r="Z610">
        <f t="shared" si="182"/>
        <v>0</v>
      </c>
      <c r="AA610">
        <f t="shared" si="188"/>
        <v>0</v>
      </c>
      <c r="AB610">
        <f t="shared" si="189"/>
        <v>1.0000235668946658</v>
      </c>
      <c r="AC610" s="1">
        <f t="shared" si="183"/>
        <v>7.4493433161470389E-3</v>
      </c>
    </row>
    <row r="611" spans="9:29" x14ac:dyDescent="0.2">
      <c r="I611">
        <f t="shared" si="190"/>
        <v>6.0449999999999156</v>
      </c>
      <c r="J611">
        <f t="shared" si="172"/>
        <v>7.5154597982598353E-6</v>
      </c>
      <c r="K611">
        <f t="shared" si="184"/>
        <v>9.7480051241358743E-6</v>
      </c>
      <c r="L611">
        <f t="shared" si="173"/>
        <v>9.8504383213788774E+19</v>
      </c>
      <c r="M611">
        <f t="shared" si="174"/>
        <v>1.0423448092509032E-2</v>
      </c>
      <c r="N611">
        <f t="shared" si="175"/>
        <v>0</v>
      </c>
      <c r="O611">
        <f t="shared" si="176"/>
        <v>0</v>
      </c>
      <c r="P611">
        <f t="shared" si="177"/>
        <v>0</v>
      </c>
      <c r="R611">
        <f t="shared" si="178"/>
        <v>6.0449999999999156</v>
      </c>
      <c r="S611">
        <f t="shared" si="179"/>
        <v>7.5155077640238076E-6</v>
      </c>
      <c r="T611">
        <f t="shared" si="185"/>
        <v>3.3719011785471254E-6</v>
      </c>
      <c r="U611" s="1">
        <f t="shared" si="180"/>
        <v>2.7963479494563844E-2</v>
      </c>
      <c r="V611">
        <f t="shared" si="181"/>
        <v>1.3106900423656971E+25</v>
      </c>
      <c r="W611">
        <f t="shared" si="186"/>
        <v>9.8505011896280896E+17</v>
      </c>
      <c r="Y611">
        <f t="shared" si="187"/>
        <v>6.0449999999999156</v>
      </c>
      <c r="Z611">
        <f t="shared" si="182"/>
        <v>0</v>
      </c>
      <c r="AA611">
        <f t="shared" si="188"/>
        <v>0</v>
      </c>
      <c r="AB611">
        <f t="shared" si="189"/>
        <v>1.0000235668946658</v>
      </c>
      <c r="AC611" s="1">
        <f t="shared" si="183"/>
        <v>7.4493433161470389E-3</v>
      </c>
    </row>
    <row r="612" spans="9:29" x14ac:dyDescent="0.2">
      <c r="I612">
        <f t="shared" si="190"/>
        <v>6.0549999999999153</v>
      </c>
      <c r="J612">
        <f t="shared" si="172"/>
        <v>7.3613176081371944E-6</v>
      </c>
      <c r="K612">
        <f t="shared" si="184"/>
        <v>9.6728505261532753E-6</v>
      </c>
      <c r="L612">
        <f t="shared" si="173"/>
        <v>9.9874715685429543E+19</v>
      </c>
      <c r="M612">
        <f t="shared" si="174"/>
        <v>1.034308600395766E-2</v>
      </c>
      <c r="N612">
        <f t="shared" si="175"/>
        <v>0</v>
      </c>
      <c r="O612">
        <f t="shared" si="176"/>
        <v>0</v>
      </c>
      <c r="P612">
        <f t="shared" si="177"/>
        <v>0</v>
      </c>
      <c r="R612">
        <f t="shared" si="178"/>
        <v>6.0549999999999153</v>
      </c>
      <c r="S612">
        <f t="shared" si="179"/>
        <v>7.3613645901226487E-6</v>
      </c>
      <c r="T612">
        <f t="shared" si="185"/>
        <v>3.2967461009068873E-6</v>
      </c>
      <c r="U612" s="1">
        <f t="shared" si="180"/>
        <v>2.7340211681771448E-2</v>
      </c>
      <c r="V612">
        <f t="shared" si="181"/>
        <v>1.3567505302994685E+25</v>
      </c>
      <c r="W612">
        <f t="shared" si="186"/>
        <v>9.9875353113766336E+17</v>
      </c>
      <c r="Y612">
        <f t="shared" si="187"/>
        <v>6.0549999999999153</v>
      </c>
      <c r="Z612">
        <f t="shared" si="182"/>
        <v>0</v>
      </c>
      <c r="AA612">
        <f t="shared" si="188"/>
        <v>0</v>
      </c>
      <c r="AB612">
        <f t="shared" si="189"/>
        <v>1.0000235668946658</v>
      </c>
      <c r="AC612" s="1">
        <f t="shared" si="183"/>
        <v>7.4493433161470389E-3</v>
      </c>
    </row>
    <row r="613" spans="9:29" x14ac:dyDescent="0.2">
      <c r="I613">
        <f t="shared" si="190"/>
        <v>6.0649999999999151</v>
      </c>
      <c r="J613">
        <f t="shared" si="172"/>
        <v>7.2103368765831057E-6</v>
      </c>
      <c r="K613">
        <f t="shared" si="184"/>
        <v>9.5992373500719026E-6</v>
      </c>
      <c r="L613">
        <f t="shared" si="173"/>
        <v>1.0126411138067081E+20</v>
      </c>
      <c r="M613">
        <f t="shared" si="174"/>
        <v>1.0264372143015069E-2</v>
      </c>
      <c r="N613">
        <f t="shared" si="175"/>
        <v>0</v>
      </c>
      <c r="O613">
        <f t="shared" si="176"/>
        <v>0</v>
      </c>
      <c r="P613">
        <f t="shared" si="177"/>
        <v>0</v>
      </c>
      <c r="R613">
        <f t="shared" si="178"/>
        <v>6.0649999999999151</v>
      </c>
      <c r="S613">
        <f t="shared" si="179"/>
        <v>7.2103828949673519E-6</v>
      </c>
      <c r="T613">
        <f t="shared" si="185"/>
        <v>3.2231324550056609E-6</v>
      </c>
      <c r="U613" s="1">
        <f t="shared" si="180"/>
        <v>2.6729727100913724E-2</v>
      </c>
      <c r="V613">
        <f t="shared" si="181"/>
        <v>1.4044296835775402E+25</v>
      </c>
      <c r="W613">
        <f t="shared" si="186"/>
        <v>1.0126475767651907E+18</v>
      </c>
      <c r="Y613">
        <f t="shared" si="187"/>
        <v>6.0649999999999151</v>
      </c>
      <c r="Z613">
        <f t="shared" si="182"/>
        <v>0</v>
      </c>
      <c r="AA613">
        <f t="shared" si="188"/>
        <v>0</v>
      </c>
      <c r="AB613">
        <f t="shared" si="189"/>
        <v>1.0000235668946658</v>
      </c>
      <c r="AC613" s="1">
        <f t="shared" si="183"/>
        <v>7.4493433161470389E-3</v>
      </c>
    </row>
    <row r="614" spans="9:29" x14ac:dyDescent="0.2">
      <c r="I614">
        <f t="shared" si="190"/>
        <v>6.0749999999999149</v>
      </c>
      <c r="J614">
        <f t="shared" si="172"/>
        <v>7.0624527620361955E-6</v>
      </c>
      <c r="K614">
        <f t="shared" si="184"/>
        <v>9.5271339813060713E-6</v>
      </c>
      <c r="L614">
        <f t="shared" si="173"/>
        <v>1.0267283549537019E+20</v>
      </c>
      <c r="M614">
        <f t="shared" si="174"/>
        <v>1.0187272704508947E-2</v>
      </c>
      <c r="N614">
        <f t="shared" si="175"/>
        <v>0</v>
      </c>
      <c r="O614">
        <f t="shared" si="176"/>
        <v>0</v>
      </c>
      <c r="P614">
        <f t="shared" si="177"/>
        <v>0</v>
      </c>
      <c r="R614">
        <f t="shared" si="178"/>
        <v>6.0749999999999149</v>
      </c>
      <c r="S614">
        <f t="shared" si="179"/>
        <v>7.0624978365827086E-6</v>
      </c>
      <c r="T614">
        <f t="shared" si="185"/>
        <v>3.1510286260559875E-6</v>
      </c>
      <c r="U614" s="1">
        <f t="shared" si="180"/>
        <v>2.613176356771715E-2</v>
      </c>
      <c r="V614">
        <f t="shared" si="181"/>
        <v>1.4537843856072503E+25</v>
      </c>
      <c r="W614">
        <f t="shared" si="186"/>
        <v>1.0267349078208928E+18</v>
      </c>
      <c r="Y614">
        <f t="shared" si="187"/>
        <v>6.0749999999999149</v>
      </c>
      <c r="Z614">
        <f t="shared" si="182"/>
        <v>0</v>
      </c>
      <c r="AA614">
        <f t="shared" si="188"/>
        <v>0</v>
      </c>
      <c r="AB614">
        <f t="shared" si="189"/>
        <v>1.0000235668946658</v>
      </c>
      <c r="AC614" s="1">
        <f t="shared" si="183"/>
        <v>7.4493433161470389E-3</v>
      </c>
    </row>
    <row r="615" spans="9:29" x14ac:dyDescent="0.2">
      <c r="I615">
        <f t="shared" si="190"/>
        <v>6.0849999999999147</v>
      </c>
      <c r="J615">
        <f t="shared" si="172"/>
        <v>6.9176017528364629E-6</v>
      </c>
      <c r="K615">
        <f t="shared" si="184"/>
        <v>9.4565094536857099E-6</v>
      </c>
      <c r="L615">
        <f t="shared" si="173"/>
        <v>1.0410115691462497E+20</v>
      </c>
      <c r="M615">
        <f t="shared" si="174"/>
        <v>1.0111754576611566E-2</v>
      </c>
      <c r="N615">
        <f t="shared" si="175"/>
        <v>0</v>
      </c>
      <c r="O615">
        <f t="shared" si="176"/>
        <v>0</v>
      </c>
      <c r="P615">
        <f t="shared" si="177"/>
        <v>0</v>
      </c>
      <c r="R615">
        <f t="shared" si="178"/>
        <v>6.0849999999999147</v>
      </c>
      <c r="S615">
        <f t="shared" si="179"/>
        <v>6.9176459029033703E-6</v>
      </c>
      <c r="T615">
        <f t="shared" si="185"/>
        <v>3.0804036476901603E-6</v>
      </c>
      <c r="U615" s="1">
        <f t="shared" si="180"/>
        <v>2.55460642753115E-2</v>
      </c>
      <c r="V615">
        <f t="shared" si="181"/>
        <v>1.5048735188020877E+25</v>
      </c>
      <c r="W615">
        <f t="shared" si="186"/>
        <v>1.0410182131729039E+18</v>
      </c>
      <c r="Y615">
        <f t="shared" si="187"/>
        <v>6.0849999999999147</v>
      </c>
      <c r="Z615">
        <f t="shared" si="182"/>
        <v>0</v>
      </c>
      <c r="AA615">
        <f t="shared" si="188"/>
        <v>0</v>
      </c>
      <c r="AB615">
        <f t="shared" si="189"/>
        <v>1.0000235668946658</v>
      </c>
      <c r="AC615" s="1">
        <f t="shared" si="183"/>
        <v>7.4493433161470389E-3</v>
      </c>
    </row>
    <row r="616" spans="9:29" x14ac:dyDescent="0.2">
      <c r="I616">
        <f t="shared" si="190"/>
        <v>6.0949999999999145</v>
      </c>
      <c r="J616">
        <f t="shared" si="172"/>
        <v>6.7757216399489704E-6</v>
      </c>
      <c r="K616">
        <f t="shared" si="184"/>
        <v>9.3873334361573453E-6</v>
      </c>
      <c r="L616">
        <f t="shared" si="173"/>
        <v>1.0554934826409881E+20</v>
      </c>
      <c r="M616">
        <f t="shared" si="174"/>
        <v>1.003778532661927E-2</v>
      </c>
      <c r="N616">
        <f t="shared" si="175"/>
        <v>0</v>
      </c>
      <c r="O616">
        <f t="shared" si="176"/>
        <v>0</v>
      </c>
      <c r="P616">
        <f t="shared" si="177"/>
        <v>0</v>
      </c>
      <c r="R616">
        <f t="shared" si="178"/>
        <v>6.0949999999999145</v>
      </c>
      <c r="S616">
        <f t="shared" si="179"/>
        <v>6.7757648844973613E-6</v>
      </c>
      <c r="T616">
        <f t="shared" si="185"/>
        <v>3.0112271886611266E-6</v>
      </c>
      <c r="U616" s="1">
        <f t="shared" si="180"/>
        <v>2.4972377683939204E-2</v>
      </c>
      <c r="V616">
        <f t="shared" si="181"/>
        <v>1.5577580348311611E+25</v>
      </c>
      <c r="W616">
        <f t="shared" si="186"/>
        <v>1.0555002190952599E+18</v>
      </c>
      <c r="Y616">
        <f t="shared" si="187"/>
        <v>6.0949999999999145</v>
      </c>
      <c r="Z616">
        <f t="shared" si="182"/>
        <v>0</v>
      </c>
      <c r="AA616">
        <f t="shared" si="188"/>
        <v>0</v>
      </c>
      <c r="AB616">
        <f t="shared" si="189"/>
        <v>1.0000235668946658</v>
      </c>
      <c r="AC616" s="1">
        <f t="shared" si="183"/>
        <v>7.4493433161470389E-3</v>
      </c>
    </row>
    <row r="617" spans="9:29" x14ac:dyDescent="0.2">
      <c r="I617">
        <f t="shared" si="190"/>
        <v>6.1049999999999143</v>
      </c>
      <c r="J617">
        <f t="shared" si="172"/>
        <v>6.6367514902470276E-6</v>
      </c>
      <c r="K617">
        <f t="shared" si="184"/>
        <v>9.3195762197578555E-6</v>
      </c>
      <c r="L617">
        <f t="shared" si="173"/>
        <v>1.0701768596205509E+20</v>
      </c>
      <c r="M617">
        <f t="shared" si="174"/>
        <v>9.9653331870236204E-3</v>
      </c>
      <c r="N617">
        <f t="shared" si="175"/>
        <v>0</v>
      </c>
      <c r="O617">
        <f t="shared" si="176"/>
        <v>0</v>
      </c>
      <c r="P617">
        <f t="shared" si="177"/>
        <v>0</v>
      </c>
      <c r="R617">
        <f t="shared" si="178"/>
        <v>6.1049999999999143</v>
      </c>
      <c r="S617">
        <f t="shared" si="179"/>
        <v>6.6367938478491005E-6</v>
      </c>
      <c r="T617">
        <f t="shared" si="185"/>
        <v>2.9434695398161531E-6</v>
      </c>
      <c r="U617" s="1">
        <f t="shared" si="180"/>
        <v>2.4410457412926793E-2</v>
      </c>
      <c r="V617">
        <f t="shared" si="181"/>
        <v>1.612501027337273E+25</v>
      </c>
      <c r="W617">
        <f t="shared" si="186"/>
        <v>1.0701836897882368E+18</v>
      </c>
      <c r="Y617">
        <f t="shared" si="187"/>
        <v>6.1049999999999143</v>
      </c>
      <c r="Z617">
        <f t="shared" si="182"/>
        <v>0</v>
      </c>
      <c r="AA617">
        <f t="shared" si="188"/>
        <v>0</v>
      </c>
      <c r="AB617">
        <f t="shared" si="189"/>
        <v>1.0000235668946658</v>
      </c>
      <c r="AC617" s="1">
        <f t="shared" si="183"/>
        <v>7.4493433161470389E-3</v>
      </c>
    </row>
    <row r="618" spans="9:29" x14ac:dyDescent="0.2">
      <c r="I618">
        <f t="shared" si="190"/>
        <v>6.1149999999999141</v>
      </c>
      <c r="J618">
        <f t="shared" si="172"/>
        <v>6.5006316203432262E-6</v>
      </c>
      <c r="K618">
        <f t="shared" si="184"/>
        <v>9.2532087048553855E-6</v>
      </c>
      <c r="L618">
        <f t="shared" si="173"/>
        <v>1.0850645027212013E+20</v>
      </c>
      <c r="M618">
        <f t="shared" si="174"/>
        <v>9.8943670418682513E-3</v>
      </c>
      <c r="N618">
        <f t="shared" si="175"/>
        <v>0</v>
      </c>
      <c r="O618">
        <f t="shared" si="176"/>
        <v>0</v>
      </c>
      <c r="P618">
        <f t="shared" si="177"/>
        <v>0</v>
      </c>
      <c r="R618">
        <f t="shared" si="178"/>
        <v>6.1149999999999141</v>
      </c>
      <c r="S618">
        <f t="shared" si="179"/>
        <v>6.5006731091902614E-6</v>
      </c>
      <c r="T618">
        <f t="shared" si="185"/>
        <v>2.8771016013376622E-6</v>
      </c>
      <c r="U618" s="1">
        <f t="shared" si="180"/>
        <v>2.3860062134871993E-2</v>
      </c>
      <c r="V618">
        <f t="shared" si="181"/>
        <v>1.6691678072105724E+25</v>
      </c>
      <c r="W618">
        <f t="shared" si="186"/>
        <v>1.0850714279059843E+18</v>
      </c>
      <c r="Y618">
        <f t="shared" si="187"/>
        <v>6.1149999999999141</v>
      </c>
      <c r="Z618">
        <f t="shared" si="182"/>
        <v>0</v>
      </c>
      <c r="AA618">
        <f t="shared" si="188"/>
        <v>0</v>
      </c>
      <c r="AB618">
        <f t="shared" si="189"/>
        <v>1.0000235668946658</v>
      </c>
      <c r="AC618" s="1">
        <f t="shared" si="183"/>
        <v>7.4493433161470389E-3</v>
      </c>
    </row>
    <row r="619" spans="9:29" x14ac:dyDescent="0.2">
      <c r="I619">
        <f t="shared" si="190"/>
        <v>6.1249999999999138</v>
      </c>
      <c r="J619">
        <f t="shared" si="172"/>
        <v>6.3673035709573184E-6</v>
      </c>
      <c r="K619">
        <f t="shared" si="184"/>
        <v>9.1882023886519538E-6</v>
      </c>
      <c r="L619">
        <f t="shared" si="173"/>
        <v>1.1001592535677272E+20</v>
      </c>
      <c r="M619">
        <f t="shared" si="174"/>
        <v>9.8248564133855062E-3</v>
      </c>
      <c r="N619">
        <f t="shared" si="175"/>
        <v>0</v>
      </c>
      <c r="O619">
        <f t="shared" si="176"/>
        <v>0</v>
      </c>
      <c r="P619">
        <f t="shared" si="177"/>
        <v>0</v>
      </c>
      <c r="R619">
        <f t="shared" si="178"/>
        <v>6.1249999999999138</v>
      </c>
      <c r="S619">
        <f t="shared" si="179"/>
        <v>6.3673442088674959E-6</v>
      </c>
      <c r="T619">
        <f t="shared" si="185"/>
        <v>2.8120948702457598E-6</v>
      </c>
      <c r="U619" s="1">
        <f t="shared" si="180"/>
        <v>2.3320955472001081E-2</v>
      </c>
      <c r="V619">
        <f t="shared" si="181"/>
        <v>1.7278259805073487E+25</v>
      </c>
      <c r="W619">
        <f t="shared" si="186"/>
        <v>1.1001662750914271E+18</v>
      </c>
      <c r="Y619">
        <f t="shared" si="187"/>
        <v>6.1249999999999138</v>
      </c>
      <c r="Z619">
        <f t="shared" si="182"/>
        <v>0</v>
      </c>
      <c r="AA619">
        <f t="shared" si="188"/>
        <v>0</v>
      </c>
      <c r="AB619">
        <f t="shared" si="189"/>
        <v>1.0000235668946658</v>
      </c>
      <c r="AC619" s="1">
        <f t="shared" si="183"/>
        <v>7.4493433161470389E-3</v>
      </c>
    </row>
    <row r="620" spans="9:29" x14ac:dyDescent="0.2">
      <c r="I620">
        <f t="shared" si="190"/>
        <v>6.1349999999999136</v>
      </c>
      <c r="J620">
        <f t="shared" si="172"/>
        <v>6.2367100818097461E-6</v>
      </c>
      <c r="K620">
        <f t="shared" si="184"/>
        <v>9.1245293529423811E-6</v>
      </c>
      <c r="L620">
        <f t="shared" si="173"/>
        <v>1.1154639933158939E+20</v>
      </c>
      <c r="M620">
        <f t="shared" si="174"/>
        <v>9.7567714489071936E-3</v>
      </c>
      <c r="N620">
        <f t="shared" si="175"/>
        <v>0</v>
      </c>
      <c r="O620">
        <f t="shared" si="176"/>
        <v>0</v>
      </c>
      <c r="P620">
        <f t="shared" si="177"/>
        <v>0</v>
      </c>
      <c r="R620">
        <f t="shared" si="178"/>
        <v>6.1349999999999136</v>
      </c>
      <c r="S620">
        <f t="shared" si="179"/>
        <v>6.2367498862357926E-6</v>
      </c>
      <c r="T620">
        <f t="shared" si="185"/>
        <v>2.7484214281570848E-6</v>
      </c>
      <c r="U620" s="1">
        <f t="shared" si="180"/>
        <v>2.2792905894651914E-2</v>
      </c>
      <c r="V620">
        <f t="shared" si="181"/>
        <v>1.7885455291072509E+25</v>
      </c>
      <c r="W620">
        <f t="shared" si="186"/>
        <v>1.1154711125187183E+18</v>
      </c>
      <c r="Y620">
        <f t="shared" si="187"/>
        <v>6.1349999999999136</v>
      </c>
      <c r="Z620">
        <f t="shared" si="182"/>
        <v>0</v>
      </c>
      <c r="AA620">
        <f t="shared" si="188"/>
        <v>0</v>
      </c>
      <c r="AB620">
        <f t="shared" si="189"/>
        <v>1.0000235668946658</v>
      </c>
      <c r="AC620" s="1">
        <f t="shared" si="183"/>
        <v>7.4493433161470389E-3</v>
      </c>
    </row>
    <row r="621" spans="9:29" x14ac:dyDescent="0.2">
      <c r="I621">
        <f t="shared" si="190"/>
        <v>6.1449999999999134</v>
      </c>
      <c r="J621">
        <f t="shared" si="172"/>
        <v>6.1087950670301059E-6</v>
      </c>
      <c r="K621">
        <f t="shared" si="184"/>
        <v>9.0621622521242836E-6</v>
      </c>
      <c r="L621">
        <f t="shared" si="173"/>
        <v>1.1309816432022866E+20</v>
      </c>
      <c r="M621">
        <f t="shared" si="174"/>
        <v>9.6900829080437782E-3</v>
      </c>
      <c r="N621">
        <f t="shared" si="175"/>
        <v>0</v>
      </c>
      <c r="O621">
        <f t="shared" si="176"/>
        <v>0</v>
      </c>
      <c r="P621">
        <f t="shared" si="177"/>
        <v>0</v>
      </c>
      <c r="R621">
        <f t="shared" si="178"/>
        <v>6.1449999999999134</v>
      </c>
      <c r="S621">
        <f t="shared" si="179"/>
        <v>6.1088340550667939E-6</v>
      </c>
      <c r="T621">
        <f t="shared" si="185"/>
        <v>2.6860539292947269E-6</v>
      </c>
      <c r="U621" s="1">
        <f t="shared" si="180"/>
        <v>2.2275686621839111E-2</v>
      </c>
      <c r="V621">
        <f t="shared" si="181"/>
        <v>1.8513988942047329E+25</v>
      </c>
      <c r="W621">
        <f t="shared" si="186"/>
        <v>1.1309888614430877E+18</v>
      </c>
      <c r="Y621">
        <f t="shared" si="187"/>
        <v>6.1449999999999134</v>
      </c>
      <c r="Z621">
        <f t="shared" si="182"/>
        <v>0</v>
      </c>
      <c r="AA621">
        <f t="shared" si="188"/>
        <v>0</v>
      </c>
      <c r="AB621">
        <f t="shared" si="189"/>
        <v>1.0000235668946658</v>
      </c>
      <c r="AC621" s="1">
        <f t="shared" si="183"/>
        <v>7.4493433161470389E-3</v>
      </c>
    </row>
    <row r="622" spans="9:29" x14ac:dyDescent="0.2">
      <c r="I622">
        <f t="shared" si="190"/>
        <v>6.1549999999999132</v>
      </c>
      <c r="J622">
        <f t="shared" si="172"/>
        <v>5.9835035910700551E-6</v>
      </c>
      <c r="K622">
        <f t="shared" si="184"/>
        <v>9.0010743014539825E-6</v>
      </c>
      <c r="L622">
        <f t="shared" si="173"/>
        <v>1.1467151651019778E+20</v>
      </c>
      <c r="M622">
        <f t="shared" si="174"/>
        <v>9.6247621501265451E-3</v>
      </c>
      <c r="N622">
        <f t="shared" si="175"/>
        <v>0</v>
      </c>
      <c r="O622">
        <f t="shared" si="176"/>
        <v>0</v>
      </c>
      <c r="P622">
        <f t="shared" si="177"/>
        <v>0</v>
      </c>
      <c r="R622">
        <f t="shared" si="178"/>
        <v>6.1549999999999132</v>
      </c>
      <c r="S622">
        <f t="shared" si="179"/>
        <v>5.9835417794615419E-6</v>
      </c>
      <c r="T622">
        <f t="shared" si="185"/>
        <v>2.6249655887440591E-6</v>
      </c>
      <c r="U622" s="1">
        <f t="shared" si="180"/>
        <v>2.1769075523858601E-2</v>
      </c>
      <c r="V622">
        <f t="shared" si="181"/>
        <v>1.9164610627348281E+25</v>
      </c>
      <c r="W622">
        <f t="shared" si="186"/>
        <v>1.1467224837585111E+18</v>
      </c>
      <c r="Y622">
        <f t="shared" si="187"/>
        <v>6.1549999999999132</v>
      </c>
      <c r="Z622">
        <f t="shared" si="182"/>
        <v>0</v>
      </c>
      <c r="AA622">
        <f t="shared" si="188"/>
        <v>0</v>
      </c>
      <c r="AB622">
        <f t="shared" si="189"/>
        <v>1.0000235668946658</v>
      </c>
      <c r="AC622" s="1">
        <f t="shared" si="183"/>
        <v>7.4493433161470389E-3</v>
      </c>
    </row>
    <row r="623" spans="9:29" x14ac:dyDescent="0.2">
      <c r="I623">
        <f t="shared" si="190"/>
        <v>6.164999999999913</v>
      </c>
      <c r="J623">
        <f t="shared" si="172"/>
        <v>5.86078184511011E-6</v>
      </c>
      <c r="K623">
        <f t="shared" si="184"/>
        <v>8.9412392655432823E-6</v>
      </c>
      <c r="L623">
        <f t="shared" si="173"/>
        <v>1.1626675620938123E+20</v>
      </c>
      <c r="M623">
        <f t="shared" si="174"/>
        <v>9.560781121907308E-3</v>
      </c>
      <c r="N623">
        <f t="shared" si="175"/>
        <v>0</v>
      </c>
      <c r="O623">
        <f t="shared" si="176"/>
        <v>0</v>
      </c>
      <c r="P623">
        <f t="shared" si="177"/>
        <v>0</v>
      </c>
      <c r="R623">
        <f t="shared" si="178"/>
        <v>6.164999999999913</v>
      </c>
      <c r="S623">
        <f t="shared" si="179"/>
        <v>5.8608192502571304E-6</v>
      </c>
      <c r="T623">
        <f t="shared" si="185"/>
        <v>2.5651301709494437E-6</v>
      </c>
      <c r="U623" s="1">
        <f t="shared" si="180"/>
        <v>2.1272855026889786E-2</v>
      </c>
      <c r="V623">
        <f t="shared" si="181"/>
        <v>1.9838096568359278E+25</v>
      </c>
      <c r="W623">
        <f t="shared" si="186"/>
        <v>1.1626749825629998E+18</v>
      </c>
      <c r="Y623">
        <f t="shared" si="187"/>
        <v>6.164999999999913</v>
      </c>
      <c r="Z623">
        <f t="shared" si="182"/>
        <v>0</v>
      </c>
      <c r="AA623">
        <f t="shared" si="188"/>
        <v>0</v>
      </c>
      <c r="AB623">
        <f t="shared" si="189"/>
        <v>1.0000235668946658</v>
      </c>
      <c r="AC623" s="1">
        <f t="shared" si="183"/>
        <v>7.4493433161470389E-3</v>
      </c>
    </row>
    <row r="624" spans="9:29" x14ac:dyDescent="0.2">
      <c r="I624">
        <f t="shared" si="190"/>
        <v>6.1749999999999128</v>
      </c>
      <c r="J624">
        <f t="shared" si="172"/>
        <v>5.7405771239504733E-6</v>
      </c>
      <c r="K624">
        <f t="shared" si="184"/>
        <v>8.8826314470921806E-6</v>
      </c>
      <c r="L624">
        <f t="shared" si="173"/>
        <v>1.1788418790336247E+20</v>
      </c>
      <c r="M624">
        <f t="shared" si="174"/>
        <v>9.4981123455104132E-3</v>
      </c>
      <c r="N624">
        <f t="shared" si="175"/>
        <v>0</v>
      </c>
      <c r="O624">
        <f t="shared" si="176"/>
        <v>0</v>
      </c>
      <c r="P624">
        <f t="shared" si="177"/>
        <v>0</v>
      </c>
      <c r="R624">
        <f t="shared" si="178"/>
        <v>6.1749999999999128</v>
      </c>
      <c r="S624">
        <f t="shared" si="179"/>
        <v>5.7406137619173824E-6</v>
      </c>
      <c r="T624">
        <f t="shared" si="185"/>
        <v>2.5065219784468725E-6</v>
      </c>
      <c r="U624" s="1">
        <f t="shared" si="180"/>
        <v>2.0786812019554304E-2</v>
      </c>
      <c r="V624">
        <f t="shared" si="181"/>
        <v>2.0535250264565474E+25</v>
      </c>
      <c r="W624">
        <f t="shared" si="186"/>
        <v>1.1788494027318213E+18</v>
      </c>
      <c r="Y624">
        <f t="shared" si="187"/>
        <v>6.1749999999999128</v>
      </c>
      <c r="Z624">
        <f t="shared" si="182"/>
        <v>0</v>
      </c>
      <c r="AA624">
        <f t="shared" si="188"/>
        <v>0</v>
      </c>
      <c r="AB624">
        <f t="shared" si="189"/>
        <v>1.0000235668946658</v>
      </c>
      <c r="AC624" s="1">
        <f t="shared" si="183"/>
        <v>7.4493433161470389E-3</v>
      </c>
    </row>
    <row r="625" spans="9:29" x14ac:dyDescent="0.2">
      <c r="I625">
        <f t="shared" si="190"/>
        <v>6.1849999999999126</v>
      </c>
      <c r="J625">
        <f t="shared" si="172"/>
        <v>5.6228378033757648E-6</v>
      </c>
      <c r="K625">
        <f t="shared" si="184"/>
        <v>8.8252256758526757E-6</v>
      </c>
      <c r="L625">
        <f t="shared" si="173"/>
        <v>1.1952412031354059E+20</v>
      </c>
      <c r="M625">
        <f t="shared" si="174"/>
        <v>9.4367289066318392E-3</v>
      </c>
      <c r="N625">
        <f t="shared" si="175"/>
        <v>0</v>
      </c>
      <c r="O625">
        <f t="shared" si="176"/>
        <v>0</v>
      </c>
      <c r="P625">
        <f t="shared" si="177"/>
        <v>0</v>
      </c>
      <c r="R625">
        <f t="shared" si="178"/>
        <v>6.1849999999999126</v>
      </c>
      <c r="S625">
        <f t="shared" si="179"/>
        <v>5.6228736898974379E-6</v>
      </c>
      <c r="T625">
        <f t="shared" si="185"/>
        <v>2.4491158408276988E-6</v>
      </c>
      <c r="U625" s="1">
        <f t="shared" si="180"/>
        <v>2.0310737761391272E-2</v>
      </c>
      <c r="V625">
        <f t="shared" si="181"/>
        <v>2.125690345216472E+25</v>
      </c>
      <c r="W625">
        <f t="shared" si="186"/>
        <v>1.1952488314986703E+18</v>
      </c>
      <c r="Y625">
        <f t="shared" si="187"/>
        <v>6.1849999999999126</v>
      </c>
      <c r="Z625">
        <f t="shared" si="182"/>
        <v>0</v>
      </c>
      <c r="AA625">
        <f t="shared" si="188"/>
        <v>0</v>
      </c>
      <c r="AB625">
        <f t="shared" si="189"/>
        <v>1.0000235668946658</v>
      </c>
      <c r="AC625" s="1">
        <f t="shared" si="183"/>
        <v>7.4493433161470389E-3</v>
      </c>
    </row>
    <row r="626" spans="9:29" x14ac:dyDescent="0.2">
      <c r="I626">
        <f t="shared" si="190"/>
        <v>6.1949999999999124</v>
      </c>
      <c r="J626">
        <f t="shared" si="172"/>
        <v>5.5075133179840025E-6</v>
      </c>
      <c r="K626">
        <f t="shared" si="184"/>
        <v>8.7689972978189174E-6</v>
      </c>
      <c r="L626">
        <f t="shared" si="173"/>
        <v>1.2118686645606025E+20</v>
      </c>
      <c r="M626">
        <f t="shared" si="174"/>
        <v>9.376604442980328E-3</v>
      </c>
      <c r="N626">
        <f t="shared" si="175"/>
        <v>0</v>
      </c>
      <c r="O626">
        <f t="shared" si="176"/>
        <v>0</v>
      </c>
      <c r="P626">
        <f t="shared" si="177"/>
        <v>0</v>
      </c>
      <c r="R626">
        <f t="shared" si="178"/>
        <v>6.1949999999999124</v>
      </c>
      <c r="S626">
        <f t="shared" si="179"/>
        <v>5.507548468472593E-6</v>
      </c>
      <c r="T626">
        <f t="shared" si="185"/>
        <v>2.3928871039287245E-6</v>
      </c>
      <c r="U626" s="1">
        <f t="shared" si="180"/>
        <v>1.9844427793209708E-2</v>
      </c>
      <c r="V626">
        <f t="shared" si="181"/>
        <v>2.2003917096367564E+25</v>
      </c>
      <c r="W626">
        <f t="shared" si="186"/>
        <v>1.2118763990449708E+18</v>
      </c>
      <c r="Y626">
        <f t="shared" si="187"/>
        <v>6.1949999999999124</v>
      </c>
      <c r="Z626">
        <f t="shared" si="182"/>
        <v>0</v>
      </c>
      <c r="AA626">
        <f t="shared" si="188"/>
        <v>0</v>
      </c>
      <c r="AB626">
        <f t="shared" si="189"/>
        <v>1.0000235668946658</v>
      </c>
      <c r="AC626" s="1">
        <f t="shared" si="183"/>
        <v>7.4493433161470389E-3</v>
      </c>
    </row>
    <row r="627" spans="9:29" x14ac:dyDescent="0.2">
      <c r="I627">
        <f t="shared" si="190"/>
        <v>6.2049999999999121</v>
      </c>
      <c r="J627">
        <f t="shared" si="172"/>
        <v>5.3945541394703707E-6</v>
      </c>
      <c r="K627">
        <f t="shared" si="184"/>
        <v>8.7139221646390779E-6</v>
      </c>
      <c r="L627">
        <f t="shared" si="173"/>
        <v>1.2287274370154917E+20</v>
      </c>
      <c r="M627">
        <f t="shared" si="174"/>
        <v>9.3177131329556032E-3</v>
      </c>
      <c r="N627">
        <f t="shared" si="175"/>
        <v>0</v>
      </c>
      <c r="O627">
        <f t="shared" si="176"/>
        <v>0</v>
      </c>
      <c r="P627">
        <f t="shared" si="177"/>
        <v>0</v>
      </c>
      <c r="R627">
        <f t="shared" si="178"/>
        <v>6.2049999999999121</v>
      </c>
      <c r="S627">
        <f t="shared" si="179"/>
        <v>5.3945885690219266E-6</v>
      </c>
      <c r="T627">
        <f t="shared" si="185"/>
        <v>2.3378116192439986E-6</v>
      </c>
      <c r="U627" s="1">
        <f t="shared" si="180"/>
        <v>1.9387681849279616E-2</v>
      </c>
      <c r="V627">
        <f t="shared" si="181"/>
        <v>2.2777182418566409E+25</v>
      </c>
      <c r="W627">
        <f t="shared" si="186"/>
        <v>1.2287352790972554E+18</v>
      </c>
      <c r="Y627">
        <f t="shared" si="187"/>
        <v>6.2049999999999121</v>
      </c>
      <c r="Z627">
        <f t="shared" si="182"/>
        <v>0</v>
      </c>
      <c r="AA627">
        <f t="shared" si="188"/>
        <v>0</v>
      </c>
      <c r="AB627">
        <f t="shared" si="189"/>
        <v>1.0000235668946658</v>
      </c>
      <c r="AC627" s="1">
        <f t="shared" si="183"/>
        <v>7.4493433161470389E-3</v>
      </c>
    </row>
    <row r="628" spans="9:29" x14ac:dyDescent="0.2">
      <c r="I628">
        <f t="shared" si="190"/>
        <v>6.2149999999999119</v>
      </c>
      <c r="J628">
        <f t="shared" si="172"/>
        <v>5.283911755356273E-6</v>
      </c>
      <c r="K628">
        <f t="shared" si="184"/>
        <v>8.6599766232443738E-6</v>
      </c>
      <c r="L628">
        <f t="shared" si="173"/>
        <v>1.2458207383570565E+20</v>
      </c>
      <c r="M628">
        <f t="shared" si="174"/>
        <v>9.2600296845587876E-3</v>
      </c>
      <c r="N628">
        <f t="shared" si="175"/>
        <v>0</v>
      </c>
      <c r="O628">
        <f t="shared" si="176"/>
        <v>0</v>
      </c>
      <c r="P628">
        <f t="shared" si="177"/>
        <v>0</v>
      </c>
      <c r="R628">
        <f t="shared" si="178"/>
        <v>6.2149999999999119</v>
      </c>
      <c r="S628">
        <f t="shared" si="179"/>
        <v>5.2839454787572241E-6</v>
      </c>
      <c r="T628">
        <f t="shared" si="185"/>
        <v>2.2838657335537795E-6</v>
      </c>
      <c r="U628" s="1">
        <f t="shared" si="180"/>
        <v>1.8940303771324048E-2</v>
      </c>
      <c r="V628">
        <f t="shared" si="181"/>
        <v>2.3577621959605489E+25</v>
      </c>
      <c r="W628">
        <f t="shared" si="186"/>
        <v>1.2458286895330447E+18</v>
      </c>
      <c r="Y628">
        <f t="shared" si="187"/>
        <v>6.2149999999999119</v>
      </c>
      <c r="Z628">
        <f t="shared" si="182"/>
        <v>0</v>
      </c>
      <c r="AA628">
        <f t="shared" si="188"/>
        <v>0</v>
      </c>
      <c r="AB628">
        <f t="shared" si="189"/>
        <v>1.0000235668946658</v>
      </c>
      <c r="AC628" s="1">
        <f t="shared" si="183"/>
        <v>7.4493433161470389E-3</v>
      </c>
    </row>
    <row r="629" spans="9:29" x14ac:dyDescent="0.2">
      <c r="I629">
        <f t="shared" si="190"/>
        <v>6.2249999999999117</v>
      </c>
      <c r="J629">
        <f t="shared" si="172"/>
        <v>5.1755386481547718E-6</v>
      </c>
      <c r="K629">
        <f t="shared" si="184"/>
        <v>8.6071375056908114E-6</v>
      </c>
      <c r="L629">
        <f t="shared" si="173"/>
        <v>1.2631518312070968E+20</v>
      </c>
      <c r="M629">
        <f t="shared" si="174"/>
        <v>9.2035293245302675E-3</v>
      </c>
      <c r="N629">
        <f t="shared" si="175"/>
        <v>0</v>
      </c>
      <c r="O629">
        <f t="shared" si="176"/>
        <v>0</v>
      </c>
      <c r="P629">
        <f t="shared" si="177"/>
        <v>0</v>
      </c>
      <c r="R629">
        <f t="shared" si="178"/>
        <v>6.2249999999999117</v>
      </c>
      <c r="S629">
        <f t="shared" si="179"/>
        <v>5.1755716798882779E-6</v>
      </c>
      <c r="T629">
        <f t="shared" si="185"/>
        <v>2.2310262787662071E-6</v>
      </c>
      <c r="U629" s="1">
        <f t="shared" si="180"/>
        <v>1.8502101424275174E-2</v>
      </c>
      <c r="V629">
        <f t="shared" si="181"/>
        <v>2.4406190680412497E+25</v>
      </c>
      <c r="W629">
        <f t="shared" si="186"/>
        <v>1.2631598929949614E+18</v>
      </c>
      <c r="Y629">
        <f t="shared" si="187"/>
        <v>6.2249999999999117</v>
      </c>
      <c r="Z629">
        <f t="shared" si="182"/>
        <v>0</v>
      </c>
      <c r="AA629">
        <f t="shared" si="188"/>
        <v>0</v>
      </c>
      <c r="AB629">
        <f t="shared" si="189"/>
        <v>1.0000235668946658</v>
      </c>
      <c r="AC629" s="1">
        <f t="shared" si="183"/>
        <v>7.4493433161470389E-3</v>
      </c>
    </row>
    <row r="630" spans="9:29" x14ac:dyDescent="0.2">
      <c r="I630">
        <f t="shared" si="190"/>
        <v>6.2349999999999115</v>
      </c>
      <c r="J630">
        <f t="shared" si="172"/>
        <v>5.0693882749632786E-6</v>
      </c>
      <c r="K630">
        <f t="shared" si="184"/>
        <v>8.555382119209264E-6</v>
      </c>
      <c r="L630">
        <f t="shared" si="173"/>
        <v>1.2807240235750126E+20</v>
      </c>
      <c r="M630">
        <f t="shared" si="174"/>
        <v>9.1481877877103452E-3</v>
      </c>
      <c r="N630">
        <f t="shared" si="175"/>
        <v>0</v>
      </c>
      <c r="O630">
        <f t="shared" si="176"/>
        <v>0</v>
      </c>
      <c r="P630">
        <f t="shared" si="177"/>
        <v>0</v>
      </c>
      <c r="R630">
        <f t="shared" si="178"/>
        <v>6.2349999999999115</v>
      </c>
      <c r="S630">
        <f t="shared" si="179"/>
        <v>5.0694206292154482E-6</v>
      </c>
      <c r="T630">
        <f t="shared" si="185"/>
        <v>2.1792705619673242E-6</v>
      </c>
      <c r="U630" s="1">
        <f t="shared" si="180"/>
        <v>1.8072886613758214E-2</v>
      </c>
      <c r="V630">
        <f t="shared" si="181"/>
        <v>2.5263877101311398E+25</v>
      </c>
      <c r="W630">
        <f t="shared" si="186"/>
        <v>1.2807321975135178E+18</v>
      </c>
      <c r="Y630">
        <f t="shared" si="187"/>
        <v>6.2349999999999115</v>
      </c>
      <c r="Z630">
        <f t="shared" si="182"/>
        <v>0</v>
      </c>
      <c r="AA630">
        <f t="shared" si="188"/>
        <v>0</v>
      </c>
      <c r="AB630">
        <f t="shared" si="189"/>
        <v>1.0000235668946658</v>
      </c>
      <c r="AC630" s="1">
        <f t="shared" si="183"/>
        <v>7.4493433161470389E-3</v>
      </c>
    </row>
    <row r="631" spans="9:29" x14ac:dyDescent="0.2">
      <c r="I631">
        <f t="shared" si="190"/>
        <v>6.2449999999999113</v>
      </c>
      <c r="J631">
        <f t="shared" si="172"/>
        <v>4.965415047474806E-6</v>
      </c>
      <c r="K631">
        <f t="shared" si="184"/>
        <v>8.5046882364596307E-6</v>
      </c>
      <c r="L631">
        <f t="shared" si="173"/>
        <v>1.2985406694891951E+20</v>
      </c>
      <c r="M631">
        <f t="shared" si="174"/>
        <v>9.0939813066181034E-3</v>
      </c>
      <c r="N631">
        <f t="shared" si="175"/>
        <v>0</v>
      </c>
      <c r="O631">
        <f t="shared" si="176"/>
        <v>0</v>
      </c>
      <c r="P631">
        <f t="shared" si="177"/>
        <v>0</v>
      </c>
      <c r="R631">
        <f t="shared" si="178"/>
        <v>6.2449999999999113</v>
      </c>
      <c r="S631">
        <f t="shared" si="179"/>
        <v>4.965446738140792E-6</v>
      </c>
      <c r="T631">
        <f t="shared" si="185"/>
        <v>2.1285763556751697E-6</v>
      </c>
      <c r="U631" s="1">
        <f t="shared" si="180"/>
        <v>1.7652475005267759E-2</v>
      </c>
      <c r="V631">
        <f t="shared" si="181"/>
        <v>2.6151704481372135E+25</v>
      </c>
      <c r="W631">
        <f t="shared" si="186"/>
        <v>1.2985489571385119E+18</v>
      </c>
      <c r="Y631">
        <f t="shared" si="187"/>
        <v>6.2449999999999113</v>
      </c>
      <c r="Z631">
        <f t="shared" si="182"/>
        <v>0</v>
      </c>
      <c r="AA631">
        <f t="shared" si="188"/>
        <v>0</v>
      </c>
      <c r="AB631">
        <f t="shared" si="189"/>
        <v>1.0000235668946658</v>
      </c>
      <c r="AC631" s="1">
        <f t="shared" si="183"/>
        <v>7.4493433161470389E-3</v>
      </c>
    </row>
    <row r="632" spans="9:29" x14ac:dyDescent="0.2">
      <c r="I632">
        <f t="shared" si="190"/>
        <v>6.2549999999999111</v>
      </c>
      <c r="J632">
        <f t="shared" si="172"/>
        <v>4.8635743123992357E-6</v>
      </c>
      <c r="K632">
        <f t="shared" si="184"/>
        <v>8.4550340859848819E-6</v>
      </c>
      <c r="L632">
        <f t="shared" si="173"/>
        <v>1.3166051696372356E+20</v>
      </c>
      <c r="M632">
        <f t="shared" si="174"/>
        <v>9.0408866012440074E-3</v>
      </c>
      <c r="N632">
        <f t="shared" si="175"/>
        <v>0</v>
      </c>
      <c r="O632">
        <f t="shared" si="176"/>
        <v>0</v>
      </c>
      <c r="P632">
        <f t="shared" si="177"/>
        <v>0</v>
      </c>
      <c r="R632">
        <f t="shared" si="178"/>
        <v>6.2549999999999111</v>
      </c>
      <c r="S632">
        <f t="shared" si="179"/>
        <v>4.8636053530891991E-6</v>
      </c>
      <c r="T632">
        <f t="shared" si="185"/>
        <v>2.0789218882937619E-6</v>
      </c>
      <c r="U632" s="1">
        <f t="shared" si="180"/>
        <v>1.7240686045001802E-2</v>
      </c>
      <c r="V632">
        <f t="shared" si="181"/>
        <v>2.7070732039205645E+25</v>
      </c>
      <c r="W632">
        <f t="shared" si="186"/>
        <v>1.3166135725792387E+18</v>
      </c>
      <c r="Y632">
        <f t="shared" si="187"/>
        <v>6.2549999999999111</v>
      </c>
      <c r="Z632">
        <f t="shared" si="182"/>
        <v>0</v>
      </c>
      <c r="AA632">
        <f t="shared" si="188"/>
        <v>0</v>
      </c>
      <c r="AB632">
        <f t="shared" si="189"/>
        <v>1.0000235668946658</v>
      </c>
      <c r="AC632" s="1">
        <f t="shared" si="183"/>
        <v>7.4493433161470389E-3</v>
      </c>
    </row>
    <row r="633" spans="9:29" x14ac:dyDescent="0.2">
      <c r="I633">
        <f t="shared" si="190"/>
        <v>6.2649999999999109</v>
      </c>
      <c r="J633">
        <f t="shared" si="172"/>
        <v>4.7638223322860542E-6</v>
      </c>
      <c r="K633">
        <f t="shared" si="184"/>
        <v>8.4063983428608894E-6</v>
      </c>
      <c r="L633">
        <f t="shared" si="173"/>
        <v>1.3349209720149569E+20</v>
      </c>
      <c r="M633">
        <f t="shared" si="174"/>
        <v>8.9888808690518542E-3</v>
      </c>
      <c r="N633">
        <f t="shared" si="175"/>
        <v>0</v>
      </c>
      <c r="O633">
        <f t="shared" si="176"/>
        <v>0</v>
      </c>
      <c r="P633">
        <f t="shared" si="177"/>
        <v>0</v>
      </c>
      <c r="R633">
        <f t="shared" si="178"/>
        <v>6.2649999999999109</v>
      </c>
      <c r="S633">
        <f t="shared" si="179"/>
        <v>4.7638527363310136E-6</v>
      </c>
      <c r="T633">
        <f t="shared" si="185"/>
        <v>2.03028583476287E-6</v>
      </c>
      <c r="U633" s="1">
        <f t="shared" si="180"/>
        <v>1.6837342882319431E-2</v>
      </c>
      <c r="V633">
        <f t="shared" si="181"/>
        <v>2.8022056216659061E+25</v>
      </c>
      <c r="W633">
        <f t="shared" si="186"/>
        <v>1.3349294918535276E+18</v>
      </c>
      <c r="Y633">
        <f t="shared" si="187"/>
        <v>6.2649999999999109</v>
      </c>
      <c r="Z633">
        <f t="shared" si="182"/>
        <v>0</v>
      </c>
      <c r="AA633">
        <f t="shared" si="188"/>
        <v>0</v>
      </c>
      <c r="AB633">
        <f t="shared" si="189"/>
        <v>1.0000235668946658</v>
      </c>
      <c r="AC633" s="1">
        <f t="shared" si="183"/>
        <v>7.4493433161470389E-3</v>
      </c>
    </row>
    <row r="634" spans="9:29" x14ac:dyDescent="0.2">
      <c r="I634">
        <f t="shared" si="190"/>
        <v>6.2749999999999106</v>
      </c>
      <c r="J634">
        <f t="shared" si="172"/>
        <v>4.6661162667405046E-6</v>
      </c>
      <c r="K634">
        <f t="shared" si="184"/>
        <v>8.3587601195380287E-6</v>
      </c>
      <c r="L634">
        <f t="shared" si="173"/>
        <v>1.3534915725846408E+20</v>
      </c>
      <c r="M634">
        <f t="shared" si="174"/>
        <v>8.9379417751857954E-3</v>
      </c>
      <c r="N634">
        <f t="shared" si="175"/>
        <v>0</v>
      </c>
      <c r="O634">
        <f t="shared" si="176"/>
        <v>0</v>
      </c>
      <c r="P634">
        <f t="shared" si="177"/>
        <v>0</v>
      </c>
      <c r="R634">
        <f t="shared" si="178"/>
        <v>6.2749999999999106</v>
      </c>
      <c r="S634">
        <f t="shared" si="179"/>
        <v>4.6661460471980591E-6</v>
      </c>
      <c r="T634">
        <f t="shared" si="185"/>
        <v>1.9826473073995599E-6</v>
      </c>
      <c r="U634" s="1">
        <f t="shared" si="180"/>
        <v>1.644227229378898E-2</v>
      </c>
      <c r="V634">
        <f t="shared" si="181"/>
        <v>2.9006811986922832E+25</v>
      </c>
      <c r="W634">
        <f t="shared" si="186"/>
        <v>1.3535002109459725E+18</v>
      </c>
      <c r="Y634">
        <f t="shared" si="187"/>
        <v>6.2749999999999106</v>
      </c>
      <c r="Z634">
        <f t="shared" si="182"/>
        <v>0</v>
      </c>
      <c r="AA634">
        <f t="shared" si="188"/>
        <v>0</v>
      </c>
      <c r="AB634">
        <f t="shared" si="189"/>
        <v>1.0000235668946658</v>
      </c>
      <c r="AC634" s="1">
        <f t="shared" si="183"/>
        <v>7.4493433161470389E-3</v>
      </c>
    </row>
    <row r="635" spans="9:29" x14ac:dyDescent="0.2">
      <c r="I635">
        <f t="shared" si="190"/>
        <v>6.2849999999999104</v>
      </c>
      <c r="J635">
        <f t="shared" si="172"/>
        <v>4.5704141540249525E-6</v>
      </c>
      <c r="K635">
        <f t="shared" si="184"/>
        <v>8.3120989568706241E-6</v>
      </c>
      <c r="L635">
        <f t="shared" si="173"/>
        <v>1.3723205159422018E+20</v>
      </c>
      <c r="M635">
        <f t="shared" si="174"/>
        <v>8.8880474428781955E-3</v>
      </c>
      <c r="N635">
        <f t="shared" si="175"/>
        <v>0</v>
      </c>
      <c r="O635">
        <f t="shared" si="176"/>
        <v>0</v>
      </c>
      <c r="P635">
        <f t="shared" si="177"/>
        <v>0</v>
      </c>
      <c r="R635">
        <f t="shared" si="178"/>
        <v>6.2849999999999104</v>
      </c>
      <c r="S635">
        <f t="shared" si="179"/>
        <v>4.5704433236848872E-6</v>
      </c>
      <c r="T635">
        <f t="shared" si="185"/>
        <v>1.9359858469275793E-6</v>
      </c>
      <c r="U635" s="1">
        <f t="shared" si="180"/>
        <v>1.6055304608793879E-2</v>
      </c>
      <c r="V635">
        <f t="shared" si="181"/>
        <v>3.0026174208603447E+25</v>
      </c>
      <c r="W635">
        <f t="shared" si="186"/>
        <v>1.3723292744751099E+18</v>
      </c>
      <c r="Y635">
        <f t="shared" si="187"/>
        <v>6.2849999999999104</v>
      </c>
      <c r="Z635">
        <f t="shared" si="182"/>
        <v>0</v>
      </c>
      <c r="AA635">
        <f t="shared" si="188"/>
        <v>0</v>
      </c>
      <c r="AB635">
        <f t="shared" si="189"/>
        <v>1.0000235668946658</v>
      </c>
      <c r="AC635" s="1">
        <f t="shared" si="183"/>
        <v>7.4493433161470389E-3</v>
      </c>
    </row>
    <row r="636" spans="9:29" x14ac:dyDescent="0.2">
      <c r="I636">
        <f t="shared" si="190"/>
        <v>6.2949999999999102</v>
      </c>
      <c r="J636">
        <f t="shared" si="172"/>
        <v>4.4766748930376076E-6</v>
      </c>
      <c r="K636">
        <f t="shared" si="184"/>
        <v>8.2663948153303739E-6</v>
      </c>
      <c r="L636">
        <f t="shared" si="173"/>
        <v>1.3914113959938312E+20</v>
      </c>
      <c r="M636">
        <f t="shared" si="174"/>
        <v>8.8391764440542472E-3</v>
      </c>
      <c r="N636">
        <f t="shared" si="175"/>
        <v>0</v>
      </c>
      <c r="O636">
        <f t="shared" si="176"/>
        <v>0</v>
      </c>
      <c r="P636">
        <f t="shared" si="177"/>
        <v>0</v>
      </c>
      <c r="R636">
        <f t="shared" si="178"/>
        <v>6.2949999999999102</v>
      </c>
      <c r="S636">
        <f t="shared" si="179"/>
        <v>4.4767034644273914E-6</v>
      </c>
      <c r="T636">
        <f t="shared" si="185"/>
        <v>1.8902814136907303E-6</v>
      </c>
      <c r="U636" s="1">
        <f t="shared" si="180"/>
        <v>1.5676273636664389E-2</v>
      </c>
      <c r="V636">
        <f t="shared" si="181"/>
        <v>3.1081359027385198E+25</v>
      </c>
      <c r="W636">
        <f t="shared" si="186"/>
        <v>1.391420276370069E+18</v>
      </c>
      <c r="Y636">
        <f t="shared" si="187"/>
        <v>6.2949999999999102</v>
      </c>
      <c r="Z636">
        <f t="shared" si="182"/>
        <v>0</v>
      </c>
      <c r="AA636">
        <f t="shared" si="188"/>
        <v>0</v>
      </c>
      <c r="AB636">
        <f t="shared" si="189"/>
        <v>1.0000235668946658</v>
      </c>
      <c r="AC636" s="1">
        <f t="shared" si="183"/>
        <v>7.4493433161470389E-3</v>
      </c>
    </row>
    <row r="637" spans="9:29" x14ac:dyDescent="0.2">
      <c r="I637">
        <f t="shared" si="190"/>
        <v>6.30499999999991</v>
      </c>
      <c r="J637">
        <f t="shared" si="172"/>
        <v>4.384858225660898E-6</v>
      </c>
      <c r="K637">
        <f t="shared" si="184"/>
        <v>8.2216280663999979E-6</v>
      </c>
      <c r="L637">
        <f t="shared" si="173"/>
        <v>1.4107678566419137E+20</v>
      </c>
      <c r="M637">
        <f t="shared" si="174"/>
        <v>8.7913077901292727E-3</v>
      </c>
      <c r="N637">
        <f t="shared" si="175"/>
        <v>0</v>
      </c>
      <c r="O637">
        <f t="shared" si="176"/>
        <v>0</v>
      </c>
      <c r="P637">
        <f t="shared" si="177"/>
        <v>0</v>
      </c>
      <c r="R637">
        <f t="shared" si="178"/>
        <v>6.30499999999991</v>
      </c>
      <c r="S637">
        <f t="shared" si="179"/>
        <v>4.3848862110510602E-6</v>
      </c>
      <c r="T637">
        <f t="shared" si="185"/>
        <v>1.8455143790464565E-6</v>
      </c>
      <c r="U637" s="1">
        <f t="shared" si="180"/>
        <v>1.5305016595303833E-2</v>
      </c>
      <c r="V637">
        <f t="shared" si="181"/>
        <v>3.2173625326946091E+25</v>
      </c>
      <c r="W637">
        <f t="shared" si="186"/>
        <v>1.4107768605564908E+18</v>
      </c>
      <c r="Y637">
        <f t="shared" si="187"/>
        <v>6.30499999999991</v>
      </c>
      <c r="Z637">
        <f t="shared" si="182"/>
        <v>0</v>
      </c>
      <c r="AA637">
        <f t="shared" si="188"/>
        <v>0</v>
      </c>
      <c r="AB637">
        <f t="shared" si="189"/>
        <v>1.0000235668946658</v>
      </c>
      <c r="AC637" s="1">
        <f t="shared" si="183"/>
        <v>7.4493433161470389E-3</v>
      </c>
    </row>
    <row r="638" spans="9:29" x14ac:dyDescent="0.2">
      <c r="I638">
        <f t="shared" si="190"/>
        <v>6.3149999999999098</v>
      </c>
      <c r="J638">
        <f t="shared" si="172"/>
        <v>4.2949247194718098E-6</v>
      </c>
      <c r="K638">
        <f t="shared" si="184"/>
        <v>8.1777794841433895E-6</v>
      </c>
      <c r="L638">
        <f t="shared" si="173"/>
        <v>1.4303935924805789E+20</v>
      </c>
      <c r="M638">
        <f t="shared" si="174"/>
        <v>8.7444209229947632E-3</v>
      </c>
      <c r="N638">
        <f t="shared" si="175"/>
        <v>0</v>
      </c>
      <c r="O638">
        <f t="shared" si="176"/>
        <v>0</v>
      </c>
      <c r="P638">
        <f t="shared" si="177"/>
        <v>0</v>
      </c>
      <c r="R638">
        <f t="shared" si="178"/>
        <v>6.3149999999999098</v>
      </c>
      <c r="S638">
        <f t="shared" si="179"/>
        <v>4.2949521308812126E-6</v>
      </c>
      <c r="T638">
        <f t="shared" si="185"/>
        <v>1.8016655169359459E-6</v>
      </c>
      <c r="U638" s="1">
        <f t="shared" si="180"/>
        <v>1.4941374041278705E-2</v>
      </c>
      <c r="V638">
        <f t="shared" si="181"/>
        <v>3.3304276230864621E+25</v>
      </c>
      <c r="W638">
        <f t="shared" si="186"/>
        <v>1.4304027216520852E+18</v>
      </c>
      <c r="Y638">
        <f t="shared" si="187"/>
        <v>6.3149999999999098</v>
      </c>
      <c r="Z638">
        <f t="shared" si="182"/>
        <v>0</v>
      </c>
      <c r="AA638">
        <f t="shared" si="188"/>
        <v>0</v>
      </c>
      <c r="AB638">
        <f t="shared" si="189"/>
        <v>1.0000235668946658</v>
      </c>
      <c r="AC638" s="1">
        <f t="shared" si="183"/>
        <v>7.4493433161470389E-3</v>
      </c>
    </row>
    <row r="639" spans="9:29" x14ac:dyDescent="0.2">
      <c r="I639">
        <f t="shared" si="190"/>
        <v>6.3249999999999096</v>
      </c>
      <c r="J639">
        <f t="shared" si="172"/>
        <v>4.206835750806906E-6</v>
      </c>
      <c r="K639">
        <f t="shared" si="184"/>
        <v>8.1348302369486723E-6</v>
      </c>
      <c r="L639">
        <f t="shared" si="173"/>
        <v>1.4502923495008517E+20</v>
      </c>
      <c r="M639">
        <f t="shared" si="174"/>
        <v>8.6984957061893228E-3</v>
      </c>
      <c r="N639">
        <f t="shared" si="175"/>
        <v>0</v>
      </c>
      <c r="O639">
        <f t="shared" si="176"/>
        <v>0</v>
      </c>
      <c r="P639">
        <f t="shared" si="177"/>
        <v>0</v>
      </c>
      <c r="R639">
        <f t="shared" si="178"/>
        <v>6.3249999999999096</v>
      </c>
      <c r="S639">
        <f t="shared" si="179"/>
        <v>4.2068626000079013E-6</v>
      </c>
      <c r="T639">
        <f t="shared" si="185"/>
        <v>1.7587159956271338E-6</v>
      </c>
      <c r="U639" s="1">
        <f t="shared" si="180"/>
        <v>1.4585189801342647E-2</v>
      </c>
      <c r="V639">
        <f t="shared" si="181"/>
        <v>3.4474660657304569E+25</v>
      </c>
      <c r="W639">
        <f t="shared" si="186"/>
        <v>1.4503016056717839E+18</v>
      </c>
      <c r="Y639">
        <f t="shared" si="187"/>
        <v>6.3249999999999096</v>
      </c>
      <c r="Z639">
        <f t="shared" si="182"/>
        <v>0</v>
      </c>
      <c r="AA639">
        <f t="shared" si="188"/>
        <v>0</v>
      </c>
      <c r="AB639">
        <f t="shared" si="189"/>
        <v>1.0000235668946658</v>
      </c>
      <c r="AC639" s="1">
        <f t="shared" si="183"/>
        <v>7.4493433161470389E-3</v>
      </c>
    </row>
    <row r="640" spans="9:29" x14ac:dyDescent="0.2">
      <c r="I640">
        <f t="shared" si="190"/>
        <v>6.3349999999999094</v>
      </c>
      <c r="J640">
        <f t="shared" si="172"/>
        <v>4.1205534881746521E-6</v>
      </c>
      <c r="K640">
        <f t="shared" si="184"/>
        <v>8.0927618794406038E-6</v>
      </c>
      <c r="L640">
        <f t="shared" si="173"/>
        <v>1.4704679258057138E+20</v>
      </c>
      <c r="M640">
        <f t="shared" si="174"/>
        <v>8.6535124162506714E-3</v>
      </c>
      <c r="N640">
        <f t="shared" si="175"/>
        <v>0</v>
      </c>
      <c r="O640">
        <f t="shared" si="176"/>
        <v>0</v>
      </c>
      <c r="P640">
        <f t="shared" si="177"/>
        <v>0</v>
      </c>
      <c r="R640">
        <f t="shared" si="178"/>
        <v>6.3349999999999094</v>
      </c>
      <c r="S640">
        <f t="shared" si="179"/>
        <v>4.1205797866981433E-6</v>
      </c>
      <c r="T640">
        <f t="shared" si="185"/>
        <v>1.7166473696270547E-6</v>
      </c>
      <c r="U640" s="1">
        <f t="shared" si="180"/>
        <v>1.4236310905364872E-2</v>
      </c>
      <c r="V640">
        <f t="shared" si="181"/>
        <v>3.5686174928337375E+25</v>
      </c>
      <c r="W640">
        <f t="shared" si="186"/>
        <v>1.4704773107428104E+18</v>
      </c>
      <c r="Y640">
        <f t="shared" si="187"/>
        <v>6.3349999999999094</v>
      </c>
      <c r="Z640">
        <f t="shared" si="182"/>
        <v>0</v>
      </c>
      <c r="AA640">
        <f t="shared" si="188"/>
        <v>0</v>
      </c>
      <c r="AB640">
        <f t="shared" si="189"/>
        <v>1.0000235668946658</v>
      </c>
      <c r="AC640" s="1">
        <f t="shared" si="183"/>
        <v>7.4493433161470389E-3</v>
      </c>
    </row>
    <row r="641" spans="9:29" x14ac:dyDescent="0.2">
      <c r="I641">
        <f t="shared" si="190"/>
        <v>6.3449999999999092</v>
      </c>
      <c r="J641">
        <f t="shared" si="172"/>
        <v>4.0360408760079507E-6</v>
      </c>
      <c r="K641">
        <f t="shared" si="184"/>
        <v>8.0515563445588581E-6</v>
      </c>
      <c r="L641">
        <f t="shared" si="173"/>
        <v>1.4909241723350005E+20</v>
      </c>
      <c r="M641">
        <f t="shared" si="174"/>
        <v>8.6094517342450265E-3</v>
      </c>
      <c r="N641">
        <f t="shared" si="175"/>
        <v>0</v>
      </c>
      <c r="O641">
        <f t="shared" si="176"/>
        <v>0</v>
      </c>
      <c r="P641">
        <f t="shared" si="177"/>
        <v>0</v>
      </c>
      <c r="R641">
        <f t="shared" si="178"/>
        <v>6.3449999999999092</v>
      </c>
      <c r="S641">
        <f t="shared" si="179"/>
        <v>4.0360666351483404E-6</v>
      </c>
      <c r="T641">
        <f t="shared" si="185"/>
        <v>1.6754415717600732E-6</v>
      </c>
      <c r="U641" s="1">
        <f t="shared" si="180"/>
        <v>1.3894587520634194E-2</v>
      </c>
      <c r="V641">
        <f t="shared" si="181"/>
        <v>3.694026443581696E+25</v>
      </c>
      <c r="W641">
        <f t="shared" si="186"/>
        <v>1.4909336878295767E+18</v>
      </c>
      <c r="Y641">
        <f t="shared" si="187"/>
        <v>6.3449999999999092</v>
      </c>
      <c r="Z641">
        <f t="shared" si="182"/>
        <v>0</v>
      </c>
      <c r="AA641">
        <f t="shared" si="188"/>
        <v>0</v>
      </c>
      <c r="AB641">
        <f t="shared" si="189"/>
        <v>1.0000235668946658</v>
      </c>
      <c r="AC641" s="1">
        <f t="shared" si="183"/>
        <v>7.4493433161470389E-3</v>
      </c>
    </row>
    <row r="642" spans="9:29" x14ac:dyDescent="0.2">
      <c r="I642">
        <f t="shared" si="190"/>
        <v>6.3549999999999089</v>
      </c>
      <c r="J642">
        <f t="shared" si="172"/>
        <v>3.953261618749942E-6</v>
      </c>
      <c r="K642">
        <f t="shared" si="184"/>
        <v>8.0111959357987781E-6</v>
      </c>
      <c r="L642">
        <f t="shared" si="173"/>
        <v>1.5116649936004927E+20</v>
      </c>
      <c r="M642">
        <f t="shared" si="174"/>
        <v>8.5662947374702189E-3</v>
      </c>
      <c r="N642">
        <f t="shared" si="175"/>
        <v>0</v>
      </c>
      <c r="O642">
        <f t="shared" si="176"/>
        <v>0</v>
      </c>
      <c r="P642">
        <f t="shared" si="177"/>
        <v>0</v>
      </c>
      <c r="R642">
        <f t="shared" si="178"/>
        <v>6.3549999999999089</v>
      </c>
      <c r="S642">
        <f t="shared" si="179"/>
        <v>3.9532868495699871E-6</v>
      </c>
      <c r="T642">
        <f t="shared" si="185"/>
        <v>1.6350809054085897E-6</v>
      </c>
      <c r="U642" s="1">
        <f t="shared" si="180"/>
        <v>1.3559872887510534E-2</v>
      </c>
      <c r="V642">
        <f t="shared" si="181"/>
        <v>3.8238425365799471E+25</v>
      </c>
      <c r="W642">
        <f t="shared" si="186"/>
        <v>1.5116746414687846E+18</v>
      </c>
      <c r="Y642">
        <f t="shared" si="187"/>
        <v>6.3549999999999089</v>
      </c>
      <c r="Z642">
        <f t="shared" si="182"/>
        <v>0</v>
      </c>
      <c r="AA642">
        <f t="shared" si="188"/>
        <v>0</v>
      </c>
      <c r="AB642">
        <f t="shared" si="189"/>
        <v>1.0000235668946658</v>
      </c>
      <c r="AC642" s="1">
        <f t="shared" si="183"/>
        <v>7.4493433161470389E-3</v>
      </c>
    </row>
    <row r="643" spans="9:29" x14ac:dyDescent="0.2">
      <c r="I643">
        <f t="shared" si="190"/>
        <v>6.3649999999999087</v>
      </c>
      <c r="J643">
        <f t="shared" si="172"/>
        <v>3.8721801652661529E-6</v>
      </c>
      <c r="K643">
        <f t="shared" si="184"/>
        <v>7.9716633196112781E-6</v>
      </c>
      <c r="L643">
        <f t="shared" si="173"/>
        <v>1.5326943484310943E+20</v>
      </c>
      <c r="M643">
        <f t="shared" si="174"/>
        <v>8.5240228913289785E-3</v>
      </c>
      <c r="N643">
        <f t="shared" si="175"/>
        <v>0</v>
      </c>
      <c r="O643">
        <f t="shared" si="176"/>
        <v>0</v>
      </c>
      <c r="P643">
        <f t="shared" si="177"/>
        <v>0</v>
      </c>
      <c r="R643">
        <f t="shared" si="178"/>
        <v>6.3649999999999087</v>
      </c>
      <c r="S643">
        <f t="shared" si="179"/>
        <v>3.8722048786017111E-6</v>
      </c>
      <c r="T643">
        <f t="shared" si="185"/>
        <v>1.59554803691289E-6</v>
      </c>
      <c r="U643" s="1">
        <f t="shared" si="180"/>
        <v>1.323202325639616E-2</v>
      </c>
      <c r="V643">
        <f t="shared" si="181"/>
        <v>3.9582206483559758E+25</v>
      </c>
      <c r="W643">
        <f t="shared" si="186"/>
        <v>1.5327041305146038E+18</v>
      </c>
      <c r="Y643">
        <f t="shared" si="187"/>
        <v>6.3649999999999087</v>
      </c>
      <c r="Z643">
        <f t="shared" si="182"/>
        <v>0</v>
      </c>
      <c r="AA643">
        <f t="shared" si="188"/>
        <v>0</v>
      </c>
      <c r="AB643">
        <f t="shared" si="189"/>
        <v>1.0000235668946658</v>
      </c>
      <c r="AC643" s="1">
        <f t="shared" si="183"/>
        <v>7.4493433161470389E-3</v>
      </c>
    </row>
    <row r="644" spans="9:29" x14ac:dyDescent="0.2">
      <c r="I644">
        <f t="shared" si="190"/>
        <v>6.3749999999999085</v>
      </c>
      <c r="J644">
        <f t="shared" si="172"/>
        <v>3.792761693576401E-6</v>
      </c>
      <c r="K644">
        <f t="shared" si="184"/>
        <v>7.9329415179586164E-6</v>
      </c>
      <c r="L644">
        <f t="shared" si="173"/>
        <v>1.5540162507285601E+20</v>
      </c>
      <c r="M644">
        <f t="shared" si="174"/>
        <v>8.4826180413688987E-3</v>
      </c>
      <c r="N644">
        <f t="shared" si="175"/>
        <v>0</v>
      </c>
      <c r="O644">
        <f t="shared" si="176"/>
        <v>0</v>
      </c>
      <c r="P644">
        <f t="shared" si="177"/>
        <v>0</v>
      </c>
      <c r="R644">
        <f t="shared" si="178"/>
        <v>6.3749999999999085</v>
      </c>
      <c r="S644">
        <f t="shared" si="179"/>
        <v>3.7927859000410862E-6</v>
      </c>
      <c r="T644">
        <f t="shared" si="185"/>
        <v>1.5568259881268729E-6</v>
      </c>
      <c r="U644" s="1">
        <f t="shared" si="180"/>
        <v>1.2910897825999698E-2</v>
      </c>
      <c r="V644">
        <f t="shared" si="181"/>
        <v>4.0973210981341506E+25</v>
      </c>
      <c r="W644">
        <f t="shared" si="186"/>
        <v>1.5540261688944067E+18</v>
      </c>
      <c r="Y644">
        <f t="shared" si="187"/>
        <v>6.3749999999999085</v>
      </c>
      <c r="Z644">
        <f t="shared" si="182"/>
        <v>0</v>
      </c>
      <c r="AA644">
        <f t="shared" si="188"/>
        <v>0</v>
      </c>
      <c r="AB644">
        <f t="shared" si="189"/>
        <v>1.0000235668946658</v>
      </c>
      <c r="AC644" s="1">
        <f t="shared" si="183"/>
        <v>7.4493433161470389E-3</v>
      </c>
    </row>
    <row r="645" spans="9:29" x14ac:dyDescent="0.2">
      <c r="I645">
        <f t="shared" si="190"/>
        <v>6.3849999999999083</v>
      </c>
      <c r="J645">
        <f t="shared" si="172"/>
        <v>3.714972095899824E-6</v>
      </c>
      <c r="K645">
        <f t="shared" si="184"/>
        <v>7.8950139010228531E-6</v>
      </c>
      <c r="L645">
        <f t="shared" si="173"/>
        <v>1.5756347702335144E+20</v>
      </c>
      <c r="M645">
        <f t="shared" si="174"/>
        <v>8.4420624054856504E-3</v>
      </c>
      <c r="N645">
        <f t="shared" si="175"/>
        <v>0</v>
      </c>
      <c r="O645">
        <f t="shared" si="176"/>
        <v>0</v>
      </c>
      <c r="P645">
        <f t="shared" si="177"/>
        <v>0</v>
      </c>
      <c r="R645">
        <f t="shared" si="178"/>
        <v>6.3849999999999083</v>
      </c>
      <c r="S645">
        <f t="shared" si="179"/>
        <v>3.7149958058895649E-6</v>
      </c>
      <c r="T645">
        <f t="shared" si="185"/>
        <v>1.5188981291264621E-6</v>
      </c>
      <c r="U645" s="1">
        <f t="shared" si="180"/>
        <v>1.2596358682866304E-2</v>
      </c>
      <c r="V645">
        <f t="shared" si="181"/>
        <v>4.2413098391035724E+25</v>
      </c>
      <c r="W645">
        <f t="shared" si="186"/>
        <v>1.5756448263747919E+18</v>
      </c>
      <c r="Y645">
        <f t="shared" si="187"/>
        <v>6.3849999999999083</v>
      </c>
      <c r="Z645">
        <f t="shared" si="182"/>
        <v>0</v>
      </c>
      <c r="AA645">
        <f t="shared" si="188"/>
        <v>0</v>
      </c>
      <c r="AB645">
        <f t="shared" si="189"/>
        <v>1.0000235668946658</v>
      </c>
      <c r="AC645" s="1">
        <f t="shared" si="183"/>
        <v>7.4493433161470389E-3</v>
      </c>
    </row>
    <row r="646" spans="9:29" x14ac:dyDescent="0.2">
      <c r="I646">
        <f t="shared" si="190"/>
        <v>6.3949999999999081</v>
      </c>
      <c r="J646">
        <f t="shared" si="172"/>
        <v>3.6387779640066381E-6</v>
      </c>
      <c r="K646">
        <f t="shared" si="184"/>
        <v>7.8578641800638543E-6</v>
      </c>
      <c r="L646">
        <f t="shared" si="173"/>
        <v>1.597554033302355E+20</v>
      </c>
      <c r="M646">
        <f t="shared" si="174"/>
        <v>8.4023385662861244E-3</v>
      </c>
      <c r="N646">
        <f t="shared" si="175"/>
        <v>0</v>
      </c>
      <c r="O646">
        <f t="shared" si="176"/>
        <v>0</v>
      </c>
      <c r="P646">
        <f t="shared" si="177"/>
        <v>0</v>
      </c>
      <c r="R646">
        <f t="shared" si="178"/>
        <v>6.3949999999999081</v>
      </c>
      <c r="S646">
        <f t="shared" si="179"/>
        <v>3.638801187704144E-6</v>
      </c>
      <c r="T646">
        <f t="shared" si="185"/>
        <v>1.4817481710675664E-6</v>
      </c>
      <c r="U646" s="1">
        <f t="shared" si="180"/>
        <v>1.2288270742148111E-2</v>
      </c>
      <c r="V646">
        <f t="shared" si="181"/>
        <v>4.3903586564080906E+25</v>
      </c>
      <c r="W646">
        <f t="shared" si="186"/>
        <v>1.5975642293384932E+18</v>
      </c>
      <c r="Y646">
        <f t="shared" si="187"/>
        <v>6.3949999999999081</v>
      </c>
      <c r="Z646">
        <f t="shared" si="182"/>
        <v>0</v>
      </c>
      <c r="AA646">
        <f t="shared" si="188"/>
        <v>0</v>
      </c>
      <c r="AB646">
        <f t="shared" si="189"/>
        <v>1.0000235668946658</v>
      </c>
      <c r="AC646" s="1">
        <f t="shared" si="183"/>
        <v>7.4493433161470389E-3</v>
      </c>
    </row>
    <row r="647" spans="9:29" x14ac:dyDescent="0.2">
      <c r="I647">
        <f t="shared" si="190"/>
        <v>6.4049999999999079</v>
      </c>
      <c r="J647">
        <f t="shared" ref="J647:J710" si="191">IF($I647&gt;$B$23,0,1)*IF($I647&lt;($B$23-$B$21),$B$10*EXP(-$B$10*($I647-$B$8)),$B$10*EXP(-$B$10*($B$23-$B$20-$B$21-$B$8)))/(1-EXP(-$B$10*($B$23-$B$21-$B$8)))*(1/(1+$B$24))</f>
        <v>3.5641465748703599E-6</v>
      </c>
      <c r="K647">
        <f t="shared" si="184"/>
        <v>7.8214764004237879E-6</v>
      </c>
      <c r="L647">
        <f t="shared" ref="L647:L710" si="192">$V647*$J647</f>
        <v>1.6197782236948133E+20</v>
      </c>
      <c r="M647">
        <f t="shared" ref="M647:M710" si="193">$K647/$L$4*$B$18</f>
        <v>8.363429463608206E-3</v>
      </c>
      <c r="N647">
        <f t="shared" ref="N647:N710" si="194">IF($I647&gt;$B$23,0,1)*IF($I647&lt;($B$23-$B$21),0,M647)</f>
        <v>0</v>
      </c>
      <c r="O647">
        <f t="shared" ref="O647:O710" si="195">IF($I647&gt;$B$23,0,1)*IF($I647&lt;($B$23-$B$33),0,1)*IF($I647&lt;($B$23-$B$21),$B$10*EXP(-$B$10*($I647-$B$8)),$B$10*EXP(-$B$10*($B$23-$B$20-$B$21-$B$8)))/(1-EXP(-$B$10*($B$23-$B$21-$B$8)))*(1/(1+$B$24))*($B$18/(SUM($L$7:$L$105)*0.05))</f>
        <v>0</v>
      </c>
      <c r="P647">
        <f t="shared" ref="P647:P710" si="196">IF($I647&gt;$B$23,0,1)*IF($I647&lt;($B$23-$B$21),0,1)*$L647</f>
        <v>0</v>
      </c>
      <c r="R647">
        <f t="shared" ref="R647:R710" si="197">$I647</f>
        <v>6.4049999999999079</v>
      </c>
      <c r="S647">
        <f t="shared" ref="S647:S710" si="198">IF($I647&lt;$B$23+0.01,$B$10*EXP(-$B$10*($I647-$B$8))/(1-EXP(-$B$10*($B$23-$B$8))),0)</f>
        <v>3.564169322249491E-6</v>
      </c>
      <c r="T647">
        <f t="shared" si="185"/>
        <v>1.445360159190525E-6</v>
      </c>
      <c r="U647" s="1">
        <f t="shared" ref="U647:U710" si="199">T647*$B$18/$W$4</f>
        <v>1.198650168958945E-2</v>
      </c>
      <c r="V647">
        <f t="shared" ref="V647:V710" si="200">10^(1.5*$I647+16.05)</f>
        <v>4.5446453720936828E+25</v>
      </c>
      <c r="W647">
        <f t="shared" si="186"/>
        <v>1.6197885615719427E+18</v>
      </c>
      <c r="Y647">
        <f t="shared" si="187"/>
        <v>6.4049999999999079</v>
      </c>
      <c r="Z647">
        <f t="shared" ref="Z647:Z710" si="201">IF(AND($Y647&lt;$B$9+$B$27*$B$28,$Y647&gt;$B$9-$B$27*$B$28),NORMDIST($Y647,$B$9,$B$27,0) / (2*NORMDIST($B$28,0,1,1)-1),0)</f>
        <v>0</v>
      </c>
      <c r="AA647">
        <f t="shared" si="188"/>
        <v>0</v>
      </c>
      <c r="AB647">
        <f t="shared" si="189"/>
        <v>1.0000235668946658</v>
      </c>
      <c r="AC647" s="1">
        <f t="shared" ref="AC647:AC710" si="202">$AB647*$B$18/$AA$4</f>
        <v>7.4493433161470389E-3</v>
      </c>
    </row>
    <row r="648" spans="9:29" x14ac:dyDescent="0.2">
      <c r="I648">
        <f t="shared" si="190"/>
        <v>6.4149999999999077</v>
      </c>
      <c r="J648">
        <f t="shared" si="191"/>
        <v>3.4910458766142354E-6</v>
      </c>
      <c r="K648">
        <f t="shared" ref="K648:K711" si="203">$J648*K$4+K649</f>
        <v>7.7858349346750844E-6</v>
      </c>
      <c r="L648">
        <f t="shared" si="192"/>
        <v>1.6423115833725059E+20</v>
      </c>
      <c r="M648">
        <f t="shared" si="193"/>
        <v>8.3253183871939435E-3</v>
      </c>
      <c r="N648">
        <f t="shared" si="194"/>
        <v>0</v>
      </c>
      <c r="O648">
        <f t="shared" si="195"/>
        <v>0</v>
      </c>
      <c r="P648">
        <f t="shared" si="196"/>
        <v>0</v>
      </c>
      <c r="R648">
        <f t="shared" si="197"/>
        <v>6.4149999999999077</v>
      </c>
      <c r="S648">
        <f t="shared" si="198"/>
        <v>3.4910681574442886E-6</v>
      </c>
      <c r="T648">
        <f t="shared" ref="T648:T711" si="204">T649+$S648*0.01</f>
        <v>1.4097184659680301E-6</v>
      </c>
      <c r="U648" s="1">
        <f t="shared" si="199"/>
        <v>1.1690921924701973E-2</v>
      </c>
      <c r="V648">
        <f t="shared" si="200"/>
        <v>4.7043540572583067E+25</v>
      </c>
      <c r="W648">
        <f t="shared" ref="W648:W711" si="205">$S648*$V648*0.01</f>
        <v>1.6423220650638321E+18</v>
      </c>
      <c r="Y648">
        <f t="shared" ref="Y648:Y711" si="206">I648</f>
        <v>6.4149999999999077</v>
      </c>
      <c r="Z648">
        <f t="shared" si="201"/>
        <v>0</v>
      </c>
      <c r="AA648">
        <f t="shared" ref="AA648:AA711" si="207">$V648*$Z648*$K$4</f>
        <v>0</v>
      </c>
      <c r="AB648">
        <f t="shared" ref="AB648:AB711" si="208">Z648*$K$4+AB649</f>
        <v>1.0000235668946658</v>
      </c>
      <c r="AC648" s="1">
        <f t="shared" si="202"/>
        <v>7.4493433161470389E-3</v>
      </c>
    </row>
    <row r="649" spans="9:29" x14ac:dyDescent="0.2">
      <c r="I649">
        <f t="shared" si="190"/>
        <v>6.4249999999999075</v>
      </c>
      <c r="J649">
        <f t="shared" si="191"/>
        <v>3.419444474745979E-6</v>
      </c>
      <c r="K649">
        <f t="shared" si="203"/>
        <v>7.7509244759089423E-6</v>
      </c>
      <c r="L649">
        <f t="shared" si="192"/>
        <v>1.6651584133086072E+20</v>
      </c>
      <c r="M649">
        <f t="shared" si="193"/>
        <v>8.2879889695130302E-3</v>
      </c>
      <c r="N649">
        <f t="shared" si="194"/>
        <v>0</v>
      </c>
      <c r="O649">
        <f t="shared" si="195"/>
        <v>0</v>
      </c>
      <c r="P649">
        <f t="shared" si="196"/>
        <v>0</v>
      </c>
      <c r="R649">
        <f t="shared" si="197"/>
        <v>6.4249999999999075</v>
      </c>
      <c r="S649">
        <f t="shared" si="198"/>
        <v>3.4194662985958826E-6</v>
      </c>
      <c r="T649">
        <f t="shared" si="204"/>
        <v>1.3748077843935872E-6</v>
      </c>
      <c r="U649" s="1">
        <f t="shared" si="199"/>
        <v>1.1401404505105229E-2</v>
      </c>
      <c r="V649">
        <f t="shared" si="200"/>
        <v>4.8696752516570899E+25</v>
      </c>
      <c r="W649">
        <f t="shared" si="205"/>
        <v>1.6651690408147843E+18</v>
      </c>
      <c r="Y649">
        <f t="shared" si="206"/>
        <v>6.4249999999999075</v>
      </c>
      <c r="Z649">
        <f t="shared" si="201"/>
        <v>0</v>
      </c>
      <c r="AA649">
        <f t="shared" si="207"/>
        <v>0</v>
      </c>
      <c r="AB649">
        <f t="shared" si="208"/>
        <v>1.0000235668946658</v>
      </c>
      <c r="AC649" s="1">
        <f t="shared" si="202"/>
        <v>7.4493433161470389E-3</v>
      </c>
    </row>
    <row r="650" spans="9:29" x14ac:dyDescent="0.2">
      <c r="I650">
        <f t="shared" si="190"/>
        <v>6.4349999999999072</v>
      </c>
      <c r="J650">
        <f t="shared" si="191"/>
        <v>3.3493116186747975E-6</v>
      </c>
      <c r="K650">
        <f t="shared" si="203"/>
        <v>7.7167300311614821E-6</v>
      </c>
      <c r="L650">
        <f t="shared" si="192"/>
        <v>1.6883230743088333E+20</v>
      </c>
      <c r="M650">
        <f t="shared" si="193"/>
        <v>8.2514251787334358E-3</v>
      </c>
      <c r="N650">
        <f t="shared" si="194"/>
        <v>0</v>
      </c>
      <c r="O650">
        <f t="shared" si="195"/>
        <v>0</v>
      </c>
      <c r="P650">
        <f t="shared" si="196"/>
        <v>0</v>
      </c>
      <c r="R650">
        <f t="shared" si="197"/>
        <v>6.4349999999999072</v>
      </c>
      <c r="S650">
        <f t="shared" si="198"/>
        <v>3.349332994917221E-6</v>
      </c>
      <c r="T650">
        <f t="shared" si="204"/>
        <v>1.3406131214076284E-6</v>
      </c>
      <c r="U650" s="1">
        <f t="shared" si="199"/>
        <v>1.111782509200885E-2</v>
      </c>
      <c r="V650">
        <f t="shared" si="200"/>
        <v>5.0408061910251346E+25</v>
      </c>
      <c r="W650">
        <f t="shared" si="205"/>
        <v>1.6883338496583483E+18</v>
      </c>
      <c r="Y650">
        <f t="shared" si="206"/>
        <v>6.4349999999999072</v>
      </c>
      <c r="Z650">
        <f t="shared" si="201"/>
        <v>0</v>
      </c>
      <c r="AA650">
        <f t="shared" si="207"/>
        <v>0</v>
      </c>
      <c r="AB650">
        <f t="shared" si="208"/>
        <v>1.0000235668946658</v>
      </c>
      <c r="AC650" s="1">
        <f t="shared" si="202"/>
        <v>7.4493433161470389E-3</v>
      </c>
    </row>
    <row r="651" spans="9:29" x14ac:dyDescent="0.2">
      <c r="I651">
        <f t="shared" si="190"/>
        <v>6.444999999999907</v>
      </c>
      <c r="J651">
        <f t="shared" si="191"/>
        <v>3.2806171885049596E-6</v>
      </c>
      <c r="K651">
        <f t="shared" si="203"/>
        <v>7.6832369149747336E-6</v>
      </c>
      <c r="L651">
        <f t="shared" si="192"/>
        <v>1.7118099878436658E+20</v>
      </c>
      <c r="M651">
        <f t="shared" si="193"/>
        <v>8.2156113118362437E-3</v>
      </c>
      <c r="N651">
        <f t="shared" si="194"/>
        <v>0</v>
      </c>
      <c r="O651">
        <f t="shared" si="195"/>
        <v>0</v>
      </c>
      <c r="P651">
        <f t="shared" si="196"/>
        <v>0</v>
      </c>
      <c r="R651">
        <f t="shared" si="197"/>
        <v>6.444999999999907</v>
      </c>
      <c r="S651">
        <f t="shared" si="198"/>
        <v>3.2806381263203394E-6</v>
      </c>
      <c r="T651">
        <f t="shared" si="204"/>
        <v>1.3071197914584562E-6</v>
      </c>
      <c r="U651" s="1">
        <f t="shared" si="199"/>
        <v>1.084006189681287E-2</v>
      </c>
      <c r="V651">
        <f t="shared" si="200"/>
        <v>5.2179510423883702E+25</v>
      </c>
      <c r="W651">
        <f t="shared" si="205"/>
        <v>1.7118209130932244E+18</v>
      </c>
      <c r="Y651">
        <f t="shared" si="206"/>
        <v>6.444999999999907</v>
      </c>
      <c r="Z651">
        <f t="shared" si="201"/>
        <v>0</v>
      </c>
      <c r="AA651">
        <f t="shared" si="207"/>
        <v>0</v>
      </c>
      <c r="AB651">
        <f t="shared" si="208"/>
        <v>1.0000235668946658</v>
      </c>
      <c r="AC651" s="1">
        <f t="shared" si="202"/>
        <v>7.4493433161470389E-3</v>
      </c>
    </row>
    <row r="652" spans="9:29" x14ac:dyDescent="0.2">
      <c r="I652">
        <f t="shared" si="190"/>
        <v>6.4549999999999068</v>
      </c>
      <c r="J652">
        <f t="shared" si="191"/>
        <v>3.2133316821002529E-6</v>
      </c>
      <c r="K652">
        <f t="shared" si="203"/>
        <v>7.6504307430896846E-6</v>
      </c>
      <c r="L652">
        <f t="shared" si="192"/>
        <v>1.735623636892461E+20</v>
      </c>
      <c r="M652">
        <f t="shared" si="193"/>
        <v>8.1805319878716851E-3</v>
      </c>
      <c r="N652">
        <f t="shared" si="194"/>
        <v>0</v>
      </c>
      <c r="O652">
        <f t="shared" si="195"/>
        <v>0</v>
      </c>
      <c r="P652">
        <f t="shared" si="196"/>
        <v>0</v>
      </c>
      <c r="R652">
        <f t="shared" si="197"/>
        <v>6.4549999999999068</v>
      </c>
      <c r="S652">
        <f t="shared" si="198"/>
        <v>3.2133521904807331E-6</v>
      </c>
      <c r="T652">
        <f t="shared" si="204"/>
        <v>1.2743134101952529E-6</v>
      </c>
      <c r="U652" s="1">
        <f t="shared" si="199"/>
        <v>1.0567995628803289E-2</v>
      </c>
      <c r="V652">
        <f t="shared" si="200"/>
        <v>5.4013211476446369E+25</v>
      </c>
      <c r="W652">
        <f t="shared" si="205"/>
        <v>1.73563471412738E+18</v>
      </c>
      <c r="Y652">
        <f t="shared" si="206"/>
        <v>6.4549999999999068</v>
      </c>
      <c r="Z652">
        <f t="shared" si="201"/>
        <v>0</v>
      </c>
      <c r="AA652">
        <f t="shared" si="207"/>
        <v>0</v>
      </c>
      <c r="AB652">
        <f t="shared" si="208"/>
        <v>1.0000235668946658</v>
      </c>
      <c r="AC652" s="1">
        <f t="shared" si="202"/>
        <v>7.4493433161470389E-3</v>
      </c>
    </row>
    <row r="653" spans="9:29" x14ac:dyDescent="0.2">
      <c r="I653">
        <f t="shared" si="190"/>
        <v>6.4649999999999066</v>
      </c>
      <c r="J653">
        <f t="shared" si="191"/>
        <v>3.1474262024136889E-6</v>
      </c>
      <c r="K653">
        <f t="shared" si="203"/>
        <v>7.6182974262686816E-6</v>
      </c>
      <c r="L653">
        <f t="shared" si="192"/>
        <v>1.7597685667989714E+20</v>
      </c>
      <c r="M653">
        <f t="shared" si="193"/>
        <v>8.1461721413534915E-3</v>
      </c>
      <c r="N653">
        <f t="shared" si="194"/>
        <v>0</v>
      </c>
      <c r="O653">
        <f t="shared" si="195"/>
        <v>0</v>
      </c>
      <c r="P653">
        <f t="shared" si="196"/>
        <v>0</v>
      </c>
      <c r="R653">
        <f t="shared" si="197"/>
        <v>6.4649999999999066</v>
      </c>
      <c r="S653">
        <f t="shared" si="198"/>
        <v>3.1474462901669863E-6</v>
      </c>
      <c r="T653">
        <f t="shared" si="204"/>
        <v>1.2421798882904455E-6</v>
      </c>
      <c r="U653" s="1">
        <f t="shared" si="199"/>
        <v>1.0301509443920382E-2</v>
      </c>
      <c r="V653">
        <f t="shared" si="200"/>
        <v>5.5911352757038284E+25</v>
      </c>
      <c r="W653">
        <f t="shared" si="205"/>
        <v>1.7597797981335785E+18</v>
      </c>
      <c r="Y653">
        <f t="shared" si="206"/>
        <v>6.4649999999999066</v>
      </c>
      <c r="Z653">
        <f t="shared" si="201"/>
        <v>0</v>
      </c>
      <c r="AA653">
        <f t="shared" si="207"/>
        <v>0</v>
      </c>
      <c r="AB653">
        <f t="shared" si="208"/>
        <v>1.0000235668946658</v>
      </c>
      <c r="AC653" s="1">
        <f t="shared" si="202"/>
        <v>7.4493433161470389E-3</v>
      </c>
    </row>
    <row r="654" spans="9:29" x14ac:dyDescent="0.2">
      <c r="I654">
        <f t="shared" si="190"/>
        <v>6.4749999999999064</v>
      </c>
      <c r="J654">
        <f t="shared" si="191"/>
        <v>3.0828724450771423E-6</v>
      </c>
      <c r="K654">
        <f t="shared" si="203"/>
        <v>7.5868231642445449E-6</v>
      </c>
      <c r="L654">
        <f t="shared" si="192"/>
        <v>1.7842493861389962E+20</v>
      </c>
      <c r="M654">
        <f t="shared" si="193"/>
        <v>8.1125170157887415E-3</v>
      </c>
      <c r="N654">
        <f t="shared" si="194"/>
        <v>0</v>
      </c>
      <c r="O654">
        <f t="shared" si="195"/>
        <v>0</v>
      </c>
      <c r="P654">
        <f t="shared" si="196"/>
        <v>0</v>
      </c>
      <c r="R654">
        <f t="shared" si="197"/>
        <v>6.4749999999999064</v>
      </c>
      <c r="S654">
        <f t="shared" si="198"/>
        <v>3.0828921208303269E-6</v>
      </c>
      <c r="T654">
        <f t="shared" si="204"/>
        <v>1.2107054253887756E-6</v>
      </c>
      <c r="U654" s="1">
        <f t="shared" si="199"/>
        <v>1.0040488894577803E-2</v>
      </c>
      <c r="V654">
        <f t="shared" si="200"/>
        <v>5.787619883489371E+25</v>
      </c>
      <c r="W654">
        <f t="shared" si="205"/>
        <v>1.7842607737170317E+18</v>
      </c>
      <c r="Y654">
        <f t="shared" si="206"/>
        <v>6.4749999999999064</v>
      </c>
      <c r="Z654">
        <f t="shared" si="201"/>
        <v>0</v>
      </c>
      <c r="AA654">
        <f t="shared" si="207"/>
        <v>0</v>
      </c>
      <c r="AB654">
        <f t="shared" si="208"/>
        <v>1.0000235668946658</v>
      </c>
      <c r="AC654" s="1">
        <f t="shared" si="202"/>
        <v>7.4493433161470389E-3</v>
      </c>
    </row>
    <row r="655" spans="9:29" x14ac:dyDescent="0.2">
      <c r="I655">
        <f t="shared" si="190"/>
        <v>6.4849999999999062</v>
      </c>
      <c r="J655">
        <f t="shared" si="191"/>
        <v>3.0196426862454929E-6</v>
      </c>
      <c r="K655">
        <f t="shared" si="203"/>
        <v>7.5559944397937732E-6</v>
      </c>
      <c r="L655">
        <f t="shared" si="192"/>
        <v>1.8090707676000109E+20</v>
      </c>
      <c r="M655">
        <f t="shared" si="193"/>
        <v>8.0795521573403962E-3</v>
      </c>
      <c r="N655">
        <f t="shared" si="194"/>
        <v>0</v>
      </c>
      <c r="O655">
        <f t="shared" si="195"/>
        <v>0</v>
      </c>
      <c r="P655">
        <f t="shared" si="196"/>
        <v>0</v>
      </c>
      <c r="R655">
        <f t="shared" si="197"/>
        <v>6.4849999999999062</v>
      </c>
      <c r="S655">
        <f t="shared" si="198"/>
        <v>3.0196619584486923E-6</v>
      </c>
      <c r="T655">
        <f t="shared" si="204"/>
        <v>1.1798765041804723E-6</v>
      </c>
      <c r="U655" s="1">
        <f t="shared" si="199"/>
        <v>9.7848218805108699E-3</v>
      </c>
      <c r="V655">
        <f t="shared" si="200"/>
        <v>5.9910093861116379E+25</v>
      </c>
      <c r="W655">
        <f t="shared" si="205"/>
        <v>1.8090823135950367E+18</v>
      </c>
      <c r="Y655">
        <f t="shared" si="206"/>
        <v>6.4849999999999062</v>
      </c>
      <c r="Z655">
        <f t="shared" si="201"/>
        <v>0</v>
      </c>
      <c r="AA655">
        <f t="shared" si="207"/>
        <v>0</v>
      </c>
      <c r="AB655">
        <f t="shared" si="208"/>
        <v>1.0000235668946658</v>
      </c>
      <c r="AC655" s="1">
        <f t="shared" si="202"/>
        <v>7.4493433161470389E-3</v>
      </c>
    </row>
    <row r="656" spans="9:29" x14ac:dyDescent="0.2">
      <c r="I656">
        <f t="shared" si="190"/>
        <v>6.494999999999906</v>
      </c>
      <c r="J656">
        <f t="shared" si="191"/>
        <v>2.9577097706900792E-6</v>
      </c>
      <c r="K656">
        <f t="shared" si="203"/>
        <v>7.5257980129313187E-6</v>
      </c>
      <c r="L656">
        <f t="shared" si="192"/>
        <v>1.834237448873056E+20</v>
      </c>
      <c r="M656">
        <f t="shared" si="193"/>
        <v>8.0472634086198279E-3</v>
      </c>
      <c r="N656">
        <f t="shared" si="194"/>
        <v>0</v>
      </c>
      <c r="O656">
        <f t="shared" si="195"/>
        <v>0</v>
      </c>
      <c r="P656">
        <f t="shared" si="196"/>
        <v>0</v>
      </c>
      <c r="R656">
        <f t="shared" si="197"/>
        <v>6.494999999999906</v>
      </c>
      <c r="S656">
        <f t="shared" si="198"/>
        <v>2.9577286476201098E-6</v>
      </c>
      <c r="T656">
        <f t="shared" si="204"/>
        <v>1.1496798845959854E-6</v>
      </c>
      <c r="U656" s="1">
        <f t="shared" si="199"/>
        <v>9.5343986006329665E-3</v>
      </c>
      <c r="V656">
        <f t="shared" si="200"/>
        <v>6.2015464365359294E+25</v>
      </c>
      <c r="W656">
        <f t="shared" si="205"/>
        <v>1.8342491554888724E+18</v>
      </c>
      <c r="Y656">
        <f t="shared" si="206"/>
        <v>6.494999999999906</v>
      </c>
      <c r="Z656">
        <f t="shared" si="201"/>
        <v>0</v>
      </c>
      <c r="AA656">
        <f t="shared" si="207"/>
        <v>0</v>
      </c>
      <c r="AB656">
        <f t="shared" si="208"/>
        <v>1.0000235668946658</v>
      </c>
      <c r="AC656" s="1">
        <f t="shared" si="202"/>
        <v>7.4493433161470389E-3</v>
      </c>
    </row>
    <row r="657" spans="9:29" x14ac:dyDescent="0.2">
      <c r="I657">
        <f t="shared" si="190"/>
        <v>6.5049999999999057</v>
      </c>
      <c r="J657">
        <f t="shared" si="191"/>
        <v>2.897047100136394E-6</v>
      </c>
      <c r="K657">
        <f t="shared" si="203"/>
        <v>7.4962209152244181E-6</v>
      </c>
      <c r="L657">
        <f t="shared" si="192"/>
        <v>1.8597542335569799E+20</v>
      </c>
      <c r="M657">
        <f t="shared" si="193"/>
        <v>8.0156369026066539E-3</v>
      </c>
      <c r="N657">
        <f t="shared" si="194"/>
        <v>0</v>
      </c>
      <c r="O657">
        <f t="shared" si="195"/>
        <v>0</v>
      </c>
      <c r="P657">
        <f t="shared" si="196"/>
        <v>0</v>
      </c>
      <c r="R657">
        <f t="shared" si="197"/>
        <v>6.5049999999999057</v>
      </c>
      <c r="S657">
        <f t="shared" si="198"/>
        <v>2.8970655899003145E-6</v>
      </c>
      <c r="T657">
        <f t="shared" si="204"/>
        <v>1.1201025981197842E-6</v>
      </c>
      <c r="U657" s="1">
        <f t="shared" si="199"/>
        <v>9.2891115058793584E-3</v>
      </c>
      <c r="V657">
        <f t="shared" si="200"/>
        <v>6.4194822150783192E+25</v>
      </c>
      <c r="W657">
        <f t="shared" si="205"/>
        <v>1.8597661030280451E+18</v>
      </c>
      <c r="Y657">
        <f t="shared" si="206"/>
        <v>6.5049999999999057</v>
      </c>
      <c r="Z657">
        <f t="shared" si="201"/>
        <v>0</v>
      </c>
      <c r="AA657">
        <f t="shared" si="207"/>
        <v>0</v>
      </c>
      <c r="AB657">
        <f t="shared" si="208"/>
        <v>1.0000235668946658</v>
      </c>
      <c r="AC657" s="1">
        <f t="shared" si="202"/>
        <v>7.4493433161470389E-3</v>
      </c>
    </row>
    <row r="658" spans="9:29" x14ac:dyDescent="0.2">
      <c r="I658">
        <f t="shared" si="190"/>
        <v>6.5149999999999055</v>
      </c>
      <c r="J658">
        <f t="shared" si="191"/>
        <v>2.837628621840912E-6</v>
      </c>
      <c r="K658">
        <f t="shared" si="203"/>
        <v>7.4672504442230541E-6</v>
      </c>
      <c r="L658">
        <f t="shared" si="192"/>
        <v>1.8856259920754147E+20</v>
      </c>
      <c r="M658">
        <f t="shared" si="193"/>
        <v>7.9846590566932801E-3</v>
      </c>
      <c r="N658">
        <f t="shared" si="194"/>
        <v>0</v>
      </c>
      <c r="O658">
        <f t="shared" si="195"/>
        <v>0</v>
      </c>
      <c r="P658">
        <f t="shared" si="196"/>
        <v>0</v>
      </c>
      <c r="R658">
        <f t="shared" si="197"/>
        <v>6.5149999999999055</v>
      </c>
      <c r="S658">
        <f t="shared" si="198"/>
        <v>2.8376467323795045E-6</v>
      </c>
      <c r="T658">
        <f t="shared" si="204"/>
        <v>1.0911319422207811E-6</v>
      </c>
      <c r="U658" s="1">
        <f t="shared" si="199"/>
        <v>9.0488552530182051E-3</v>
      </c>
      <c r="V658">
        <f t="shared" si="200"/>
        <v>6.6450767290756842E+25</v>
      </c>
      <c r="W658">
        <f t="shared" si="205"/>
        <v>1.8856380266672701E+18</v>
      </c>
      <c r="Y658">
        <f t="shared" si="206"/>
        <v>6.5149999999999055</v>
      </c>
      <c r="Z658">
        <f t="shared" si="201"/>
        <v>0</v>
      </c>
      <c r="AA658">
        <f t="shared" si="207"/>
        <v>0</v>
      </c>
      <c r="AB658">
        <f t="shared" si="208"/>
        <v>1.0000235668946658</v>
      </c>
      <c r="AC658" s="1">
        <f t="shared" si="202"/>
        <v>7.4493433161470389E-3</v>
      </c>
    </row>
    <row r="659" spans="9:29" x14ac:dyDescent="0.2">
      <c r="I659">
        <f t="shared" si="190"/>
        <v>6.5249999999999053</v>
      </c>
      <c r="J659">
        <f t="shared" si="191"/>
        <v>2.7794288174022638E-6</v>
      </c>
      <c r="K659">
        <f t="shared" si="203"/>
        <v>7.4388741580046448E-6</v>
      </c>
      <c r="L659">
        <f t="shared" si="192"/>
        <v>1.9118576626062728E+20</v>
      </c>
      <c r="M659">
        <f t="shared" si="193"/>
        <v>7.9543165668515964E-3</v>
      </c>
      <c r="N659">
        <f t="shared" si="194"/>
        <v>0</v>
      </c>
      <c r="O659">
        <f t="shared" si="195"/>
        <v>0</v>
      </c>
      <c r="P659">
        <f t="shared" si="196"/>
        <v>0</v>
      </c>
      <c r="R659">
        <f t="shared" si="197"/>
        <v>6.5249999999999053</v>
      </c>
      <c r="S659">
        <f t="shared" si="198"/>
        <v>2.7794465564934453E-6</v>
      </c>
      <c r="T659">
        <f t="shared" si="204"/>
        <v>1.0627554748969861E-6</v>
      </c>
      <c r="U659" s="1">
        <f t="shared" si="199"/>
        <v>8.8135266594088855E-3</v>
      </c>
      <c r="V659">
        <f t="shared" si="200"/>
        <v>6.8785991230858403E+25</v>
      </c>
      <c r="W659">
        <f t="shared" si="205"/>
        <v>1.9118698646159772E+18</v>
      </c>
      <c r="Y659">
        <f t="shared" si="206"/>
        <v>6.5249999999999053</v>
      </c>
      <c r="Z659">
        <f t="shared" si="201"/>
        <v>0</v>
      </c>
      <c r="AA659">
        <f t="shared" si="207"/>
        <v>0</v>
      </c>
      <c r="AB659">
        <f t="shared" si="208"/>
        <v>1.0000235668946658</v>
      </c>
      <c r="AC659" s="1">
        <f t="shared" si="202"/>
        <v>7.4493433161470389E-3</v>
      </c>
    </row>
    <row r="660" spans="9:29" x14ac:dyDescent="0.2">
      <c r="I660">
        <f t="shared" si="190"/>
        <v>6.5349999999999051</v>
      </c>
      <c r="J660">
        <f t="shared" si="191"/>
        <v>2.7224226918018626E-6</v>
      </c>
      <c r="K660">
        <f t="shared" si="203"/>
        <v>7.4110798698306223E-6</v>
      </c>
      <c r="L660">
        <f t="shared" si="192"/>
        <v>1.9384542520244158E+20</v>
      </c>
      <c r="M660">
        <f t="shared" si="193"/>
        <v>7.9245964019193024E-3</v>
      </c>
      <c r="N660">
        <f t="shared" si="194"/>
        <v>0</v>
      </c>
      <c r="O660">
        <f t="shared" si="195"/>
        <v>0</v>
      </c>
      <c r="P660">
        <f t="shared" si="196"/>
        <v>0</v>
      </c>
      <c r="R660">
        <f t="shared" si="197"/>
        <v>6.5349999999999051</v>
      </c>
      <c r="S660">
        <f t="shared" si="198"/>
        <v>2.7224400670640253E-6</v>
      </c>
      <c r="T660">
        <f t="shared" si="204"/>
        <v>1.0349610093320517E-6</v>
      </c>
      <c r="U660" s="1">
        <f t="shared" si="199"/>
        <v>8.5830246586882427E-3</v>
      </c>
      <c r="V660">
        <f t="shared" si="200"/>
        <v>7.12032799998971E+25</v>
      </c>
      <c r="W660">
        <f t="shared" si="205"/>
        <v>1.9384666237809843E+18</v>
      </c>
      <c r="Y660">
        <f t="shared" si="206"/>
        <v>6.5349999999999051</v>
      </c>
      <c r="Z660">
        <f t="shared" si="201"/>
        <v>0</v>
      </c>
      <c r="AA660">
        <f t="shared" si="207"/>
        <v>0</v>
      </c>
      <c r="AB660">
        <f t="shared" si="208"/>
        <v>1.0000235668946658</v>
      </c>
      <c r="AC660" s="1">
        <f t="shared" si="202"/>
        <v>7.4493433161470389E-3</v>
      </c>
    </row>
    <row r="661" spans="9:29" x14ac:dyDescent="0.2">
      <c r="I661">
        <f t="shared" si="190"/>
        <v>6.5449999999999049</v>
      </c>
      <c r="J661">
        <f t="shared" si="191"/>
        <v>2.6665857626693147E-6</v>
      </c>
      <c r="K661">
        <f t="shared" si="203"/>
        <v>7.3838556429126039E-6</v>
      </c>
      <c r="L661">
        <f t="shared" si="192"/>
        <v>1.9654208368572318E+20</v>
      </c>
      <c r="M661">
        <f t="shared" si="193"/>
        <v>7.8954857980034262E-3</v>
      </c>
      <c r="N661">
        <f t="shared" si="194"/>
        <v>0</v>
      </c>
      <c r="O661">
        <f t="shared" si="195"/>
        <v>0</v>
      </c>
      <c r="P661">
        <f t="shared" si="196"/>
        <v>0</v>
      </c>
      <c r="R661">
        <f t="shared" si="197"/>
        <v>6.5449999999999049</v>
      </c>
      <c r="S661">
        <f t="shared" si="198"/>
        <v>2.6666027815645968E-6</v>
      </c>
      <c r="T661">
        <f t="shared" si="204"/>
        <v>1.0077366086614115E-6</v>
      </c>
      <c r="U661" s="1">
        <f t="shared" si="199"/>
        <v>8.3572502573657052E-3</v>
      </c>
      <c r="V661">
        <f t="shared" si="200"/>
        <v>7.3705517533769464E+25</v>
      </c>
      <c r="W661">
        <f t="shared" si="205"/>
        <v>1.9654333807220782E+18</v>
      </c>
      <c r="Y661">
        <f t="shared" si="206"/>
        <v>6.5449999999999049</v>
      </c>
      <c r="Z661">
        <f t="shared" si="201"/>
        <v>0</v>
      </c>
      <c r="AA661">
        <f t="shared" si="207"/>
        <v>0</v>
      </c>
      <c r="AB661">
        <f t="shared" si="208"/>
        <v>1.0000235668946658</v>
      </c>
      <c r="AC661" s="1">
        <f t="shared" si="202"/>
        <v>7.4493433161470389E-3</v>
      </c>
    </row>
    <row r="662" spans="9:29" x14ac:dyDescent="0.2">
      <c r="I662">
        <f t="shared" si="190"/>
        <v>6.5549999999999047</v>
      </c>
      <c r="J662">
        <f t="shared" si="191"/>
        <v>2.6118940497680131E-6</v>
      </c>
      <c r="K662">
        <f t="shared" si="203"/>
        <v>7.357189785285911E-6</v>
      </c>
      <c r="L662">
        <f t="shared" si="192"/>
        <v>1.9927625642536754E+20</v>
      </c>
      <c r="M662">
        <f t="shared" si="193"/>
        <v>7.8669722529986271E-3</v>
      </c>
      <c r="N662">
        <f t="shared" si="194"/>
        <v>0</v>
      </c>
      <c r="O662">
        <f t="shared" si="195"/>
        <v>0</v>
      </c>
      <c r="P662">
        <f t="shared" si="196"/>
        <v>0</v>
      </c>
      <c r="R662">
        <f t="shared" si="197"/>
        <v>6.5549999999999047</v>
      </c>
      <c r="S662">
        <f t="shared" si="198"/>
        <v>2.6119107196055048E-6</v>
      </c>
      <c r="T662">
        <f t="shared" si="204"/>
        <v>9.810705808457656E-7</v>
      </c>
      <c r="U662" s="1">
        <f t="shared" si="199"/>
        <v>8.1361064923086354E-3</v>
      </c>
      <c r="V662">
        <f t="shared" si="200"/>
        <v>7.6295689116129023E+25</v>
      </c>
      <c r="W662">
        <f t="shared" si="205"/>
        <v>1.9927752826210644E+18</v>
      </c>
      <c r="Y662">
        <f t="shared" si="206"/>
        <v>6.5549999999999047</v>
      </c>
      <c r="Z662">
        <f t="shared" si="201"/>
        <v>0</v>
      </c>
      <c r="AA662">
        <f t="shared" si="207"/>
        <v>0</v>
      </c>
      <c r="AB662">
        <f t="shared" si="208"/>
        <v>1.0000235668946658</v>
      </c>
      <c r="AC662" s="1">
        <f t="shared" si="202"/>
        <v>7.4493433161470389E-3</v>
      </c>
    </row>
    <row r="663" spans="9:29" x14ac:dyDescent="0.2">
      <c r="I663">
        <f t="shared" si="190"/>
        <v>6.5649999999999045</v>
      </c>
      <c r="J663">
        <f t="shared" si="191"/>
        <v>2.55832406469634E-6</v>
      </c>
      <c r="K663">
        <f t="shared" si="203"/>
        <v>7.3310708447882308E-6</v>
      </c>
      <c r="L663">
        <f t="shared" si="192"/>
        <v>2.0204846529666236E+20</v>
      </c>
      <c r="M663">
        <f t="shared" si="193"/>
        <v>7.8390435212179251E-3</v>
      </c>
      <c r="N663">
        <f t="shared" si="194"/>
        <v>0</v>
      </c>
      <c r="O663">
        <f t="shared" si="195"/>
        <v>0</v>
      </c>
      <c r="P663">
        <f t="shared" si="196"/>
        <v>0</v>
      </c>
      <c r="R663">
        <f t="shared" si="197"/>
        <v>6.5649999999999045</v>
      </c>
      <c r="S663">
        <f t="shared" si="198"/>
        <v>2.5583403926352219E-6</v>
      </c>
      <c r="T663">
        <f t="shared" si="204"/>
        <v>9.5495147364971049E-7</v>
      </c>
      <c r="U663" s="1">
        <f t="shared" si="199"/>
        <v>7.9194983890996593E-3</v>
      </c>
      <c r="V663">
        <f t="shared" si="200"/>
        <v>7.8976884939963412E+25</v>
      </c>
      <c r="W663">
        <f t="shared" si="205"/>
        <v>2.0204975482641275E+18</v>
      </c>
      <c r="Y663">
        <f t="shared" si="206"/>
        <v>6.5649999999999045</v>
      </c>
      <c r="Z663">
        <f t="shared" si="201"/>
        <v>0</v>
      </c>
      <c r="AA663">
        <f t="shared" si="207"/>
        <v>0</v>
      </c>
      <c r="AB663">
        <f t="shared" si="208"/>
        <v>1.0000235668946658</v>
      </c>
      <c r="AC663" s="1">
        <f t="shared" si="202"/>
        <v>7.4493433161470389E-3</v>
      </c>
    </row>
    <row r="664" spans="9:29" x14ac:dyDescent="0.2">
      <c r="I664">
        <f t="shared" si="190"/>
        <v>6.5749999999999043</v>
      </c>
      <c r="J664">
        <f t="shared" si="191"/>
        <v>2.5058528008001432E-6</v>
      </c>
      <c r="K664">
        <f t="shared" si="203"/>
        <v>7.3054876041412674E-6</v>
      </c>
      <c r="L664">
        <f t="shared" si="192"/>
        <v>2.0485923943490847E+20</v>
      </c>
      <c r="M664">
        <f t="shared" si="193"/>
        <v>7.8116876081335612E-3</v>
      </c>
      <c r="N664">
        <f t="shared" si="194"/>
        <v>0</v>
      </c>
      <c r="O664">
        <f t="shared" si="195"/>
        <v>0</v>
      </c>
      <c r="P664">
        <f t="shared" si="196"/>
        <v>0</v>
      </c>
      <c r="R664">
        <f t="shared" si="197"/>
        <v>6.5749999999999043</v>
      </c>
      <c r="S664">
        <f t="shared" si="198"/>
        <v>2.5058687938527604E-6</v>
      </c>
      <c r="T664">
        <f t="shared" si="204"/>
        <v>9.2936806972335825E-7</v>
      </c>
      <c r="U664" s="1">
        <f t="shared" si="199"/>
        <v>7.7073329212480942E-3</v>
      </c>
      <c r="V664">
        <f t="shared" si="200"/>
        <v>8.1752303794338958E+25</v>
      </c>
      <c r="W664">
        <f t="shared" si="205"/>
        <v>2.0486054690380462E+18</v>
      </c>
      <c r="Y664">
        <f t="shared" si="206"/>
        <v>6.5749999999999043</v>
      </c>
      <c r="Z664">
        <f t="shared" si="201"/>
        <v>0</v>
      </c>
      <c r="AA664">
        <f t="shared" si="207"/>
        <v>0</v>
      </c>
      <c r="AB664">
        <f t="shared" si="208"/>
        <v>1.0000235668946658</v>
      </c>
      <c r="AC664" s="1">
        <f t="shared" si="202"/>
        <v>7.4493433161470389E-3</v>
      </c>
    </row>
    <row r="665" spans="9:29" x14ac:dyDescent="0.2">
      <c r="I665">
        <f t="shared" si="190"/>
        <v>6.584999999999904</v>
      </c>
      <c r="J665">
        <f t="shared" si="191"/>
        <v>2.454457723292082E-6</v>
      </c>
      <c r="K665">
        <f t="shared" si="203"/>
        <v>7.280429076133266E-6</v>
      </c>
      <c r="L665">
        <f t="shared" si="192"/>
        <v>2.0770911533640889E+20</v>
      </c>
      <c r="M665">
        <f t="shared" si="193"/>
        <v>7.784892765225716E-3</v>
      </c>
      <c r="N665">
        <f t="shared" si="194"/>
        <v>0</v>
      </c>
      <c r="O665">
        <f t="shared" si="195"/>
        <v>0</v>
      </c>
      <c r="P665">
        <f t="shared" si="196"/>
        <v>0</v>
      </c>
      <c r="R665">
        <f t="shared" si="197"/>
        <v>6.584999999999904</v>
      </c>
      <c r="S665">
        <f t="shared" si="198"/>
        <v>2.454473388326956E-6</v>
      </c>
      <c r="T665">
        <f t="shared" si="204"/>
        <v>9.0430938178483067E-7</v>
      </c>
      <c r="U665" s="1">
        <f t="shared" si="199"/>
        <v>7.4995189702379353E-3</v>
      </c>
      <c r="V665">
        <f t="shared" si="200"/>
        <v>8.4625256880699345E+25</v>
      </c>
      <c r="W665">
        <f t="shared" si="205"/>
        <v>2.0771044099400916E+18</v>
      </c>
      <c r="Y665">
        <f t="shared" si="206"/>
        <v>6.584999999999904</v>
      </c>
      <c r="Z665">
        <f t="shared" si="201"/>
        <v>0</v>
      </c>
      <c r="AA665">
        <f t="shared" si="207"/>
        <v>0</v>
      </c>
      <c r="AB665">
        <f t="shared" si="208"/>
        <v>1.0000235668946658</v>
      </c>
      <c r="AC665" s="1">
        <f t="shared" si="202"/>
        <v>7.4493433161470389E-3</v>
      </c>
    </row>
    <row r="666" spans="9:29" x14ac:dyDescent="0.2">
      <c r="I666">
        <f t="shared" si="190"/>
        <v>6.5949999999999038</v>
      </c>
      <c r="J666">
        <f t="shared" si="191"/>
        <v>2.4041167595736271E-6</v>
      </c>
      <c r="K666">
        <f t="shared" si="203"/>
        <v>7.2558844989003449E-6</v>
      </c>
      <c r="L666">
        <f t="shared" si="192"/>
        <v>2.105986369608779E+20</v>
      </c>
      <c r="M666">
        <f t="shared" si="193"/>
        <v>7.7586474849368828E-3</v>
      </c>
      <c r="N666">
        <f t="shared" si="194"/>
        <v>0</v>
      </c>
      <c r="O666">
        <f t="shared" si="195"/>
        <v>0</v>
      </c>
      <c r="P666">
        <f t="shared" si="196"/>
        <v>0</v>
      </c>
      <c r="R666">
        <f t="shared" si="197"/>
        <v>6.5949999999999038</v>
      </c>
      <c r="S666">
        <f t="shared" si="198"/>
        <v>2.4041321033184074E-6</v>
      </c>
      <c r="T666">
        <f t="shared" si="204"/>
        <v>8.7976464790156112E-7</v>
      </c>
      <c r="U666" s="1">
        <f t="shared" si="199"/>
        <v>7.2959672863952708E-3</v>
      </c>
      <c r="V666">
        <f t="shared" si="200"/>
        <v>8.7599171763283161E+25</v>
      </c>
      <c r="W666">
        <f t="shared" si="205"/>
        <v>2.105999810602124E+18</v>
      </c>
      <c r="Y666">
        <f t="shared" si="206"/>
        <v>6.5949999999999038</v>
      </c>
      <c r="Z666">
        <f t="shared" si="201"/>
        <v>0</v>
      </c>
      <c r="AA666">
        <f t="shared" si="207"/>
        <v>0</v>
      </c>
      <c r="AB666">
        <f t="shared" si="208"/>
        <v>1.0000235668946658</v>
      </c>
      <c r="AC666" s="1">
        <f t="shared" si="202"/>
        <v>7.4493433161470389E-3</v>
      </c>
    </row>
    <row r="667" spans="9:29" x14ac:dyDescent="0.2">
      <c r="I667">
        <f t="shared" si="190"/>
        <v>6.6049999999999036</v>
      </c>
      <c r="J667">
        <f t="shared" si="191"/>
        <v>2.3548082897555824E-6</v>
      </c>
      <c r="K667">
        <f t="shared" si="203"/>
        <v>7.2318433313046088E-6</v>
      </c>
      <c r="L667">
        <f t="shared" si="192"/>
        <v>2.1352835583525821E+20</v>
      </c>
      <c r="M667">
        <f t="shared" si="193"/>
        <v>7.7329404957297253E-3</v>
      </c>
      <c r="N667">
        <f t="shared" si="194"/>
        <v>0</v>
      </c>
      <c r="O667">
        <f t="shared" si="195"/>
        <v>0</v>
      </c>
      <c r="P667">
        <f t="shared" si="196"/>
        <v>0</v>
      </c>
      <c r="R667">
        <f t="shared" si="197"/>
        <v>6.6049999999999036</v>
      </c>
      <c r="S667">
        <f t="shared" si="198"/>
        <v>2.3548233187999337E-6</v>
      </c>
      <c r="T667">
        <f t="shared" si="204"/>
        <v>8.5572332686837705E-7</v>
      </c>
      <c r="U667" s="1">
        <f t="shared" si="199"/>
        <v>7.0965904505583014E-3</v>
      </c>
      <c r="V667">
        <f t="shared" si="200"/>
        <v>9.0677596458360275E+25</v>
      </c>
      <c r="W667">
        <f t="shared" si="205"/>
        <v>2.1352971863287706E+18</v>
      </c>
      <c r="Y667">
        <f t="shared" si="206"/>
        <v>6.6049999999999036</v>
      </c>
      <c r="Z667">
        <f t="shared" si="201"/>
        <v>0.29723113560719155</v>
      </c>
      <c r="AA667">
        <f t="shared" si="207"/>
        <v>2.6952204969449078E+23</v>
      </c>
      <c r="AB667">
        <f t="shared" si="208"/>
        <v>1.0000235668946658</v>
      </c>
      <c r="AC667" s="1">
        <f t="shared" si="202"/>
        <v>7.4493433161470389E-3</v>
      </c>
    </row>
    <row r="668" spans="9:29" x14ac:dyDescent="0.2">
      <c r="I668">
        <f t="shared" si="190"/>
        <v>6.6149999999999034</v>
      </c>
      <c r="J668">
        <f t="shared" si="191"/>
        <v>2.3065111373729807E-6</v>
      </c>
      <c r="K668">
        <f t="shared" si="203"/>
        <v>7.2082952484070533E-6</v>
      </c>
      <c r="L668">
        <f t="shared" si="192"/>
        <v>2.1649883115900312E+20</v>
      </c>
      <c r="M668">
        <f t="shared" si="193"/>
        <v>7.7077607572463066E-3</v>
      </c>
      <c r="N668">
        <f t="shared" si="194"/>
        <v>0</v>
      </c>
      <c r="O668">
        <f t="shared" si="195"/>
        <v>0</v>
      </c>
      <c r="P668">
        <f t="shared" si="196"/>
        <v>0</v>
      </c>
      <c r="R668">
        <f t="shared" si="197"/>
        <v>6.6149999999999034</v>
      </c>
      <c r="S668">
        <f t="shared" si="198"/>
        <v>2.3065258581714131E-6</v>
      </c>
      <c r="T668">
        <f t="shared" si="204"/>
        <v>8.3217509368037775E-7</v>
      </c>
      <c r="U668" s="1">
        <f t="shared" si="199"/>
        <v>6.9013028365335167E-3</v>
      </c>
      <c r="V668">
        <f t="shared" si="200"/>
        <v>9.3864203667182897E+25</v>
      </c>
      <c r="W668">
        <f t="shared" si="205"/>
        <v>2.1650021291502531E+18</v>
      </c>
      <c r="Y668">
        <f t="shared" si="206"/>
        <v>6.6149999999999034</v>
      </c>
      <c r="Z668">
        <f t="shared" si="201"/>
        <v>0.32767100468223581</v>
      </c>
      <c r="AA668">
        <f t="shared" si="207"/>
        <v>3.075657791932382E+23</v>
      </c>
      <c r="AB668">
        <f t="shared" si="208"/>
        <v>0.99705125553859375</v>
      </c>
      <c r="AC668" s="1">
        <f t="shared" si="202"/>
        <v>7.4272020702135875E-3</v>
      </c>
    </row>
    <row r="669" spans="9:29" x14ac:dyDescent="0.2">
      <c r="I669">
        <f t="shared" si="190"/>
        <v>6.6249999999999032</v>
      </c>
      <c r="J669">
        <f t="shared" si="191"/>
        <v>2.259204560290464E-6</v>
      </c>
      <c r="K669">
        <f t="shared" si="203"/>
        <v>7.1852301370333238E-6</v>
      </c>
      <c r="L669">
        <f t="shared" si="192"/>
        <v>2.1951062991079637E+20</v>
      </c>
      <c r="M669">
        <f t="shared" si="193"/>
        <v>7.6830974555665886E-3</v>
      </c>
      <c r="N669">
        <f t="shared" si="194"/>
        <v>0</v>
      </c>
      <c r="O669">
        <f t="shared" si="195"/>
        <v>0</v>
      </c>
      <c r="P669">
        <f t="shared" si="196"/>
        <v>0</v>
      </c>
      <c r="R669">
        <f t="shared" si="197"/>
        <v>6.6249999999999032</v>
      </c>
      <c r="S669">
        <f t="shared" si="198"/>
        <v>2.2592189791651056E-6</v>
      </c>
      <c r="T669">
        <f t="shared" si="204"/>
        <v>8.0910983509866357E-7</v>
      </c>
      <c r="U669" s="1">
        <f t="shared" si="199"/>
        <v>6.7100205743218814E-3</v>
      </c>
      <c r="V669">
        <f t="shared" si="200"/>
        <v>9.7162795157678894E+25</v>
      </c>
      <c r="W669">
        <f t="shared" si="205"/>
        <v>2.1951203088895959E+18</v>
      </c>
      <c r="Y669">
        <f t="shared" si="206"/>
        <v>6.6249999999999032</v>
      </c>
      <c r="Z669">
        <f t="shared" si="201"/>
        <v>0.36032632186689523</v>
      </c>
      <c r="AA669">
        <f t="shared" si="207"/>
        <v>3.5010312601473017E+23</v>
      </c>
      <c r="AB669">
        <f t="shared" si="208"/>
        <v>0.99377454549177136</v>
      </c>
      <c r="AC669" s="1">
        <f t="shared" si="202"/>
        <v>7.4027933073660818E-3</v>
      </c>
    </row>
    <row r="670" spans="9:29" x14ac:dyDescent="0.2">
      <c r="I670">
        <f t="shared" si="190"/>
        <v>6.634999999999903</v>
      </c>
      <c r="J670">
        <f t="shared" si="191"/>
        <v>2.2128682417941742E-6</v>
      </c>
      <c r="K670">
        <f t="shared" si="203"/>
        <v>7.162638091430419E-6</v>
      </c>
      <c r="L670">
        <f t="shared" si="192"/>
        <v>2.2256432695678707E+20</v>
      </c>
      <c r="M670">
        <f t="shared" si="193"/>
        <v>7.6589399985641897E-3</v>
      </c>
      <c r="N670">
        <f t="shared" si="194"/>
        <v>0</v>
      </c>
      <c r="O670">
        <f t="shared" si="195"/>
        <v>0</v>
      </c>
      <c r="P670">
        <f t="shared" si="196"/>
        <v>0</v>
      </c>
      <c r="R670">
        <f t="shared" si="197"/>
        <v>6.634999999999903</v>
      </c>
      <c r="S670">
        <f t="shared" si="198"/>
        <v>2.2128823649374867E-6</v>
      </c>
      <c r="T670">
        <f t="shared" si="204"/>
        <v>7.8651764530701256E-7</v>
      </c>
      <c r="U670" s="1">
        <f t="shared" si="199"/>
        <v>6.5226615140992631E-3</v>
      </c>
      <c r="V670">
        <f t="shared" si="200"/>
        <v>1.0057730630014097E+26</v>
      </c>
      <c r="W670">
        <f t="shared" si="205"/>
        <v>2.2256574742449797E+18</v>
      </c>
      <c r="Y670">
        <f t="shared" si="206"/>
        <v>6.634999999999903</v>
      </c>
      <c r="Z670">
        <f t="shared" si="201"/>
        <v>0.39524667770589417</v>
      </c>
      <c r="AA670">
        <f t="shared" si="207"/>
        <v>3.9752846167738819E+23</v>
      </c>
      <c r="AB670">
        <f t="shared" si="208"/>
        <v>0.99017128227310236</v>
      </c>
      <c r="AC670" s="1">
        <f t="shared" si="202"/>
        <v>7.3759519951581481E-3</v>
      </c>
    </row>
    <row r="671" spans="9:29" x14ac:dyDescent="0.2">
      <c r="I671">
        <f t="shared" si="190"/>
        <v>6.6449999999999028</v>
      </c>
      <c r="J671">
        <f t="shared" si="191"/>
        <v>2.167482281866347E-6</v>
      </c>
      <c r="K671">
        <f t="shared" si="203"/>
        <v>7.140509409012477E-6</v>
      </c>
      <c r="L671">
        <f t="shared" si="192"/>
        <v>2.2566050516030715E+20</v>
      </c>
      <c r="M671">
        <f t="shared" si="193"/>
        <v>7.6352780113573982E-3</v>
      </c>
      <c r="N671">
        <f t="shared" si="194"/>
        <v>0</v>
      </c>
      <c r="O671">
        <f t="shared" si="195"/>
        <v>0</v>
      </c>
      <c r="P671">
        <f t="shared" si="196"/>
        <v>0</v>
      </c>
      <c r="R671">
        <f t="shared" si="197"/>
        <v>6.6449999999999028</v>
      </c>
      <c r="S671">
        <f t="shared" si="198"/>
        <v>2.167496115343784E-6</v>
      </c>
      <c r="T671">
        <f t="shared" si="204"/>
        <v>7.6438882165763769E-7</v>
      </c>
      <c r="U671" s="1">
        <f t="shared" si="199"/>
        <v>6.3391451909356224E-3</v>
      </c>
      <c r="V671">
        <f t="shared" si="200"/>
        <v>1.0411181076229993E+26</v>
      </c>
      <c r="W671">
        <f t="shared" si="205"/>
        <v>2.2566194538869228E+18</v>
      </c>
      <c r="Y671">
        <f t="shared" si="206"/>
        <v>6.6449999999999028</v>
      </c>
      <c r="Z671">
        <f t="shared" si="201"/>
        <v>0.43246875046572048</v>
      </c>
      <c r="AA671">
        <f t="shared" si="207"/>
        <v>4.5025104709095397E+23</v>
      </c>
      <c r="AB671">
        <f t="shared" si="208"/>
        <v>0.9862188154960434</v>
      </c>
      <c r="AC671" s="1">
        <f t="shared" si="202"/>
        <v>7.3465094070605435E-3</v>
      </c>
    </row>
    <row r="672" spans="9:29" x14ac:dyDescent="0.2">
      <c r="I672">
        <f t="shared" si="190"/>
        <v>6.6549999999999025</v>
      </c>
      <c r="J672">
        <f t="shared" si="191"/>
        <v>2.1230271886388828E-6</v>
      </c>
      <c r="K672">
        <f t="shared" si="203"/>
        <v>7.1188345861938132E-6</v>
      </c>
      <c r="L672">
        <f t="shared" si="192"/>
        <v>2.2879975549312624E+20</v>
      </c>
      <c r="M672">
        <f t="shared" si="193"/>
        <v>7.6121013318534783E-3</v>
      </c>
      <c r="N672">
        <f t="shared" si="194"/>
        <v>0</v>
      </c>
      <c r="O672">
        <f t="shared" si="195"/>
        <v>0</v>
      </c>
      <c r="P672">
        <f t="shared" si="196"/>
        <v>0</v>
      </c>
      <c r="R672">
        <f t="shared" si="197"/>
        <v>6.6549999999999025</v>
      </c>
      <c r="S672">
        <f t="shared" si="198"/>
        <v>2.1230407383914957E-6</v>
      </c>
      <c r="T672">
        <f t="shared" si="204"/>
        <v>7.4271386050419984E-7</v>
      </c>
      <c r="U672" s="1">
        <f t="shared" si="199"/>
        <v>6.1593927902378115E-3</v>
      </c>
      <c r="V672">
        <f t="shared" si="200"/>
        <v>1.0777052536939696E+26</v>
      </c>
      <c r="W672">
        <f t="shared" si="205"/>
        <v>2.2880121575708393E+18</v>
      </c>
      <c r="Y672">
        <f t="shared" si="206"/>
        <v>6.6549999999999025</v>
      </c>
      <c r="Z672">
        <f t="shared" si="201"/>
        <v>0.47201467230913047</v>
      </c>
      <c r="AA672">
        <f t="shared" si="207"/>
        <v>5.0869269216818742E+23</v>
      </c>
      <c r="AB672">
        <f t="shared" si="208"/>
        <v>0.9818941279913862</v>
      </c>
      <c r="AC672" s="1">
        <f t="shared" si="202"/>
        <v>7.3142940843184193E-3</v>
      </c>
    </row>
    <row r="673" spans="2:29" x14ac:dyDescent="0.2">
      <c r="I673">
        <f t="shared" si="190"/>
        <v>6.6649999999999023</v>
      </c>
      <c r="J673">
        <f t="shared" si="191"/>
        <v>2.0794838700221718E-6</v>
      </c>
      <c r="K673">
        <f t="shared" si="203"/>
        <v>7.0976043143074245E-6</v>
      </c>
      <c r="L673">
        <f t="shared" si="192"/>
        <v>2.3198267714824756E+20</v>
      </c>
      <c r="M673">
        <f t="shared" si="193"/>
        <v>7.5894000063843614E-3</v>
      </c>
      <c r="N673">
        <f t="shared" si="194"/>
        <v>0</v>
      </c>
      <c r="O673">
        <f t="shared" si="195"/>
        <v>0</v>
      </c>
      <c r="P673">
        <f t="shared" si="196"/>
        <v>0</v>
      </c>
      <c r="R673">
        <f t="shared" si="197"/>
        <v>6.6649999999999023</v>
      </c>
      <c r="S673">
        <f t="shared" si="198"/>
        <v>2.0794971418691611E-6</v>
      </c>
      <c r="T673">
        <f t="shared" si="204"/>
        <v>7.2148345312028493E-7</v>
      </c>
      <c r="U673" s="1">
        <f t="shared" si="199"/>
        <v>5.9833271139011325E-3</v>
      </c>
      <c r="V673">
        <f t="shared" si="200"/>
        <v>1.1155781513504796E+26</v>
      </c>
      <c r="W673">
        <f t="shared" si="205"/>
        <v>2.3198415772650051E+18</v>
      </c>
      <c r="Y673">
        <f t="shared" si="206"/>
        <v>6.6649999999999023</v>
      </c>
      <c r="Z673">
        <f t="shared" si="201"/>
        <v>0.51389042947501395</v>
      </c>
      <c r="AA673">
        <f t="shared" si="207"/>
        <v>5.732849353104401E+23</v>
      </c>
      <c r="AB673">
        <f t="shared" si="208"/>
        <v>0.97717398126829491</v>
      </c>
      <c r="AC673" s="1">
        <f t="shared" si="202"/>
        <v>7.2791329195149926E-3</v>
      </c>
    </row>
    <row r="674" spans="2:29" x14ac:dyDescent="0.2">
      <c r="I674">
        <f t="shared" ref="I674:I737" si="209">I673+0.01</f>
        <v>6.6749999999999021</v>
      </c>
      <c r="J674">
        <f t="shared" si="191"/>
        <v>2.036833625505644E-6</v>
      </c>
      <c r="K674">
        <f t="shared" si="203"/>
        <v>7.0768094756072027E-6</v>
      </c>
      <c r="L674">
        <f t="shared" si="192"/>
        <v>2.3520987765428627E+20</v>
      </c>
      <c r="M674">
        <f t="shared" si="193"/>
        <v>7.5671642854318573E-3</v>
      </c>
      <c r="N674">
        <f t="shared" si="194"/>
        <v>0</v>
      </c>
      <c r="O674">
        <f t="shared" si="195"/>
        <v>0</v>
      </c>
      <c r="P674">
        <f t="shared" si="196"/>
        <v>0</v>
      </c>
      <c r="R674">
        <f t="shared" si="197"/>
        <v>6.6749999999999021</v>
      </c>
      <c r="S674">
        <f t="shared" si="198"/>
        <v>2.0368466251468571E-6</v>
      </c>
      <c r="T674">
        <f t="shared" si="204"/>
        <v>7.0068848170159332E-7</v>
      </c>
      <c r="U674" s="1">
        <f t="shared" si="199"/>
        <v>5.8108725471551475E-3</v>
      </c>
      <c r="V674">
        <f t="shared" si="200"/>
        <v>1.1547819846890803E+26</v>
      </c>
      <c r="W674">
        <f t="shared" si="205"/>
        <v>2.3521137882943432E+18</v>
      </c>
      <c r="Y674">
        <f t="shared" si="206"/>
        <v>6.6749999999999021</v>
      </c>
      <c r="Z674">
        <f t="shared" si="201"/>
        <v>0.55808432470290481</v>
      </c>
      <c r="AA674">
        <f t="shared" si="207"/>
        <v>6.4446572410428556E+23</v>
      </c>
      <c r="AB674">
        <f t="shared" si="208"/>
        <v>0.97203507697354474</v>
      </c>
      <c r="AC674" s="1">
        <f t="shared" si="202"/>
        <v>7.2408523593085064E-3</v>
      </c>
    </row>
    <row r="675" spans="2:29" x14ac:dyDescent="0.2">
      <c r="I675">
        <f t="shared" si="209"/>
        <v>6.6849999999999019</v>
      </c>
      <c r="J675">
        <f t="shared" si="191"/>
        <v>1.9950581381264719E-6</v>
      </c>
      <c r="K675">
        <f t="shared" si="203"/>
        <v>7.0564411393521465E-6</v>
      </c>
      <c r="L675">
        <f t="shared" si="192"/>
        <v>2.3848197299141067E+20</v>
      </c>
      <c r="M675">
        <f t="shared" si="193"/>
        <v>7.5453846194405384E-3</v>
      </c>
      <c r="N675">
        <f t="shared" si="194"/>
        <v>0</v>
      </c>
      <c r="O675">
        <f t="shared" si="195"/>
        <v>0</v>
      </c>
      <c r="P675">
        <f t="shared" si="196"/>
        <v>0</v>
      </c>
      <c r="R675">
        <f t="shared" si="197"/>
        <v>6.6849999999999019</v>
      </c>
      <c r="S675">
        <f t="shared" si="198"/>
        <v>1.9950708711448541E-6</v>
      </c>
      <c r="T675">
        <f t="shared" si="204"/>
        <v>6.8032001545012479E-7</v>
      </c>
      <c r="U675" s="1">
        <f t="shared" si="199"/>
        <v>5.6419550260894576E-3</v>
      </c>
      <c r="V675">
        <f t="shared" si="200"/>
        <v>1.1953635256733189E+26</v>
      </c>
      <c r="W675">
        <f t="shared" si="205"/>
        <v>2.3848349504998528E+18</v>
      </c>
      <c r="Y675">
        <f t="shared" si="206"/>
        <v>6.6849999999999019</v>
      </c>
      <c r="Z675">
        <f t="shared" si="201"/>
        <v>0.60456553162278304</v>
      </c>
      <c r="AA675">
        <f t="shared" si="207"/>
        <v>7.2267558538117436E+23</v>
      </c>
      <c r="AB675">
        <f t="shared" si="208"/>
        <v>0.96645423372651573</v>
      </c>
      <c r="AC675" s="1">
        <f t="shared" si="202"/>
        <v>7.1992797217057571E-3</v>
      </c>
    </row>
    <row r="676" spans="2:29" x14ac:dyDescent="0.2">
      <c r="I676">
        <f t="shared" si="209"/>
        <v>6.6949999999999017</v>
      </c>
      <c r="J676">
        <f t="shared" si="191"/>
        <v>1.9541394666030018E-6</v>
      </c>
      <c r="K676">
        <f t="shared" si="203"/>
        <v>7.0364905579708817E-6</v>
      </c>
      <c r="L676">
        <f t="shared" si="192"/>
        <v>2.4179958770893826E+20</v>
      </c>
      <c r="M676">
        <f t="shared" si="193"/>
        <v>7.524051654716494E-3</v>
      </c>
      <c r="N676">
        <f t="shared" si="194"/>
        <v>0</v>
      </c>
      <c r="O676">
        <f t="shared" si="195"/>
        <v>0</v>
      </c>
      <c r="P676">
        <f t="shared" si="196"/>
        <v>0</v>
      </c>
      <c r="R676">
        <f t="shared" si="197"/>
        <v>6.6949999999999017</v>
      </c>
      <c r="S676">
        <f t="shared" si="198"/>
        <v>1.9541519384669915E-6</v>
      </c>
      <c r="T676">
        <f t="shared" si="204"/>
        <v>6.6036930673867626E-7</v>
      </c>
      <c r="U676" s="1">
        <f t="shared" si="199"/>
        <v>5.4765020058455526E-3</v>
      </c>
      <c r="V676">
        <f t="shared" si="200"/>
        <v>1.2373711899349386E+26</v>
      </c>
      <c r="W676">
        <f t="shared" si="205"/>
        <v>2.4180113094145679E+18</v>
      </c>
      <c r="Y676">
        <f t="shared" si="206"/>
        <v>6.6949999999999017</v>
      </c>
      <c r="Z676">
        <f t="shared" si="201"/>
        <v>0.65328277182845773</v>
      </c>
      <c r="AA676">
        <f t="shared" si="207"/>
        <v>8.0835328074137372E+23</v>
      </c>
      <c r="AB676">
        <f t="shared" si="208"/>
        <v>0.96040857841028793</v>
      </c>
      <c r="AC676" s="1">
        <f t="shared" si="202"/>
        <v>7.154244621021562E-3</v>
      </c>
    </row>
    <row r="677" spans="2:29" x14ac:dyDescent="0.2">
      <c r="I677">
        <f t="shared" si="209"/>
        <v>6.7049999999999015</v>
      </c>
      <c r="J677">
        <f t="shared" si="191"/>
        <v>1.914060037629538E-6</v>
      </c>
      <c r="K677">
        <f t="shared" si="203"/>
        <v>7.0169491633048516E-6</v>
      </c>
      <c r="L677">
        <f t="shared" si="192"/>
        <v>2.4516335504452747E+20</v>
      </c>
      <c r="M677">
        <f t="shared" si="193"/>
        <v>7.5031562294102161E-3</v>
      </c>
      <c r="N677">
        <f t="shared" si="194"/>
        <v>0</v>
      </c>
      <c r="O677">
        <f t="shared" si="195"/>
        <v>0</v>
      </c>
      <c r="P677">
        <f t="shared" si="196"/>
        <v>0</v>
      </c>
      <c r="R677">
        <f t="shared" si="197"/>
        <v>6.7049999999999015</v>
      </c>
      <c r="S677">
        <f t="shared" si="198"/>
        <v>1.9140722536954154E-6</v>
      </c>
      <c r="T677">
        <f t="shared" si="204"/>
        <v>6.4082778735400638E-7</v>
      </c>
      <c r="U677" s="1">
        <f t="shared" si="199"/>
        <v>5.314442429461024E-3</v>
      </c>
      <c r="V677">
        <f t="shared" si="200"/>
        <v>1.2808550945358501E+26</v>
      </c>
      <c r="W677">
        <f t="shared" si="205"/>
        <v>2.451649197455489E+18</v>
      </c>
      <c r="Y677">
        <f t="shared" si="206"/>
        <v>6.7049999999999015</v>
      </c>
      <c r="Z677">
        <f t="shared" si="201"/>
        <v>0.70416314579989203</v>
      </c>
      <c r="AA677">
        <f t="shared" si="207"/>
        <v>9.019309526821822E+23</v>
      </c>
      <c r="AB677">
        <f t="shared" si="208"/>
        <v>0.95387575069200337</v>
      </c>
      <c r="AC677" s="1">
        <f t="shared" si="202"/>
        <v>7.1055804913852357E-3</v>
      </c>
    </row>
    <row r="678" spans="2:29" x14ac:dyDescent="0.2">
      <c r="I678">
        <f t="shared" si="209"/>
        <v>6.7149999999999013</v>
      </c>
      <c r="J678">
        <f t="shared" si="191"/>
        <v>1.8748026383291317E-6</v>
      </c>
      <c r="K678">
        <f t="shared" si="203"/>
        <v>6.9978085629285561E-6</v>
      </c>
      <c r="L678">
        <f t="shared" si="192"/>
        <v>2.4857391704505057E+20</v>
      </c>
      <c r="M678">
        <f t="shared" si="193"/>
        <v>7.4826893695818606E-3</v>
      </c>
      <c r="N678">
        <f t="shared" si="194"/>
        <v>0</v>
      </c>
      <c r="O678">
        <f t="shared" si="195"/>
        <v>0</v>
      </c>
      <c r="P678">
        <f t="shared" si="196"/>
        <v>0</v>
      </c>
      <c r="R678">
        <f t="shared" si="197"/>
        <v>6.7149999999999013</v>
      </c>
      <c r="S678">
        <f t="shared" si="198"/>
        <v>1.8748146038433197E-6</v>
      </c>
      <c r="T678">
        <f t="shared" si="204"/>
        <v>6.2168706481705221E-7</v>
      </c>
      <c r="U678" s="1">
        <f t="shared" si="199"/>
        <v>5.1557066973528017E-3</v>
      </c>
      <c r="V678">
        <f t="shared" si="200"/>
        <v>1.3258671177601153E+26</v>
      </c>
      <c r="W678">
        <f t="shared" si="205"/>
        <v>2.4857550351323146E+18</v>
      </c>
      <c r="Y678">
        <f t="shared" si="206"/>
        <v>6.7149999999999013</v>
      </c>
      <c r="Z678">
        <f t="shared" si="201"/>
        <v>0.75711114867787432</v>
      </c>
      <c r="AA678">
        <f t="shared" si="207"/>
        <v>1.0038287765215834E+24</v>
      </c>
      <c r="AB678">
        <f t="shared" si="208"/>
        <v>0.9468341192340044</v>
      </c>
      <c r="AC678" s="1">
        <f t="shared" si="202"/>
        <v>7.0531261973336432E-3</v>
      </c>
    </row>
    <row r="679" spans="2:29" x14ac:dyDescent="0.2">
      <c r="I679">
        <f t="shared" si="209"/>
        <v>6.7249999999999011</v>
      </c>
      <c r="J679">
        <f t="shared" si="191"/>
        <v>1.8363504088611926E-6</v>
      </c>
      <c r="K679">
        <f t="shared" si="203"/>
        <v>6.9790605365452646E-6</v>
      </c>
      <c r="L679">
        <f t="shared" si="192"/>
        <v>2.5203192468914356E+20</v>
      </c>
      <c r="M679">
        <f t="shared" si="193"/>
        <v>7.4626422853472244E-3</v>
      </c>
      <c r="N679">
        <f t="shared" si="194"/>
        <v>0</v>
      </c>
      <c r="O679">
        <f t="shared" si="195"/>
        <v>0</v>
      </c>
      <c r="P679">
        <f t="shared" si="196"/>
        <v>0</v>
      </c>
      <c r="R679">
        <f t="shared" si="197"/>
        <v>6.7249999999999011</v>
      </c>
      <c r="S679">
        <f t="shared" si="198"/>
        <v>1.83636212896251E-6</v>
      </c>
      <c r="T679">
        <f t="shared" si="204"/>
        <v>6.0293891877861896E-7</v>
      </c>
      <c r="U679" s="1">
        <f t="shared" si="199"/>
        <v>5.000226637426281E-3</v>
      </c>
      <c r="V679">
        <f t="shared" si="200"/>
        <v>1.372460961007112E+26</v>
      </c>
      <c r="W679">
        <f t="shared" si="205"/>
        <v>2.5203353322729528E+18</v>
      </c>
      <c r="Y679">
        <f t="shared" si="206"/>
        <v>6.7249999999999011</v>
      </c>
      <c r="Z679">
        <f t="shared" si="201"/>
        <v>0.81200790107581655</v>
      </c>
      <c r="AA679">
        <f t="shared" si="207"/>
        <v>1.1144491442558832E+24</v>
      </c>
      <c r="AB679">
        <f t="shared" si="208"/>
        <v>0.93926300774722571</v>
      </c>
      <c r="AC679" s="1">
        <f t="shared" si="202"/>
        <v>6.9967277177208327E-3</v>
      </c>
    </row>
    <row r="680" spans="2:29" x14ac:dyDescent="0.2">
      <c r="I680">
        <f t="shared" si="209"/>
        <v>6.7349999999999008</v>
      </c>
      <c r="J680">
        <f t="shared" si="191"/>
        <v>1.7986868351807094E-6</v>
      </c>
      <c r="K680">
        <f t="shared" si="203"/>
        <v>6.9606970324566528E-6</v>
      </c>
      <c r="L680">
        <f t="shared" si="192"/>
        <v>2.5553803801145216E+20</v>
      </c>
      <c r="M680">
        <f t="shared" si="193"/>
        <v>7.443006367102753E-3</v>
      </c>
      <c r="N680">
        <f t="shared" si="194"/>
        <v>0</v>
      </c>
      <c r="O680">
        <f t="shared" si="195"/>
        <v>0</v>
      </c>
      <c r="P680">
        <f t="shared" si="196"/>
        <v>0</v>
      </c>
      <c r="R680">
        <f t="shared" si="197"/>
        <v>6.7349999999999008</v>
      </c>
      <c r="S680">
        <f t="shared" si="198"/>
        <v>1.7986983149025776E-6</v>
      </c>
      <c r="T680">
        <f t="shared" si="204"/>
        <v>5.8457529748899386E-7</v>
      </c>
      <c r="U680" s="1">
        <f t="shared" si="199"/>
        <v>4.8479354757975084E-3</v>
      </c>
      <c r="V680">
        <f t="shared" si="200"/>
        <v>1.4206922128597162E+26</v>
      </c>
      <c r="W680">
        <f t="shared" si="205"/>
        <v>2.555396689265986E+18</v>
      </c>
      <c r="Y680">
        <f t="shared" si="206"/>
        <v>6.7349999999999008</v>
      </c>
      <c r="Z680">
        <f t="shared" si="201"/>
        <v>0.8687106236035087</v>
      </c>
      <c r="AA680">
        <f t="shared" si="207"/>
        <v>1.2341704181820129E+24</v>
      </c>
      <c r="AB680">
        <f t="shared" si="208"/>
        <v>0.93114292873646753</v>
      </c>
      <c r="AC680" s="1">
        <f t="shared" si="202"/>
        <v>6.9362398869257927E-3</v>
      </c>
    </row>
    <row r="681" spans="2:29" x14ac:dyDescent="0.2">
      <c r="I681">
        <f t="shared" si="209"/>
        <v>6.7449999999999006</v>
      </c>
      <c r="J681">
        <f t="shared" si="191"/>
        <v>1.7617957419459699E-6</v>
      </c>
      <c r="K681">
        <f t="shared" si="203"/>
        <v>6.9427101641048454E-6</v>
      </c>
      <c r="L681">
        <f t="shared" si="192"/>
        <v>2.5909292622862156E+20</v>
      </c>
      <c r="M681">
        <f t="shared" si="193"/>
        <v>7.4237731818279883E-3</v>
      </c>
      <c r="N681">
        <f t="shared" si="194"/>
        <v>0</v>
      </c>
      <c r="O681">
        <f t="shared" si="195"/>
        <v>0</v>
      </c>
      <c r="P681">
        <f t="shared" si="196"/>
        <v>0</v>
      </c>
      <c r="R681">
        <f t="shared" si="197"/>
        <v>6.7449999999999006</v>
      </c>
      <c r="S681">
        <f t="shared" si="198"/>
        <v>1.7618069862185753E-6</v>
      </c>
      <c r="T681">
        <f t="shared" si="204"/>
        <v>5.6658831433996807E-7</v>
      </c>
      <c r="U681" s="1">
        <f t="shared" si="199"/>
        <v>4.698767808115868E-3</v>
      </c>
      <c r="V681">
        <f t="shared" si="200"/>
        <v>1.4706184154040674E+26</v>
      </c>
      <c r="W681">
        <f t="shared" si="205"/>
        <v>2.590945798320577E+18</v>
      </c>
      <c r="Y681">
        <f t="shared" si="206"/>
        <v>6.7449999999999006</v>
      </c>
      <c r="Z681">
        <f t="shared" si="201"/>
        <v>0.9270523815569256</v>
      </c>
      <c r="AA681">
        <f t="shared" si="207"/>
        <v>1.363340304361813E+24</v>
      </c>
      <c r="AB681">
        <f t="shared" si="208"/>
        <v>0.92245582250043245</v>
      </c>
      <c r="AC681" s="1">
        <f t="shared" si="202"/>
        <v>6.8715281752038176E-3</v>
      </c>
    </row>
    <row r="682" spans="2:29" x14ac:dyDescent="0.2">
      <c r="I682">
        <f t="shared" si="209"/>
        <v>6.7549999999999004</v>
      </c>
      <c r="J682">
        <f t="shared" si="191"/>
        <v>1.385018441337079E-5</v>
      </c>
      <c r="K682">
        <f t="shared" si="203"/>
        <v>6.9250922066853859E-6</v>
      </c>
      <c r="L682">
        <f t="shared" si="192"/>
        <v>2.1084123722701191E+21</v>
      </c>
      <c r="M682">
        <f t="shared" si="193"/>
        <v>7.4049344694638464E-3</v>
      </c>
      <c r="N682">
        <f t="shared" si="194"/>
        <v>7.4049344694638464E-3</v>
      </c>
      <c r="O682">
        <f t="shared" si="195"/>
        <v>178.17408986731954</v>
      </c>
      <c r="P682">
        <f t="shared" si="196"/>
        <v>2.1084123722701191E+21</v>
      </c>
      <c r="R682">
        <f t="shared" si="197"/>
        <v>6.7549999999999004</v>
      </c>
      <c r="S682">
        <f t="shared" si="198"/>
        <v>1.7256722992241775E-6</v>
      </c>
      <c r="T682">
        <f t="shared" si="204"/>
        <v>5.4897024447778228E-7</v>
      </c>
      <c r="U682" s="1">
        <f t="shared" si="199"/>
        <v>4.5526595714749287E-3</v>
      </c>
      <c r="V682">
        <f t="shared" si="200"/>
        <v>1.5222991328799094E+26</v>
      </c>
      <c r="W682">
        <f t="shared" si="205"/>
        <v>2.6269894447438449E+18</v>
      </c>
      <c r="Y682">
        <f t="shared" si="206"/>
        <v>6.7549999999999004</v>
      </c>
      <c r="Z682">
        <f t="shared" si="201"/>
        <v>0.98684212329397569</v>
      </c>
      <c r="AA682">
        <f t="shared" si="207"/>
        <v>1.5022689085797879E+24</v>
      </c>
      <c r="AB682">
        <f t="shared" si="208"/>
        <v>0.9131852986848632</v>
      </c>
      <c r="AC682" s="1">
        <f t="shared" si="202"/>
        <v>6.802470488056365E-3</v>
      </c>
    </row>
    <row r="683" spans="2:29" x14ac:dyDescent="0.2">
      <c r="I683">
        <f t="shared" si="209"/>
        <v>6.7649999999999002</v>
      </c>
      <c r="J683">
        <f t="shared" si="191"/>
        <v>1.385018441337079E-5</v>
      </c>
      <c r="K683">
        <f t="shared" si="203"/>
        <v>6.7865903625516784E-6</v>
      </c>
      <c r="L683">
        <f t="shared" si="192"/>
        <v>2.1825065512852107E+21</v>
      </c>
      <c r="M683">
        <f t="shared" si="193"/>
        <v>7.2568357800745697E-3</v>
      </c>
      <c r="N683">
        <f t="shared" si="194"/>
        <v>7.2568357800745697E-3</v>
      </c>
      <c r="O683">
        <f t="shared" si="195"/>
        <v>178.17408986731954</v>
      </c>
      <c r="P683">
        <f t="shared" si="196"/>
        <v>2.1825065512852107E+21</v>
      </c>
      <c r="R683">
        <f t="shared" si="197"/>
        <v>6.7649999999999002</v>
      </c>
      <c r="S683">
        <f t="shared" si="198"/>
        <v>1.6902787351872866E-6</v>
      </c>
      <c r="T683">
        <f t="shared" si="204"/>
        <v>5.3171352148554052E-7</v>
      </c>
      <c r="U683" s="1">
        <f t="shared" si="199"/>
        <v>4.4095480168994047E-3</v>
      </c>
      <c r="V683">
        <f t="shared" si="200"/>
        <v>1.5757960227433845E+26</v>
      </c>
      <c r="W683">
        <f t="shared" si="205"/>
        <v>2.6635345082358451E+18</v>
      </c>
      <c r="Y683">
        <f t="shared" si="206"/>
        <v>6.7649999999999002</v>
      </c>
      <c r="Z683">
        <f t="shared" si="201"/>
        <v>1.04786503218399</v>
      </c>
      <c r="AA683">
        <f t="shared" si="207"/>
        <v>1.6512215500874001E+24</v>
      </c>
      <c r="AB683">
        <f t="shared" si="208"/>
        <v>0.90331687745192346</v>
      </c>
      <c r="AC683" s="1">
        <f t="shared" si="202"/>
        <v>6.7289589627422142E-3</v>
      </c>
    </row>
    <row r="684" spans="2:29" x14ac:dyDescent="0.2">
      <c r="I684">
        <f t="shared" si="209"/>
        <v>6.7749999999999</v>
      </c>
      <c r="J684">
        <f t="shared" si="191"/>
        <v>1.385018441337079E-5</v>
      </c>
      <c r="K684">
        <f t="shared" si="203"/>
        <v>6.6480885184179709E-6</v>
      </c>
      <c r="L684">
        <f t="shared" si="192"/>
        <v>2.2592045602892349E+21</v>
      </c>
      <c r="M684">
        <f t="shared" si="193"/>
        <v>7.108737090685293E-3</v>
      </c>
      <c r="N684">
        <f t="shared" si="194"/>
        <v>7.108737090685293E-3</v>
      </c>
      <c r="O684">
        <f t="shared" si="195"/>
        <v>178.17408986731954</v>
      </c>
      <c r="P684">
        <f t="shared" si="196"/>
        <v>2.2592045602892349E+21</v>
      </c>
      <c r="R684">
        <f t="shared" si="197"/>
        <v>6.7749999999999</v>
      </c>
      <c r="S684">
        <f t="shared" si="198"/>
        <v>1.6556110936652309E-6</v>
      </c>
      <c r="T684">
        <f t="shared" si="204"/>
        <v>5.1481073413366763E-7</v>
      </c>
      <c r="U684" s="1">
        <f t="shared" si="199"/>
        <v>4.2693716823964086E-3</v>
      </c>
      <c r="V684">
        <f t="shared" si="200"/>
        <v>1.6311729092272792E+26</v>
      </c>
      <c r="W684">
        <f t="shared" si="205"/>
        <v>2.7005879642028723E+18</v>
      </c>
      <c r="Y684">
        <f t="shared" si="206"/>
        <v>6.7749999999999</v>
      </c>
      <c r="Z684">
        <f t="shared" si="201"/>
        <v>1.1098832077234553</v>
      </c>
      <c r="AA684">
        <f t="shared" si="207"/>
        <v>1.8104114208447732E+24</v>
      </c>
      <c r="AB684">
        <f t="shared" si="208"/>
        <v>0.89283822713008354</v>
      </c>
      <c r="AC684" s="1">
        <f t="shared" si="202"/>
        <v>6.650901738571355E-3</v>
      </c>
    </row>
    <row r="685" spans="2:29" x14ac:dyDescent="0.2">
      <c r="B685">
        <f>I680-1</f>
        <v>5.7349999999999008</v>
      </c>
      <c r="I685">
        <f t="shared" si="209"/>
        <v>6.7849999999998998</v>
      </c>
      <c r="J685">
        <f t="shared" si="191"/>
        <v>1.385018441337079E-5</v>
      </c>
      <c r="K685">
        <f t="shared" si="203"/>
        <v>6.5095866742842635E-6</v>
      </c>
      <c r="L685">
        <f t="shared" si="192"/>
        <v>2.3385979035096528E+21</v>
      </c>
      <c r="M685">
        <f t="shared" si="193"/>
        <v>6.9606384012960163E-3</v>
      </c>
      <c r="N685">
        <f t="shared" si="194"/>
        <v>6.9606384012960163E-3</v>
      </c>
      <c r="O685">
        <f t="shared" si="195"/>
        <v>178.17408986731954</v>
      </c>
      <c r="P685">
        <f t="shared" si="196"/>
        <v>2.3385979035096528E+21</v>
      </c>
      <c r="R685">
        <f t="shared" si="197"/>
        <v>6.7849999999998998</v>
      </c>
      <c r="S685">
        <f t="shared" si="198"/>
        <v>1.6216544859766383E-6</v>
      </c>
      <c r="T685">
        <f t="shared" si="204"/>
        <v>4.982546231970153E-7</v>
      </c>
      <c r="U685" s="1">
        <f t="shared" si="199"/>
        <v>4.1320703665594233E-3</v>
      </c>
      <c r="V685">
        <f t="shared" si="200"/>
        <v>1.6884958594861742E+26</v>
      </c>
      <c r="W685">
        <f t="shared" si="205"/>
        <v>2.7381568850887342E+18</v>
      </c>
      <c r="Y685">
        <f t="shared" si="206"/>
        <v>6.7849999999998998</v>
      </c>
      <c r="Z685">
        <f t="shared" si="201"/>
        <v>1.1726366865061768</v>
      </c>
      <c r="AA685">
        <f t="shared" si="207"/>
        <v>1.9799921898472667E+24</v>
      </c>
      <c r="AB685">
        <f t="shared" si="208"/>
        <v>0.88173939505284904</v>
      </c>
      <c r="AC685" s="1">
        <f t="shared" si="202"/>
        <v>6.5682246764613835E-3</v>
      </c>
    </row>
    <row r="686" spans="2:29" x14ac:dyDescent="0.2">
      <c r="I686">
        <f t="shared" si="209"/>
        <v>6.7949999999998996</v>
      </c>
      <c r="J686">
        <f t="shared" si="191"/>
        <v>1.385018441337079E-5</v>
      </c>
      <c r="K686">
        <f t="shared" si="203"/>
        <v>6.371084830150556E-6</v>
      </c>
      <c r="L686">
        <f t="shared" si="192"/>
        <v>2.4207813008307698E+21</v>
      </c>
      <c r="M686">
        <f t="shared" si="193"/>
        <v>6.8125397119067396E-3</v>
      </c>
      <c r="N686">
        <f t="shared" si="194"/>
        <v>6.8125397119067396E-3</v>
      </c>
      <c r="O686">
        <f t="shared" si="195"/>
        <v>178.17408986731954</v>
      </c>
      <c r="P686">
        <f t="shared" si="196"/>
        <v>2.4207813008307698E+21</v>
      </c>
      <c r="R686">
        <f t="shared" si="197"/>
        <v>6.7949999999998996</v>
      </c>
      <c r="S686">
        <f t="shared" si="198"/>
        <v>1.5883943288072068E-6</v>
      </c>
      <c r="T686">
        <f t="shared" si="204"/>
        <v>4.8203807833724888E-7</v>
      </c>
      <c r="U686" s="1">
        <f t="shared" si="199"/>
        <v>3.9975851027136593E-3</v>
      </c>
      <c r="V686">
        <f t="shared" si="200"/>
        <v>1.7478332624176313E+26</v>
      </c>
      <c r="W686">
        <f t="shared" si="205"/>
        <v>2.7762484417247642E+18</v>
      </c>
      <c r="Y686">
        <f t="shared" si="206"/>
        <v>6.7949999999998996</v>
      </c>
      <c r="Z686">
        <f t="shared" si="201"/>
        <v>1.2358448082961759</v>
      </c>
      <c r="AA686">
        <f t="shared" si="207"/>
        <v>2.1600506631261976E+24</v>
      </c>
      <c r="AB686">
        <f t="shared" si="208"/>
        <v>0.87001302818778725</v>
      </c>
      <c r="AC686" s="1">
        <f t="shared" si="202"/>
        <v>6.4808730024401478E-3</v>
      </c>
    </row>
    <row r="687" spans="2:29" x14ac:dyDescent="0.2">
      <c r="I687">
        <f t="shared" si="209"/>
        <v>6.8049999999998994</v>
      </c>
      <c r="J687">
        <f t="shared" si="191"/>
        <v>1.385018441337079E-5</v>
      </c>
      <c r="K687">
        <f t="shared" si="203"/>
        <v>6.2325829860168485E-6</v>
      </c>
      <c r="L687">
        <f t="shared" si="192"/>
        <v>2.5058528007988026E+21</v>
      </c>
      <c r="M687">
        <f t="shared" si="193"/>
        <v>6.6644410225174628E-3</v>
      </c>
      <c r="N687">
        <f t="shared" si="194"/>
        <v>6.6644410225174628E-3</v>
      </c>
      <c r="O687">
        <f t="shared" si="195"/>
        <v>178.17408986731954</v>
      </c>
      <c r="P687">
        <f t="shared" si="196"/>
        <v>2.5058528007988026E+21</v>
      </c>
      <c r="R687">
        <f t="shared" si="197"/>
        <v>6.8049999999998994</v>
      </c>
      <c r="S687">
        <f t="shared" si="198"/>
        <v>1.5558163379466322E-6</v>
      </c>
      <c r="T687">
        <f t="shared" si="204"/>
        <v>4.6615413504917677E-7</v>
      </c>
      <c r="U687" s="1">
        <f t="shared" si="199"/>
        <v>3.865858133591687E-3</v>
      </c>
      <c r="V687">
        <f t="shared" si="200"/>
        <v>1.8092559102532126E+26</v>
      </c>
      <c r="W687">
        <f t="shared" si="205"/>
        <v>2.814869904698454E+18</v>
      </c>
      <c r="Y687">
        <f t="shared" si="206"/>
        <v>6.8049999999998994</v>
      </c>
      <c r="Z687">
        <f t="shared" si="201"/>
        <v>1.2992079265681693</v>
      </c>
      <c r="AA687">
        <f t="shared" si="207"/>
        <v>2.3505996197912821E+24</v>
      </c>
      <c r="AB687">
        <f t="shared" si="208"/>
        <v>0.85765458010482554</v>
      </c>
      <c r="AC687" s="1">
        <f t="shared" si="202"/>
        <v>6.3888128493873172E-3</v>
      </c>
    </row>
    <row r="688" spans="2:29" x14ac:dyDescent="0.2">
      <c r="I688">
        <f t="shared" si="209"/>
        <v>6.8149999999998991</v>
      </c>
      <c r="J688">
        <f t="shared" si="191"/>
        <v>1.385018441337079E-5</v>
      </c>
      <c r="K688">
        <f t="shared" si="203"/>
        <v>6.094081141883141E-6</v>
      </c>
      <c r="L688">
        <f t="shared" si="192"/>
        <v>2.5939138975983746E+21</v>
      </c>
      <c r="M688">
        <f t="shared" si="193"/>
        <v>6.5163423331281861E-3</v>
      </c>
      <c r="N688">
        <f t="shared" si="194"/>
        <v>6.5163423331281861E-3</v>
      </c>
      <c r="O688">
        <f t="shared" si="195"/>
        <v>178.17408986731954</v>
      </c>
      <c r="P688">
        <f t="shared" si="196"/>
        <v>2.5939138975983746E+21</v>
      </c>
      <c r="R688">
        <f t="shared" si="197"/>
        <v>6.8149999999998991</v>
      </c>
      <c r="S688">
        <f t="shared" si="198"/>
        <v>1.5239065221539636E-6</v>
      </c>
      <c r="T688">
        <f t="shared" si="204"/>
        <v>4.5059597166971043E-7</v>
      </c>
      <c r="U688" s="1">
        <f t="shared" si="199"/>
        <v>3.7368328865284742E-3</v>
      </c>
      <c r="V688">
        <f t="shared" si="200"/>
        <v>1.8728370830169188E+26</v>
      </c>
      <c r="W688">
        <f t="shared" si="205"/>
        <v>2.8540286457412869E+18</v>
      </c>
      <c r="Y688">
        <f t="shared" si="206"/>
        <v>6.8149999999998991</v>
      </c>
      <c r="Z688">
        <f t="shared" si="201"/>
        <v>1.3624094566624054</v>
      </c>
      <c r="AA688">
        <f t="shared" si="207"/>
        <v>2.5515709526902849E+24</v>
      </c>
      <c r="AB688">
        <f t="shared" si="208"/>
        <v>0.84466250083914385</v>
      </c>
      <c r="AC688" s="1">
        <f t="shared" si="202"/>
        <v>6.2920326713549199E-3</v>
      </c>
    </row>
    <row r="689" spans="9:29" x14ac:dyDescent="0.2">
      <c r="I689">
        <f t="shared" si="209"/>
        <v>6.8249999999998989</v>
      </c>
      <c r="J689">
        <f t="shared" si="191"/>
        <v>1.385018441337079E-5</v>
      </c>
      <c r="K689">
        <f t="shared" si="203"/>
        <v>5.9555792977494335E-6</v>
      </c>
      <c r="L689">
        <f t="shared" si="192"/>
        <v>2.6850696521396236E+21</v>
      </c>
      <c r="M689">
        <f t="shared" si="193"/>
        <v>6.3682436437389094E-3</v>
      </c>
      <c r="N689">
        <f t="shared" si="194"/>
        <v>6.3682436437389094E-3</v>
      </c>
      <c r="O689">
        <f t="shared" si="195"/>
        <v>178.17408986731954</v>
      </c>
      <c r="P689">
        <f t="shared" si="196"/>
        <v>2.6850696521396236E+21</v>
      </c>
      <c r="R689">
        <f t="shared" si="197"/>
        <v>6.8249999999998989</v>
      </c>
      <c r="S689">
        <f t="shared" si="198"/>
        <v>1.4926511771488078E-6</v>
      </c>
      <c r="T689">
        <f t="shared" si="204"/>
        <v>4.353569064481708E-7</v>
      </c>
      <c r="U689" s="1">
        <f t="shared" si="199"/>
        <v>3.610453949165174E-3</v>
      </c>
      <c r="V689">
        <f t="shared" si="200"/>
        <v>1.9386526359515415E+26</v>
      </c>
      <c r="W689">
        <f t="shared" si="205"/>
        <v>2.8937321391357076E+18</v>
      </c>
      <c r="Y689">
        <f t="shared" si="206"/>
        <v>6.8249999999998989</v>
      </c>
      <c r="Z689">
        <f t="shared" si="201"/>
        <v>1.4251182482720086</v>
      </c>
      <c r="AA689">
        <f t="shared" si="207"/>
        <v>2.7628092485551733E+24</v>
      </c>
      <c r="AB689">
        <f t="shared" si="208"/>
        <v>0.83103840627251979</v>
      </c>
      <c r="AC689" s="1">
        <f t="shared" si="202"/>
        <v>6.1905445053174035E-3</v>
      </c>
    </row>
    <row r="690" spans="9:29" x14ac:dyDescent="0.2">
      <c r="I690">
        <f t="shared" si="209"/>
        <v>6.8349999999998987</v>
      </c>
      <c r="J690">
        <f t="shared" si="191"/>
        <v>1.385018441337079E-5</v>
      </c>
      <c r="K690">
        <f t="shared" si="203"/>
        <v>5.8170774536157261E-6</v>
      </c>
      <c r="L690">
        <f t="shared" si="192"/>
        <v>2.7794288174007614E+21</v>
      </c>
      <c r="M690">
        <f t="shared" si="193"/>
        <v>6.2201449543496327E-3</v>
      </c>
      <c r="N690">
        <f t="shared" si="194"/>
        <v>6.2201449543496327E-3</v>
      </c>
      <c r="O690">
        <f t="shared" si="195"/>
        <v>178.17408986731954</v>
      </c>
      <c r="P690">
        <f t="shared" si="196"/>
        <v>2.7794288174007614E+21</v>
      </c>
      <c r="R690">
        <f t="shared" si="197"/>
        <v>6.8349999999998987</v>
      </c>
      <c r="S690">
        <f t="shared" si="198"/>
        <v>1.4620368797257643E-6</v>
      </c>
      <c r="T690">
        <f t="shared" si="204"/>
        <v>4.2043039467668272E-7</v>
      </c>
      <c r="U690" s="1">
        <f t="shared" si="199"/>
        <v>3.4866670456512286E-3</v>
      </c>
      <c r="V690">
        <f t="shared" si="200"/>
        <v>2.0067810900174994E+26</v>
      </c>
      <c r="W690">
        <f t="shared" si="205"/>
        <v>2.9339879631418532E+18</v>
      </c>
      <c r="Y690">
        <f t="shared" si="206"/>
        <v>6.8349999999998987</v>
      </c>
      <c r="Z690">
        <f t="shared" si="201"/>
        <v>1.4869912624781796</v>
      </c>
      <c r="AA690">
        <f t="shared" si="207"/>
        <v>2.9840659465624587E+24</v>
      </c>
      <c r="AB690">
        <f t="shared" si="208"/>
        <v>0.81678722378979973</v>
      </c>
      <c r="AC690" s="1">
        <f t="shared" si="202"/>
        <v>6.0843850561911163E-3</v>
      </c>
    </row>
    <row r="691" spans="9:29" x14ac:dyDescent="0.2">
      <c r="I691">
        <f t="shared" si="209"/>
        <v>6.8449999999998985</v>
      </c>
      <c r="J691">
        <f t="shared" si="191"/>
        <v>1.385018441337079E-5</v>
      </c>
      <c r="K691">
        <f t="shared" si="203"/>
        <v>5.6785756094820186E-6</v>
      </c>
      <c r="L691">
        <f t="shared" si="192"/>
        <v>2.8771039681752098E+21</v>
      </c>
      <c r="M691">
        <f t="shared" si="193"/>
        <v>6.0720462649603568E-3</v>
      </c>
      <c r="N691">
        <f t="shared" si="194"/>
        <v>6.0720462649603568E-3</v>
      </c>
      <c r="O691">
        <f t="shared" si="195"/>
        <v>178.17408986731954</v>
      </c>
      <c r="P691">
        <f t="shared" si="196"/>
        <v>2.8771039681752098E+21</v>
      </c>
      <c r="R691">
        <f t="shared" si="197"/>
        <v>6.8449999999998985</v>
      </c>
      <c r="S691">
        <f t="shared" si="198"/>
        <v>1.4320504819895671E-6</v>
      </c>
      <c r="T691">
        <f t="shared" si="204"/>
        <v>4.0581002587942507E-7</v>
      </c>
      <c r="U691" s="1">
        <f t="shared" si="199"/>
        <v>3.3654190133345654E-3</v>
      </c>
      <c r="V691">
        <f t="shared" si="200"/>
        <v>2.0773037255718346E+26</v>
      </c>
      <c r="W691">
        <f t="shared" si="205"/>
        <v>2.9748038014438692E+18</v>
      </c>
      <c r="Y691">
        <f t="shared" si="206"/>
        <v>6.8449999999998985</v>
      </c>
      <c r="Z691">
        <f t="shared" si="201"/>
        <v>1.547676527117269</v>
      </c>
      <c r="AA691">
        <f t="shared" si="207"/>
        <v>3.2149942157607818E+24</v>
      </c>
      <c r="AB691">
        <f t="shared" si="208"/>
        <v>0.80191731116501797</v>
      </c>
      <c r="AC691" s="1">
        <f t="shared" si="202"/>
        <v>5.9736165824369599E-3</v>
      </c>
    </row>
    <row r="692" spans="9:29" x14ac:dyDescent="0.2">
      <c r="I692">
        <f t="shared" si="209"/>
        <v>6.8549999999998983</v>
      </c>
      <c r="J692">
        <f t="shared" si="191"/>
        <v>1.385018441337079E-5</v>
      </c>
      <c r="K692">
        <f t="shared" si="203"/>
        <v>5.5400737653483111E-6</v>
      </c>
      <c r="L692">
        <f t="shared" si="192"/>
        <v>2.9782116353786454E+21</v>
      </c>
      <c r="M692">
        <f t="shared" si="193"/>
        <v>5.9239475755710801E-3</v>
      </c>
      <c r="N692">
        <f t="shared" si="194"/>
        <v>5.9239475755710801E-3</v>
      </c>
      <c r="O692">
        <f t="shared" si="195"/>
        <v>178.17408986731954</v>
      </c>
      <c r="P692">
        <f t="shared" si="196"/>
        <v>2.9782116353786454E+21</v>
      </c>
      <c r="R692">
        <f t="shared" si="197"/>
        <v>6.8549999999998983</v>
      </c>
      <c r="S692">
        <f t="shared" si="198"/>
        <v>1.4026791057084821E-6</v>
      </c>
      <c r="T692">
        <f t="shared" si="204"/>
        <v>3.914895210595294E-7</v>
      </c>
      <c r="U692" s="1">
        <f t="shared" si="199"/>
        <v>3.2466577799298837E-3</v>
      </c>
      <c r="V692">
        <f t="shared" si="200"/>
        <v>2.1503046793395168E+26</v>
      </c>
      <c r="W692">
        <f t="shared" si="205"/>
        <v>3.0161874446167178E+18</v>
      </c>
      <c r="Y692">
        <f t="shared" si="206"/>
        <v>6.8549999999998983</v>
      </c>
      <c r="Z692">
        <f t="shared" si="201"/>
        <v>1.6068163380551228</v>
      </c>
      <c r="AA692">
        <f t="shared" si="207"/>
        <v>3.4551446905591179E+24</v>
      </c>
      <c r="AB692">
        <f t="shared" si="208"/>
        <v>0.78644054589384527</v>
      </c>
      <c r="AC692" s="1">
        <f t="shared" si="202"/>
        <v>5.8583275615127859E-3</v>
      </c>
    </row>
    <row r="693" spans="9:29" x14ac:dyDescent="0.2">
      <c r="I693">
        <f t="shared" si="209"/>
        <v>6.8649999999998981</v>
      </c>
      <c r="J693">
        <f t="shared" si="191"/>
        <v>1.385018441337079E-5</v>
      </c>
      <c r="K693">
        <f t="shared" si="203"/>
        <v>5.4015719212146036E-6</v>
      </c>
      <c r="L693">
        <f t="shared" si="192"/>
        <v>3.0828724450754822E+21</v>
      </c>
      <c r="M693">
        <f t="shared" si="193"/>
        <v>5.7758488861818034E-3</v>
      </c>
      <c r="N693">
        <f t="shared" si="194"/>
        <v>5.7758488861818034E-3</v>
      </c>
      <c r="O693">
        <f t="shared" si="195"/>
        <v>178.17408986731954</v>
      </c>
      <c r="P693">
        <f t="shared" si="196"/>
        <v>3.0828724450754822E+21</v>
      </c>
      <c r="R693">
        <f t="shared" si="197"/>
        <v>6.8649999999998981</v>
      </c>
      <c r="S693">
        <f t="shared" si="198"/>
        <v>1.3739101367834892E-6</v>
      </c>
      <c r="T693">
        <f t="shared" si="204"/>
        <v>3.7746273000244459E-7</v>
      </c>
      <c r="U693" s="1">
        <f t="shared" si="199"/>
        <v>3.1303323411552139E-3</v>
      </c>
      <c r="V693">
        <f t="shared" si="200"/>
        <v>2.2258710447922388E+26</v>
      </c>
      <c r="W693">
        <f t="shared" si="205"/>
        <v>3.0581467916129126E+18</v>
      </c>
      <c r="Y693">
        <f t="shared" si="206"/>
        <v>6.8649999999998981</v>
      </c>
      <c r="Z693">
        <f t="shared" si="201"/>
        <v>1.6640506681111644</v>
      </c>
      <c r="AA693">
        <f t="shared" si="207"/>
        <v>3.7039621992158206E+24</v>
      </c>
      <c r="AB693">
        <f t="shared" si="208"/>
        <v>0.77037238251329399</v>
      </c>
      <c r="AC693" s="1">
        <f t="shared" si="202"/>
        <v>5.7386331168574872E-3</v>
      </c>
    </row>
    <row r="694" spans="9:29" x14ac:dyDescent="0.2">
      <c r="I694">
        <f t="shared" si="209"/>
        <v>6.8749999999998979</v>
      </c>
      <c r="J694">
        <f t="shared" si="191"/>
        <v>1.385018441337079E-5</v>
      </c>
      <c r="K694">
        <f t="shared" si="203"/>
        <v>5.2630700770808961E-6</v>
      </c>
      <c r="L694">
        <f t="shared" si="192"/>
        <v>3.1912112623914807E+21</v>
      </c>
      <c r="M694">
        <f t="shared" si="193"/>
        <v>5.6277501967925267E-3</v>
      </c>
      <c r="N694">
        <f t="shared" si="194"/>
        <v>5.6277501967925267E-3</v>
      </c>
      <c r="O694">
        <f t="shared" si="195"/>
        <v>178.17408986731954</v>
      </c>
      <c r="P694">
        <f t="shared" si="196"/>
        <v>3.1912112623914807E+21</v>
      </c>
      <c r="R694">
        <f t="shared" si="197"/>
        <v>6.8749999999998979</v>
      </c>
      <c r="S694">
        <f t="shared" si="198"/>
        <v>1.3457312198309242E-6</v>
      </c>
      <c r="T694">
        <f t="shared" si="204"/>
        <v>3.6372362863460969E-7</v>
      </c>
      <c r="U694" s="1">
        <f t="shared" si="199"/>
        <v>3.0163927388271511E-3</v>
      </c>
      <c r="V694">
        <f t="shared" si="200"/>
        <v>2.3040929760550526E+26</v>
      </c>
      <c r="W694">
        <f t="shared" si="205"/>
        <v>3.1006898512704307E+18</v>
      </c>
      <c r="Y694">
        <f t="shared" si="206"/>
        <v>6.8749999999998979</v>
      </c>
      <c r="Z694">
        <f t="shared" si="201"/>
        <v>1.7190207400677473</v>
      </c>
      <c r="AA694">
        <f t="shared" si="207"/>
        <v>3.9607836128830549E+24</v>
      </c>
      <c r="AB694">
        <f t="shared" si="208"/>
        <v>0.75373187583218237</v>
      </c>
      <c r="AC694" s="1">
        <f t="shared" si="202"/>
        <v>5.6146751909386308E-3</v>
      </c>
    </row>
    <row r="695" spans="9:29" x14ac:dyDescent="0.2">
      <c r="I695">
        <f t="shared" si="209"/>
        <v>6.8849999999998976</v>
      </c>
      <c r="J695">
        <f t="shared" si="191"/>
        <v>1.385018441337079E-5</v>
      </c>
      <c r="K695">
        <f t="shared" si="203"/>
        <v>5.1245682329471887E-6</v>
      </c>
      <c r="L695">
        <f t="shared" si="192"/>
        <v>3.3033573404834409E+21</v>
      </c>
      <c r="M695">
        <f t="shared" si="193"/>
        <v>5.4796515074032499E-3</v>
      </c>
      <c r="N695">
        <f t="shared" si="194"/>
        <v>5.4796515074032499E-3</v>
      </c>
      <c r="O695">
        <f t="shared" si="195"/>
        <v>178.17408986731954</v>
      </c>
      <c r="P695">
        <f t="shared" si="196"/>
        <v>3.3033573404834409E+21</v>
      </c>
      <c r="R695">
        <f t="shared" si="197"/>
        <v>6.8849999999998976</v>
      </c>
      <c r="S695">
        <f t="shared" si="198"/>
        <v>1.3181302528762236E-6</v>
      </c>
      <c r="T695">
        <f t="shared" si="204"/>
        <v>3.5026631643630043E-7</v>
      </c>
      <c r="U695" s="1">
        <f t="shared" si="199"/>
        <v>2.9047900394053639E-3</v>
      </c>
      <c r="V695">
        <f t="shared" si="200"/>
        <v>2.3850637954642842E+26</v>
      </c>
      <c r="W695">
        <f t="shared" si="205"/>
        <v>3.1438247438412626E+18</v>
      </c>
      <c r="Y695">
        <f t="shared" si="206"/>
        <v>6.8849999999998976</v>
      </c>
      <c r="Z695">
        <f t="shared" si="201"/>
        <v>1.7713727155629841</v>
      </c>
      <c r="AA695">
        <f t="shared" si="207"/>
        <v>4.2248369321625271E+24</v>
      </c>
      <c r="AB695">
        <f t="shared" si="208"/>
        <v>0.73654166843150493</v>
      </c>
      <c r="AC695" s="1">
        <f t="shared" si="202"/>
        <v>5.4866224521406192E-3</v>
      </c>
    </row>
    <row r="696" spans="9:29" x14ac:dyDescent="0.2">
      <c r="I696">
        <f t="shared" si="209"/>
        <v>6.8949999999998974</v>
      </c>
      <c r="J696">
        <f t="shared" si="191"/>
        <v>1.385018441337079E-5</v>
      </c>
      <c r="K696">
        <f t="shared" si="203"/>
        <v>4.9860663888134812E-6</v>
      </c>
      <c r="L696">
        <f t="shared" si="192"/>
        <v>3.4194444747441433E+21</v>
      </c>
      <c r="M696">
        <f t="shared" si="193"/>
        <v>5.3315528180139732E-3</v>
      </c>
      <c r="N696">
        <f t="shared" si="194"/>
        <v>5.3315528180139732E-3</v>
      </c>
      <c r="O696">
        <f t="shared" si="195"/>
        <v>178.17408986731954</v>
      </c>
      <c r="P696">
        <f t="shared" si="196"/>
        <v>3.4194444747441433E+21</v>
      </c>
      <c r="R696">
        <f t="shared" si="197"/>
        <v>6.8949999999998974</v>
      </c>
      <c r="S696">
        <f t="shared" si="198"/>
        <v>1.2910953821564957E-6</v>
      </c>
      <c r="T696">
        <f t="shared" si="204"/>
        <v>3.3708501390753818E-7</v>
      </c>
      <c r="U696" s="1">
        <f t="shared" si="199"/>
        <v>2.7954763129771458E-3</v>
      </c>
      <c r="V696">
        <f t="shared" si="200"/>
        <v>2.468880104905358E+26</v>
      </c>
      <c r="W696">
        <f t="shared" si="205"/>
        <v>3.1875597025413524E+18</v>
      </c>
      <c r="Y696">
        <f t="shared" si="206"/>
        <v>6.8949999999998974</v>
      </c>
      <c r="Z696">
        <f t="shared" si="201"/>
        <v>1.8207614478298459</v>
      </c>
      <c r="AA696">
        <f t="shared" si="207"/>
        <v>4.4952417143257813E+24</v>
      </c>
      <c r="AB696">
        <f t="shared" si="208"/>
        <v>0.71882794127587513</v>
      </c>
      <c r="AC696" s="1">
        <f t="shared" si="202"/>
        <v>5.3546699268610404E-3</v>
      </c>
    </row>
    <row r="697" spans="9:29" x14ac:dyDescent="0.2">
      <c r="I697">
        <f t="shared" si="209"/>
        <v>6.9049999999998972</v>
      </c>
      <c r="J697">
        <f t="shared" si="191"/>
        <v>1.385018441337079E-5</v>
      </c>
      <c r="K697">
        <f t="shared" si="203"/>
        <v>4.8475645446797737E-6</v>
      </c>
      <c r="L697">
        <f t="shared" si="192"/>
        <v>3.5396111624263377E+21</v>
      </c>
      <c r="M697">
        <f t="shared" si="193"/>
        <v>5.1834541286246965E-3</v>
      </c>
      <c r="N697">
        <f t="shared" si="194"/>
        <v>5.1834541286246965E-3</v>
      </c>
      <c r="O697">
        <f t="shared" si="195"/>
        <v>178.17408986731954</v>
      </c>
      <c r="P697">
        <f t="shared" si="196"/>
        <v>3.5396111624263377E+21</v>
      </c>
      <c r="R697">
        <f t="shared" si="197"/>
        <v>6.9049999999998972</v>
      </c>
      <c r="S697">
        <f t="shared" si="198"/>
        <v>1.2646149970297057E-6</v>
      </c>
      <c r="T697">
        <f t="shared" si="204"/>
        <v>3.2417406008597324E-7</v>
      </c>
      <c r="U697" s="1">
        <f t="shared" si="199"/>
        <v>2.688404612673001E-3</v>
      </c>
      <c r="V697">
        <f t="shared" si="200"/>
        <v>2.5556419010632394E+26</v>
      </c>
      <c r="W697">
        <f t="shared" si="205"/>
        <v>3.2319030751220803E+18</v>
      </c>
      <c r="Y697">
        <f t="shared" si="206"/>
        <v>6.9049999999998972</v>
      </c>
      <c r="Z697">
        <f t="shared" si="201"/>
        <v>1.8668542433279391</v>
      </c>
      <c r="AA697">
        <f t="shared" si="207"/>
        <v>4.7710109274265898E+24</v>
      </c>
      <c r="AB697">
        <f t="shared" si="208"/>
        <v>0.70062032679757669</v>
      </c>
      <c r="AC697" s="1">
        <f t="shared" si="202"/>
        <v>5.2190383520591827E-3</v>
      </c>
    </row>
    <row r="698" spans="9:29" x14ac:dyDescent="0.2">
      <c r="I698">
        <f t="shared" si="209"/>
        <v>6.914999999999897</v>
      </c>
      <c r="J698">
        <f t="shared" si="191"/>
        <v>1.385018441337079E-5</v>
      </c>
      <c r="K698">
        <f t="shared" si="203"/>
        <v>4.7090627005460662E-6</v>
      </c>
      <c r="L698">
        <f t="shared" si="192"/>
        <v>3.6640007678764154E+21</v>
      </c>
      <c r="M698">
        <f t="shared" si="193"/>
        <v>5.0353554392354198E-3</v>
      </c>
      <c r="N698">
        <f t="shared" si="194"/>
        <v>5.0353554392354198E-3</v>
      </c>
      <c r="O698">
        <f t="shared" si="195"/>
        <v>178.17408986731954</v>
      </c>
      <c r="P698">
        <f t="shared" si="196"/>
        <v>3.6640007678764154E+21</v>
      </c>
      <c r="R698">
        <f t="shared" si="197"/>
        <v>6.914999999999897</v>
      </c>
      <c r="S698">
        <f t="shared" si="198"/>
        <v>1.238677724988249E-6</v>
      </c>
      <c r="T698">
        <f t="shared" si="204"/>
        <v>3.1152791011567619E-7</v>
      </c>
      <c r="U698" s="1">
        <f t="shared" si="199"/>
        <v>2.583528954504409E-3</v>
      </c>
      <c r="V698">
        <f t="shared" si="200"/>
        <v>2.6454526947231372E+26</v>
      </c>
      <c r="W698">
        <f t="shared" si="205"/>
        <v>3.2768633254636887E+18</v>
      </c>
      <c r="Y698">
        <f t="shared" si="206"/>
        <v>6.914999999999897</v>
      </c>
      <c r="Z698">
        <f t="shared" si="201"/>
        <v>1.9093345754149553</v>
      </c>
      <c r="AA698">
        <f t="shared" si="207"/>
        <v>5.0510542976595503E+24</v>
      </c>
      <c r="AB698">
        <f t="shared" si="208"/>
        <v>0.68195178436429726</v>
      </c>
      <c r="AC698" s="1">
        <f t="shared" si="202"/>
        <v>5.0799732475942938E-3</v>
      </c>
    </row>
    <row r="699" spans="9:29" x14ac:dyDescent="0.2">
      <c r="I699">
        <f t="shared" si="209"/>
        <v>6.9249999999998968</v>
      </c>
      <c r="J699">
        <f t="shared" si="191"/>
        <v>1.385018441337079E-5</v>
      </c>
      <c r="K699">
        <f t="shared" si="203"/>
        <v>4.5705608564123587E-6</v>
      </c>
      <c r="L699">
        <f t="shared" si="192"/>
        <v>3.7927616935743445E+21</v>
      </c>
      <c r="M699">
        <f t="shared" si="193"/>
        <v>4.8872567498461431E-3</v>
      </c>
      <c r="N699">
        <f t="shared" si="194"/>
        <v>4.8872567498461431E-3</v>
      </c>
      <c r="O699">
        <f t="shared" si="195"/>
        <v>178.17408986731954</v>
      </c>
      <c r="P699">
        <f t="shared" si="196"/>
        <v>3.7927616935743445E+21</v>
      </c>
      <c r="R699">
        <f t="shared" si="197"/>
        <v>6.9249999999998968</v>
      </c>
      <c r="S699">
        <f t="shared" si="198"/>
        <v>1.2132724267748211E-6</v>
      </c>
      <c r="T699">
        <f t="shared" si="204"/>
        <v>2.9914113286579372E-7</v>
      </c>
      <c r="U699" s="1">
        <f t="shared" si="199"/>
        <v>2.4808042976151271E-3</v>
      </c>
      <c r="V699">
        <f t="shared" si="200"/>
        <v>2.7384196342633972E+26</v>
      </c>
      <c r="W699">
        <f t="shared" si="205"/>
        <v>3.3224490351905705E+18</v>
      </c>
      <c r="Y699">
        <f t="shared" si="206"/>
        <v>6.9249999999998968</v>
      </c>
      <c r="Z699">
        <f t="shared" si="201"/>
        <v>1.9479056923978035</v>
      </c>
      <c r="AA699">
        <f t="shared" si="207"/>
        <v>5.3341831937555825E+24</v>
      </c>
      <c r="AB699">
        <f t="shared" si="208"/>
        <v>0.6628584386101477</v>
      </c>
      <c r="AC699" s="1">
        <f t="shared" si="202"/>
        <v>4.9377437119262207E-3</v>
      </c>
    </row>
    <row r="700" spans="9:29" x14ac:dyDescent="0.2">
      <c r="I700">
        <f t="shared" si="209"/>
        <v>6.9349999999998966</v>
      </c>
      <c r="J700">
        <f t="shared" si="191"/>
        <v>1.385018441337079E-5</v>
      </c>
      <c r="K700">
        <f t="shared" si="203"/>
        <v>4.4320590122786512E-6</v>
      </c>
      <c r="L700">
        <f t="shared" si="192"/>
        <v>3.9260475571849637E+21</v>
      </c>
      <c r="M700">
        <f t="shared" si="193"/>
        <v>4.7391580604568663E-3</v>
      </c>
      <c r="N700">
        <f t="shared" si="194"/>
        <v>4.7391580604568663E-3</v>
      </c>
      <c r="O700">
        <f t="shared" si="195"/>
        <v>178.17408986731954</v>
      </c>
      <c r="P700">
        <f t="shared" si="196"/>
        <v>3.9260475571849637E+21</v>
      </c>
      <c r="R700">
        <f t="shared" si="197"/>
        <v>6.9349999999998966</v>
      </c>
      <c r="S700">
        <f t="shared" si="198"/>
        <v>1.1883881915984472E-6</v>
      </c>
      <c r="T700">
        <f t="shared" si="204"/>
        <v>2.8700840859804552E-7</v>
      </c>
      <c r="U700" s="1">
        <f t="shared" si="199"/>
        <v>2.3801865249375308E-3</v>
      </c>
      <c r="V700">
        <f t="shared" si="200"/>
        <v>2.8346536334886689E+26</v>
      </c>
      <c r="W700">
        <f t="shared" si="205"/>
        <v>3.3686689053095665E+18</v>
      </c>
      <c r="Y700">
        <f t="shared" si="206"/>
        <v>6.9349999999998966</v>
      </c>
      <c r="Z700">
        <f t="shared" si="201"/>
        <v>1.98229406263904</v>
      </c>
      <c r="AA700">
        <f t="shared" si="207"/>
        <v>5.6191170673027702E+24</v>
      </c>
      <c r="AB700">
        <f t="shared" si="208"/>
        <v>0.6433793816861697</v>
      </c>
      <c r="AC700" s="1">
        <f t="shared" si="202"/>
        <v>4.792640949046266E-3</v>
      </c>
    </row>
    <row r="701" spans="9:29" x14ac:dyDescent="0.2">
      <c r="I701">
        <f t="shared" si="209"/>
        <v>6.9449999999998964</v>
      </c>
      <c r="J701">
        <f t="shared" si="191"/>
        <v>1.385018441337079E-5</v>
      </c>
      <c r="K701">
        <f t="shared" si="203"/>
        <v>4.2935571681449438E-6</v>
      </c>
      <c r="L701">
        <f t="shared" si="192"/>
        <v>4.0640173748305878E+21</v>
      </c>
      <c r="M701">
        <f t="shared" si="193"/>
        <v>4.5910593710675896E-3</v>
      </c>
      <c r="N701">
        <f t="shared" si="194"/>
        <v>4.5910593710675896E-3</v>
      </c>
      <c r="O701">
        <f t="shared" si="195"/>
        <v>178.17408986731954</v>
      </c>
      <c r="P701">
        <f t="shared" si="196"/>
        <v>4.0640173748305878E+21</v>
      </c>
      <c r="R701">
        <f t="shared" si="197"/>
        <v>6.9449999999998964</v>
      </c>
      <c r="S701">
        <f t="shared" si="198"/>
        <v>1.1640143324486319E-6</v>
      </c>
      <c r="T701">
        <f t="shared" si="204"/>
        <v>2.7512452668206105E-7</v>
      </c>
      <c r="U701" s="1">
        <f t="shared" si="199"/>
        <v>2.2816324242456959E-3</v>
      </c>
      <c r="V701">
        <f t="shared" si="200"/>
        <v>2.9342695039549349E+26</v>
      </c>
      <c r="W701">
        <f t="shared" si="205"/>
        <v>3.4155317578704819E+18</v>
      </c>
      <c r="Y701">
        <f t="shared" si="206"/>
        <v>6.9449999999998964</v>
      </c>
      <c r="Z701">
        <f t="shared" si="201"/>
        <v>2.0122526008951112</v>
      </c>
      <c r="AA701">
        <f t="shared" si="207"/>
        <v>5.904491441060526E+24</v>
      </c>
      <c r="AB701">
        <f t="shared" si="208"/>
        <v>0.62355644105977925</v>
      </c>
      <c r="AC701" s="1">
        <f t="shared" si="202"/>
        <v>4.6449765387762878E-3</v>
      </c>
    </row>
    <row r="702" spans="9:29" x14ac:dyDescent="0.2">
      <c r="I702">
        <f t="shared" si="209"/>
        <v>6.9549999999998962</v>
      </c>
      <c r="J702">
        <f t="shared" si="191"/>
        <v>1.385018441337079E-5</v>
      </c>
      <c r="K702">
        <f t="shared" si="203"/>
        <v>4.1550553240112363E-6</v>
      </c>
      <c r="L702">
        <f t="shared" si="192"/>
        <v>4.2068357508046337E+21</v>
      </c>
      <c r="M702">
        <f t="shared" si="193"/>
        <v>4.4429606816783129E-3</v>
      </c>
      <c r="N702">
        <f t="shared" si="194"/>
        <v>4.4429606816783129E-3</v>
      </c>
      <c r="O702">
        <f t="shared" si="195"/>
        <v>178.17408986731954</v>
      </c>
      <c r="P702">
        <f t="shared" si="196"/>
        <v>4.2068357508046337E+21</v>
      </c>
      <c r="R702">
        <f t="shared" si="197"/>
        <v>6.9549999999998962</v>
      </c>
      <c r="S702">
        <f t="shared" si="198"/>
        <v>1.1401403815056278E-6</v>
      </c>
      <c r="T702">
        <f t="shared" si="204"/>
        <v>2.6348438335757474E-7</v>
      </c>
      <c r="U702" s="1">
        <f t="shared" si="199"/>
        <v>2.1850996695970833E-3</v>
      </c>
      <c r="V702">
        <f t="shared" si="200"/>
        <v>3.0373860919450344E+26</v>
      </c>
      <c r="W702">
        <f t="shared" si="205"/>
        <v>3.4630465376500992E+18</v>
      </c>
      <c r="Y702">
        <f t="shared" si="206"/>
        <v>6.9549999999998962</v>
      </c>
      <c r="Z702">
        <f t="shared" si="201"/>
        <v>2.037563622723038</v>
      </c>
      <c r="AA702">
        <f t="shared" si="207"/>
        <v>6.1888674091120958E+24</v>
      </c>
      <c r="AB702">
        <f t="shared" si="208"/>
        <v>0.60343391505082811</v>
      </c>
      <c r="AC702" s="1">
        <f t="shared" si="202"/>
        <v>4.4950804667324533E-3</v>
      </c>
    </row>
    <row r="703" spans="9:29" x14ac:dyDescent="0.2">
      <c r="I703">
        <f t="shared" si="209"/>
        <v>6.9649999999998959</v>
      </c>
      <c r="J703">
        <f t="shared" si="191"/>
        <v>1.385018441337079E-5</v>
      </c>
      <c r="K703">
        <f t="shared" si="203"/>
        <v>4.0165534798775288E-6</v>
      </c>
      <c r="L703">
        <f t="shared" si="192"/>
        <v>4.354673073952063E+21</v>
      </c>
      <c r="M703">
        <f t="shared" si="193"/>
        <v>4.2948619922890362E-3</v>
      </c>
      <c r="N703">
        <f t="shared" si="194"/>
        <v>4.2948619922890362E-3</v>
      </c>
      <c r="O703">
        <f t="shared" si="195"/>
        <v>178.17408986731954</v>
      </c>
      <c r="P703">
        <f t="shared" si="196"/>
        <v>4.354673073952063E+21</v>
      </c>
      <c r="R703">
        <f t="shared" si="197"/>
        <v>6.9649999999998959</v>
      </c>
      <c r="S703">
        <f t="shared" si="198"/>
        <v>1.1167560856448164E-6</v>
      </c>
      <c r="T703">
        <f t="shared" si="204"/>
        <v>2.5208297954251849E-7</v>
      </c>
      <c r="U703" s="1">
        <f t="shared" si="199"/>
        <v>2.0905468031548525E-3</v>
      </c>
      <c r="V703">
        <f t="shared" si="200"/>
        <v>3.1441264202577096E+26</v>
      </c>
      <c r="W703">
        <f t="shared" si="205"/>
        <v>3.5112223138594488E+18</v>
      </c>
      <c r="Y703">
        <f t="shared" si="206"/>
        <v>6.9649999999998959</v>
      </c>
      <c r="Z703">
        <f t="shared" si="201"/>
        <v>2.0580414775760802</v>
      </c>
      <c r="AA703">
        <f t="shared" si="207"/>
        <v>6.4707425836331687E+24</v>
      </c>
      <c r="AB703">
        <f t="shared" si="208"/>
        <v>0.58305827882359773</v>
      </c>
      <c r="AC703" s="1">
        <f t="shared" si="202"/>
        <v>4.3432989342102801E-3</v>
      </c>
    </row>
    <row r="704" spans="9:29" x14ac:dyDescent="0.2">
      <c r="I704">
        <f t="shared" si="209"/>
        <v>6.9749999999998957</v>
      </c>
      <c r="J704">
        <f t="shared" si="191"/>
        <v>1.385018441337079E-5</v>
      </c>
      <c r="K704">
        <f t="shared" si="203"/>
        <v>3.8780516357438213E-6</v>
      </c>
      <c r="L704">
        <f t="shared" si="192"/>
        <v>4.5077057209509358E+21</v>
      </c>
      <c r="M704">
        <f t="shared" si="193"/>
        <v>4.1467633028997595E-3</v>
      </c>
      <c r="N704">
        <f t="shared" si="194"/>
        <v>4.1467633028997595E-3</v>
      </c>
      <c r="O704">
        <f t="shared" si="195"/>
        <v>178.17408986731954</v>
      </c>
      <c r="P704">
        <f t="shared" si="196"/>
        <v>4.5077057209509358E+21</v>
      </c>
      <c r="R704">
        <f t="shared" si="197"/>
        <v>6.9749999999998957</v>
      </c>
      <c r="S704">
        <f t="shared" si="198"/>
        <v>1.093851402033318E-6</v>
      </c>
      <c r="T704">
        <f t="shared" si="204"/>
        <v>2.4091541868607034E-7</v>
      </c>
      <c r="U704" s="1">
        <f t="shared" si="199"/>
        <v>1.9979332173830008E-3</v>
      </c>
      <c r="V704">
        <f t="shared" si="200"/>
        <v>3.2546178349793337E+26</v>
      </c>
      <c r="W704">
        <f t="shared" si="205"/>
        <v>3.5600682818747858E+18</v>
      </c>
      <c r="Y704">
        <f t="shared" si="206"/>
        <v>6.9749999999998957</v>
      </c>
      <c r="Z704">
        <f t="shared" si="201"/>
        <v>2.0735348160522844</v>
      </c>
      <c r="AA704">
        <f t="shared" si="207"/>
        <v>6.7485633937743564E+24</v>
      </c>
      <c r="AB704">
        <f t="shared" si="208"/>
        <v>0.56247786404783695</v>
      </c>
      <c r="AC704" s="1">
        <f t="shared" si="202"/>
        <v>4.1899919719259647E-3</v>
      </c>
    </row>
    <row r="705" spans="9:29" x14ac:dyDescent="0.2">
      <c r="I705">
        <f t="shared" si="209"/>
        <v>6.9849999999998955</v>
      </c>
      <c r="J705">
        <f t="shared" si="191"/>
        <v>1.385018441337079E-5</v>
      </c>
      <c r="K705">
        <f t="shared" si="203"/>
        <v>3.7395497916101134E-6</v>
      </c>
      <c r="L705">
        <f t="shared" si="192"/>
        <v>4.6661162667379912E+21</v>
      </c>
      <c r="M705">
        <f t="shared" si="193"/>
        <v>3.9986646135104827E-3</v>
      </c>
      <c r="N705">
        <f t="shared" si="194"/>
        <v>3.9986646135104827E-3</v>
      </c>
      <c r="O705">
        <f t="shared" si="195"/>
        <v>178.17408986731954</v>
      </c>
      <c r="P705">
        <f t="shared" si="196"/>
        <v>4.6661162667379912E+21</v>
      </c>
      <c r="R705">
        <f t="shared" si="197"/>
        <v>6.9849999999998955</v>
      </c>
      <c r="S705">
        <f t="shared" si="198"/>
        <v>1.0714164938169004E-6</v>
      </c>
      <c r="T705">
        <f t="shared" si="204"/>
        <v>2.2997690466573716E-7</v>
      </c>
      <c r="U705" s="1">
        <f t="shared" si="199"/>
        <v>1.9072191376066825E-3</v>
      </c>
      <c r="V705">
        <f t="shared" si="200"/>
        <v>3.3689921574137182E+26</v>
      </c>
      <c r="W705">
        <f t="shared" si="205"/>
        <v>3.6095937649928412E+18</v>
      </c>
      <c r="Y705">
        <f t="shared" si="206"/>
        <v>6.9849999999998955</v>
      </c>
      <c r="Z705">
        <f t="shared" si="201"/>
        <v>2.0839284525704951</v>
      </c>
      <c r="AA705">
        <f t="shared" si="207"/>
        <v>7.0207386133213047E+24</v>
      </c>
      <c r="AB705">
        <f t="shared" si="208"/>
        <v>0.54174251588731415</v>
      </c>
      <c r="AC705" s="1">
        <f t="shared" si="202"/>
        <v>4.0355308848665609E-3</v>
      </c>
    </row>
    <row r="706" spans="9:29" x14ac:dyDescent="0.2">
      <c r="I706">
        <f t="shared" si="209"/>
        <v>6.9949999999998953</v>
      </c>
      <c r="J706">
        <f t="shared" si="191"/>
        <v>1.385018441337079E-5</v>
      </c>
      <c r="K706">
        <f t="shared" si="203"/>
        <v>3.6010479474764055E-6</v>
      </c>
      <c r="L706">
        <f t="shared" si="192"/>
        <v>4.8300937023288949E+21</v>
      </c>
      <c r="M706">
        <f t="shared" si="193"/>
        <v>3.8505659241212056E-3</v>
      </c>
      <c r="N706">
        <f t="shared" si="194"/>
        <v>3.8505659241212056E-3</v>
      </c>
      <c r="O706">
        <f t="shared" si="195"/>
        <v>178.17408986731954</v>
      </c>
      <c r="P706">
        <f t="shared" si="196"/>
        <v>4.8300937023288949E+21</v>
      </c>
      <c r="R706">
        <f t="shared" si="197"/>
        <v>6.9949999999998953</v>
      </c>
      <c r="S706">
        <f t="shared" si="198"/>
        <v>1.0494417258953538E-6</v>
      </c>
      <c r="T706">
        <f t="shared" si="204"/>
        <v>2.1926273972756816E-7</v>
      </c>
      <c r="U706" s="1">
        <f t="shared" si="199"/>
        <v>1.8183656049302126E-3</v>
      </c>
      <c r="V706">
        <f t="shared" si="200"/>
        <v>3.4873858413509531E+26</v>
      </c>
      <c r="W706">
        <f t="shared" si="205"/>
        <v>3.6598082162103649E+18</v>
      </c>
      <c r="Y706">
        <f t="shared" si="206"/>
        <v>6.9949999999998953</v>
      </c>
      <c r="Z706">
        <f t="shared" si="201"/>
        <v>2.0891447914086805</v>
      </c>
      <c r="AA706">
        <f t="shared" si="207"/>
        <v>7.2856539660907226E+24</v>
      </c>
      <c r="AB706">
        <f t="shared" si="208"/>
        <v>0.52090323136160921</v>
      </c>
      <c r="AC706" s="1">
        <f t="shared" si="202"/>
        <v>3.8802955583863018E-3</v>
      </c>
    </row>
    <row r="707" spans="9:29" x14ac:dyDescent="0.2">
      <c r="I707">
        <f t="shared" si="209"/>
        <v>7.0049999999998951</v>
      </c>
      <c r="J707">
        <f t="shared" si="191"/>
        <v>1.385018441337079E-5</v>
      </c>
      <c r="K707">
        <f t="shared" si="203"/>
        <v>3.4625461033426976E-6</v>
      </c>
      <c r="L707">
        <f t="shared" si="192"/>
        <v>4.9998336602929491E+21</v>
      </c>
      <c r="M707">
        <f t="shared" si="193"/>
        <v>3.7024672347319284E-3</v>
      </c>
      <c r="N707">
        <f t="shared" si="194"/>
        <v>3.7024672347319284E-3</v>
      </c>
      <c r="O707">
        <f t="shared" si="195"/>
        <v>178.17408986731954</v>
      </c>
      <c r="P707">
        <f t="shared" si="196"/>
        <v>4.9998336602929491E+21</v>
      </c>
      <c r="R707">
        <f t="shared" si="197"/>
        <v>7.0049999999998951</v>
      </c>
      <c r="S707">
        <f t="shared" si="198"/>
        <v>1.0279176607845207E-6</v>
      </c>
      <c r="T707">
        <f t="shared" si="204"/>
        <v>2.0876832246861464E-7</v>
      </c>
      <c r="U707" s="1">
        <f t="shared" si="199"/>
        <v>1.7313344595054261E-3</v>
      </c>
      <c r="V707">
        <f t="shared" si="200"/>
        <v>3.6099401358628652E+26</v>
      </c>
      <c r="W707">
        <f t="shared" si="205"/>
        <v>3.710721220028311E+18</v>
      </c>
      <c r="Y707">
        <f t="shared" si="206"/>
        <v>7.0049999999998951</v>
      </c>
      <c r="Z707">
        <f t="shared" si="201"/>
        <v>2.0891447914087351</v>
      </c>
      <c r="AA707">
        <f t="shared" si="207"/>
        <v>7.5416876321352469E+24</v>
      </c>
      <c r="AB707">
        <f t="shared" si="208"/>
        <v>0.5000117834475224</v>
      </c>
      <c r="AC707" s="1">
        <f t="shared" si="202"/>
        <v>3.7246716580749315E-3</v>
      </c>
    </row>
    <row r="708" spans="9:29" x14ac:dyDescent="0.2">
      <c r="I708">
        <f t="shared" si="209"/>
        <v>7.0149999999998949</v>
      </c>
      <c r="J708">
        <f t="shared" si="191"/>
        <v>1.385018441337079E-5</v>
      </c>
      <c r="K708">
        <f t="shared" si="203"/>
        <v>3.3240442592089897E-6</v>
      </c>
      <c r="L708">
        <f t="shared" si="192"/>
        <v>5.1755386481519572E+21</v>
      </c>
      <c r="M708">
        <f t="shared" si="193"/>
        <v>3.5543685453426508E-3</v>
      </c>
      <c r="N708">
        <f t="shared" si="194"/>
        <v>3.5543685453426508E-3</v>
      </c>
      <c r="O708">
        <f t="shared" si="195"/>
        <v>178.17408986731954</v>
      </c>
      <c r="P708">
        <f t="shared" si="196"/>
        <v>5.1755386481519572E+21</v>
      </c>
      <c r="R708">
        <f t="shared" si="197"/>
        <v>7.0149999999998949</v>
      </c>
      <c r="S708">
        <f t="shared" si="198"/>
        <v>1.006835054563175E-6</v>
      </c>
      <c r="T708">
        <f t="shared" si="204"/>
        <v>1.9848914586076943E-7</v>
      </c>
      <c r="U708" s="1">
        <f t="shared" si="199"/>
        <v>1.6460883241431999E-3</v>
      </c>
      <c r="V708">
        <f t="shared" si="200"/>
        <v>3.7368012538198108E+26</v>
      </c>
      <c r="W708">
        <f t="shared" si="205"/>
        <v>3.76234249428141E+18</v>
      </c>
      <c r="Y708">
        <f t="shared" si="206"/>
        <v>7.0149999999998949</v>
      </c>
      <c r="Z708">
        <f t="shared" si="201"/>
        <v>2.083928452570659</v>
      </c>
      <c r="AA708">
        <f t="shared" si="207"/>
        <v>7.7872264544368173E+24</v>
      </c>
      <c r="AB708">
        <f t="shared" si="208"/>
        <v>0.47912033553343503</v>
      </c>
      <c r="AC708" s="1">
        <f t="shared" si="202"/>
        <v>3.5690477577635569E-3</v>
      </c>
    </row>
    <row r="709" spans="9:29" x14ac:dyDescent="0.2">
      <c r="I709">
        <f t="shared" si="209"/>
        <v>7.0249999999998947</v>
      </c>
      <c r="J709">
        <f t="shared" si="191"/>
        <v>1.385018441337079E-5</v>
      </c>
      <c r="K709">
        <f t="shared" si="203"/>
        <v>3.1855424150752818E-6</v>
      </c>
      <c r="L709">
        <f t="shared" si="192"/>
        <v>5.357418289980698E+21</v>
      </c>
      <c r="M709">
        <f t="shared" si="193"/>
        <v>3.4062698559533741E-3</v>
      </c>
      <c r="N709">
        <f t="shared" si="194"/>
        <v>3.4062698559533741E-3</v>
      </c>
      <c r="O709">
        <f t="shared" si="195"/>
        <v>178.17408986731954</v>
      </c>
      <c r="P709">
        <f t="shared" si="196"/>
        <v>5.357418289980698E+21</v>
      </c>
      <c r="R709">
        <f t="shared" si="197"/>
        <v>7.0249999999998947</v>
      </c>
      <c r="S709">
        <f t="shared" si="198"/>
        <v>9.8618485290305177E-7</v>
      </c>
      <c r="T709">
        <f t="shared" si="204"/>
        <v>1.884207953151377E-7</v>
      </c>
      <c r="U709" s="1">
        <f t="shared" si="199"/>
        <v>1.5625905882611043E-3</v>
      </c>
      <c r="V709">
        <f t="shared" si="200"/>
        <v>3.868120546329127E+26</v>
      </c>
      <c r="W709">
        <f t="shared" si="205"/>
        <v>3.8146818919928622E+18</v>
      </c>
      <c r="Y709">
        <f t="shared" si="206"/>
        <v>7.0249999999998947</v>
      </c>
      <c r="Z709">
        <f t="shared" si="201"/>
        <v>2.0735348160525557</v>
      </c>
      <c r="AA709">
        <f t="shared" si="207"/>
        <v>8.0206826255016773E+24</v>
      </c>
      <c r="AB709">
        <f t="shared" si="208"/>
        <v>0.45828105100772842</v>
      </c>
      <c r="AC709" s="1">
        <f t="shared" si="202"/>
        <v>3.4138124312832851E-3</v>
      </c>
    </row>
    <row r="710" spans="9:29" x14ac:dyDescent="0.2">
      <c r="I710">
        <f t="shared" si="209"/>
        <v>7.0349999999998944</v>
      </c>
      <c r="J710">
        <f t="shared" si="191"/>
        <v>1.385018441337079E-5</v>
      </c>
      <c r="K710">
        <f t="shared" si="203"/>
        <v>3.0470405709415739E-6</v>
      </c>
      <c r="L710">
        <f t="shared" si="192"/>
        <v>5.5456895764982032E+21</v>
      </c>
      <c r="M710">
        <f t="shared" si="193"/>
        <v>3.258171166564097E-3</v>
      </c>
      <c r="N710">
        <f t="shared" si="194"/>
        <v>3.258171166564097E-3</v>
      </c>
      <c r="O710">
        <f t="shared" si="195"/>
        <v>178.17408986731954</v>
      </c>
      <c r="P710">
        <f t="shared" si="196"/>
        <v>5.5456895764982032E+21</v>
      </c>
      <c r="R710">
        <f t="shared" si="197"/>
        <v>7.0349999999998944</v>
      </c>
      <c r="S710">
        <f t="shared" si="198"/>
        <v>9.6595818718029053E-7</v>
      </c>
      <c r="T710">
        <f t="shared" si="204"/>
        <v>1.7855894678610718E-7</v>
      </c>
      <c r="U710" s="1">
        <f t="shared" si="199"/>
        <v>1.4808053921602914E-3</v>
      </c>
      <c r="V710">
        <f t="shared" si="200"/>
        <v>4.0040546833040474E+26</v>
      </c>
      <c r="W710">
        <f t="shared" si="205"/>
        <v>3.8677494032551301E+18</v>
      </c>
      <c r="Y710">
        <f t="shared" si="206"/>
        <v>7.0349999999998944</v>
      </c>
      <c r="Z710">
        <f t="shared" si="201"/>
        <v>2.0580414775764582</v>
      </c>
      <c r="AA710">
        <f t="shared" si="207"/>
        <v>8.2405106167239996E+24</v>
      </c>
      <c r="AB710">
        <f t="shared" si="208"/>
        <v>0.43754570284720284</v>
      </c>
      <c r="AC710" s="1">
        <f t="shared" si="202"/>
        <v>3.259351344223861E-3</v>
      </c>
    </row>
    <row r="711" spans="9:29" x14ac:dyDescent="0.2">
      <c r="I711">
        <f t="shared" si="209"/>
        <v>7.0449999999998942</v>
      </c>
      <c r="J711">
        <f t="shared" ref="J711:J774" si="210">IF($I711&gt;$B$23,0,1)*IF($I711&lt;($B$23-$B$21),$B$10*EXP(-$B$10*($I711-$B$8)),$B$10*EXP(-$B$10*($B$23-$B$20-$B$21-$B$8)))/(1-EXP(-$B$10*($B$23-$B$21-$B$8)))*(1/(1+$B$24))</f>
        <v>1.385018441337079E-5</v>
      </c>
      <c r="K711">
        <f t="shared" si="203"/>
        <v>2.908538726807866E-6</v>
      </c>
      <c r="L711">
        <f t="shared" ref="L711:L774" si="211">$V711*$J711</f>
        <v>5.7405771239474028E+21</v>
      </c>
      <c r="M711">
        <f t="shared" ref="M711:M774" si="212">$K711/$L$4*$B$18</f>
        <v>3.1100724771748198E-3</v>
      </c>
      <c r="N711">
        <f t="shared" ref="N711:N774" si="213">IF($I711&gt;$B$23,0,1)*IF($I711&lt;($B$23-$B$21),0,M711)</f>
        <v>3.1100724771748198E-3</v>
      </c>
      <c r="O711">
        <f t="shared" ref="O711:O774" si="214">IF($I711&gt;$B$23,0,1)*IF($I711&lt;($B$23-$B$33),0,1)*IF($I711&lt;($B$23-$B$21),$B$10*EXP(-$B$10*($I711-$B$8)),$B$10*EXP(-$B$10*($B$23-$B$20-$B$21-$B$8)))/(1-EXP(-$B$10*($B$23-$B$21-$B$8)))*(1/(1+$B$24))*($B$18/(SUM($L$7:$L$105)*0.05))</f>
        <v>178.17408986731954</v>
      </c>
      <c r="P711">
        <f t="shared" ref="P711:P774" si="215">IF($I711&gt;$B$23,0,1)*IF($I711&lt;($B$23-$B$21),0,1)*$L711</f>
        <v>5.7405771239474028E+21</v>
      </c>
      <c r="R711">
        <f t="shared" ref="R711:R774" si="216">$I711</f>
        <v>7.0449999999998942</v>
      </c>
      <c r="S711">
        <f t="shared" ref="S711:S774" si="217">IF($I711&lt;$B$23+0.01,$B$10*EXP(-$B$10*($I711-$B$8))/(1-EXP(-$B$10*($B$23-$B$8))),0)</f>
        <v>9.4614637066663515E-7</v>
      </c>
      <c r="T711">
        <f t="shared" si="204"/>
        <v>1.6889936491430428E-7</v>
      </c>
      <c r="U711" s="1">
        <f t="shared" ref="U711:U774" si="218">T711*$B$18/$W$4</f>
        <v>1.4006976116248582E-3</v>
      </c>
      <c r="V711">
        <f t="shared" ref="V711:V774" si="219">10^(1.5*$I711+16.05)</f>
        <v>4.1447658403779251E+26</v>
      </c>
      <c r="W711">
        <f t="shared" si="205"/>
        <v>3.9215551571366195E+18</v>
      </c>
      <c r="Y711">
        <f t="shared" si="206"/>
        <v>7.0449999999998942</v>
      </c>
      <c r="Z711">
        <f t="shared" ref="Z711:Z774" si="220">IF(AND($Y711&lt;$B$9+$B$27*$B$28,$Y711&gt;$B$9-$B$27*$B$28),NORMDIST($Y711,$B$9,$B$27,0) / (2*NORMDIST($B$28,0,1,1)-1),0)</f>
        <v>2.0375636227235185</v>
      </c>
      <c r="AA711">
        <f t="shared" si="207"/>
        <v>8.4452241010611335E+24</v>
      </c>
      <c r="AB711">
        <f t="shared" si="208"/>
        <v>0.41696528807143823</v>
      </c>
      <c r="AC711" s="1">
        <f t="shared" ref="AC711:AC774" si="221">$AB711*$B$18/$AA$4</f>
        <v>3.106044381939517E-3</v>
      </c>
    </row>
    <row r="712" spans="9:29" x14ac:dyDescent="0.2">
      <c r="I712">
        <f t="shared" si="209"/>
        <v>7.054999999999894</v>
      </c>
      <c r="J712">
        <f t="shared" si="210"/>
        <v>1.385018441337079E-5</v>
      </c>
      <c r="K712">
        <f t="shared" ref="K712:K775" si="222">$J712*K$4+K713</f>
        <v>2.7700368826741581E-6</v>
      </c>
      <c r="L712">
        <f t="shared" si="211"/>
        <v>5.9423134420727895E+21</v>
      </c>
      <c r="M712">
        <f t="shared" si="212"/>
        <v>2.9619737877855422E-3</v>
      </c>
      <c r="N712">
        <f t="shared" si="213"/>
        <v>2.9619737877855422E-3</v>
      </c>
      <c r="O712">
        <f t="shared" si="214"/>
        <v>178.17408986731954</v>
      </c>
      <c r="P712">
        <f t="shared" si="215"/>
        <v>5.9423134420727895E+21</v>
      </c>
      <c r="R712">
        <f t="shared" si="216"/>
        <v>7.054999999999894</v>
      </c>
      <c r="S712">
        <f t="shared" si="217"/>
        <v>9.2674089479875658E-7</v>
      </c>
      <c r="T712">
        <f t="shared" ref="T712:T775" si="223">T713+$S712*0.01</f>
        <v>1.5943790120763794E-7</v>
      </c>
      <c r="U712" s="1">
        <f t="shared" si="218"/>
        <v>1.3222328428370838E-3</v>
      </c>
      <c r="V712">
        <f t="shared" si="219"/>
        <v>4.2904218923873359E+26</v>
      </c>
      <c r="W712">
        <f t="shared" ref="W712:W775" si="224">$S712*$V712*0.01</f>
        <v>3.9761094236152141E+18</v>
      </c>
      <c r="Y712">
        <f t="shared" ref="Y712:Y775" si="225">I712</f>
        <v>7.054999999999894</v>
      </c>
      <c r="Z712">
        <f t="shared" si="220"/>
        <v>2.0122526008956911</v>
      </c>
      <c r="AA712">
        <f t="shared" ref="AA712:AA775" si="226">$V712*$Z712*$K$4</f>
        <v>8.6334126118962301E+24</v>
      </c>
      <c r="AB712">
        <f t="shared" ref="AB712:AB775" si="227">Z712*$K$4+AB713</f>
        <v>0.39658965184420303</v>
      </c>
      <c r="AC712" s="1">
        <f t="shared" si="221"/>
        <v>2.9542628494173082E-3</v>
      </c>
    </row>
    <row r="713" spans="9:29" x14ac:dyDescent="0.2">
      <c r="I713">
        <f t="shared" si="209"/>
        <v>7.0649999999998938</v>
      </c>
      <c r="J713">
        <f t="shared" si="210"/>
        <v>1.385018441337079E-5</v>
      </c>
      <c r="K713">
        <f t="shared" si="222"/>
        <v>2.6315350385404502E-6</v>
      </c>
      <c r="L713">
        <f t="shared" si="211"/>
        <v>6.1511392115149725E+21</v>
      </c>
      <c r="M713">
        <f t="shared" si="212"/>
        <v>2.8138750983962655E-3</v>
      </c>
      <c r="N713">
        <f t="shared" si="213"/>
        <v>2.8138750983962655E-3</v>
      </c>
      <c r="O713">
        <f t="shared" si="214"/>
        <v>178.17408986731954</v>
      </c>
      <c r="P713">
        <f t="shared" si="215"/>
        <v>6.1511392115149725E+21</v>
      </c>
      <c r="R713">
        <f t="shared" si="216"/>
        <v>7.0649999999998938</v>
      </c>
      <c r="S713">
        <f t="shared" si="217"/>
        <v>9.0773342552407922E-7</v>
      </c>
      <c r="T713">
        <f t="shared" si="223"/>
        <v>1.5017049225965037E-7</v>
      </c>
      <c r="U713" s="1">
        <f t="shared" si="218"/>
        <v>1.2453773876020496E-3</v>
      </c>
      <c r="V713">
        <f t="shared" si="219"/>
        <v>4.4411966136542854E+26</v>
      </c>
      <c r="W713">
        <f t="shared" si="224"/>
        <v>4.031422615538345E+18</v>
      </c>
      <c r="Y713">
        <f t="shared" si="225"/>
        <v>7.0649999999998938</v>
      </c>
      <c r="Z713">
        <f t="shared" si="220"/>
        <v>1.9822940626397152</v>
      </c>
      <c r="AA713">
        <f t="shared" si="226"/>
        <v>8.8037576782624989E+24</v>
      </c>
      <c r="AB713">
        <f t="shared" si="227"/>
        <v>0.37646712583524611</v>
      </c>
      <c r="AC713" s="1">
        <f t="shared" si="221"/>
        <v>2.8043667773734304E-3</v>
      </c>
    </row>
    <row r="714" spans="9:29" x14ac:dyDescent="0.2">
      <c r="I714">
        <f t="shared" si="209"/>
        <v>7.0749999999998936</v>
      </c>
      <c r="J714">
        <f t="shared" si="210"/>
        <v>1.385018441337079E-5</v>
      </c>
      <c r="K714">
        <f t="shared" si="222"/>
        <v>2.4930331944067423E-6</v>
      </c>
      <c r="L714">
        <f t="shared" si="211"/>
        <v>6.3673035709538778E+21</v>
      </c>
      <c r="M714">
        <f t="shared" si="212"/>
        <v>2.6657764090069883E-3</v>
      </c>
      <c r="N714">
        <f t="shared" si="213"/>
        <v>2.6657764090069883E-3</v>
      </c>
      <c r="O714">
        <f t="shared" si="214"/>
        <v>178.17408986731954</v>
      </c>
      <c r="P714">
        <f t="shared" si="215"/>
        <v>6.3673035709538778E+21</v>
      </c>
      <c r="R714">
        <f t="shared" si="216"/>
        <v>7.0749999999998936</v>
      </c>
      <c r="S714">
        <f t="shared" si="217"/>
        <v>8.8911579972156939E-7</v>
      </c>
      <c r="T714">
        <f t="shared" si="223"/>
        <v>1.4109315800440957E-7</v>
      </c>
      <c r="U714" s="1">
        <f t="shared" si="218"/>
        <v>1.170098238875307E-3</v>
      </c>
      <c r="V714">
        <f t="shared" si="219"/>
        <v>4.5972698853070609E+26</v>
      </c>
      <c r="W714">
        <f t="shared" si="224"/>
        <v>4.0875052906106752E+18</v>
      </c>
      <c r="Y714">
        <f t="shared" si="225"/>
        <v>7.0749999999998936</v>
      </c>
      <c r="Z714">
        <f t="shared" si="220"/>
        <v>1.9479056923985691</v>
      </c>
      <c r="AA714">
        <f t="shared" si="226"/>
        <v>8.9550481790821418E+24</v>
      </c>
      <c r="AB714">
        <f t="shared" si="227"/>
        <v>0.35664418520884894</v>
      </c>
      <c r="AC714" s="1">
        <f t="shared" si="221"/>
        <v>2.6567023671034019E-3</v>
      </c>
    </row>
    <row r="715" spans="9:29" x14ac:dyDescent="0.2">
      <c r="I715">
        <f t="shared" si="209"/>
        <v>7.0849999999998934</v>
      </c>
      <c r="J715">
        <f t="shared" si="210"/>
        <v>1.385018441337079E-5</v>
      </c>
      <c r="K715">
        <f t="shared" si="222"/>
        <v>2.3545313502730344E-6</v>
      </c>
      <c r="L715">
        <f t="shared" si="211"/>
        <v>6.5910644143422723E+21</v>
      </c>
      <c r="M715">
        <f t="shared" si="212"/>
        <v>2.5176777196177112E-3</v>
      </c>
      <c r="N715">
        <f t="shared" si="213"/>
        <v>2.5176777196177112E-3</v>
      </c>
      <c r="O715">
        <f t="shared" si="214"/>
        <v>178.17408986731954</v>
      </c>
      <c r="P715">
        <f t="shared" si="215"/>
        <v>6.5910644143422723E+21</v>
      </c>
      <c r="R715">
        <f t="shared" si="216"/>
        <v>7.0849999999998934</v>
      </c>
      <c r="S715">
        <f t="shared" si="217"/>
        <v>8.7088002169592433E-7</v>
      </c>
      <c r="T715">
        <f t="shared" si="223"/>
        <v>1.3220200000719389E-7</v>
      </c>
      <c r="U715" s="1">
        <f t="shared" si="218"/>
        <v>1.0963630665873703E-3</v>
      </c>
      <c r="V715">
        <f t="shared" si="219"/>
        <v>4.7588279098864151E+26</v>
      </c>
      <c r="W715">
        <f t="shared" si="224"/>
        <v>4.1443681534090516E+18</v>
      </c>
      <c r="Y715">
        <f t="shared" si="225"/>
        <v>7.0849999999998934</v>
      </c>
      <c r="Z715">
        <f t="shared" si="220"/>
        <v>1.9093345754158058</v>
      </c>
      <c r="AA715">
        <f t="shared" si="226"/>
        <v>9.0861946667998648E+24</v>
      </c>
      <c r="AB715">
        <f t="shared" si="227"/>
        <v>0.33716512828486322</v>
      </c>
      <c r="AC715" s="1">
        <f t="shared" si="221"/>
        <v>2.5115996042233898E-3</v>
      </c>
    </row>
    <row r="716" spans="9:29" x14ac:dyDescent="0.2">
      <c r="I716">
        <f t="shared" si="209"/>
        <v>7.0949999999998932</v>
      </c>
      <c r="J716">
        <f t="shared" si="210"/>
        <v>1.385018441337079E-5</v>
      </c>
      <c r="K716">
        <f t="shared" si="222"/>
        <v>2.2160295061393265E-6</v>
      </c>
      <c r="L716">
        <f t="shared" si="211"/>
        <v>6.8226886985854275E+21</v>
      </c>
      <c r="M716">
        <f t="shared" si="212"/>
        <v>2.369579030228434E-3</v>
      </c>
      <c r="N716">
        <f t="shared" si="213"/>
        <v>2.369579030228434E-3</v>
      </c>
      <c r="O716">
        <f t="shared" si="214"/>
        <v>178.17408986731954</v>
      </c>
      <c r="P716">
        <f t="shared" si="215"/>
        <v>6.8226886985854275E+21</v>
      </c>
      <c r="R716">
        <f t="shared" si="216"/>
        <v>7.0949999999998932</v>
      </c>
      <c r="S716">
        <f t="shared" si="217"/>
        <v>8.5301825974366738E-7</v>
      </c>
      <c r="T716">
        <f t="shared" si="223"/>
        <v>1.2349319979023464E-7</v>
      </c>
      <c r="U716" s="1">
        <f t="shared" si="218"/>
        <v>1.0241402037589518E-3</v>
      </c>
      <c r="V716">
        <f t="shared" si="219"/>
        <v>4.9260634334939911E+26</v>
      </c>
      <c r="W716">
        <f t="shared" si="224"/>
        <v>4.2020220574259589E+18</v>
      </c>
      <c r="Y716">
        <f t="shared" si="225"/>
        <v>7.0949999999998932</v>
      </c>
      <c r="Z716">
        <f t="shared" si="220"/>
        <v>1.8668542433288682</v>
      </c>
      <c r="AA716">
        <f t="shared" si="226"/>
        <v>9.1962424237254302E+24</v>
      </c>
      <c r="AB716">
        <f t="shared" si="227"/>
        <v>0.31807178253070517</v>
      </c>
      <c r="AC716" s="1">
        <f t="shared" si="221"/>
        <v>2.3693700685552535E-3</v>
      </c>
    </row>
    <row r="717" spans="9:29" x14ac:dyDescent="0.2">
      <c r="I717">
        <f t="shared" si="209"/>
        <v>7.104999999999893</v>
      </c>
      <c r="J717">
        <f t="shared" si="210"/>
        <v>1.385018441337079E-5</v>
      </c>
      <c r="K717">
        <f t="shared" si="222"/>
        <v>2.0775276620056186E-6</v>
      </c>
      <c r="L717">
        <f t="shared" si="211"/>
        <v>7.0624527620323913E+21</v>
      </c>
      <c r="M717">
        <f t="shared" si="212"/>
        <v>2.2214803408391573E-3</v>
      </c>
      <c r="N717">
        <f t="shared" si="213"/>
        <v>2.2214803408391573E-3</v>
      </c>
      <c r="O717">
        <f t="shared" si="214"/>
        <v>178.17408986731954</v>
      </c>
      <c r="P717">
        <f t="shared" si="215"/>
        <v>7.0624527620323913E+21</v>
      </c>
      <c r="R717">
        <f t="shared" si="216"/>
        <v>7.104999999999893</v>
      </c>
      <c r="S717">
        <f t="shared" si="217"/>
        <v>8.3552284278967923E-7</v>
      </c>
      <c r="T717">
        <f t="shared" si="223"/>
        <v>1.1496301719279796E-7</v>
      </c>
      <c r="U717" s="1">
        <f t="shared" si="218"/>
        <v>9.533986329009692E-4</v>
      </c>
      <c r="V717">
        <f t="shared" si="219"/>
        <v>5.0991759757468571E+26</v>
      </c>
      <c r="W717">
        <f t="shared" si="224"/>
        <v>4.2604780071408507E+18</v>
      </c>
      <c r="Y717">
        <f t="shared" si="225"/>
        <v>7.104999999999893</v>
      </c>
      <c r="Z717">
        <f t="shared" si="220"/>
        <v>1.8207614478308478</v>
      </c>
      <c r="AA717">
        <f t="shared" si="226"/>
        <v>9.2843830323451246E+24</v>
      </c>
      <c r="AB717">
        <f t="shared" si="227"/>
        <v>0.29940324009741648</v>
      </c>
      <c r="AC717" s="1">
        <f t="shared" si="221"/>
        <v>2.2303049640902952E-3</v>
      </c>
    </row>
    <row r="718" spans="9:29" x14ac:dyDescent="0.2">
      <c r="I718">
        <f t="shared" si="209"/>
        <v>7.1149999999998927</v>
      </c>
      <c r="J718">
        <f t="shared" si="210"/>
        <v>1.385018441337079E-5</v>
      </c>
      <c r="K718">
        <f t="shared" si="222"/>
        <v>1.9390258178719107E-6</v>
      </c>
      <c r="L718">
        <f t="shared" si="211"/>
        <v>7.3106426541607234E+21</v>
      </c>
      <c r="M718">
        <f t="shared" si="212"/>
        <v>2.0733816514498797E-3</v>
      </c>
      <c r="N718">
        <f t="shared" si="213"/>
        <v>2.0733816514498797E-3</v>
      </c>
      <c r="O718">
        <f t="shared" si="214"/>
        <v>178.17408986731954</v>
      </c>
      <c r="P718">
        <f t="shared" si="215"/>
        <v>7.3106426541607234E+21</v>
      </c>
      <c r="R718">
        <f t="shared" si="216"/>
        <v>7.1149999999998927</v>
      </c>
      <c r="S718">
        <f t="shared" si="217"/>
        <v>8.1838625709269811E-7</v>
      </c>
      <c r="T718">
        <f t="shared" si="223"/>
        <v>1.0660778876490117E-7</v>
      </c>
      <c r="U718" s="1">
        <f t="shared" si="218"/>
        <v>8.841079726934956E-4</v>
      </c>
      <c r="V718">
        <f t="shared" si="219"/>
        <v>5.2783720678138574E+26</v>
      </c>
      <c r="W718">
        <f t="shared" si="224"/>
        <v>4.3197471601208284E+18</v>
      </c>
      <c r="Y718">
        <f t="shared" si="225"/>
        <v>7.1149999999998927</v>
      </c>
      <c r="Z718">
        <f t="shared" si="220"/>
        <v>1.771372715564052</v>
      </c>
      <c r="AA718">
        <f t="shared" si="226"/>
        <v>9.3499642635208731E+24</v>
      </c>
      <c r="AB718">
        <f t="shared" si="227"/>
        <v>0.28119562561910799</v>
      </c>
      <c r="AC718" s="1">
        <f t="shared" si="221"/>
        <v>2.0946733892883629E-3</v>
      </c>
    </row>
    <row r="719" spans="9:29" x14ac:dyDescent="0.2">
      <c r="I719">
        <f t="shared" si="209"/>
        <v>7.1249999999998925</v>
      </c>
      <c r="J719">
        <f t="shared" si="210"/>
        <v>1.385018441337079E-5</v>
      </c>
      <c r="K719">
        <f t="shared" si="222"/>
        <v>1.8005239737382028E-6</v>
      </c>
      <c r="L719">
        <f t="shared" si="211"/>
        <v>7.5675544768463598E+21</v>
      </c>
      <c r="M719">
        <f t="shared" si="212"/>
        <v>1.9252829620606028E-3</v>
      </c>
      <c r="N719">
        <f t="shared" si="213"/>
        <v>1.9252829620606028E-3</v>
      </c>
      <c r="O719">
        <f t="shared" si="214"/>
        <v>178.17408986731954</v>
      </c>
      <c r="P719">
        <f t="shared" si="215"/>
        <v>7.5675544768463598E+21</v>
      </c>
      <c r="R719">
        <f t="shared" si="216"/>
        <v>7.1249999999998925</v>
      </c>
      <c r="S719">
        <f t="shared" si="217"/>
        <v>8.0160114301840719E-7</v>
      </c>
      <c r="T719">
        <f t="shared" si="223"/>
        <v>9.8423926193974189E-8</v>
      </c>
      <c r="U719" s="1">
        <f t="shared" si="218"/>
        <v>8.1623846493791797E-4</v>
      </c>
      <c r="V719">
        <f t="shared" si="219"/>
        <v>5.4638654988165645E+26</v>
      </c>
      <c r="W719">
        <f t="shared" si="224"/>
        <v>4.3798408291501978E+18</v>
      </c>
      <c r="Y719">
        <f t="shared" si="225"/>
        <v>7.1249999999998925</v>
      </c>
      <c r="Z719">
        <f t="shared" si="220"/>
        <v>1.7190207400688733</v>
      </c>
      <c r="AA719">
        <f t="shared" si="226"/>
        <v>9.3924981134124343E+24</v>
      </c>
      <c r="AB719">
        <f t="shared" si="227"/>
        <v>0.26348189846346748</v>
      </c>
      <c r="AC719" s="1">
        <f t="shared" si="221"/>
        <v>1.9627208640087038E-3</v>
      </c>
    </row>
    <row r="720" spans="9:29" x14ac:dyDescent="0.2">
      <c r="I720">
        <f t="shared" si="209"/>
        <v>7.1349999999998923</v>
      </c>
      <c r="J720">
        <f t="shared" si="210"/>
        <v>1.385018441337079E-5</v>
      </c>
      <c r="K720">
        <f t="shared" si="222"/>
        <v>1.6620221296044949E-6</v>
      </c>
      <c r="L720">
        <f t="shared" si="211"/>
        <v>7.8334947376267075E+21</v>
      </c>
      <c r="M720">
        <f t="shared" si="212"/>
        <v>1.7771842726713254E-3</v>
      </c>
      <c r="N720">
        <f t="shared" si="213"/>
        <v>1.7771842726713254E-3</v>
      </c>
      <c r="O720">
        <f t="shared" si="214"/>
        <v>178.17408986731954</v>
      </c>
      <c r="P720">
        <f t="shared" si="215"/>
        <v>7.8334947376267075E+21</v>
      </c>
      <c r="R720">
        <f t="shared" si="216"/>
        <v>7.1349999999998923</v>
      </c>
      <c r="S720">
        <f t="shared" si="217"/>
        <v>7.851602918786967E-7</v>
      </c>
      <c r="T720">
        <f t="shared" si="223"/>
        <v>9.0407914763790113E-8</v>
      </c>
      <c r="U720" s="1">
        <f t="shared" si="218"/>
        <v>7.4976096177671169E-4</v>
      </c>
      <c r="V720">
        <f t="shared" si="219"/>
        <v>5.6558775708894908E+26</v>
      </c>
      <c r="W720">
        <f t="shared" si="224"/>
        <v>4.4407704843897667E+18</v>
      </c>
      <c r="Y720">
        <f t="shared" si="225"/>
        <v>7.1349999999998923</v>
      </c>
      <c r="Z720">
        <f t="shared" si="220"/>
        <v>1.6640506681123415</v>
      </c>
      <c r="AA720">
        <f t="shared" si="226"/>
        <v>9.411666850600265E+24</v>
      </c>
      <c r="AB720">
        <f t="shared" si="227"/>
        <v>0.24629169106277876</v>
      </c>
      <c r="AC720" s="1">
        <f t="shared" si="221"/>
        <v>1.8346681252106093E-3</v>
      </c>
    </row>
    <row r="721" spans="9:29" x14ac:dyDescent="0.2">
      <c r="I721">
        <f t="shared" si="209"/>
        <v>7.1449999999998921</v>
      </c>
      <c r="J721">
        <f t="shared" si="210"/>
        <v>1.385018441337079E-5</v>
      </c>
      <c r="K721">
        <f t="shared" si="222"/>
        <v>1.5235202854707869E-6</v>
      </c>
      <c r="L721">
        <f t="shared" si="211"/>
        <v>8.1087807153780902E+21</v>
      </c>
      <c r="M721">
        <f t="shared" si="212"/>
        <v>1.6290855832820485E-3</v>
      </c>
      <c r="N721">
        <f t="shared" si="213"/>
        <v>1.6290855832820485E-3</v>
      </c>
      <c r="O721">
        <f t="shared" si="214"/>
        <v>178.17408986731954</v>
      </c>
      <c r="P721">
        <f t="shared" si="215"/>
        <v>8.1087807153780902E+21</v>
      </c>
      <c r="R721">
        <f t="shared" si="216"/>
        <v>7.1449999999998921</v>
      </c>
      <c r="S721">
        <f t="shared" si="217"/>
        <v>7.6905664283575357E-7</v>
      </c>
      <c r="T721">
        <f t="shared" si="223"/>
        <v>8.2556311845003143E-8</v>
      </c>
      <c r="U721" s="1">
        <f t="shared" si="218"/>
        <v>6.8464691317533495E-4</v>
      </c>
      <c r="V721">
        <f t="shared" si="219"/>
        <v>5.8546373632036098E+26</v>
      </c>
      <c r="W721">
        <f t="shared" si="224"/>
        <v>4.5025477555661368E+18</v>
      </c>
      <c r="Y721">
        <f t="shared" si="225"/>
        <v>7.1449999999998921</v>
      </c>
      <c r="Z721">
        <f t="shared" si="220"/>
        <v>1.6068163380563434</v>
      </c>
      <c r="AA721">
        <f t="shared" si="226"/>
        <v>9.4073269685906705E+24</v>
      </c>
      <c r="AB721">
        <f t="shared" si="227"/>
        <v>0.22965118438165535</v>
      </c>
      <c r="AC721" s="1">
        <f t="shared" si="221"/>
        <v>1.7107101992916653E-3</v>
      </c>
    </row>
    <row r="722" spans="9:29" x14ac:dyDescent="0.2">
      <c r="I722">
        <f t="shared" si="209"/>
        <v>7.1549999999998919</v>
      </c>
      <c r="J722">
        <f t="shared" si="210"/>
        <v>1.385018441337079E-5</v>
      </c>
      <c r="K722">
        <f t="shared" si="222"/>
        <v>1.385018441337079E-6</v>
      </c>
      <c r="L722">
        <f t="shared" si="211"/>
        <v>8.3937408388442138E+21</v>
      </c>
      <c r="M722">
        <f t="shared" si="212"/>
        <v>1.4809868938927711E-3</v>
      </c>
      <c r="N722">
        <f t="shared" si="213"/>
        <v>1.4809868938927711E-3</v>
      </c>
      <c r="O722">
        <f t="shared" si="214"/>
        <v>178.17408986731954</v>
      </c>
      <c r="P722">
        <f t="shared" si="215"/>
        <v>8.3937408388442138E+21</v>
      </c>
      <c r="R722">
        <f t="shared" si="216"/>
        <v>7.1549999999998919</v>
      </c>
      <c r="S722">
        <f t="shared" si="217"/>
        <v>7.5328327986965578E-7</v>
      </c>
      <c r="T722">
        <f t="shared" si="223"/>
        <v>7.4865745416645612E-8</v>
      </c>
      <c r="U722" s="1">
        <f t="shared" si="218"/>
        <v>6.2086835466087132E-4</v>
      </c>
      <c r="V722">
        <f t="shared" si="219"/>
        <v>6.0603820052684668E+26</v>
      </c>
      <c r="W722">
        <f t="shared" si="224"/>
        <v>4.5651844341916723E+18</v>
      </c>
      <c r="Y722">
        <f t="shared" si="225"/>
        <v>7.1549999999998919</v>
      </c>
      <c r="Z722">
        <f t="shared" si="220"/>
        <v>1.547676527118526</v>
      </c>
      <c r="AA722">
        <f t="shared" si="226"/>
        <v>9.3795109749255101E+24</v>
      </c>
      <c r="AB722">
        <f t="shared" si="227"/>
        <v>0.21358302100109192</v>
      </c>
      <c r="AC722" s="1">
        <f t="shared" si="221"/>
        <v>1.5910157546362757E-3</v>
      </c>
    </row>
    <row r="723" spans="9:29" x14ac:dyDescent="0.2">
      <c r="I723">
        <f t="shared" si="209"/>
        <v>7.1649999999998917</v>
      </c>
      <c r="J723">
        <f t="shared" si="210"/>
        <v>1.385018441337079E-5</v>
      </c>
      <c r="K723">
        <f t="shared" si="222"/>
        <v>1.2465165972033711E-6</v>
      </c>
      <c r="L723">
        <f t="shared" si="211"/>
        <v>8.6887150784660279E+21</v>
      </c>
      <c r="M723">
        <f t="shared" si="212"/>
        <v>1.3328882045034942E-3</v>
      </c>
      <c r="N723">
        <f t="shared" si="213"/>
        <v>1.3328882045034942E-3</v>
      </c>
      <c r="O723">
        <f t="shared" si="214"/>
        <v>178.17408986731954</v>
      </c>
      <c r="P723">
        <f t="shared" si="215"/>
        <v>8.6887150784660279E+21</v>
      </c>
      <c r="R723">
        <f t="shared" si="216"/>
        <v>7.1649999999998917</v>
      </c>
      <c r="S723">
        <f t="shared" si="217"/>
        <v>7.378334288081466E-7</v>
      </c>
      <c r="T723">
        <f t="shared" si="223"/>
        <v>6.7332912617949058E-8</v>
      </c>
      <c r="U723" s="1">
        <f t="shared" si="218"/>
        <v>5.5839789531215132E-4</v>
      </c>
      <c r="V723">
        <f t="shared" si="219"/>
        <v>6.2733569598380612E+26</v>
      </c>
      <c r="W723">
        <f t="shared" si="224"/>
        <v>4.6286924758147666E+18</v>
      </c>
      <c r="Y723">
        <f t="shared" si="225"/>
        <v>7.1649999999998917</v>
      </c>
      <c r="Z723">
        <f t="shared" si="220"/>
        <v>1.4869912624794654</v>
      </c>
      <c r="AA723">
        <f t="shared" si="226"/>
        <v>9.3284269856939402E+24</v>
      </c>
      <c r="AB723">
        <f t="shared" si="227"/>
        <v>0.19810625572990664</v>
      </c>
      <c r="AC723" s="1">
        <f t="shared" si="221"/>
        <v>1.4757267337120075E-3</v>
      </c>
    </row>
    <row r="724" spans="9:29" x14ac:dyDescent="0.2">
      <c r="I724">
        <f t="shared" si="209"/>
        <v>7.1749999999998915</v>
      </c>
      <c r="J724">
        <f t="shared" si="210"/>
        <v>1.385018441337079E-5</v>
      </c>
      <c r="K724">
        <f t="shared" si="222"/>
        <v>1.1080147530696632E-6</v>
      </c>
      <c r="L724">
        <f t="shared" si="211"/>
        <v>8.9940553519828094E+21</v>
      </c>
      <c r="M724">
        <f t="shared" si="212"/>
        <v>1.184789515114217E-3</v>
      </c>
      <c r="N724">
        <f t="shared" si="213"/>
        <v>1.184789515114217E-3</v>
      </c>
      <c r="O724">
        <f t="shared" si="214"/>
        <v>178.17408986731954</v>
      </c>
      <c r="P724">
        <f t="shared" si="215"/>
        <v>8.9940553519828094E+21</v>
      </c>
      <c r="R724">
        <f t="shared" si="216"/>
        <v>7.1749999999998915</v>
      </c>
      <c r="S724">
        <f t="shared" si="217"/>
        <v>7.2270045441734228E-7</v>
      </c>
      <c r="T724">
        <f t="shared" si="223"/>
        <v>5.9954578329867586E-8</v>
      </c>
      <c r="U724" s="1">
        <f t="shared" si="218"/>
        <v>4.9720870599619874E-4</v>
      </c>
      <c r="V724">
        <f t="shared" si="219"/>
        <v>6.4938163157597122E+26</v>
      </c>
      <c r="W724">
        <f t="shared" si="224"/>
        <v>4.693084002302295E+18</v>
      </c>
      <c r="Y724">
        <f t="shared" si="225"/>
        <v>7.1749999999998915</v>
      </c>
      <c r="Z724">
        <f t="shared" si="220"/>
        <v>1.4251182482733156</v>
      </c>
      <c r="AA724">
        <f t="shared" si="226"/>
        <v>9.2544561325241571E+24</v>
      </c>
      <c r="AB724">
        <f t="shared" si="227"/>
        <v>0.183236343105112</v>
      </c>
      <c r="AC724" s="1">
        <f t="shared" si="221"/>
        <v>1.3649582599577562E-3</v>
      </c>
    </row>
    <row r="725" spans="9:29" x14ac:dyDescent="0.2">
      <c r="I725">
        <f t="shared" si="209"/>
        <v>7.1849999999998913</v>
      </c>
      <c r="J725">
        <f t="shared" si="210"/>
        <v>1.385018441337079E-5</v>
      </c>
      <c r="K725">
        <f t="shared" si="222"/>
        <v>9.6951290893595533E-7</v>
      </c>
      <c r="L725">
        <f t="shared" si="211"/>
        <v>9.3101259442854319E+21</v>
      </c>
      <c r="M725">
        <f t="shared" si="212"/>
        <v>1.0366908257249399E-3</v>
      </c>
      <c r="N725">
        <f t="shared" si="213"/>
        <v>1.0366908257249399E-3</v>
      </c>
      <c r="O725">
        <f t="shared" si="214"/>
        <v>178.17408986731954</v>
      </c>
      <c r="P725">
        <f t="shared" si="215"/>
        <v>9.3101259442854319E+21</v>
      </c>
      <c r="R725">
        <f t="shared" si="216"/>
        <v>7.1849999999998913</v>
      </c>
      <c r="S725">
        <f t="shared" si="217"/>
        <v>7.0787785755210324E-7</v>
      </c>
      <c r="T725">
        <f t="shared" si="223"/>
        <v>5.2727573785694163E-8</v>
      </c>
      <c r="U725" s="1">
        <f t="shared" si="218"/>
        <v>4.3727450784594631E-4</v>
      </c>
      <c r="V725">
        <f t="shared" si="219"/>
        <v>6.7220230911131812E+26</v>
      </c>
      <c r="W725">
        <f t="shared" si="224"/>
        <v>4.7583713041529651E+18</v>
      </c>
      <c r="Y725">
        <f t="shared" si="225"/>
        <v>7.1849999999998913</v>
      </c>
      <c r="Z725">
        <f t="shared" si="220"/>
        <v>1.3624094566637264</v>
      </c>
      <c r="AA725">
        <f t="shared" si="226"/>
        <v>9.1581478272445319E+24</v>
      </c>
      <c r="AB725">
        <f t="shared" si="227"/>
        <v>0.16898516062237884</v>
      </c>
      <c r="AC725" s="1">
        <f t="shared" si="221"/>
        <v>1.2587988108313714E-3</v>
      </c>
    </row>
    <row r="726" spans="9:29" x14ac:dyDescent="0.2">
      <c r="I726">
        <f t="shared" si="209"/>
        <v>7.194999999999891</v>
      </c>
      <c r="J726">
        <f t="shared" si="210"/>
        <v>1.385018441337079E-5</v>
      </c>
      <c r="K726">
        <f t="shared" si="222"/>
        <v>8.3101106480224743E-7</v>
      </c>
      <c r="L726">
        <f t="shared" si="211"/>
        <v>9.6373039420251906E+21</v>
      </c>
      <c r="M726">
        <f t="shared" si="212"/>
        <v>8.8859213633566271E-4</v>
      </c>
      <c r="N726">
        <f t="shared" si="213"/>
        <v>8.8859213633566271E-4</v>
      </c>
      <c r="O726">
        <f t="shared" si="214"/>
        <v>178.17408986731954</v>
      </c>
      <c r="P726">
        <f t="shared" si="215"/>
        <v>9.6373039420251906E+21</v>
      </c>
      <c r="R726">
        <f t="shared" si="216"/>
        <v>7.194999999999891</v>
      </c>
      <c r="S726">
        <f t="shared" si="217"/>
        <v>6.9335927236484998E-7</v>
      </c>
      <c r="T726">
        <f t="shared" si="223"/>
        <v>4.5648795210173132E-8</v>
      </c>
      <c r="U726" s="1">
        <f t="shared" si="218"/>
        <v>3.7856956097427342E-4</v>
      </c>
      <c r="V726">
        <f t="shared" si="219"/>
        <v>6.9582495470034766E+26</v>
      </c>
      <c r="W726">
        <f t="shared" si="224"/>
        <v>4.8245668428433777E+18</v>
      </c>
      <c r="Y726">
        <f t="shared" si="225"/>
        <v>7.194999999999891</v>
      </c>
      <c r="Z726">
        <f t="shared" si="220"/>
        <v>1.2992079265694969</v>
      </c>
      <c r="AA726">
        <f t="shared" si="226"/>
        <v>9.0402129665155278E+24</v>
      </c>
      <c r="AB726">
        <f t="shared" si="227"/>
        <v>0.15536106605574157</v>
      </c>
      <c r="AC726" s="1">
        <f t="shared" si="221"/>
        <v>1.1573106447937557E-3</v>
      </c>
    </row>
    <row r="727" spans="9:29" x14ac:dyDescent="0.2">
      <c r="I727">
        <f t="shared" si="209"/>
        <v>7.2049999999998908</v>
      </c>
      <c r="J727">
        <f t="shared" si="210"/>
        <v>1.385018441337079E-5</v>
      </c>
      <c r="K727">
        <f t="shared" si="222"/>
        <v>6.9250922066853952E-7</v>
      </c>
      <c r="L727">
        <f t="shared" si="211"/>
        <v>9.9759796834954086E+21</v>
      </c>
      <c r="M727">
        <f t="shared" si="212"/>
        <v>7.4049344694638555E-4</v>
      </c>
      <c r="N727">
        <f t="shared" si="213"/>
        <v>7.4049344694638555E-4</v>
      </c>
      <c r="O727">
        <f t="shared" si="214"/>
        <v>178.17408986731954</v>
      </c>
      <c r="P727">
        <f t="shared" si="215"/>
        <v>9.9759796834954086E+21</v>
      </c>
      <c r="R727">
        <f t="shared" si="216"/>
        <v>7.2049999999998908</v>
      </c>
      <c r="S727">
        <f t="shared" si="217"/>
        <v>6.7913846357163349E-7</v>
      </c>
      <c r="T727">
        <f t="shared" si="223"/>
        <v>3.8715202486524632E-8</v>
      </c>
      <c r="U727" s="1">
        <f t="shared" si="218"/>
        <v>3.2106865341952019E-4</v>
      </c>
      <c r="V727">
        <f t="shared" si="219"/>
        <v>7.2027775123807922E+26</v>
      </c>
      <c r="W727">
        <f t="shared" si="224"/>
        <v>4.8916832532066038E+18</v>
      </c>
      <c r="Y727">
        <f t="shared" si="225"/>
        <v>7.2049999999998908</v>
      </c>
      <c r="Z727">
        <f t="shared" si="220"/>
        <v>1.2358448082975038</v>
      </c>
      <c r="AA727">
        <f t="shared" si="226"/>
        <v>8.9015151939978109E+24</v>
      </c>
      <c r="AB727">
        <f t="shared" si="227"/>
        <v>0.14236898679004661</v>
      </c>
      <c r="AC727" s="1">
        <f t="shared" si="221"/>
        <v>1.0605304667612599E-3</v>
      </c>
    </row>
    <row r="728" spans="9:29" x14ac:dyDescent="0.2">
      <c r="I728">
        <f t="shared" si="209"/>
        <v>7.2149999999998906</v>
      </c>
      <c r="J728">
        <f t="shared" si="210"/>
        <v>1.385018441337079E-5</v>
      </c>
      <c r="K728">
        <f t="shared" si="222"/>
        <v>5.5400737653483162E-7</v>
      </c>
      <c r="L728">
        <f t="shared" si="211"/>
        <v>1.032655722432255E+22</v>
      </c>
      <c r="M728">
        <f t="shared" si="212"/>
        <v>5.9239475755710851E-4</v>
      </c>
      <c r="N728">
        <f t="shared" si="213"/>
        <v>5.9239475755710851E-4</v>
      </c>
      <c r="O728">
        <f t="shared" si="214"/>
        <v>178.17408986731954</v>
      </c>
      <c r="P728">
        <f t="shared" si="215"/>
        <v>1.032655722432255E+22</v>
      </c>
      <c r="R728">
        <f t="shared" si="216"/>
        <v>7.2149999999998906</v>
      </c>
      <c r="S728">
        <f t="shared" si="217"/>
        <v>6.6520932377426598E-7</v>
      </c>
      <c r="T728">
        <f t="shared" si="223"/>
        <v>3.1923817850808299E-8</v>
      </c>
      <c r="U728" s="1">
        <f t="shared" si="218"/>
        <v>2.6474709031772792E-4</v>
      </c>
      <c r="V728">
        <f t="shared" si="219"/>
        <v>7.4558987202751062E+26</v>
      </c>
      <c r="W728">
        <f t="shared" si="224"/>
        <v>4.9597333458436188E+18</v>
      </c>
      <c r="Y728">
        <f t="shared" si="225"/>
        <v>7.2149999999998906</v>
      </c>
      <c r="Z728">
        <f t="shared" si="220"/>
        <v>1.172636686507498</v>
      </c>
      <c r="AA728">
        <f t="shared" si="226"/>
        <v>8.7430603702788956E+24</v>
      </c>
      <c r="AB728">
        <f t="shared" si="227"/>
        <v>0.13001053870707158</v>
      </c>
      <c r="AC728" s="1">
        <f t="shared" si="221"/>
        <v>9.6847031370832953E-4</v>
      </c>
    </row>
    <row r="729" spans="9:29" x14ac:dyDescent="0.2">
      <c r="I729">
        <f t="shared" si="209"/>
        <v>7.2249999999998904</v>
      </c>
      <c r="J729">
        <f t="shared" si="210"/>
        <v>1.385018441337079E-5</v>
      </c>
      <c r="K729">
        <f t="shared" si="222"/>
        <v>4.1550553240112371E-7</v>
      </c>
      <c r="L729">
        <f t="shared" si="211"/>
        <v>1.0689454819523399E+22</v>
      </c>
      <c r="M729">
        <f t="shared" si="212"/>
        <v>4.4429606816783135E-4</v>
      </c>
      <c r="N729">
        <f t="shared" si="213"/>
        <v>4.4429606816783135E-4</v>
      </c>
      <c r="O729">
        <f t="shared" si="214"/>
        <v>178.17408986731954</v>
      </c>
      <c r="P729">
        <f t="shared" si="215"/>
        <v>1.0689454819523399E+22</v>
      </c>
      <c r="R729">
        <f t="shared" si="216"/>
        <v>7.2249999999998904</v>
      </c>
      <c r="S729">
        <f t="shared" si="217"/>
        <v>6.5156587083738673E-7</v>
      </c>
      <c r="T729">
        <f t="shared" si="223"/>
        <v>2.527172461306564E-8</v>
      </c>
      <c r="U729" s="1">
        <f t="shared" si="218"/>
        <v>2.0958068329695825E-4</v>
      </c>
      <c r="V729">
        <f t="shared" si="219"/>
        <v>7.717915155847265E+26</v>
      </c>
      <c r="W729">
        <f t="shared" si="224"/>
        <v>5.0287301095686881E+18</v>
      </c>
      <c r="Y729">
        <f t="shared" si="225"/>
        <v>7.2249999999998904</v>
      </c>
      <c r="Z729">
        <f t="shared" si="220"/>
        <v>1.1098832077247638</v>
      </c>
      <c r="AA729">
        <f t="shared" si="226"/>
        <v>8.5659844301193322E+24</v>
      </c>
      <c r="AB729">
        <f t="shared" si="227"/>
        <v>0.11828417184199659</v>
      </c>
      <c r="AC729" s="1">
        <f t="shared" si="221"/>
        <v>8.8111863968699572E-4</v>
      </c>
    </row>
    <row r="730" spans="9:29" x14ac:dyDescent="0.2">
      <c r="I730">
        <f t="shared" si="209"/>
        <v>7.2349999999998902</v>
      </c>
      <c r="J730">
        <f t="shared" si="210"/>
        <v>1.385018441337079E-5</v>
      </c>
      <c r="K730">
        <f t="shared" si="222"/>
        <v>2.7700368826741581E-7</v>
      </c>
      <c r="L730">
        <f t="shared" si="211"/>
        <v>1.1065105422502402E+22</v>
      </c>
      <c r="M730">
        <f t="shared" si="212"/>
        <v>2.9619737877855425E-4</v>
      </c>
      <c r="N730">
        <f t="shared" si="213"/>
        <v>2.9619737877855425E-4</v>
      </c>
      <c r="O730">
        <f t="shared" si="214"/>
        <v>178.17408986731954</v>
      </c>
      <c r="P730">
        <f t="shared" si="215"/>
        <v>1.1065105422502402E+22</v>
      </c>
      <c r="R730">
        <f t="shared" si="216"/>
        <v>7.2349999999998902</v>
      </c>
      <c r="S730">
        <f t="shared" si="217"/>
        <v>6.3820224531931869E-7</v>
      </c>
      <c r="T730">
        <f t="shared" si="223"/>
        <v>1.8756065904691771E-8</v>
      </c>
      <c r="U730" s="1">
        <f t="shared" si="218"/>
        <v>1.5554574008913417E-4</v>
      </c>
      <c r="V730">
        <f t="shared" si="219"/>
        <v>7.9891394166710816E+26</v>
      </c>
      <c r="W730">
        <f t="shared" si="224"/>
        <v>5.098686713888556E+18</v>
      </c>
      <c r="Y730">
        <f t="shared" si="225"/>
        <v>7.2349999999998902</v>
      </c>
      <c r="Z730">
        <f t="shared" si="220"/>
        <v>1.0478650321852803</v>
      </c>
      <c r="AA730">
        <f t="shared" si="226"/>
        <v>8.3715398319827337E+24</v>
      </c>
      <c r="AB730">
        <f t="shared" si="227"/>
        <v>0.10718533976474895</v>
      </c>
      <c r="AC730" s="1">
        <f t="shared" si="221"/>
        <v>7.984415775769266E-4</v>
      </c>
    </row>
    <row r="731" spans="9:29" x14ac:dyDescent="0.2">
      <c r="I731">
        <f t="shared" si="209"/>
        <v>7.24499999999989</v>
      </c>
      <c r="J731">
        <f t="shared" si="210"/>
        <v>1.385018441337079E-5</v>
      </c>
      <c r="K731">
        <f t="shared" si="222"/>
        <v>1.385018441337079E-7</v>
      </c>
      <c r="L731">
        <f t="shared" si="211"/>
        <v>1.145395720158441E+22</v>
      </c>
      <c r="M731">
        <f t="shared" si="212"/>
        <v>1.4809868938927713E-4</v>
      </c>
      <c r="N731">
        <f t="shared" si="213"/>
        <v>1.4809868938927713E-4</v>
      </c>
      <c r="O731">
        <f t="shared" si="214"/>
        <v>178.17408986731954</v>
      </c>
      <c r="P731">
        <f t="shared" si="215"/>
        <v>1.145395720158441E+22</v>
      </c>
      <c r="R731">
        <f t="shared" si="216"/>
        <v>7.24499999999989</v>
      </c>
      <c r="S731">
        <f t="shared" si="217"/>
        <v>6.2511270795561769E-7</v>
      </c>
      <c r="T731">
        <f t="shared" si="223"/>
        <v>1.2374043451498584E-8</v>
      </c>
      <c r="U731" s="1">
        <f t="shared" si="218"/>
        <v>1.0261905435494264E-4</v>
      </c>
      <c r="V731">
        <f t="shared" si="219"/>
        <v>8.2698950856761928E+26</v>
      </c>
      <c r="W731">
        <f t="shared" si="224"/>
        <v>5.1696165115158999E+18</v>
      </c>
      <c r="Y731">
        <f t="shared" si="225"/>
        <v>7.24499999999989</v>
      </c>
      <c r="Z731">
        <f t="shared" si="220"/>
        <v>0.98684212329524268</v>
      </c>
      <c r="AA731">
        <f t="shared" si="226"/>
        <v>8.1610808257775862E+24</v>
      </c>
      <c r="AB731">
        <f t="shared" si="227"/>
        <v>9.6706689442896149E-2</v>
      </c>
      <c r="AC731" s="1">
        <f t="shared" si="221"/>
        <v>7.2038435340597031E-4</v>
      </c>
    </row>
    <row r="732" spans="9:29" x14ac:dyDescent="0.2">
      <c r="I732">
        <f t="shared" si="209"/>
        <v>7.2549999999998898</v>
      </c>
      <c r="J732">
        <f t="shared" si="210"/>
        <v>0</v>
      </c>
      <c r="K732">
        <f t="shared" si="222"/>
        <v>0</v>
      </c>
      <c r="L732">
        <f t="shared" si="211"/>
        <v>0</v>
      </c>
      <c r="M732">
        <f t="shared" si="212"/>
        <v>0</v>
      </c>
      <c r="N732">
        <f t="shared" si="213"/>
        <v>0</v>
      </c>
      <c r="O732">
        <f t="shared" si="214"/>
        <v>0</v>
      </c>
      <c r="P732">
        <f t="shared" si="215"/>
        <v>0</v>
      </c>
      <c r="R732">
        <f t="shared" si="216"/>
        <v>7.2549999999998898</v>
      </c>
      <c r="S732">
        <f t="shared" si="217"/>
        <v>6.1229163719424064E-7</v>
      </c>
      <c r="T732">
        <f t="shared" si="223"/>
        <v>6.1229163719424061E-9</v>
      </c>
      <c r="U732" s="1">
        <f t="shared" si="218"/>
        <v>5.0777895717428653E-5</v>
      </c>
      <c r="V732">
        <f t="shared" si="219"/>
        <v>8.5605171171977101E+26</v>
      </c>
      <c r="W732">
        <f t="shared" si="224"/>
        <v>5.2415330409183068E+18</v>
      </c>
      <c r="Y732">
        <f t="shared" si="225"/>
        <v>7.2549999999998898</v>
      </c>
      <c r="Z732">
        <f t="shared" si="220"/>
        <v>0.92705238155816438</v>
      </c>
      <c r="AA732">
        <f t="shared" si="226"/>
        <v>7.9360477808675698E+24</v>
      </c>
      <c r="AB732">
        <f t="shared" si="227"/>
        <v>8.6838268209943725E-2</v>
      </c>
      <c r="AC732" s="1">
        <f t="shared" si="221"/>
        <v>6.4687282809172643E-4</v>
      </c>
    </row>
    <row r="733" spans="9:29" x14ac:dyDescent="0.2">
      <c r="I733">
        <f t="shared" si="209"/>
        <v>7.2649999999998895</v>
      </c>
      <c r="J733">
        <f t="shared" si="210"/>
        <v>0</v>
      </c>
      <c r="K733">
        <f t="shared" si="222"/>
        <v>0</v>
      </c>
      <c r="L733">
        <f t="shared" si="211"/>
        <v>0</v>
      </c>
      <c r="M733">
        <f t="shared" si="212"/>
        <v>0</v>
      </c>
      <c r="N733">
        <f t="shared" si="213"/>
        <v>0</v>
      </c>
      <c r="O733">
        <f t="shared" si="214"/>
        <v>0</v>
      </c>
      <c r="P733">
        <f t="shared" si="215"/>
        <v>0</v>
      </c>
      <c r="R733">
        <f t="shared" si="216"/>
        <v>7.2649999999998895</v>
      </c>
      <c r="S733">
        <f t="shared" si="217"/>
        <v>0</v>
      </c>
      <c r="T733">
        <f t="shared" si="223"/>
        <v>0</v>
      </c>
      <c r="U733" s="1">
        <f t="shared" si="218"/>
        <v>0</v>
      </c>
      <c r="V733">
        <f t="shared" si="219"/>
        <v>8.8613522365916463E+26</v>
      </c>
      <c r="W733">
        <f t="shared" si="224"/>
        <v>0</v>
      </c>
      <c r="Y733">
        <f t="shared" si="225"/>
        <v>7.2649999999998895</v>
      </c>
      <c r="Z733">
        <f t="shared" si="220"/>
        <v>0.86871062360471507</v>
      </c>
      <c r="AA733">
        <f t="shared" si="226"/>
        <v>7.6979508274305661E+24</v>
      </c>
      <c r="AB733">
        <f t="shared" si="227"/>
        <v>7.7567744394362079E-2</v>
      </c>
      <c r="AC733" s="1">
        <f t="shared" si="221"/>
        <v>5.7781514094418023E-4</v>
      </c>
    </row>
    <row r="734" spans="9:29" x14ac:dyDescent="0.2">
      <c r="I734">
        <f t="shared" si="209"/>
        <v>7.2749999999998893</v>
      </c>
      <c r="J734">
        <f t="shared" si="210"/>
        <v>0</v>
      </c>
      <c r="K734">
        <f t="shared" si="222"/>
        <v>0</v>
      </c>
      <c r="L734">
        <f t="shared" si="211"/>
        <v>0</v>
      </c>
      <c r="M734">
        <f t="shared" si="212"/>
        <v>0</v>
      </c>
      <c r="N734">
        <f t="shared" si="213"/>
        <v>0</v>
      </c>
      <c r="O734">
        <f t="shared" si="214"/>
        <v>0</v>
      </c>
      <c r="P734">
        <f t="shared" si="215"/>
        <v>0</v>
      </c>
      <c r="R734">
        <f t="shared" si="216"/>
        <v>7.2749999999998893</v>
      </c>
      <c r="S734">
        <f t="shared" si="217"/>
        <v>0</v>
      </c>
      <c r="T734">
        <f t="shared" si="223"/>
        <v>0</v>
      </c>
      <c r="U734" s="1">
        <f t="shared" si="218"/>
        <v>0</v>
      </c>
      <c r="V734">
        <f t="shared" si="219"/>
        <v>9.1727593538943901E+26</v>
      </c>
      <c r="W734">
        <f t="shared" si="224"/>
        <v>0</v>
      </c>
      <c r="Y734">
        <f t="shared" si="225"/>
        <v>7.2749999999998893</v>
      </c>
      <c r="Z734">
        <f t="shared" si="220"/>
        <v>0.81200790107698673</v>
      </c>
      <c r="AA734">
        <f t="shared" si="226"/>
        <v>7.4483530700400812E+24</v>
      </c>
      <c r="AB734">
        <f t="shared" si="227"/>
        <v>6.8880638158314925E-2</v>
      </c>
      <c r="AC734" s="1">
        <f t="shared" si="221"/>
        <v>5.1310342922211683E-4</v>
      </c>
    </row>
    <row r="735" spans="9:29" x14ac:dyDescent="0.2">
      <c r="I735">
        <f t="shared" si="209"/>
        <v>7.2849999999998891</v>
      </c>
      <c r="J735">
        <f t="shared" si="210"/>
        <v>0</v>
      </c>
      <c r="K735">
        <f t="shared" si="222"/>
        <v>0</v>
      </c>
      <c r="L735">
        <f t="shared" si="211"/>
        <v>0</v>
      </c>
      <c r="M735">
        <f t="shared" si="212"/>
        <v>0</v>
      </c>
      <c r="N735">
        <f t="shared" si="213"/>
        <v>0</v>
      </c>
      <c r="O735">
        <f t="shared" si="214"/>
        <v>0</v>
      </c>
      <c r="P735">
        <f t="shared" si="215"/>
        <v>0</v>
      </c>
      <c r="R735">
        <f t="shared" si="216"/>
        <v>7.2849999999998891</v>
      </c>
      <c r="S735">
        <f t="shared" si="217"/>
        <v>0</v>
      </c>
      <c r="T735">
        <f t="shared" si="223"/>
        <v>0</v>
      </c>
      <c r="U735" s="1">
        <f t="shared" si="218"/>
        <v>0</v>
      </c>
      <c r="V735">
        <f t="shared" si="219"/>
        <v>9.4951099920184555E+26</v>
      </c>
      <c r="W735">
        <f t="shared" si="224"/>
        <v>0</v>
      </c>
      <c r="Y735">
        <f t="shared" si="225"/>
        <v>7.2849999999998891</v>
      </c>
      <c r="Z735">
        <f t="shared" si="220"/>
        <v>0.75711114867900509</v>
      </c>
      <c r="AA735">
        <f t="shared" si="226"/>
        <v>7.1888536328905918E+24</v>
      </c>
      <c r="AB735">
        <f t="shared" si="227"/>
        <v>6.0760559147545058E-2</v>
      </c>
      <c r="AC735" s="1">
        <f t="shared" si="221"/>
        <v>4.5261559842698946E-4</v>
      </c>
    </row>
    <row r="736" spans="9:29" x14ac:dyDescent="0.2">
      <c r="I736">
        <f t="shared" si="209"/>
        <v>7.2949999999998889</v>
      </c>
      <c r="J736">
        <f t="shared" si="210"/>
        <v>0</v>
      </c>
      <c r="K736">
        <f t="shared" si="222"/>
        <v>0</v>
      </c>
      <c r="L736">
        <f t="shared" si="211"/>
        <v>0</v>
      </c>
      <c r="M736">
        <f t="shared" si="212"/>
        <v>0</v>
      </c>
      <c r="N736">
        <f t="shared" si="213"/>
        <v>0</v>
      </c>
      <c r="O736">
        <f t="shared" si="214"/>
        <v>0</v>
      </c>
      <c r="P736">
        <f t="shared" si="215"/>
        <v>0</v>
      </c>
      <c r="R736">
        <f t="shared" si="216"/>
        <v>7.2949999999998889</v>
      </c>
      <c r="S736">
        <f t="shared" si="217"/>
        <v>0</v>
      </c>
      <c r="T736">
        <f t="shared" si="223"/>
        <v>0</v>
      </c>
      <c r="U736" s="1">
        <f t="shared" si="218"/>
        <v>0</v>
      </c>
      <c r="V736">
        <f t="shared" si="219"/>
        <v>9.8287887299966706E+26</v>
      </c>
      <c r="W736">
        <f t="shared" si="224"/>
        <v>0</v>
      </c>
      <c r="Y736">
        <f t="shared" si="225"/>
        <v>7.2949999999998889</v>
      </c>
      <c r="Z736">
        <f t="shared" si="220"/>
        <v>0.70416314580098049</v>
      </c>
      <c r="AA736">
        <f t="shared" si="226"/>
        <v>6.9210707915276792E+24</v>
      </c>
      <c r="AB736">
        <f t="shared" si="227"/>
        <v>5.3189447660755007E-2</v>
      </c>
      <c r="AC736" s="1">
        <f t="shared" si="221"/>
        <v>3.9621711881409423E-4</v>
      </c>
    </row>
    <row r="737" spans="9:29" x14ac:dyDescent="0.2">
      <c r="I737">
        <f t="shared" si="209"/>
        <v>7.3049999999998887</v>
      </c>
      <c r="J737">
        <f t="shared" si="210"/>
        <v>0</v>
      </c>
      <c r="K737">
        <f t="shared" si="222"/>
        <v>0</v>
      </c>
      <c r="L737">
        <f t="shared" si="211"/>
        <v>0</v>
      </c>
      <c r="M737">
        <f t="shared" si="212"/>
        <v>0</v>
      </c>
      <c r="N737">
        <f t="shared" si="213"/>
        <v>0</v>
      </c>
      <c r="O737">
        <f t="shared" si="214"/>
        <v>0</v>
      </c>
      <c r="P737">
        <f t="shared" si="215"/>
        <v>0</v>
      </c>
      <c r="R737">
        <f t="shared" si="216"/>
        <v>7.3049999999998887</v>
      </c>
      <c r="S737">
        <f t="shared" si="217"/>
        <v>0</v>
      </c>
      <c r="T737">
        <f t="shared" si="223"/>
        <v>0</v>
      </c>
      <c r="U737" s="1">
        <f t="shared" si="218"/>
        <v>0</v>
      </c>
      <c r="V737">
        <f t="shared" si="219"/>
        <v>1.0174193661802195E+27</v>
      </c>
      <c r="W737">
        <f t="shared" si="224"/>
        <v>0</v>
      </c>
      <c r="Y737">
        <f t="shared" si="225"/>
        <v>7.3049999999998887</v>
      </c>
      <c r="Z737">
        <f t="shared" si="220"/>
        <v>0.65328277182950201</v>
      </c>
      <c r="AA737">
        <f t="shared" si="226"/>
        <v>6.6466254365122882E+24</v>
      </c>
      <c r="AB737">
        <f t="shared" si="227"/>
        <v>4.6147816202745204E-2</v>
      </c>
      <c r="AC737" s="1">
        <f t="shared" si="221"/>
        <v>3.4376282476242085E-4</v>
      </c>
    </row>
    <row r="738" spans="9:29" x14ac:dyDescent="0.2">
      <c r="I738">
        <f t="shared" ref="I738:I801" si="228">I737+0.01</f>
        <v>7.3149999999998885</v>
      </c>
      <c r="J738">
        <f t="shared" si="210"/>
        <v>0</v>
      </c>
      <c r="K738">
        <f t="shared" si="222"/>
        <v>0</v>
      </c>
      <c r="L738">
        <f t="shared" si="211"/>
        <v>0</v>
      </c>
      <c r="M738">
        <f t="shared" si="212"/>
        <v>0</v>
      </c>
      <c r="N738">
        <f t="shared" si="213"/>
        <v>0</v>
      </c>
      <c r="O738">
        <f t="shared" si="214"/>
        <v>0</v>
      </c>
      <c r="P738">
        <f t="shared" si="215"/>
        <v>0</v>
      </c>
      <c r="R738">
        <f t="shared" si="216"/>
        <v>7.3149999999998885</v>
      </c>
      <c r="S738">
        <f t="shared" si="217"/>
        <v>0</v>
      </c>
      <c r="T738">
        <f t="shared" si="223"/>
        <v>0</v>
      </c>
      <c r="U738" s="1">
        <f t="shared" si="218"/>
        <v>0</v>
      </c>
      <c r="V738">
        <f t="shared" si="219"/>
        <v>1.053173687129317E+27</v>
      </c>
      <c r="W738">
        <f t="shared" si="224"/>
        <v>0</v>
      </c>
      <c r="Y738">
        <f t="shared" si="225"/>
        <v>7.3149999999998885</v>
      </c>
      <c r="Z738">
        <f t="shared" si="220"/>
        <v>0.60456553162378102</v>
      </c>
      <c r="AA738">
        <f t="shared" si="226"/>
        <v>6.3671251005151318E+24</v>
      </c>
      <c r="AB738">
        <f t="shared" si="227"/>
        <v>3.9614988484450185E-2</v>
      </c>
      <c r="AC738" s="1">
        <f t="shared" si="221"/>
        <v>2.9509869512601685E-4</v>
      </c>
    </row>
    <row r="739" spans="9:29" x14ac:dyDescent="0.2">
      <c r="I739">
        <f t="shared" si="228"/>
        <v>7.3249999999998883</v>
      </c>
      <c r="J739">
        <f t="shared" si="210"/>
        <v>0</v>
      </c>
      <c r="K739">
        <f t="shared" si="222"/>
        <v>0</v>
      </c>
      <c r="L739">
        <f t="shared" si="211"/>
        <v>0</v>
      </c>
      <c r="M739">
        <f t="shared" si="212"/>
        <v>0</v>
      </c>
      <c r="N739">
        <f t="shared" si="213"/>
        <v>0</v>
      </c>
      <c r="O739">
        <f t="shared" si="214"/>
        <v>0</v>
      </c>
      <c r="P739">
        <f t="shared" si="215"/>
        <v>0</v>
      </c>
      <c r="R739">
        <f t="shared" si="216"/>
        <v>7.3249999999998883</v>
      </c>
      <c r="S739">
        <f t="shared" si="217"/>
        <v>0</v>
      </c>
      <c r="T739">
        <f t="shared" si="223"/>
        <v>0</v>
      </c>
      <c r="U739" s="1">
        <f t="shared" si="218"/>
        <v>0</v>
      </c>
      <c r="V739">
        <f t="shared" si="219"/>
        <v>1.0901844923847066E+27</v>
      </c>
      <c r="W739">
        <f t="shared" si="224"/>
        <v>0</v>
      </c>
      <c r="Y739">
        <f t="shared" si="225"/>
        <v>7.3249999999998883</v>
      </c>
      <c r="Z739">
        <f t="shared" si="220"/>
        <v>0.55808432470385527</v>
      </c>
      <c r="AA739">
        <f t="shared" si="226"/>
        <v>6.084148762351342E+24</v>
      </c>
      <c r="AB739">
        <f t="shared" si="227"/>
        <v>3.3569333168212374E-2</v>
      </c>
      <c r="AC739" s="1">
        <f t="shared" si="221"/>
        <v>2.5006359444174601E-4</v>
      </c>
    </row>
    <row r="740" spans="9:29" x14ac:dyDescent="0.2">
      <c r="I740">
        <f t="shared" si="228"/>
        <v>7.3349999999998881</v>
      </c>
      <c r="J740">
        <f t="shared" si="210"/>
        <v>0</v>
      </c>
      <c r="K740">
        <f t="shared" si="222"/>
        <v>0</v>
      </c>
      <c r="L740">
        <f t="shared" si="211"/>
        <v>0</v>
      </c>
      <c r="M740">
        <f t="shared" si="212"/>
        <v>0</v>
      </c>
      <c r="N740">
        <f t="shared" si="213"/>
        <v>0</v>
      </c>
      <c r="O740">
        <f t="shared" si="214"/>
        <v>0</v>
      </c>
      <c r="P740">
        <f t="shared" si="215"/>
        <v>0</v>
      </c>
      <c r="R740">
        <f t="shared" si="216"/>
        <v>7.3349999999998881</v>
      </c>
      <c r="S740">
        <f t="shared" si="217"/>
        <v>0</v>
      </c>
      <c r="T740">
        <f t="shared" si="223"/>
        <v>0</v>
      </c>
      <c r="U740" s="1">
        <f t="shared" si="218"/>
        <v>0</v>
      </c>
      <c r="V740">
        <f t="shared" si="219"/>
        <v>1.1284959375273337E+27</v>
      </c>
      <c r="W740">
        <f t="shared" si="224"/>
        <v>0</v>
      </c>
      <c r="Y740">
        <f t="shared" si="225"/>
        <v>7.3349999999998881</v>
      </c>
      <c r="Z740">
        <f t="shared" si="220"/>
        <v>0.51389042947591612</v>
      </c>
      <c r="AA740">
        <f t="shared" si="226"/>
        <v>5.7992326199774815E+24</v>
      </c>
      <c r="AB740">
        <f t="shared" si="227"/>
        <v>2.798848992117382E-2</v>
      </c>
      <c r="AC740" s="1">
        <f t="shared" si="221"/>
        <v>2.084909568389264E-4</v>
      </c>
    </row>
    <row r="741" spans="9:29" x14ac:dyDescent="0.2">
      <c r="I741">
        <f t="shared" si="228"/>
        <v>7.3449999999998878</v>
      </c>
      <c r="J741">
        <f t="shared" si="210"/>
        <v>0</v>
      </c>
      <c r="K741">
        <f t="shared" si="222"/>
        <v>0</v>
      </c>
      <c r="L741">
        <f t="shared" si="211"/>
        <v>0</v>
      </c>
      <c r="M741">
        <f t="shared" si="212"/>
        <v>0</v>
      </c>
      <c r="N741">
        <f t="shared" si="213"/>
        <v>0</v>
      </c>
      <c r="O741">
        <f t="shared" si="214"/>
        <v>0</v>
      </c>
      <c r="P741">
        <f t="shared" si="215"/>
        <v>0</v>
      </c>
      <c r="R741">
        <f t="shared" si="216"/>
        <v>7.3449999999998878</v>
      </c>
      <c r="S741">
        <f t="shared" si="217"/>
        <v>0</v>
      </c>
      <c r="T741">
        <f t="shared" si="223"/>
        <v>0</v>
      </c>
      <c r="U741" s="1">
        <f t="shared" si="218"/>
        <v>0</v>
      </c>
      <c r="V741">
        <f t="shared" si="219"/>
        <v>1.1681537298608814E+27</v>
      </c>
      <c r="W741">
        <f t="shared" si="224"/>
        <v>0</v>
      </c>
      <c r="Y741">
        <f t="shared" si="225"/>
        <v>7.3449999999998878</v>
      </c>
      <c r="Z741">
        <f t="shared" si="220"/>
        <v>0.47201467230998384</v>
      </c>
      <c r="AA741">
        <f t="shared" si="226"/>
        <v>5.5138570000796936E+24</v>
      </c>
      <c r="AB741">
        <f t="shared" si="227"/>
        <v>2.2849585626414658E-2</v>
      </c>
      <c r="AC741" s="1">
        <f t="shared" si="221"/>
        <v>1.7021039663237306E-4</v>
      </c>
    </row>
    <row r="742" spans="9:29" x14ac:dyDescent="0.2">
      <c r="I742">
        <f t="shared" si="228"/>
        <v>7.3549999999998876</v>
      </c>
      <c r="J742">
        <f t="shared" si="210"/>
        <v>0</v>
      </c>
      <c r="K742">
        <f t="shared" si="222"/>
        <v>0</v>
      </c>
      <c r="L742">
        <f t="shared" si="211"/>
        <v>0</v>
      </c>
      <c r="M742">
        <f t="shared" si="212"/>
        <v>0</v>
      </c>
      <c r="N742">
        <f t="shared" si="213"/>
        <v>0</v>
      </c>
      <c r="O742">
        <f t="shared" si="214"/>
        <v>0</v>
      </c>
      <c r="P742">
        <f t="shared" si="215"/>
        <v>0</v>
      </c>
      <c r="R742">
        <f t="shared" si="216"/>
        <v>7.3549999999998876</v>
      </c>
      <c r="S742">
        <f t="shared" si="217"/>
        <v>0</v>
      </c>
      <c r="T742">
        <f t="shared" si="223"/>
        <v>0</v>
      </c>
      <c r="U742" s="1">
        <f t="shared" si="218"/>
        <v>0</v>
      </c>
      <c r="V742">
        <f t="shared" si="219"/>
        <v>1.2092051829427495E+27</v>
      </c>
      <c r="W742">
        <f t="shared" si="224"/>
        <v>0</v>
      </c>
      <c r="Y742">
        <f t="shared" si="225"/>
        <v>7.3549999999998876</v>
      </c>
      <c r="Z742">
        <f t="shared" si="220"/>
        <v>0.432468750466525</v>
      </c>
      <c r="AA742">
        <f t="shared" si="226"/>
        <v>5.229434545248967E+24</v>
      </c>
      <c r="AB742">
        <f t="shared" si="227"/>
        <v>1.812943890331482E-2</v>
      </c>
      <c r="AC742" s="1">
        <f t="shared" si="221"/>
        <v>1.3504923182888317E-4</v>
      </c>
    </row>
    <row r="743" spans="9:29" x14ac:dyDescent="0.2">
      <c r="I743">
        <f t="shared" si="228"/>
        <v>7.3649999999998874</v>
      </c>
      <c r="J743">
        <f t="shared" si="210"/>
        <v>0</v>
      </c>
      <c r="K743">
        <f t="shared" si="222"/>
        <v>0</v>
      </c>
      <c r="L743">
        <f t="shared" si="211"/>
        <v>0</v>
      </c>
      <c r="M743">
        <f t="shared" si="212"/>
        <v>0</v>
      </c>
      <c r="N743">
        <f t="shared" si="213"/>
        <v>0</v>
      </c>
      <c r="O743">
        <f t="shared" si="214"/>
        <v>0</v>
      </c>
      <c r="P743">
        <f t="shared" si="215"/>
        <v>0</v>
      </c>
      <c r="R743">
        <f t="shared" si="216"/>
        <v>7.3649999999998874</v>
      </c>
      <c r="S743">
        <f t="shared" si="217"/>
        <v>0</v>
      </c>
      <c r="T743">
        <f t="shared" si="223"/>
        <v>0</v>
      </c>
      <c r="U743" s="1">
        <f t="shared" si="218"/>
        <v>0</v>
      </c>
      <c r="V743">
        <f t="shared" si="219"/>
        <v>1.2516992730312499E+27</v>
      </c>
      <c r="W743">
        <f t="shared" si="224"/>
        <v>0</v>
      </c>
      <c r="Y743">
        <f t="shared" si="225"/>
        <v>7.3649999999998874</v>
      </c>
      <c r="Z743">
        <f t="shared" si="220"/>
        <v>0.39524667770665006</v>
      </c>
      <c r="AA743">
        <f t="shared" si="226"/>
        <v>4.947299791534306E+24</v>
      </c>
      <c r="AB743">
        <f t="shared" si="227"/>
        <v>1.3804751398649569E-2</v>
      </c>
      <c r="AC743" s="1">
        <f t="shared" si="221"/>
        <v>1.0283390908669814E-4</v>
      </c>
    </row>
    <row r="744" spans="9:29" x14ac:dyDescent="0.2">
      <c r="I744">
        <f t="shared" si="228"/>
        <v>7.3749999999998872</v>
      </c>
      <c r="J744">
        <f t="shared" si="210"/>
        <v>0</v>
      </c>
      <c r="K744">
        <f t="shared" si="222"/>
        <v>0</v>
      </c>
      <c r="L744">
        <f t="shared" si="211"/>
        <v>0</v>
      </c>
      <c r="M744">
        <f t="shared" si="212"/>
        <v>0</v>
      </c>
      <c r="N744">
        <f t="shared" si="213"/>
        <v>0</v>
      </c>
      <c r="O744">
        <f t="shared" si="214"/>
        <v>0</v>
      </c>
      <c r="P744">
        <f t="shared" si="215"/>
        <v>0</v>
      </c>
      <c r="R744">
        <f t="shared" si="216"/>
        <v>7.3749999999998872</v>
      </c>
      <c r="S744">
        <f t="shared" si="217"/>
        <v>0</v>
      </c>
      <c r="T744">
        <f t="shared" si="223"/>
        <v>0</v>
      </c>
      <c r="U744" s="1">
        <f t="shared" si="218"/>
        <v>0</v>
      </c>
      <c r="V744">
        <f t="shared" si="219"/>
        <v>1.2956866975165273E+27</v>
      </c>
      <c r="W744">
        <f t="shared" si="224"/>
        <v>0</v>
      </c>
      <c r="Y744">
        <f t="shared" si="225"/>
        <v>7.3749999999998872</v>
      </c>
      <c r="Z744">
        <f t="shared" si="220"/>
        <v>0.36032632186760327</v>
      </c>
      <c r="AA744">
        <f t="shared" si="226"/>
        <v>4.6687002200891217E+24</v>
      </c>
      <c r="AB744">
        <f t="shared" si="227"/>
        <v>9.8522846215830691E-3</v>
      </c>
      <c r="AC744" s="1">
        <f t="shared" si="221"/>
        <v>7.3391320989036975E-5</v>
      </c>
    </row>
    <row r="745" spans="9:29" x14ac:dyDescent="0.2">
      <c r="I745">
        <f t="shared" si="228"/>
        <v>7.384999999999887</v>
      </c>
      <c r="J745">
        <f t="shared" si="210"/>
        <v>0</v>
      </c>
      <c r="K745">
        <f t="shared" si="222"/>
        <v>0</v>
      </c>
      <c r="L745">
        <f t="shared" si="211"/>
        <v>0</v>
      </c>
      <c r="M745">
        <f t="shared" si="212"/>
        <v>0</v>
      </c>
      <c r="N745">
        <f t="shared" si="213"/>
        <v>0</v>
      </c>
      <c r="O745">
        <f t="shared" si="214"/>
        <v>0</v>
      </c>
      <c r="P745">
        <f t="shared" si="215"/>
        <v>0</v>
      </c>
      <c r="R745">
        <f t="shared" si="216"/>
        <v>7.384999999999887</v>
      </c>
      <c r="S745">
        <f t="shared" si="217"/>
        <v>0</v>
      </c>
      <c r="T745">
        <f t="shared" si="223"/>
        <v>0</v>
      </c>
      <c r="U745" s="1">
        <f t="shared" si="218"/>
        <v>0</v>
      </c>
      <c r="V745">
        <f t="shared" si="219"/>
        <v>1.3412199354048521E+27</v>
      </c>
      <c r="W745">
        <f t="shared" si="224"/>
        <v>0</v>
      </c>
      <c r="Y745">
        <f t="shared" si="225"/>
        <v>7.384999999999887</v>
      </c>
      <c r="Z745">
        <f t="shared" si="220"/>
        <v>0.32767100468289684</v>
      </c>
      <c r="AA745">
        <f t="shared" si="226"/>
        <v>4.3947888373483787E+24</v>
      </c>
      <c r="AB745">
        <f t="shared" si="227"/>
        <v>6.2490214029070363E-3</v>
      </c>
      <c r="AC745" s="1">
        <f t="shared" si="221"/>
        <v>4.6550008781051698E-5</v>
      </c>
    </row>
    <row r="746" spans="9:29" x14ac:dyDescent="0.2">
      <c r="I746">
        <f t="shared" si="228"/>
        <v>7.3949999999998868</v>
      </c>
      <c r="J746">
        <f t="shared" si="210"/>
        <v>0</v>
      </c>
      <c r="K746">
        <f t="shared" si="222"/>
        <v>0</v>
      </c>
      <c r="L746">
        <f t="shared" si="211"/>
        <v>0</v>
      </c>
      <c r="M746">
        <f t="shared" si="212"/>
        <v>0</v>
      </c>
      <c r="N746">
        <f t="shared" si="213"/>
        <v>0</v>
      </c>
      <c r="O746">
        <f t="shared" si="214"/>
        <v>0</v>
      </c>
      <c r="P746">
        <f t="shared" si="215"/>
        <v>0</v>
      </c>
      <c r="R746">
        <f t="shared" si="216"/>
        <v>7.3949999999998868</v>
      </c>
      <c r="S746">
        <f t="shared" si="217"/>
        <v>0</v>
      </c>
      <c r="T746">
        <f t="shared" si="223"/>
        <v>0</v>
      </c>
      <c r="U746" s="1">
        <f t="shared" si="218"/>
        <v>0</v>
      </c>
      <c r="V746">
        <f t="shared" si="219"/>
        <v>1.3883533099285177E+27</v>
      </c>
      <c r="W746">
        <f t="shared" si="224"/>
        <v>0</v>
      </c>
      <c r="Y746">
        <f t="shared" si="225"/>
        <v>7.3949999999998868</v>
      </c>
      <c r="Z746">
        <f t="shared" si="220"/>
        <v>0.29723113560780678</v>
      </c>
      <c r="AA746">
        <f t="shared" si="226"/>
        <v>4.1266183093491065E+24</v>
      </c>
      <c r="AB746">
        <f t="shared" si="227"/>
        <v>2.9723113560780681E-3</v>
      </c>
      <c r="AC746" s="1">
        <f t="shared" si="221"/>
        <v>2.2141245933497417E-5</v>
      </c>
    </row>
    <row r="747" spans="9:29" x14ac:dyDescent="0.2">
      <c r="I747">
        <f t="shared" si="228"/>
        <v>7.4049999999998866</v>
      </c>
      <c r="J747">
        <f t="shared" si="210"/>
        <v>0</v>
      </c>
      <c r="K747">
        <f t="shared" si="222"/>
        <v>0</v>
      </c>
      <c r="L747">
        <f t="shared" si="211"/>
        <v>0</v>
      </c>
      <c r="M747">
        <f t="shared" si="212"/>
        <v>0</v>
      </c>
      <c r="N747">
        <f t="shared" si="213"/>
        <v>0</v>
      </c>
      <c r="O747">
        <f t="shared" si="214"/>
        <v>0</v>
      </c>
      <c r="P747">
        <f t="shared" si="215"/>
        <v>0</v>
      </c>
      <c r="R747">
        <f t="shared" si="216"/>
        <v>7.4049999999998866</v>
      </c>
      <c r="S747">
        <f t="shared" si="217"/>
        <v>0</v>
      </c>
      <c r="T747">
        <f t="shared" si="223"/>
        <v>0</v>
      </c>
      <c r="U747" s="1">
        <f t="shared" si="218"/>
        <v>0</v>
      </c>
      <c r="V747">
        <f t="shared" si="219"/>
        <v>1.437143053355834E+27</v>
      </c>
      <c r="W747">
        <f t="shared" si="224"/>
        <v>0</v>
      </c>
      <c r="Y747">
        <f t="shared" si="225"/>
        <v>7.4049999999998866</v>
      </c>
      <c r="Z747">
        <f t="shared" si="220"/>
        <v>0</v>
      </c>
      <c r="AA747">
        <f t="shared" si="226"/>
        <v>0</v>
      </c>
      <c r="AB747">
        <f t="shared" si="227"/>
        <v>0</v>
      </c>
      <c r="AC747" s="1">
        <f t="shared" si="221"/>
        <v>0</v>
      </c>
    </row>
    <row r="748" spans="9:29" x14ac:dyDescent="0.2">
      <c r="I748">
        <f t="shared" si="228"/>
        <v>7.4149999999998863</v>
      </c>
      <c r="J748">
        <f t="shared" si="210"/>
        <v>0</v>
      </c>
      <c r="K748">
        <f t="shared" si="222"/>
        <v>0</v>
      </c>
      <c r="L748">
        <f t="shared" si="211"/>
        <v>0</v>
      </c>
      <c r="M748">
        <f t="shared" si="212"/>
        <v>0</v>
      </c>
      <c r="N748">
        <f t="shared" si="213"/>
        <v>0</v>
      </c>
      <c r="O748">
        <f t="shared" si="214"/>
        <v>0</v>
      </c>
      <c r="P748">
        <f t="shared" si="215"/>
        <v>0</v>
      </c>
      <c r="R748">
        <f t="shared" si="216"/>
        <v>7.4149999999998863</v>
      </c>
      <c r="S748">
        <f t="shared" si="217"/>
        <v>0</v>
      </c>
      <c r="T748">
        <f t="shared" si="223"/>
        <v>0</v>
      </c>
      <c r="U748" s="1">
        <f t="shared" si="218"/>
        <v>0</v>
      </c>
      <c r="V748">
        <f t="shared" si="219"/>
        <v>1.4876473740789256E+27</v>
      </c>
      <c r="W748">
        <f t="shared" si="224"/>
        <v>0</v>
      </c>
      <c r="Y748">
        <f t="shared" si="225"/>
        <v>7.4149999999998863</v>
      </c>
      <c r="Z748">
        <f t="shared" si="220"/>
        <v>0</v>
      </c>
      <c r="AA748">
        <f t="shared" si="226"/>
        <v>0</v>
      </c>
      <c r="AB748">
        <f t="shared" si="227"/>
        <v>0</v>
      </c>
      <c r="AC748" s="1">
        <f t="shared" si="221"/>
        <v>0</v>
      </c>
    </row>
    <row r="749" spans="9:29" x14ac:dyDescent="0.2">
      <c r="I749">
        <f t="shared" si="228"/>
        <v>7.4249999999998861</v>
      </c>
      <c r="J749">
        <f t="shared" si="210"/>
        <v>0</v>
      </c>
      <c r="K749">
        <f t="shared" si="222"/>
        <v>0</v>
      </c>
      <c r="L749">
        <f t="shared" si="211"/>
        <v>0</v>
      </c>
      <c r="M749">
        <f t="shared" si="212"/>
        <v>0</v>
      </c>
      <c r="N749">
        <f t="shared" si="213"/>
        <v>0</v>
      </c>
      <c r="O749">
        <f t="shared" si="214"/>
        <v>0</v>
      </c>
      <c r="P749">
        <f t="shared" si="215"/>
        <v>0</v>
      </c>
      <c r="R749">
        <f t="shared" si="216"/>
        <v>7.4249999999998861</v>
      </c>
      <c r="S749">
        <f t="shared" si="217"/>
        <v>0</v>
      </c>
      <c r="T749">
        <f t="shared" si="223"/>
        <v>0</v>
      </c>
      <c r="U749" s="1">
        <f t="shared" si="218"/>
        <v>0</v>
      </c>
      <c r="V749">
        <f t="shared" si="219"/>
        <v>1.5399265260588952E+27</v>
      </c>
      <c r="W749">
        <f t="shared" si="224"/>
        <v>0</v>
      </c>
      <c r="Y749">
        <f t="shared" si="225"/>
        <v>7.4249999999998861</v>
      </c>
      <c r="Z749">
        <f t="shared" si="220"/>
        <v>0</v>
      </c>
      <c r="AA749">
        <f t="shared" si="226"/>
        <v>0</v>
      </c>
      <c r="AB749">
        <f t="shared" si="227"/>
        <v>0</v>
      </c>
      <c r="AC749" s="1">
        <f t="shared" si="221"/>
        <v>0</v>
      </c>
    </row>
    <row r="750" spans="9:29" x14ac:dyDescent="0.2">
      <c r="I750">
        <f t="shared" si="228"/>
        <v>7.4349999999998859</v>
      </c>
      <c r="J750">
        <f t="shared" si="210"/>
        <v>0</v>
      </c>
      <c r="K750">
        <f t="shared" si="222"/>
        <v>0</v>
      </c>
      <c r="L750">
        <f t="shared" si="211"/>
        <v>0</v>
      </c>
      <c r="M750">
        <f t="shared" si="212"/>
        <v>0</v>
      </c>
      <c r="N750">
        <f t="shared" si="213"/>
        <v>0</v>
      </c>
      <c r="O750">
        <f t="shared" si="214"/>
        <v>0</v>
      </c>
      <c r="P750">
        <f t="shared" si="215"/>
        <v>0</v>
      </c>
      <c r="R750">
        <f t="shared" si="216"/>
        <v>7.4349999999998859</v>
      </c>
      <c r="S750">
        <f t="shared" si="217"/>
        <v>0</v>
      </c>
      <c r="T750">
        <f t="shared" si="223"/>
        <v>0</v>
      </c>
      <c r="U750" s="1">
        <f t="shared" si="218"/>
        <v>0</v>
      </c>
      <c r="V750">
        <f t="shared" si="219"/>
        <v>1.5940428807115994E+27</v>
      </c>
      <c r="W750">
        <f t="shared" si="224"/>
        <v>0</v>
      </c>
      <c r="Y750">
        <f t="shared" si="225"/>
        <v>7.4349999999998859</v>
      </c>
      <c r="Z750">
        <f t="shared" si="220"/>
        <v>0</v>
      </c>
      <c r="AA750">
        <f t="shared" si="226"/>
        <v>0</v>
      </c>
      <c r="AB750">
        <f t="shared" si="227"/>
        <v>0</v>
      </c>
      <c r="AC750" s="1">
        <f t="shared" si="221"/>
        <v>0</v>
      </c>
    </row>
    <row r="751" spans="9:29" x14ac:dyDescent="0.2">
      <c r="I751">
        <f t="shared" si="228"/>
        <v>7.4449999999998857</v>
      </c>
      <c r="J751">
        <f t="shared" si="210"/>
        <v>0</v>
      </c>
      <c r="K751">
        <f t="shared" si="222"/>
        <v>0</v>
      </c>
      <c r="L751">
        <f t="shared" si="211"/>
        <v>0</v>
      </c>
      <c r="M751">
        <f t="shared" si="212"/>
        <v>0</v>
      </c>
      <c r="N751">
        <f t="shared" si="213"/>
        <v>0</v>
      </c>
      <c r="O751">
        <f t="shared" si="214"/>
        <v>0</v>
      </c>
      <c r="P751">
        <f t="shared" si="215"/>
        <v>0</v>
      </c>
      <c r="R751">
        <f t="shared" si="216"/>
        <v>7.4449999999998857</v>
      </c>
      <c r="S751">
        <f t="shared" si="217"/>
        <v>0</v>
      </c>
      <c r="T751">
        <f t="shared" si="223"/>
        <v>0</v>
      </c>
      <c r="U751" s="1">
        <f t="shared" si="218"/>
        <v>0</v>
      </c>
      <c r="V751">
        <f t="shared" si="219"/>
        <v>1.6500610013195992E+27</v>
      </c>
      <c r="W751">
        <f t="shared" si="224"/>
        <v>0</v>
      </c>
      <c r="Y751">
        <f t="shared" si="225"/>
        <v>7.4449999999998857</v>
      </c>
      <c r="Z751">
        <f t="shared" si="220"/>
        <v>0</v>
      </c>
      <c r="AA751">
        <f t="shared" si="226"/>
        <v>0</v>
      </c>
      <c r="AB751">
        <f t="shared" si="227"/>
        <v>0</v>
      </c>
      <c r="AC751" s="1">
        <f t="shared" si="221"/>
        <v>0</v>
      </c>
    </row>
    <row r="752" spans="9:29" x14ac:dyDescent="0.2">
      <c r="I752">
        <f t="shared" si="228"/>
        <v>7.4549999999998855</v>
      </c>
      <c r="J752">
        <f t="shared" si="210"/>
        <v>0</v>
      </c>
      <c r="K752">
        <f t="shared" si="222"/>
        <v>0</v>
      </c>
      <c r="L752">
        <f t="shared" si="211"/>
        <v>0</v>
      </c>
      <c r="M752">
        <f t="shared" si="212"/>
        <v>0</v>
      </c>
      <c r="N752">
        <f t="shared" si="213"/>
        <v>0</v>
      </c>
      <c r="O752">
        <f t="shared" si="214"/>
        <v>0</v>
      </c>
      <c r="P752">
        <f t="shared" si="215"/>
        <v>0</v>
      </c>
      <c r="R752">
        <f t="shared" si="216"/>
        <v>7.4549999999998855</v>
      </c>
      <c r="S752">
        <f t="shared" si="217"/>
        <v>0</v>
      </c>
      <c r="T752">
        <f t="shared" si="223"/>
        <v>0</v>
      </c>
      <c r="U752" s="1">
        <f t="shared" si="218"/>
        <v>0</v>
      </c>
      <c r="V752">
        <f t="shared" si="219"/>
        <v>1.7080477200590575E+27</v>
      </c>
      <c r="W752">
        <f t="shared" si="224"/>
        <v>0</v>
      </c>
      <c r="Y752">
        <f t="shared" si="225"/>
        <v>7.4549999999998855</v>
      </c>
      <c r="Z752">
        <f t="shared" si="220"/>
        <v>0</v>
      </c>
      <c r="AA752">
        <f t="shared" si="226"/>
        <v>0</v>
      </c>
      <c r="AB752">
        <f t="shared" si="227"/>
        <v>0</v>
      </c>
      <c r="AC752" s="1">
        <f t="shared" si="221"/>
        <v>0</v>
      </c>
    </row>
    <row r="753" spans="9:29" x14ac:dyDescent="0.2">
      <c r="I753">
        <f t="shared" si="228"/>
        <v>7.4649999999998853</v>
      </c>
      <c r="J753">
        <f t="shared" si="210"/>
        <v>0</v>
      </c>
      <c r="K753">
        <f t="shared" si="222"/>
        <v>0</v>
      </c>
      <c r="L753">
        <f t="shared" si="211"/>
        <v>0</v>
      </c>
      <c r="M753">
        <f t="shared" si="212"/>
        <v>0</v>
      </c>
      <c r="N753">
        <f t="shared" si="213"/>
        <v>0</v>
      </c>
      <c r="O753">
        <f t="shared" si="214"/>
        <v>0</v>
      </c>
      <c r="P753">
        <f t="shared" si="215"/>
        <v>0</v>
      </c>
      <c r="R753">
        <f t="shared" si="216"/>
        <v>7.4649999999998853</v>
      </c>
      <c r="S753">
        <f t="shared" si="217"/>
        <v>0</v>
      </c>
      <c r="T753">
        <f t="shared" si="223"/>
        <v>0</v>
      </c>
      <c r="U753" s="1">
        <f t="shared" si="218"/>
        <v>0</v>
      </c>
      <c r="V753">
        <f t="shared" si="219"/>
        <v>1.7680722177336331E+27</v>
      </c>
      <c r="W753">
        <f t="shared" si="224"/>
        <v>0</v>
      </c>
      <c r="Y753">
        <f t="shared" si="225"/>
        <v>7.4649999999998853</v>
      </c>
      <c r="Z753">
        <f t="shared" si="220"/>
        <v>0</v>
      </c>
      <c r="AA753">
        <f t="shared" si="226"/>
        <v>0</v>
      </c>
      <c r="AB753">
        <f t="shared" si="227"/>
        <v>0</v>
      </c>
      <c r="AC753" s="1">
        <f t="shared" si="221"/>
        <v>0</v>
      </c>
    </row>
    <row r="754" spans="9:29" x14ac:dyDescent="0.2">
      <c r="I754">
        <f t="shared" si="228"/>
        <v>7.4749999999998851</v>
      </c>
      <c r="J754">
        <f t="shared" si="210"/>
        <v>0</v>
      </c>
      <c r="K754">
        <f t="shared" si="222"/>
        <v>0</v>
      </c>
      <c r="L754">
        <f t="shared" si="211"/>
        <v>0</v>
      </c>
      <c r="M754">
        <f t="shared" si="212"/>
        <v>0</v>
      </c>
      <c r="N754">
        <f t="shared" si="213"/>
        <v>0</v>
      </c>
      <c r="O754">
        <f t="shared" si="214"/>
        <v>0</v>
      </c>
      <c r="P754">
        <f t="shared" si="215"/>
        <v>0</v>
      </c>
      <c r="R754">
        <f t="shared" si="216"/>
        <v>7.4749999999998851</v>
      </c>
      <c r="S754">
        <f t="shared" si="217"/>
        <v>0</v>
      </c>
      <c r="T754">
        <f t="shared" si="223"/>
        <v>0</v>
      </c>
      <c r="U754" s="1">
        <f t="shared" si="218"/>
        <v>0</v>
      </c>
      <c r="V754">
        <f t="shared" si="219"/>
        <v>1.8302061063103454E+27</v>
      </c>
      <c r="W754">
        <f t="shared" si="224"/>
        <v>0</v>
      </c>
      <c r="Y754">
        <f t="shared" si="225"/>
        <v>7.4749999999998851</v>
      </c>
      <c r="Z754">
        <f t="shared" si="220"/>
        <v>0</v>
      </c>
      <c r="AA754">
        <f t="shared" si="226"/>
        <v>0</v>
      </c>
      <c r="AB754">
        <f t="shared" si="227"/>
        <v>0</v>
      </c>
      <c r="AC754" s="1">
        <f t="shared" si="221"/>
        <v>0</v>
      </c>
    </row>
    <row r="755" spans="9:29" x14ac:dyDescent="0.2">
      <c r="I755">
        <f t="shared" si="228"/>
        <v>7.4849999999998849</v>
      </c>
      <c r="J755">
        <f t="shared" si="210"/>
        <v>0</v>
      </c>
      <c r="K755">
        <f t="shared" si="222"/>
        <v>0</v>
      </c>
      <c r="L755">
        <f t="shared" si="211"/>
        <v>0</v>
      </c>
      <c r="M755">
        <f t="shared" si="212"/>
        <v>0</v>
      </c>
      <c r="N755">
        <f t="shared" si="213"/>
        <v>0</v>
      </c>
      <c r="O755">
        <f t="shared" si="214"/>
        <v>0</v>
      </c>
      <c r="P755">
        <f t="shared" si="215"/>
        <v>0</v>
      </c>
      <c r="R755">
        <f t="shared" si="216"/>
        <v>7.4849999999998849</v>
      </c>
      <c r="S755">
        <f t="shared" si="217"/>
        <v>0</v>
      </c>
      <c r="T755">
        <f t="shared" si="223"/>
        <v>0</v>
      </c>
      <c r="U755" s="1">
        <f t="shared" si="218"/>
        <v>0</v>
      </c>
      <c r="V755">
        <f t="shared" si="219"/>
        <v>1.8945235143558426E+27</v>
      </c>
      <c r="W755">
        <f t="shared" si="224"/>
        <v>0</v>
      </c>
      <c r="Y755">
        <f t="shared" si="225"/>
        <v>7.4849999999998849</v>
      </c>
      <c r="Z755">
        <f t="shared" si="220"/>
        <v>0</v>
      </c>
      <c r="AA755">
        <f t="shared" si="226"/>
        <v>0</v>
      </c>
      <c r="AB755">
        <f t="shared" si="227"/>
        <v>0</v>
      </c>
      <c r="AC755" s="1">
        <f t="shared" si="221"/>
        <v>0</v>
      </c>
    </row>
    <row r="756" spans="9:29" x14ac:dyDescent="0.2">
      <c r="I756">
        <f t="shared" si="228"/>
        <v>7.4949999999998846</v>
      </c>
      <c r="J756">
        <f t="shared" si="210"/>
        <v>0</v>
      </c>
      <c r="K756">
        <f t="shared" si="222"/>
        <v>0</v>
      </c>
      <c r="L756">
        <f t="shared" si="211"/>
        <v>0</v>
      </c>
      <c r="M756">
        <f t="shared" si="212"/>
        <v>0</v>
      </c>
      <c r="N756">
        <f t="shared" si="213"/>
        <v>0</v>
      </c>
      <c r="O756">
        <f t="shared" si="214"/>
        <v>0</v>
      </c>
      <c r="P756">
        <f t="shared" si="215"/>
        <v>0</v>
      </c>
      <c r="R756">
        <f t="shared" si="216"/>
        <v>7.4949999999998846</v>
      </c>
      <c r="S756">
        <f t="shared" si="217"/>
        <v>0</v>
      </c>
      <c r="T756">
        <f t="shared" si="223"/>
        <v>0</v>
      </c>
      <c r="U756" s="1">
        <f t="shared" si="218"/>
        <v>0</v>
      </c>
      <c r="V756">
        <f t="shared" si="219"/>
        <v>1.9611011754752714E+27</v>
      </c>
      <c r="W756">
        <f t="shared" si="224"/>
        <v>0</v>
      </c>
      <c r="Y756">
        <f t="shared" si="225"/>
        <v>7.4949999999998846</v>
      </c>
      <c r="Z756">
        <f t="shared" si="220"/>
        <v>0</v>
      </c>
      <c r="AA756">
        <f t="shared" si="226"/>
        <v>0</v>
      </c>
      <c r="AB756">
        <f t="shared" si="227"/>
        <v>0</v>
      </c>
      <c r="AC756" s="1">
        <f t="shared" si="221"/>
        <v>0</v>
      </c>
    </row>
    <row r="757" spans="9:29" x14ac:dyDescent="0.2">
      <c r="I757">
        <f t="shared" si="228"/>
        <v>7.5049999999998844</v>
      </c>
      <c r="J757">
        <f t="shared" si="210"/>
        <v>0</v>
      </c>
      <c r="K757">
        <f t="shared" si="222"/>
        <v>0</v>
      </c>
      <c r="L757">
        <f t="shared" si="211"/>
        <v>0</v>
      </c>
      <c r="M757">
        <f t="shared" si="212"/>
        <v>0</v>
      </c>
      <c r="N757">
        <f t="shared" si="213"/>
        <v>0</v>
      </c>
      <c r="O757">
        <f t="shared" si="214"/>
        <v>0</v>
      </c>
      <c r="P757">
        <f t="shared" si="215"/>
        <v>0</v>
      </c>
      <c r="R757">
        <f t="shared" si="216"/>
        <v>7.5049999999998844</v>
      </c>
      <c r="S757">
        <f t="shared" si="217"/>
        <v>0</v>
      </c>
      <c r="T757">
        <f t="shared" si="223"/>
        <v>0</v>
      </c>
      <c r="U757" s="1">
        <f t="shared" si="218"/>
        <v>0</v>
      </c>
      <c r="V757">
        <f t="shared" si="219"/>
        <v>2.0300185198588803E+27</v>
      </c>
      <c r="W757">
        <f t="shared" si="224"/>
        <v>0</v>
      </c>
      <c r="Y757">
        <f t="shared" si="225"/>
        <v>7.5049999999998844</v>
      </c>
      <c r="Z757">
        <f t="shared" si="220"/>
        <v>0</v>
      </c>
      <c r="AA757">
        <f t="shared" si="226"/>
        <v>0</v>
      </c>
      <c r="AB757">
        <f t="shared" si="227"/>
        <v>0</v>
      </c>
      <c r="AC757" s="1">
        <f t="shared" si="221"/>
        <v>0</v>
      </c>
    </row>
    <row r="758" spans="9:29" x14ac:dyDescent="0.2">
      <c r="I758">
        <f t="shared" si="228"/>
        <v>7.5149999999998842</v>
      </c>
      <c r="J758">
        <f t="shared" si="210"/>
        <v>0</v>
      </c>
      <c r="K758">
        <f t="shared" si="222"/>
        <v>0</v>
      </c>
      <c r="L758">
        <f t="shared" si="211"/>
        <v>0</v>
      </c>
      <c r="M758">
        <f t="shared" si="212"/>
        <v>0</v>
      </c>
      <c r="N758">
        <f t="shared" si="213"/>
        <v>0</v>
      </c>
      <c r="O758">
        <f t="shared" si="214"/>
        <v>0</v>
      </c>
      <c r="P758">
        <f t="shared" si="215"/>
        <v>0</v>
      </c>
      <c r="R758">
        <f t="shared" si="216"/>
        <v>7.5149999999998842</v>
      </c>
      <c r="S758">
        <f t="shared" si="217"/>
        <v>0</v>
      </c>
      <c r="T758">
        <f t="shared" si="223"/>
        <v>0</v>
      </c>
      <c r="U758" s="1">
        <f t="shared" si="218"/>
        <v>0</v>
      </c>
      <c r="V758">
        <f t="shared" si="219"/>
        <v>2.1013577690459306E+27</v>
      </c>
      <c r="W758">
        <f t="shared" si="224"/>
        <v>0</v>
      </c>
      <c r="Y758">
        <f t="shared" si="225"/>
        <v>7.5149999999998842</v>
      </c>
      <c r="Z758">
        <f t="shared" si="220"/>
        <v>0</v>
      </c>
      <c r="AA758">
        <f t="shared" si="226"/>
        <v>0</v>
      </c>
      <c r="AB758">
        <f t="shared" si="227"/>
        <v>0</v>
      </c>
      <c r="AC758" s="1">
        <f t="shared" si="221"/>
        <v>0</v>
      </c>
    </row>
    <row r="759" spans="9:29" x14ac:dyDescent="0.2">
      <c r="I759">
        <f t="shared" si="228"/>
        <v>7.524999999999884</v>
      </c>
      <c r="J759">
        <f t="shared" si="210"/>
        <v>0</v>
      </c>
      <c r="K759">
        <f t="shared" si="222"/>
        <v>0</v>
      </c>
      <c r="L759">
        <f t="shared" si="211"/>
        <v>0</v>
      </c>
      <c r="M759">
        <f t="shared" si="212"/>
        <v>0</v>
      </c>
      <c r="N759">
        <f t="shared" si="213"/>
        <v>0</v>
      </c>
      <c r="O759">
        <f t="shared" si="214"/>
        <v>0</v>
      </c>
      <c r="P759">
        <f t="shared" si="215"/>
        <v>0</v>
      </c>
      <c r="R759">
        <f t="shared" si="216"/>
        <v>7.524999999999884</v>
      </c>
      <c r="S759">
        <f t="shared" si="217"/>
        <v>0</v>
      </c>
      <c r="T759">
        <f t="shared" si="223"/>
        <v>0</v>
      </c>
      <c r="U759" s="1">
        <f t="shared" si="218"/>
        <v>0</v>
      </c>
      <c r="V759">
        <f t="shared" si="219"/>
        <v>2.1752040340186764E+27</v>
      </c>
      <c r="W759">
        <f t="shared" si="224"/>
        <v>0</v>
      </c>
      <c r="Y759">
        <f t="shared" si="225"/>
        <v>7.524999999999884</v>
      </c>
      <c r="Z759">
        <f t="shared" si="220"/>
        <v>0</v>
      </c>
      <c r="AA759">
        <f t="shared" si="226"/>
        <v>0</v>
      </c>
      <c r="AB759">
        <f t="shared" si="227"/>
        <v>0</v>
      </c>
      <c r="AC759" s="1">
        <f t="shared" si="221"/>
        <v>0</v>
      </c>
    </row>
    <row r="760" spans="9:29" x14ac:dyDescent="0.2">
      <c r="I760">
        <f t="shared" si="228"/>
        <v>7.5349999999998838</v>
      </c>
      <c r="J760">
        <f t="shared" si="210"/>
        <v>0</v>
      </c>
      <c r="K760">
        <f t="shared" si="222"/>
        <v>0</v>
      </c>
      <c r="L760">
        <f t="shared" si="211"/>
        <v>0</v>
      </c>
      <c r="M760">
        <f t="shared" si="212"/>
        <v>0</v>
      </c>
      <c r="N760">
        <f t="shared" si="213"/>
        <v>0</v>
      </c>
      <c r="O760">
        <f t="shared" si="214"/>
        <v>0</v>
      </c>
      <c r="P760">
        <f t="shared" si="215"/>
        <v>0</v>
      </c>
      <c r="R760">
        <f t="shared" si="216"/>
        <v>7.5349999999998838</v>
      </c>
      <c r="S760">
        <f t="shared" si="217"/>
        <v>0</v>
      </c>
      <c r="T760">
        <f t="shared" si="223"/>
        <v>0</v>
      </c>
      <c r="U760" s="1">
        <f t="shared" si="218"/>
        <v>0</v>
      </c>
      <c r="V760">
        <f t="shared" si="219"/>
        <v>2.2516454167437416E+27</v>
      </c>
      <c r="W760">
        <f t="shared" si="224"/>
        <v>0</v>
      </c>
      <c r="Y760">
        <f t="shared" si="225"/>
        <v>7.5349999999998838</v>
      </c>
      <c r="Z760">
        <f t="shared" si="220"/>
        <v>0</v>
      </c>
      <c r="AA760">
        <f t="shared" si="226"/>
        <v>0</v>
      </c>
      <c r="AB760">
        <f t="shared" si="227"/>
        <v>0</v>
      </c>
      <c r="AC760" s="1">
        <f t="shared" si="221"/>
        <v>0</v>
      </c>
    </row>
    <row r="761" spans="9:29" x14ac:dyDescent="0.2">
      <c r="I761">
        <f t="shared" si="228"/>
        <v>7.5449999999998836</v>
      </c>
      <c r="J761">
        <f t="shared" si="210"/>
        <v>0</v>
      </c>
      <c r="K761">
        <f t="shared" si="222"/>
        <v>0</v>
      </c>
      <c r="L761">
        <f t="shared" si="211"/>
        <v>0</v>
      </c>
      <c r="M761">
        <f t="shared" si="212"/>
        <v>0</v>
      </c>
      <c r="N761">
        <f t="shared" si="213"/>
        <v>0</v>
      </c>
      <c r="O761">
        <f t="shared" si="214"/>
        <v>0</v>
      </c>
      <c r="P761">
        <f t="shared" si="215"/>
        <v>0</v>
      </c>
      <c r="R761">
        <f t="shared" si="216"/>
        <v>7.5449999999998836</v>
      </c>
      <c r="S761">
        <f t="shared" si="217"/>
        <v>0</v>
      </c>
      <c r="T761">
        <f t="shared" si="223"/>
        <v>0</v>
      </c>
      <c r="U761" s="1">
        <f t="shared" si="218"/>
        <v>0</v>
      </c>
      <c r="V761">
        <f t="shared" si="219"/>
        <v>2.3307731152817136E+27</v>
      </c>
      <c r="W761">
        <f t="shared" si="224"/>
        <v>0</v>
      </c>
      <c r="Y761">
        <f t="shared" si="225"/>
        <v>7.5449999999998836</v>
      </c>
      <c r="Z761">
        <f t="shared" si="220"/>
        <v>0</v>
      </c>
      <c r="AA761">
        <f t="shared" si="226"/>
        <v>0</v>
      </c>
      <c r="AB761">
        <f t="shared" si="227"/>
        <v>0</v>
      </c>
      <c r="AC761" s="1">
        <f t="shared" si="221"/>
        <v>0</v>
      </c>
    </row>
    <row r="762" spans="9:29" x14ac:dyDescent="0.2">
      <c r="I762">
        <f t="shared" si="228"/>
        <v>7.5549999999998834</v>
      </c>
      <c r="J762">
        <f t="shared" si="210"/>
        <v>0</v>
      </c>
      <c r="K762">
        <f t="shared" si="222"/>
        <v>0</v>
      </c>
      <c r="L762">
        <f t="shared" si="211"/>
        <v>0</v>
      </c>
      <c r="M762">
        <f t="shared" si="212"/>
        <v>0</v>
      </c>
      <c r="N762">
        <f t="shared" si="213"/>
        <v>0</v>
      </c>
      <c r="O762">
        <f t="shared" si="214"/>
        <v>0</v>
      </c>
      <c r="P762">
        <f t="shared" si="215"/>
        <v>0</v>
      </c>
      <c r="R762">
        <f t="shared" si="216"/>
        <v>7.5549999999998834</v>
      </c>
      <c r="S762">
        <f t="shared" si="217"/>
        <v>0</v>
      </c>
      <c r="T762">
        <f t="shared" si="223"/>
        <v>0</v>
      </c>
      <c r="U762" s="1">
        <f t="shared" si="218"/>
        <v>0</v>
      </c>
      <c r="V762">
        <f t="shared" si="219"/>
        <v>2.4126815325906768E+27</v>
      </c>
      <c r="W762">
        <f t="shared" si="224"/>
        <v>0</v>
      </c>
      <c r="Y762">
        <f t="shared" si="225"/>
        <v>7.5549999999998834</v>
      </c>
      <c r="Z762">
        <f t="shared" si="220"/>
        <v>0</v>
      </c>
      <c r="AA762">
        <f t="shared" si="226"/>
        <v>0</v>
      </c>
      <c r="AB762">
        <f t="shared" si="227"/>
        <v>0</v>
      </c>
      <c r="AC762" s="1">
        <f t="shared" si="221"/>
        <v>0</v>
      </c>
    </row>
    <row r="763" spans="9:29" x14ac:dyDescent="0.2">
      <c r="I763">
        <f t="shared" si="228"/>
        <v>7.5649999999998832</v>
      </c>
      <c r="J763">
        <f t="shared" si="210"/>
        <v>0</v>
      </c>
      <c r="K763">
        <f t="shared" si="222"/>
        <v>0</v>
      </c>
      <c r="L763">
        <f t="shared" si="211"/>
        <v>0</v>
      </c>
      <c r="M763">
        <f t="shared" si="212"/>
        <v>0</v>
      </c>
      <c r="N763">
        <f t="shared" si="213"/>
        <v>0</v>
      </c>
      <c r="O763">
        <f t="shared" si="214"/>
        <v>0</v>
      </c>
      <c r="P763">
        <f t="shared" si="215"/>
        <v>0</v>
      </c>
      <c r="R763">
        <f t="shared" si="216"/>
        <v>7.5649999999998832</v>
      </c>
      <c r="S763">
        <f t="shared" si="217"/>
        <v>0</v>
      </c>
      <c r="T763">
        <f t="shared" si="223"/>
        <v>0</v>
      </c>
      <c r="U763" s="1">
        <f t="shared" si="218"/>
        <v>0</v>
      </c>
      <c r="V763">
        <f t="shared" si="219"/>
        <v>2.497468389153135E+27</v>
      </c>
      <c r="W763">
        <f t="shared" si="224"/>
        <v>0</v>
      </c>
      <c r="Y763">
        <f t="shared" si="225"/>
        <v>7.5649999999998832</v>
      </c>
      <c r="Z763">
        <f t="shared" si="220"/>
        <v>0</v>
      </c>
      <c r="AA763">
        <f t="shared" si="226"/>
        <v>0</v>
      </c>
      <c r="AB763">
        <f t="shared" si="227"/>
        <v>0</v>
      </c>
      <c r="AC763" s="1">
        <f t="shared" si="221"/>
        <v>0</v>
      </c>
    </row>
    <row r="764" spans="9:29" x14ac:dyDescent="0.2">
      <c r="I764">
        <f t="shared" si="228"/>
        <v>7.5749999999998829</v>
      </c>
      <c r="J764">
        <f t="shared" si="210"/>
        <v>0</v>
      </c>
      <c r="K764">
        <f t="shared" si="222"/>
        <v>0</v>
      </c>
      <c r="L764">
        <f t="shared" si="211"/>
        <v>0</v>
      </c>
      <c r="M764">
        <f t="shared" si="212"/>
        <v>0</v>
      </c>
      <c r="N764">
        <f t="shared" si="213"/>
        <v>0</v>
      </c>
      <c r="O764">
        <f t="shared" si="214"/>
        <v>0</v>
      </c>
      <c r="P764">
        <f t="shared" si="215"/>
        <v>0</v>
      </c>
      <c r="R764">
        <f t="shared" si="216"/>
        <v>7.5749999999998829</v>
      </c>
      <c r="S764">
        <f t="shared" si="217"/>
        <v>0</v>
      </c>
      <c r="T764">
        <f t="shared" si="223"/>
        <v>0</v>
      </c>
      <c r="U764" s="1">
        <f t="shared" si="218"/>
        <v>0</v>
      </c>
      <c r="V764">
        <f t="shared" si="219"/>
        <v>2.5852348395611647E+27</v>
      </c>
      <c r="W764">
        <f t="shared" si="224"/>
        <v>0</v>
      </c>
      <c r="Y764">
        <f t="shared" si="225"/>
        <v>7.5749999999998829</v>
      </c>
      <c r="Z764">
        <f t="shared" si="220"/>
        <v>0</v>
      </c>
      <c r="AA764">
        <f t="shared" si="226"/>
        <v>0</v>
      </c>
      <c r="AB764">
        <f t="shared" si="227"/>
        <v>0</v>
      </c>
      <c r="AC764" s="1">
        <f t="shared" si="221"/>
        <v>0</v>
      </c>
    </row>
    <row r="765" spans="9:29" x14ac:dyDescent="0.2">
      <c r="I765">
        <f t="shared" si="228"/>
        <v>7.5849999999998827</v>
      </c>
      <c r="J765">
        <f t="shared" si="210"/>
        <v>0</v>
      </c>
      <c r="K765">
        <f t="shared" si="222"/>
        <v>0</v>
      </c>
      <c r="L765">
        <f t="shared" si="211"/>
        <v>0</v>
      </c>
      <c r="M765">
        <f t="shared" si="212"/>
        <v>0</v>
      </c>
      <c r="N765">
        <f t="shared" si="213"/>
        <v>0</v>
      </c>
      <c r="O765">
        <f t="shared" si="214"/>
        <v>0</v>
      </c>
      <c r="P765">
        <f t="shared" si="215"/>
        <v>0</v>
      </c>
      <c r="R765">
        <f t="shared" si="216"/>
        <v>7.5849999999998827</v>
      </c>
      <c r="S765">
        <f t="shared" si="217"/>
        <v>0</v>
      </c>
      <c r="T765">
        <f t="shared" si="223"/>
        <v>0</v>
      </c>
      <c r="U765" s="1">
        <f t="shared" si="218"/>
        <v>0</v>
      </c>
      <c r="V765">
        <f t="shared" si="219"/>
        <v>2.6760855931982696E+27</v>
      </c>
      <c r="W765">
        <f t="shared" si="224"/>
        <v>0</v>
      </c>
      <c r="Y765">
        <f t="shared" si="225"/>
        <v>7.5849999999998827</v>
      </c>
      <c r="Z765">
        <f t="shared" si="220"/>
        <v>0</v>
      </c>
      <c r="AA765">
        <f t="shared" si="226"/>
        <v>0</v>
      </c>
      <c r="AB765">
        <f t="shared" si="227"/>
        <v>0</v>
      </c>
      <c r="AC765" s="1">
        <f t="shared" si="221"/>
        <v>0</v>
      </c>
    </row>
    <row r="766" spans="9:29" x14ac:dyDescent="0.2">
      <c r="I766">
        <f t="shared" si="228"/>
        <v>7.5949999999998825</v>
      </c>
      <c r="J766">
        <f t="shared" si="210"/>
        <v>0</v>
      </c>
      <c r="K766">
        <f t="shared" si="222"/>
        <v>0</v>
      </c>
      <c r="L766">
        <f t="shared" si="211"/>
        <v>0</v>
      </c>
      <c r="M766">
        <f t="shared" si="212"/>
        <v>0</v>
      </c>
      <c r="N766">
        <f t="shared" si="213"/>
        <v>0</v>
      </c>
      <c r="O766">
        <f t="shared" si="214"/>
        <v>0</v>
      </c>
      <c r="P766">
        <f t="shared" si="215"/>
        <v>0</v>
      </c>
      <c r="R766">
        <f t="shared" si="216"/>
        <v>7.5949999999998825</v>
      </c>
      <c r="S766">
        <f t="shared" si="217"/>
        <v>0</v>
      </c>
      <c r="T766">
        <f t="shared" si="223"/>
        <v>0</v>
      </c>
      <c r="U766" s="1">
        <f t="shared" si="218"/>
        <v>0</v>
      </c>
      <c r="V766">
        <f t="shared" si="219"/>
        <v>2.7701290391626334E+27</v>
      </c>
      <c r="W766">
        <f t="shared" si="224"/>
        <v>0</v>
      </c>
      <c r="Y766">
        <f t="shared" si="225"/>
        <v>7.5949999999998825</v>
      </c>
      <c r="Z766">
        <f t="shared" si="220"/>
        <v>0</v>
      </c>
      <c r="AA766">
        <f t="shared" si="226"/>
        <v>0</v>
      </c>
      <c r="AB766">
        <f t="shared" si="227"/>
        <v>0</v>
      </c>
      <c r="AC766" s="1">
        <f t="shared" si="221"/>
        <v>0</v>
      </c>
    </row>
    <row r="767" spans="9:29" x14ac:dyDescent="0.2">
      <c r="I767">
        <f t="shared" si="228"/>
        <v>7.6049999999998823</v>
      </c>
      <c r="J767">
        <f t="shared" si="210"/>
        <v>0</v>
      </c>
      <c r="K767">
        <f t="shared" si="222"/>
        <v>0</v>
      </c>
      <c r="L767">
        <f t="shared" si="211"/>
        <v>0</v>
      </c>
      <c r="M767">
        <f t="shared" si="212"/>
        <v>0</v>
      </c>
      <c r="N767">
        <f t="shared" si="213"/>
        <v>0</v>
      </c>
      <c r="O767">
        <f t="shared" si="214"/>
        <v>0</v>
      </c>
      <c r="P767">
        <f t="shared" si="215"/>
        <v>0</v>
      </c>
      <c r="R767">
        <f t="shared" si="216"/>
        <v>7.6049999999998823</v>
      </c>
      <c r="S767">
        <f t="shared" si="217"/>
        <v>0</v>
      </c>
      <c r="T767">
        <f t="shared" si="223"/>
        <v>0</v>
      </c>
      <c r="U767" s="1">
        <f t="shared" si="218"/>
        <v>0</v>
      </c>
      <c r="V767">
        <f t="shared" si="219"/>
        <v>2.867477375580177E+27</v>
      </c>
      <c r="W767">
        <f t="shared" si="224"/>
        <v>0</v>
      </c>
      <c r="Y767">
        <f t="shared" si="225"/>
        <v>7.6049999999998823</v>
      </c>
      <c r="Z767">
        <f t="shared" si="220"/>
        <v>0</v>
      </c>
      <c r="AA767">
        <f t="shared" si="226"/>
        <v>0</v>
      </c>
      <c r="AB767">
        <f t="shared" si="227"/>
        <v>0</v>
      </c>
      <c r="AC767" s="1">
        <f t="shared" si="221"/>
        <v>0</v>
      </c>
    </row>
    <row r="768" spans="9:29" x14ac:dyDescent="0.2">
      <c r="I768">
        <f t="shared" si="228"/>
        <v>7.6149999999998821</v>
      </c>
      <c r="J768">
        <f t="shared" si="210"/>
        <v>0</v>
      </c>
      <c r="K768">
        <f t="shared" si="222"/>
        <v>0</v>
      </c>
      <c r="L768">
        <f t="shared" si="211"/>
        <v>0</v>
      </c>
      <c r="M768">
        <f t="shared" si="212"/>
        <v>0</v>
      </c>
      <c r="N768">
        <f t="shared" si="213"/>
        <v>0</v>
      </c>
      <c r="O768">
        <f t="shared" si="214"/>
        <v>0</v>
      </c>
      <c r="P768">
        <f t="shared" si="215"/>
        <v>0</v>
      </c>
      <c r="R768">
        <f t="shared" si="216"/>
        <v>7.6149999999998821</v>
      </c>
      <c r="S768">
        <f t="shared" si="217"/>
        <v>0</v>
      </c>
      <c r="T768">
        <f t="shared" si="223"/>
        <v>0</v>
      </c>
      <c r="U768" s="1">
        <f t="shared" si="218"/>
        <v>0</v>
      </c>
      <c r="V768">
        <f t="shared" si="219"/>
        <v>2.968246743462062E+27</v>
      </c>
      <c r="W768">
        <f t="shared" si="224"/>
        <v>0</v>
      </c>
      <c r="Y768">
        <f t="shared" si="225"/>
        <v>7.6149999999998821</v>
      </c>
      <c r="Z768">
        <f t="shared" si="220"/>
        <v>0</v>
      </c>
      <c r="AA768">
        <f t="shared" si="226"/>
        <v>0</v>
      </c>
      <c r="AB768">
        <f t="shared" si="227"/>
        <v>0</v>
      </c>
      <c r="AC768" s="1">
        <f t="shared" si="221"/>
        <v>0</v>
      </c>
    </row>
    <row r="769" spans="9:29" x14ac:dyDescent="0.2">
      <c r="I769">
        <f t="shared" si="228"/>
        <v>7.6249999999998819</v>
      </c>
      <c r="J769">
        <f t="shared" si="210"/>
        <v>0</v>
      </c>
      <c r="K769">
        <f t="shared" si="222"/>
        <v>0</v>
      </c>
      <c r="L769">
        <f t="shared" si="211"/>
        <v>0</v>
      </c>
      <c r="M769">
        <f t="shared" si="212"/>
        <v>0</v>
      </c>
      <c r="N769">
        <f t="shared" si="213"/>
        <v>0</v>
      </c>
      <c r="O769">
        <f t="shared" si="214"/>
        <v>0</v>
      </c>
      <c r="P769">
        <f t="shared" si="215"/>
        <v>0</v>
      </c>
      <c r="R769">
        <f t="shared" si="216"/>
        <v>7.6249999999998819</v>
      </c>
      <c r="S769">
        <f t="shared" si="217"/>
        <v>0</v>
      </c>
      <c r="T769">
        <f t="shared" si="223"/>
        <v>0</v>
      </c>
      <c r="U769" s="1">
        <f t="shared" si="218"/>
        <v>0</v>
      </c>
      <c r="V769">
        <f t="shared" si="219"/>
        <v>3.0725573652662031E+27</v>
      </c>
      <c r="W769">
        <f t="shared" si="224"/>
        <v>0</v>
      </c>
      <c r="Y769">
        <f t="shared" si="225"/>
        <v>7.6249999999998819</v>
      </c>
      <c r="Z769">
        <f t="shared" si="220"/>
        <v>0</v>
      </c>
      <c r="AA769">
        <f t="shared" si="226"/>
        <v>0</v>
      </c>
      <c r="AB769">
        <f t="shared" si="227"/>
        <v>0</v>
      </c>
      <c r="AC769" s="1">
        <f t="shared" si="221"/>
        <v>0</v>
      </c>
    </row>
    <row r="770" spans="9:29" x14ac:dyDescent="0.2">
      <c r="I770">
        <f t="shared" si="228"/>
        <v>7.6349999999998817</v>
      </c>
      <c r="J770">
        <f t="shared" si="210"/>
        <v>0</v>
      </c>
      <c r="K770">
        <f t="shared" si="222"/>
        <v>0</v>
      </c>
      <c r="L770">
        <f t="shared" si="211"/>
        <v>0</v>
      </c>
      <c r="M770">
        <f t="shared" si="212"/>
        <v>0</v>
      </c>
      <c r="N770">
        <f t="shared" si="213"/>
        <v>0</v>
      </c>
      <c r="O770">
        <f t="shared" si="214"/>
        <v>0</v>
      </c>
      <c r="P770">
        <f t="shared" si="215"/>
        <v>0</v>
      </c>
      <c r="R770">
        <f t="shared" si="216"/>
        <v>7.6349999999998817</v>
      </c>
      <c r="S770">
        <f t="shared" si="217"/>
        <v>0</v>
      </c>
      <c r="T770">
        <f t="shared" si="223"/>
        <v>0</v>
      </c>
      <c r="U770" s="1">
        <f t="shared" si="218"/>
        <v>0</v>
      </c>
      <c r="V770">
        <f t="shared" si="219"/>
        <v>3.1805336883282558E+27</v>
      </c>
      <c r="W770">
        <f t="shared" si="224"/>
        <v>0</v>
      </c>
      <c r="Y770">
        <f t="shared" si="225"/>
        <v>7.6349999999998817</v>
      </c>
      <c r="Z770">
        <f t="shared" si="220"/>
        <v>0</v>
      </c>
      <c r="AA770">
        <f t="shared" si="226"/>
        <v>0</v>
      </c>
      <c r="AB770">
        <f t="shared" si="227"/>
        <v>0</v>
      </c>
      <c r="AC770" s="1">
        <f t="shared" si="221"/>
        <v>0</v>
      </c>
    </row>
    <row r="771" spans="9:29" x14ac:dyDescent="0.2">
      <c r="I771">
        <f t="shared" si="228"/>
        <v>7.6449999999998814</v>
      </c>
      <c r="J771">
        <f t="shared" si="210"/>
        <v>0</v>
      </c>
      <c r="K771">
        <f t="shared" si="222"/>
        <v>0</v>
      </c>
      <c r="L771">
        <f t="shared" si="211"/>
        <v>0</v>
      </c>
      <c r="M771">
        <f t="shared" si="212"/>
        <v>0</v>
      </c>
      <c r="N771">
        <f t="shared" si="213"/>
        <v>0</v>
      </c>
      <c r="O771">
        <f t="shared" si="214"/>
        <v>0</v>
      </c>
      <c r="P771">
        <f t="shared" si="215"/>
        <v>0</v>
      </c>
      <c r="R771">
        <f t="shared" si="216"/>
        <v>7.6449999999998814</v>
      </c>
      <c r="S771">
        <f t="shared" si="217"/>
        <v>0</v>
      </c>
      <c r="T771">
        <f t="shared" si="223"/>
        <v>0</v>
      </c>
      <c r="U771" s="1">
        <f t="shared" si="218"/>
        <v>0</v>
      </c>
      <c r="V771">
        <f t="shared" si="219"/>
        <v>3.2923045333327317E+27</v>
      </c>
      <c r="W771">
        <f t="shared" si="224"/>
        <v>0</v>
      </c>
      <c r="Y771">
        <f t="shared" si="225"/>
        <v>7.6449999999998814</v>
      </c>
      <c r="Z771">
        <f t="shared" si="220"/>
        <v>0</v>
      </c>
      <c r="AA771">
        <f t="shared" si="226"/>
        <v>0</v>
      </c>
      <c r="AB771">
        <f t="shared" si="227"/>
        <v>0</v>
      </c>
      <c r="AC771" s="1">
        <f t="shared" si="221"/>
        <v>0</v>
      </c>
    </row>
    <row r="772" spans="9:29" x14ac:dyDescent="0.2">
      <c r="I772">
        <f t="shared" si="228"/>
        <v>7.6549999999998812</v>
      </c>
      <c r="J772">
        <f t="shared" si="210"/>
        <v>0</v>
      </c>
      <c r="K772">
        <f t="shared" si="222"/>
        <v>0</v>
      </c>
      <c r="L772">
        <f t="shared" si="211"/>
        <v>0</v>
      </c>
      <c r="M772">
        <f t="shared" si="212"/>
        <v>0</v>
      </c>
      <c r="N772">
        <f t="shared" si="213"/>
        <v>0</v>
      </c>
      <c r="O772">
        <f t="shared" si="214"/>
        <v>0</v>
      </c>
      <c r="P772">
        <f t="shared" si="215"/>
        <v>0</v>
      </c>
      <c r="R772">
        <f t="shared" si="216"/>
        <v>7.6549999999998812</v>
      </c>
      <c r="S772">
        <f t="shared" si="217"/>
        <v>0</v>
      </c>
      <c r="T772">
        <f t="shared" si="223"/>
        <v>0</v>
      </c>
      <c r="U772" s="1">
        <f t="shared" si="218"/>
        <v>0</v>
      </c>
      <c r="V772">
        <f t="shared" si="219"/>
        <v>3.4080032480022691E+27</v>
      </c>
      <c r="W772">
        <f t="shared" si="224"/>
        <v>0</v>
      </c>
      <c r="Y772">
        <f t="shared" si="225"/>
        <v>7.6549999999998812</v>
      </c>
      <c r="Z772">
        <f t="shared" si="220"/>
        <v>0</v>
      </c>
      <c r="AA772">
        <f t="shared" si="226"/>
        <v>0</v>
      </c>
      <c r="AB772">
        <f t="shared" si="227"/>
        <v>0</v>
      </c>
      <c r="AC772" s="1">
        <f t="shared" si="221"/>
        <v>0</v>
      </c>
    </row>
    <row r="773" spans="9:29" x14ac:dyDescent="0.2">
      <c r="I773">
        <f t="shared" si="228"/>
        <v>7.664999999999881</v>
      </c>
      <c r="J773">
        <f t="shared" si="210"/>
        <v>0</v>
      </c>
      <c r="K773">
        <f t="shared" si="222"/>
        <v>0</v>
      </c>
      <c r="L773">
        <f t="shared" si="211"/>
        <v>0</v>
      </c>
      <c r="M773">
        <f t="shared" si="212"/>
        <v>0</v>
      </c>
      <c r="N773">
        <f t="shared" si="213"/>
        <v>0</v>
      </c>
      <c r="O773">
        <f t="shared" si="214"/>
        <v>0</v>
      </c>
      <c r="P773">
        <f t="shared" si="215"/>
        <v>0</v>
      </c>
      <c r="R773">
        <f t="shared" si="216"/>
        <v>7.664999999999881</v>
      </c>
      <c r="S773">
        <f t="shared" si="217"/>
        <v>0</v>
      </c>
      <c r="T773">
        <f t="shared" si="223"/>
        <v>0</v>
      </c>
      <c r="U773" s="1">
        <f t="shared" si="218"/>
        <v>0</v>
      </c>
      <c r="V773">
        <f t="shared" si="219"/>
        <v>3.5277678661873095E+27</v>
      </c>
      <c r="W773">
        <f t="shared" si="224"/>
        <v>0</v>
      </c>
      <c r="Y773">
        <f t="shared" si="225"/>
        <v>7.664999999999881</v>
      </c>
      <c r="Z773">
        <f t="shared" si="220"/>
        <v>0</v>
      </c>
      <c r="AA773">
        <f t="shared" si="226"/>
        <v>0</v>
      </c>
      <c r="AB773">
        <f t="shared" si="227"/>
        <v>0</v>
      </c>
      <c r="AC773" s="1">
        <f t="shared" si="221"/>
        <v>0</v>
      </c>
    </row>
    <row r="774" spans="9:29" x14ac:dyDescent="0.2">
      <c r="I774">
        <f t="shared" si="228"/>
        <v>7.6749999999998808</v>
      </c>
      <c r="J774">
        <f t="shared" si="210"/>
        <v>0</v>
      </c>
      <c r="K774">
        <f t="shared" si="222"/>
        <v>0</v>
      </c>
      <c r="L774">
        <f t="shared" si="211"/>
        <v>0</v>
      </c>
      <c r="M774">
        <f t="shared" si="212"/>
        <v>0</v>
      </c>
      <c r="N774">
        <f t="shared" si="213"/>
        <v>0</v>
      </c>
      <c r="O774">
        <f t="shared" si="214"/>
        <v>0</v>
      </c>
      <c r="P774">
        <f t="shared" si="215"/>
        <v>0</v>
      </c>
      <c r="R774">
        <f t="shared" si="216"/>
        <v>7.6749999999998808</v>
      </c>
      <c r="S774">
        <f t="shared" si="217"/>
        <v>0</v>
      </c>
      <c r="T774">
        <f t="shared" si="223"/>
        <v>0</v>
      </c>
      <c r="U774" s="1">
        <f t="shared" si="218"/>
        <v>0</v>
      </c>
      <c r="V774">
        <f t="shared" si="219"/>
        <v>3.6517412725468964E+27</v>
      </c>
      <c r="W774">
        <f t="shared" si="224"/>
        <v>0</v>
      </c>
      <c r="Y774">
        <f t="shared" si="225"/>
        <v>7.6749999999998808</v>
      </c>
      <c r="Z774">
        <f t="shared" si="220"/>
        <v>0</v>
      </c>
      <c r="AA774">
        <f t="shared" si="226"/>
        <v>0</v>
      </c>
      <c r="AB774">
        <f t="shared" si="227"/>
        <v>0</v>
      </c>
      <c r="AC774" s="1">
        <f t="shared" si="221"/>
        <v>0</v>
      </c>
    </row>
    <row r="775" spans="9:29" x14ac:dyDescent="0.2">
      <c r="I775">
        <f t="shared" si="228"/>
        <v>7.6849999999998806</v>
      </c>
      <c r="J775">
        <f t="shared" ref="J775:J838" si="229">IF($I775&gt;$B$23,0,1)*IF($I775&lt;($B$23-$B$21),$B$10*EXP(-$B$10*($I775-$B$8)),$B$10*EXP(-$B$10*($B$23-$B$20-$B$21-$B$8)))/(1-EXP(-$B$10*($B$23-$B$21-$B$8)))*(1/(1+$B$24))</f>
        <v>0</v>
      </c>
      <c r="K775">
        <f t="shared" si="222"/>
        <v>0</v>
      </c>
      <c r="L775">
        <f t="shared" ref="L775:L838" si="230">$V775*$J775</f>
        <v>0</v>
      </c>
      <c r="M775">
        <f t="shared" ref="M775:M838" si="231">$K775/$L$4*$B$18</f>
        <v>0</v>
      </c>
      <c r="N775">
        <f t="shared" ref="N775:N838" si="232">IF($I775&gt;$B$23,0,1)*IF($I775&lt;($B$23-$B$21),0,M775)</f>
        <v>0</v>
      </c>
      <c r="O775">
        <f t="shared" ref="O775:O838" si="233">IF($I775&gt;$B$23,0,1)*IF($I775&lt;($B$23-$B$33),0,1)*IF($I775&lt;($B$23-$B$21),$B$10*EXP(-$B$10*($I775-$B$8)),$B$10*EXP(-$B$10*($B$23-$B$20-$B$21-$B$8)))/(1-EXP(-$B$10*($B$23-$B$21-$B$8)))*(1/(1+$B$24))*($B$18/(SUM($L$7:$L$105)*0.05))</f>
        <v>0</v>
      </c>
      <c r="P775">
        <f t="shared" ref="P775:P838" si="234">IF($I775&gt;$B$23,0,1)*IF($I775&lt;($B$23-$B$21),0,1)*$L775</f>
        <v>0</v>
      </c>
      <c r="R775">
        <f t="shared" ref="R775:R838" si="235">$I775</f>
        <v>7.6849999999998806</v>
      </c>
      <c r="S775">
        <f t="shared" ref="S775:S838" si="236">IF($I775&lt;$B$23+0.01,$B$10*EXP(-$B$10*($I775-$B$8))/(1-EXP(-$B$10*($B$23-$B$8))),0)</f>
        <v>0</v>
      </c>
      <c r="T775">
        <f t="shared" si="223"/>
        <v>0</v>
      </c>
      <c r="U775" s="1">
        <f t="shared" ref="U775:U838" si="237">T775*$B$18/$W$4</f>
        <v>0</v>
      </c>
      <c r="V775">
        <f t="shared" ref="V775:V838" si="238">10^(1.5*$I775+16.05)</f>
        <v>3.780071373016605E+27</v>
      </c>
      <c r="W775">
        <f t="shared" si="224"/>
        <v>0</v>
      </c>
      <c r="Y775">
        <f t="shared" si="225"/>
        <v>7.6849999999998806</v>
      </c>
      <c r="Z775">
        <f t="shared" ref="Z775:Z838" si="239">IF(AND($Y775&lt;$B$9+$B$27*$B$28,$Y775&gt;$B$9-$B$27*$B$28),NORMDIST($Y775,$B$9,$B$27,0) / (2*NORMDIST($B$28,0,1,1)-1),0)</f>
        <v>0</v>
      </c>
      <c r="AA775">
        <f t="shared" si="226"/>
        <v>0</v>
      </c>
      <c r="AB775">
        <f t="shared" si="227"/>
        <v>0</v>
      </c>
      <c r="AC775" s="1">
        <f t="shared" ref="AC775:AC838" si="240">$AB775*$B$18/$AA$4</f>
        <v>0</v>
      </c>
    </row>
    <row r="776" spans="9:29" x14ac:dyDescent="0.2">
      <c r="I776">
        <f t="shared" si="228"/>
        <v>7.6949999999998804</v>
      </c>
      <c r="J776">
        <f t="shared" si="229"/>
        <v>0</v>
      </c>
      <c r="K776">
        <f t="shared" ref="K776:K839" si="241">$J776*K$4+K777</f>
        <v>0</v>
      </c>
      <c r="L776">
        <f t="shared" si="230"/>
        <v>0</v>
      </c>
      <c r="M776">
        <f t="shared" si="231"/>
        <v>0</v>
      </c>
      <c r="N776">
        <f t="shared" si="232"/>
        <v>0</v>
      </c>
      <c r="O776">
        <f t="shared" si="233"/>
        <v>0</v>
      </c>
      <c r="P776">
        <f t="shared" si="234"/>
        <v>0</v>
      </c>
      <c r="R776">
        <f t="shared" si="235"/>
        <v>7.6949999999998804</v>
      </c>
      <c r="S776">
        <f t="shared" si="236"/>
        <v>0</v>
      </c>
      <c r="T776">
        <f t="shared" ref="T776:T839" si="242">T777+$S776*0.01</f>
        <v>0</v>
      </c>
      <c r="U776" s="1">
        <f t="shared" si="237"/>
        <v>0</v>
      </c>
      <c r="V776">
        <f t="shared" si="238"/>
        <v>3.9129112712669701E+27</v>
      </c>
      <c r="W776">
        <f t="shared" ref="W776:W839" si="243">$S776*$V776*0.01</f>
        <v>0</v>
      </c>
      <c r="Y776">
        <f t="shared" ref="Y776:Y839" si="244">I776</f>
        <v>7.6949999999998804</v>
      </c>
      <c r="Z776">
        <f t="shared" si="239"/>
        <v>0</v>
      </c>
      <c r="AA776">
        <f t="shared" ref="AA776:AA839" si="245">$V776*$Z776*$K$4</f>
        <v>0</v>
      </c>
      <c r="AB776">
        <f t="shared" ref="AB776:AB839" si="246">Z776*$K$4+AB777</f>
        <v>0</v>
      </c>
      <c r="AC776" s="1">
        <f t="shared" si="240"/>
        <v>0</v>
      </c>
    </row>
    <row r="777" spans="9:29" x14ac:dyDescent="0.2">
      <c r="I777">
        <f t="shared" si="228"/>
        <v>7.7049999999998802</v>
      </c>
      <c r="J777">
        <f t="shared" si="229"/>
        <v>0</v>
      </c>
      <c r="K777">
        <f t="shared" si="241"/>
        <v>0</v>
      </c>
      <c r="L777">
        <f t="shared" si="230"/>
        <v>0</v>
      </c>
      <c r="M777">
        <f t="shared" si="231"/>
        <v>0</v>
      </c>
      <c r="N777">
        <f t="shared" si="232"/>
        <v>0</v>
      </c>
      <c r="O777">
        <f t="shared" si="233"/>
        <v>0</v>
      </c>
      <c r="P777">
        <f t="shared" si="234"/>
        <v>0</v>
      </c>
      <c r="R777">
        <f t="shared" si="235"/>
        <v>7.7049999999998802</v>
      </c>
      <c r="S777">
        <f t="shared" si="236"/>
        <v>0</v>
      </c>
      <c r="T777">
        <f t="shared" si="242"/>
        <v>0</v>
      </c>
      <c r="U777" s="1">
        <f t="shared" si="237"/>
        <v>0</v>
      </c>
      <c r="V777">
        <f t="shared" si="238"/>
        <v>4.0504194513632877E+27</v>
      </c>
      <c r="W777">
        <f t="shared" si="243"/>
        <v>0</v>
      </c>
      <c r="Y777">
        <f t="shared" si="244"/>
        <v>7.7049999999998802</v>
      </c>
      <c r="Z777">
        <f t="shared" si="239"/>
        <v>0</v>
      </c>
      <c r="AA777">
        <f t="shared" si="245"/>
        <v>0</v>
      </c>
      <c r="AB777">
        <f t="shared" si="246"/>
        <v>0</v>
      </c>
      <c r="AC777" s="1">
        <f t="shared" si="240"/>
        <v>0</v>
      </c>
    </row>
    <row r="778" spans="9:29" x14ac:dyDescent="0.2">
      <c r="I778">
        <f t="shared" si="228"/>
        <v>7.71499999999988</v>
      </c>
      <c r="J778">
        <f t="shared" si="229"/>
        <v>0</v>
      </c>
      <c r="K778">
        <f t="shared" si="241"/>
        <v>0</v>
      </c>
      <c r="L778">
        <f t="shared" si="230"/>
        <v>0</v>
      </c>
      <c r="M778">
        <f t="shared" si="231"/>
        <v>0</v>
      </c>
      <c r="N778">
        <f t="shared" si="232"/>
        <v>0</v>
      </c>
      <c r="O778">
        <f t="shared" si="233"/>
        <v>0</v>
      </c>
      <c r="P778">
        <f t="shared" si="234"/>
        <v>0</v>
      </c>
      <c r="R778">
        <f t="shared" si="235"/>
        <v>7.71499999999988</v>
      </c>
      <c r="S778">
        <f t="shared" si="236"/>
        <v>0</v>
      </c>
      <c r="T778">
        <f t="shared" si="242"/>
        <v>0</v>
      </c>
      <c r="U778" s="1">
        <f t="shared" si="237"/>
        <v>0</v>
      </c>
      <c r="V778">
        <f t="shared" si="238"/>
        <v>4.1927599668443521E+27</v>
      </c>
      <c r="W778">
        <f t="shared" si="243"/>
        <v>0</v>
      </c>
      <c r="Y778">
        <f t="shared" si="244"/>
        <v>7.71499999999988</v>
      </c>
      <c r="Z778">
        <f t="shared" si="239"/>
        <v>0</v>
      </c>
      <c r="AA778">
        <f t="shared" si="245"/>
        <v>0</v>
      </c>
      <c r="AB778">
        <f t="shared" si="246"/>
        <v>0</v>
      </c>
      <c r="AC778" s="1">
        <f t="shared" si="240"/>
        <v>0</v>
      </c>
    </row>
    <row r="779" spans="9:29" x14ac:dyDescent="0.2">
      <c r="I779">
        <f t="shared" si="228"/>
        <v>7.7249999999998797</v>
      </c>
      <c r="J779">
        <f t="shared" si="229"/>
        <v>0</v>
      </c>
      <c r="K779">
        <f t="shared" si="241"/>
        <v>0</v>
      </c>
      <c r="L779">
        <f t="shared" si="230"/>
        <v>0</v>
      </c>
      <c r="M779">
        <f t="shared" si="231"/>
        <v>0</v>
      </c>
      <c r="N779">
        <f t="shared" si="232"/>
        <v>0</v>
      </c>
      <c r="O779">
        <f t="shared" si="233"/>
        <v>0</v>
      </c>
      <c r="P779">
        <f t="shared" si="234"/>
        <v>0</v>
      </c>
      <c r="R779">
        <f t="shared" si="235"/>
        <v>7.7249999999998797</v>
      </c>
      <c r="S779">
        <f t="shared" si="236"/>
        <v>0</v>
      </c>
      <c r="T779">
        <f t="shared" si="242"/>
        <v>0</v>
      </c>
      <c r="U779" s="1">
        <f t="shared" si="237"/>
        <v>0</v>
      </c>
      <c r="V779">
        <f t="shared" si="238"/>
        <v>4.340102636445645E+27</v>
      </c>
      <c r="W779">
        <f t="shared" si="243"/>
        <v>0</v>
      </c>
      <c r="Y779">
        <f t="shared" si="244"/>
        <v>7.7249999999998797</v>
      </c>
      <c r="Z779">
        <f t="shared" si="239"/>
        <v>0</v>
      </c>
      <c r="AA779">
        <f t="shared" si="245"/>
        <v>0</v>
      </c>
      <c r="AB779">
        <f t="shared" si="246"/>
        <v>0</v>
      </c>
      <c r="AC779" s="1">
        <f t="shared" si="240"/>
        <v>0</v>
      </c>
    </row>
    <row r="780" spans="9:29" x14ac:dyDescent="0.2">
      <c r="I780">
        <f t="shared" si="228"/>
        <v>7.7349999999998795</v>
      </c>
      <c r="J780">
        <f t="shared" si="229"/>
        <v>0</v>
      </c>
      <c r="K780">
        <f t="shared" si="241"/>
        <v>0</v>
      </c>
      <c r="L780">
        <f t="shared" si="230"/>
        <v>0</v>
      </c>
      <c r="M780">
        <f t="shared" si="231"/>
        <v>0</v>
      </c>
      <c r="N780">
        <f t="shared" si="232"/>
        <v>0</v>
      </c>
      <c r="O780">
        <f t="shared" si="233"/>
        <v>0</v>
      </c>
      <c r="P780">
        <f t="shared" si="234"/>
        <v>0</v>
      </c>
      <c r="R780">
        <f t="shared" si="235"/>
        <v>7.7349999999998795</v>
      </c>
      <c r="S780">
        <f t="shared" si="236"/>
        <v>0</v>
      </c>
      <c r="T780">
        <f t="shared" si="242"/>
        <v>0</v>
      </c>
      <c r="U780" s="1">
        <f t="shared" si="237"/>
        <v>0</v>
      </c>
      <c r="V780">
        <f t="shared" si="238"/>
        <v>4.4926232467010769E+27</v>
      </c>
      <c r="W780">
        <f t="shared" si="243"/>
        <v>0</v>
      </c>
      <c r="Y780">
        <f t="shared" si="244"/>
        <v>7.7349999999998795</v>
      </c>
      <c r="Z780">
        <f t="shared" si="239"/>
        <v>0</v>
      </c>
      <c r="AA780">
        <f t="shared" si="245"/>
        <v>0</v>
      </c>
      <c r="AB780">
        <f t="shared" si="246"/>
        <v>0</v>
      </c>
      <c r="AC780" s="1">
        <f t="shared" si="240"/>
        <v>0</v>
      </c>
    </row>
    <row r="781" spans="9:29" x14ac:dyDescent="0.2">
      <c r="I781">
        <f t="shared" si="228"/>
        <v>7.7449999999998793</v>
      </c>
      <c r="J781">
        <f t="shared" si="229"/>
        <v>0</v>
      </c>
      <c r="K781">
        <f t="shared" si="241"/>
        <v>0</v>
      </c>
      <c r="L781">
        <f t="shared" si="230"/>
        <v>0</v>
      </c>
      <c r="M781">
        <f t="shared" si="231"/>
        <v>0</v>
      </c>
      <c r="N781">
        <f t="shared" si="232"/>
        <v>0</v>
      </c>
      <c r="O781">
        <f t="shared" si="233"/>
        <v>0</v>
      </c>
      <c r="P781">
        <f t="shared" si="234"/>
        <v>0</v>
      </c>
      <c r="R781">
        <f t="shared" si="235"/>
        <v>7.7449999999998793</v>
      </c>
      <c r="S781">
        <f t="shared" si="236"/>
        <v>0</v>
      </c>
      <c r="T781">
        <f t="shared" si="242"/>
        <v>0</v>
      </c>
      <c r="U781" s="1">
        <f t="shared" si="237"/>
        <v>0</v>
      </c>
      <c r="V781">
        <f t="shared" si="238"/>
        <v>4.6505037616641401E+27</v>
      </c>
      <c r="W781">
        <f t="shared" si="243"/>
        <v>0</v>
      </c>
      <c r="Y781">
        <f t="shared" si="244"/>
        <v>7.7449999999998793</v>
      </c>
      <c r="Z781">
        <f t="shared" si="239"/>
        <v>0</v>
      </c>
      <c r="AA781">
        <f t="shared" si="245"/>
        <v>0</v>
      </c>
      <c r="AB781">
        <f t="shared" si="246"/>
        <v>0</v>
      </c>
      <c r="AC781" s="1">
        <f t="shared" si="240"/>
        <v>0</v>
      </c>
    </row>
    <row r="782" spans="9:29" x14ac:dyDescent="0.2">
      <c r="I782">
        <f t="shared" si="228"/>
        <v>7.7549999999998791</v>
      </c>
      <c r="J782">
        <f t="shared" si="229"/>
        <v>0</v>
      </c>
      <c r="K782">
        <f t="shared" si="241"/>
        <v>0</v>
      </c>
      <c r="L782">
        <f t="shared" si="230"/>
        <v>0</v>
      </c>
      <c r="M782">
        <f t="shared" si="231"/>
        <v>0</v>
      </c>
      <c r="N782">
        <f t="shared" si="232"/>
        <v>0</v>
      </c>
      <c r="O782">
        <f t="shared" si="233"/>
        <v>0</v>
      </c>
      <c r="P782">
        <f t="shared" si="234"/>
        <v>0</v>
      </c>
      <c r="R782">
        <f t="shared" si="235"/>
        <v>7.7549999999998791</v>
      </c>
      <c r="S782">
        <f t="shared" si="236"/>
        <v>0</v>
      </c>
      <c r="T782">
        <f t="shared" si="242"/>
        <v>0</v>
      </c>
      <c r="U782" s="1">
        <f t="shared" si="237"/>
        <v>0</v>
      </c>
      <c r="V782">
        <f t="shared" si="238"/>
        <v>4.8139325399994899E+27</v>
      </c>
      <c r="W782">
        <f t="shared" si="243"/>
        <v>0</v>
      </c>
      <c r="Y782">
        <f t="shared" si="244"/>
        <v>7.7549999999998791</v>
      </c>
      <c r="Z782">
        <f t="shared" si="239"/>
        <v>0</v>
      </c>
      <c r="AA782">
        <f t="shared" si="245"/>
        <v>0</v>
      </c>
      <c r="AB782">
        <f t="shared" si="246"/>
        <v>0</v>
      </c>
      <c r="AC782" s="1">
        <f t="shared" si="240"/>
        <v>0</v>
      </c>
    </row>
    <row r="783" spans="9:29" x14ac:dyDescent="0.2">
      <c r="I783">
        <f t="shared" si="228"/>
        <v>7.7649999999998789</v>
      </c>
      <c r="J783">
        <f t="shared" si="229"/>
        <v>0</v>
      </c>
      <c r="K783">
        <f t="shared" si="241"/>
        <v>0</v>
      </c>
      <c r="L783">
        <f t="shared" si="230"/>
        <v>0</v>
      </c>
      <c r="M783">
        <f t="shared" si="231"/>
        <v>0</v>
      </c>
      <c r="N783">
        <f t="shared" si="232"/>
        <v>0</v>
      </c>
      <c r="O783">
        <f t="shared" si="233"/>
        <v>0</v>
      </c>
      <c r="P783">
        <f t="shared" si="234"/>
        <v>0</v>
      </c>
      <c r="R783">
        <f t="shared" si="235"/>
        <v>7.7649999999998789</v>
      </c>
      <c r="S783">
        <f t="shared" si="236"/>
        <v>0</v>
      </c>
      <c r="T783">
        <f t="shared" si="242"/>
        <v>0</v>
      </c>
      <c r="U783" s="1">
        <f t="shared" si="237"/>
        <v>0</v>
      </c>
      <c r="V783">
        <f t="shared" si="238"/>
        <v>4.9831045597032684E+27</v>
      </c>
      <c r="W783">
        <f t="shared" si="243"/>
        <v>0</v>
      </c>
      <c r="Y783">
        <f t="shared" si="244"/>
        <v>7.7649999999998789</v>
      </c>
      <c r="Z783">
        <f t="shared" si="239"/>
        <v>0</v>
      </c>
      <c r="AA783">
        <f t="shared" si="245"/>
        <v>0</v>
      </c>
      <c r="AB783">
        <f t="shared" si="246"/>
        <v>0</v>
      </c>
      <c r="AC783" s="1">
        <f t="shared" si="240"/>
        <v>0</v>
      </c>
    </row>
    <row r="784" spans="9:29" x14ac:dyDescent="0.2">
      <c r="I784">
        <f t="shared" si="228"/>
        <v>7.7749999999998787</v>
      </c>
      <c r="J784">
        <f t="shared" si="229"/>
        <v>0</v>
      </c>
      <c r="K784">
        <f t="shared" si="241"/>
        <v>0</v>
      </c>
      <c r="L784">
        <f t="shared" si="230"/>
        <v>0</v>
      </c>
      <c r="M784">
        <f t="shared" si="231"/>
        <v>0</v>
      </c>
      <c r="N784">
        <f t="shared" si="232"/>
        <v>0</v>
      </c>
      <c r="O784">
        <f t="shared" si="233"/>
        <v>0</v>
      </c>
      <c r="P784">
        <f t="shared" si="234"/>
        <v>0</v>
      </c>
      <c r="R784">
        <f t="shared" si="235"/>
        <v>7.7749999999998787</v>
      </c>
      <c r="S784">
        <f t="shared" si="236"/>
        <v>0</v>
      </c>
      <c r="T784">
        <f t="shared" si="242"/>
        <v>0</v>
      </c>
      <c r="U784" s="1">
        <f t="shared" si="237"/>
        <v>0</v>
      </c>
      <c r="V784">
        <f t="shared" si="238"/>
        <v>5.1582216507209577E+27</v>
      </c>
      <c r="W784">
        <f t="shared" si="243"/>
        <v>0</v>
      </c>
      <c r="Y784">
        <f t="shared" si="244"/>
        <v>7.7749999999998787</v>
      </c>
      <c r="Z784">
        <f t="shared" si="239"/>
        <v>0</v>
      </c>
      <c r="AA784">
        <f t="shared" si="245"/>
        <v>0</v>
      </c>
      <c r="AB784">
        <f t="shared" si="246"/>
        <v>0</v>
      </c>
      <c r="AC784" s="1">
        <f t="shared" si="240"/>
        <v>0</v>
      </c>
    </row>
    <row r="785" spans="9:29" x14ac:dyDescent="0.2">
      <c r="I785">
        <f t="shared" si="228"/>
        <v>7.7849999999998785</v>
      </c>
      <c r="J785">
        <f t="shared" si="229"/>
        <v>0</v>
      </c>
      <c r="K785">
        <f t="shared" si="241"/>
        <v>0</v>
      </c>
      <c r="L785">
        <f t="shared" si="230"/>
        <v>0</v>
      </c>
      <c r="M785">
        <f t="shared" si="231"/>
        <v>0</v>
      </c>
      <c r="N785">
        <f t="shared" si="232"/>
        <v>0</v>
      </c>
      <c r="O785">
        <f t="shared" si="233"/>
        <v>0</v>
      </c>
      <c r="P785">
        <f t="shared" si="234"/>
        <v>0</v>
      </c>
      <c r="R785">
        <f t="shared" si="235"/>
        <v>7.7849999999998785</v>
      </c>
      <c r="S785">
        <f t="shared" si="236"/>
        <v>0</v>
      </c>
      <c r="T785">
        <f t="shared" si="242"/>
        <v>0</v>
      </c>
      <c r="U785" s="1">
        <f t="shared" si="237"/>
        <v>0</v>
      </c>
      <c r="V785">
        <f t="shared" si="238"/>
        <v>5.3394927357395558E+27</v>
      </c>
      <c r="W785">
        <f t="shared" si="243"/>
        <v>0</v>
      </c>
      <c r="Y785">
        <f t="shared" si="244"/>
        <v>7.7849999999998785</v>
      </c>
      <c r="Z785">
        <f t="shared" si="239"/>
        <v>0</v>
      </c>
      <c r="AA785">
        <f t="shared" si="245"/>
        <v>0</v>
      </c>
      <c r="AB785">
        <f t="shared" si="246"/>
        <v>0</v>
      </c>
      <c r="AC785" s="1">
        <f t="shared" si="240"/>
        <v>0</v>
      </c>
    </row>
    <row r="786" spans="9:29" x14ac:dyDescent="0.2">
      <c r="I786">
        <f t="shared" si="228"/>
        <v>7.7949999999998782</v>
      </c>
      <c r="J786">
        <f t="shared" si="229"/>
        <v>0</v>
      </c>
      <c r="K786">
        <f t="shared" si="241"/>
        <v>0</v>
      </c>
      <c r="L786">
        <f t="shared" si="230"/>
        <v>0</v>
      </c>
      <c r="M786">
        <f t="shared" si="231"/>
        <v>0</v>
      </c>
      <c r="N786">
        <f t="shared" si="232"/>
        <v>0</v>
      </c>
      <c r="O786">
        <f t="shared" si="233"/>
        <v>0</v>
      </c>
      <c r="P786">
        <f t="shared" si="234"/>
        <v>0</v>
      </c>
      <c r="R786">
        <f t="shared" si="235"/>
        <v>7.7949999999998782</v>
      </c>
      <c r="S786">
        <f t="shared" si="236"/>
        <v>0</v>
      </c>
      <c r="T786">
        <f t="shared" si="242"/>
        <v>0</v>
      </c>
      <c r="U786" s="1">
        <f t="shared" si="237"/>
        <v>0</v>
      </c>
      <c r="V786">
        <f t="shared" si="238"/>
        <v>5.5271340794420593E+27</v>
      </c>
      <c r="W786">
        <f t="shared" si="243"/>
        <v>0</v>
      </c>
      <c r="Y786">
        <f t="shared" si="244"/>
        <v>7.7949999999998782</v>
      </c>
      <c r="Z786">
        <f t="shared" si="239"/>
        <v>0</v>
      </c>
      <c r="AA786">
        <f t="shared" si="245"/>
        <v>0</v>
      </c>
      <c r="AB786">
        <f t="shared" si="246"/>
        <v>0</v>
      </c>
      <c r="AC786" s="1">
        <f t="shared" si="240"/>
        <v>0</v>
      </c>
    </row>
    <row r="787" spans="9:29" x14ac:dyDescent="0.2">
      <c r="I787">
        <f t="shared" si="228"/>
        <v>7.804999999999878</v>
      </c>
      <c r="J787">
        <f t="shared" si="229"/>
        <v>0</v>
      </c>
      <c r="K787">
        <f t="shared" si="241"/>
        <v>0</v>
      </c>
      <c r="L787">
        <f t="shared" si="230"/>
        <v>0</v>
      </c>
      <c r="M787">
        <f t="shared" si="231"/>
        <v>0</v>
      </c>
      <c r="N787">
        <f t="shared" si="232"/>
        <v>0</v>
      </c>
      <c r="O787">
        <f t="shared" si="233"/>
        <v>0</v>
      </c>
      <c r="P787">
        <f t="shared" si="234"/>
        <v>0</v>
      </c>
      <c r="R787">
        <f t="shared" si="235"/>
        <v>7.804999999999878</v>
      </c>
      <c r="S787">
        <f t="shared" si="236"/>
        <v>0</v>
      </c>
      <c r="T787">
        <f t="shared" si="242"/>
        <v>0</v>
      </c>
      <c r="U787" s="1">
        <f t="shared" si="237"/>
        <v>0</v>
      </c>
      <c r="V787">
        <f t="shared" si="238"/>
        <v>5.721369546520852E+27</v>
      </c>
      <c r="W787">
        <f t="shared" si="243"/>
        <v>0</v>
      </c>
      <c r="Y787">
        <f t="shared" si="244"/>
        <v>7.804999999999878</v>
      </c>
      <c r="Z787">
        <f t="shared" si="239"/>
        <v>0</v>
      </c>
      <c r="AA787">
        <f t="shared" si="245"/>
        <v>0</v>
      </c>
      <c r="AB787">
        <f t="shared" si="246"/>
        <v>0</v>
      </c>
      <c r="AC787" s="1">
        <f t="shared" si="240"/>
        <v>0</v>
      </c>
    </row>
    <row r="788" spans="9:29" x14ac:dyDescent="0.2">
      <c r="I788">
        <f t="shared" si="228"/>
        <v>7.8149999999998778</v>
      </c>
      <c r="J788">
        <f t="shared" si="229"/>
        <v>0</v>
      </c>
      <c r="K788">
        <f t="shared" si="241"/>
        <v>0</v>
      </c>
      <c r="L788">
        <f t="shared" si="230"/>
        <v>0</v>
      </c>
      <c r="M788">
        <f t="shared" si="231"/>
        <v>0</v>
      </c>
      <c r="N788">
        <f t="shared" si="232"/>
        <v>0</v>
      </c>
      <c r="O788">
        <f t="shared" si="233"/>
        <v>0</v>
      </c>
      <c r="P788">
        <f t="shared" si="234"/>
        <v>0</v>
      </c>
      <c r="R788">
        <f t="shared" si="235"/>
        <v>7.8149999999998778</v>
      </c>
      <c r="S788">
        <f t="shared" si="236"/>
        <v>0</v>
      </c>
      <c r="T788">
        <f t="shared" si="242"/>
        <v>0</v>
      </c>
      <c r="U788" s="1">
        <f t="shared" si="237"/>
        <v>0</v>
      </c>
      <c r="V788">
        <f t="shared" si="238"/>
        <v>5.9224308687588516E+27</v>
      </c>
      <c r="W788">
        <f t="shared" si="243"/>
        <v>0</v>
      </c>
      <c r="Y788">
        <f t="shared" si="244"/>
        <v>7.8149999999998778</v>
      </c>
      <c r="Z788">
        <f t="shared" si="239"/>
        <v>0</v>
      </c>
      <c r="AA788">
        <f t="shared" si="245"/>
        <v>0</v>
      </c>
      <c r="AB788">
        <f t="shared" si="246"/>
        <v>0</v>
      </c>
      <c r="AC788" s="1">
        <f t="shared" si="240"/>
        <v>0</v>
      </c>
    </row>
    <row r="789" spans="9:29" x14ac:dyDescent="0.2">
      <c r="I789">
        <f t="shared" si="228"/>
        <v>7.8249999999998776</v>
      </c>
      <c r="J789">
        <f t="shared" si="229"/>
        <v>0</v>
      </c>
      <c r="K789">
        <f t="shared" si="241"/>
        <v>0</v>
      </c>
      <c r="L789">
        <f t="shared" si="230"/>
        <v>0</v>
      </c>
      <c r="M789">
        <f t="shared" si="231"/>
        <v>0</v>
      </c>
      <c r="N789">
        <f t="shared" si="232"/>
        <v>0</v>
      </c>
      <c r="O789">
        <f t="shared" si="233"/>
        <v>0</v>
      </c>
      <c r="P789">
        <f t="shared" si="234"/>
        <v>0</v>
      </c>
      <c r="R789">
        <f t="shared" si="235"/>
        <v>7.8249999999998776</v>
      </c>
      <c r="S789">
        <f t="shared" si="236"/>
        <v>0</v>
      </c>
      <c r="T789">
        <f t="shared" si="242"/>
        <v>0</v>
      </c>
      <c r="U789" s="1">
        <f t="shared" si="237"/>
        <v>0</v>
      </c>
      <c r="V789">
        <f t="shared" si="238"/>
        <v>6.1305579214956654E+27</v>
      </c>
      <c r="W789">
        <f t="shared" si="243"/>
        <v>0</v>
      </c>
      <c r="Y789">
        <f t="shared" si="244"/>
        <v>7.8249999999998776</v>
      </c>
      <c r="Z789">
        <f t="shared" si="239"/>
        <v>0</v>
      </c>
      <c r="AA789">
        <f t="shared" si="245"/>
        <v>0</v>
      </c>
      <c r="AB789">
        <f t="shared" si="246"/>
        <v>0</v>
      </c>
      <c r="AC789" s="1">
        <f t="shared" si="240"/>
        <v>0</v>
      </c>
    </row>
    <row r="790" spans="9:29" x14ac:dyDescent="0.2">
      <c r="I790">
        <f t="shared" si="228"/>
        <v>7.8349999999998774</v>
      </c>
      <c r="J790">
        <f t="shared" si="229"/>
        <v>0</v>
      </c>
      <c r="K790">
        <f t="shared" si="241"/>
        <v>0</v>
      </c>
      <c r="L790">
        <f t="shared" si="230"/>
        <v>0</v>
      </c>
      <c r="M790">
        <f t="shared" si="231"/>
        <v>0</v>
      </c>
      <c r="N790">
        <f t="shared" si="232"/>
        <v>0</v>
      </c>
      <c r="O790">
        <f t="shared" si="233"/>
        <v>0</v>
      </c>
      <c r="P790">
        <f t="shared" si="234"/>
        <v>0</v>
      </c>
      <c r="R790">
        <f t="shared" si="235"/>
        <v>7.8349999999998774</v>
      </c>
      <c r="S790">
        <f t="shared" si="236"/>
        <v>0</v>
      </c>
      <c r="T790">
        <f t="shared" si="242"/>
        <v>0</v>
      </c>
      <c r="U790" s="1">
        <f t="shared" si="237"/>
        <v>0</v>
      </c>
      <c r="V790">
        <f t="shared" si="238"/>
        <v>6.3459990098102366E+27</v>
      </c>
      <c r="W790">
        <f t="shared" si="243"/>
        <v>0</v>
      </c>
      <c r="Y790">
        <f t="shared" si="244"/>
        <v>7.8349999999998774</v>
      </c>
      <c r="Z790">
        <f t="shared" si="239"/>
        <v>0</v>
      </c>
      <c r="AA790">
        <f t="shared" si="245"/>
        <v>0</v>
      </c>
      <c r="AB790">
        <f t="shared" si="246"/>
        <v>0</v>
      </c>
      <c r="AC790" s="1">
        <f t="shared" si="240"/>
        <v>0</v>
      </c>
    </row>
    <row r="791" spans="9:29" x14ac:dyDescent="0.2">
      <c r="I791">
        <f t="shared" si="228"/>
        <v>7.8449999999998772</v>
      </c>
      <c r="J791">
        <f t="shared" si="229"/>
        <v>0</v>
      </c>
      <c r="K791">
        <f t="shared" si="241"/>
        <v>0</v>
      </c>
      <c r="L791">
        <f t="shared" si="230"/>
        <v>0</v>
      </c>
      <c r="M791">
        <f t="shared" si="231"/>
        <v>0</v>
      </c>
      <c r="N791">
        <f t="shared" si="232"/>
        <v>0</v>
      </c>
      <c r="O791">
        <f t="shared" si="233"/>
        <v>0</v>
      </c>
      <c r="P791">
        <f t="shared" si="234"/>
        <v>0</v>
      </c>
      <c r="R791">
        <f t="shared" si="235"/>
        <v>7.8449999999998772</v>
      </c>
      <c r="S791">
        <f t="shared" si="236"/>
        <v>0</v>
      </c>
      <c r="T791">
        <f t="shared" si="242"/>
        <v>0</v>
      </c>
      <c r="U791" s="1">
        <f t="shared" si="237"/>
        <v>0</v>
      </c>
      <c r="V791">
        <f t="shared" si="238"/>
        <v>6.5690111647599372E+27</v>
      </c>
      <c r="W791">
        <f t="shared" si="243"/>
        <v>0</v>
      </c>
      <c r="Y791">
        <f t="shared" si="244"/>
        <v>7.8449999999998772</v>
      </c>
      <c r="Z791">
        <f t="shared" si="239"/>
        <v>0</v>
      </c>
      <c r="AA791">
        <f t="shared" si="245"/>
        <v>0</v>
      </c>
      <c r="AB791">
        <f t="shared" si="246"/>
        <v>0</v>
      </c>
      <c r="AC791" s="1">
        <f t="shared" si="240"/>
        <v>0</v>
      </c>
    </row>
    <row r="792" spans="9:29" x14ac:dyDescent="0.2">
      <c r="I792">
        <f t="shared" si="228"/>
        <v>7.854999999999877</v>
      </c>
      <c r="J792">
        <f t="shared" si="229"/>
        <v>0</v>
      </c>
      <c r="K792">
        <f t="shared" si="241"/>
        <v>0</v>
      </c>
      <c r="L792">
        <f t="shared" si="230"/>
        <v>0</v>
      </c>
      <c r="M792">
        <f t="shared" si="231"/>
        <v>0</v>
      </c>
      <c r="N792">
        <f t="shared" si="232"/>
        <v>0</v>
      </c>
      <c r="O792">
        <f t="shared" si="233"/>
        <v>0</v>
      </c>
      <c r="P792">
        <f t="shared" si="234"/>
        <v>0</v>
      </c>
      <c r="R792">
        <f t="shared" si="235"/>
        <v>7.854999999999877</v>
      </c>
      <c r="S792">
        <f t="shared" si="236"/>
        <v>0</v>
      </c>
      <c r="T792">
        <f t="shared" si="242"/>
        <v>0</v>
      </c>
      <c r="U792" s="1">
        <f t="shared" si="237"/>
        <v>0</v>
      </c>
      <c r="V792">
        <f t="shared" si="238"/>
        <v>6.7998604500304008E+27</v>
      </c>
      <c r="W792">
        <f t="shared" si="243"/>
        <v>0</v>
      </c>
      <c r="Y792">
        <f t="shared" si="244"/>
        <v>7.854999999999877</v>
      </c>
      <c r="Z792">
        <f t="shared" si="239"/>
        <v>0</v>
      </c>
      <c r="AA792">
        <f t="shared" si="245"/>
        <v>0</v>
      </c>
      <c r="AB792">
        <f t="shared" si="246"/>
        <v>0</v>
      </c>
      <c r="AC792" s="1">
        <f t="shared" si="240"/>
        <v>0</v>
      </c>
    </row>
    <row r="793" spans="9:29" x14ac:dyDescent="0.2">
      <c r="I793">
        <f t="shared" si="228"/>
        <v>7.8649999999998768</v>
      </c>
      <c r="J793">
        <f t="shared" si="229"/>
        <v>0</v>
      </c>
      <c r="K793">
        <f t="shared" si="241"/>
        <v>0</v>
      </c>
      <c r="L793">
        <f t="shared" si="230"/>
        <v>0</v>
      </c>
      <c r="M793">
        <f t="shared" si="231"/>
        <v>0</v>
      </c>
      <c r="N793">
        <f t="shared" si="232"/>
        <v>0</v>
      </c>
      <c r="O793">
        <f t="shared" si="233"/>
        <v>0</v>
      </c>
      <c r="P793">
        <f t="shared" si="234"/>
        <v>0</v>
      </c>
      <c r="R793">
        <f t="shared" si="235"/>
        <v>7.8649999999998768</v>
      </c>
      <c r="S793">
        <f t="shared" si="236"/>
        <v>0</v>
      </c>
      <c r="T793">
        <f t="shared" si="242"/>
        <v>0</v>
      </c>
      <c r="U793" s="1">
        <f t="shared" si="237"/>
        <v>0</v>
      </c>
      <c r="V793">
        <f t="shared" si="238"/>
        <v>7.0388222793616458E+27</v>
      </c>
      <c r="W793">
        <f t="shared" si="243"/>
        <v>0</v>
      </c>
      <c r="Y793">
        <f t="shared" si="244"/>
        <v>7.8649999999998768</v>
      </c>
      <c r="Z793">
        <f t="shared" si="239"/>
        <v>0</v>
      </c>
      <c r="AA793">
        <f t="shared" si="245"/>
        <v>0</v>
      </c>
      <c r="AB793">
        <f t="shared" si="246"/>
        <v>0</v>
      </c>
      <c r="AC793" s="1">
        <f t="shared" si="240"/>
        <v>0</v>
      </c>
    </row>
    <row r="794" spans="9:29" x14ac:dyDescent="0.2">
      <c r="I794">
        <f t="shared" si="228"/>
        <v>7.8749999999998765</v>
      </c>
      <c r="J794">
        <f t="shared" si="229"/>
        <v>0</v>
      </c>
      <c r="K794">
        <f t="shared" si="241"/>
        <v>0</v>
      </c>
      <c r="L794">
        <f t="shared" si="230"/>
        <v>0</v>
      </c>
      <c r="M794">
        <f t="shared" si="231"/>
        <v>0</v>
      </c>
      <c r="N794">
        <f t="shared" si="232"/>
        <v>0</v>
      </c>
      <c r="O794">
        <f t="shared" si="233"/>
        <v>0</v>
      </c>
      <c r="P794">
        <f t="shared" si="234"/>
        <v>0</v>
      </c>
      <c r="R794">
        <f t="shared" si="235"/>
        <v>7.8749999999998765</v>
      </c>
      <c r="S794">
        <f t="shared" si="236"/>
        <v>0</v>
      </c>
      <c r="T794">
        <f t="shared" si="242"/>
        <v>0</v>
      </c>
      <c r="U794" s="1">
        <f t="shared" si="237"/>
        <v>0</v>
      </c>
      <c r="V794">
        <f t="shared" si="238"/>
        <v>7.286181745129251E+27</v>
      </c>
      <c r="W794">
        <f t="shared" si="243"/>
        <v>0</v>
      </c>
      <c r="Y794">
        <f t="shared" si="244"/>
        <v>7.8749999999998765</v>
      </c>
      <c r="Z794">
        <f t="shared" si="239"/>
        <v>0</v>
      </c>
      <c r="AA794">
        <f t="shared" si="245"/>
        <v>0</v>
      </c>
      <c r="AB794">
        <f t="shared" si="246"/>
        <v>0</v>
      </c>
      <c r="AC794" s="1">
        <f t="shared" si="240"/>
        <v>0</v>
      </c>
    </row>
    <row r="795" spans="9:29" x14ac:dyDescent="0.2">
      <c r="I795">
        <f t="shared" si="228"/>
        <v>7.8849999999998763</v>
      </c>
      <c r="J795">
        <f t="shared" si="229"/>
        <v>0</v>
      </c>
      <c r="K795">
        <f t="shared" si="241"/>
        <v>0</v>
      </c>
      <c r="L795">
        <f t="shared" si="230"/>
        <v>0</v>
      </c>
      <c r="M795">
        <f t="shared" si="231"/>
        <v>0</v>
      </c>
      <c r="N795">
        <f t="shared" si="232"/>
        <v>0</v>
      </c>
      <c r="O795">
        <f t="shared" si="233"/>
        <v>0</v>
      </c>
      <c r="P795">
        <f t="shared" si="234"/>
        <v>0</v>
      </c>
      <c r="R795">
        <f t="shared" si="235"/>
        <v>7.8849999999998763</v>
      </c>
      <c r="S795">
        <f t="shared" si="236"/>
        <v>0</v>
      </c>
      <c r="T795">
        <f t="shared" si="242"/>
        <v>0</v>
      </c>
      <c r="U795" s="1">
        <f t="shared" si="237"/>
        <v>0</v>
      </c>
      <c r="V795">
        <f t="shared" si="238"/>
        <v>7.5422339584724666E+27</v>
      </c>
      <c r="W795">
        <f t="shared" si="243"/>
        <v>0</v>
      </c>
      <c r="Y795">
        <f t="shared" si="244"/>
        <v>7.8849999999998763</v>
      </c>
      <c r="Z795">
        <f t="shared" si="239"/>
        <v>0</v>
      </c>
      <c r="AA795">
        <f t="shared" si="245"/>
        <v>0</v>
      </c>
      <c r="AB795">
        <f t="shared" si="246"/>
        <v>0</v>
      </c>
      <c r="AC795" s="1">
        <f t="shared" si="240"/>
        <v>0</v>
      </c>
    </row>
    <row r="796" spans="9:29" x14ac:dyDescent="0.2">
      <c r="I796">
        <f t="shared" si="228"/>
        <v>7.8949999999998761</v>
      </c>
      <c r="J796">
        <f t="shared" si="229"/>
        <v>0</v>
      </c>
      <c r="K796">
        <f t="shared" si="241"/>
        <v>0</v>
      </c>
      <c r="L796">
        <f t="shared" si="230"/>
        <v>0</v>
      </c>
      <c r="M796">
        <f t="shared" si="231"/>
        <v>0</v>
      </c>
      <c r="N796">
        <f t="shared" si="232"/>
        <v>0</v>
      </c>
      <c r="O796">
        <f t="shared" si="233"/>
        <v>0</v>
      </c>
      <c r="P796">
        <f t="shared" si="234"/>
        <v>0</v>
      </c>
      <c r="R796">
        <f t="shared" si="235"/>
        <v>7.8949999999998761</v>
      </c>
      <c r="S796">
        <f t="shared" si="236"/>
        <v>0</v>
      </c>
      <c r="T796">
        <f t="shared" si="242"/>
        <v>0</v>
      </c>
      <c r="U796" s="1">
        <f t="shared" si="237"/>
        <v>0</v>
      </c>
      <c r="V796">
        <f t="shared" si="238"/>
        <v>7.8072844013757123E+27</v>
      </c>
      <c r="W796">
        <f t="shared" si="243"/>
        <v>0</v>
      </c>
      <c r="Y796">
        <f t="shared" si="244"/>
        <v>7.8949999999998761</v>
      </c>
      <c r="Z796">
        <f t="shared" si="239"/>
        <v>0</v>
      </c>
      <c r="AA796">
        <f t="shared" si="245"/>
        <v>0</v>
      </c>
      <c r="AB796">
        <f t="shared" si="246"/>
        <v>0</v>
      </c>
      <c r="AC796" s="1">
        <f t="shared" si="240"/>
        <v>0</v>
      </c>
    </row>
    <row r="797" spans="9:29" x14ac:dyDescent="0.2">
      <c r="I797">
        <f t="shared" si="228"/>
        <v>7.9049999999998759</v>
      </c>
      <c r="J797">
        <f t="shared" si="229"/>
        <v>0</v>
      </c>
      <c r="K797">
        <f t="shared" si="241"/>
        <v>0</v>
      </c>
      <c r="L797">
        <f t="shared" si="230"/>
        <v>0</v>
      </c>
      <c r="M797">
        <f t="shared" si="231"/>
        <v>0</v>
      </c>
      <c r="N797">
        <f t="shared" si="232"/>
        <v>0</v>
      </c>
      <c r="O797">
        <f t="shared" si="233"/>
        <v>0</v>
      </c>
      <c r="P797">
        <f t="shared" si="234"/>
        <v>0</v>
      </c>
      <c r="R797">
        <f t="shared" si="235"/>
        <v>7.9049999999998759</v>
      </c>
      <c r="S797">
        <f t="shared" si="236"/>
        <v>0</v>
      </c>
      <c r="T797">
        <f t="shared" si="242"/>
        <v>0</v>
      </c>
      <c r="U797" s="1">
        <f t="shared" si="237"/>
        <v>0</v>
      </c>
      <c r="V797">
        <f t="shared" si="238"/>
        <v>8.0816492911220118E+27</v>
      </c>
      <c r="W797">
        <f t="shared" si="243"/>
        <v>0</v>
      </c>
      <c r="Y797">
        <f t="shared" si="244"/>
        <v>7.9049999999998759</v>
      </c>
      <c r="Z797">
        <f t="shared" si="239"/>
        <v>0</v>
      </c>
      <c r="AA797">
        <f t="shared" si="245"/>
        <v>0</v>
      </c>
      <c r="AB797">
        <f t="shared" si="246"/>
        <v>0</v>
      </c>
      <c r="AC797" s="1">
        <f t="shared" si="240"/>
        <v>0</v>
      </c>
    </row>
    <row r="798" spans="9:29" x14ac:dyDescent="0.2">
      <c r="I798">
        <f t="shared" si="228"/>
        <v>7.9149999999998757</v>
      </c>
      <c r="J798">
        <f t="shared" si="229"/>
        <v>0</v>
      </c>
      <c r="K798">
        <f t="shared" si="241"/>
        <v>0</v>
      </c>
      <c r="L798">
        <f t="shared" si="230"/>
        <v>0</v>
      </c>
      <c r="M798">
        <f t="shared" si="231"/>
        <v>0</v>
      </c>
      <c r="N798">
        <f t="shared" si="232"/>
        <v>0</v>
      </c>
      <c r="O798">
        <f t="shared" si="233"/>
        <v>0</v>
      </c>
      <c r="P798">
        <f t="shared" si="234"/>
        <v>0</v>
      </c>
      <c r="R798">
        <f t="shared" si="235"/>
        <v>7.9149999999998757</v>
      </c>
      <c r="S798">
        <f t="shared" si="236"/>
        <v>0</v>
      </c>
      <c r="T798">
        <f t="shared" si="242"/>
        <v>0</v>
      </c>
      <c r="U798" s="1">
        <f t="shared" si="237"/>
        <v>0</v>
      </c>
      <c r="V798">
        <f t="shared" si="238"/>
        <v>8.3656559575546216E+27</v>
      </c>
      <c r="W798">
        <f t="shared" si="243"/>
        <v>0</v>
      </c>
      <c r="Y798">
        <f t="shared" si="244"/>
        <v>7.9149999999998757</v>
      </c>
      <c r="Z798">
        <f t="shared" si="239"/>
        <v>0</v>
      </c>
      <c r="AA798">
        <f t="shared" si="245"/>
        <v>0</v>
      </c>
      <c r="AB798">
        <f t="shared" si="246"/>
        <v>0</v>
      </c>
      <c r="AC798" s="1">
        <f t="shared" si="240"/>
        <v>0</v>
      </c>
    </row>
    <row r="799" spans="9:29" x14ac:dyDescent="0.2">
      <c r="I799">
        <f t="shared" si="228"/>
        <v>7.9249999999998755</v>
      </c>
      <c r="J799">
        <f t="shared" si="229"/>
        <v>0</v>
      </c>
      <c r="K799">
        <f t="shared" si="241"/>
        <v>0</v>
      </c>
      <c r="L799">
        <f t="shared" si="230"/>
        <v>0</v>
      </c>
      <c r="M799">
        <f t="shared" si="231"/>
        <v>0</v>
      </c>
      <c r="N799">
        <f t="shared" si="232"/>
        <v>0</v>
      </c>
      <c r="O799">
        <f t="shared" si="233"/>
        <v>0</v>
      </c>
      <c r="P799">
        <f t="shared" si="234"/>
        <v>0</v>
      </c>
      <c r="R799">
        <f t="shared" si="235"/>
        <v>7.9249999999998755</v>
      </c>
      <c r="S799">
        <f t="shared" si="236"/>
        <v>0</v>
      </c>
      <c r="T799">
        <f t="shared" si="242"/>
        <v>0</v>
      </c>
      <c r="U799" s="1">
        <f t="shared" si="237"/>
        <v>0</v>
      </c>
      <c r="V799">
        <f t="shared" si="238"/>
        <v>8.6596432335970501E+27</v>
      </c>
      <c r="W799">
        <f t="shared" si="243"/>
        <v>0</v>
      </c>
      <c r="Y799">
        <f t="shared" si="244"/>
        <v>7.9249999999998755</v>
      </c>
      <c r="Z799">
        <f t="shared" si="239"/>
        <v>0</v>
      </c>
      <c r="AA799">
        <f t="shared" si="245"/>
        <v>0</v>
      </c>
      <c r="AB799">
        <f t="shared" si="246"/>
        <v>0</v>
      </c>
      <c r="AC799" s="1">
        <f t="shared" si="240"/>
        <v>0</v>
      </c>
    </row>
    <row r="800" spans="9:29" x14ac:dyDescent="0.2">
      <c r="I800">
        <f t="shared" si="228"/>
        <v>7.9349999999998753</v>
      </c>
      <c r="J800">
        <f t="shared" si="229"/>
        <v>0</v>
      </c>
      <c r="K800">
        <f t="shared" si="241"/>
        <v>0</v>
      </c>
      <c r="L800">
        <f t="shared" si="230"/>
        <v>0</v>
      </c>
      <c r="M800">
        <f t="shared" si="231"/>
        <v>0</v>
      </c>
      <c r="N800">
        <f t="shared" si="232"/>
        <v>0</v>
      </c>
      <c r="O800">
        <f t="shared" si="233"/>
        <v>0</v>
      </c>
      <c r="P800">
        <f t="shared" si="234"/>
        <v>0</v>
      </c>
      <c r="R800">
        <f t="shared" si="235"/>
        <v>7.9349999999998753</v>
      </c>
      <c r="S800">
        <f t="shared" si="236"/>
        <v>0</v>
      </c>
      <c r="T800">
        <f t="shared" si="242"/>
        <v>0</v>
      </c>
      <c r="U800" s="1">
        <f t="shared" si="237"/>
        <v>0</v>
      </c>
      <c r="V800">
        <f t="shared" si="238"/>
        <v>8.9639618594957682E+27</v>
      </c>
      <c r="W800">
        <f t="shared" si="243"/>
        <v>0</v>
      </c>
      <c r="Y800">
        <f t="shared" si="244"/>
        <v>7.9349999999998753</v>
      </c>
      <c r="Z800">
        <f t="shared" si="239"/>
        <v>0</v>
      </c>
      <c r="AA800">
        <f t="shared" si="245"/>
        <v>0</v>
      </c>
      <c r="AB800">
        <f t="shared" si="246"/>
        <v>0</v>
      </c>
      <c r="AC800" s="1">
        <f t="shared" si="240"/>
        <v>0</v>
      </c>
    </row>
    <row r="801" spans="9:29" x14ac:dyDescent="0.2">
      <c r="I801">
        <f t="shared" si="228"/>
        <v>7.9449999999998751</v>
      </c>
      <c r="J801">
        <f t="shared" si="229"/>
        <v>0</v>
      </c>
      <c r="K801">
        <f t="shared" si="241"/>
        <v>0</v>
      </c>
      <c r="L801">
        <f t="shared" si="230"/>
        <v>0</v>
      </c>
      <c r="M801">
        <f t="shared" si="231"/>
        <v>0</v>
      </c>
      <c r="N801">
        <f t="shared" si="232"/>
        <v>0</v>
      </c>
      <c r="O801">
        <f t="shared" si="233"/>
        <v>0</v>
      </c>
      <c r="P801">
        <f t="shared" si="234"/>
        <v>0</v>
      </c>
      <c r="R801">
        <f t="shared" si="235"/>
        <v>7.9449999999998751</v>
      </c>
      <c r="S801">
        <f t="shared" si="236"/>
        <v>0</v>
      </c>
      <c r="T801">
        <f t="shared" si="242"/>
        <v>0</v>
      </c>
      <c r="U801" s="1">
        <f t="shared" si="237"/>
        <v>0</v>
      </c>
      <c r="V801">
        <f t="shared" si="238"/>
        <v>9.2789749012693162E+27</v>
      </c>
      <c r="W801">
        <f t="shared" si="243"/>
        <v>0</v>
      </c>
      <c r="Y801">
        <f t="shared" si="244"/>
        <v>7.9449999999998751</v>
      </c>
      <c r="Z801">
        <f t="shared" si="239"/>
        <v>0</v>
      </c>
      <c r="AA801">
        <f t="shared" si="245"/>
        <v>0</v>
      </c>
      <c r="AB801">
        <f t="shared" si="246"/>
        <v>0</v>
      </c>
      <c r="AC801" s="1">
        <f t="shared" si="240"/>
        <v>0</v>
      </c>
    </row>
    <row r="802" spans="9:29" x14ac:dyDescent="0.2">
      <c r="I802">
        <f t="shared" ref="I802:I863" si="247">I801+0.01</f>
        <v>7.9549999999998748</v>
      </c>
      <c r="J802">
        <f t="shared" si="229"/>
        <v>0</v>
      </c>
      <c r="K802">
        <f t="shared" si="241"/>
        <v>0</v>
      </c>
      <c r="L802">
        <f t="shared" si="230"/>
        <v>0</v>
      </c>
      <c r="M802">
        <f t="shared" si="231"/>
        <v>0</v>
      </c>
      <c r="N802">
        <f t="shared" si="232"/>
        <v>0</v>
      </c>
      <c r="O802">
        <f t="shared" si="233"/>
        <v>0</v>
      </c>
      <c r="P802">
        <f t="shared" si="234"/>
        <v>0</v>
      </c>
      <c r="R802">
        <f t="shared" si="235"/>
        <v>7.9549999999998748</v>
      </c>
      <c r="S802">
        <f t="shared" si="236"/>
        <v>0</v>
      </c>
      <c r="T802">
        <f t="shared" si="242"/>
        <v>0</v>
      </c>
      <c r="U802" s="1">
        <f t="shared" si="237"/>
        <v>0</v>
      </c>
      <c r="V802">
        <f t="shared" si="238"/>
        <v>9.6050581838633058E+27</v>
      </c>
      <c r="W802">
        <f t="shared" si="243"/>
        <v>0</v>
      </c>
      <c r="Y802">
        <f t="shared" si="244"/>
        <v>7.9549999999998748</v>
      </c>
      <c r="Z802">
        <f t="shared" si="239"/>
        <v>0</v>
      </c>
      <c r="AA802">
        <f t="shared" si="245"/>
        <v>0</v>
      </c>
      <c r="AB802">
        <f t="shared" si="246"/>
        <v>0</v>
      </c>
      <c r="AC802" s="1">
        <f t="shared" si="240"/>
        <v>0</v>
      </c>
    </row>
    <row r="803" spans="9:29" x14ac:dyDescent="0.2">
      <c r="I803">
        <f t="shared" si="247"/>
        <v>7.9649999999998746</v>
      </c>
      <c r="J803">
        <f t="shared" si="229"/>
        <v>0</v>
      </c>
      <c r="K803">
        <f t="shared" si="241"/>
        <v>0</v>
      </c>
      <c r="L803">
        <f t="shared" si="230"/>
        <v>0</v>
      </c>
      <c r="M803">
        <f t="shared" si="231"/>
        <v>0</v>
      </c>
      <c r="N803">
        <f t="shared" si="232"/>
        <v>0</v>
      </c>
      <c r="O803">
        <f t="shared" si="233"/>
        <v>0</v>
      </c>
      <c r="P803">
        <f t="shared" si="234"/>
        <v>0</v>
      </c>
      <c r="R803">
        <f t="shared" si="235"/>
        <v>7.9649999999998746</v>
      </c>
      <c r="S803">
        <f t="shared" si="236"/>
        <v>0</v>
      </c>
      <c r="T803">
        <f t="shared" si="242"/>
        <v>0</v>
      </c>
      <c r="U803" s="1">
        <f t="shared" si="237"/>
        <v>0</v>
      </c>
      <c r="V803">
        <f t="shared" si="238"/>
        <v>9.9426007395252819E+27</v>
      </c>
      <c r="W803">
        <f t="shared" si="243"/>
        <v>0</v>
      </c>
      <c r="Y803">
        <f t="shared" si="244"/>
        <v>7.9649999999998746</v>
      </c>
      <c r="Z803">
        <f t="shared" si="239"/>
        <v>0</v>
      </c>
      <c r="AA803">
        <f t="shared" si="245"/>
        <v>0</v>
      </c>
      <c r="AB803">
        <f t="shared" si="246"/>
        <v>0</v>
      </c>
      <c r="AC803" s="1">
        <f t="shared" si="240"/>
        <v>0</v>
      </c>
    </row>
    <row r="804" spans="9:29" x14ac:dyDescent="0.2">
      <c r="I804">
        <f t="shared" si="247"/>
        <v>7.9749999999998744</v>
      </c>
      <c r="J804">
        <f t="shared" si="229"/>
        <v>0</v>
      </c>
      <c r="K804">
        <f t="shared" si="241"/>
        <v>0</v>
      </c>
      <c r="L804">
        <f t="shared" si="230"/>
        <v>0</v>
      </c>
      <c r="M804">
        <f t="shared" si="231"/>
        <v>0</v>
      </c>
      <c r="N804">
        <f t="shared" si="232"/>
        <v>0</v>
      </c>
      <c r="O804">
        <f t="shared" si="233"/>
        <v>0</v>
      </c>
      <c r="P804">
        <f t="shared" si="234"/>
        <v>0</v>
      </c>
      <c r="R804">
        <f t="shared" si="235"/>
        <v>7.9749999999998744</v>
      </c>
      <c r="S804">
        <f t="shared" si="236"/>
        <v>0</v>
      </c>
      <c r="T804">
        <f t="shared" si="242"/>
        <v>0</v>
      </c>
      <c r="U804" s="1">
        <f t="shared" si="237"/>
        <v>0</v>
      </c>
      <c r="V804">
        <f t="shared" si="238"/>
        <v>1.0292005271939847E+28</v>
      </c>
      <c r="W804">
        <f t="shared" si="243"/>
        <v>0</v>
      </c>
      <c r="Y804">
        <f t="shared" si="244"/>
        <v>7.9749999999998744</v>
      </c>
      <c r="Z804">
        <f t="shared" si="239"/>
        <v>0</v>
      </c>
      <c r="AA804">
        <f t="shared" si="245"/>
        <v>0</v>
      </c>
      <c r="AB804">
        <f t="shared" si="246"/>
        <v>0</v>
      </c>
      <c r="AC804" s="1">
        <f t="shared" si="240"/>
        <v>0</v>
      </c>
    </row>
    <row r="805" spans="9:29" x14ac:dyDescent="0.2">
      <c r="I805">
        <f t="shared" si="247"/>
        <v>7.9849999999998742</v>
      </c>
      <c r="J805">
        <f t="shared" si="229"/>
        <v>0</v>
      </c>
      <c r="K805">
        <f t="shared" si="241"/>
        <v>0</v>
      </c>
      <c r="L805">
        <f t="shared" si="230"/>
        <v>0</v>
      </c>
      <c r="M805">
        <f t="shared" si="231"/>
        <v>0</v>
      </c>
      <c r="N805">
        <f t="shared" si="232"/>
        <v>0</v>
      </c>
      <c r="O805">
        <f t="shared" si="233"/>
        <v>0</v>
      </c>
      <c r="P805">
        <f t="shared" si="234"/>
        <v>0</v>
      </c>
      <c r="R805">
        <f t="shared" si="235"/>
        <v>7.9849999999998742</v>
      </c>
      <c r="S805">
        <f t="shared" si="236"/>
        <v>0</v>
      </c>
      <c r="T805">
        <f t="shared" si="242"/>
        <v>0</v>
      </c>
      <c r="U805" s="1">
        <f t="shared" si="237"/>
        <v>0</v>
      </c>
      <c r="V805">
        <f t="shared" si="238"/>
        <v>1.065368863667104E+28</v>
      </c>
      <c r="W805">
        <f t="shared" si="243"/>
        <v>0</v>
      </c>
      <c r="Y805">
        <f t="shared" si="244"/>
        <v>7.9849999999998742</v>
      </c>
      <c r="Z805">
        <f t="shared" si="239"/>
        <v>0</v>
      </c>
      <c r="AA805">
        <f t="shared" si="245"/>
        <v>0</v>
      </c>
      <c r="AB805">
        <f t="shared" si="246"/>
        <v>0</v>
      </c>
      <c r="AC805" s="1">
        <f t="shared" si="240"/>
        <v>0</v>
      </c>
    </row>
    <row r="806" spans="9:29" x14ac:dyDescent="0.2">
      <c r="I806">
        <f t="shared" si="247"/>
        <v>7.994999999999874</v>
      </c>
      <c r="J806">
        <f t="shared" si="229"/>
        <v>0</v>
      </c>
      <c r="K806">
        <f t="shared" si="241"/>
        <v>0</v>
      </c>
      <c r="L806">
        <f t="shared" si="230"/>
        <v>0</v>
      </c>
      <c r="M806">
        <f t="shared" si="231"/>
        <v>0</v>
      </c>
      <c r="N806">
        <f t="shared" si="232"/>
        <v>0</v>
      </c>
      <c r="O806">
        <f t="shared" si="233"/>
        <v>0</v>
      </c>
      <c r="P806">
        <f t="shared" si="234"/>
        <v>0</v>
      </c>
      <c r="R806">
        <f t="shared" si="235"/>
        <v>7.994999999999874</v>
      </c>
      <c r="S806">
        <f t="shared" si="236"/>
        <v>0</v>
      </c>
      <c r="T806">
        <f t="shared" si="242"/>
        <v>0</v>
      </c>
      <c r="U806" s="1">
        <f t="shared" si="237"/>
        <v>0</v>
      </c>
      <c r="V806">
        <f t="shared" si="238"/>
        <v>1.1028082338490764E+28</v>
      </c>
      <c r="W806">
        <f t="shared" si="243"/>
        <v>0</v>
      </c>
      <c r="Y806">
        <f t="shared" si="244"/>
        <v>7.994999999999874</v>
      </c>
      <c r="Z806">
        <f t="shared" si="239"/>
        <v>0</v>
      </c>
      <c r="AA806">
        <f t="shared" si="245"/>
        <v>0</v>
      </c>
      <c r="AB806">
        <f t="shared" si="246"/>
        <v>0</v>
      </c>
      <c r="AC806" s="1">
        <f t="shared" si="240"/>
        <v>0</v>
      </c>
    </row>
    <row r="807" spans="9:29" x14ac:dyDescent="0.2">
      <c r="I807">
        <f t="shared" si="247"/>
        <v>8.0049999999998747</v>
      </c>
      <c r="J807">
        <f t="shared" si="229"/>
        <v>0</v>
      </c>
      <c r="K807">
        <f t="shared" si="241"/>
        <v>0</v>
      </c>
      <c r="L807">
        <f t="shared" si="230"/>
        <v>0</v>
      </c>
      <c r="M807">
        <f t="shared" si="231"/>
        <v>0</v>
      </c>
      <c r="N807">
        <f t="shared" si="232"/>
        <v>0</v>
      </c>
      <c r="O807">
        <f t="shared" si="233"/>
        <v>0</v>
      </c>
      <c r="P807">
        <f t="shared" si="234"/>
        <v>0</v>
      </c>
      <c r="R807">
        <f t="shared" si="235"/>
        <v>8.0049999999998747</v>
      </c>
      <c r="S807">
        <f t="shared" si="236"/>
        <v>0</v>
      </c>
      <c r="T807">
        <f t="shared" si="242"/>
        <v>0</v>
      </c>
      <c r="U807" s="1">
        <f t="shared" si="237"/>
        <v>0</v>
      </c>
      <c r="V807">
        <f t="shared" si="238"/>
        <v>1.1415633046183532E+28</v>
      </c>
      <c r="W807">
        <f t="shared" si="243"/>
        <v>0</v>
      </c>
      <c r="Y807">
        <f t="shared" si="244"/>
        <v>8.0049999999998747</v>
      </c>
      <c r="Z807">
        <f t="shared" si="239"/>
        <v>0</v>
      </c>
      <c r="AA807">
        <f t="shared" si="245"/>
        <v>0</v>
      </c>
      <c r="AB807">
        <f t="shared" si="246"/>
        <v>0</v>
      </c>
      <c r="AC807" s="1">
        <f t="shared" si="240"/>
        <v>0</v>
      </c>
    </row>
    <row r="808" spans="9:29" x14ac:dyDescent="0.2">
      <c r="I808">
        <f t="shared" si="247"/>
        <v>8.0149999999998744</v>
      </c>
      <c r="J808">
        <f t="shared" si="229"/>
        <v>0</v>
      </c>
      <c r="K808">
        <f t="shared" si="241"/>
        <v>0</v>
      </c>
      <c r="L808">
        <f t="shared" si="230"/>
        <v>0</v>
      </c>
      <c r="M808">
        <f t="shared" si="231"/>
        <v>0</v>
      </c>
      <c r="N808">
        <f t="shared" si="232"/>
        <v>0</v>
      </c>
      <c r="O808">
        <f t="shared" si="233"/>
        <v>0</v>
      </c>
      <c r="P808">
        <f t="shared" si="234"/>
        <v>0</v>
      </c>
      <c r="R808">
        <f t="shared" si="235"/>
        <v>8.0149999999998744</v>
      </c>
      <c r="S808">
        <f t="shared" si="236"/>
        <v>0</v>
      </c>
      <c r="T808">
        <f t="shared" si="242"/>
        <v>0</v>
      </c>
      <c r="U808" s="1">
        <f t="shared" si="237"/>
        <v>0</v>
      </c>
      <c r="V808">
        <f t="shared" si="238"/>
        <v>1.1816803125442904E+28</v>
      </c>
      <c r="W808">
        <f t="shared" si="243"/>
        <v>0</v>
      </c>
      <c r="Y808">
        <f t="shared" si="244"/>
        <v>8.0149999999998744</v>
      </c>
      <c r="Z808">
        <f t="shared" si="239"/>
        <v>0</v>
      </c>
      <c r="AA808">
        <f t="shared" si="245"/>
        <v>0</v>
      </c>
      <c r="AB808">
        <f t="shared" si="246"/>
        <v>0</v>
      </c>
      <c r="AC808" s="1">
        <f t="shared" si="240"/>
        <v>0</v>
      </c>
    </row>
    <row r="809" spans="9:29" x14ac:dyDescent="0.2">
      <c r="I809">
        <f t="shared" si="247"/>
        <v>8.0249999999998742</v>
      </c>
      <c r="J809">
        <f t="shared" si="229"/>
        <v>0</v>
      </c>
      <c r="K809">
        <f t="shared" si="241"/>
        <v>0</v>
      </c>
      <c r="L809">
        <f t="shared" si="230"/>
        <v>0</v>
      </c>
      <c r="M809">
        <f t="shared" si="231"/>
        <v>0</v>
      </c>
      <c r="N809">
        <f t="shared" si="232"/>
        <v>0</v>
      </c>
      <c r="O809">
        <f t="shared" si="233"/>
        <v>0</v>
      </c>
      <c r="P809">
        <f t="shared" si="234"/>
        <v>0</v>
      </c>
      <c r="R809">
        <f t="shared" si="235"/>
        <v>8.0249999999998742</v>
      </c>
      <c r="S809">
        <f t="shared" si="236"/>
        <v>0</v>
      </c>
      <c r="T809">
        <f t="shared" si="242"/>
        <v>0</v>
      </c>
      <c r="U809" s="1">
        <f t="shared" si="237"/>
        <v>0</v>
      </c>
      <c r="V809">
        <f t="shared" si="238"/>
        <v>1.2232071190494209E+28</v>
      </c>
      <c r="W809">
        <f t="shared" si="243"/>
        <v>0</v>
      </c>
      <c r="Y809">
        <f t="shared" si="244"/>
        <v>8.0249999999998742</v>
      </c>
      <c r="Z809">
        <f t="shared" si="239"/>
        <v>0</v>
      </c>
      <c r="AA809">
        <f t="shared" si="245"/>
        <v>0</v>
      </c>
      <c r="AB809">
        <f t="shared" si="246"/>
        <v>0</v>
      </c>
      <c r="AC809" s="1">
        <f t="shared" si="240"/>
        <v>0</v>
      </c>
    </row>
    <row r="810" spans="9:29" x14ac:dyDescent="0.2">
      <c r="I810">
        <f t="shared" si="247"/>
        <v>8.034999999999874</v>
      </c>
      <c r="J810">
        <f t="shared" si="229"/>
        <v>0</v>
      </c>
      <c r="K810">
        <f t="shared" si="241"/>
        <v>0</v>
      </c>
      <c r="L810">
        <f t="shared" si="230"/>
        <v>0</v>
      </c>
      <c r="M810">
        <f t="shared" si="231"/>
        <v>0</v>
      </c>
      <c r="N810">
        <f t="shared" si="232"/>
        <v>0</v>
      </c>
      <c r="O810">
        <f t="shared" si="233"/>
        <v>0</v>
      </c>
      <c r="P810">
        <f t="shared" si="234"/>
        <v>0</v>
      </c>
      <c r="R810">
        <f t="shared" si="235"/>
        <v>8.034999999999874</v>
      </c>
      <c r="S810">
        <f t="shared" si="236"/>
        <v>0</v>
      </c>
      <c r="T810">
        <f t="shared" si="242"/>
        <v>0</v>
      </c>
      <c r="U810" s="1">
        <f t="shared" si="237"/>
        <v>0</v>
      </c>
      <c r="V810">
        <f t="shared" si="238"/>
        <v>1.2661932675103974E+28</v>
      </c>
      <c r="W810">
        <f t="shared" si="243"/>
        <v>0</v>
      </c>
      <c r="Y810">
        <f t="shared" si="244"/>
        <v>8.034999999999874</v>
      </c>
      <c r="Z810">
        <f t="shared" si="239"/>
        <v>0</v>
      </c>
      <c r="AA810">
        <f t="shared" si="245"/>
        <v>0</v>
      </c>
      <c r="AB810">
        <f t="shared" si="246"/>
        <v>0</v>
      </c>
      <c r="AC810" s="1">
        <f t="shared" si="240"/>
        <v>0</v>
      </c>
    </row>
    <row r="811" spans="9:29" x14ac:dyDescent="0.2">
      <c r="I811">
        <f t="shared" si="247"/>
        <v>8.0449999999998738</v>
      </c>
      <c r="J811">
        <f t="shared" si="229"/>
        <v>0</v>
      </c>
      <c r="K811">
        <f t="shared" si="241"/>
        <v>0</v>
      </c>
      <c r="L811">
        <f t="shared" si="230"/>
        <v>0</v>
      </c>
      <c r="M811">
        <f t="shared" si="231"/>
        <v>0</v>
      </c>
      <c r="N811">
        <f t="shared" si="232"/>
        <v>0</v>
      </c>
      <c r="O811">
        <f t="shared" si="233"/>
        <v>0</v>
      </c>
      <c r="P811">
        <f t="shared" si="234"/>
        <v>0</v>
      </c>
      <c r="R811">
        <f t="shared" si="235"/>
        <v>8.0449999999998738</v>
      </c>
      <c r="S811">
        <f t="shared" si="236"/>
        <v>0</v>
      </c>
      <c r="T811">
        <f t="shared" si="242"/>
        <v>0</v>
      </c>
      <c r="U811" s="1">
        <f t="shared" si="237"/>
        <v>0</v>
      </c>
      <c r="V811">
        <f t="shared" si="238"/>
        <v>1.3106900423655104E+28</v>
      </c>
      <c r="W811">
        <f t="shared" si="243"/>
        <v>0</v>
      </c>
      <c r="Y811">
        <f t="shared" si="244"/>
        <v>8.0449999999998738</v>
      </c>
      <c r="Z811">
        <f t="shared" si="239"/>
        <v>0</v>
      </c>
      <c r="AA811">
        <f t="shared" si="245"/>
        <v>0</v>
      </c>
      <c r="AB811">
        <f t="shared" si="246"/>
        <v>0</v>
      </c>
      <c r="AC811" s="1">
        <f t="shared" si="240"/>
        <v>0</v>
      </c>
    </row>
    <row r="812" spans="9:29" x14ac:dyDescent="0.2">
      <c r="I812">
        <f t="shared" si="247"/>
        <v>8.0549999999998736</v>
      </c>
      <c r="J812">
        <f t="shared" si="229"/>
        <v>0</v>
      </c>
      <c r="K812">
        <f t="shared" si="241"/>
        <v>0</v>
      </c>
      <c r="L812">
        <f t="shared" si="230"/>
        <v>0</v>
      </c>
      <c r="M812">
        <f t="shared" si="231"/>
        <v>0</v>
      </c>
      <c r="N812">
        <f t="shared" si="232"/>
        <v>0</v>
      </c>
      <c r="O812">
        <f t="shared" si="233"/>
        <v>0</v>
      </c>
      <c r="P812">
        <f t="shared" si="234"/>
        <v>0</v>
      </c>
      <c r="R812">
        <f t="shared" si="235"/>
        <v>8.0549999999998736</v>
      </c>
      <c r="S812">
        <f t="shared" si="236"/>
        <v>0</v>
      </c>
      <c r="T812">
        <f t="shared" si="242"/>
        <v>0</v>
      </c>
      <c r="U812" s="1">
        <f t="shared" si="237"/>
        <v>0</v>
      </c>
      <c r="V812">
        <f t="shared" si="238"/>
        <v>1.3567505302992753E+28</v>
      </c>
      <c r="W812">
        <f t="shared" si="243"/>
        <v>0</v>
      </c>
      <c r="Y812">
        <f t="shared" si="244"/>
        <v>8.0549999999998736</v>
      </c>
      <c r="Z812">
        <f t="shared" si="239"/>
        <v>0</v>
      </c>
      <c r="AA812">
        <f t="shared" si="245"/>
        <v>0</v>
      </c>
      <c r="AB812">
        <f t="shared" si="246"/>
        <v>0</v>
      </c>
      <c r="AC812" s="1">
        <f t="shared" si="240"/>
        <v>0</v>
      </c>
    </row>
    <row r="813" spans="9:29" x14ac:dyDescent="0.2">
      <c r="I813">
        <f t="shared" si="247"/>
        <v>8.0649999999998734</v>
      </c>
      <c r="J813">
        <f t="shared" si="229"/>
        <v>0</v>
      </c>
      <c r="K813">
        <f t="shared" si="241"/>
        <v>0</v>
      </c>
      <c r="L813">
        <f t="shared" si="230"/>
        <v>0</v>
      </c>
      <c r="M813">
        <f t="shared" si="231"/>
        <v>0</v>
      </c>
      <c r="N813">
        <f t="shared" si="232"/>
        <v>0</v>
      </c>
      <c r="O813">
        <f t="shared" si="233"/>
        <v>0</v>
      </c>
      <c r="P813">
        <f t="shared" si="234"/>
        <v>0</v>
      </c>
      <c r="R813">
        <f t="shared" si="235"/>
        <v>8.0649999999998734</v>
      </c>
      <c r="S813">
        <f t="shared" si="236"/>
        <v>0</v>
      </c>
      <c r="T813">
        <f t="shared" si="242"/>
        <v>0</v>
      </c>
      <c r="U813" s="1">
        <f t="shared" si="237"/>
        <v>0</v>
      </c>
      <c r="V813">
        <f t="shared" si="238"/>
        <v>1.4044296835773404E+28</v>
      </c>
      <c r="W813">
        <f t="shared" si="243"/>
        <v>0</v>
      </c>
      <c r="Y813">
        <f t="shared" si="244"/>
        <v>8.0649999999998734</v>
      </c>
      <c r="Z813">
        <f t="shared" si="239"/>
        <v>0</v>
      </c>
      <c r="AA813">
        <f t="shared" si="245"/>
        <v>0</v>
      </c>
      <c r="AB813">
        <f t="shared" si="246"/>
        <v>0</v>
      </c>
      <c r="AC813" s="1">
        <f t="shared" si="240"/>
        <v>0</v>
      </c>
    </row>
    <row r="814" spans="9:29" x14ac:dyDescent="0.2">
      <c r="I814">
        <f t="shared" si="247"/>
        <v>8.0749999999998732</v>
      </c>
      <c r="J814">
        <f t="shared" si="229"/>
        <v>0</v>
      </c>
      <c r="K814">
        <f t="shared" si="241"/>
        <v>0</v>
      </c>
      <c r="L814">
        <f t="shared" si="230"/>
        <v>0</v>
      </c>
      <c r="M814">
        <f t="shared" si="231"/>
        <v>0</v>
      </c>
      <c r="N814">
        <f t="shared" si="232"/>
        <v>0</v>
      </c>
      <c r="O814">
        <f t="shared" si="233"/>
        <v>0</v>
      </c>
      <c r="P814">
        <f t="shared" si="234"/>
        <v>0</v>
      </c>
      <c r="R814">
        <f t="shared" si="235"/>
        <v>8.0749999999998732</v>
      </c>
      <c r="S814">
        <f t="shared" si="236"/>
        <v>0</v>
      </c>
      <c r="T814">
        <f t="shared" si="242"/>
        <v>0</v>
      </c>
      <c r="U814" s="1">
        <f t="shared" si="237"/>
        <v>0</v>
      </c>
      <c r="V814">
        <f t="shared" si="238"/>
        <v>1.4537843856070332E+28</v>
      </c>
      <c r="W814">
        <f t="shared" si="243"/>
        <v>0</v>
      </c>
      <c r="Y814">
        <f t="shared" si="244"/>
        <v>8.0749999999998732</v>
      </c>
      <c r="Z814">
        <f t="shared" si="239"/>
        <v>0</v>
      </c>
      <c r="AA814">
        <f t="shared" si="245"/>
        <v>0</v>
      </c>
      <c r="AB814">
        <f t="shared" si="246"/>
        <v>0</v>
      </c>
      <c r="AC814" s="1">
        <f t="shared" si="240"/>
        <v>0</v>
      </c>
    </row>
    <row r="815" spans="9:29" x14ac:dyDescent="0.2">
      <c r="I815">
        <f t="shared" si="247"/>
        <v>8.084999999999873</v>
      </c>
      <c r="J815">
        <f t="shared" si="229"/>
        <v>0</v>
      </c>
      <c r="K815">
        <f t="shared" si="241"/>
        <v>0</v>
      </c>
      <c r="L815">
        <f t="shared" si="230"/>
        <v>0</v>
      </c>
      <c r="M815">
        <f t="shared" si="231"/>
        <v>0</v>
      </c>
      <c r="N815">
        <f t="shared" si="232"/>
        <v>0</v>
      </c>
      <c r="O815">
        <f t="shared" si="233"/>
        <v>0</v>
      </c>
      <c r="P815">
        <f t="shared" si="234"/>
        <v>0</v>
      </c>
      <c r="R815">
        <f t="shared" si="235"/>
        <v>8.084999999999873</v>
      </c>
      <c r="S815">
        <f t="shared" si="236"/>
        <v>0</v>
      </c>
      <c r="T815">
        <f t="shared" si="242"/>
        <v>0</v>
      </c>
      <c r="U815" s="1">
        <f t="shared" si="237"/>
        <v>0</v>
      </c>
      <c r="V815">
        <f t="shared" si="238"/>
        <v>1.5048735188018627E+28</v>
      </c>
      <c r="W815">
        <f t="shared" si="243"/>
        <v>0</v>
      </c>
      <c r="Y815">
        <f t="shared" si="244"/>
        <v>8.084999999999873</v>
      </c>
      <c r="Z815">
        <f t="shared" si="239"/>
        <v>0</v>
      </c>
      <c r="AA815">
        <f t="shared" si="245"/>
        <v>0</v>
      </c>
      <c r="AB815">
        <f t="shared" si="246"/>
        <v>0</v>
      </c>
      <c r="AC815" s="1">
        <f t="shared" si="240"/>
        <v>0</v>
      </c>
    </row>
    <row r="816" spans="9:29" x14ac:dyDescent="0.2">
      <c r="I816">
        <f t="shared" si="247"/>
        <v>8.0949999999998727</v>
      </c>
      <c r="J816">
        <f t="shared" si="229"/>
        <v>0</v>
      </c>
      <c r="K816">
        <f t="shared" si="241"/>
        <v>0</v>
      </c>
      <c r="L816">
        <f t="shared" si="230"/>
        <v>0</v>
      </c>
      <c r="M816">
        <f t="shared" si="231"/>
        <v>0</v>
      </c>
      <c r="N816">
        <f t="shared" si="232"/>
        <v>0</v>
      </c>
      <c r="O816">
        <f t="shared" si="233"/>
        <v>0</v>
      </c>
      <c r="P816">
        <f t="shared" si="234"/>
        <v>0</v>
      </c>
      <c r="R816">
        <f t="shared" si="235"/>
        <v>8.0949999999998727</v>
      </c>
      <c r="S816">
        <f t="shared" si="236"/>
        <v>0</v>
      </c>
      <c r="T816">
        <f t="shared" si="242"/>
        <v>0</v>
      </c>
      <c r="U816" s="1">
        <f t="shared" si="237"/>
        <v>0</v>
      </c>
      <c r="V816">
        <f t="shared" si="238"/>
        <v>1.5577580348309282E+28</v>
      </c>
      <c r="W816">
        <f t="shared" si="243"/>
        <v>0</v>
      </c>
      <c r="Y816">
        <f t="shared" si="244"/>
        <v>8.0949999999998727</v>
      </c>
      <c r="Z816">
        <f t="shared" si="239"/>
        <v>0</v>
      </c>
      <c r="AA816">
        <f t="shared" si="245"/>
        <v>0</v>
      </c>
      <c r="AB816">
        <f t="shared" si="246"/>
        <v>0</v>
      </c>
      <c r="AC816" s="1">
        <f t="shared" si="240"/>
        <v>0</v>
      </c>
    </row>
    <row r="817" spans="9:29" x14ac:dyDescent="0.2">
      <c r="I817">
        <f t="shared" si="247"/>
        <v>8.1049999999998725</v>
      </c>
      <c r="J817">
        <f t="shared" si="229"/>
        <v>0</v>
      </c>
      <c r="K817">
        <f t="shared" si="241"/>
        <v>0</v>
      </c>
      <c r="L817">
        <f t="shared" si="230"/>
        <v>0</v>
      </c>
      <c r="M817">
        <f t="shared" si="231"/>
        <v>0</v>
      </c>
      <c r="N817">
        <f t="shared" si="232"/>
        <v>0</v>
      </c>
      <c r="O817">
        <f t="shared" si="233"/>
        <v>0</v>
      </c>
      <c r="P817">
        <f t="shared" si="234"/>
        <v>0</v>
      </c>
      <c r="R817">
        <f t="shared" si="235"/>
        <v>8.1049999999998725</v>
      </c>
      <c r="S817">
        <f t="shared" si="236"/>
        <v>0</v>
      </c>
      <c r="T817">
        <f t="shared" si="242"/>
        <v>0</v>
      </c>
      <c r="U817" s="1">
        <f t="shared" si="237"/>
        <v>0</v>
      </c>
      <c r="V817">
        <f t="shared" si="238"/>
        <v>1.6125010273370435E+28</v>
      </c>
      <c r="W817">
        <f t="shared" si="243"/>
        <v>0</v>
      </c>
      <c r="Y817">
        <f t="shared" si="244"/>
        <v>8.1049999999998725</v>
      </c>
      <c r="Z817">
        <f t="shared" si="239"/>
        <v>0</v>
      </c>
      <c r="AA817">
        <f t="shared" si="245"/>
        <v>0</v>
      </c>
      <c r="AB817">
        <f t="shared" si="246"/>
        <v>0</v>
      </c>
      <c r="AC817" s="1">
        <f t="shared" si="240"/>
        <v>0</v>
      </c>
    </row>
    <row r="818" spans="9:29" x14ac:dyDescent="0.2">
      <c r="I818">
        <f t="shared" si="247"/>
        <v>8.1149999999998723</v>
      </c>
      <c r="J818">
        <f t="shared" si="229"/>
        <v>0</v>
      </c>
      <c r="K818">
        <f t="shared" si="241"/>
        <v>0</v>
      </c>
      <c r="L818">
        <f t="shared" si="230"/>
        <v>0</v>
      </c>
      <c r="M818">
        <f t="shared" si="231"/>
        <v>0</v>
      </c>
      <c r="N818">
        <f t="shared" si="232"/>
        <v>0</v>
      </c>
      <c r="O818">
        <f t="shared" si="233"/>
        <v>0</v>
      </c>
      <c r="P818">
        <f t="shared" si="234"/>
        <v>0</v>
      </c>
      <c r="R818">
        <f t="shared" si="235"/>
        <v>8.1149999999998723</v>
      </c>
      <c r="S818">
        <f t="shared" si="236"/>
        <v>0</v>
      </c>
      <c r="T818">
        <f t="shared" si="242"/>
        <v>0</v>
      </c>
      <c r="U818" s="1">
        <f t="shared" si="237"/>
        <v>0</v>
      </c>
      <c r="V818">
        <f t="shared" si="238"/>
        <v>1.6691678072103348E+28</v>
      </c>
      <c r="W818">
        <f t="shared" si="243"/>
        <v>0</v>
      </c>
      <c r="Y818">
        <f t="shared" si="244"/>
        <v>8.1149999999998723</v>
      </c>
      <c r="Z818">
        <f t="shared" si="239"/>
        <v>0</v>
      </c>
      <c r="AA818">
        <f t="shared" si="245"/>
        <v>0</v>
      </c>
      <c r="AB818">
        <f t="shared" si="246"/>
        <v>0</v>
      </c>
      <c r="AC818" s="1">
        <f t="shared" si="240"/>
        <v>0</v>
      </c>
    </row>
    <row r="819" spans="9:29" x14ac:dyDescent="0.2">
      <c r="I819">
        <f t="shared" si="247"/>
        <v>8.1249999999998721</v>
      </c>
      <c r="J819">
        <f t="shared" si="229"/>
        <v>0</v>
      </c>
      <c r="K819">
        <f t="shared" si="241"/>
        <v>0</v>
      </c>
      <c r="L819">
        <f t="shared" si="230"/>
        <v>0</v>
      </c>
      <c r="M819">
        <f t="shared" si="231"/>
        <v>0</v>
      </c>
      <c r="N819">
        <f t="shared" si="232"/>
        <v>0</v>
      </c>
      <c r="O819">
        <f t="shared" si="233"/>
        <v>0</v>
      </c>
      <c r="P819">
        <f t="shared" si="234"/>
        <v>0</v>
      </c>
      <c r="R819">
        <f t="shared" si="235"/>
        <v>8.1249999999998721</v>
      </c>
      <c r="S819">
        <f t="shared" si="236"/>
        <v>0</v>
      </c>
      <c r="T819">
        <f t="shared" si="242"/>
        <v>0</v>
      </c>
      <c r="U819" s="1">
        <f t="shared" si="237"/>
        <v>0</v>
      </c>
      <c r="V819">
        <f t="shared" si="238"/>
        <v>1.7278259805071149E+28</v>
      </c>
      <c r="W819">
        <f t="shared" si="243"/>
        <v>0</v>
      </c>
      <c r="Y819">
        <f t="shared" si="244"/>
        <v>8.1249999999998721</v>
      </c>
      <c r="Z819">
        <f t="shared" si="239"/>
        <v>0</v>
      </c>
      <c r="AA819">
        <f t="shared" si="245"/>
        <v>0</v>
      </c>
      <c r="AB819">
        <f t="shared" si="246"/>
        <v>0</v>
      </c>
      <c r="AC819" s="1">
        <f t="shared" si="240"/>
        <v>0</v>
      </c>
    </row>
    <row r="820" spans="9:29" x14ac:dyDescent="0.2">
      <c r="I820">
        <f t="shared" si="247"/>
        <v>8.1349999999998719</v>
      </c>
      <c r="J820">
        <f t="shared" si="229"/>
        <v>0</v>
      </c>
      <c r="K820">
        <f t="shared" si="241"/>
        <v>0</v>
      </c>
      <c r="L820">
        <f t="shared" si="230"/>
        <v>0</v>
      </c>
      <c r="M820">
        <f t="shared" si="231"/>
        <v>0</v>
      </c>
      <c r="N820">
        <f t="shared" si="232"/>
        <v>0</v>
      </c>
      <c r="O820">
        <f t="shared" si="233"/>
        <v>0</v>
      </c>
      <c r="P820">
        <f t="shared" si="234"/>
        <v>0</v>
      </c>
      <c r="R820">
        <f t="shared" si="235"/>
        <v>8.1349999999998719</v>
      </c>
      <c r="S820">
        <f t="shared" si="236"/>
        <v>0</v>
      </c>
      <c r="T820">
        <f t="shared" si="242"/>
        <v>0</v>
      </c>
      <c r="U820" s="1">
        <f t="shared" si="237"/>
        <v>0</v>
      </c>
      <c r="V820">
        <f t="shared" si="238"/>
        <v>1.7885455291069964E+28</v>
      </c>
      <c r="W820">
        <f t="shared" si="243"/>
        <v>0</v>
      </c>
      <c r="Y820">
        <f t="shared" si="244"/>
        <v>8.1349999999998719</v>
      </c>
      <c r="Z820">
        <f t="shared" si="239"/>
        <v>0</v>
      </c>
      <c r="AA820">
        <f t="shared" si="245"/>
        <v>0</v>
      </c>
      <c r="AB820">
        <f t="shared" si="246"/>
        <v>0</v>
      </c>
      <c r="AC820" s="1">
        <f t="shared" si="240"/>
        <v>0</v>
      </c>
    </row>
    <row r="821" spans="9:29" x14ac:dyDescent="0.2">
      <c r="I821">
        <f t="shared" si="247"/>
        <v>8.1449999999998717</v>
      </c>
      <c r="J821">
        <f t="shared" si="229"/>
        <v>0</v>
      </c>
      <c r="K821">
        <f t="shared" si="241"/>
        <v>0</v>
      </c>
      <c r="L821">
        <f t="shared" si="230"/>
        <v>0</v>
      </c>
      <c r="M821">
        <f t="shared" si="231"/>
        <v>0</v>
      </c>
      <c r="N821">
        <f t="shared" si="232"/>
        <v>0</v>
      </c>
      <c r="O821">
        <f t="shared" si="233"/>
        <v>0</v>
      </c>
      <c r="P821">
        <f t="shared" si="234"/>
        <v>0</v>
      </c>
      <c r="R821">
        <f t="shared" si="235"/>
        <v>8.1449999999998717</v>
      </c>
      <c r="S821">
        <f t="shared" si="236"/>
        <v>0</v>
      </c>
      <c r="T821">
        <f t="shared" si="242"/>
        <v>0</v>
      </c>
      <c r="U821" s="1">
        <f t="shared" si="237"/>
        <v>0</v>
      </c>
      <c r="V821">
        <f t="shared" si="238"/>
        <v>1.8513988942044694E+28</v>
      </c>
      <c r="W821">
        <f t="shared" si="243"/>
        <v>0</v>
      </c>
      <c r="Y821">
        <f t="shared" si="244"/>
        <v>8.1449999999998717</v>
      </c>
      <c r="Z821">
        <f t="shared" si="239"/>
        <v>0</v>
      </c>
      <c r="AA821">
        <f t="shared" si="245"/>
        <v>0</v>
      </c>
      <c r="AB821">
        <f t="shared" si="246"/>
        <v>0</v>
      </c>
      <c r="AC821" s="1">
        <f t="shared" si="240"/>
        <v>0</v>
      </c>
    </row>
    <row r="822" spans="9:29" x14ac:dyDescent="0.2">
      <c r="I822">
        <f t="shared" si="247"/>
        <v>8.1549999999998715</v>
      </c>
      <c r="J822">
        <f t="shared" si="229"/>
        <v>0</v>
      </c>
      <c r="K822">
        <f t="shared" si="241"/>
        <v>0</v>
      </c>
      <c r="L822">
        <f t="shared" si="230"/>
        <v>0</v>
      </c>
      <c r="M822">
        <f t="shared" si="231"/>
        <v>0</v>
      </c>
      <c r="N822">
        <f t="shared" si="232"/>
        <v>0</v>
      </c>
      <c r="O822">
        <f t="shared" si="233"/>
        <v>0</v>
      </c>
      <c r="P822">
        <f t="shared" si="234"/>
        <v>0</v>
      </c>
      <c r="R822">
        <f t="shared" si="235"/>
        <v>8.1549999999998715</v>
      </c>
      <c r="S822">
        <f t="shared" si="236"/>
        <v>0</v>
      </c>
      <c r="T822">
        <f t="shared" si="242"/>
        <v>0</v>
      </c>
      <c r="U822" s="1">
        <f t="shared" si="237"/>
        <v>0</v>
      </c>
      <c r="V822">
        <f t="shared" si="238"/>
        <v>1.9164610627345554E+28</v>
      </c>
      <c r="W822">
        <f t="shared" si="243"/>
        <v>0</v>
      </c>
      <c r="Y822">
        <f t="shared" si="244"/>
        <v>8.1549999999998715</v>
      </c>
      <c r="Z822">
        <f t="shared" si="239"/>
        <v>0</v>
      </c>
      <c r="AA822">
        <f t="shared" si="245"/>
        <v>0</v>
      </c>
      <c r="AB822">
        <f t="shared" si="246"/>
        <v>0</v>
      </c>
      <c r="AC822" s="1">
        <f t="shared" si="240"/>
        <v>0</v>
      </c>
    </row>
    <row r="823" spans="9:29" x14ac:dyDescent="0.2">
      <c r="I823">
        <f t="shared" si="247"/>
        <v>8.1649999999998712</v>
      </c>
      <c r="J823">
        <f t="shared" si="229"/>
        <v>0</v>
      </c>
      <c r="K823">
        <f t="shared" si="241"/>
        <v>0</v>
      </c>
      <c r="L823">
        <f t="shared" si="230"/>
        <v>0</v>
      </c>
      <c r="M823">
        <f t="shared" si="231"/>
        <v>0</v>
      </c>
      <c r="N823">
        <f t="shared" si="232"/>
        <v>0</v>
      </c>
      <c r="O823">
        <f t="shared" si="233"/>
        <v>0</v>
      </c>
      <c r="P823">
        <f t="shared" si="234"/>
        <v>0</v>
      </c>
      <c r="R823">
        <f t="shared" si="235"/>
        <v>8.1649999999998712</v>
      </c>
      <c r="S823">
        <f t="shared" si="236"/>
        <v>0</v>
      </c>
      <c r="T823">
        <f t="shared" si="242"/>
        <v>0</v>
      </c>
      <c r="U823" s="1">
        <f t="shared" si="237"/>
        <v>0</v>
      </c>
      <c r="V823">
        <f t="shared" si="238"/>
        <v>1.9838096568356454E+28</v>
      </c>
      <c r="W823">
        <f t="shared" si="243"/>
        <v>0</v>
      </c>
      <c r="Y823">
        <f t="shared" si="244"/>
        <v>8.1649999999998712</v>
      </c>
      <c r="Z823">
        <f t="shared" si="239"/>
        <v>0</v>
      </c>
      <c r="AA823">
        <f t="shared" si="245"/>
        <v>0</v>
      </c>
      <c r="AB823">
        <f t="shared" si="246"/>
        <v>0</v>
      </c>
      <c r="AC823" s="1">
        <f t="shared" si="240"/>
        <v>0</v>
      </c>
    </row>
    <row r="824" spans="9:29" x14ac:dyDescent="0.2">
      <c r="I824">
        <f t="shared" si="247"/>
        <v>8.174999999999871</v>
      </c>
      <c r="J824">
        <f t="shared" si="229"/>
        <v>0</v>
      </c>
      <c r="K824">
        <f t="shared" si="241"/>
        <v>0</v>
      </c>
      <c r="L824">
        <f t="shared" si="230"/>
        <v>0</v>
      </c>
      <c r="M824">
        <f t="shared" si="231"/>
        <v>0</v>
      </c>
      <c r="N824">
        <f t="shared" si="232"/>
        <v>0</v>
      </c>
      <c r="O824">
        <f t="shared" si="233"/>
        <v>0</v>
      </c>
      <c r="P824">
        <f t="shared" si="234"/>
        <v>0</v>
      </c>
      <c r="R824">
        <f t="shared" si="235"/>
        <v>8.174999999999871</v>
      </c>
      <c r="S824">
        <f t="shared" si="236"/>
        <v>0</v>
      </c>
      <c r="T824">
        <f t="shared" si="242"/>
        <v>0</v>
      </c>
      <c r="U824" s="1">
        <f t="shared" si="237"/>
        <v>0</v>
      </c>
      <c r="V824">
        <f t="shared" si="238"/>
        <v>2.0535250264562552E+28</v>
      </c>
      <c r="W824">
        <f t="shared" si="243"/>
        <v>0</v>
      </c>
      <c r="Y824">
        <f t="shared" si="244"/>
        <v>8.174999999999871</v>
      </c>
      <c r="Z824">
        <f t="shared" si="239"/>
        <v>0</v>
      </c>
      <c r="AA824">
        <f t="shared" si="245"/>
        <v>0</v>
      </c>
      <c r="AB824">
        <f t="shared" si="246"/>
        <v>0</v>
      </c>
      <c r="AC824" s="1">
        <f t="shared" si="240"/>
        <v>0</v>
      </c>
    </row>
    <row r="825" spans="9:29" x14ac:dyDescent="0.2">
      <c r="I825">
        <f t="shared" si="247"/>
        <v>8.1849999999998708</v>
      </c>
      <c r="J825">
        <f t="shared" si="229"/>
        <v>0</v>
      </c>
      <c r="K825">
        <f t="shared" si="241"/>
        <v>0</v>
      </c>
      <c r="L825">
        <f t="shared" si="230"/>
        <v>0</v>
      </c>
      <c r="M825">
        <f t="shared" si="231"/>
        <v>0</v>
      </c>
      <c r="N825">
        <f t="shared" si="232"/>
        <v>0</v>
      </c>
      <c r="O825">
        <f t="shared" si="233"/>
        <v>0</v>
      </c>
      <c r="P825">
        <f t="shared" si="234"/>
        <v>0</v>
      </c>
      <c r="R825">
        <f t="shared" si="235"/>
        <v>8.1849999999998708</v>
      </c>
      <c r="S825">
        <f t="shared" si="236"/>
        <v>0</v>
      </c>
      <c r="T825">
        <f t="shared" si="242"/>
        <v>0</v>
      </c>
      <c r="U825" s="1">
        <f t="shared" si="237"/>
        <v>0</v>
      </c>
      <c r="V825">
        <f t="shared" si="238"/>
        <v>2.1256903452161843E+28</v>
      </c>
      <c r="W825">
        <f t="shared" si="243"/>
        <v>0</v>
      </c>
      <c r="Y825">
        <f t="shared" si="244"/>
        <v>8.1849999999998708</v>
      </c>
      <c r="Z825">
        <f t="shared" si="239"/>
        <v>0</v>
      </c>
      <c r="AA825">
        <f t="shared" si="245"/>
        <v>0</v>
      </c>
      <c r="AB825">
        <f t="shared" si="246"/>
        <v>0</v>
      </c>
      <c r="AC825" s="1">
        <f t="shared" si="240"/>
        <v>0</v>
      </c>
    </row>
    <row r="826" spans="9:29" x14ac:dyDescent="0.2">
      <c r="I826">
        <f t="shared" si="247"/>
        <v>8.1949999999998706</v>
      </c>
      <c r="J826">
        <f t="shared" si="229"/>
        <v>0</v>
      </c>
      <c r="K826">
        <f t="shared" si="241"/>
        <v>0</v>
      </c>
      <c r="L826">
        <f t="shared" si="230"/>
        <v>0</v>
      </c>
      <c r="M826">
        <f t="shared" si="231"/>
        <v>0</v>
      </c>
      <c r="N826">
        <f t="shared" si="232"/>
        <v>0</v>
      </c>
      <c r="O826">
        <f t="shared" si="233"/>
        <v>0</v>
      </c>
      <c r="P826">
        <f t="shared" si="234"/>
        <v>0</v>
      </c>
      <c r="R826">
        <f t="shared" si="235"/>
        <v>8.1949999999998706</v>
      </c>
      <c r="S826">
        <f t="shared" si="236"/>
        <v>0</v>
      </c>
      <c r="T826">
        <f t="shared" si="242"/>
        <v>0</v>
      </c>
      <c r="U826" s="1">
        <f t="shared" si="237"/>
        <v>0</v>
      </c>
      <c r="V826">
        <f t="shared" si="238"/>
        <v>2.200391709636443E+28</v>
      </c>
      <c r="W826">
        <f t="shared" si="243"/>
        <v>0</v>
      </c>
      <c r="Y826">
        <f t="shared" si="244"/>
        <v>8.1949999999998706</v>
      </c>
      <c r="Z826">
        <f t="shared" si="239"/>
        <v>0</v>
      </c>
      <c r="AA826">
        <f t="shared" si="245"/>
        <v>0</v>
      </c>
      <c r="AB826">
        <f t="shared" si="246"/>
        <v>0</v>
      </c>
      <c r="AC826" s="1">
        <f t="shared" si="240"/>
        <v>0</v>
      </c>
    </row>
    <row r="827" spans="9:29" x14ac:dyDescent="0.2">
      <c r="I827">
        <f t="shared" si="247"/>
        <v>8.2049999999998704</v>
      </c>
      <c r="J827">
        <f t="shared" si="229"/>
        <v>0</v>
      </c>
      <c r="K827">
        <f t="shared" si="241"/>
        <v>0</v>
      </c>
      <c r="L827">
        <f t="shared" si="230"/>
        <v>0</v>
      </c>
      <c r="M827">
        <f t="shared" si="231"/>
        <v>0</v>
      </c>
      <c r="N827">
        <f t="shared" si="232"/>
        <v>0</v>
      </c>
      <c r="O827">
        <f t="shared" si="233"/>
        <v>0</v>
      </c>
      <c r="P827">
        <f t="shared" si="234"/>
        <v>0</v>
      </c>
      <c r="R827">
        <f t="shared" si="235"/>
        <v>8.2049999999998704</v>
      </c>
      <c r="S827">
        <f t="shared" si="236"/>
        <v>0</v>
      </c>
      <c r="T827">
        <f t="shared" si="242"/>
        <v>0</v>
      </c>
      <c r="U827" s="1">
        <f t="shared" si="237"/>
        <v>0</v>
      </c>
      <c r="V827">
        <f t="shared" si="238"/>
        <v>2.277718241856333E+28</v>
      </c>
      <c r="W827">
        <f t="shared" si="243"/>
        <v>0</v>
      </c>
      <c r="Y827">
        <f t="shared" si="244"/>
        <v>8.2049999999998704</v>
      </c>
      <c r="Z827">
        <f t="shared" si="239"/>
        <v>0</v>
      </c>
      <c r="AA827">
        <f t="shared" si="245"/>
        <v>0</v>
      </c>
      <c r="AB827">
        <f t="shared" si="246"/>
        <v>0</v>
      </c>
      <c r="AC827" s="1">
        <f t="shared" si="240"/>
        <v>0</v>
      </c>
    </row>
    <row r="828" spans="9:29" x14ac:dyDescent="0.2">
      <c r="I828">
        <f t="shared" si="247"/>
        <v>8.2149999999998702</v>
      </c>
      <c r="J828">
        <f t="shared" si="229"/>
        <v>0</v>
      </c>
      <c r="K828">
        <f t="shared" si="241"/>
        <v>0</v>
      </c>
      <c r="L828">
        <f t="shared" si="230"/>
        <v>0</v>
      </c>
      <c r="M828">
        <f t="shared" si="231"/>
        <v>0</v>
      </c>
      <c r="N828">
        <f t="shared" si="232"/>
        <v>0</v>
      </c>
      <c r="O828">
        <f t="shared" si="233"/>
        <v>0</v>
      </c>
      <c r="P828">
        <f t="shared" si="234"/>
        <v>0</v>
      </c>
      <c r="R828">
        <f t="shared" si="235"/>
        <v>8.2149999999998702</v>
      </c>
      <c r="S828">
        <f t="shared" si="236"/>
        <v>0</v>
      </c>
      <c r="T828">
        <f t="shared" si="242"/>
        <v>0</v>
      </c>
      <c r="U828" s="1">
        <f t="shared" si="237"/>
        <v>0</v>
      </c>
      <c r="V828">
        <f t="shared" si="238"/>
        <v>2.3577621959602298E+28</v>
      </c>
      <c r="W828">
        <f t="shared" si="243"/>
        <v>0</v>
      </c>
      <c r="Y828">
        <f t="shared" si="244"/>
        <v>8.2149999999998702</v>
      </c>
      <c r="Z828">
        <f t="shared" si="239"/>
        <v>0</v>
      </c>
      <c r="AA828">
        <f t="shared" si="245"/>
        <v>0</v>
      </c>
      <c r="AB828">
        <f t="shared" si="246"/>
        <v>0</v>
      </c>
      <c r="AC828" s="1">
        <f t="shared" si="240"/>
        <v>0</v>
      </c>
    </row>
    <row r="829" spans="9:29" x14ac:dyDescent="0.2">
      <c r="I829">
        <f t="shared" si="247"/>
        <v>8.22499999999987</v>
      </c>
      <c r="J829">
        <f t="shared" si="229"/>
        <v>0</v>
      </c>
      <c r="K829">
        <f t="shared" si="241"/>
        <v>0</v>
      </c>
      <c r="L829">
        <f t="shared" si="230"/>
        <v>0</v>
      </c>
      <c r="M829">
        <f t="shared" si="231"/>
        <v>0</v>
      </c>
      <c r="N829">
        <f t="shared" si="232"/>
        <v>0</v>
      </c>
      <c r="O829">
        <f t="shared" si="233"/>
        <v>0</v>
      </c>
      <c r="P829">
        <f t="shared" si="234"/>
        <v>0</v>
      </c>
      <c r="R829">
        <f t="shared" si="235"/>
        <v>8.22499999999987</v>
      </c>
      <c r="S829">
        <f t="shared" si="236"/>
        <v>0</v>
      </c>
      <c r="T829">
        <f t="shared" si="242"/>
        <v>0</v>
      </c>
      <c r="U829" s="1">
        <f t="shared" si="237"/>
        <v>0</v>
      </c>
      <c r="V829">
        <f t="shared" si="238"/>
        <v>2.440619068040885E+28</v>
      </c>
      <c r="W829">
        <f t="shared" si="243"/>
        <v>0</v>
      </c>
      <c r="Y829">
        <f t="shared" si="244"/>
        <v>8.22499999999987</v>
      </c>
      <c r="Z829">
        <f t="shared" si="239"/>
        <v>0</v>
      </c>
      <c r="AA829">
        <f t="shared" si="245"/>
        <v>0</v>
      </c>
      <c r="AB829">
        <f t="shared" si="246"/>
        <v>0</v>
      </c>
      <c r="AC829" s="1">
        <f t="shared" si="240"/>
        <v>0</v>
      </c>
    </row>
    <row r="830" spans="9:29" x14ac:dyDescent="0.2">
      <c r="I830">
        <f t="shared" si="247"/>
        <v>8.2349999999998698</v>
      </c>
      <c r="J830">
        <f t="shared" si="229"/>
        <v>0</v>
      </c>
      <c r="K830">
        <f t="shared" si="241"/>
        <v>0</v>
      </c>
      <c r="L830">
        <f t="shared" si="230"/>
        <v>0</v>
      </c>
      <c r="M830">
        <f t="shared" si="231"/>
        <v>0</v>
      </c>
      <c r="N830">
        <f t="shared" si="232"/>
        <v>0</v>
      </c>
      <c r="O830">
        <f t="shared" si="233"/>
        <v>0</v>
      </c>
      <c r="P830">
        <f t="shared" si="234"/>
        <v>0</v>
      </c>
      <c r="R830">
        <f t="shared" si="235"/>
        <v>8.2349999999998698</v>
      </c>
      <c r="S830">
        <f t="shared" si="236"/>
        <v>0</v>
      </c>
      <c r="T830">
        <f t="shared" si="242"/>
        <v>0</v>
      </c>
      <c r="U830" s="1">
        <f t="shared" si="237"/>
        <v>0</v>
      </c>
      <c r="V830">
        <f t="shared" si="238"/>
        <v>2.5263877101307619E+28</v>
      </c>
      <c r="W830">
        <f t="shared" si="243"/>
        <v>0</v>
      </c>
      <c r="Y830">
        <f t="shared" si="244"/>
        <v>8.2349999999998698</v>
      </c>
      <c r="Z830">
        <f t="shared" si="239"/>
        <v>0</v>
      </c>
      <c r="AA830">
        <f t="shared" si="245"/>
        <v>0</v>
      </c>
      <c r="AB830">
        <f t="shared" si="246"/>
        <v>0</v>
      </c>
      <c r="AC830" s="1">
        <f t="shared" si="240"/>
        <v>0</v>
      </c>
    </row>
    <row r="831" spans="9:29" x14ac:dyDescent="0.2">
      <c r="I831">
        <f t="shared" si="247"/>
        <v>8.2449999999998695</v>
      </c>
      <c r="J831">
        <f t="shared" si="229"/>
        <v>0</v>
      </c>
      <c r="K831">
        <f t="shared" si="241"/>
        <v>0</v>
      </c>
      <c r="L831">
        <f t="shared" si="230"/>
        <v>0</v>
      </c>
      <c r="M831">
        <f t="shared" si="231"/>
        <v>0</v>
      </c>
      <c r="N831">
        <f t="shared" si="232"/>
        <v>0</v>
      </c>
      <c r="O831">
        <f t="shared" si="233"/>
        <v>0</v>
      </c>
      <c r="P831">
        <f t="shared" si="234"/>
        <v>0</v>
      </c>
      <c r="R831">
        <f t="shared" si="235"/>
        <v>8.2449999999998695</v>
      </c>
      <c r="S831">
        <f t="shared" si="236"/>
        <v>0</v>
      </c>
      <c r="T831">
        <f t="shared" si="242"/>
        <v>0</v>
      </c>
      <c r="U831" s="1">
        <f t="shared" si="237"/>
        <v>0</v>
      </c>
      <c r="V831">
        <f t="shared" si="238"/>
        <v>2.6151704481368229E+28</v>
      </c>
      <c r="W831">
        <f t="shared" si="243"/>
        <v>0</v>
      </c>
      <c r="Y831">
        <f t="shared" si="244"/>
        <v>8.2449999999998695</v>
      </c>
      <c r="Z831">
        <f t="shared" si="239"/>
        <v>0</v>
      </c>
      <c r="AA831">
        <f t="shared" si="245"/>
        <v>0</v>
      </c>
      <c r="AB831">
        <f t="shared" si="246"/>
        <v>0</v>
      </c>
      <c r="AC831" s="1">
        <f t="shared" si="240"/>
        <v>0</v>
      </c>
    </row>
    <row r="832" spans="9:29" x14ac:dyDescent="0.2">
      <c r="I832">
        <f t="shared" si="247"/>
        <v>8.2549999999998693</v>
      </c>
      <c r="J832">
        <f t="shared" si="229"/>
        <v>0</v>
      </c>
      <c r="K832">
        <f t="shared" si="241"/>
        <v>0</v>
      </c>
      <c r="L832">
        <f t="shared" si="230"/>
        <v>0</v>
      </c>
      <c r="M832">
        <f t="shared" si="231"/>
        <v>0</v>
      </c>
      <c r="N832">
        <f t="shared" si="232"/>
        <v>0</v>
      </c>
      <c r="O832">
        <f t="shared" si="233"/>
        <v>0</v>
      </c>
      <c r="P832">
        <f t="shared" si="234"/>
        <v>0</v>
      </c>
      <c r="R832">
        <f t="shared" si="235"/>
        <v>8.2549999999998693</v>
      </c>
      <c r="S832">
        <f t="shared" si="236"/>
        <v>0</v>
      </c>
      <c r="T832">
        <f t="shared" si="242"/>
        <v>0</v>
      </c>
      <c r="U832" s="1">
        <f t="shared" si="237"/>
        <v>0</v>
      </c>
      <c r="V832">
        <f t="shared" si="238"/>
        <v>2.7070732039201793E+28</v>
      </c>
      <c r="W832">
        <f t="shared" si="243"/>
        <v>0</v>
      </c>
      <c r="Y832">
        <f t="shared" si="244"/>
        <v>8.2549999999998693</v>
      </c>
      <c r="Z832">
        <f t="shared" si="239"/>
        <v>0</v>
      </c>
      <c r="AA832">
        <f t="shared" si="245"/>
        <v>0</v>
      </c>
      <c r="AB832">
        <f t="shared" si="246"/>
        <v>0</v>
      </c>
      <c r="AC832" s="1">
        <f t="shared" si="240"/>
        <v>0</v>
      </c>
    </row>
    <row r="833" spans="9:29" x14ac:dyDescent="0.2">
      <c r="I833">
        <f t="shared" si="247"/>
        <v>8.2649999999998691</v>
      </c>
      <c r="J833">
        <f t="shared" si="229"/>
        <v>0</v>
      </c>
      <c r="K833">
        <f t="shared" si="241"/>
        <v>0</v>
      </c>
      <c r="L833">
        <f t="shared" si="230"/>
        <v>0</v>
      </c>
      <c r="M833">
        <f t="shared" si="231"/>
        <v>0</v>
      </c>
      <c r="N833">
        <f t="shared" si="232"/>
        <v>0</v>
      </c>
      <c r="O833">
        <f t="shared" si="233"/>
        <v>0</v>
      </c>
      <c r="P833">
        <f t="shared" si="234"/>
        <v>0</v>
      </c>
      <c r="R833">
        <f t="shared" si="235"/>
        <v>8.2649999999998691</v>
      </c>
      <c r="S833">
        <f t="shared" si="236"/>
        <v>0</v>
      </c>
      <c r="T833">
        <f t="shared" si="242"/>
        <v>0</v>
      </c>
      <c r="U833" s="1">
        <f t="shared" si="237"/>
        <v>0</v>
      </c>
      <c r="V833">
        <f t="shared" si="238"/>
        <v>2.8022056216655272E+28</v>
      </c>
      <c r="W833">
        <f t="shared" si="243"/>
        <v>0</v>
      </c>
      <c r="Y833">
        <f t="shared" si="244"/>
        <v>8.2649999999998691</v>
      </c>
      <c r="Z833">
        <f t="shared" si="239"/>
        <v>0</v>
      </c>
      <c r="AA833">
        <f t="shared" si="245"/>
        <v>0</v>
      </c>
      <c r="AB833">
        <f t="shared" si="246"/>
        <v>0</v>
      </c>
      <c r="AC833" s="1">
        <f t="shared" si="240"/>
        <v>0</v>
      </c>
    </row>
    <row r="834" spans="9:29" x14ac:dyDescent="0.2">
      <c r="I834">
        <f t="shared" si="247"/>
        <v>8.2749999999998689</v>
      </c>
      <c r="J834">
        <f t="shared" si="229"/>
        <v>0</v>
      </c>
      <c r="K834">
        <f t="shared" si="241"/>
        <v>0</v>
      </c>
      <c r="L834">
        <f t="shared" si="230"/>
        <v>0</v>
      </c>
      <c r="M834">
        <f t="shared" si="231"/>
        <v>0</v>
      </c>
      <c r="N834">
        <f t="shared" si="232"/>
        <v>0</v>
      </c>
      <c r="O834">
        <f t="shared" si="233"/>
        <v>0</v>
      </c>
      <c r="P834">
        <f t="shared" si="234"/>
        <v>0</v>
      </c>
      <c r="R834">
        <f t="shared" si="235"/>
        <v>8.2749999999998689</v>
      </c>
      <c r="S834">
        <f t="shared" si="236"/>
        <v>0</v>
      </c>
      <c r="T834">
        <f t="shared" si="242"/>
        <v>0</v>
      </c>
      <c r="U834" s="1">
        <f t="shared" si="237"/>
        <v>0</v>
      </c>
      <c r="V834">
        <f t="shared" si="238"/>
        <v>2.9006811986918499E+28</v>
      </c>
      <c r="W834">
        <f t="shared" si="243"/>
        <v>0</v>
      </c>
      <c r="Y834">
        <f t="shared" si="244"/>
        <v>8.2749999999998689</v>
      </c>
      <c r="Z834">
        <f t="shared" si="239"/>
        <v>0</v>
      </c>
      <c r="AA834">
        <f t="shared" si="245"/>
        <v>0</v>
      </c>
      <c r="AB834">
        <f t="shared" si="246"/>
        <v>0</v>
      </c>
      <c r="AC834" s="1">
        <f t="shared" si="240"/>
        <v>0</v>
      </c>
    </row>
    <row r="835" spans="9:29" x14ac:dyDescent="0.2">
      <c r="I835">
        <f t="shared" si="247"/>
        <v>8.2849999999998687</v>
      </c>
      <c r="J835">
        <f t="shared" si="229"/>
        <v>0</v>
      </c>
      <c r="K835">
        <f t="shared" si="241"/>
        <v>0</v>
      </c>
      <c r="L835">
        <f t="shared" si="230"/>
        <v>0</v>
      </c>
      <c r="M835">
        <f t="shared" si="231"/>
        <v>0</v>
      </c>
      <c r="N835">
        <f t="shared" si="232"/>
        <v>0</v>
      </c>
      <c r="O835">
        <f t="shared" si="233"/>
        <v>0</v>
      </c>
      <c r="P835">
        <f t="shared" si="234"/>
        <v>0</v>
      </c>
      <c r="R835">
        <f t="shared" si="235"/>
        <v>8.2849999999998687</v>
      </c>
      <c r="S835">
        <f t="shared" si="236"/>
        <v>0</v>
      </c>
      <c r="T835">
        <f t="shared" si="242"/>
        <v>0</v>
      </c>
      <c r="U835" s="1">
        <f t="shared" si="237"/>
        <v>0</v>
      </c>
      <c r="V835">
        <f t="shared" si="238"/>
        <v>3.002617420859917E+28</v>
      </c>
      <c r="W835">
        <f t="shared" si="243"/>
        <v>0</v>
      </c>
      <c r="Y835">
        <f t="shared" si="244"/>
        <v>8.2849999999998687</v>
      </c>
      <c r="Z835">
        <f t="shared" si="239"/>
        <v>0</v>
      </c>
      <c r="AA835">
        <f t="shared" si="245"/>
        <v>0</v>
      </c>
      <c r="AB835">
        <f t="shared" si="246"/>
        <v>0</v>
      </c>
      <c r="AC835" s="1">
        <f t="shared" si="240"/>
        <v>0</v>
      </c>
    </row>
    <row r="836" spans="9:29" x14ac:dyDescent="0.2">
      <c r="I836">
        <f t="shared" si="247"/>
        <v>8.2949999999998685</v>
      </c>
      <c r="J836">
        <f t="shared" si="229"/>
        <v>0</v>
      </c>
      <c r="K836">
        <f t="shared" si="241"/>
        <v>0</v>
      </c>
      <c r="L836">
        <f t="shared" si="230"/>
        <v>0</v>
      </c>
      <c r="M836">
        <f t="shared" si="231"/>
        <v>0</v>
      </c>
      <c r="N836">
        <f t="shared" si="232"/>
        <v>0</v>
      </c>
      <c r="O836">
        <f t="shared" si="233"/>
        <v>0</v>
      </c>
      <c r="P836">
        <f t="shared" si="234"/>
        <v>0</v>
      </c>
      <c r="R836">
        <f t="shared" si="235"/>
        <v>8.2949999999998685</v>
      </c>
      <c r="S836">
        <f t="shared" si="236"/>
        <v>0</v>
      </c>
      <c r="T836">
        <f t="shared" si="242"/>
        <v>0</v>
      </c>
      <c r="U836" s="1">
        <f t="shared" si="237"/>
        <v>0</v>
      </c>
      <c r="V836">
        <f t="shared" si="238"/>
        <v>3.1081359027380774E+28</v>
      </c>
      <c r="W836">
        <f t="shared" si="243"/>
        <v>0</v>
      </c>
      <c r="Y836">
        <f t="shared" si="244"/>
        <v>8.2949999999998685</v>
      </c>
      <c r="Z836">
        <f t="shared" si="239"/>
        <v>0</v>
      </c>
      <c r="AA836">
        <f t="shared" si="245"/>
        <v>0</v>
      </c>
      <c r="AB836">
        <f t="shared" si="246"/>
        <v>0</v>
      </c>
      <c r="AC836" s="1">
        <f t="shared" si="240"/>
        <v>0</v>
      </c>
    </row>
    <row r="837" spans="9:29" x14ac:dyDescent="0.2">
      <c r="I837">
        <f t="shared" si="247"/>
        <v>8.3049999999998683</v>
      </c>
      <c r="J837">
        <f t="shared" si="229"/>
        <v>0</v>
      </c>
      <c r="K837">
        <f t="shared" si="241"/>
        <v>0</v>
      </c>
      <c r="L837">
        <f t="shared" si="230"/>
        <v>0</v>
      </c>
      <c r="M837">
        <f t="shared" si="231"/>
        <v>0</v>
      </c>
      <c r="N837">
        <f t="shared" si="232"/>
        <v>0</v>
      </c>
      <c r="O837">
        <f t="shared" si="233"/>
        <v>0</v>
      </c>
      <c r="P837">
        <f t="shared" si="234"/>
        <v>0</v>
      </c>
      <c r="R837">
        <f t="shared" si="235"/>
        <v>8.3049999999998683</v>
      </c>
      <c r="S837">
        <f t="shared" si="236"/>
        <v>0</v>
      </c>
      <c r="T837">
        <f t="shared" si="242"/>
        <v>0</v>
      </c>
      <c r="U837" s="1">
        <f t="shared" si="237"/>
        <v>0</v>
      </c>
      <c r="V837">
        <f t="shared" si="238"/>
        <v>3.2173625326941511E+28</v>
      </c>
      <c r="W837">
        <f t="shared" si="243"/>
        <v>0</v>
      </c>
      <c r="Y837">
        <f t="shared" si="244"/>
        <v>8.3049999999998683</v>
      </c>
      <c r="Z837">
        <f t="shared" si="239"/>
        <v>0</v>
      </c>
      <c r="AA837">
        <f t="shared" si="245"/>
        <v>0</v>
      </c>
      <c r="AB837">
        <f t="shared" si="246"/>
        <v>0</v>
      </c>
      <c r="AC837" s="1">
        <f t="shared" si="240"/>
        <v>0</v>
      </c>
    </row>
    <row r="838" spans="9:29" x14ac:dyDescent="0.2">
      <c r="I838">
        <f t="shared" si="247"/>
        <v>8.3149999999998681</v>
      </c>
      <c r="J838">
        <f t="shared" si="229"/>
        <v>0</v>
      </c>
      <c r="K838">
        <f t="shared" si="241"/>
        <v>0</v>
      </c>
      <c r="L838">
        <f t="shared" si="230"/>
        <v>0</v>
      </c>
      <c r="M838">
        <f t="shared" si="231"/>
        <v>0</v>
      </c>
      <c r="N838">
        <f t="shared" si="232"/>
        <v>0</v>
      </c>
      <c r="O838">
        <f t="shared" si="233"/>
        <v>0</v>
      </c>
      <c r="P838">
        <f t="shared" si="234"/>
        <v>0</v>
      </c>
      <c r="R838">
        <f t="shared" si="235"/>
        <v>8.3149999999998681</v>
      </c>
      <c r="S838">
        <f t="shared" si="236"/>
        <v>0</v>
      </c>
      <c r="T838">
        <f t="shared" si="242"/>
        <v>0</v>
      </c>
      <c r="U838" s="1">
        <f t="shared" si="237"/>
        <v>0</v>
      </c>
      <c r="V838">
        <f t="shared" si="238"/>
        <v>3.3304276230859641E+28</v>
      </c>
      <c r="W838">
        <f t="shared" si="243"/>
        <v>0</v>
      </c>
      <c r="Y838">
        <f t="shared" si="244"/>
        <v>8.3149999999998681</v>
      </c>
      <c r="Z838">
        <f t="shared" si="239"/>
        <v>0</v>
      </c>
      <c r="AA838">
        <f t="shared" si="245"/>
        <v>0</v>
      </c>
      <c r="AB838">
        <f t="shared" si="246"/>
        <v>0</v>
      </c>
      <c r="AC838" s="1">
        <f t="shared" si="240"/>
        <v>0</v>
      </c>
    </row>
    <row r="839" spans="9:29" x14ac:dyDescent="0.2">
      <c r="I839">
        <f t="shared" si="247"/>
        <v>8.3249999999998678</v>
      </c>
      <c r="J839">
        <f t="shared" ref="J839:J863" si="248">IF($I839&gt;$B$23,0,1)*IF($I839&lt;($B$23-$B$21),$B$10*EXP(-$B$10*($I839-$B$8)),$B$10*EXP(-$B$10*($B$23-$B$20-$B$21-$B$8)))/(1-EXP(-$B$10*($B$23-$B$21-$B$8)))*(1/(1+$B$24))</f>
        <v>0</v>
      </c>
      <c r="K839">
        <f t="shared" si="241"/>
        <v>0</v>
      </c>
      <c r="L839">
        <f t="shared" ref="L839:L863" si="249">$V839*$J839</f>
        <v>0</v>
      </c>
      <c r="M839">
        <f t="shared" ref="M839:M863" si="250">$K839/$L$4*$B$18</f>
        <v>0</v>
      </c>
      <c r="N839">
        <f t="shared" ref="N839:N863" si="251">IF($I839&gt;$B$23,0,1)*IF($I839&lt;($B$23-$B$21),0,M839)</f>
        <v>0</v>
      </c>
      <c r="O839">
        <f t="shared" ref="O839:O863" si="252">IF($I839&gt;$B$23,0,1)*IF($I839&lt;($B$23-$B$33),0,1)*IF($I839&lt;($B$23-$B$21),$B$10*EXP(-$B$10*($I839-$B$8)),$B$10*EXP(-$B$10*($B$23-$B$20-$B$21-$B$8)))/(1-EXP(-$B$10*($B$23-$B$21-$B$8)))*(1/(1+$B$24))*($B$18/(SUM($L$7:$L$105)*0.05))</f>
        <v>0</v>
      </c>
      <c r="P839">
        <f t="shared" ref="P839:P863" si="253">IF($I839&gt;$B$23,0,1)*IF($I839&lt;($B$23-$B$21),0,1)*$L839</f>
        <v>0</v>
      </c>
      <c r="R839">
        <f t="shared" ref="R839:R863" si="254">$I839</f>
        <v>8.3249999999998678</v>
      </c>
      <c r="S839">
        <f t="shared" ref="S839:S863" si="255">IF($I839&lt;$B$23+0.01,$B$10*EXP(-$B$10*($I839-$B$8))/(1-EXP(-$B$10*($B$23-$B$8))),0)</f>
        <v>0</v>
      </c>
      <c r="T839">
        <f t="shared" si="242"/>
        <v>0</v>
      </c>
      <c r="U839" s="1">
        <f t="shared" ref="U839:U863" si="256">T839*$B$18/$W$4</f>
        <v>0</v>
      </c>
      <c r="V839">
        <f t="shared" ref="V839:V863" si="257">10^(1.5*$I839+16.05)</f>
        <v>3.4474660657299418E+28</v>
      </c>
      <c r="W839">
        <f t="shared" si="243"/>
        <v>0</v>
      </c>
      <c r="Y839">
        <f t="shared" si="244"/>
        <v>8.3249999999998678</v>
      </c>
      <c r="Z839">
        <f t="shared" ref="Z839:Z863" si="258">IF(AND($Y839&lt;$B$9+$B$27*$B$28,$Y839&gt;$B$9-$B$27*$B$28),NORMDIST($Y839,$B$9,$B$27,0) / (2*NORMDIST($B$28,0,1,1)-1),0)</f>
        <v>0</v>
      </c>
      <c r="AA839">
        <f t="shared" si="245"/>
        <v>0</v>
      </c>
      <c r="AB839">
        <f t="shared" si="246"/>
        <v>0</v>
      </c>
      <c r="AC839" s="1">
        <f t="shared" ref="AC839:AC863" si="259">$AB839*$B$18/$AA$4</f>
        <v>0</v>
      </c>
    </row>
    <row r="840" spans="9:29" x14ac:dyDescent="0.2">
      <c r="I840">
        <f t="shared" si="247"/>
        <v>8.3349999999998676</v>
      </c>
      <c r="J840">
        <f t="shared" si="248"/>
        <v>0</v>
      </c>
      <c r="K840">
        <f t="shared" ref="K840:K863" si="260">$J840*K$4+K841</f>
        <v>0</v>
      </c>
      <c r="L840">
        <f t="shared" si="249"/>
        <v>0</v>
      </c>
      <c r="M840">
        <f t="shared" si="250"/>
        <v>0</v>
      </c>
      <c r="N840">
        <f t="shared" si="251"/>
        <v>0</v>
      </c>
      <c r="O840">
        <f t="shared" si="252"/>
        <v>0</v>
      </c>
      <c r="P840">
        <f t="shared" si="253"/>
        <v>0</v>
      </c>
      <c r="R840">
        <f t="shared" si="254"/>
        <v>8.3349999999998676</v>
      </c>
      <c r="S840">
        <f t="shared" si="255"/>
        <v>0</v>
      </c>
      <c r="T840">
        <f t="shared" ref="T840:T863" si="261">T841+$S840*0.01</f>
        <v>0</v>
      </c>
      <c r="U840" s="1">
        <f t="shared" si="256"/>
        <v>0</v>
      </c>
      <c r="V840">
        <f t="shared" si="257"/>
        <v>3.5686174928332043E+28</v>
      </c>
      <c r="W840">
        <f t="shared" ref="W840:W863" si="262">$S840*$V840*0.01</f>
        <v>0</v>
      </c>
      <c r="Y840">
        <f t="shared" ref="Y840:Y863" si="263">I840</f>
        <v>8.3349999999998676</v>
      </c>
      <c r="Z840">
        <f t="shared" si="258"/>
        <v>0</v>
      </c>
      <c r="AA840">
        <f t="shared" ref="AA840:AA863" si="264">$V840*$Z840*$K$4</f>
        <v>0</v>
      </c>
      <c r="AB840">
        <f t="shared" ref="AB840:AB863" si="265">Z840*$K$4+AB841</f>
        <v>0</v>
      </c>
      <c r="AC840" s="1">
        <f t="shared" si="259"/>
        <v>0</v>
      </c>
    </row>
    <row r="841" spans="9:29" x14ac:dyDescent="0.2">
      <c r="I841">
        <f t="shared" si="247"/>
        <v>8.3449999999998674</v>
      </c>
      <c r="J841">
        <f t="shared" si="248"/>
        <v>0</v>
      </c>
      <c r="K841">
        <f t="shared" si="260"/>
        <v>0</v>
      </c>
      <c r="L841">
        <f t="shared" si="249"/>
        <v>0</v>
      </c>
      <c r="M841">
        <f t="shared" si="250"/>
        <v>0</v>
      </c>
      <c r="N841">
        <f t="shared" si="251"/>
        <v>0</v>
      </c>
      <c r="O841">
        <f t="shared" si="252"/>
        <v>0</v>
      </c>
      <c r="P841">
        <f t="shared" si="253"/>
        <v>0</v>
      </c>
      <c r="R841">
        <f t="shared" si="254"/>
        <v>8.3449999999998674</v>
      </c>
      <c r="S841">
        <f t="shared" si="255"/>
        <v>0</v>
      </c>
      <c r="T841">
        <f t="shared" si="261"/>
        <v>0</v>
      </c>
      <c r="U841" s="1">
        <f t="shared" si="256"/>
        <v>0</v>
      </c>
      <c r="V841">
        <f t="shared" si="257"/>
        <v>3.6940264435811703E+28</v>
      </c>
      <c r="W841">
        <f t="shared" si="262"/>
        <v>0</v>
      </c>
      <c r="Y841">
        <f t="shared" si="263"/>
        <v>8.3449999999998674</v>
      </c>
      <c r="Z841">
        <f t="shared" si="258"/>
        <v>0</v>
      </c>
      <c r="AA841">
        <f t="shared" si="264"/>
        <v>0</v>
      </c>
      <c r="AB841">
        <f t="shared" si="265"/>
        <v>0</v>
      </c>
      <c r="AC841" s="1">
        <f t="shared" si="259"/>
        <v>0</v>
      </c>
    </row>
    <row r="842" spans="9:29" x14ac:dyDescent="0.2">
      <c r="I842">
        <f t="shared" si="247"/>
        <v>8.3549999999998672</v>
      </c>
      <c r="J842">
        <f t="shared" si="248"/>
        <v>0</v>
      </c>
      <c r="K842">
        <f t="shared" si="260"/>
        <v>0</v>
      </c>
      <c r="L842">
        <f t="shared" si="249"/>
        <v>0</v>
      </c>
      <c r="M842">
        <f t="shared" si="250"/>
        <v>0</v>
      </c>
      <c r="N842">
        <f t="shared" si="251"/>
        <v>0</v>
      </c>
      <c r="O842">
        <f t="shared" si="252"/>
        <v>0</v>
      </c>
      <c r="P842">
        <f t="shared" si="253"/>
        <v>0</v>
      </c>
      <c r="R842">
        <f t="shared" si="254"/>
        <v>8.3549999999998672</v>
      </c>
      <c r="S842">
        <f t="shared" si="255"/>
        <v>0</v>
      </c>
      <c r="T842">
        <f t="shared" si="261"/>
        <v>0</v>
      </c>
      <c r="U842" s="1">
        <f t="shared" si="256"/>
        <v>0</v>
      </c>
      <c r="V842">
        <f t="shared" si="257"/>
        <v>3.823842536579403E+28</v>
      </c>
      <c r="W842">
        <f t="shared" si="262"/>
        <v>0</v>
      </c>
      <c r="Y842">
        <f t="shared" si="263"/>
        <v>8.3549999999998672</v>
      </c>
      <c r="Z842">
        <f t="shared" si="258"/>
        <v>0</v>
      </c>
      <c r="AA842">
        <f t="shared" si="264"/>
        <v>0</v>
      </c>
      <c r="AB842">
        <f t="shared" si="265"/>
        <v>0</v>
      </c>
      <c r="AC842" s="1">
        <f t="shared" si="259"/>
        <v>0</v>
      </c>
    </row>
    <row r="843" spans="9:29" x14ac:dyDescent="0.2">
      <c r="I843">
        <f t="shared" si="247"/>
        <v>8.364999999999867</v>
      </c>
      <c r="J843">
        <f t="shared" si="248"/>
        <v>0</v>
      </c>
      <c r="K843">
        <f t="shared" si="260"/>
        <v>0</v>
      </c>
      <c r="L843">
        <f t="shared" si="249"/>
        <v>0</v>
      </c>
      <c r="M843">
        <f t="shared" si="250"/>
        <v>0</v>
      </c>
      <c r="N843">
        <f t="shared" si="251"/>
        <v>0</v>
      </c>
      <c r="O843">
        <f t="shared" si="252"/>
        <v>0</v>
      </c>
      <c r="P843">
        <f t="shared" si="253"/>
        <v>0</v>
      </c>
      <c r="R843">
        <f t="shared" si="254"/>
        <v>8.364999999999867</v>
      </c>
      <c r="S843">
        <f t="shared" si="255"/>
        <v>0</v>
      </c>
      <c r="T843">
        <f t="shared" si="261"/>
        <v>0</v>
      </c>
      <c r="U843" s="1">
        <f t="shared" si="256"/>
        <v>0</v>
      </c>
      <c r="V843">
        <f t="shared" si="257"/>
        <v>3.9582206483554405E+28</v>
      </c>
      <c r="W843">
        <f t="shared" si="262"/>
        <v>0</v>
      </c>
      <c r="Y843">
        <f t="shared" si="263"/>
        <v>8.364999999999867</v>
      </c>
      <c r="Z843">
        <f t="shared" si="258"/>
        <v>0</v>
      </c>
      <c r="AA843">
        <f t="shared" si="264"/>
        <v>0</v>
      </c>
      <c r="AB843">
        <f t="shared" si="265"/>
        <v>0</v>
      </c>
      <c r="AC843" s="1">
        <f t="shared" si="259"/>
        <v>0</v>
      </c>
    </row>
    <row r="844" spans="9:29" x14ac:dyDescent="0.2">
      <c r="I844">
        <f t="shared" si="247"/>
        <v>8.3749999999998668</v>
      </c>
      <c r="J844">
        <f t="shared" si="248"/>
        <v>0</v>
      </c>
      <c r="K844">
        <f t="shared" si="260"/>
        <v>0</v>
      </c>
      <c r="L844">
        <f t="shared" si="249"/>
        <v>0</v>
      </c>
      <c r="M844">
        <f t="shared" si="250"/>
        <v>0</v>
      </c>
      <c r="N844">
        <f t="shared" si="251"/>
        <v>0</v>
      </c>
      <c r="O844">
        <f t="shared" si="252"/>
        <v>0</v>
      </c>
      <c r="P844">
        <f t="shared" si="253"/>
        <v>0</v>
      </c>
      <c r="R844">
        <f t="shared" si="254"/>
        <v>8.3749999999998668</v>
      </c>
      <c r="S844">
        <f t="shared" si="255"/>
        <v>0</v>
      </c>
      <c r="T844">
        <f t="shared" si="261"/>
        <v>0</v>
      </c>
      <c r="U844" s="1">
        <f t="shared" si="256"/>
        <v>0</v>
      </c>
      <c r="V844">
        <f t="shared" si="257"/>
        <v>4.0973210981335668E+28</v>
      </c>
      <c r="W844">
        <f t="shared" si="262"/>
        <v>0</v>
      </c>
      <c r="Y844">
        <f t="shared" si="263"/>
        <v>8.3749999999998668</v>
      </c>
      <c r="Z844">
        <f t="shared" si="258"/>
        <v>0</v>
      </c>
      <c r="AA844">
        <f t="shared" si="264"/>
        <v>0</v>
      </c>
      <c r="AB844">
        <f t="shared" si="265"/>
        <v>0</v>
      </c>
      <c r="AC844" s="1">
        <f t="shared" si="259"/>
        <v>0</v>
      </c>
    </row>
    <row r="845" spans="9:29" x14ac:dyDescent="0.2">
      <c r="I845">
        <f t="shared" si="247"/>
        <v>8.3849999999998666</v>
      </c>
      <c r="J845">
        <f t="shared" si="248"/>
        <v>0</v>
      </c>
      <c r="K845">
        <f t="shared" si="260"/>
        <v>0</v>
      </c>
      <c r="L845">
        <f t="shared" si="249"/>
        <v>0</v>
      </c>
      <c r="M845">
        <f t="shared" si="250"/>
        <v>0</v>
      </c>
      <c r="N845">
        <f t="shared" si="251"/>
        <v>0</v>
      </c>
      <c r="O845">
        <f t="shared" si="252"/>
        <v>0</v>
      </c>
      <c r="P845">
        <f t="shared" si="253"/>
        <v>0</v>
      </c>
      <c r="R845">
        <f t="shared" si="254"/>
        <v>8.3849999999998666</v>
      </c>
      <c r="S845">
        <f t="shared" si="255"/>
        <v>0</v>
      </c>
      <c r="T845">
        <f t="shared" si="261"/>
        <v>0</v>
      </c>
      <c r="U845" s="1">
        <f t="shared" si="256"/>
        <v>0</v>
      </c>
      <c r="V845">
        <f t="shared" si="257"/>
        <v>4.2413098391029687E+28</v>
      </c>
      <c r="W845">
        <f t="shared" si="262"/>
        <v>0</v>
      </c>
      <c r="Y845">
        <f t="shared" si="263"/>
        <v>8.3849999999998666</v>
      </c>
      <c r="Z845">
        <f t="shared" si="258"/>
        <v>0</v>
      </c>
      <c r="AA845">
        <f t="shared" si="264"/>
        <v>0</v>
      </c>
      <c r="AB845">
        <f t="shared" si="265"/>
        <v>0</v>
      </c>
      <c r="AC845" s="1">
        <f t="shared" si="259"/>
        <v>0</v>
      </c>
    </row>
    <row r="846" spans="9:29" x14ac:dyDescent="0.2">
      <c r="I846">
        <f t="shared" si="247"/>
        <v>8.3949999999998663</v>
      </c>
      <c r="J846">
        <f t="shared" si="248"/>
        <v>0</v>
      </c>
      <c r="K846">
        <f t="shared" si="260"/>
        <v>0</v>
      </c>
      <c r="L846">
        <f t="shared" si="249"/>
        <v>0</v>
      </c>
      <c r="M846">
        <f t="shared" si="250"/>
        <v>0</v>
      </c>
      <c r="N846">
        <f t="shared" si="251"/>
        <v>0</v>
      </c>
      <c r="O846">
        <f t="shared" si="252"/>
        <v>0</v>
      </c>
      <c r="P846">
        <f t="shared" si="253"/>
        <v>0</v>
      </c>
      <c r="R846">
        <f t="shared" si="254"/>
        <v>8.3949999999998663</v>
      </c>
      <c r="S846">
        <f t="shared" si="255"/>
        <v>0</v>
      </c>
      <c r="T846">
        <f t="shared" si="261"/>
        <v>0</v>
      </c>
      <c r="U846" s="1">
        <f t="shared" si="256"/>
        <v>0</v>
      </c>
      <c r="V846">
        <f t="shared" si="257"/>
        <v>4.3903586564074653E+28</v>
      </c>
      <c r="W846">
        <f t="shared" si="262"/>
        <v>0</v>
      </c>
      <c r="Y846">
        <f t="shared" si="263"/>
        <v>8.3949999999998663</v>
      </c>
      <c r="Z846">
        <f t="shared" si="258"/>
        <v>0</v>
      </c>
      <c r="AA846">
        <f t="shared" si="264"/>
        <v>0</v>
      </c>
      <c r="AB846">
        <f t="shared" si="265"/>
        <v>0</v>
      </c>
      <c r="AC846" s="1">
        <f t="shared" si="259"/>
        <v>0</v>
      </c>
    </row>
    <row r="847" spans="9:29" x14ac:dyDescent="0.2">
      <c r="I847">
        <f t="shared" si="247"/>
        <v>8.4049999999998661</v>
      </c>
      <c r="J847">
        <f t="shared" si="248"/>
        <v>0</v>
      </c>
      <c r="K847">
        <f t="shared" si="260"/>
        <v>0</v>
      </c>
      <c r="L847">
        <f t="shared" si="249"/>
        <v>0</v>
      </c>
      <c r="M847">
        <f t="shared" si="250"/>
        <v>0</v>
      </c>
      <c r="N847">
        <f t="shared" si="251"/>
        <v>0</v>
      </c>
      <c r="O847">
        <f t="shared" si="252"/>
        <v>0</v>
      </c>
      <c r="P847">
        <f t="shared" si="253"/>
        <v>0</v>
      </c>
      <c r="R847">
        <f t="shared" si="254"/>
        <v>8.4049999999998661</v>
      </c>
      <c r="S847">
        <f t="shared" si="255"/>
        <v>0</v>
      </c>
      <c r="T847">
        <f t="shared" si="261"/>
        <v>0</v>
      </c>
      <c r="U847" s="1">
        <f t="shared" si="256"/>
        <v>0</v>
      </c>
      <c r="V847">
        <f t="shared" si="257"/>
        <v>4.5446453720930362E+28</v>
      </c>
      <c r="W847">
        <f t="shared" si="262"/>
        <v>0</v>
      </c>
      <c r="Y847">
        <f t="shared" si="263"/>
        <v>8.4049999999998661</v>
      </c>
      <c r="Z847">
        <f t="shared" si="258"/>
        <v>0</v>
      </c>
      <c r="AA847">
        <f t="shared" si="264"/>
        <v>0</v>
      </c>
      <c r="AB847">
        <f t="shared" si="265"/>
        <v>0</v>
      </c>
      <c r="AC847" s="1">
        <f t="shared" si="259"/>
        <v>0</v>
      </c>
    </row>
    <row r="848" spans="9:29" x14ac:dyDescent="0.2">
      <c r="I848">
        <f t="shared" si="247"/>
        <v>8.4149999999998659</v>
      </c>
      <c r="J848">
        <f t="shared" si="248"/>
        <v>0</v>
      </c>
      <c r="K848">
        <f t="shared" si="260"/>
        <v>0</v>
      </c>
      <c r="L848">
        <f t="shared" si="249"/>
        <v>0</v>
      </c>
      <c r="M848">
        <f t="shared" si="250"/>
        <v>0</v>
      </c>
      <c r="N848">
        <f t="shared" si="251"/>
        <v>0</v>
      </c>
      <c r="O848">
        <f t="shared" si="252"/>
        <v>0</v>
      </c>
      <c r="P848">
        <f t="shared" si="253"/>
        <v>0</v>
      </c>
      <c r="R848">
        <f t="shared" si="254"/>
        <v>8.4149999999998659</v>
      </c>
      <c r="S848">
        <f t="shared" si="255"/>
        <v>0</v>
      </c>
      <c r="T848">
        <f t="shared" si="261"/>
        <v>0</v>
      </c>
      <c r="U848" s="1">
        <f t="shared" si="256"/>
        <v>0</v>
      </c>
      <c r="V848">
        <f t="shared" si="257"/>
        <v>4.7043540572576366E+28</v>
      </c>
      <c r="W848">
        <f t="shared" si="262"/>
        <v>0</v>
      </c>
      <c r="Y848">
        <f t="shared" si="263"/>
        <v>8.4149999999998659</v>
      </c>
      <c r="Z848">
        <f t="shared" si="258"/>
        <v>0</v>
      </c>
      <c r="AA848">
        <f t="shared" si="264"/>
        <v>0</v>
      </c>
      <c r="AB848">
        <f t="shared" si="265"/>
        <v>0</v>
      </c>
      <c r="AC848" s="1">
        <f t="shared" si="259"/>
        <v>0</v>
      </c>
    </row>
    <row r="849" spans="9:29" x14ac:dyDescent="0.2">
      <c r="I849">
        <f t="shared" si="247"/>
        <v>8.4249999999998657</v>
      </c>
      <c r="J849">
        <f t="shared" si="248"/>
        <v>0</v>
      </c>
      <c r="K849">
        <f t="shared" si="260"/>
        <v>0</v>
      </c>
      <c r="L849">
        <f t="shared" si="249"/>
        <v>0</v>
      </c>
      <c r="M849">
        <f t="shared" si="250"/>
        <v>0</v>
      </c>
      <c r="N849">
        <f t="shared" si="251"/>
        <v>0</v>
      </c>
      <c r="O849">
        <f t="shared" si="252"/>
        <v>0</v>
      </c>
      <c r="P849">
        <f t="shared" si="253"/>
        <v>0</v>
      </c>
      <c r="R849">
        <f t="shared" si="254"/>
        <v>8.4249999999998657</v>
      </c>
      <c r="S849">
        <f t="shared" si="255"/>
        <v>0</v>
      </c>
      <c r="T849">
        <f t="shared" si="261"/>
        <v>0</v>
      </c>
      <c r="U849" s="1">
        <f t="shared" si="256"/>
        <v>0</v>
      </c>
      <c r="V849">
        <f t="shared" si="257"/>
        <v>4.8696752516564312E+28</v>
      </c>
      <c r="W849">
        <f t="shared" si="262"/>
        <v>0</v>
      </c>
      <c r="Y849">
        <f t="shared" si="263"/>
        <v>8.4249999999998657</v>
      </c>
      <c r="Z849">
        <f t="shared" si="258"/>
        <v>0</v>
      </c>
      <c r="AA849">
        <f t="shared" si="264"/>
        <v>0</v>
      </c>
      <c r="AB849">
        <f t="shared" si="265"/>
        <v>0</v>
      </c>
      <c r="AC849" s="1">
        <f t="shared" si="259"/>
        <v>0</v>
      </c>
    </row>
    <row r="850" spans="9:29" x14ac:dyDescent="0.2">
      <c r="I850">
        <f t="shared" si="247"/>
        <v>8.4349999999998655</v>
      </c>
      <c r="J850">
        <f t="shared" si="248"/>
        <v>0</v>
      </c>
      <c r="K850">
        <f t="shared" si="260"/>
        <v>0</v>
      </c>
      <c r="L850">
        <f t="shared" si="249"/>
        <v>0</v>
      </c>
      <c r="M850">
        <f t="shared" si="250"/>
        <v>0</v>
      </c>
      <c r="N850">
        <f t="shared" si="251"/>
        <v>0</v>
      </c>
      <c r="O850">
        <f t="shared" si="252"/>
        <v>0</v>
      </c>
      <c r="P850">
        <f t="shared" si="253"/>
        <v>0</v>
      </c>
      <c r="R850">
        <f t="shared" si="254"/>
        <v>8.4349999999998655</v>
      </c>
      <c r="S850">
        <f t="shared" si="255"/>
        <v>0</v>
      </c>
      <c r="T850">
        <f t="shared" si="261"/>
        <v>0</v>
      </c>
      <c r="U850" s="1">
        <f t="shared" si="256"/>
        <v>0</v>
      </c>
      <c r="V850">
        <f t="shared" si="257"/>
        <v>5.0408061910244169E+28</v>
      </c>
      <c r="W850">
        <f t="shared" si="262"/>
        <v>0</v>
      </c>
      <c r="Y850">
        <f t="shared" si="263"/>
        <v>8.4349999999998655</v>
      </c>
      <c r="Z850">
        <f t="shared" si="258"/>
        <v>0</v>
      </c>
      <c r="AA850">
        <f t="shared" si="264"/>
        <v>0</v>
      </c>
      <c r="AB850">
        <f t="shared" si="265"/>
        <v>0</v>
      </c>
      <c r="AC850" s="1">
        <f t="shared" si="259"/>
        <v>0</v>
      </c>
    </row>
    <row r="851" spans="9:29" x14ac:dyDescent="0.2">
      <c r="I851">
        <f t="shared" si="247"/>
        <v>8.4449999999998653</v>
      </c>
      <c r="J851">
        <f t="shared" si="248"/>
        <v>0</v>
      </c>
      <c r="K851">
        <f t="shared" si="260"/>
        <v>0</v>
      </c>
      <c r="L851">
        <f t="shared" si="249"/>
        <v>0</v>
      </c>
      <c r="M851">
        <f t="shared" si="250"/>
        <v>0</v>
      </c>
      <c r="N851">
        <f t="shared" si="251"/>
        <v>0</v>
      </c>
      <c r="O851">
        <f t="shared" si="252"/>
        <v>0</v>
      </c>
      <c r="P851">
        <f t="shared" si="253"/>
        <v>0</v>
      </c>
      <c r="R851">
        <f t="shared" si="254"/>
        <v>8.4449999999998653</v>
      </c>
      <c r="S851">
        <f t="shared" si="255"/>
        <v>0</v>
      </c>
      <c r="T851">
        <f t="shared" si="261"/>
        <v>0</v>
      </c>
      <c r="U851" s="1">
        <f t="shared" si="256"/>
        <v>0</v>
      </c>
      <c r="V851">
        <f t="shared" si="257"/>
        <v>5.2179510423876643E+28</v>
      </c>
      <c r="W851">
        <f t="shared" si="262"/>
        <v>0</v>
      </c>
      <c r="Y851">
        <f t="shared" si="263"/>
        <v>8.4449999999998653</v>
      </c>
      <c r="Z851">
        <f t="shared" si="258"/>
        <v>0</v>
      </c>
      <c r="AA851">
        <f t="shared" si="264"/>
        <v>0</v>
      </c>
      <c r="AB851">
        <f t="shared" si="265"/>
        <v>0</v>
      </c>
      <c r="AC851" s="1">
        <f t="shared" si="259"/>
        <v>0</v>
      </c>
    </row>
    <row r="852" spans="9:29" x14ac:dyDescent="0.2">
      <c r="I852">
        <f t="shared" si="247"/>
        <v>8.4549999999998651</v>
      </c>
      <c r="J852">
        <f t="shared" si="248"/>
        <v>0</v>
      </c>
      <c r="K852">
        <f t="shared" si="260"/>
        <v>0</v>
      </c>
      <c r="L852">
        <f t="shared" si="249"/>
        <v>0</v>
      </c>
      <c r="M852">
        <f t="shared" si="250"/>
        <v>0</v>
      </c>
      <c r="N852">
        <f t="shared" si="251"/>
        <v>0</v>
      </c>
      <c r="O852">
        <f t="shared" si="252"/>
        <v>0</v>
      </c>
      <c r="P852">
        <f t="shared" si="253"/>
        <v>0</v>
      </c>
      <c r="R852">
        <f t="shared" si="254"/>
        <v>8.4549999999998651</v>
      </c>
      <c r="S852">
        <f t="shared" si="255"/>
        <v>0</v>
      </c>
      <c r="T852">
        <f t="shared" si="261"/>
        <v>0</v>
      </c>
      <c r="U852" s="1">
        <f t="shared" si="256"/>
        <v>0</v>
      </c>
      <c r="V852">
        <f t="shared" si="257"/>
        <v>5.4013211476439069E+28</v>
      </c>
      <c r="W852">
        <f t="shared" si="262"/>
        <v>0</v>
      </c>
      <c r="Y852">
        <f t="shared" si="263"/>
        <v>8.4549999999998651</v>
      </c>
      <c r="Z852">
        <f t="shared" si="258"/>
        <v>0</v>
      </c>
      <c r="AA852">
        <f t="shared" si="264"/>
        <v>0</v>
      </c>
      <c r="AB852">
        <f t="shared" si="265"/>
        <v>0</v>
      </c>
      <c r="AC852" s="1">
        <f t="shared" si="259"/>
        <v>0</v>
      </c>
    </row>
    <row r="853" spans="9:29" x14ac:dyDescent="0.2">
      <c r="I853">
        <f t="shared" si="247"/>
        <v>8.4649999999998649</v>
      </c>
      <c r="J853">
        <f t="shared" si="248"/>
        <v>0</v>
      </c>
      <c r="K853">
        <f t="shared" si="260"/>
        <v>0</v>
      </c>
      <c r="L853">
        <f t="shared" si="249"/>
        <v>0</v>
      </c>
      <c r="M853">
        <f t="shared" si="250"/>
        <v>0</v>
      </c>
      <c r="N853">
        <f t="shared" si="251"/>
        <v>0</v>
      </c>
      <c r="O853">
        <f t="shared" si="252"/>
        <v>0</v>
      </c>
      <c r="P853">
        <f t="shared" si="253"/>
        <v>0</v>
      </c>
      <c r="R853">
        <f t="shared" si="254"/>
        <v>8.4649999999998649</v>
      </c>
      <c r="S853">
        <f t="shared" si="255"/>
        <v>0</v>
      </c>
      <c r="T853">
        <f t="shared" si="261"/>
        <v>0</v>
      </c>
      <c r="U853" s="1">
        <f t="shared" si="256"/>
        <v>0</v>
      </c>
      <c r="V853">
        <f t="shared" si="257"/>
        <v>5.5911352757029933E+28</v>
      </c>
      <c r="W853">
        <f t="shared" si="262"/>
        <v>0</v>
      </c>
      <c r="Y853">
        <f t="shared" si="263"/>
        <v>8.4649999999998649</v>
      </c>
      <c r="Z853">
        <f t="shared" si="258"/>
        <v>0</v>
      </c>
      <c r="AA853">
        <f t="shared" si="264"/>
        <v>0</v>
      </c>
      <c r="AB853">
        <f t="shared" si="265"/>
        <v>0</v>
      </c>
      <c r="AC853" s="1">
        <f t="shared" si="259"/>
        <v>0</v>
      </c>
    </row>
    <row r="854" spans="9:29" x14ac:dyDescent="0.2">
      <c r="I854">
        <f t="shared" si="247"/>
        <v>8.4749999999998646</v>
      </c>
      <c r="J854">
        <f t="shared" si="248"/>
        <v>0</v>
      </c>
      <c r="K854">
        <f t="shared" si="260"/>
        <v>0</v>
      </c>
      <c r="L854">
        <f t="shared" si="249"/>
        <v>0</v>
      </c>
      <c r="M854">
        <f t="shared" si="250"/>
        <v>0</v>
      </c>
      <c r="N854">
        <f t="shared" si="251"/>
        <v>0</v>
      </c>
      <c r="O854">
        <f t="shared" si="252"/>
        <v>0</v>
      </c>
      <c r="P854">
        <f t="shared" si="253"/>
        <v>0</v>
      </c>
      <c r="R854">
        <f t="shared" si="254"/>
        <v>8.4749999999998646</v>
      </c>
      <c r="S854">
        <f t="shared" si="255"/>
        <v>0</v>
      </c>
      <c r="T854">
        <f t="shared" si="261"/>
        <v>0</v>
      </c>
      <c r="U854" s="1">
        <f t="shared" si="256"/>
        <v>0</v>
      </c>
      <c r="V854">
        <f t="shared" si="257"/>
        <v>5.7876198834885055E+28</v>
      </c>
      <c r="W854">
        <f t="shared" si="262"/>
        <v>0</v>
      </c>
      <c r="Y854">
        <f t="shared" si="263"/>
        <v>8.4749999999998646</v>
      </c>
      <c r="Z854">
        <f t="shared" si="258"/>
        <v>0</v>
      </c>
      <c r="AA854">
        <f t="shared" si="264"/>
        <v>0</v>
      </c>
      <c r="AB854">
        <f t="shared" si="265"/>
        <v>0</v>
      </c>
      <c r="AC854" s="1">
        <f t="shared" si="259"/>
        <v>0</v>
      </c>
    </row>
    <row r="855" spans="9:29" x14ac:dyDescent="0.2">
      <c r="I855">
        <f t="shared" si="247"/>
        <v>8.4849999999998644</v>
      </c>
      <c r="J855">
        <f t="shared" si="248"/>
        <v>0</v>
      </c>
      <c r="K855">
        <f t="shared" si="260"/>
        <v>0</v>
      </c>
      <c r="L855">
        <f t="shared" si="249"/>
        <v>0</v>
      </c>
      <c r="M855">
        <f t="shared" si="250"/>
        <v>0</v>
      </c>
      <c r="N855">
        <f t="shared" si="251"/>
        <v>0</v>
      </c>
      <c r="O855">
        <f t="shared" si="252"/>
        <v>0</v>
      </c>
      <c r="P855">
        <f t="shared" si="253"/>
        <v>0</v>
      </c>
      <c r="R855">
        <f t="shared" si="254"/>
        <v>8.4849999999998644</v>
      </c>
      <c r="S855">
        <f t="shared" si="255"/>
        <v>0</v>
      </c>
      <c r="T855">
        <f t="shared" si="261"/>
        <v>0</v>
      </c>
      <c r="U855" s="1">
        <f t="shared" si="256"/>
        <v>0</v>
      </c>
      <c r="V855">
        <f t="shared" si="257"/>
        <v>5.9910093861107429E+28</v>
      </c>
      <c r="W855">
        <f t="shared" si="262"/>
        <v>0</v>
      </c>
      <c r="Y855">
        <f t="shared" si="263"/>
        <v>8.4849999999998644</v>
      </c>
      <c r="Z855">
        <f t="shared" si="258"/>
        <v>0</v>
      </c>
      <c r="AA855">
        <f t="shared" si="264"/>
        <v>0</v>
      </c>
      <c r="AB855">
        <f t="shared" si="265"/>
        <v>0</v>
      </c>
      <c r="AC855" s="1">
        <f t="shared" si="259"/>
        <v>0</v>
      </c>
    </row>
    <row r="856" spans="9:29" x14ac:dyDescent="0.2">
      <c r="I856">
        <f t="shared" si="247"/>
        <v>8.4949999999998642</v>
      </c>
      <c r="J856">
        <f t="shared" si="248"/>
        <v>0</v>
      </c>
      <c r="K856">
        <f t="shared" si="260"/>
        <v>0</v>
      </c>
      <c r="L856">
        <f t="shared" si="249"/>
        <v>0</v>
      </c>
      <c r="M856">
        <f t="shared" si="250"/>
        <v>0</v>
      </c>
      <c r="N856">
        <f t="shared" si="251"/>
        <v>0</v>
      </c>
      <c r="O856">
        <f t="shared" si="252"/>
        <v>0</v>
      </c>
      <c r="P856">
        <f t="shared" si="253"/>
        <v>0</v>
      </c>
      <c r="R856">
        <f t="shared" si="254"/>
        <v>8.4949999999998642</v>
      </c>
      <c r="S856">
        <f t="shared" si="255"/>
        <v>0</v>
      </c>
      <c r="T856">
        <f t="shared" si="261"/>
        <v>0</v>
      </c>
      <c r="U856" s="1">
        <f t="shared" si="256"/>
        <v>0</v>
      </c>
      <c r="V856">
        <f t="shared" si="257"/>
        <v>6.2015464365350466E+28</v>
      </c>
      <c r="W856">
        <f t="shared" si="262"/>
        <v>0</v>
      </c>
      <c r="Y856">
        <f t="shared" si="263"/>
        <v>8.4949999999998642</v>
      </c>
      <c r="Z856">
        <f t="shared" si="258"/>
        <v>0</v>
      </c>
      <c r="AA856">
        <f t="shared" si="264"/>
        <v>0</v>
      </c>
      <c r="AB856">
        <f t="shared" si="265"/>
        <v>0</v>
      </c>
      <c r="AC856" s="1">
        <f t="shared" si="259"/>
        <v>0</v>
      </c>
    </row>
    <row r="857" spans="9:29" x14ac:dyDescent="0.2">
      <c r="I857">
        <f t="shared" si="247"/>
        <v>8.504999999999864</v>
      </c>
      <c r="J857">
        <f t="shared" si="248"/>
        <v>0</v>
      </c>
      <c r="K857">
        <f t="shared" si="260"/>
        <v>0</v>
      </c>
      <c r="L857">
        <f t="shared" si="249"/>
        <v>0</v>
      </c>
      <c r="M857">
        <f t="shared" si="250"/>
        <v>0</v>
      </c>
      <c r="N857">
        <f t="shared" si="251"/>
        <v>0</v>
      </c>
      <c r="O857">
        <f t="shared" si="252"/>
        <v>0</v>
      </c>
      <c r="P857">
        <f t="shared" si="253"/>
        <v>0</v>
      </c>
      <c r="R857">
        <f t="shared" si="254"/>
        <v>8.504999999999864</v>
      </c>
      <c r="S857">
        <f t="shared" si="255"/>
        <v>0</v>
      </c>
      <c r="T857">
        <f t="shared" si="261"/>
        <v>0</v>
      </c>
      <c r="U857" s="1">
        <f t="shared" si="256"/>
        <v>0</v>
      </c>
      <c r="V857">
        <f t="shared" si="257"/>
        <v>6.4194822150774511E+28</v>
      </c>
      <c r="W857">
        <f t="shared" si="262"/>
        <v>0</v>
      </c>
      <c r="Y857">
        <f t="shared" si="263"/>
        <v>8.504999999999864</v>
      </c>
      <c r="Z857">
        <f t="shared" si="258"/>
        <v>0</v>
      </c>
      <c r="AA857">
        <f t="shared" si="264"/>
        <v>0</v>
      </c>
      <c r="AB857">
        <f t="shared" si="265"/>
        <v>0</v>
      </c>
      <c r="AC857" s="1">
        <f t="shared" si="259"/>
        <v>0</v>
      </c>
    </row>
    <row r="858" spans="9:29" x14ac:dyDescent="0.2">
      <c r="I858">
        <f t="shared" si="247"/>
        <v>8.5149999999998638</v>
      </c>
      <c r="J858">
        <f t="shared" si="248"/>
        <v>0</v>
      </c>
      <c r="K858">
        <f t="shared" si="260"/>
        <v>0</v>
      </c>
      <c r="L858">
        <f t="shared" si="249"/>
        <v>0</v>
      </c>
      <c r="M858">
        <f t="shared" si="250"/>
        <v>0</v>
      </c>
      <c r="N858">
        <f t="shared" si="251"/>
        <v>0</v>
      </c>
      <c r="O858">
        <f t="shared" si="252"/>
        <v>0</v>
      </c>
      <c r="P858">
        <f t="shared" si="253"/>
        <v>0</v>
      </c>
      <c r="R858">
        <f t="shared" si="254"/>
        <v>8.5149999999998638</v>
      </c>
      <c r="S858">
        <f t="shared" si="255"/>
        <v>0</v>
      </c>
      <c r="T858">
        <f t="shared" si="261"/>
        <v>0</v>
      </c>
      <c r="U858" s="1">
        <f t="shared" si="256"/>
        <v>0</v>
      </c>
      <c r="V858">
        <f t="shared" si="257"/>
        <v>6.6450767290746906E+28</v>
      </c>
      <c r="W858">
        <f t="shared" si="262"/>
        <v>0</v>
      </c>
      <c r="Y858">
        <f t="shared" si="263"/>
        <v>8.5149999999998638</v>
      </c>
      <c r="Z858">
        <f t="shared" si="258"/>
        <v>0</v>
      </c>
      <c r="AA858">
        <f t="shared" si="264"/>
        <v>0</v>
      </c>
      <c r="AB858">
        <f t="shared" si="265"/>
        <v>0</v>
      </c>
      <c r="AC858" s="1">
        <f t="shared" si="259"/>
        <v>0</v>
      </c>
    </row>
    <row r="859" spans="9:29" x14ac:dyDescent="0.2">
      <c r="I859">
        <f t="shared" si="247"/>
        <v>8.5249999999998636</v>
      </c>
      <c r="J859">
        <f t="shared" si="248"/>
        <v>0</v>
      </c>
      <c r="K859">
        <f t="shared" si="260"/>
        <v>0</v>
      </c>
      <c r="L859">
        <f t="shared" si="249"/>
        <v>0</v>
      </c>
      <c r="M859">
        <f t="shared" si="250"/>
        <v>0</v>
      </c>
      <c r="N859">
        <f t="shared" si="251"/>
        <v>0</v>
      </c>
      <c r="O859">
        <f t="shared" si="252"/>
        <v>0</v>
      </c>
      <c r="P859">
        <f t="shared" si="253"/>
        <v>0</v>
      </c>
      <c r="R859">
        <f t="shared" si="254"/>
        <v>8.5249999999998636</v>
      </c>
      <c r="S859">
        <f t="shared" si="255"/>
        <v>0</v>
      </c>
      <c r="T859">
        <f t="shared" si="261"/>
        <v>0</v>
      </c>
      <c r="U859" s="1">
        <f t="shared" si="256"/>
        <v>0</v>
      </c>
      <c r="V859">
        <f t="shared" si="257"/>
        <v>6.8785991230848617E+28</v>
      </c>
      <c r="W859">
        <f t="shared" si="262"/>
        <v>0</v>
      </c>
      <c r="Y859">
        <f t="shared" si="263"/>
        <v>8.5249999999998636</v>
      </c>
      <c r="Z859">
        <f t="shared" si="258"/>
        <v>0</v>
      </c>
      <c r="AA859">
        <f t="shared" si="264"/>
        <v>0</v>
      </c>
      <c r="AB859">
        <f t="shared" si="265"/>
        <v>0</v>
      </c>
      <c r="AC859" s="1">
        <f t="shared" si="259"/>
        <v>0</v>
      </c>
    </row>
    <row r="860" spans="9:29" x14ac:dyDescent="0.2">
      <c r="I860">
        <f t="shared" si="247"/>
        <v>8.5349999999998634</v>
      </c>
      <c r="J860">
        <f t="shared" si="248"/>
        <v>0</v>
      </c>
      <c r="K860">
        <f t="shared" si="260"/>
        <v>0</v>
      </c>
      <c r="L860">
        <f t="shared" si="249"/>
        <v>0</v>
      </c>
      <c r="M860">
        <f t="shared" si="250"/>
        <v>0</v>
      </c>
      <c r="N860">
        <f t="shared" si="251"/>
        <v>0</v>
      </c>
      <c r="O860">
        <f t="shared" si="252"/>
        <v>0</v>
      </c>
      <c r="P860">
        <f t="shared" si="253"/>
        <v>0</v>
      </c>
      <c r="R860">
        <f t="shared" si="254"/>
        <v>8.5349999999998634</v>
      </c>
      <c r="S860">
        <f t="shared" si="255"/>
        <v>0</v>
      </c>
      <c r="T860">
        <f t="shared" si="261"/>
        <v>0</v>
      </c>
      <c r="U860" s="1">
        <f t="shared" si="256"/>
        <v>0</v>
      </c>
      <c r="V860">
        <f t="shared" si="257"/>
        <v>7.1203279999886968E+28</v>
      </c>
      <c r="W860">
        <f t="shared" si="262"/>
        <v>0</v>
      </c>
      <c r="Y860">
        <f t="shared" si="263"/>
        <v>8.5349999999998634</v>
      </c>
      <c r="Z860">
        <f t="shared" si="258"/>
        <v>0</v>
      </c>
      <c r="AA860">
        <f t="shared" si="264"/>
        <v>0</v>
      </c>
      <c r="AB860">
        <f t="shared" si="265"/>
        <v>0</v>
      </c>
      <c r="AC860" s="1">
        <f t="shared" si="259"/>
        <v>0</v>
      </c>
    </row>
    <row r="861" spans="9:29" x14ac:dyDescent="0.2">
      <c r="I861">
        <f t="shared" si="247"/>
        <v>8.5449999999998631</v>
      </c>
      <c r="J861">
        <f t="shared" si="248"/>
        <v>0</v>
      </c>
      <c r="K861">
        <f t="shared" si="260"/>
        <v>0</v>
      </c>
      <c r="L861">
        <f t="shared" si="249"/>
        <v>0</v>
      </c>
      <c r="M861">
        <f t="shared" si="250"/>
        <v>0</v>
      </c>
      <c r="N861">
        <f t="shared" si="251"/>
        <v>0</v>
      </c>
      <c r="O861">
        <f t="shared" si="252"/>
        <v>0</v>
      </c>
      <c r="P861">
        <f t="shared" si="253"/>
        <v>0</v>
      </c>
      <c r="R861">
        <f t="shared" si="254"/>
        <v>8.5449999999998631</v>
      </c>
      <c r="S861">
        <f t="shared" si="255"/>
        <v>0</v>
      </c>
      <c r="T861">
        <f t="shared" si="261"/>
        <v>0</v>
      </c>
      <c r="U861" s="1">
        <f t="shared" si="256"/>
        <v>0</v>
      </c>
      <c r="V861">
        <f t="shared" si="257"/>
        <v>7.370551753375897E+28</v>
      </c>
      <c r="W861">
        <f t="shared" si="262"/>
        <v>0</v>
      </c>
      <c r="Y861">
        <f t="shared" si="263"/>
        <v>8.5449999999998631</v>
      </c>
      <c r="Z861">
        <f t="shared" si="258"/>
        <v>0</v>
      </c>
      <c r="AA861">
        <f t="shared" si="264"/>
        <v>0</v>
      </c>
      <c r="AB861">
        <f t="shared" si="265"/>
        <v>0</v>
      </c>
      <c r="AC861" s="1">
        <f t="shared" si="259"/>
        <v>0</v>
      </c>
    </row>
    <row r="862" spans="9:29" x14ac:dyDescent="0.2">
      <c r="I862">
        <f t="shared" si="247"/>
        <v>8.5549999999998629</v>
      </c>
      <c r="J862">
        <f t="shared" si="248"/>
        <v>0</v>
      </c>
      <c r="K862">
        <f t="shared" si="260"/>
        <v>0</v>
      </c>
      <c r="L862">
        <f t="shared" si="249"/>
        <v>0</v>
      </c>
      <c r="M862">
        <f t="shared" si="250"/>
        <v>0</v>
      </c>
      <c r="N862">
        <f t="shared" si="251"/>
        <v>0</v>
      </c>
      <c r="O862">
        <f t="shared" si="252"/>
        <v>0</v>
      </c>
      <c r="P862">
        <f t="shared" si="253"/>
        <v>0</v>
      </c>
      <c r="R862">
        <f t="shared" si="254"/>
        <v>8.5549999999998629</v>
      </c>
      <c r="S862">
        <f t="shared" si="255"/>
        <v>0</v>
      </c>
      <c r="T862">
        <f t="shared" si="261"/>
        <v>0</v>
      </c>
      <c r="U862" s="1">
        <f t="shared" si="256"/>
        <v>0</v>
      </c>
      <c r="V862">
        <f t="shared" si="257"/>
        <v>7.6295689116117618E+28</v>
      </c>
      <c r="W862">
        <f t="shared" si="262"/>
        <v>0</v>
      </c>
      <c r="Y862">
        <f t="shared" si="263"/>
        <v>8.5549999999998629</v>
      </c>
      <c r="Z862">
        <f t="shared" si="258"/>
        <v>0</v>
      </c>
      <c r="AA862">
        <f t="shared" si="264"/>
        <v>0</v>
      </c>
      <c r="AB862">
        <f t="shared" si="265"/>
        <v>0</v>
      </c>
      <c r="AC862" s="1">
        <f t="shared" si="259"/>
        <v>0</v>
      </c>
    </row>
    <row r="863" spans="9:29" x14ac:dyDescent="0.2">
      <c r="I863">
        <f t="shared" si="247"/>
        <v>8.5649999999998627</v>
      </c>
      <c r="J863">
        <f t="shared" si="248"/>
        <v>0</v>
      </c>
      <c r="K863">
        <f t="shared" si="260"/>
        <v>0</v>
      </c>
      <c r="L863">
        <f t="shared" si="249"/>
        <v>0</v>
      </c>
      <c r="M863">
        <f t="shared" si="250"/>
        <v>0</v>
      </c>
      <c r="N863">
        <f t="shared" si="251"/>
        <v>0</v>
      </c>
      <c r="O863">
        <f t="shared" si="252"/>
        <v>0</v>
      </c>
      <c r="P863">
        <f t="shared" si="253"/>
        <v>0</v>
      </c>
      <c r="R863">
        <f t="shared" si="254"/>
        <v>8.5649999999998627</v>
      </c>
      <c r="S863">
        <f t="shared" si="255"/>
        <v>0</v>
      </c>
      <c r="T863">
        <f t="shared" si="261"/>
        <v>0</v>
      </c>
      <c r="U863" s="1">
        <f t="shared" si="256"/>
        <v>0</v>
      </c>
      <c r="V863">
        <f t="shared" si="257"/>
        <v>7.8976884939951613E+28</v>
      </c>
      <c r="W863">
        <f t="shared" si="262"/>
        <v>0</v>
      </c>
      <c r="Y863">
        <f t="shared" si="263"/>
        <v>8.5649999999998627</v>
      </c>
      <c r="Z863">
        <f t="shared" si="258"/>
        <v>0</v>
      </c>
      <c r="AA863">
        <f t="shared" si="264"/>
        <v>0</v>
      </c>
      <c r="AB863">
        <f t="shared" si="265"/>
        <v>0</v>
      </c>
      <c r="AC863" s="1">
        <f t="shared" si="259"/>
        <v>0</v>
      </c>
    </row>
  </sheetData>
  <phoneticPr fontId="2" type="noConversion"/>
  <printOptions gridLines="1" gridLinesSet="0"/>
  <pageMargins left="0.75" right="0.75" top="1" bottom="1" header="0.5" footer="0.5"/>
  <pageSetup paperSize="0" orientation="portrait" horizontalDpi="4294967292" verticalDpi="4294967292"/>
  <headerFooter alignWithMargins="0">
    <oddHeader>&amp;F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863"/>
  <sheetViews>
    <sheetView topLeftCell="A5" workbookViewId="0">
      <selection activeCell="C25" sqref="C25"/>
    </sheetView>
  </sheetViews>
  <sheetFormatPr baseColWidth="10" defaultRowHeight="14" x14ac:dyDescent="0.2"/>
  <cols>
    <col min="6" max="6" width="11.5703125" bestFit="1" customWidth="1"/>
  </cols>
  <sheetData>
    <row r="1" spans="1:44" x14ac:dyDescent="0.2">
      <c r="I1" s="1">
        <f>SUM(I5:AR5)</f>
        <v>0.99999999999999967</v>
      </c>
    </row>
    <row r="2" spans="1:44" x14ac:dyDescent="0.2">
      <c r="B2" s="7" t="s">
        <v>46</v>
      </c>
      <c r="C2" s="7" t="s">
        <v>46</v>
      </c>
    </row>
    <row r="3" spans="1:44" x14ac:dyDescent="0.2">
      <c r="B3" s="1">
        <f ca="1">SUM(B7:B43)</f>
        <v>7.4493433161470389E-3</v>
      </c>
      <c r="C3" s="1">
        <f ca="1">SUM(C7:C43)</f>
        <v>0.99999999999999967</v>
      </c>
      <c r="I3">
        <v>4.9989999999999997</v>
      </c>
      <c r="J3">
        <v>5.0999999999999996</v>
      </c>
      <c r="K3">
        <f t="shared" ref="K3:AR3" si="0">J3+0.1</f>
        <v>5.1999999999999993</v>
      </c>
      <c r="L3">
        <f t="shared" si="0"/>
        <v>5.2999999999999989</v>
      </c>
      <c r="M3">
        <f t="shared" si="0"/>
        <v>5.3999999999999986</v>
      </c>
      <c r="N3">
        <f t="shared" si="0"/>
        <v>5.4999999999999982</v>
      </c>
      <c r="O3">
        <f t="shared" si="0"/>
        <v>5.5999999999999979</v>
      </c>
      <c r="P3">
        <f t="shared" si="0"/>
        <v>5.6999999999999975</v>
      </c>
      <c r="Q3">
        <f t="shared" si="0"/>
        <v>5.7999999999999972</v>
      </c>
      <c r="R3">
        <f t="shared" si="0"/>
        <v>5.8999999999999968</v>
      </c>
      <c r="S3">
        <f t="shared" si="0"/>
        <v>5.9999999999999964</v>
      </c>
      <c r="T3">
        <f t="shared" si="0"/>
        <v>6.0999999999999961</v>
      </c>
      <c r="U3">
        <f t="shared" si="0"/>
        <v>6.1999999999999957</v>
      </c>
      <c r="V3">
        <f t="shared" si="0"/>
        <v>6.2999999999999954</v>
      </c>
      <c r="W3">
        <f t="shared" si="0"/>
        <v>6.399999999999995</v>
      </c>
      <c r="X3">
        <f t="shared" si="0"/>
        <v>6.4999999999999947</v>
      </c>
      <c r="Y3">
        <f t="shared" si="0"/>
        <v>6.5999999999999943</v>
      </c>
      <c r="Z3">
        <f t="shared" si="0"/>
        <v>6.699999999999994</v>
      </c>
      <c r="AA3">
        <f t="shared" si="0"/>
        <v>6.7999999999999936</v>
      </c>
      <c r="AB3">
        <f t="shared" si="0"/>
        <v>6.8999999999999932</v>
      </c>
      <c r="AC3">
        <f t="shared" si="0"/>
        <v>6.9999999999999929</v>
      </c>
      <c r="AD3">
        <f t="shared" si="0"/>
        <v>7.0999999999999925</v>
      </c>
      <c r="AE3">
        <f t="shared" si="0"/>
        <v>7.1999999999999922</v>
      </c>
      <c r="AF3">
        <f t="shared" si="0"/>
        <v>7.2999999999999918</v>
      </c>
      <c r="AG3">
        <f t="shared" si="0"/>
        <v>7.3999999999999915</v>
      </c>
      <c r="AH3">
        <f t="shared" si="0"/>
        <v>7.4999999999999911</v>
      </c>
      <c r="AI3">
        <f t="shared" si="0"/>
        <v>7.5999999999999908</v>
      </c>
      <c r="AJ3">
        <f t="shared" si="0"/>
        <v>7.6999999999999904</v>
      </c>
      <c r="AK3">
        <f t="shared" si="0"/>
        <v>7.7999999999999901</v>
      </c>
      <c r="AL3">
        <f t="shared" si="0"/>
        <v>7.8999999999999897</v>
      </c>
      <c r="AM3">
        <f t="shared" si="0"/>
        <v>7.9999999999999893</v>
      </c>
      <c r="AN3">
        <f t="shared" si="0"/>
        <v>8.099999999999989</v>
      </c>
      <c r="AO3">
        <f t="shared" si="0"/>
        <v>8.1999999999999886</v>
      </c>
      <c r="AP3">
        <f t="shared" si="0"/>
        <v>8.2999999999999883</v>
      </c>
      <c r="AQ3">
        <f t="shared" si="0"/>
        <v>8.3999999999999879</v>
      </c>
      <c r="AR3">
        <f t="shared" si="0"/>
        <v>8.4999999999999876</v>
      </c>
    </row>
    <row r="4" spans="1:44" x14ac:dyDescent="0.2">
      <c r="A4" s="7"/>
      <c r="I4">
        <v>5.0999999999999996</v>
      </c>
      <c r="J4">
        <f>J3+0.1</f>
        <v>5.1999999999999993</v>
      </c>
      <c r="K4">
        <f t="shared" ref="K4:AR4" si="1">K3+0.1</f>
        <v>5.2999999999999989</v>
      </c>
      <c r="L4">
        <f t="shared" si="1"/>
        <v>5.3999999999999986</v>
      </c>
      <c r="M4">
        <f t="shared" si="1"/>
        <v>5.4999999999999982</v>
      </c>
      <c r="N4">
        <f t="shared" si="1"/>
        <v>5.5999999999999979</v>
      </c>
      <c r="O4">
        <f t="shared" si="1"/>
        <v>5.6999999999999975</v>
      </c>
      <c r="P4">
        <f t="shared" si="1"/>
        <v>5.7999999999999972</v>
      </c>
      <c r="Q4">
        <f t="shared" si="1"/>
        <v>5.8999999999999968</v>
      </c>
      <c r="R4">
        <f t="shared" si="1"/>
        <v>5.9999999999999964</v>
      </c>
      <c r="S4">
        <f t="shared" si="1"/>
        <v>6.0999999999999961</v>
      </c>
      <c r="T4">
        <f t="shared" si="1"/>
        <v>6.1999999999999957</v>
      </c>
      <c r="U4">
        <f t="shared" si="1"/>
        <v>6.2999999999999954</v>
      </c>
      <c r="V4">
        <f t="shared" si="1"/>
        <v>6.399999999999995</v>
      </c>
      <c r="W4">
        <f t="shared" si="1"/>
        <v>6.4999999999999947</v>
      </c>
      <c r="X4">
        <f t="shared" si="1"/>
        <v>6.5999999999999943</v>
      </c>
      <c r="Y4">
        <f t="shared" si="1"/>
        <v>6.699999999999994</v>
      </c>
      <c r="Z4">
        <f t="shared" si="1"/>
        <v>6.7999999999999936</v>
      </c>
      <c r="AA4">
        <f t="shared" si="1"/>
        <v>6.8999999999999932</v>
      </c>
      <c r="AB4">
        <f t="shared" si="1"/>
        <v>6.9999999999999929</v>
      </c>
      <c r="AC4">
        <f t="shared" si="1"/>
        <v>7.0999999999999925</v>
      </c>
      <c r="AD4">
        <f t="shared" si="1"/>
        <v>7.1999999999999922</v>
      </c>
      <c r="AE4">
        <f t="shared" si="1"/>
        <v>7.2999999999999918</v>
      </c>
      <c r="AF4">
        <f t="shared" si="1"/>
        <v>7.3999999999999915</v>
      </c>
      <c r="AG4">
        <f t="shared" si="1"/>
        <v>7.4999999999999911</v>
      </c>
      <c r="AH4">
        <f t="shared" si="1"/>
        <v>7.5999999999999908</v>
      </c>
      <c r="AI4">
        <f t="shared" si="1"/>
        <v>7.6999999999999904</v>
      </c>
      <c r="AJ4">
        <f t="shared" si="1"/>
        <v>7.7999999999999901</v>
      </c>
      <c r="AK4">
        <f t="shared" si="1"/>
        <v>7.8999999999999897</v>
      </c>
      <c r="AL4">
        <f t="shared" si="1"/>
        <v>7.9999999999999893</v>
      </c>
      <c r="AM4">
        <f t="shared" si="1"/>
        <v>8.099999999999989</v>
      </c>
      <c r="AN4">
        <f t="shared" si="1"/>
        <v>8.1999999999999886</v>
      </c>
      <c r="AO4">
        <f t="shared" si="1"/>
        <v>8.2999999999999883</v>
      </c>
      <c r="AP4">
        <f t="shared" si="1"/>
        <v>8.3999999999999879</v>
      </c>
      <c r="AQ4">
        <f t="shared" si="1"/>
        <v>8.4999999999999876</v>
      </c>
      <c r="AR4">
        <f t="shared" si="1"/>
        <v>8.5999999999999872</v>
      </c>
    </row>
    <row r="5" spans="1:44" x14ac:dyDescent="0.2">
      <c r="H5" s="1">
        <f>SUM(H7:H863)</f>
        <v>7.4493433161470415E-3</v>
      </c>
      <c r="I5" s="1">
        <f t="shared" ref="I5:AR5" si="2">SUM(I7:I863)/$H$5</f>
        <v>0</v>
      </c>
      <c r="J5" s="1">
        <f t="shared" si="2"/>
        <v>0</v>
      </c>
      <c r="K5" s="1">
        <f t="shared" si="2"/>
        <v>0</v>
      </c>
      <c r="L5" s="1">
        <f t="shared" si="2"/>
        <v>0</v>
      </c>
      <c r="M5" s="1">
        <f t="shared" si="2"/>
        <v>0</v>
      </c>
      <c r="N5" s="1">
        <f t="shared" si="2"/>
        <v>0</v>
      </c>
      <c r="O5" s="1">
        <f t="shared" si="2"/>
        <v>0</v>
      </c>
      <c r="P5" s="1">
        <f t="shared" si="2"/>
        <v>0</v>
      </c>
      <c r="Q5" s="1">
        <f t="shared" si="2"/>
        <v>0</v>
      </c>
      <c r="R5" s="1">
        <f t="shared" si="2"/>
        <v>0</v>
      </c>
      <c r="S5" s="1">
        <f t="shared" si="2"/>
        <v>0</v>
      </c>
      <c r="T5" s="1">
        <f t="shared" si="2"/>
        <v>0</v>
      </c>
      <c r="U5" s="1">
        <f t="shared" si="2"/>
        <v>0</v>
      </c>
      <c r="V5" s="1">
        <f t="shared" si="2"/>
        <v>0</v>
      </c>
      <c r="W5" s="1">
        <f t="shared" si="2"/>
        <v>0</v>
      </c>
      <c r="X5" s="1">
        <f t="shared" si="2"/>
        <v>2.9722413095740236E-3</v>
      </c>
      <c r="Y5" s="1">
        <f t="shared" si="2"/>
        <v>5.0215952870517486E-2</v>
      </c>
      <c r="Z5" s="1">
        <f t="shared" si="2"/>
        <v>0.10216921058383667</v>
      </c>
      <c r="AA5" s="1">
        <f t="shared" si="2"/>
        <v>0.16270688197889757</v>
      </c>
      <c r="AB5" s="1">
        <f t="shared" si="2"/>
        <v>0.20282666883612227</v>
      </c>
      <c r="AC5" s="1">
        <f t="shared" si="2"/>
        <v>0.19792004555346118</v>
      </c>
      <c r="AD5" s="1">
        <f t="shared" si="2"/>
        <v>0.15118152403298407</v>
      </c>
      <c r="AE5" s="1">
        <f t="shared" si="2"/>
        <v>9.0393419930415386E-2</v>
      </c>
      <c r="AF5" s="1">
        <f t="shared" si="2"/>
        <v>3.9614054904190961E-2</v>
      </c>
      <c r="AG5" s="1">
        <f t="shared" si="2"/>
        <v>0</v>
      </c>
      <c r="AH5" s="1">
        <f t="shared" si="2"/>
        <v>0</v>
      </c>
      <c r="AI5" s="1">
        <f t="shared" si="2"/>
        <v>0</v>
      </c>
      <c r="AJ5" s="1">
        <f t="shared" si="2"/>
        <v>0</v>
      </c>
      <c r="AK5" s="1">
        <f t="shared" si="2"/>
        <v>0</v>
      </c>
      <c r="AL5" s="1">
        <f t="shared" si="2"/>
        <v>0</v>
      </c>
      <c r="AM5" s="1">
        <f t="shared" si="2"/>
        <v>0</v>
      </c>
      <c r="AN5" s="1">
        <f t="shared" si="2"/>
        <v>0</v>
      </c>
      <c r="AO5" s="1">
        <f t="shared" si="2"/>
        <v>0</v>
      </c>
      <c r="AP5" s="1">
        <f t="shared" si="2"/>
        <v>0</v>
      </c>
      <c r="AQ5" s="1">
        <f t="shared" si="2"/>
        <v>0</v>
      </c>
      <c r="AR5" s="1">
        <f t="shared" si="2"/>
        <v>0</v>
      </c>
    </row>
    <row r="6" spans="1:44" x14ac:dyDescent="0.2">
      <c r="A6" s="7" t="s">
        <v>47</v>
      </c>
      <c r="B6" s="7" t="s">
        <v>53</v>
      </c>
      <c r="C6" s="7" t="s">
        <v>54</v>
      </c>
      <c r="D6" s="7" t="s">
        <v>49</v>
      </c>
      <c r="E6" s="7" t="s">
        <v>48</v>
      </c>
      <c r="G6" s="7" t="s">
        <v>0</v>
      </c>
      <c r="H6" s="7"/>
    </row>
    <row r="7" spans="1:44" x14ac:dyDescent="0.2">
      <c r="A7">
        <v>5.05</v>
      </c>
      <c r="B7" s="1">
        <f ca="1">$C7*$H$5</f>
        <v>0</v>
      </c>
      <c r="C7" s="1">
        <f t="array" aca="1" ref="C7" ca="1">INDIRECT(ADDRESS(5,$D7,1,FALSE),FALSE)</f>
        <v>0</v>
      </c>
      <c r="D7">
        <v>9</v>
      </c>
      <c r="E7" s="1">
        <f>moment_rate!$AC7</f>
        <v>7.4493433161470389E-3</v>
      </c>
      <c r="F7" s="1">
        <f>E7-E8</f>
        <v>0</v>
      </c>
      <c r="G7">
        <f>moment_rate!I7-0.005</f>
        <v>0</v>
      </c>
      <c r="H7" s="1">
        <f>IF($G7&gt;=4.999,(E7-E8),0)</f>
        <v>0</v>
      </c>
      <c r="I7">
        <f>IF(AND($G7&gt;=I$3,$G7&lt;I$4),$F7,0)</f>
        <v>0</v>
      </c>
      <c r="J7">
        <f t="shared" ref="J7:AR14" si="3">IF(AND($G7&gt;=J$3,$G7&lt;J$4),$F7,0)</f>
        <v>0</v>
      </c>
      <c r="K7">
        <f t="shared" si="3"/>
        <v>0</v>
      </c>
      <c r="L7">
        <f t="shared" si="3"/>
        <v>0</v>
      </c>
      <c r="M7">
        <f t="shared" si="3"/>
        <v>0</v>
      </c>
      <c r="N7">
        <f t="shared" si="3"/>
        <v>0</v>
      </c>
      <c r="O7">
        <f t="shared" si="3"/>
        <v>0</v>
      </c>
      <c r="P7">
        <f t="shared" si="3"/>
        <v>0</v>
      </c>
      <c r="Q7">
        <f t="shared" si="3"/>
        <v>0</v>
      </c>
      <c r="R7">
        <f t="shared" si="3"/>
        <v>0</v>
      </c>
      <c r="S7">
        <f t="shared" si="3"/>
        <v>0</v>
      </c>
      <c r="T7">
        <f t="shared" si="3"/>
        <v>0</v>
      </c>
      <c r="U7">
        <f t="shared" si="3"/>
        <v>0</v>
      </c>
      <c r="V7">
        <f t="shared" si="3"/>
        <v>0</v>
      </c>
      <c r="W7">
        <f t="shared" si="3"/>
        <v>0</v>
      </c>
      <c r="X7">
        <f t="shared" si="3"/>
        <v>0</v>
      </c>
      <c r="Y7">
        <f t="shared" si="3"/>
        <v>0</v>
      </c>
      <c r="Z7">
        <f t="shared" si="3"/>
        <v>0</v>
      </c>
      <c r="AA7">
        <f t="shared" si="3"/>
        <v>0</v>
      </c>
      <c r="AB7">
        <f t="shared" si="3"/>
        <v>0</v>
      </c>
      <c r="AC7">
        <f t="shared" si="3"/>
        <v>0</v>
      </c>
      <c r="AD7">
        <f t="shared" si="3"/>
        <v>0</v>
      </c>
      <c r="AE7">
        <f t="shared" si="3"/>
        <v>0</v>
      </c>
      <c r="AF7">
        <f t="shared" si="3"/>
        <v>0</v>
      </c>
      <c r="AG7">
        <f t="shared" si="3"/>
        <v>0</v>
      </c>
      <c r="AH7">
        <f t="shared" si="3"/>
        <v>0</v>
      </c>
      <c r="AI7">
        <f t="shared" si="3"/>
        <v>0</v>
      </c>
      <c r="AJ7">
        <f t="shared" si="3"/>
        <v>0</v>
      </c>
      <c r="AK7">
        <f t="shared" si="3"/>
        <v>0</v>
      </c>
      <c r="AL7">
        <f t="shared" si="3"/>
        <v>0</v>
      </c>
      <c r="AM7">
        <f t="shared" si="3"/>
        <v>0</v>
      </c>
      <c r="AN7">
        <f t="shared" si="3"/>
        <v>0</v>
      </c>
      <c r="AO7">
        <f t="shared" si="3"/>
        <v>0</v>
      </c>
      <c r="AP7">
        <f t="shared" si="3"/>
        <v>0</v>
      </c>
      <c r="AQ7">
        <f t="shared" si="3"/>
        <v>0</v>
      </c>
      <c r="AR7">
        <f t="shared" si="3"/>
        <v>0</v>
      </c>
    </row>
    <row r="8" spans="1:44" x14ac:dyDescent="0.2">
      <c r="A8">
        <f>A7+0.1</f>
        <v>5.1499999999999995</v>
      </c>
      <c r="B8" s="1">
        <f t="shared" ref="B8:B43" ca="1" si="4">$C8*$H$5</f>
        <v>0</v>
      </c>
      <c r="C8" s="1">
        <f t="array" aca="1" ref="C8" ca="1">INDIRECT(ADDRESS(5,$D8,1,FALSE),FALSE)</f>
        <v>0</v>
      </c>
      <c r="D8">
        <f>D7+1</f>
        <v>10</v>
      </c>
      <c r="E8" s="1">
        <f>moment_rate!$AC8</f>
        <v>7.4493433161470389E-3</v>
      </c>
      <c r="F8" s="1">
        <f t="shared" ref="F8:F71" si="5">E8-E9</f>
        <v>0</v>
      </c>
      <c r="G8">
        <f>moment_rate!I8-0.005</f>
        <v>9.9999999999999985E-3</v>
      </c>
      <c r="H8" s="1">
        <f t="shared" ref="H8:H71" si="6">IF($G8&gt;=4.999,(E8-E9),0)</f>
        <v>0</v>
      </c>
      <c r="I8">
        <f t="shared" ref="I8:X30" si="7">IF(AND($G8&gt;=I$3,$G8&lt;I$4),$F8,0)</f>
        <v>0</v>
      </c>
      <c r="J8">
        <f t="shared" si="3"/>
        <v>0</v>
      </c>
      <c r="K8">
        <f t="shared" si="3"/>
        <v>0</v>
      </c>
      <c r="L8">
        <f t="shared" si="3"/>
        <v>0</v>
      </c>
      <c r="M8">
        <f t="shared" si="3"/>
        <v>0</v>
      </c>
      <c r="N8">
        <f t="shared" si="3"/>
        <v>0</v>
      </c>
      <c r="O8">
        <f t="shared" si="3"/>
        <v>0</v>
      </c>
      <c r="P8">
        <f t="shared" si="3"/>
        <v>0</v>
      </c>
      <c r="Q8">
        <f t="shared" si="3"/>
        <v>0</v>
      </c>
      <c r="R8">
        <f t="shared" si="3"/>
        <v>0</v>
      </c>
      <c r="S8">
        <f t="shared" si="3"/>
        <v>0</v>
      </c>
      <c r="T8">
        <f t="shared" si="3"/>
        <v>0</v>
      </c>
      <c r="U8">
        <f t="shared" si="3"/>
        <v>0</v>
      </c>
      <c r="V8">
        <f t="shared" si="3"/>
        <v>0</v>
      </c>
      <c r="W8">
        <f t="shared" si="3"/>
        <v>0</v>
      </c>
      <c r="X8">
        <f t="shared" si="3"/>
        <v>0</v>
      </c>
      <c r="Y8">
        <f t="shared" si="3"/>
        <v>0</v>
      </c>
      <c r="Z8">
        <f t="shared" si="3"/>
        <v>0</v>
      </c>
      <c r="AA8">
        <f t="shared" si="3"/>
        <v>0</v>
      </c>
      <c r="AB8">
        <f t="shared" si="3"/>
        <v>0</v>
      </c>
      <c r="AC8">
        <f t="shared" si="3"/>
        <v>0</v>
      </c>
      <c r="AD8">
        <f t="shared" si="3"/>
        <v>0</v>
      </c>
      <c r="AE8">
        <f t="shared" si="3"/>
        <v>0</v>
      </c>
      <c r="AF8">
        <f t="shared" si="3"/>
        <v>0</v>
      </c>
      <c r="AG8">
        <f t="shared" si="3"/>
        <v>0</v>
      </c>
      <c r="AH8">
        <f t="shared" si="3"/>
        <v>0</v>
      </c>
      <c r="AI8">
        <f t="shared" si="3"/>
        <v>0</v>
      </c>
      <c r="AJ8">
        <f t="shared" si="3"/>
        <v>0</v>
      </c>
      <c r="AK8">
        <f t="shared" si="3"/>
        <v>0</v>
      </c>
      <c r="AL8">
        <f t="shared" si="3"/>
        <v>0</v>
      </c>
      <c r="AM8">
        <f t="shared" si="3"/>
        <v>0</v>
      </c>
      <c r="AN8">
        <f t="shared" si="3"/>
        <v>0</v>
      </c>
      <c r="AO8">
        <f t="shared" si="3"/>
        <v>0</v>
      </c>
      <c r="AP8">
        <f t="shared" si="3"/>
        <v>0</v>
      </c>
      <c r="AQ8">
        <f t="shared" si="3"/>
        <v>0</v>
      </c>
      <c r="AR8">
        <f t="shared" si="3"/>
        <v>0</v>
      </c>
    </row>
    <row r="9" spans="1:44" x14ac:dyDescent="0.2">
      <c r="A9">
        <f t="shared" ref="A9:A43" si="8">A8+0.1</f>
        <v>5.2499999999999991</v>
      </c>
      <c r="B9" s="1">
        <f t="shared" ca="1" si="4"/>
        <v>0</v>
      </c>
      <c r="C9" s="1">
        <f t="array" aca="1" ref="C9" ca="1">INDIRECT(ADDRESS(5,$D9,1,FALSE),FALSE)</f>
        <v>0</v>
      </c>
      <c r="D9">
        <f t="shared" ref="D9:D43" si="9">D8+1</f>
        <v>11</v>
      </c>
      <c r="E9" s="1">
        <f>moment_rate!$AC9</f>
        <v>7.4493433161470389E-3</v>
      </c>
      <c r="F9" s="1">
        <f t="shared" si="5"/>
        <v>0</v>
      </c>
      <c r="G9">
        <f>moment_rate!I9-0.005</f>
        <v>0.02</v>
      </c>
      <c r="H9" s="1">
        <f t="shared" si="6"/>
        <v>0</v>
      </c>
      <c r="I9">
        <f t="shared" si="7"/>
        <v>0</v>
      </c>
      <c r="J9">
        <f t="shared" si="3"/>
        <v>0</v>
      </c>
      <c r="K9">
        <f t="shared" si="3"/>
        <v>0</v>
      </c>
      <c r="L9">
        <f t="shared" si="3"/>
        <v>0</v>
      </c>
      <c r="M9">
        <f t="shared" si="3"/>
        <v>0</v>
      </c>
      <c r="N9">
        <f t="shared" si="3"/>
        <v>0</v>
      </c>
      <c r="O9">
        <f t="shared" si="3"/>
        <v>0</v>
      </c>
      <c r="P9">
        <f t="shared" si="3"/>
        <v>0</v>
      </c>
      <c r="Q9">
        <f t="shared" si="3"/>
        <v>0</v>
      </c>
      <c r="R9">
        <f t="shared" si="3"/>
        <v>0</v>
      </c>
      <c r="S9">
        <f t="shared" si="3"/>
        <v>0</v>
      </c>
      <c r="T9">
        <f t="shared" si="3"/>
        <v>0</v>
      </c>
      <c r="U9">
        <f t="shared" si="3"/>
        <v>0</v>
      </c>
      <c r="V9">
        <f t="shared" si="3"/>
        <v>0</v>
      </c>
      <c r="W9">
        <f t="shared" si="3"/>
        <v>0</v>
      </c>
      <c r="X9">
        <f t="shared" si="3"/>
        <v>0</v>
      </c>
      <c r="Y9">
        <f t="shared" si="3"/>
        <v>0</v>
      </c>
      <c r="Z9">
        <f t="shared" si="3"/>
        <v>0</v>
      </c>
      <c r="AA9">
        <f t="shared" si="3"/>
        <v>0</v>
      </c>
      <c r="AB9">
        <f t="shared" si="3"/>
        <v>0</v>
      </c>
      <c r="AC9">
        <f t="shared" si="3"/>
        <v>0</v>
      </c>
      <c r="AD9">
        <f t="shared" si="3"/>
        <v>0</v>
      </c>
      <c r="AE9">
        <f t="shared" si="3"/>
        <v>0</v>
      </c>
      <c r="AF9">
        <f t="shared" si="3"/>
        <v>0</v>
      </c>
      <c r="AG9">
        <f t="shared" si="3"/>
        <v>0</v>
      </c>
      <c r="AH9">
        <f t="shared" si="3"/>
        <v>0</v>
      </c>
      <c r="AI9">
        <f t="shared" si="3"/>
        <v>0</v>
      </c>
      <c r="AJ9">
        <f t="shared" si="3"/>
        <v>0</v>
      </c>
      <c r="AK9">
        <f t="shared" si="3"/>
        <v>0</v>
      </c>
      <c r="AL9">
        <f t="shared" si="3"/>
        <v>0</v>
      </c>
      <c r="AM9">
        <f t="shared" si="3"/>
        <v>0</v>
      </c>
      <c r="AN9">
        <f t="shared" si="3"/>
        <v>0</v>
      </c>
      <c r="AO9">
        <f t="shared" si="3"/>
        <v>0</v>
      </c>
      <c r="AP9">
        <f t="shared" si="3"/>
        <v>0</v>
      </c>
      <c r="AQ9">
        <f t="shared" si="3"/>
        <v>0</v>
      </c>
      <c r="AR9">
        <f t="shared" si="3"/>
        <v>0</v>
      </c>
    </row>
    <row r="10" spans="1:44" x14ac:dyDescent="0.2">
      <c r="A10">
        <f t="shared" si="8"/>
        <v>5.3499999999999988</v>
      </c>
      <c r="B10" s="1">
        <f t="shared" ca="1" si="4"/>
        <v>0</v>
      </c>
      <c r="C10" s="1">
        <f t="array" aca="1" ref="C10" ca="1">INDIRECT(ADDRESS(5,$D10,1,FALSE),FALSE)</f>
        <v>0</v>
      </c>
      <c r="D10">
        <f t="shared" si="9"/>
        <v>12</v>
      </c>
      <c r="E10" s="1">
        <f>moment_rate!$AC10</f>
        <v>7.4493433161470389E-3</v>
      </c>
      <c r="F10" s="1">
        <f t="shared" si="5"/>
        <v>0</v>
      </c>
      <c r="G10">
        <f>moment_rate!I10-0.005</f>
        <v>3.0000000000000002E-2</v>
      </c>
      <c r="H10" s="1">
        <f t="shared" si="6"/>
        <v>0</v>
      </c>
      <c r="I10">
        <f t="shared" si="7"/>
        <v>0</v>
      </c>
      <c r="J10">
        <f t="shared" si="3"/>
        <v>0</v>
      </c>
      <c r="K10">
        <f t="shared" si="3"/>
        <v>0</v>
      </c>
      <c r="L10">
        <f t="shared" si="3"/>
        <v>0</v>
      </c>
      <c r="M10">
        <f t="shared" si="3"/>
        <v>0</v>
      </c>
      <c r="N10">
        <f t="shared" si="3"/>
        <v>0</v>
      </c>
      <c r="O10">
        <f t="shared" si="3"/>
        <v>0</v>
      </c>
      <c r="P10">
        <f t="shared" si="3"/>
        <v>0</v>
      </c>
      <c r="Q10">
        <f t="shared" si="3"/>
        <v>0</v>
      </c>
      <c r="R10">
        <f t="shared" si="3"/>
        <v>0</v>
      </c>
      <c r="S10">
        <f t="shared" si="3"/>
        <v>0</v>
      </c>
      <c r="T10">
        <f t="shared" si="3"/>
        <v>0</v>
      </c>
      <c r="U10">
        <f t="shared" si="3"/>
        <v>0</v>
      </c>
      <c r="V10">
        <f t="shared" si="3"/>
        <v>0</v>
      </c>
      <c r="W10">
        <f t="shared" si="3"/>
        <v>0</v>
      </c>
      <c r="X10">
        <f t="shared" si="3"/>
        <v>0</v>
      </c>
      <c r="Y10">
        <f t="shared" si="3"/>
        <v>0</v>
      </c>
      <c r="Z10">
        <f t="shared" si="3"/>
        <v>0</v>
      </c>
      <c r="AA10">
        <f t="shared" si="3"/>
        <v>0</v>
      </c>
      <c r="AB10">
        <f t="shared" si="3"/>
        <v>0</v>
      </c>
      <c r="AC10">
        <f t="shared" si="3"/>
        <v>0</v>
      </c>
      <c r="AD10">
        <f t="shared" si="3"/>
        <v>0</v>
      </c>
      <c r="AE10">
        <f t="shared" si="3"/>
        <v>0</v>
      </c>
      <c r="AF10">
        <f t="shared" si="3"/>
        <v>0</v>
      </c>
      <c r="AG10">
        <f t="shared" si="3"/>
        <v>0</v>
      </c>
      <c r="AH10">
        <f t="shared" si="3"/>
        <v>0</v>
      </c>
      <c r="AI10">
        <f t="shared" si="3"/>
        <v>0</v>
      </c>
      <c r="AJ10">
        <f t="shared" si="3"/>
        <v>0</v>
      </c>
      <c r="AK10">
        <f t="shared" si="3"/>
        <v>0</v>
      </c>
      <c r="AL10">
        <f t="shared" si="3"/>
        <v>0</v>
      </c>
      <c r="AM10">
        <f t="shared" si="3"/>
        <v>0</v>
      </c>
      <c r="AN10">
        <f t="shared" si="3"/>
        <v>0</v>
      </c>
      <c r="AO10">
        <f t="shared" si="3"/>
        <v>0</v>
      </c>
      <c r="AP10">
        <f t="shared" si="3"/>
        <v>0</v>
      </c>
      <c r="AQ10">
        <f t="shared" si="3"/>
        <v>0</v>
      </c>
      <c r="AR10">
        <f t="shared" si="3"/>
        <v>0</v>
      </c>
    </row>
    <row r="11" spans="1:44" x14ac:dyDescent="0.2">
      <c r="A11">
        <f t="shared" si="8"/>
        <v>5.4499999999999984</v>
      </c>
      <c r="B11" s="1">
        <f t="shared" ca="1" si="4"/>
        <v>0</v>
      </c>
      <c r="C11" s="1">
        <f t="array" aca="1" ref="C11" ca="1">INDIRECT(ADDRESS(5,$D11,1,FALSE),FALSE)</f>
        <v>0</v>
      </c>
      <c r="D11">
        <f t="shared" si="9"/>
        <v>13</v>
      </c>
      <c r="E11" s="1">
        <f>moment_rate!$AC11</f>
        <v>7.4493433161470389E-3</v>
      </c>
      <c r="F11" s="1">
        <f t="shared" si="5"/>
        <v>0</v>
      </c>
      <c r="G11">
        <f>moment_rate!I11-0.005</f>
        <v>4.0000000000000008E-2</v>
      </c>
      <c r="H11" s="1">
        <f t="shared" si="6"/>
        <v>0</v>
      </c>
      <c r="I11">
        <f t="shared" si="7"/>
        <v>0</v>
      </c>
      <c r="J11">
        <f t="shared" si="3"/>
        <v>0</v>
      </c>
      <c r="K11">
        <f t="shared" si="3"/>
        <v>0</v>
      </c>
      <c r="L11">
        <f t="shared" si="3"/>
        <v>0</v>
      </c>
      <c r="M11">
        <f t="shared" si="3"/>
        <v>0</v>
      </c>
      <c r="N11">
        <f t="shared" si="3"/>
        <v>0</v>
      </c>
      <c r="O11">
        <f t="shared" si="3"/>
        <v>0</v>
      </c>
      <c r="P11">
        <f t="shared" si="3"/>
        <v>0</v>
      </c>
      <c r="Q11">
        <f t="shared" si="3"/>
        <v>0</v>
      </c>
      <c r="R11">
        <f t="shared" si="3"/>
        <v>0</v>
      </c>
      <c r="S11">
        <f t="shared" si="3"/>
        <v>0</v>
      </c>
      <c r="T11">
        <f t="shared" si="3"/>
        <v>0</v>
      </c>
      <c r="U11">
        <f t="shared" si="3"/>
        <v>0</v>
      </c>
      <c r="V11">
        <f t="shared" si="3"/>
        <v>0</v>
      </c>
      <c r="W11">
        <f t="shared" si="3"/>
        <v>0</v>
      </c>
      <c r="X11">
        <f t="shared" si="3"/>
        <v>0</v>
      </c>
      <c r="Y11">
        <f t="shared" si="3"/>
        <v>0</v>
      </c>
      <c r="Z11">
        <f t="shared" si="3"/>
        <v>0</v>
      </c>
      <c r="AA11">
        <f t="shared" si="3"/>
        <v>0</v>
      </c>
      <c r="AB11">
        <f t="shared" si="3"/>
        <v>0</v>
      </c>
      <c r="AC11">
        <f t="shared" si="3"/>
        <v>0</v>
      </c>
      <c r="AD11">
        <f t="shared" si="3"/>
        <v>0</v>
      </c>
      <c r="AE11">
        <f t="shared" si="3"/>
        <v>0</v>
      </c>
      <c r="AF11">
        <f t="shared" si="3"/>
        <v>0</v>
      </c>
      <c r="AG11">
        <f t="shared" si="3"/>
        <v>0</v>
      </c>
      <c r="AH11">
        <f t="shared" si="3"/>
        <v>0</v>
      </c>
      <c r="AI11">
        <f t="shared" si="3"/>
        <v>0</v>
      </c>
      <c r="AJ11">
        <f t="shared" si="3"/>
        <v>0</v>
      </c>
      <c r="AK11">
        <f t="shared" si="3"/>
        <v>0</v>
      </c>
      <c r="AL11">
        <f t="shared" si="3"/>
        <v>0</v>
      </c>
      <c r="AM11">
        <f t="shared" si="3"/>
        <v>0</v>
      </c>
      <c r="AN11">
        <f t="shared" si="3"/>
        <v>0</v>
      </c>
      <c r="AO11">
        <f t="shared" si="3"/>
        <v>0</v>
      </c>
      <c r="AP11">
        <f t="shared" si="3"/>
        <v>0</v>
      </c>
      <c r="AQ11">
        <f t="shared" si="3"/>
        <v>0</v>
      </c>
      <c r="AR11">
        <f t="shared" si="3"/>
        <v>0</v>
      </c>
    </row>
    <row r="12" spans="1:44" x14ac:dyDescent="0.2">
      <c r="A12">
        <f t="shared" si="8"/>
        <v>5.549999999999998</v>
      </c>
      <c r="B12" s="1">
        <f t="shared" ca="1" si="4"/>
        <v>0</v>
      </c>
      <c r="C12" s="1">
        <f t="array" aca="1" ref="C12" ca="1">INDIRECT(ADDRESS(5,$D12,1,FALSE),FALSE)</f>
        <v>0</v>
      </c>
      <c r="D12">
        <f t="shared" si="9"/>
        <v>14</v>
      </c>
      <c r="E12" s="1">
        <f>moment_rate!$AC12</f>
        <v>7.4493433161470389E-3</v>
      </c>
      <c r="F12" s="1">
        <f t="shared" si="5"/>
        <v>0</v>
      </c>
      <c r="G12">
        <f>moment_rate!I12-0.005</f>
        <v>5.000000000000001E-2</v>
      </c>
      <c r="H12" s="1">
        <f t="shared" si="6"/>
        <v>0</v>
      </c>
      <c r="I12">
        <f t="shared" si="7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  <c r="AL12">
        <f t="shared" si="3"/>
        <v>0</v>
      </c>
      <c r="AM12">
        <f t="shared" si="3"/>
        <v>0</v>
      </c>
      <c r="AN12">
        <f t="shared" si="3"/>
        <v>0</v>
      </c>
      <c r="AO12">
        <f t="shared" si="3"/>
        <v>0</v>
      </c>
      <c r="AP12">
        <f t="shared" si="3"/>
        <v>0</v>
      </c>
      <c r="AQ12">
        <f t="shared" si="3"/>
        <v>0</v>
      </c>
      <c r="AR12">
        <f t="shared" si="3"/>
        <v>0</v>
      </c>
    </row>
    <row r="13" spans="1:44" x14ac:dyDescent="0.2">
      <c r="A13">
        <f t="shared" si="8"/>
        <v>5.6499999999999977</v>
      </c>
      <c r="B13" s="1">
        <f t="shared" ca="1" si="4"/>
        <v>0</v>
      </c>
      <c r="C13" s="1">
        <f t="array" aca="1" ref="C13" ca="1">INDIRECT(ADDRESS(5,$D13,1,FALSE),FALSE)</f>
        <v>0</v>
      </c>
      <c r="D13">
        <f t="shared" si="9"/>
        <v>15</v>
      </c>
      <c r="E13" s="1">
        <f>moment_rate!$AC13</f>
        <v>7.4493433161470389E-3</v>
      </c>
      <c r="F13" s="1">
        <f t="shared" si="5"/>
        <v>0</v>
      </c>
      <c r="G13">
        <f>moment_rate!I13-0.005</f>
        <v>6.0000000000000005E-2</v>
      </c>
      <c r="H13" s="1">
        <f t="shared" si="6"/>
        <v>0</v>
      </c>
      <c r="I13">
        <f t="shared" si="7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  <c r="AL13">
        <f t="shared" si="3"/>
        <v>0</v>
      </c>
      <c r="AM13">
        <f t="shared" si="3"/>
        <v>0</v>
      </c>
      <c r="AN13">
        <f t="shared" si="3"/>
        <v>0</v>
      </c>
      <c r="AO13">
        <f t="shared" si="3"/>
        <v>0</v>
      </c>
      <c r="AP13">
        <f t="shared" si="3"/>
        <v>0</v>
      </c>
      <c r="AQ13">
        <f t="shared" si="3"/>
        <v>0</v>
      </c>
      <c r="AR13">
        <f t="shared" si="3"/>
        <v>0</v>
      </c>
    </row>
    <row r="14" spans="1:44" x14ac:dyDescent="0.2">
      <c r="A14">
        <f t="shared" si="8"/>
        <v>5.7499999999999973</v>
      </c>
      <c r="B14" s="1">
        <f t="shared" ca="1" si="4"/>
        <v>0</v>
      </c>
      <c r="C14" s="1">
        <f t="array" aca="1" ref="C14" ca="1">INDIRECT(ADDRESS(5,$D14,1,FALSE),FALSE)</f>
        <v>0</v>
      </c>
      <c r="D14">
        <f t="shared" si="9"/>
        <v>16</v>
      </c>
      <c r="E14" s="1">
        <f>moment_rate!$AC14</f>
        <v>7.4493433161470389E-3</v>
      </c>
      <c r="F14" s="1">
        <f t="shared" si="5"/>
        <v>0</v>
      </c>
      <c r="G14">
        <f>moment_rate!I14-0.005</f>
        <v>6.9999999999999993E-2</v>
      </c>
      <c r="H14" s="1">
        <f t="shared" si="6"/>
        <v>0</v>
      </c>
      <c r="I14">
        <f t="shared" si="7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ref="T14:AI29" si="10">IF(AND($G14&gt;=T$3,$G14&lt;T$4),$F14,0)</f>
        <v>0</v>
      </c>
      <c r="U14">
        <f t="shared" si="10"/>
        <v>0</v>
      </c>
      <c r="V14">
        <f t="shared" si="10"/>
        <v>0</v>
      </c>
      <c r="W14">
        <f t="shared" si="10"/>
        <v>0</v>
      </c>
      <c r="X14">
        <f t="shared" si="10"/>
        <v>0</v>
      </c>
      <c r="Y14">
        <f t="shared" si="10"/>
        <v>0</v>
      </c>
      <c r="Z14">
        <f t="shared" si="10"/>
        <v>0</v>
      </c>
      <c r="AA14">
        <f t="shared" si="10"/>
        <v>0</v>
      </c>
      <c r="AB14">
        <f t="shared" si="10"/>
        <v>0</v>
      </c>
      <c r="AC14">
        <f t="shared" si="10"/>
        <v>0</v>
      </c>
      <c r="AD14">
        <f t="shared" si="10"/>
        <v>0</v>
      </c>
      <c r="AE14">
        <f t="shared" si="10"/>
        <v>0</v>
      </c>
      <c r="AF14">
        <f t="shared" si="10"/>
        <v>0</v>
      </c>
      <c r="AG14">
        <f t="shared" si="10"/>
        <v>0</v>
      </c>
      <c r="AH14">
        <f t="shared" si="10"/>
        <v>0</v>
      </c>
      <c r="AI14">
        <f t="shared" si="10"/>
        <v>0</v>
      </c>
      <c r="AJ14">
        <f t="shared" ref="AJ14:AR44" si="11">IF(AND($G14&gt;=AJ$3,$G14&lt;AJ$4),$F14,0)</f>
        <v>0</v>
      </c>
      <c r="AK14">
        <f t="shared" si="11"/>
        <v>0</v>
      </c>
      <c r="AL14">
        <f t="shared" si="11"/>
        <v>0</v>
      </c>
      <c r="AM14">
        <f t="shared" si="11"/>
        <v>0</v>
      </c>
      <c r="AN14">
        <f t="shared" si="11"/>
        <v>0</v>
      </c>
      <c r="AO14">
        <f t="shared" si="11"/>
        <v>0</v>
      </c>
      <c r="AP14">
        <f t="shared" si="11"/>
        <v>0</v>
      </c>
      <c r="AQ14">
        <f t="shared" si="11"/>
        <v>0</v>
      </c>
      <c r="AR14">
        <f t="shared" si="11"/>
        <v>0</v>
      </c>
    </row>
    <row r="15" spans="1:44" x14ac:dyDescent="0.2">
      <c r="A15">
        <f t="shared" si="8"/>
        <v>5.849999999999997</v>
      </c>
      <c r="B15" s="1">
        <f t="shared" ca="1" si="4"/>
        <v>0</v>
      </c>
      <c r="C15" s="1">
        <f t="array" aca="1" ref="C15" ca="1">INDIRECT(ADDRESS(5,$D15,1,FALSE),FALSE)</f>
        <v>0</v>
      </c>
      <c r="D15">
        <f t="shared" si="9"/>
        <v>17</v>
      </c>
      <c r="E15" s="1">
        <f>moment_rate!$AC15</f>
        <v>7.4493433161470389E-3</v>
      </c>
      <c r="F15" s="1">
        <f t="shared" si="5"/>
        <v>0</v>
      </c>
      <c r="G15">
        <f>moment_rate!I15-0.005</f>
        <v>7.9999999999999988E-2</v>
      </c>
      <c r="H15" s="1">
        <f t="shared" si="6"/>
        <v>0</v>
      </c>
      <c r="I15">
        <f t="shared" si="7"/>
        <v>0</v>
      </c>
      <c r="J15">
        <f t="shared" si="7"/>
        <v>0</v>
      </c>
      <c r="K15">
        <f t="shared" si="7"/>
        <v>0</v>
      </c>
      <c r="L15">
        <f t="shared" si="7"/>
        <v>0</v>
      </c>
      <c r="M15">
        <f t="shared" si="7"/>
        <v>0</v>
      </c>
      <c r="N15">
        <f t="shared" si="7"/>
        <v>0</v>
      </c>
      <c r="O15">
        <f t="shared" si="7"/>
        <v>0</v>
      </c>
      <c r="P15">
        <f t="shared" si="7"/>
        <v>0</v>
      </c>
      <c r="Q15">
        <f t="shared" si="7"/>
        <v>0</v>
      </c>
      <c r="R15">
        <f t="shared" si="7"/>
        <v>0</v>
      </c>
      <c r="S15">
        <f t="shared" si="7"/>
        <v>0</v>
      </c>
      <c r="T15">
        <f t="shared" si="7"/>
        <v>0</v>
      </c>
      <c r="U15">
        <f t="shared" si="7"/>
        <v>0</v>
      </c>
      <c r="V15">
        <f t="shared" si="7"/>
        <v>0</v>
      </c>
      <c r="W15">
        <f t="shared" si="7"/>
        <v>0</v>
      </c>
      <c r="X15">
        <f t="shared" si="7"/>
        <v>0</v>
      </c>
      <c r="Y15">
        <f t="shared" si="10"/>
        <v>0</v>
      </c>
      <c r="Z15">
        <f t="shared" si="10"/>
        <v>0</v>
      </c>
      <c r="AA15">
        <f t="shared" si="10"/>
        <v>0</v>
      </c>
      <c r="AB15">
        <f t="shared" si="10"/>
        <v>0</v>
      </c>
      <c r="AC15">
        <f t="shared" si="10"/>
        <v>0</v>
      </c>
      <c r="AD15">
        <f t="shared" si="10"/>
        <v>0</v>
      </c>
      <c r="AE15">
        <f t="shared" si="10"/>
        <v>0</v>
      </c>
      <c r="AF15">
        <f t="shared" si="10"/>
        <v>0</v>
      </c>
      <c r="AG15">
        <f t="shared" si="10"/>
        <v>0</v>
      </c>
      <c r="AH15">
        <f t="shared" si="10"/>
        <v>0</v>
      </c>
      <c r="AI15">
        <f t="shared" si="10"/>
        <v>0</v>
      </c>
      <c r="AJ15">
        <f t="shared" si="11"/>
        <v>0</v>
      </c>
      <c r="AK15">
        <f t="shared" si="11"/>
        <v>0</v>
      </c>
      <c r="AL15">
        <f t="shared" si="11"/>
        <v>0</v>
      </c>
      <c r="AM15">
        <f t="shared" si="11"/>
        <v>0</v>
      </c>
      <c r="AN15">
        <f t="shared" si="11"/>
        <v>0</v>
      </c>
      <c r="AO15">
        <f t="shared" si="11"/>
        <v>0</v>
      </c>
      <c r="AP15">
        <f t="shared" si="11"/>
        <v>0</v>
      </c>
      <c r="AQ15">
        <f t="shared" si="11"/>
        <v>0</v>
      </c>
      <c r="AR15">
        <f t="shared" si="11"/>
        <v>0</v>
      </c>
    </row>
    <row r="16" spans="1:44" x14ac:dyDescent="0.2">
      <c r="A16">
        <f t="shared" si="8"/>
        <v>5.9499999999999966</v>
      </c>
      <c r="B16" s="1">
        <f t="shared" ca="1" si="4"/>
        <v>0</v>
      </c>
      <c r="C16" s="1">
        <f t="array" aca="1" ref="C16" ca="1">INDIRECT(ADDRESS(5,$D16,1,FALSE),FALSE)</f>
        <v>0</v>
      </c>
      <c r="D16">
        <f t="shared" si="9"/>
        <v>18</v>
      </c>
      <c r="E16" s="1">
        <f>moment_rate!$AC16</f>
        <v>7.4493433161470389E-3</v>
      </c>
      <c r="F16" s="1">
        <f t="shared" si="5"/>
        <v>0</v>
      </c>
      <c r="G16">
        <f>moment_rate!I16-0.005</f>
        <v>8.9999999999999983E-2</v>
      </c>
      <c r="H16" s="1">
        <f t="shared" si="6"/>
        <v>0</v>
      </c>
      <c r="I16">
        <f t="shared" si="7"/>
        <v>0</v>
      </c>
      <c r="J16">
        <f t="shared" si="7"/>
        <v>0</v>
      </c>
      <c r="K16">
        <f t="shared" si="7"/>
        <v>0</v>
      </c>
      <c r="L16">
        <f t="shared" si="7"/>
        <v>0</v>
      </c>
      <c r="M16">
        <f t="shared" si="7"/>
        <v>0</v>
      </c>
      <c r="N16">
        <f t="shared" si="7"/>
        <v>0</v>
      </c>
      <c r="O16">
        <f t="shared" si="7"/>
        <v>0</v>
      </c>
      <c r="P16">
        <f t="shared" si="7"/>
        <v>0</v>
      </c>
      <c r="Q16">
        <f t="shared" si="7"/>
        <v>0</v>
      </c>
      <c r="R16">
        <f t="shared" si="7"/>
        <v>0</v>
      </c>
      <c r="S16">
        <f t="shared" si="7"/>
        <v>0</v>
      </c>
      <c r="T16">
        <f t="shared" si="7"/>
        <v>0</v>
      </c>
      <c r="U16">
        <f t="shared" si="7"/>
        <v>0</v>
      </c>
      <c r="V16">
        <f t="shared" si="7"/>
        <v>0</v>
      </c>
      <c r="W16">
        <f t="shared" si="7"/>
        <v>0</v>
      </c>
      <c r="X16">
        <f t="shared" si="7"/>
        <v>0</v>
      </c>
      <c r="Y16">
        <f t="shared" si="10"/>
        <v>0</v>
      </c>
      <c r="Z16">
        <f t="shared" si="10"/>
        <v>0</v>
      </c>
      <c r="AA16">
        <f t="shared" si="10"/>
        <v>0</v>
      </c>
      <c r="AB16">
        <f t="shared" si="10"/>
        <v>0</v>
      </c>
      <c r="AC16">
        <f t="shared" si="10"/>
        <v>0</v>
      </c>
      <c r="AD16">
        <f t="shared" si="10"/>
        <v>0</v>
      </c>
      <c r="AE16">
        <f t="shared" si="10"/>
        <v>0</v>
      </c>
      <c r="AF16">
        <f t="shared" si="10"/>
        <v>0</v>
      </c>
      <c r="AG16">
        <f t="shared" si="10"/>
        <v>0</v>
      </c>
      <c r="AH16">
        <f t="shared" si="10"/>
        <v>0</v>
      </c>
      <c r="AI16">
        <f t="shared" si="10"/>
        <v>0</v>
      </c>
      <c r="AJ16">
        <f t="shared" si="11"/>
        <v>0</v>
      </c>
      <c r="AK16">
        <f t="shared" si="11"/>
        <v>0</v>
      </c>
      <c r="AL16">
        <f t="shared" si="11"/>
        <v>0</v>
      </c>
      <c r="AM16">
        <f t="shared" si="11"/>
        <v>0</v>
      </c>
      <c r="AN16">
        <f t="shared" si="11"/>
        <v>0</v>
      </c>
      <c r="AO16">
        <f t="shared" si="11"/>
        <v>0</v>
      </c>
      <c r="AP16">
        <f t="shared" si="11"/>
        <v>0</v>
      </c>
      <c r="AQ16">
        <f t="shared" si="11"/>
        <v>0</v>
      </c>
      <c r="AR16">
        <f t="shared" si="11"/>
        <v>0</v>
      </c>
    </row>
    <row r="17" spans="1:44" x14ac:dyDescent="0.2">
      <c r="A17">
        <f t="shared" si="8"/>
        <v>6.0499999999999963</v>
      </c>
      <c r="B17" s="1">
        <f t="shared" ca="1" si="4"/>
        <v>0</v>
      </c>
      <c r="C17" s="1">
        <f t="array" aca="1" ref="C17" ca="1">INDIRECT(ADDRESS(5,$D17,1,FALSE),FALSE)</f>
        <v>0</v>
      </c>
      <c r="D17">
        <f t="shared" si="9"/>
        <v>19</v>
      </c>
      <c r="E17" s="1">
        <f>moment_rate!$AC17</f>
        <v>7.4493433161470389E-3</v>
      </c>
      <c r="F17" s="1">
        <f t="shared" si="5"/>
        <v>0</v>
      </c>
      <c r="G17">
        <f>moment_rate!I17-0.005</f>
        <v>9.9999999999999978E-2</v>
      </c>
      <c r="H17" s="1">
        <f t="shared" si="6"/>
        <v>0</v>
      </c>
      <c r="I17">
        <f t="shared" si="7"/>
        <v>0</v>
      </c>
      <c r="J17">
        <f t="shared" si="7"/>
        <v>0</v>
      </c>
      <c r="K17">
        <f t="shared" si="7"/>
        <v>0</v>
      </c>
      <c r="L17">
        <f t="shared" si="7"/>
        <v>0</v>
      </c>
      <c r="M17">
        <f t="shared" si="7"/>
        <v>0</v>
      </c>
      <c r="N17">
        <f t="shared" si="7"/>
        <v>0</v>
      </c>
      <c r="O17">
        <f t="shared" si="7"/>
        <v>0</v>
      </c>
      <c r="P17">
        <f t="shared" si="7"/>
        <v>0</v>
      </c>
      <c r="Q17">
        <f t="shared" si="7"/>
        <v>0</v>
      </c>
      <c r="R17">
        <f t="shared" si="7"/>
        <v>0</v>
      </c>
      <c r="S17">
        <f t="shared" si="7"/>
        <v>0</v>
      </c>
      <c r="T17">
        <f t="shared" si="7"/>
        <v>0</v>
      </c>
      <c r="U17">
        <f t="shared" si="7"/>
        <v>0</v>
      </c>
      <c r="V17">
        <f t="shared" si="7"/>
        <v>0</v>
      </c>
      <c r="W17">
        <f t="shared" si="7"/>
        <v>0</v>
      </c>
      <c r="X17">
        <f t="shared" si="7"/>
        <v>0</v>
      </c>
      <c r="Y17">
        <f t="shared" si="10"/>
        <v>0</v>
      </c>
      <c r="Z17">
        <f t="shared" si="10"/>
        <v>0</v>
      </c>
      <c r="AA17">
        <f t="shared" si="10"/>
        <v>0</v>
      </c>
      <c r="AB17">
        <f t="shared" si="10"/>
        <v>0</v>
      </c>
      <c r="AC17">
        <f t="shared" si="10"/>
        <v>0</v>
      </c>
      <c r="AD17">
        <f t="shared" si="10"/>
        <v>0</v>
      </c>
      <c r="AE17">
        <f t="shared" si="10"/>
        <v>0</v>
      </c>
      <c r="AF17">
        <f t="shared" si="10"/>
        <v>0</v>
      </c>
      <c r="AG17">
        <f t="shared" si="10"/>
        <v>0</v>
      </c>
      <c r="AH17">
        <f t="shared" si="10"/>
        <v>0</v>
      </c>
      <c r="AI17">
        <f t="shared" si="10"/>
        <v>0</v>
      </c>
      <c r="AJ17">
        <f t="shared" si="11"/>
        <v>0</v>
      </c>
      <c r="AK17">
        <f t="shared" si="11"/>
        <v>0</v>
      </c>
      <c r="AL17">
        <f t="shared" si="11"/>
        <v>0</v>
      </c>
      <c r="AM17">
        <f t="shared" si="11"/>
        <v>0</v>
      </c>
      <c r="AN17">
        <f t="shared" si="11"/>
        <v>0</v>
      </c>
      <c r="AO17">
        <f t="shared" si="11"/>
        <v>0</v>
      </c>
      <c r="AP17">
        <f t="shared" si="11"/>
        <v>0</v>
      </c>
      <c r="AQ17">
        <f t="shared" si="11"/>
        <v>0</v>
      </c>
      <c r="AR17">
        <f t="shared" si="11"/>
        <v>0</v>
      </c>
    </row>
    <row r="18" spans="1:44" x14ac:dyDescent="0.2">
      <c r="A18">
        <f t="shared" si="8"/>
        <v>6.1499999999999959</v>
      </c>
      <c r="B18" s="1">
        <f t="shared" ca="1" si="4"/>
        <v>0</v>
      </c>
      <c r="C18" s="1">
        <f t="array" aca="1" ref="C18" ca="1">INDIRECT(ADDRESS(5,$D18,1,FALSE),FALSE)</f>
        <v>0</v>
      </c>
      <c r="D18">
        <f t="shared" si="9"/>
        <v>20</v>
      </c>
      <c r="E18" s="1">
        <f>moment_rate!$AC18</f>
        <v>7.4493433161470389E-3</v>
      </c>
      <c r="F18" s="1">
        <f t="shared" si="5"/>
        <v>0</v>
      </c>
      <c r="G18">
        <f>moment_rate!I18-0.005</f>
        <v>0.10999999999999997</v>
      </c>
      <c r="H18" s="1">
        <f t="shared" si="6"/>
        <v>0</v>
      </c>
      <c r="I18">
        <f t="shared" si="7"/>
        <v>0</v>
      </c>
      <c r="J18">
        <f t="shared" si="7"/>
        <v>0</v>
      </c>
      <c r="K18">
        <f t="shared" si="7"/>
        <v>0</v>
      </c>
      <c r="L18">
        <f t="shared" si="7"/>
        <v>0</v>
      </c>
      <c r="M18">
        <f t="shared" si="7"/>
        <v>0</v>
      </c>
      <c r="N18">
        <f t="shared" si="7"/>
        <v>0</v>
      </c>
      <c r="O18">
        <f t="shared" si="7"/>
        <v>0</v>
      </c>
      <c r="P18">
        <f t="shared" si="7"/>
        <v>0</v>
      </c>
      <c r="Q18">
        <f t="shared" si="7"/>
        <v>0</v>
      </c>
      <c r="R18">
        <f t="shared" si="7"/>
        <v>0</v>
      </c>
      <c r="S18">
        <f t="shared" si="7"/>
        <v>0</v>
      </c>
      <c r="T18">
        <f t="shared" si="7"/>
        <v>0</v>
      </c>
      <c r="U18">
        <f t="shared" si="7"/>
        <v>0</v>
      </c>
      <c r="V18">
        <f t="shared" si="7"/>
        <v>0</v>
      </c>
      <c r="W18">
        <f t="shared" si="7"/>
        <v>0</v>
      </c>
      <c r="X18">
        <f t="shared" si="7"/>
        <v>0</v>
      </c>
      <c r="Y18">
        <f t="shared" si="10"/>
        <v>0</v>
      </c>
      <c r="Z18">
        <f t="shared" si="10"/>
        <v>0</v>
      </c>
      <c r="AA18">
        <f t="shared" si="10"/>
        <v>0</v>
      </c>
      <c r="AB18">
        <f t="shared" si="10"/>
        <v>0</v>
      </c>
      <c r="AC18">
        <f t="shared" si="10"/>
        <v>0</v>
      </c>
      <c r="AD18">
        <f t="shared" si="10"/>
        <v>0</v>
      </c>
      <c r="AE18">
        <f t="shared" si="10"/>
        <v>0</v>
      </c>
      <c r="AF18">
        <f t="shared" si="10"/>
        <v>0</v>
      </c>
      <c r="AG18">
        <f t="shared" si="10"/>
        <v>0</v>
      </c>
      <c r="AH18">
        <f t="shared" si="10"/>
        <v>0</v>
      </c>
      <c r="AI18">
        <f t="shared" si="10"/>
        <v>0</v>
      </c>
      <c r="AJ18">
        <f t="shared" si="11"/>
        <v>0</v>
      </c>
      <c r="AK18">
        <f t="shared" si="11"/>
        <v>0</v>
      </c>
      <c r="AL18">
        <f t="shared" si="11"/>
        <v>0</v>
      </c>
      <c r="AM18">
        <f t="shared" si="11"/>
        <v>0</v>
      </c>
      <c r="AN18">
        <f t="shared" si="11"/>
        <v>0</v>
      </c>
      <c r="AO18">
        <f t="shared" si="11"/>
        <v>0</v>
      </c>
      <c r="AP18">
        <f t="shared" si="11"/>
        <v>0</v>
      </c>
      <c r="AQ18">
        <f t="shared" si="11"/>
        <v>0</v>
      </c>
      <c r="AR18">
        <f t="shared" si="11"/>
        <v>0</v>
      </c>
    </row>
    <row r="19" spans="1:44" x14ac:dyDescent="0.2">
      <c r="A19">
        <f t="shared" si="8"/>
        <v>6.2499999999999956</v>
      </c>
      <c r="B19" s="1">
        <f t="shared" ca="1" si="4"/>
        <v>0</v>
      </c>
      <c r="C19" s="1">
        <f t="array" aca="1" ref="C19" ca="1">INDIRECT(ADDRESS(5,$D19,1,FALSE),FALSE)</f>
        <v>0</v>
      </c>
      <c r="D19">
        <f t="shared" si="9"/>
        <v>21</v>
      </c>
      <c r="E19" s="1">
        <f>moment_rate!$AC19</f>
        <v>7.4493433161470389E-3</v>
      </c>
      <c r="F19" s="1">
        <f t="shared" si="5"/>
        <v>0</v>
      </c>
      <c r="G19">
        <f>moment_rate!I19-0.005</f>
        <v>0.11999999999999997</v>
      </c>
      <c r="H19" s="1">
        <f t="shared" si="6"/>
        <v>0</v>
      </c>
      <c r="I19">
        <f t="shared" si="7"/>
        <v>0</v>
      </c>
      <c r="J19">
        <f t="shared" si="7"/>
        <v>0</v>
      </c>
      <c r="K19">
        <f t="shared" si="7"/>
        <v>0</v>
      </c>
      <c r="L19">
        <f t="shared" si="7"/>
        <v>0</v>
      </c>
      <c r="M19">
        <f t="shared" si="7"/>
        <v>0</v>
      </c>
      <c r="N19">
        <f t="shared" si="7"/>
        <v>0</v>
      </c>
      <c r="O19">
        <f t="shared" si="7"/>
        <v>0</v>
      </c>
      <c r="P19">
        <f t="shared" si="7"/>
        <v>0</v>
      </c>
      <c r="Q19">
        <f t="shared" si="7"/>
        <v>0</v>
      </c>
      <c r="R19">
        <f t="shared" si="7"/>
        <v>0</v>
      </c>
      <c r="S19">
        <f t="shared" si="7"/>
        <v>0</v>
      </c>
      <c r="T19">
        <f t="shared" si="7"/>
        <v>0</v>
      </c>
      <c r="U19">
        <f t="shared" si="7"/>
        <v>0</v>
      </c>
      <c r="V19">
        <f t="shared" si="7"/>
        <v>0</v>
      </c>
      <c r="W19">
        <f t="shared" si="7"/>
        <v>0</v>
      </c>
      <c r="X19">
        <f t="shared" si="7"/>
        <v>0</v>
      </c>
      <c r="Y19">
        <f t="shared" si="10"/>
        <v>0</v>
      </c>
      <c r="Z19">
        <f t="shared" si="10"/>
        <v>0</v>
      </c>
      <c r="AA19">
        <f t="shared" si="10"/>
        <v>0</v>
      </c>
      <c r="AB19">
        <f t="shared" si="10"/>
        <v>0</v>
      </c>
      <c r="AC19">
        <f t="shared" si="10"/>
        <v>0</v>
      </c>
      <c r="AD19">
        <f t="shared" si="10"/>
        <v>0</v>
      </c>
      <c r="AE19">
        <f t="shared" si="10"/>
        <v>0</v>
      </c>
      <c r="AF19">
        <f t="shared" si="10"/>
        <v>0</v>
      </c>
      <c r="AG19">
        <f t="shared" si="10"/>
        <v>0</v>
      </c>
      <c r="AH19">
        <f t="shared" si="10"/>
        <v>0</v>
      </c>
      <c r="AI19">
        <f t="shared" si="10"/>
        <v>0</v>
      </c>
      <c r="AJ19">
        <f t="shared" si="11"/>
        <v>0</v>
      </c>
      <c r="AK19">
        <f t="shared" si="11"/>
        <v>0</v>
      </c>
      <c r="AL19">
        <f t="shared" si="11"/>
        <v>0</v>
      </c>
      <c r="AM19">
        <f t="shared" si="11"/>
        <v>0</v>
      </c>
      <c r="AN19">
        <f t="shared" si="11"/>
        <v>0</v>
      </c>
      <c r="AO19">
        <f t="shared" si="11"/>
        <v>0</v>
      </c>
      <c r="AP19">
        <f t="shared" si="11"/>
        <v>0</v>
      </c>
      <c r="AQ19">
        <f t="shared" si="11"/>
        <v>0</v>
      </c>
      <c r="AR19">
        <f t="shared" si="11"/>
        <v>0</v>
      </c>
    </row>
    <row r="20" spans="1:44" x14ac:dyDescent="0.2">
      <c r="A20">
        <f t="shared" si="8"/>
        <v>6.3499999999999952</v>
      </c>
      <c r="B20" s="1">
        <f t="shared" ca="1" si="4"/>
        <v>0</v>
      </c>
      <c r="C20" s="1">
        <f t="array" aca="1" ref="C20" ca="1">INDIRECT(ADDRESS(5,$D20,1,FALSE),FALSE)</f>
        <v>0</v>
      </c>
      <c r="D20">
        <f t="shared" si="9"/>
        <v>22</v>
      </c>
      <c r="E20" s="1">
        <f>moment_rate!$AC20</f>
        <v>7.4493433161470389E-3</v>
      </c>
      <c r="F20" s="1">
        <f t="shared" si="5"/>
        <v>0</v>
      </c>
      <c r="G20">
        <f>moment_rate!I20-0.005</f>
        <v>0.12999999999999998</v>
      </c>
      <c r="H20" s="1">
        <f t="shared" si="6"/>
        <v>0</v>
      </c>
      <c r="I20">
        <f t="shared" si="7"/>
        <v>0</v>
      </c>
      <c r="J20">
        <f t="shared" si="7"/>
        <v>0</v>
      </c>
      <c r="K20">
        <f t="shared" si="7"/>
        <v>0</v>
      </c>
      <c r="L20">
        <f t="shared" si="7"/>
        <v>0</v>
      </c>
      <c r="M20">
        <f t="shared" si="7"/>
        <v>0</v>
      </c>
      <c r="N20">
        <f t="shared" si="7"/>
        <v>0</v>
      </c>
      <c r="O20">
        <f t="shared" si="7"/>
        <v>0</v>
      </c>
      <c r="P20">
        <f t="shared" si="7"/>
        <v>0</v>
      </c>
      <c r="Q20">
        <f t="shared" si="7"/>
        <v>0</v>
      </c>
      <c r="R20">
        <f t="shared" si="7"/>
        <v>0</v>
      </c>
      <c r="S20">
        <f t="shared" si="7"/>
        <v>0</v>
      </c>
      <c r="T20">
        <f t="shared" si="7"/>
        <v>0</v>
      </c>
      <c r="U20">
        <f t="shared" si="7"/>
        <v>0</v>
      </c>
      <c r="V20">
        <f t="shared" si="7"/>
        <v>0</v>
      </c>
      <c r="W20">
        <f t="shared" si="7"/>
        <v>0</v>
      </c>
      <c r="X20">
        <f t="shared" si="7"/>
        <v>0</v>
      </c>
      <c r="Y20">
        <f t="shared" si="10"/>
        <v>0</v>
      </c>
      <c r="Z20">
        <f t="shared" si="10"/>
        <v>0</v>
      </c>
      <c r="AA20">
        <f t="shared" si="10"/>
        <v>0</v>
      </c>
      <c r="AB20">
        <f t="shared" si="10"/>
        <v>0</v>
      </c>
      <c r="AC20">
        <f t="shared" si="10"/>
        <v>0</v>
      </c>
      <c r="AD20">
        <f t="shared" si="10"/>
        <v>0</v>
      </c>
      <c r="AE20">
        <f t="shared" si="10"/>
        <v>0</v>
      </c>
      <c r="AF20">
        <f t="shared" si="10"/>
        <v>0</v>
      </c>
      <c r="AG20">
        <f t="shared" si="10"/>
        <v>0</v>
      </c>
      <c r="AH20">
        <f t="shared" si="10"/>
        <v>0</v>
      </c>
      <c r="AI20">
        <f t="shared" si="10"/>
        <v>0</v>
      </c>
      <c r="AJ20">
        <f t="shared" si="11"/>
        <v>0</v>
      </c>
      <c r="AK20">
        <f t="shared" si="11"/>
        <v>0</v>
      </c>
      <c r="AL20">
        <f t="shared" si="11"/>
        <v>0</v>
      </c>
      <c r="AM20">
        <f t="shared" si="11"/>
        <v>0</v>
      </c>
      <c r="AN20">
        <f t="shared" si="11"/>
        <v>0</v>
      </c>
      <c r="AO20">
        <f t="shared" si="11"/>
        <v>0</v>
      </c>
      <c r="AP20">
        <f t="shared" si="11"/>
        <v>0</v>
      </c>
      <c r="AQ20">
        <f t="shared" si="11"/>
        <v>0</v>
      </c>
      <c r="AR20">
        <f t="shared" si="11"/>
        <v>0</v>
      </c>
    </row>
    <row r="21" spans="1:44" x14ac:dyDescent="0.2">
      <c r="A21">
        <f t="shared" si="8"/>
        <v>6.4499999999999948</v>
      </c>
      <c r="B21" s="1">
        <f t="shared" ca="1" si="4"/>
        <v>0</v>
      </c>
      <c r="C21" s="1">
        <f t="array" aca="1" ref="C21" ca="1">INDIRECT(ADDRESS(5,$D21,1,FALSE),FALSE)</f>
        <v>0</v>
      </c>
      <c r="D21">
        <f t="shared" si="9"/>
        <v>23</v>
      </c>
      <c r="E21" s="1">
        <f>moment_rate!$AC21</f>
        <v>7.4493433161470389E-3</v>
      </c>
      <c r="F21" s="1">
        <f t="shared" si="5"/>
        <v>0</v>
      </c>
      <c r="G21">
        <f>moment_rate!I21-0.005</f>
        <v>0.13999999999999999</v>
      </c>
      <c r="H21" s="1">
        <f t="shared" si="6"/>
        <v>0</v>
      </c>
      <c r="I21">
        <f t="shared" si="7"/>
        <v>0</v>
      </c>
      <c r="J21">
        <f t="shared" si="7"/>
        <v>0</v>
      </c>
      <c r="K21">
        <f t="shared" si="7"/>
        <v>0</v>
      </c>
      <c r="L21">
        <f t="shared" si="7"/>
        <v>0</v>
      </c>
      <c r="M21">
        <f t="shared" si="7"/>
        <v>0</v>
      </c>
      <c r="N21">
        <f t="shared" si="7"/>
        <v>0</v>
      </c>
      <c r="O21">
        <f t="shared" si="7"/>
        <v>0</v>
      </c>
      <c r="P21">
        <f t="shared" si="7"/>
        <v>0</v>
      </c>
      <c r="Q21">
        <f t="shared" si="7"/>
        <v>0</v>
      </c>
      <c r="R21">
        <f t="shared" si="7"/>
        <v>0</v>
      </c>
      <c r="S21">
        <f t="shared" si="7"/>
        <v>0</v>
      </c>
      <c r="T21">
        <f t="shared" si="7"/>
        <v>0</v>
      </c>
      <c r="U21">
        <f t="shared" si="7"/>
        <v>0</v>
      </c>
      <c r="V21">
        <f t="shared" si="7"/>
        <v>0</v>
      </c>
      <c r="W21">
        <f t="shared" si="7"/>
        <v>0</v>
      </c>
      <c r="X21">
        <f t="shared" si="7"/>
        <v>0</v>
      </c>
      <c r="Y21">
        <f t="shared" si="10"/>
        <v>0</v>
      </c>
      <c r="Z21">
        <f t="shared" si="10"/>
        <v>0</v>
      </c>
      <c r="AA21">
        <f t="shared" si="10"/>
        <v>0</v>
      </c>
      <c r="AB21">
        <f t="shared" si="10"/>
        <v>0</v>
      </c>
      <c r="AC21">
        <f t="shared" si="10"/>
        <v>0</v>
      </c>
      <c r="AD21">
        <f t="shared" si="10"/>
        <v>0</v>
      </c>
      <c r="AE21">
        <f t="shared" si="10"/>
        <v>0</v>
      </c>
      <c r="AF21">
        <f t="shared" si="10"/>
        <v>0</v>
      </c>
      <c r="AG21">
        <f t="shared" si="10"/>
        <v>0</v>
      </c>
      <c r="AH21">
        <f t="shared" si="10"/>
        <v>0</v>
      </c>
      <c r="AI21">
        <f t="shared" si="10"/>
        <v>0</v>
      </c>
      <c r="AJ21">
        <f t="shared" si="11"/>
        <v>0</v>
      </c>
      <c r="AK21">
        <f t="shared" si="11"/>
        <v>0</v>
      </c>
      <c r="AL21">
        <f t="shared" si="11"/>
        <v>0</v>
      </c>
      <c r="AM21">
        <f t="shared" si="11"/>
        <v>0</v>
      </c>
      <c r="AN21">
        <f t="shared" si="11"/>
        <v>0</v>
      </c>
      <c r="AO21">
        <f t="shared" si="11"/>
        <v>0</v>
      </c>
      <c r="AP21">
        <f t="shared" si="11"/>
        <v>0</v>
      </c>
      <c r="AQ21">
        <f t="shared" si="11"/>
        <v>0</v>
      </c>
      <c r="AR21">
        <f t="shared" si="11"/>
        <v>0</v>
      </c>
    </row>
    <row r="22" spans="1:44" x14ac:dyDescent="0.2">
      <c r="A22">
        <f t="shared" si="8"/>
        <v>6.5499999999999945</v>
      </c>
      <c r="B22" s="1">
        <f t="shared" ca="1" si="4"/>
        <v>2.2141245933451383E-5</v>
      </c>
      <c r="C22" s="1">
        <f t="array" aca="1" ref="C22" ca="1">INDIRECT(ADDRESS(5,$D22,1,FALSE),FALSE)</f>
        <v>2.9722413095740236E-3</v>
      </c>
      <c r="D22">
        <f t="shared" si="9"/>
        <v>24</v>
      </c>
      <c r="E22" s="1">
        <f>moment_rate!$AC22</f>
        <v>7.4493433161470389E-3</v>
      </c>
      <c r="F22" s="1">
        <f t="shared" si="5"/>
        <v>0</v>
      </c>
      <c r="G22">
        <f>moment_rate!I22-0.005</f>
        <v>0.15</v>
      </c>
      <c r="H22" s="1">
        <f t="shared" si="6"/>
        <v>0</v>
      </c>
      <c r="I22">
        <f t="shared" si="7"/>
        <v>0</v>
      </c>
      <c r="J22">
        <f t="shared" si="7"/>
        <v>0</v>
      </c>
      <c r="K22">
        <f t="shared" si="7"/>
        <v>0</v>
      </c>
      <c r="L22">
        <f t="shared" si="7"/>
        <v>0</v>
      </c>
      <c r="M22">
        <f t="shared" si="7"/>
        <v>0</v>
      </c>
      <c r="N22">
        <f t="shared" si="7"/>
        <v>0</v>
      </c>
      <c r="O22">
        <f t="shared" si="7"/>
        <v>0</v>
      </c>
      <c r="P22">
        <f t="shared" si="7"/>
        <v>0</v>
      </c>
      <c r="Q22">
        <f t="shared" si="7"/>
        <v>0</v>
      </c>
      <c r="R22">
        <f t="shared" si="7"/>
        <v>0</v>
      </c>
      <c r="S22">
        <f t="shared" si="7"/>
        <v>0</v>
      </c>
      <c r="T22">
        <f t="shared" si="7"/>
        <v>0</v>
      </c>
      <c r="U22">
        <f t="shared" si="7"/>
        <v>0</v>
      </c>
      <c r="V22">
        <f t="shared" si="7"/>
        <v>0</v>
      </c>
      <c r="W22">
        <f t="shared" si="7"/>
        <v>0</v>
      </c>
      <c r="X22">
        <f t="shared" si="7"/>
        <v>0</v>
      </c>
      <c r="Y22">
        <f t="shared" si="10"/>
        <v>0</v>
      </c>
      <c r="Z22">
        <f t="shared" si="10"/>
        <v>0</v>
      </c>
      <c r="AA22">
        <f t="shared" si="10"/>
        <v>0</v>
      </c>
      <c r="AB22">
        <f t="shared" si="10"/>
        <v>0</v>
      </c>
      <c r="AC22">
        <f t="shared" si="10"/>
        <v>0</v>
      </c>
      <c r="AD22">
        <f t="shared" si="10"/>
        <v>0</v>
      </c>
      <c r="AE22">
        <f t="shared" si="10"/>
        <v>0</v>
      </c>
      <c r="AF22">
        <f t="shared" si="10"/>
        <v>0</v>
      </c>
      <c r="AG22">
        <f t="shared" si="10"/>
        <v>0</v>
      </c>
      <c r="AH22">
        <f t="shared" si="10"/>
        <v>0</v>
      </c>
      <c r="AI22">
        <f t="shared" si="10"/>
        <v>0</v>
      </c>
      <c r="AJ22">
        <f t="shared" si="11"/>
        <v>0</v>
      </c>
      <c r="AK22">
        <f t="shared" si="11"/>
        <v>0</v>
      </c>
      <c r="AL22">
        <f t="shared" si="11"/>
        <v>0</v>
      </c>
      <c r="AM22">
        <f t="shared" si="11"/>
        <v>0</v>
      </c>
      <c r="AN22">
        <f t="shared" si="11"/>
        <v>0</v>
      </c>
      <c r="AO22">
        <f t="shared" si="11"/>
        <v>0</v>
      </c>
      <c r="AP22">
        <f t="shared" si="11"/>
        <v>0</v>
      </c>
      <c r="AQ22">
        <f t="shared" si="11"/>
        <v>0</v>
      </c>
      <c r="AR22">
        <f t="shared" si="11"/>
        <v>0</v>
      </c>
    </row>
    <row r="23" spans="1:44" x14ac:dyDescent="0.2">
      <c r="A23">
        <f t="shared" si="8"/>
        <v>6.6499999999999941</v>
      </c>
      <c r="B23" s="1">
        <f t="shared" ca="1" si="4"/>
        <v>3.7407587287994429E-4</v>
      </c>
      <c r="C23" s="1">
        <f t="array" aca="1" ref="C23" ca="1">INDIRECT(ADDRESS(5,$D23,1,FALSE),FALSE)</f>
        <v>5.0215952870517486E-2</v>
      </c>
      <c r="D23">
        <f t="shared" si="9"/>
        <v>25</v>
      </c>
      <c r="E23" s="1">
        <f>moment_rate!$AC23</f>
        <v>7.4493433161470389E-3</v>
      </c>
      <c r="F23" s="1">
        <f t="shared" si="5"/>
        <v>0</v>
      </c>
      <c r="G23">
        <f>moment_rate!I23-0.005</f>
        <v>0.16</v>
      </c>
      <c r="H23" s="1">
        <f t="shared" si="6"/>
        <v>0</v>
      </c>
      <c r="I23">
        <f t="shared" si="7"/>
        <v>0</v>
      </c>
      <c r="J23">
        <f t="shared" si="7"/>
        <v>0</v>
      </c>
      <c r="K23">
        <f t="shared" si="7"/>
        <v>0</v>
      </c>
      <c r="L23">
        <f t="shared" si="7"/>
        <v>0</v>
      </c>
      <c r="M23">
        <f t="shared" si="7"/>
        <v>0</v>
      </c>
      <c r="N23">
        <f t="shared" si="7"/>
        <v>0</v>
      </c>
      <c r="O23">
        <f t="shared" si="7"/>
        <v>0</v>
      </c>
      <c r="P23">
        <f t="shared" si="7"/>
        <v>0</v>
      </c>
      <c r="Q23">
        <f t="shared" si="7"/>
        <v>0</v>
      </c>
      <c r="R23">
        <f t="shared" si="7"/>
        <v>0</v>
      </c>
      <c r="S23">
        <f t="shared" si="7"/>
        <v>0</v>
      </c>
      <c r="T23">
        <f t="shared" si="7"/>
        <v>0</v>
      </c>
      <c r="U23">
        <f t="shared" si="7"/>
        <v>0</v>
      </c>
      <c r="V23">
        <f t="shared" si="7"/>
        <v>0</v>
      </c>
      <c r="W23">
        <f t="shared" si="7"/>
        <v>0</v>
      </c>
      <c r="X23">
        <f t="shared" si="7"/>
        <v>0</v>
      </c>
      <c r="Y23">
        <f t="shared" si="10"/>
        <v>0</v>
      </c>
      <c r="Z23">
        <f t="shared" si="10"/>
        <v>0</v>
      </c>
      <c r="AA23">
        <f t="shared" si="10"/>
        <v>0</v>
      </c>
      <c r="AB23">
        <f t="shared" si="10"/>
        <v>0</v>
      </c>
      <c r="AC23">
        <f t="shared" si="10"/>
        <v>0</v>
      </c>
      <c r="AD23">
        <f t="shared" si="10"/>
        <v>0</v>
      </c>
      <c r="AE23">
        <f t="shared" si="10"/>
        <v>0</v>
      </c>
      <c r="AF23">
        <f t="shared" si="10"/>
        <v>0</v>
      </c>
      <c r="AG23">
        <f t="shared" si="10"/>
        <v>0</v>
      </c>
      <c r="AH23">
        <f t="shared" si="10"/>
        <v>0</v>
      </c>
      <c r="AI23">
        <f t="shared" si="10"/>
        <v>0</v>
      </c>
      <c r="AJ23">
        <f t="shared" si="11"/>
        <v>0</v>
      </c>
      <c r="AK23">
        <f t="shared" si="11"/>
        <v>0</v>
      </c>
      <c r="AL23">
        <f t="shared" si="11"/>
        <v>0</v>
      </c>
      <c r="AM23">
        <f t="shared" si="11"/>
        <v>0</v>
      </c>
      <c r="AN23">
        <f t="shared" si="11"/>
        <v>0</v>
      </c>
      <c r="AO23">
        <f t="shared" si="11"/>
        <v>0</v>
      </c>
      <c r="AP23">
        <f t="shared" si="11"/>
        <v>0</v>
      </c>
      <c r="AQ23">
        <f t="shared" si="11"/>
        <v>0</v>
      </c>
      <c r="AR23">
        <f t="shared" si="11"/>
        <v>0</v>
      </c>
    </row>
    <row r="24" spans="1:44" x14ac:dyDescent="0.2">
      <c r="A24">
        <f t="shared" si="8"/>
        <v>6.7499999999999938</v>
      </c>
      <c r="B24" s="1">
        <f t="shared" ca="1" si="4"/>
        <v>7.6109352597872326E-4</v>
      </c>
      <c r="C24" s="1">
        <f t="array" aca="1" ref="C24" ca="1">INDIRECT(ADDRESS(5,$D24,1,FALSE),FALSE)</f>
        <v>0.10216921058383667</v>
      </c>
      <c r="D24">
        <f t="shared" si="9"/>
        <v>26</v>
      </c>
      <c r="E24" s="1">
        <f>moment_rate!$AC24</f>
        <v>7.4493433161470389E-3</v>
      </c>
      <c r="F24" s="1">
        <f t="shared" si="5"/>
        <v>0</v>
      </c>
      <c r="G24">
        <f>moment_rate!I24-0.005</f>
        <v>0.17</v>
      </c>
      <c r="H24" s="1">
        <f t="shared" si="6"/>
        <v>0</v>
      </c>
      <c r="I24">
        <f t="shared" si="7"/>
        <v>0</v>
      </c>
      <c r="J24">
        <f t="shared" si="7"/>
        <v>0</v>
      </c>
      <c r="K24">
        <f t="shared" si="7"/>
        <v>0</v>
      </c>
      <c r="L24">
        <f t="shared" si="7"/>
        <v>0</v>
      </c>
      <c r="M24">
        <f t="shared" si="7"/>
        <v>0</v>
      </c>
      <c r="N24">
        <f t="shared" si="7"/>
        <v>0</v>
      </c>
      <c r="O24">
        <f t="shared" si="7"/>
        <v>0</v>
      </c>
      <c r="P24">
        <f t="shared" si="7"/>
        <v>0</v>
      </c>
      <c r="Q24">
        <f t="shared" si="7"/>
        <v>0</v>
      </c>
      <c r="R24">
        <f t="shared" si="7"/>
        <v>0</v>
      </c>
      <c r="S24">
        <f t="shared" si="7"/>
        <v>0</v>
      </c>
      <c r="T24">
        <f t="shared" si="7"/>
        <v>0</v>
      </c>
      <c r="U24">
        <f t="shared" si="7"/>
        <v>0</v>
      </c>
      <c r="V24">
        <f t="shared" si="7"/>
        <v>0</v>
      </c>
      <c r="W24">
        <f t="shared" si="7"/>
        <v>0</v>
      </c>
      <c r="X24">
        <f t="shared" si="7"/>
        <v>0</v>
      </c>
      <c r="Y24">
        <f t="shared" si="10"/>
        <v>0</v>
      </c>
      <c r="Z24">
        <f t="shared" si="10"/>
        <v>0</v>
      </c>
      <c r="AA24">
        <f t="shared" si="10"/>
        <v>0</v>
      </c>
      <c r="AB24">
        <f t="shared" si="10"/>
        <v>0</v>
      </c>
      <c r="AC24">
        <f t="shared" si="10"/>
        <v>0</v>
      </c>
      <c r="AD24">
        <f t="shared" si="10"/>
        <v>0</v>
      </c>
      <c r="AE24">
        <f t="shared" si="10"/>
        <v>0</v>
      </c>
      <c r="AF24">
        <f t="shared" si="10"/>
        <v>0</v>
      </c>
      <c r="AG24">
        <f t="shared" si="10"/>
        <v>0</v>
      </c>
      <c r="AH24">
        <f t="shared" si="10"/>
        <v>0</v>
      </c>
      <c r="AI24">
        <f t="shared" si="10"/>
        <v>0</v>
      </c>
      <c r="AJ24">
        <f t="shared" si="11"/>
        <v>0</v>
      </c>
      <c r="AK24">
        <f t="shared" si="11"/>
        <v>0</v>
      </c>
      <c r="AL24">
        <f t="shared" si="11"/>
        <v>0</v>
      </c>
      <c r="AM24">
        <f t="shared" si="11"/>
        <v>0</v>
      </c>
      <c r="AN24">
        <f t="shared" si="11"/>
        <v>0</v>
      </c>
      <c r="AO24">
        <f t="shared" si="11"/>
        <v>0</v>
      </c>
      <c r="AP24">
        <f t="shared" si="11"/>
        <v>0</v>
      </c>
      <c r="AQ24">
        <f t="shared" si="11"/>
        <v>0</v>
      </c>
      <c r="AR24">
        <f t="shared" si="11"/>
        <v>0</v>
      </c>
    </row>
    <row r="25" spans="1:44" x14ac:dyDescent="0.2">
      <c r="A25">
        <f t="shared" si="8"/>
        <v>6.8499999999999934</v>
      </c>
      <c r="B25" s="1">
        <f t="shared" ca="1" si="4"/>
        <v>1.2120594237606261E-3</v>
      </c>
      <c r="C25" s="1">
        <f t="array" aca="1" ref="C25" ca="1">INDIRECT(ADDRESS(5,$D25,1,FALSE),FALSE)</f>
        <v>0.16270688197889757</v>
      </c>
      <c r="D25">
        <f t="shared" si="9"/>
        <v>27</v>
      </c>
      <c r="E25" s="1">
        <f>moment_rate!$AC25</f>
        <v>7.4493433161470389E-3</v>
      </c>
      <c r="F25" s="1">
        <f t="shared" si="5"/>
        <v>0</v>
      </c>
      <c r="G25">
        <f>moment_rate!I25-0.005</f>
        <v>0.18000000000000002</v>
      </c>
      <c r="H25" s="1">
        <f t="shared" si="6"/>
        <v>0</v>
      </c>
      <c r="I25">
        <f t="shared" si="7"/>
        <v>0</v>
      </c>
      <c r="J25">
        <f t="shared" si="7"/>
        <v>0</v>
      </c>
      <c r="K25">
        <f t="shared" si="7"/>
        <v>0</v>
      </c>
      <c r="L25">
        <f t="shared" si="7"/>
        <v>0</v>
      </c>
      <c r="M25">
        <f t="shared" si="7"/>
        <v>0</v>
      </c>
      <c r="N25">
        <f t="shared" si="7"/>
        <v>0</v>
      </c>
      <c r="O25">
        <f t="shared" si="7"/>
        <v>0</v>
      </c>
      <c r="P25">
        <f t="shared" si="7"/>
        <v>0</v>
      </c>
      <c r="Q25">
        <f t="shared" si="7"/>
        <v>0</v>
      </c>
      <c r="R25">
        <f t="shared" si="7"/>
        <v>0</v>
      </c>
      <c r="S25">
        <f t="shared" si="7"/>
        <v>0</v>
      </c>
      <c r="T25">
        <f t="shared" si="7"/>
        <v>0</v>
      </c>
      <c r="U25">
        <f t="shared" si="7"/>
        <v>0</v>
      </c>
      <c r="V25">
        <f t="shared" si="7"/>
        <v>0</v>
      </c>
      <c r="W25">
        <f t="shared" si="7"/>
        <v>0</v>
      </c>
      <c r="X25">
        <f t="shared" si="7"/>
        <v>0</v>
      </c>
      <c r="Y25">
        <f t="shared" si="10"/>
        <v>0</v>
      </c>
      <c r="Z25">
        <f t="shared" si="10"/>
        <v>0</v>
      </c>
      <c r="AA25">
        <f t="shared" si="10"/>
        <v>0</v>
      </c>
      <c r="AB25">
        <f t="shared" si="10"/>
        <v>0</v>
      </c>
      <c r="AC25">
        <f t="shared" si="10"/>
        <v>0</v>
      </c>
      <c r="AD25">
        <f t="shared" si="10"/>
        <v>0</v>
      </c>
      <c r="AE25">
        <f t="shared" si="10"/>
        <v>0</v>
      </c>
      <c r="AF25">
        <f t="shared" si="10"/>
        <v>0</v>
      </c>
      <c r="AG25">
        <f t="shared" si="10"/>
        <v>0</v>
      </c>
      <c r="AH25">
        <f t="shared" si="10"/>
        <v>0</v>
      </c>
      <c r="AI25">
        <f t="shared" si="10"/>
        <v>0</v>
      </c>
      <c r="AJ25">
        <f t="shared" si="11"/>
        <v>0</v>
      </c>
      <c r="AK25">
        <f t="shared" si="11"/>
        <v>0</v>
      </c>
      <c r="AL25">
        <f t="shared" si="11"/>
        <v>0</v>
      </c>
      <c r="AM25">
        <f t="shared" si="11"/>
        <v>0</v>
      </c>
      <c r="AN25">
        <f t="shared" si="11"/>
        <v>0</v>
      </c>
      <c r="AO25">
        <f t="shared" si="11"/>
        <v>0</v>
      </c>
      <c r="AP25">
        <f t="shared" si="11"/>
        <v>0</v>
      </c>
      <c r="AQ25">
        <f t="shared" si="11"/>
        <v>0</v>
      </c>
      <c r="AR25">
        <f t="shared" si="11"/>
        <v>0</v>
      </c>
    </row>
    <row r="26" spans="1:44" x14ac:dyDescent="0.2">
      <c r="A26">
        <f t="shared" si="8"/>
        <v>6.9499999999999931</v>
      </c>
      <c r="B26" s="1">
        <f t="shared" ca="1" si="4"/>
        <v>1.5109254898307369E-3</v>
      </c>
      <c r="C26" s="1">
        <f t="array" aca="1" ref="C26" ca="1">INDIRECT(ADDRESS(5,$D26,1,FALSE),FALSE)</f>
        <v>0.20282666883612227</v>
      </c>
      <c r="D26">
        <f t="shared" si="9"/>
        <v>28</v>
      </c>
      <c r="E26" s="1">
        <f>moment_rate!$AC26</f>
        <v>7.4493433161470389E-3</v>
      </c>
      <c r="F26" s="1">
        <f t="shared" si="5"/>
        <v>0</v>
      </c>
      <c r="G26">
        <f>moment_rate!I26-0.005</f>
        <v>0.19000000000000003</v>
      </c>
      <c r="H26" s="1">
        <f t="shared" si="6"/>
        <v>0</v>
      </c>
      <c r="I26">
        <f t="shared" si="7"/>
        <v>0</v>
      </c>
      <c r="J26">
        <f t="shared" si="7"/>
        <v>0</v>
      </c>
      <c r="K26">
        <f t="shared" si="7"/>
        <v>0</v>
      </c>
      <c r="L26">
        <f t="shared" si="7"/>
        <v>0</v>
      </c>
      <c r="M26">
        <f t="shared" si="7"/>
        <v>0</v>
      </c>
      <c r="N26">
        <f t="shared" si="7"/>
        <v>0</v>
      </c>
      <c r="O26">
        <f t="shared" si="7"/>
        <v>0</v>
      </c>
      <c r="P26">
        <f t="shared" si="7"/>
        <v>0</v>
      </c>
      <c r="Q26">
        <f t="shared" si="7"/>
        <v>0</v>
      </c>
      <c r="R26">
        <f t="shared" si="7"/>
        <v>0</v>
      </c>
      <c r="S26">
        <f t="shared" si="7"/>
        <v>0</v>
      </c>
      <c r="T26">
        <f t="shared" si="7"/>
        <v>0</v>
      </c>
      <c r="U26">
        <f t="shared" si="7"/>
        <v>0</v>
      </c>
      <c r="V26">
        <f t="shared" si="7"/>
        <v>0</v>
      </c>
      <c r="W26">
        <f t="shared" si="7"/>
        <v>0</v>
      </c>
      <c r="X26">
        <f t="shared" si="7"/>
        <v>0</v>
      </c>
      <c r="Y26">
        <f t="shared" si="10"/>
        <v>0</v>
      </c>
      <c r="Z26">
        <f t="shared" si="10"/>
        <v>0</v>
      </c>
      <c r="AA26">
        <f t="shared" si="10"/>
        <v>0</v>
      </c>
      <c r="AB26">
        <f t="shared" si="10"/>
        <v>0</v>
      </c>
      <c r="AC26">
        <f t="shared" si="10"/>
        <v>0</v>
      </c>
      <c r="AD26">
        <f t="shared" si="10"/>
        <v>0</v>
      </c>
      <c r="AE26">
        <f t="shared" si="10"/>
        <v>0</v>
      </c>
      <c r="AF26">
        <f t="shared" si="10"/>
        <v>0</v>
      </c>
      <c r="AG26">
        <f t="shared" si="10"/>
        <v>0</v>
      </c>
      <c r="AH26">
        <f t="shared" si="10"/>
        <v>0</v>
      </c>
      <c r="AI26">
        <f t="shared" si="10"/>
        <v>0</v>
      </c>
      <c r="AJ26">
        <f t="shared" si="11"/>
        <v>0</v>
      </c>
      <c r="AK26">
        <f t="shared" si="11"/>
        <v>0</v>
      </c>
      <c r="AL26">
        <f t="shared" si="11"/>
        <v>0</v>
      </c>
      <c r="AM26">
        <f t="shared" si="11"/>
        <v>0</v>
      </c>
      <c r="AN26">
        <f t="shared" si="11"/>
        <v>0</v>
      </c>
      <c r="AO26">
        <f t="shared" si="11"/>
        <v>0</v>
      </c>
      <c r="AP26">
        <f t="shared" si="11"/>
        <v>0</v>
      </c>
      <c r="AQ26">
        <f t="shared" si="11"/>
        <v>0</v>
      </c>
      <c r="AR26">
        <f t="shared" si="11"/>
        <v>0</v>
      </c>
    </row>
    <row r="27" spans="1:44" x14ac:dyDescent="0.2">
      <c r="A27">
        <f t="shared" si="8"/>
        <v>7.0499999999999927</v>
      </c>
      <c r="B27" s="1">
        <f t="shared" ca="1" si="4"/>
        <v>1.474374368475194E-3</v>
      </c>
      <c r="C27" s="1">
        <f t="array" aca="1" ref="C27" ca="1">INDIRECT(ADDRESS(5,$D27,1,FALSE),FALSE)</f>
        <v>0.19792004555346118</v>
      </c>
      <c r="D27">
        <f t="shared" si="9"/>
        <v>29</v>
      </c>
      <c r="E27" s="1">
        <f>moment_rate!$AC27</f>
        <v>7.4493433161470389E-3</v>
      </c>
      <c r="F27" s="1">
        <f t="shared" si="5"/>
        <v>0</v>
      </c>
      <c r="G27">
        <f>moment_rate!I27-0.005</f>
        <v>0.20000000000000004</v>
      </c>
      <c r="H27" s="1">
        <f t="shared" si="6"/>
        <v>0</v>
      </c>
      <c r="I27">
        <f t="shared" si="7"/>
        <v>0</v>
      </c>
      <c r="J27">
        <f t="shared" si="7"/>
        <v>0</v>
      </c>
      <c r="K27">
        <f t="shared" si="7"/>
        <v>0</v>
      </c>
      <c r="L27">
        <f t="shared" si="7"/>
        <v>0</v>
      </c>
      <c r="M27">
        <f t="shared" si="7"/>
        <v>0</v>
      </c>
      <c r="N27">
        <f t="shared" si="7"/>
        <v>0</v>
      </c>
      <c r="O27">
        <f t="shared" si="7"/>
        <v>0</v>
      </c>
      <c r="P27">
        <f t="shared" si="7"/>
        <v>0</v>
      </c>
      <c r="Q27">
        <f t="shared" si="7"/>
        <v>0</v>
      </c>
      <c r="R27">
        <f t="shared" si="7"/>
        <v>0</v>
      </c>
      <c r="S27">
        <f t="shared" si="7"/>
        <v>0</v>
      </c>
      <c r="T27">
        <f t="shared" si="7"/>
        <v>0</v>
      </c>
      <c r="U27">
        <f t="shared" si="7"/>
        <v>0</v>
      </c>
      <c r="V27">
        <f t="shared" si="7"/>
        <v>0</v>
      </c>
      <c r="W27">
        <f t="shared" si="7"/>
        <v>0</v>
      </c>
      <c r="X27">
        <f t="shared" si="7"/>
        <v>0</v>
      </c>
      <c r="Y27">
        <f t="shared" si="10"/>
        <v>0</v>
      </c>
      <c r="Z27">
        <f t="shared" si="10"/>
        <v>0</v>
      </c>
      <c r="AA27">
        <f t="shared" si="10"/>
        <v>0</v>
      </c>
      <c r="AB27">
        <f t="shared" si="10"/>
        <v>0</v>
      </c>
      <c r="AC27">
        <f t="shared" si="10"/>
        <v>0</v>
      </c>
      <c r="AD27">
        <f t="shared" si="10"/>
        <v>0</v>
      </c>
      <c r="AE27">
        <f t="shared" si="10"/>
        <v>0</v>
      </c>
      <c r="AF27">
        <f t="shared" si="10"/>
        <v>0</v>
      </c>
      <c r="AG27">
        <f t="shared" si="10"/>
        <v>0</v>
      </c>
      <c r="AH27">
        <f t="shared" si="10"/>
        <v>0</v>
      </c>
      <c r="AI27">
        <f t="shared" si="10"/>
        <v>0</v>
      </c>
      <c r="AJ27">
        <f t="shared" si="11"/>
        <v>0</v>
      </c>
      <c r="AK27">
        <f t="shared" si="11"/>
        <v>0</v>
      </c>
      <c r="AL27">
        <f t="shared" si="11"/>
        <v>0</v>
      </c>
      <c r="AM27">
        <f t="shared" si="11"/>
        <v>0</v>
      </c>
      <c r="AN27">
        <f t="shared" si="11"/>
        <v>0</v>
      </c>
      <c r="AO27">
        <f t="shared" si="11"/>
        <v>0</v>
      </c>
      <c r="AP27">
        <f t="shared" si="11"/>
        <v>0</v>
      </c>
      <c r="AQ27">
        <f t="shared" si="11"/>
        <v>0</v>
      </c>
      <c r="AR27">
        <f t="shared" si="11"/>
        <v>0</v>
      </c>
    </row>
    <row r="28" spans="1:44" x14ac:dyDescent="0.2">
      <c r="A28">
        <f t="shared" si="8"/>
        <v>7.1499999999999924</v>
      </c>
      <c r="B28" s="1">
        <f t="shared" ca="1" si="4"/>
        <v>1.1262030755800332E-3</v>
      </c>
      <c r="C28" s="1">
        <f t="array" aca="1" ref="C28" ca="1">INDIRECT(ADDRESS(5,$D28,1,FALSE),FALSE)</f>
        <v>0.15118152403298407</v>
      </c>
      <c r="D28">
        <f t="shared" si="9"/>
        <v>30</v>
      </c>
      <c r="E28" s="1">
        <f>moment_rate!$AC28</f>
        <v>7.4493433161470389E-3</v>
      </c>
      <c r="F28" s="1">
        <f t="shared" si="5"/>
        <v>0</v>
      </c>
      <c r="G28">
        <f>moment_rate!I28-0.005</f>
        <v>0.21000000000000005</v>
      </c>
      <c r="H28" s="1">
        <f t="shared" si="6"/>
        <v>0</v>
      </c>
      <c r="I28">
        <f t="shared" si="7"/>
        <v>0</v>
      </c>
      <c r="J28">
        <f t="shared" si="7"/>
        <v>0</v>
      </c>
      <c r="K28">
        <f t="shared" si="7"/>
        <v>0</v>
      </c>
      <c r="L28">
        <f t="shared" si="7"/>
        <v>0</v>
      </c>
      <c r="M28">
        <f t="shared" si="7"/>
        <v>0</v>
      </c>
      <c r="N28">
        <f t="shared" si="7"/>
        <v>0</v>
      </c>
      <c r="O28">
        <f t="shared" si="7"/>
        <v>0</v>
      </c>
      <c r="P28">
        <f t="shared" si="7"/>
        <v>0</v>
      </c>
      <c r="Q28">
        <f t="shared" si="7"/>
        <v>0</v>
      </c>
      <c r="R28">
        <f t="shared" si="7"/>
        <v>0</v>
      </c>
      <c r="S28">
        <f t="shared" si="7"/>
        <v>0</v>
      </c>
      <c r="T28">
        <f t="shared" si="7"/>
        <v>0</v>
      </c>
      <c r="U28">
        <f t="shared" si="7"/>
        <v>0</v>
      </c>
      <c r="V28">
        <f t="shared" si="7"/>
        <v>0</v>
      </c>
      <c r="W28">
        <f t="shared" si="7"/>
        <v>0</v>
      </c>
      <c r="X28">
        <f t="shared" si="7"/>
        <v>0</v>
      </c>
      <c r="Y28">
        <f t="shared" si="10"/>
        <v>0</v>
      </c>
      <c r="Z28">
        <f t="shared" si="10"/>
        <v>0</v>
      </c>
      <c r="AA28">
        <f t="shared" si="10"/>
        <v>0</v>
      </c>
      <c r="AB28">
        <f t="shared" si="10"/>
        <v>0</v>
      </c>
      <c r="AC28">
        <f t="shared" si="10"/>
        <v>0</v>
      </c>
      <c r="AD28">
        <f t="shared" si="10"/>
        <v>0</v>
      </c>
      <c r="AE28">
        <f t="shared" si="10"/>
        <v>0</v>
      </c>
      <c r="AF28">
        <f t="shared" si="10"/>
        <v>0</v>
      </c>
      <c r="AG28">
        <f t="shared" si="10"/>
        <v>0</v>
      </c>
      <c r="AH28">
        <f t="shared" si="10"/>
        <v>0</v>
      </c>
      <c r="AI28">
        <f t="shared" si="10"/>
        <v>0</v>
      </c>
      <c r="AJ28">
        <f t="shared" si="11"/>
        <v>0</v>
      </c>
      <c r="AK28">
        <f t="shared" si="11"/>
        <v>0</v>
      </c>
      <c r="AL28">
        <f t="shared" si="11"/>
        <v>0</v>
      </c>
      <c r="AM28">
        <f t="shared" si="11"/>
        <v>0</v>
      </c>
      <c r="AN28">
        <f t="shared" si="11"/>
        <v>0</v>
      </c>
      <c r="AO28">
        <f t="shared" si="11"/>
        <v>0</v>
      </c>
      <c r="AP28">
        <f t="shared" si="11"/>
        <v>0</v>
      </c>
      <c r="AQ28">
        <f t="shared" si="11"/>
        <v>0</v>
      </c>
      <c r="AR28">
        <f t="shared" si="11"/>
        <v>0</v>
      </c>
    </row>
    <row r="29" spans="1:44" x14ac:dyDescent="0.2">
      <c r="A29">
        <f t="shared" si="8"/>
        <v>7.249999999999992</v>
      </c>
      <c r="B29" s="1">
        <f t="shared" ca="1" si="4"/>
        <v>6.7337161858231263E-4</v>
      </c>
      <c r="C29" s="1">
        <f t="array" aca="1" ref="C29" ca="1">INDIRECT(ADDRESS(5,$D29,1,FALSE),FALSE)</f>
        <v>9.0393419930415386E-2</v>
      </c>
      <c r="D29">
        <f t="shared" si="9"/>
        <v>31</v>
      </c>
      <c r="E29" s="1">
        <f>moment_rate!$AC29</f>
        <v>7.4493433161470389E-3</v>
      </c>
      <c r="F29" s="1">
        <f t="shared" si="5"/>
        <v>0</v>
      </c>
      <c r="G29">
        <f>moment_rate!I29-0.005</f>
        <v>0.22000000000000006</v>
      </c>
      <c r="H29" s="1">
        <f t="shared" si="6"/>
        <v>0</v>
      </c>
      <c r="I29">
        <f t="shared" si="7"/>
        <v>0</v>
      </c>
      <c r="J29">
        <f t="shared" si="7"/>
        <v>0</v>
      </c>
      <c r="K29">
        <f t="shared" si="7"/>
        <v>0</v>
      </c>
      <c r="L29">
        <f t="shared" si="7"/>
        <v>0</v>
      </c>
      <c r="M29">
        <f t="shared" si="7"/>
        <v>0</v>
      </c>
      <c r="N29">
        <f t="shared" si="7"/>
        <v>0</v>
      </c>
      <c r="O29">
        <f t="shared" si="7"/>
        <v>0</v>
      </c>
      <c r="P29">
        <f t="shared" si="7"/>
        <v>0</v>
      </c>
      <c r="Q29">
        <f t="shared" si="7"/>
        <v>0</v>
      </c>
      <c r="R29">
        <f t="shared" si="7"/>
        <v>0</v>
      </c>
      <c r="S29">
        <f t="shared" si="7"/>
        <v>0</v>
      </c>
      <c r="T29">
        <f t="shared" si="7"/>
        <v>0</v>
      </c>
      <c r="U29">
        <f t="shared" si="7"/>
        <v>0</v>
      </c>
      <c r="V29">
        <f t="shared" si="7"/>
        <v>0</v>
      </c>
      <c r="W29">
        <f t="shared" si="7"/>
        <v>0</v>
      </c>
      <c r="X29">
        <f t="shared" si="7"/>
        <v>0</v>
      </c>
      <c r="Y29">
        <f t="shared" si="10"/>
        <v>0</v>
      </c>
      <c r="Z29">
        <f t="shared" si="10"/>
        <v>0</v>
      </c>
      <c r="AA29">
        <f t="shared" si="10"/>
        <v>0</v>
      </c>
      <c r="AB29">
        <f t="shared" si="10"/>
        <v>0</v>
      </c>
      <c r="AC29">
        <f t="shared" si="10"/>
        <v>0</v>
      </c>
      <c r="AD29">
        <f t="shared" si="10"/>
        <v>0</v>
      </c>
      <c r="AE29">
        <f t="shared" si="10"/>
        <v>0</v>
      </c>
      <c r="AF29">
        <f t="shared" si="10"/>
        <v>0</v>
      </c>
      <c r="AG29">
        <f t="shared" si="10"/>
        <v>0</v>
      </c>
      <c r="AH29">
        <f t="shared" si="10"/>
        <v>0</v>
      </c>
      <c r="AI29">
        <f t="shared" si="10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si="11"/>
        <v>0</v>
      </c>
      <c r="AQ29">
        <f t="shared" si="11"/>
        <v>0</v>
      </c>
      <c r="AR29">
        <f t="shared" si="11"/>
        <v>0</v>
      </c>
    </row>
    <row r="30" spans="1:44" x14ac:dyDescent="0.2">
      <c r="A30">
        <f t="shared" si="8"/>
        <v>7.3499999999999917</v>
      </c>
      <c r="B30" s="1">
        <f t="shared" ca="1" si="4"/>
        <v>2.9509869512601685E-4</v>
      </c>
      <c r="C30" s="1">
        <f t="array" aca="1" ref="C30" ca="1">INDIRECT(ADDRESS(5,$D30,1,FALSE),FALSE)</f>
        <v>3.9614054904190961E-2</v>
      </c>
      <c r="D30">
        <f t="shared" si="9"/>
        <v>32</v>
      </c>
      <c r="E30" s="1">
        <f>moment_rate!$AC30</f>
        <v>7.4493433161470389E-3</v>
      </c>
      <c r="F30" s="1">
        <f t="shared" si="5"/>
        <v>0</v>
      </c>
      <c r="G30">
        <f>moment_rate!I30-0.005</f>
        <v>0.23000000000000007</v>
      </c>
      <c r="H30" s="1">
        <f t="shared" si="6"/>
        <v>0</v>
      </c>
      <c r="I30">
        <f t="shared" si="7"/>
        <v>0</v>
      </c>
      <c r="J30">
        <f t="shared" si="7"/>
        <v>0</v>
      </c>
      <c r="K30">
        <f t="shared" si="7"/>
        <v>0</v>
      </c>
      <c r="L30">
        <f t="shared" si="7"/>
        <v>0</v>
      </c>
      <c r="M30">
        <f t="shared" si="7"/>
        <v>0</v>
      </c>
      <c r="N30">
        <f t="shared" si="7"/>
        <v>0</v>
      </c>
      <c r="O30">
        <f t="shared" si="7"/>
        <v>0</v>
      </c>
      <c r="P30">
        <f t="shared" si="7"/>
        <v>0</v>
      </c>
      <c r="Q30">
        <f t="shared" ref="Q30:AF45" si="12">IF(AND($G30&gt;=Q$3,$G30&lt;Q$4),$F30,0)</f>
        <v>0</v>
      </c>
      <c r="R30">
        <f t="shared" si="12"/>
        <v>0</v>
      </c>
      <c r="S30">
        <f t="shared" si="12"/>
        <v>0</v>
      </c>
      <c r="T30">
        <f t="shared" si="12"/>
        <v>0</v>
      </c>
      <c r="U30">
        <f t="shared" si="12"/>
        <v>0</v>
      </c>
      <c r="V30">
        <f t="shared" si="12"/>
        <v>0</v>
      </c>
      <c r="W30">
        <f t="shared" si="12"/>
        <v>0</v>
      </c>
      <c r="X30">
        <f t="shared" si="12"/>
        <v>0</v>
      </c>
      <c r="Y30">
        <f t="shared" si="12"/>
        <v>0</v>
      </c>
      <c r="Z30">
        <f t="shared" si="12"/>
        <v>0</v>
      </c>
      <c r="AA30">
        <f t="shared" si="12"/>
        <v>0</v>
      </c>
      <c r="AB30">
        <f t="shared" si="12"/>
        <v>0</v>
      </c>
      <c r="AC30">
        <f t="shared" si="12"/>
        <v>0</v>
      </c>
      <c r="AD30">
        <f t="shared" si="12"/>
        <v>0</v>
      </c>
      <c r="AE30">
        <f t="shared" si="12"/>
        <v>0</v>
      </c>
      <c r="AF30">
        <f t="shared" si="12"/>
        <v>0</v>
      </c>
      <c r="AG30">
        <f t="shared" ref="AG30:AN45" si="13">IF(AND($G30&gt;=AG$3,$G30&lt;AG$4),$F30,0)</f>
        <v>0</v>
      </c>
      <c r="AH30">
        <f t="shared" si="13"/>
        <v>0</v>
      </c>
      <c r="AI30">
        <f t="shared" si="13"/>
        <v>0</v>
      </c>
      <c r="AJ30">
        <f t="shared" si="13"/>
        <v>0</v>
      </c>
      <c r="AK30">
        <f t="shared" si="11"/>
        <v>0</v>
      </c>
      <c r="AL30">
        <f t="shared" si="11"/>
        <v>0</v>
      </c>
      <c r="AM30">
        <f t="shared" si="11"/>
        <v>0</v>
      </c>
      <c r="AN30">
        <f t="shared" si="11"/>
        <v>0</v>
      </c>
      <c r="AO30">
        <f t="shared" si="11"/>
        <v>0</v>
      </c>
      <c r="AP30">
        <f t="shared" si="11"/>
        <v>0</v>
      </c>
      <c r="AQ30">
        <f t="shared" si="11"/>
        <v>0</v>
      </c>
      <c r="AR30">
        <f t="shared" si="11"/>
        <v>0</v>
      </c>
    </row>
    <row r="31" spans="1:44" x14ac:dyDescent="0.2">
      <c r="A31">
        <f t="shared" si="8"/>
        <v>7.4499999999999913</v>
      </c>
      <c r="B31" s="1">
        <f t="shared" ca="1" si="4"/>
        <v>0</v>
      </c>
      <c r="C31" s="1">
        <f t="array" aca="1" ref="C31" ca="1">INDIRECT(ADDRESS(5,$D31,1,FALSE),FALSE)</f>
        <v>0</v>
      </c>
      <c r="D31">
        <f t="shared" si="9"/>
        <v>33</v>
      </c>
      <c r="E31" s="1">
        <f>moment_rate!$AC31</f>
        <v>7.4493433161470389E-3</v>
      </c>
      <c r="F31" s="1">
        <f t="shared" si="5"/>
        <v>0</v>
      </c>
      <c r="G31">
        <f>moment_rate!I31-0.005</f>
        <v>0.24000000000000007</v>
      </c>
      <c r="H31" s="1">
        <f t="shared" si="6"/>
        <v>0</v>
      </c>
      <c r="I31">
        <f t="shared" ref="I31:X46" si="14">IF(AND($G31&gt;=I$3,$G31&lt;I$4),$F31,0)</f>
        <v>0</v>
      </c>
      <c r="J31">
        <f t="shared" si="14"/>
        <v>0</v>
      </c>
      <c r="K31">
        <f t="shared" si="14"/>
        <v>0</v>
      </c>
      <c r="L31">
        <f t="shared" si="14"/>
        <v>0</v>
      </c>
      <c r="M31">
        <f t="shared" si="14"/>
        <v>0</v>
      </c>
      <c r="N31">
        <f t="shared" si="14"/>
        <v>0</v>
      </c>
      <c r="O31">
        <f t="shared" si="14"/>
        <v>0</v>
      </c>
      <c r="P31">
        <f t="shared" si="14"/>
        <v>0</v>
      </c>
      <c r="Q31">
        <f t="shared" si="14"/>
        <v>0</v>
      </c>
      <c r="R31">
        <f t="shared" si="14"/>
        <v>0</v>
      </c>
      <c r="S31">
        <f t="shared" si="14"/>
        <v>0</v>
      </c>
      <c r="T31">
        <f t="shared" si="14"/>
        <v>0</v>
      </c>
      <c r="U31">
        <f t="shared" si="14"/>
        <v>0</v>
      </c>
      <c r="V31">
        <f t="shared" si="14"/>
        <v>0</v>
      </c>
      <c r="W31">
        <f t="shared" si="14"/>
        <v>0</v>
      </c>
      <c r="X31">
        <f t="shared" si="14"/>
        <v>0</v>
      </c>
      <c r="Y31">
        <f t="shared" si="12"/>
        <v>0</v>
      </c>
      <c r="Z31">
        <f t="shared" si="12"/>
        <v>0</v>
      </c>
      <c r="AA31">
        <f t="shared" si="12"/>
        <v>0</v>
      </c>
      <c r="AB31">
        <f t="shared" si="12"/>
        <v>0</v>
      </c>
      <c r="AC31">
        <f t="shared" si="12"/>
        <v>0</v>
      </c>
      <c r="AD31">
        <f t="shared" si="12"/>
        <v>0</v>
      </c>
      <c r="AE31">
        <f t="shared" si="12"/>
        <v>0</v>
      </c>
      <c r="AF31">
        <f t="shared" si="12"/>
        <v>0</v>
      </c>
      <c r="AG31">
        <f t="shared" si="13"/>
        <v>0</v>
      </c>
      <c r="AH31">
        <f t="shared" si="13"/>
        <v>0</v>
      </c>
      <c r="AI31">
        <f t="shared" si="13"/>
        <v>0</v>
      </c>
      <c r="AJ31">
        <f t="shared" si="13"/>
        <v>0</v>
      </c>
      <c r="AK31">
        <f t="shared" si="11"/>
        <v>0</v>
      </c>
      <c r="AL31">
        <f t="shared" si="11"/>
        <v>0</v>
      </c>
      <c r="AM31">
        <f t="shared" si="11"/>
        <v>0</v>
      </c>
      <c r="AN31">
        <f t="shared" si="11"/>
        <v>0</v>
      </c>
      <c r="AO31">
        <f t="shared" si="11"/>
        <v>0</v>
      </c>
      <c r="AP31">
        <f t="shared" si="11"/>
        <v>0</v>
      </c>
      <c r="AQ31">
        <f t="shared" si="11"/>
        <v>0</v>
      </c>
      <c r="AR31">
        <f t="shared" si="11"/>
        <v>0</v>
      </c>
    </row>
    <row r="32" spans="1:44" x14ac:dyDescent="0.2">
      <c r="A32">
        <f t="shared" si="8"/>
        <v>7.5499999999999909</v>
      </c>
      <c r="B32" s="1">
        <f t="shared" ca="1" si="4"/>
        <v>0</v>
      </c>
      <c r="C32" s="1">
        <f t="array" aca="1" ref="C32" ca="1">INDIRECT(ADDRESS(5,$D32,1,FALSE),FALSE)</f>
        <v>0</v>
      </c>
      <c r="D32">
        <f t="shared" si="9"/>
        <v>34</v>
      </c>
      <c r="E32" s="1">
        <f>moment_rate!$AC32</f>
        <v>7.4493433161470389E-3</v>
      </c>
      <c r="F32" s="1">
        <f t="shared" si="5"/>
        <v>0</v>
      </c>
      <c r="G32">
        <f>moment_rate!I32-0.005</f>
        <v>0.25000000000000006</v>
      </c>
      <c r="H32" s="1">
        <f t="shared" si="6"/>
        <v>0</v>
      </c>
      <c r="I32">
        <f t="shared" si="14"/>
        <v>0</v>
      </c>
      <c r="J32">
        <f t="shared" si="14"/>
        <v>0</v>
      </c>
      <c r="K32">
        <f t="shared" si="14"/>
        <v>0</v>
      </c>
      <c r="L32">
        <f t="shared" si="14"/>
        <v>0</v>
      </c>
      <c r="M32">
        <f t="shared" si="14"/>
        <v>0</v>
      </c>
      <c r="N32">
        <f t="shared" si="14"/>
        <v>0</v>
      </c>
      <c r="O32">
        <f t="shared" si="14"/>
        <v>0</v>
      </c>
      <c r="P32">
        <f t="shared" si="14"/>
        <v>0</v>
      </c>
      <c r="Q32">
        <f t="shared" si="14"/>
        <v>0</v>
      </c>
      <c r="R32">
        <f t="shared" si="14"/>
        <v>0</v>
      </c>
      <c r="S32">
        <f t="shared" si="14"/>
        <v>0</v>
      </c>
      <c r="T32">
        <f t="shared" si="14"/>
        <v>0</v>
      </c>
      <c r="U32">
        <f t="shared" si="14"/>
        <v>0</v>
      </c>
      <c r="V32">
        <f t="shared" si="14"/>
        <v>0</v>
      </c>
      <c r="W32">
        <f t="shared" si="14"/>
        <v>0</v>
      </c>
      <c r="X32">
        <f t="shared" si="14"/>
        <v>0</v>
      </c>
      <c r="Y32">
        <f t="shared" si="12"/>
        <v>0</v>
      </c>
      <c r="Z32">
        <f t="shared" si="12"/>
        <v>0</v>
      </c>
      <c r="AA32">
        <f t="shared" si="12"/>
        <v>0</v>
      </c>
      <c r="AB32">
        <f t="shared" si="12"/>
        <v>0</v>
      </c>
      <c r="AC32">
        <f t="shared" si="12"/>
        <v>0</v>
      </c>
      <c r="AD32">
        <f t="shared" si="12"/>
        <v>0</v>
      </c>
      <c r="AE32">
        <f t="shared" si="12"/>
        <v>0</v>
      </c>
      <c r="AF32">
        <f t="shared" si="12"/>
        <v>0</v>
      </c>
      <c r="AG32">
        <f t="shared" si="13"/>
        <v>0</v>
      </c>
      <c r="AH32">
        <f t="shared" si="13"/>
        <v>0</v>
      </c>
      <c r="AI32">
        <f t="shared" si="13"/>
        <v>0</v>
      </c>
      <c r="AJ32">
        <f t="shared" si="13"/>
        <v>0</v>
      </c>
      <c r="AK32">
        <f t="shared" si="11"/>
        <v>0</v>
      </c>
      <c r="AL32">
        <f t="shared" si="11"/>
        <v>0</v>
      </c>
      <c r="AM32">
        <f t="shared" si="11"/>
        <v>0</v>
      </c>
      <c r="AN32">
        <f t="shared" si="11"/>
        <v>0</v>
      </c>
      <c r="AO32">
        <f t="shared" si="11"/>
        <v>0</v>
      </c>
      <c r="AP32">
        <f t="shared" si="11"/>
        <v>0</v>
      </c>
      <c r="AQ32">
        <f t="shared" si="11"/>
        <v>0</v>
      </c>
      <c r="AR32">
        <f t="shared" si="11"/>
        <v>0</v>
      </c>
    </row>
    <row r="33" spans="1:44" x14ac:dyDescent="0.2">
      <c r="A33">
        <f t="shared" si="8"/>
        <v>7.6499999999999906</v>
      </c>
      <c r="B33" s="1">
        <f t="shared" ca="1" si="4"/>
        <v>0</v>
      </c>
      <c r="C33" s="1">
        <f t="array" aca="1" ref="C33" ca="1">INDIRECT(ADDRESS(5,$D33,1,FALSE),FALSE)</f>
        <v>0</v>
      </c>
      <c r="D33">
        <f t="shared" si="9"/>
        <v>35</v>
      </c>
      <c r="E33" s="1">
        <f>moment_rate!$AC33</f>
        <v>7.4493433161470389E-3</v>
      </c>
      <c r="F33" s="1">
        <f t="shared" si="5"/>
        <v>0</v>
      </c>
      <c r="G33">
        <f>moment_rate!I33-0.005</f>
        <v>0.26000000000000006</v>
      </c>
      <c r="H33" s="1">
        <f t="shared" si="6"/>
        <v>0</v>
      </c>
      <c r="I33">
        <f t="shared" si="14"/>
        <v>0</v>
      </c>
      <c r="J33">
        <f t="shared" si="14"/>
        <v>0</v>
      </c>
      <c r="K33">
        <f t="shared" si="14"/>
        <v>0</v>
      </c>
      <c r="L33">
        <f t="shared" si="14"/>
        <v>0</v>
      </c>
      <c r="M33">
        <f t="shared" si="14"/>
        <v>0</v>
      </c>
      <c r="N33">
        <f t="shared" si="14"/>
        <v>0</v>
      </c>
      <c r="O33">
        <f t="shared" si="14"/>
        <v>0</v>
      </c>
      <c r="P33">
        <f t="shared" si="14"/>
        <v>0</v>
      </c>
      <c r="Q33">
        <f t="shared" si="14"/>
        <v>0</v>
      </c>
      <c r="R33">
        <f t="shared" si="14"/>
        <v>0</v>
      </c>
      <c r="S33">
        <f t="shared" si="14"/>
        <v>0</v>
      </c>
      <c r="T33">
        <f t="shared" si="14"/>
        <v>0</v>
      </c>
      <c r="U33">
        <f t="shared" si="14"/>
        <v>0</v>
      </c>
      <c r="V33">
        <f t="shared" si="14"/>
        <v>0</v>
      </c>
      <c r="W33">
        <f t="shared" si="14"/>
        <v>0</v>
      </c>
      <c r="X33">
        <f t="shared" si="14"/>
        <v>0</v>
      </c>
      <c r="Y33">
        <f t="shared" si="12"/>
        <v>0</v>
      </c>
      <c r="Z33">
        <f t="shared" si="12"/>
        <v>0</v>
      </c>
      <c r="AA33">
        <f t="shared" si="12"/>
        <v>0</v>
      </c>
      <c r="AB33">
        <f t="shared" si="12"/>
        <v>0</v>
      </c>
      <c r="AC33">
        <f t="shared" si="12"/>
        <v>0</v>
      </c>
      <c r="AD33">
        <f t="shared" si="12"/>
        <v>0</v>
      </c>
      <c r="AE33">
        <f t="shared" si="12"/>
        <v>0</v>
      </c>
      <c r="AF33">
        <f t="shared" si="12"/>
        <v>0</v>
      </c>
      <c r="AG33">
        <f t="shared" si="13"/>
        <v>0</v>
      </c>
      <c r="AH33">
        <f t="shared" si="13"/>
        <v>0</v>
      </c>
      <c r="AI33">
        <f t="shared" si="13"/>
        <v>0</v>
      </c>
      <c r="AJ33">
        <f t="shared" si="13"/>
        <v>0</v>
      </c>
      <c r="AK33">
        <f t="shared" si="11"/>
        <v>0</v>
      </c>
      <c r="AL33">
        <f t="shared" si="11"/>
        <v>0</v>
      </c>
      <c r="AM33">
        <f t="shared" si="11"/>
        <v>0</v>
      </c>
      <c r="AN33">
        <f t="shared" si="11"/>
        <v>0</v>
      </c>
      <c r="AO33">
        <f t="shared" si="11"/>
        <v>0</v>
      </c>
      <c r="AP33">
        <f t="shared" si="11"/>
        <v>0</v>
      </c>
      <c r="AQ33">
        <f t="shared" si="11"/>
        <v>0</v>
      </c>
      <c r="AR33">
        <f t="shared" si="11"/>
        <v>0</v>
      </c>
    </row>
    <row r="34" spans="1:44" x14ac:dyDescent="0.2">
      <c r="A34">
        <f t="shared" si="8"/>
        <v>7.7499999999999902</v>
      </c>
      <c r="B34" s="1">
        <f t="shared" ca="1" si="4"/>
        <v>0</v>
      </c>
      <c r="C34" s="1">
        <f t="array" aca="1" ref="C34" ca="1">INDIRECT(ADDRESS(5,$D34,1,FALSE),FALSE)</f>
        <v>0</v>
      </c>
      <c r="D34">
        <f t="shared" si="9"/>
        <v>36</v>
      </c>
      <c r="E34" s="1">
        <f>moment_rate!$AC34</f>
        <v>7.4493433161470389E-3</v>
      </c>
      <c r="F34" s="1">
        <f t="shared" si="5"/>
        <v>0</v>
      </c>
      <c r="G34">
        <f>moment_rate!I34-0.005</f>
        <v>0.27000000000000007</v>
      </c>
      <c r="H34" s="1">
        <f t="shared" si="6"/>
        <v>0</v>
      </c>
      <c r="I34">
        <f t="shared" si="14"/>
        <v>0</v>
      </c>
      <c r="J34">
        <f t="shared" si="14"/>
        <v>0</v>
      </c>
      <c r="K34">
        <f t="shared" si="14"/>
        <v>0</v>
      </c>
      <c r="L34">
        <f t="shared" si="14"/>
        <v>0</v>
      </c>
      <c r="M34">
        <f t="shared" si="14"/>
        <v>0</v>
      </c>
      <c r="N34">
        <f t="shared" si="14"/>
        <v>0</v>
      </c>
      <c r="O34">
        <f t="shared" si="14"/>
        <v>0</v>
      </c>
      <c r="P34">
        <f t="shared" si="14"/>
        <v>0</v>
      </c>
      <c r="Q34">
        <f t="shared" si="14"/>
        <v>0</v>
      </c>
      <c r="R34">
        <f t="shared" si="14"/>
        <v>0</v>
      </c>
      <c r="S34">
        <f t="shared" si="14"/>
        <v>0</v>
      </c>
      <c r="T34">
        <f t="shared" si="14"/>
        <v>0</v>
      </c>
      <c r="U34">
        <f t="shared" si="14"/>
        <v>0</v>
      </c>
      <c r="V34">
        <f t="shared" si="14"/>
        <v>0</v>
      </c>
      <c r="W34">
        <f t="shared" si="14"/>
        <v>0</v>
      </c>
      <c r="X34">
        <f t="shared" si="14"/>
        <v>0</v>
      </c>
      <c r="Y34">
        <f t="shared" si="12"/>
        <v>0</v>
      </c>
      <c r="Z34">
        <f t="shared" si="12"/>
        <v>0</v>
      </c>
      <c r="AA34">
        <f t="shared" si="12"/>
        <v>0</v>
      </c>
      <c r="AB34">
        <f t="shared" si="12"/>
        <v>0</v>
      </c>
      <c r="AC34">
        <f t="shared" si="12"/>
        <v>0</v>
      </c>
      <c r="AD34">
        <f t="shared" si="12"/>
        <v>0</v>
      </c>
      <c r="AE34">
        <f t="shared" si="12"/>
        <v>0</v>
      </c>
      <c r="AF34">
        <f t="shared" si="12"/>
        <v>0</v>
      </c>
      <c r="AG34">
        <f t="shared" si="13"/>
        <v>0</v>
      </c>
      <c r="AH34">
        <f t="shared" si="13"/>
        <v>0</v>
      </c>
      <c r="AI34">
        <f t="shared" si="13"/>
        <v>0</v>
      </c>
      <c r="AJ34">
        <f t="shared" si="13"/>
        <v>0</v>
      </c>
      <c r="AK34">
        <f t="shared" si="11"/>
        <v>0</v>
      </c>
      <c r="AL34">
        <f t="shared" si="11"/>
        <v>0</v>
      </c>
      <c r="AM34">
        <f t="shared" si="11"/>
        <v>0</v>
      </c>
      <c r="AN34">
        <f t="shared" si="11"/>
        <v>0</v>
      </c>
      <c r="AO34">
        <f t="shared" si="11"/>
        <v>0</v>
      </c>
      <c r="AP34">
        <f t="shared" si="11"/>
        <v>0</v>
      </c>
      <c r="AQ34">
        <f t="shared" si="11"/>
        <v>0</v>
      </c>
      <c r="AR34">
        <f t="shared" si="11"/>
        <v>0</v>
      </c>
    </row>
    <row r="35" spans="1:44" x14ac:dyDescent="0.2">
      <c r="A35">
        <f t="shared" si="8"/>
        <v>7.8499999999999899</v>
      </c>
      <c r="B35" s="1">
        <f t="shared" ca="1" si="4"/>
        <v>0</v>
      </c>
      <c r="C35" s="1">
        <f t="array" aca="1" ref="C35" ca="1">INDIRECT(ADDRESS(5,$D35,1,FALSE),FALSE)</f>
        <v>0</v>
      </c>
      <c r="D35">
        <f t="shared" si="9"/>
        <v>37</v>
      </c>
      <c r="E35" s="1">
        <f>moment_rate!$AC35</f>
        <v>7.4493433161470389E-3</v>
      </c>
      <c r="F35" s="1">
        <f t="shared" si="5"/>
        <v>0</v>
      </c>
      <c r="G35">
        <f>moment_rate!I35-0.005</f>
        <v>0.28000000000000008</v>
      </c>
      <c r="H35" s="1">
        <f t="shared" si="6"/>
        <v>0</v>
      </c>
      <c r="I35">
        <f t="shared" si="14"/>
        <v>0</v>
      </c>
      <c r="J35">
        <f t="shared" si="14"/>
        <v>0</v>
      </c>
      <c r="K35">
        <f t="shared" si="14"/>
        <v>0</v>
      </c>
      <c r="L35">
        <f t="shared" si="14"/>
        <v>0</v>
      </c>
      <c r="M35">
        <f t="shared" si="14"/>
        <v>0</v>
      </c>
      <c r="N35">
        <f t="shared" si="14"/>
        <v>0</v>
      </c>
      <c r="O35">
        <f t="shared" si="14"/>
        <v>0</v>
      </c>
      <c r="P35">
        <f t="shared" si="14"/>
        <v>0</v>
      </c>
      <c r="Q35">
        <f t="shared" si="14"/>
        <v>0</v>
      </c>
      <c r="R35">
        <f t="shared" si="14"/>
        <v>0</v>
      </c>
      <c r="S35">
        <f t="shared" si="14"/>
        <v>0</v>
      </c>
      <c r="T35">
        <f t="shared" si="14"/>
        <v>0</v>
      </c>
      <c r="U35">
        <f t="shared" si="14"/>
        <v>0</v>
      </c>
      <c r="V35">
        <f t="shared" si="14"/>
        <v>0</v>
      </c>
      <c r="W35">
        <f t="shared" si="14"/>
        <v>0</v>
      </c>
      <c r="X35">
        <f t="shared" si="14"/>
        <v>0</v>
      </c>
      <c r="Y35">
        <f t="shared" si="12"/>
        <v>0</v>
      </c>
      <c r="Z35">
        <f t="shared" si="12"/>
        <v>0</v>
      </c>
      <c r="AA35">
        <f t="shared" si="12"/>
        <v>0</v>
      </c>
      <c r="AB35">
        <f t="shared" si="12"/>
        <v>0</v>
      </c>
      <c r="AC35">
        <f t="shared" si="12"/>
        <v>0</v>
      </c>
      <c r="AD35">
        <f t="shared" si="12"/>
        <v>0</v>
      </c>
      <c r="AE35">
        <f t="shared" si="12"/>
        <v>0</v>
      </c>
      <c r="AF35">
        <f t="shared" si="12"/>
        <v>0</v>
      </c>
      <c r="AG35">
        <f t="shared" si="13"/>
        <v>0</v>
      </c>
      <c r="AH35">
        <f t="shared" si="13"/>
        <v>0</v>
      </c>
      <c r="AI35">
        <f t="shared" si="13"/>
        <v>0</v>
      </c>
      <c r="AJ35">
        <f t="shared" si="13"/>
        <v>0</v>
      </c>
      <c r="AK35">
        <f t="shared" si="11"/>
        <v>0</v>
      </c>
      <c r="AL35">
        <f t="shared" si="11"/>
        <v>0</v>
      </c>
      <c r="AM35">
        <f t="shared" si="11"/>
        <v>0</v>
      </c>
      <c r="AN35">
        <f t="shared" si="11"/>
        <v>0</v>
      </c>
      <c r="AO35">
        <f t="shared" si="11"/>
        <v>0</v>
      </c>
      <c r="AP35">
        <f t="shared" si="11"/>
        <v>0</v>
      </c>
      <c r="AQ35">
        <f t="shared" si="11"/>
        <v>0</v>
      </c>
      <c r="AR35">
        <f t="shared" si="11"/>
        <v>0</v>
      </c>
    </row>
    <row r="36" spans="1:44" x14ac:dyDescent="0.2">
      <c r="A36">
        <f t="shared" si="8"/>
        <v>7.9499999999999895</v>
      </c>
      <c r="B36" s="1">
        <f t="shared" ca="1" si="4"/>
        <v>0</v>
      </c>
      <c r="C36" s="1">
        <f t="array" aca="1" ref="C36" ca="1">INDIRECT(ADDRESS(5,$D36,1,FALSE),FALSE)</f>
        <v>0</v>
      </c>
      <c r="D36">
        <f t="shared" si="9"/>
        <v>38</v>
      </c>
      <c r="E36" s="1">
        <f>moment_rate!$AC36</f>
        <v>7.4493433161470389E-3</v>
      </c>
      <c r="F36" s="1">
        <f t="shared" si="5"/>
        <v>0</v>
      </c>
      <c r="G36">
        <f>moment_rate!I36-0.005</f>
        <v>0.29000000000000009</v>
      </c>
      <c r="H36" s="1">
        <f t="shared" si="6"/>
        <v>0</v>
      </c>
      <c r="I36">
        <f t="shared" si="14"/>
        <v>0</v>
      </c>
      <c r="J36">
        <f t="shared" si="14"/>
        <v>0</v>
      </c>
      <c r="K36">
        <f t="shared" si="14"/>
        <v>0</v>
      </c>
      <c r="L36">
        <f t="shared" si="14"/>
        <v>0</v>
      </c>
      <c r="M36">
        <f t="shared" si="14"/>
        <v>0</v>
      </c>
      <c r="N36">
        <f t="shared" si="14"/>
        <v>0</v>
      </c>
      <c r="O36">
        <f t="shared" si="14"/>
        <v>0</v>
      </c>
      <c r="P36">
        <f t="shared" si="14"/>
        <v>0</v>
      </c>
      <c r="Q36">
        <f t="shared" si="14"/>
        <v>0</v>
      </c>
      <c r="R36">
        <f t="shared" si="14"/>
        <v>0</v>
      </c>
      <c r="S36">
        <f t="shared" si="14"/>
        <v>0</v>
      </c>
      <c r="T36">
        <f t="shared" si="14"/>
        <v>0</v>
      </c>
      <c r="U36">
        <f t="shared" si="14"/>
        <v>0</v>
      </c>
      <c r="V36">
        <f t="shared" si="14"/>
        <v>0</v>
      </c>
      <c r="W36">
        <f t="shared" si="14"/>
        <v>0</v>
      </c>
      <c r="X36">
        <f t="shared" si="14"/>
        <v>0</v>
      </c>
      <c r="Y36">
        <f t="shared" si="12"/>
        <v>0</v>
      </c>
      <c r="Z36">
        <f t="shared" si="12"/>
        <v>0</v>
      </c>
      <c r="AA36">
        <f t="shared" si="12"/>
        <v>0</v>
      </c>
      <c r="AB36">
        <f t="shared" si="12"/>
        <v>0</v>
      </c>
      <c r="AC36">
        <f t="shared" si="12"/>
        <v>0</v>
      </c>
      <c r="AD36">
        <f t="shared" si="12"/>
        <v>0</v>
      </c>
      <c r="AE36">
        <f t="shared" si="12"/>
        <v>0</v>
      </c>
      <c r="AF36">
        <f t="shared" si="12"/>
        <v>0</v>
      </c>
      <c r="AG36">
        <f t="shared" si="13"/>
        <v>0</v>
      </c>
      <c r="AH36">
        <f t="shared" si="13"/>
        <v>0</v>
      </c>
      <c r="AI36">
        <f t="shared" si="13"/>
        <v>0</v>
      </c>
      <c r="AJ36">
        <f t="shared" si="13"/>
        <v>0</v>
      </c>
      <c r="AK36">
        <f t="shared" si="11"/>
        <v>0</v>
      </c>
      <c r="AL36">
        <f t="shared" si="11"/>
        <v>0</v>
      </c>
      <c r="AM36">
        <f t="shared" si="11"/>
        <v>0</v>
      </c>
      <c r="AN36">
        <f t="shared" si="11"/>
        <v>0</v>
      </c>
      <c r="AO36">
        <f t="shared" si="11"/>
        <v>0</v>
      </c>
      <c r="AP36">
        <f t="shared" si="11"/>
        <v>0</v>
      </c>
      <c r="AQ36">
        <f t="shared" si="11"/>
        <v>0</v>
      </c>
      <c r="AR36">
        <f t="shared" si="11"/>
        <v>0</v>
      </c>
    </row>
    <row r="37" spans="1:44" x14ac:dyDescent="0.2">
      <c r="A37">
        <f t="shared" si="8"/>
        <v>8.0499999999999901</v>
      </c>
      <c r="B37" s="1">
        <f t="shared" ca="1" si="4"/>
        <v>0</v>
      </c>
      <c r="C37" s="1">
        <f t="array" aca="1" ref="C37" ca="1">INDIRECT(ADDRESS(5,$D37,1,FALSE),FALSE)</f>
        <v>0</v>
      </c>
      <c r="D37">
        <f t="shared" si="9"/>
        <v>39</v>
      </c>
      <c r="E37" s="1">
        <f>moment_rate!$AC37</f>
        <v>7.4493433161470389E-3</v>
      </c>
      <c r="F37" s="1">
        <f t="shared" si="5"/>
        <v>0</v>
      </c>
      <c r="G37">
        <f>moment_rate!I37-0.005</f>
        <v>0.3000000000000001</v>
      </c>
      <c r="H37" s="1">
        <f t="shared" si="6"/>
        <v>0</v>
      </c>
      <c r="I37">
        <f t="shared" si="14"/>
        <v>0</v>
      </c>
      <c r="J37">
        <f t="shared" si="14"/>
        <v>0</v>
      </c>
      <c r="K37">
        <f t="shared" si="14"/>
        <v>0</v>
      </c>
      <c r="L37">
        <f t="shared" si="14"/>
        <v>0</v>
      </c>
      <c r="M37">
        <f t="shared" si="14"/>
        <v>0</v>
      </c>
      <c r="N37">
        <f t="shared" si="14"/>
        <v>0</v>
      </c>
      <c r="O37">
        <f t="shared" si="14"/>
        <v>0</v>
      </c>
      <c r="P37">
        <f t="shared" si="14"/>
        <v>0</v>
      </c>
      <c r="Q37">
        <f t="shared" si="14"/>
        <v>0</v>
      </c>
      <c r="R37">
        <f t="shared" si="14"/>
        <v>0</v>
      </c>
      <c r="S37">
        <f t="shared" si="14"/>
        <v>0</v>
      </c>
      <c r="T37">
        <f t="shared" si="14"/>
        <v>0</v>
      </c>
      <c r="U37">
        <f t="shared" si="14"/>
        <v>0</v>
      </c>
      <c r="V37">
        <f t="shared" si="14"/>
        <v>0</v>
      </c>
      <c r="W37">
        <f t="shared" si="14"/>
        <v>0</v>
      </c>
      <c r="X37">
        <f t="shared" si="14"/>
        <v>0</v>
      </c>
      <c r="Y37">
        <f t="shared" si="12"/>
        <v>0</v>
      </c>
      <c r="Z37">
        <f t="shared" si="12"/>
        <v>0</v>
      </c>
      <c r="AA37">
        <f t="shared" si="12"/>
        <v>0</v>
      </c>
      <c r="AB37">
        <f t="shared" si="12"/>
        <v>0</v>
      </c>
      <c r="AC37">
        <f t="shared" si="12"/>
        <v>0</v>
      </c>
      <c r="AD37">
        <f t="shared" si="12"/>
        <v>0</v>
      </c>
      <c r="AE37">
        <f t="shared" si="12"/>
        <v>0</v>
      </c>
      <c r="AF37">
        <f t="shared" si="12"/>
        <v>0</v>
      </c>
      <c r="AG37">
        <f t="shared" si="13"/>
        <v>0</v>
      </c>
      <c r="AH37">
        <f t="shared" si="13"/>
        <v>0</v>
      </c>
      <c r="AI37">
        <f t="shared" si="13"/>
        <v>0</v>
      </c>
      <c r="AJ37">
        <f t="shared" si="13"/>
        <v>0</v>
      </c>
      <c r="AK37">
        <f t="shared" si="11"/>
        <v>0</v>
      </c>
      <c r="AL37">
        <f t="shared" si="11"/>
        <v>0</v>
      </c>
      <c r="AM37">
        <f t="shared" si="11"/>
        <v>0</v>
      </c>
      <c r="AN37">
        <f t="shared" si="11"/>
        <v>0</v>
      </c>
      <c r="AO37">
        <f t="shared" si="11"/>
        <v>0</v>
      </c>
      <c r="AP37">
        <f t="shared" si="11"/>
        <v>0</v>
      </c>
      <c r="AQ37">
        <f t="shared" si="11"/>
        <v>0</v>
      </c>
      <c r="AR37">
        <f t="shared" si="11"/>
        <v>0</v>
      </c>
    </row>
    <row r="38" spans="1:44" x14ac:dyDescent="0.2">
      <c r="A38">
        <f t="shared" si="8"/>
        <v>8.1499999999999897</v>
      </c>
      <c r="B38" s="1">
        <f t="shared" ca="1" si="4"/>
        <v>0</v>
      </c>
      <c r="C38" s="1">
        <f t="array" aca="1" ref="C38" ca="1">INDIRECT(ADDRESS(5,$D38,1,FALSE),FALSE)</f>
        <v>0</v>
      </c>
      <c r="D38">
        <f t="shared" si="9"/>
        <v>40</v>
      </c>
      <c r="E38" s="1">
        <f>moment_rate!$AC38</f>
        <v>7.4493433161470389E-3</v>
      </c>
      <c r="F38" s="1">
        <f t="shared" si="5"/>
        <v>0</v>
      </c>
      <c r="G38">
        <f>moment_rate!I38-0.005</f>
        <v>0.31000000000000011</v>
      </c>
      <c r="H38" s="1">
        <f t="shared" si="6"/>
        <v>0</v>
      </c>
      <c r="I38">
        <f t="shared" si="14"/>
        <v>0</v>
      </c>
      <c r="J38">
        <f t="shared" si="14"/>
        <v>0</v>
      </c>
      <c r="K38">
        <f t="shared" si="14"/>
        <v>0</v>
      </c>
      <c r="L38">
        <f t="shared" si="14"/>
        <v>0</v>
      </c>
      <c r="M38">
        <f t="shared" si="14"/>
        <v>0</v>
      </c>
      <c r="N38">
        <f t="shared" si="14"/>
        <v>0</v>
      </c>
      <c r="O38">
        <f t="shared" si="14"/>
        <v>0</v>
      </c>
      <c r="P38">
        <f t="shared" si="14"/>
        <v>0</v>
      </c>
      <c r="Q38">
        <f t="shared" si="14"/>
        <v>0</v>
      </c>
      <c r="R38">
        <f t="shared" si="14"/>
        <v>0</v>
      </c>
      <c r="S38">
        <f t="shared" si="14"/>
        <v>0</v>
      </c>
      <c r="T38">
        <f t="shared" si="14"/>
        <v>0</v>
      </c>
      <c r="U38">
        <f t="shared" si="14"/>
        <v>0</v>
      </c>
      <c r="V38">
        <f t="shared" si="14"/>
        <v>0</v>
      </c>
      <c r="W38">
        <f t="shared" si="14"/>
        <v>0</v>
      </c>
      <c r="X38">
        <f t="shared" si="14"/>
        <v>0</v>
      </c>
      <c r="Y38">
        <f t="shared" si="12"/>
        <v>0</v>
      </c>
      <c r="Z38">
        <f t="shared" si="12"/>
        <v>0</v>
      </c>
      <c r="AA38">
        <f t="shared" si="12"/>
        <v>0</v>
      </c>
      <c r="AB38">
        <f t="shared" si="12"/>
        <v>0</v>
      </c>
      <c r="AC38">
        <f t="shared" si="12"/>
        <v>0</v>
      </c>
      <c r="AD38">
        <f t="shared" si="12"/>
        <v>0</v>
      </c>
      <c r="AE38">
        <f t="shared" si="12"/>
        <v>0</v>
      </c>
      <c r="AF38">
        <f t="shared" si="12"/>
        <v>0</v>
      </c>
      <c r="AG38">
        <f t="shared" si="13"/>
        <v>0</v>
      </c>
      <c r="AH38">
        <f t="shared" si="13"/>
        <v>0</v>
      </c>
      <c r="AI38">
        <f t="shared" si="13"/>
        <v>0</v>
      </c>
      <c r="AJ38">
        <f t="shared" si="13"/>
        <v>0</v>
      </c>
      <c r="AK38">
        <f t="shared" si="11"/>
        <v>0</v>
      </c>
      <c r="AL38">
        <f t="shared" si="11"/>
        <v>0</v>
      </c>
      <c r="AM38">
        <f t="shared" si="11"/>
        <v>0</v>
      </c>
      <c r="AN38">
        <f t="shared" si="11"/>
        <v>0</v>
      </c>
      <c r="AO38">
        <f t="shared" si="11"/>
        <v>0</v>
      </c>
      <c r="AP38">
        <f t="shared" si="11"/>
        <v>0</v>
      </c>
      <c r="AQ38">
        <f t="shared" si="11"/>
        <v>0</v>
      </c>
      <c r="AR38">
        <f t="shared" si="11"/>
        <v>0</v>
      </c>
    </row>
    <row r="39" spans="1:44" x14ac:dyDescent="0.2">
      <c r="A39">
        <f t="shared" si="8"/>
        <v>8.2499999999999893</v>
      </c>
      <c r="B39" s="1">
        <f t="shared" ca="1" si="4"/>
        <v>0</v>
      </c>
      <c r="C39" s="1">
        <f t="array" aca="1" ref="C39" ca="1">INDIRECT(ADDRESS(5,$D39,1,FALSE),FALSE)</f>
        <v>0</v>
      </c>
      <c r="D39">
        <f t="shared" si="9"/>
        <v>41</v>
      </c>
      <c r="E39" s="1">
        <f>moment_rate!$AC39</f>
        <v>7.4493433161470389E-3</v>
      </c>
      <c r="F39" s="1">
        <f t="shared" si="5"/>
        <v>0</v>
      </c>
      <c r="G39">
        <f>moment_rate!I39-0.005</f>
        <v>0.32000000000000012</v>
      </c>
      <c r="H39" s="1">
        <f t="shared" si="6"/>
        <v>0</v>
      </c>
      <c r="I39">
        <f t="shared" si="14"/>
        <v>0</v>
      </c>
      <c r="J39">
        <f t="shared" si="14"/>
        <v>0</v>
      </c>
      <c r="K39">
        <f t="shared" si="14"/>
        <v>0</v>
      </c>
      <c r="L39">
        <f t="shared" si="14"/>
        <v>0</v>
      </c>
      <c r="M39">
        <f t="shared" si="14"/>
        <v>0</v>
      </c>
      <c r="N39">
        <f t="shared" si="14"/>
        <v>0</v>
      </c>
      <c r="O39">
        <f t="shared" si="14"/>
        <v>0</v>
      </c>
      <c r="P39">
        <f t="shared" si="14"/>
        <v>0</v>
      </c>
      <c r="Q39">
        <f t="shared" si="14"/>
        <v>0</v>
      </c>
      <c r="R39">
        <f t="shared" si="14"/>
        <v>0</v>
      </c>
      <c r="S39">
        <f t="shared" si="14"/>
        <v>0</v>
      </c>
      <c r="T39">
        <f t="shared" si="14"/>
        <v>0</v>
      </c>
      <c r="U39">
        <f t="shared" si="14"/>
        <v>0</v>
      </c>
      <c r="V39">
        <f t="shared" si="14"/>
        <v>0</v>
      </c>
      <c r="W39">
        <f t="shared" si="14"/>
        <v>0</v>
      </c>
      <c r="X39">
        <f t="shared" si="14"/>
        <v>0</v>
      </c>
      <c r="Y39">
        <f t="shared" si="12"/>
        <v>0</v>
      </c>
      <c r="Z39">
        <f t="shared" si="12"/>
        <v>0</v>
      </c>
      <c r="AA39">
        <f t="shared" si="12"/>
        <v>0</v>
      </c>
      <c r="AB39">
        <f t="shared" si="12"/>
        <v>0</v>
      </c>
      <c r="AC39">
        <f t="shared" si="12"/>
        <v>0</v>
      </c>
      <c r="AD39">
        <f t="shared" si="12"/>
        <v>0</v>
      </c>
      <c r="AE39">
        <f t="shared" si="12"/>
        <v>0</v>
      </c>
      <c r="AF39">
        <f t="shared" si="12"/>
        <v>0</v>
      </c>
      <c r="AG39">
        <f t="shared" si="13"/>
        <v>0</v>
      </c>
      <c r="AH39">
        <f t="shared" si="13"/>
        <v>0</v>
      </c>
      <c r="AI39">
        <f t="shared" si="13"/>
        <v>0</v>
      </c>
      <c r="AJ39">
        <f t="shared" si="13"/>
        <v>0</v>
      </c>
      <c r="AK39">
        <f t="shared" si="11"/>
        <v>0</v>
      </c>
      <c r="AL39">
        <f t="shared" si="11"/>
        <v>0</v>
      </c>
      <c r="AM39">
        <f t="shared" si="11"/>
        <v>0</v>
      </c>
      <c r="AN39">
        <f t="shared" si="11"/>
        <v>0</v>
      </c>
      <c r="AO39">
        <f t="shared" si="11"/>
        <v>0</v>
      </c>
      <c r="AP39">
        <f t="shared" si="11"/>
        <v>0</v>
      </c>
      <c r="AQ39">
        <f t="shared" si="11"/>
        <v>0</v>
      </c>
      <c r="AR39">
        <f t="shared" si="11"/>
        <v>0</v>
      </c>
    </row>
    <row r="40" spans="1:44" x14ac:dyDescent="0.2">
      <c r="A40">
        <f t="shared" si="8"/>
        <v>8.349999999999989</v>
      </c>
      <c r="B40" s="1">
        <f t="shared" ca="1" si="4"/>
        <v>0</v>
      </c>
      <c r="C40" s="1">
        <f t="array" aca="1" ref="C40" ca="1">INDIRECT(ADDRESS(5,$D40,1,FALSE),FALSE)</f>
        <v>0</v>
      </c>
      <c r="D40">
        <f t="shared" si="9"/>
        <v>42</v>
      </c>
      <c r="E40" s="1">
        <f>moment_rate!$AC40</f>
        <v>7.4493433161470389E-3</v>
      </c>
      <c r="F40" s="1">
        <f t="shared" si="5"/>
        <v>0</v>
      </c>
      <c r="G40">
        <f>moment_rate!I40-0.005</f>
        <v>0.33000000000000013</v>
      </c>
      <c r="H40" s="1">
        <f t="shared" si="6"/>
        <v>0</v>
      </c>
      <c r="I40">
        <f t="shared" si="14"/>
        <v>0</v>
      </c>
      <c r="J40">
        <f t="shared" si="14"/>
        <v>0</v>
      </c>
      <c r="K40">
        <f t="shared" si="14"/>
        <v>0</v>
      </c>
      <c r="L40">
        <f t="shared" si="14"/>
        <v>0</v>
      </c>
      <c r="M40">
        <f t="shared" si="14"/>
        <v>0</v>
      </c>
      <c r="N40">
        <f t="shared" si="14"/>
        <v>0</v>
      </c>
      <c r="O40">
        <f t="shared" si="14"/>
        <v>0</v>
      </c>
      <c r="P40">
        <f t="shared" si="14"/>
        <v>0</v>
      </c>
      <c r="Q40">
        <f t="shared" si="14"/>
        <v>0</v>
      </c>
      <c r="R40">
        <f t="shared" si="14"/>
        <v>0</v>
      </c>
      <c r="S40">
        <f t="shared" si="14"/>
        <v>0</v>
      </c>
      <c r="T40">
        <f t="shared" si="14"/>
        <v>0</v>
      </c>
      <c r="U40">
        <f t="shared" si="14"/>
        <v>0</v>
      </c>
      <c r="V40">
        <f t="shared" si="14"/>
        <v>0</v>
      </c>
      <c r="W40">
        <f t="shared" si="14"/>
        <v>0</v>
      </c>
      <c r="X40">
        <f t="shared" si="14"/>
        <v>0</v>
      </c>
      <c r="Y40">
        <f t="shared" si="12"/>
        <v>0</v>
      </c>
      <c r="Z40">
        <f t="shared" si="12"/>
        <v>0</v>
      </c>
      <c r="AA40">
        <f t="shared" si="12"/>
        <v>0</v>
      </c>
      <c r="AB40">
        <f t="shared" si="12"/>
        <v>0</v>
      </c>
      <c r="AC40">
        <f t="shared" si="12"/>
        <v>0</v>
      </c>
      <c r="AD40">
        <f t="shared" si="12"/>
        <v>0</v>
      </c>
      <c r="AE40">
        <f t="shared" si="12"/>
        <v>0</v>
      </c>
      <c r="AF40">
        <f t="shared" si="12"/>
        <v>0</v>
      </c>
      <c r="AG40">
        <f t="shared" si="13"/>
        <v>0</v>
      </c>
      <c r="AH40">
        <f t="shared" si="13"/>
        <v>0</v>
      </c>
      <c r="AI40">
        <f t="shared" si="13"/>
        <v>0</v>
      </c>
      <c r="AJ40">
        <f t="shared" si="13"/>
        <v>0</v>
      </c>
      <c r="AK40">
        <f t="shared" si="11"/>
        <v>0</v>
      </c>
      <c r="AL40">
        <f t="shared" si="11"/>
        <v>0</v>
      </c>
      <c r="AM40">
        <f t="shared" si="11"/>
        <v>0</v>
      </c>
      <c r="AN40">
        <f t="shared" si="11"/>
        <v>0</v>
      </c>
      <c r="AO40">
        <f t="shared" si="11"/>
        <v>0</v>
      </c>
      <c r="AP40">
        <f t="shared" si="11"/>
        <v>0</v>
      </c>
      <c r="AQ40">
        <f t="shared" si="11"/>
        <v>0</v>
      </c>
      <c r="AR40">
        <f t="shared" si="11"/>
        <v>0</v>
      </c>
    </row>
    <row r="41" spans="1:44" x14ac:dyDescent="0.2">
      <c r="A41">
        <f t="shared" si="8"/>
        <v>8.4499999999999886</v>
      </c>
      <c r="B41" s="1">
        <f t="shared" ca="1" si="4"/>
        <v>0</v>
      </c>
      <c r="C41" s="1">
        <f t="array" aca="1" ref="C41" ca="1">INDIRECT(ADDRESS(5,$D41,1,FALSE),FALSE)</f>
        <v>0</v>
      </c>
      <c r="D41">
        <f t="shared" si="9"/>
        <v>43</v>
      </c>
      <c r="E41" s="1">
        <f>moment_rate!$AC41</f>
        <v>7.4493433161470389E-3</v>
      </c>
      <c r="F41" s="1">
        <f t="shared" si="5"/>
        <v>0</v>
      </c>
      <c r="G41">
        <f>moment_rate!I41-0.005</f>
        <v>0.34000000000000014</v>
      </c>
      <c r="H41" s="1">
        <f t="shared" si="6"/>
        <v>0</v>
      </c>
      <c r="I41">
        <f t="shared" si="14"/>
        <v>0</v>
      </c>
      <c r="J41">
        <f t="shared" si="14"/>
        <v>0</v>
      </c>
      <c r="K41">
        <f t="shared" si="14"/>
        <v>0</v>
      </c>
      <c r="L41">
        <f t="shared" si="14"/>
        <v>0</v>
      </c>
      <c r="M41">
        <f t="shared" si="14"/>
        <v>0</v>
      </c>
      <c r="N41">
        <f t="shared" si="14"/>
        <v>0</v>
      </c>
      <c r="O41">
        <f t="shared" si="14"/>
        <v>0</v>
      </c>
      <c r="P41">
        <f t="shared" si="14"/>
        <v>0</v>
      </c>
      <c r="Q41">
        <f t="shared" si="14"/>
        <v>0</v>
      </c>
      <c r="R41">
        <f t="shared" si="14"/>
        <v>0</v>
      </c>
      <c r="S41">
        <f t="shared" si="14"/>
        <v>0</v>
      </c>
      <c r="T41">
        <f t="shared" si="14"/>
        <v>0</v>
      </c>
      <c r="U41">
        <f t="shared" si="14"/>
        <v>0</v>
      </c>
      <c r="V41">
        <f t="shared" si="14"/>
        <v>0</v>
      </c>
      <c r="W41">
        <f t="shared" si="14"/>
        <v>0</v>
      </c>
      <c r="X41">
        <f t="shared" si="14"/>
        <v>0</v>
      </c>
      <c r="Y41">
        <f t="shared" si="12"/>
        <v>0</v>
      </c>
      <c r="Z41">
        <f t="shared" si="12"/>
        <v>0</v>
      </c>
      <c r="AA41">
        <f t="shared" si="12"/>
        <v>0</v>
      </c>
      <c r="AB41">
        <f t="shared" si="12"/>
        <v>0</v>
      </c>
      <c r="AC41">
        <f t="shared" si="12"/>
        <v>0</v>
      </c>
      <c r="AD41">
        <f t="shared" si="12"/>
        <v>0</v>
      </c>
      <c r="AE41">
        <f t="shared" si="12"/>
        <v>0</v>
      </c>
      <c r="AF41">
        <f t="shared" si="12"/>
        <v>0</v>
      </c>
      <c r="AG41">
        <f t="shared" si="13"/>
        <v>0</v>
      </c>
      <c r="AH41">
        <f t="shared" si="13"/>
        <v>0</v>
      </c>
      <c r="AI41">
        <f t="shared" si="13"/>
        <v>0</v>
      </c>
      <c r="AJ41">
        <f t="shared" si="13"/>
        <v>0</v>
      </c>
      <c r="AK41">
        <f t="shared" si="11"/>
        <v>0</v>
      </c>
      <c r="AL41">
        <f t="shared" si="11"/>
        <v>0</v>
      </c>
      <c r="AM41">
        <f t="shared" si="11"/>
        <v>0</v>
      </c>
      <c r="AN41">
        <f t="shared" si="11"/>
        <v>0</v>
      </c>
      <c r="AO41">
        <f t="shared" si="11"/>
        <v>0</v>
      </c>
      <c r="AP41">
        <f t="shared" si="11"/>
        <v>0</v>
      </c>
      <c r="AQ41">
        <f t="shared" si="11"/>
        <v>0</v>
      </c>
      <c r="AR41">
        <f t="shared" si="11"/>
        <v>0</v>
      </c>
    </row>
    <row r="42" spans="1:44" x14ac:dyDescent="0.2">
      <c r="A42">
        <f t="shared" si="8"/>
        <v>8.5499999999999883</v>
      </c>
      <c r="B42" s="1">
        <f t="shared" ca="1" si="4"/>
        <v>0</v>
      </c>
      <c r="C42" s="1">
        <f t="array" aca="1" ref="C42" ca="1">INDIRECT(ADDRESS(5,$D42,1,FALSE),FALSE)</f>
        <v>0</v>
      </c>
      <c r="D42">
        <f t="shared" si="9"/>
        <v>44</v>
      </c>
      <c r="E42" s="1">
        <f>moment_rate!$AC42</f>
        <v>7.4493433161470389E-3</v>
      </c>
      <c r="F42" s="1">
        <f t="shared" si="5"/>
        <v>0</v>
      </c>
      <c r="G42">
        <f>moment_rate!I42-0.005</f>
        <v>0.35000000000000014</v>
      </c>
      <c r="H42" s="1">
        <f t="shared" si="6"/>
        <v>0</v>
      </c>
      <c r="I42">
        <f t="shared" si="14"/>
        <v>0</v>
      </c>
      <c r="J42">
        <f t="shared" si="14"/>
        <v>0</v>
      </c>
      <c r="K42">
        <f t="shared" si="14"/>
        <v>0</v>
      </c>
      <c r="L42">
        <f t="shared" si="14"/>
        <v>0</v>
      </c>
      <c r="M42">
        <f t="shared" si="14"/>
        <v>0</v>
      </c>
      <c r="N42">
        <f t="shared" si="14"/>
        <v>0</v>
      </c>
      <c r="O42">
        <f t="shared" si="14"/>
        <v>0</v>
      </c>
      <c r="P42">
        <f t="shared" si="14"/>
        <v>0</v>
      </c>
      <c r="Q42">
        <f t="shared" si="14"/>
        <v>0</v>
      </c>
      <c r="R42">
        <f t="shared" si="14"/>
        <v>0</v>
      </c>
      <c r="S42">
        <f t="shared" si="14"/>
        <v>0</v>
      </c>
      <c r="T42">
        <f t="shared" si="14"/>
        <v>0</v>
      </c>
      <c r="U42">
        <f t="shared" si="14"/>
        <v>0</v>
      </c>
      <c r="V42">
        <f t="shared" si="14"/>
        <v>0</v>
      </c>
      <c r="W42">
        <f t="shared" si="14"/>
        <v>0</v>
      </c>
      <c r="X42">
        <f t="shared" si="14"/>
        <v>0</v>
      </c>
      <c r="Y42">
        <f t="shared" si="12"/>
        <v>0</v>
      </c>
      <c r="Z42">
        <f t="shared" si="12"/>
        <v>0</v>
      </c>
      <c r="AA42">
        <f t="shared" si="12"/>
        <v>0</v>
      </c>
      <c r="AB42">
        <f t="shared" si="12"/>
        <v>0</v>
      </c>
      <c r="AC42">
        <f t="shared" si="12"/>
        <v>0</v>
      </c>
      <c r="AD42">
        <f t="shared" si="12"/>
        <v>0</v>
      </c>
      <c r="AE42">
        <f t="shared" si="12"/>
        <v>0</v>
      </c>
      <c r="AF42">
        <f t="shared" si="12"/>
        <v>0</v>
      </c>
      <c r="AG42">
        <f t="shared" si="13"/>
        <v>0</v>
      </c>
      <c r="AH42">
        <f t="shared" si="13"/>
        <v>0</v>
      </c>
      <c r="AI42">
        <f t="shared" si="13"/>
        <v>0</v>
      </c>
      <c r="AJ42">
        <f t="shared" si="13"/>
        <v>0</v>
      </c>
      <c r="AK42">
        <f t="shared" si="11"/>
        <v>0</v>
      </c>
      <c r="AL42">
        <f t="shared" si="11"/>
        <v>0</v>
      </c>
      <c r="AM42">
        <f t="shared" si="11"/>
        <v>0</v>
      </c>
      <c r="AN42">
        <f t="shared" si="11"/>
        <v>0</v>
      </c>
      <c r="AO42">
        <f t="shared" si="11"/>
        <v>0</v>
      </c>
      <c r="AP42">
        <f t="shared" si="11"/>
        <v>0</v>
      </c>
      <c r="AQ42">
        <f t="shared" si="11"/>
        <v>0</v>
      </c>
      <c r="AR42">
        <f t="shared" si="11"/>
        <v>0</v>
      </c>
    </row>
    <row r="43" spans="1:44" x14ac:dyDescent="0.2">
      <c r="A43">
        <f t="shared" si="8"/>
        <v>8.6499999999999879</v>
      </c>
      <c r="B43" s="1">
        <f t="shared" ca="1" si="4"/>
        <v>0</v>
      </c>
      <c r="C43" s="1">
        <f t="array" aca="1" ref="C43" ca="1">INDIRECT(ADDRESS(5,$D43,1,FALSE),FALSE)</f>
        <v>0</v>
      </c>
      <c r="D43">
        <f t="shared" si="9"/>
        <v>45</v>
      </c>
      <c r="E43" s="1">
        <f>moment_rate!$AC43</f>
        <v>7.4493433161470389E-3</v>
      </c>
      <c r="F43" s="1">
        <f t="shared" si="5"/>
        <v>0</v>
      </c>
      <c r="G43">
        <f>moment_rate!I43-0.005</f>
        <v>0.36000000000000015</v>
      </c>
      <c r="H43" s="1">
        <f t="shared" si="6"/>
        <v>0</v>
      </c>
      <c r="I43">
        <f t="shared" si="14"/>
        <v>0</v>
      </c>
      <c r="J43">
        <f t="shared" si="14"/>
        <v>0</v>
      </c>
      <c r="K43">
        <f t="shared" si="14"/>
        <v>0</v>
      </c>
      <c r="L43">
        <f t="shared" si="14"/>
        <v>0</v>
      </c>
      <c r="M43">
        <f t="shared" si="14"/>
        <v>0</v>
      </c>
      <c r="N43">
        <f t="shared" si="14"/>
        <v>0</v>
      </c>
      <c r="O43">
        <f t="shared" si="14"/>
        <v>0</v>
      </c>
      <c r="P43">
        <f t="shared" si="14"/>
        <v>0</v>
      </c>
      <c r="Q43">
        <f t="shared" si="14"/>
        <v>0</v>
      </c>
      <c r="R43">
        <f t="shared" si="14"/>
        <v>0</v>
      </c>
      <c r="S43">
        <f t="shared" si="14"/>
        <v>0</v>
      </c>
      <c r="T43">
        <f t="shared" si="14"/>
        <v>0</v>
      </c>
      <c r="U43">
        <f t="shared" si="14"/>
        <v>0</v>
      </c>
      <c r="V43">
        <f t="shared" si="14"/>
        <v>0</v>
      </c>
      <c r="W43">
        <f t="shared" si="14"/>
        <v>0</v>
      </c>
      <c r="X43">
        <f t="shared" si="14"/>
        <v>0</v>
      </c>
      <c r="Y43">
        <f t="shared" si="12"/>
        <v>0</v>
      </c>
      <c r="Z43">
        <f t="shared" si="12"/>
        <v>0</v>
      </c>
      <c r="AA43">
        <f t="shared" si="12"/>
        <v>0</v>
      </c>
      <c r="AB43">
        <f t="shared" si="12"/>
        <v>0</v>
      </c>
      <c r="AC43">
        <f t="shared" si="12"/>
        <v>0</v>
      </c>
      <c r="AD43">
        <f t="shared" si="12"/>
        <v>0</v>
      </c>
      <c r="AE43">
        <f t="shared" si="12"/>
        <v>0</v>
      </c>
      <c r="AF43">
        <f t="shared" si="12"/>
        <v>0</v>
      </c>
      <c r="AG43">
        <f t="shared" si="13"/>
        <v>0</v>
      </c>
      <c r="AH43">
        <f t="shared" si="13"/>
        <v>0</v>
      </c>
      <c r="AI43">
        <f t="shared" si="13"/>
        <v>0</v>
      </c>
      <c r="AJ43">
        <f t="shared" si="13"/>
        <v>0</v>
      </c>
      <c r="AK43">
        <f t="shared" si="13"/>
        <v>0</v>
      </c>
      <c r="AL43">
        <f t="shared" si="13"/>
        <v>0</v>
      </c>
      <c r="AM43">
        <f t="shared" si="13"/>
        <v>0</v>
      </c>
      <c r="AN43">
        <f t="shared" si="13"/>
        <v>0</v>
      </c>
      <c r="AO43">
        <f t="shared" si="11"/>
        <v>0</v>
      </c>
      <c r="AP43">
        <f t="shared" si="11"/>
        <v>0</v>
      </c>
      <c r="AQ43">
        <f t="shared" si="11"/>
        <v>0</v>
      </c>
      <c r="AR43">
        <f t="shared" si="11"/>
        <v>0</v>
      </c>
    </row>
    <row r="44" spans="1:44" x14ac:dyDescent="0.2">
      <c r="E44" s="1">
        <f>moment_rate!$AC44</f>
        <v>7.4493433161470389E-3</v>
      </c>
      <c r="F44" s="1">
        <f t="shared" si="5"/>
        <v>0</v>
      </c>
      <c r="G44">
        <f>moment_rate!I44-0.005</f>
        <v>0.37000000000000016</v>
      </c>
      <c r="H44" s="1">
        <f t="shared" si="6"/>
        <v>0</v>
      </c>
      <c r="I44">
        <f t="shared" si="14"/>
        <v>0</v>
      </c>
      <c r="J44">
        <f t="shared" si="14"/>
        <v>0</v>
      </c>
      <c r="K44">
        <f t="shared" si="14"/>
        <v>0</v>
      </c>
      <c r="L44">
        <f t="shared" si="14"/>
        <v>0</v>
      </c>
      <c r="M44">
        <f t="shared" si="14"/>
        <v>0</v>
      </c>
      <c r="N44">
        <f t="shared" si="14"/>
        <v>0</v>
      </c>
      <c r="O44">
        <f t="shared" si="14"/>
        <v>0</v>
      </c>
      <c r="P44">
        <f t="shared" si="14"/>
        <v>0</v>
      </c>
      <c r="Q44">
        <f t="shared" si="14"/>
        <v>0</v>
      </c>
      <c r="R44">
        <f t="shared" si="14"/>
        <v>0</v>
      </c>
      <c r="S44">
        <f t="shared" si="14"/>
        <v>0</v>
      </c>
      <c r="T44">
        <f t="shared" si="14"/>
        <v>0</v>
      </c>
      <c r="U44">
        <f t="shared" si="14"/>
        <v>0</v>
      </c>
      <c r="V44">
        <f t="shared" si="14"/>
        <v>0</v>
      </c>
      <c r="W44">
        <f t="shared" si="14"/>
        <v>0</v>
      </c>
      <c r="X44">
        <f t="shared" si="14"/>
        <v>0</v>
      </c>
      <c r="Y44">
        <f t="shared" si="12"/>
        <v>0</v>
      </c>
      <c r="Z44">
        <f t="shared" si="12"/>
        <v>0</v>
      </c>
      <c r="AA44">
        <f t="shared" si="12"/>
        <v>0</v>
      </c>
      <c r="AB44">
        <f t="shared" si="12"/>
        <v>0</v>
      </c>
      <c r="AC44">
        <f t="shared" si="12"/>
        <v>0</v>
      </c>
      <c r="AD44">
        <f t="shared" si="12"/>
        <v>0</v>
      </c>
      <c r="AE44">
        <f t="shared" si="12"/>
        <v>0</v>
      </c>
      <c r="AF44">
        <f t="shared" si="12"/>
        <v>0</v>
      </c>
      <c r="AG44">
        <f t="shared" si="13"/>
        <v>0</v>
      </c>
      <c r="AH44">
        <f t="shared" si="13"/>
        <v>0</v>
      </c>
      <c r="AI44">
        <f t="shared" si="13"/>
        <v>0</v>
      </c>
      <c r="AJ44">
        <f t="shared" si="13"/>
        <v>0</v>
      </c>
      <c r="AK44">
        <f t="shared" si="13"/>
        <v>0</v>
      </c>
      <c r="AL44">
        <f t="shared" si="13"/>
        <v>0</v>
      </c>
      <c r="AM44">
        <f t="shared" si="13"/>
        <v>0</v>
      </c>
      <c r="AN44">
        <f t="shared" si="13"/>
        <v>0</v>
      </c>
      <c r="AO44">
        <f t="shared" si="11"/>
        <v>0</v>
      </c>
      <c r="AP44">
        <f t="shared" si="11"/>
        <v>0</v>
      </c>
      <c r="AQ44">
        <f t="shared" si="11"/>
        <v>0</v>
      </c>
      <c r="AR44">
        <f t="shared" ref="AO44:AR75" si="15">IF(AND($G44&gt;=AR$3,$G44&lt;AR$4),$F44,0)</f>
        <v>0</v>
      </c>
    </row>
    <row r="45" spans="1:44" x14ac:dyDescent="0.2">
      <c r="E45" s="1">
        <f>moment_rate!$AC45</f>
        <v>7.4493433161470389E-3</v>
      </c>
      <c r="F45" s="1">
        <f t="shared" si="5"/>
        <v>0</v>
      </c>
      <c r="G45">
        <f>moment_rate!I45-0.005</f>
        <v>0.38000000000000017</v>
      </c>
      <c r="H45" s="1">
        <f t="shared" si="6"/>
        <v>0</v>
      </c>
      <c r="I45">
        <f t="shared" si="14"/>
        <v>0</v>
      </c>
      <c r="J45">
        <f t="shared" si="14"/>
        <v>0</v>
      </c>
      <c r="K45">
        <f t="shared" si="14"/>
        <v>0</v>
      </c>
      <c r="L45">
        <f t="shared" si="14"/>
        <v>0</v>
      </c>
      <c r="M45">
        <f t="shared" si="14"/>
        <v>0</v>
      </c>
      <c r="N45">
        <f t="shared" si="14"/>
        <v>0</v>
      </c>
      <c r="O45">
        <f t="shared" si="14"/>
        <v>0</v>
      </c>
      <c r="P45">
        <f t="shared" si="14"/>
        <v>0</v>
      </c>
      <c r="Q45">
        <f t="shared" si="14"/>
        <v>0</v>
      </c>
      <c r="R45">
        <f t="shared" si="14"/>
        <v>0</v>
      </c>
      <c r="S45">
        <f t="shared" si="14"/>
        <v>0</v>
      </c>
      <c r="T45">
        <f t="shared" si="14"/>
        <v>0</v>
      </c>
      <c r="U45">
        <f t="shared" si="14"/>
        <v>0</v>
      </c>
      <c r="V45">
        <f t="shared" si="14"/>
        <v>0</v>
      </c>
      <c r="W45">
        <f t="shared" si="14"/>
        <v>0</v>
      </c>
      <c r="X45">
        <f t="shared" si="14"/>
        <v>0</v>
      </c>
      <c r="Y45">
        <f t="shared" si="12"/>
        <v>0</v>
      </c>
      <c r="Z45">
        <f t="shared" si="12"/>
        <v>0</v>
      </c>
      <c r="AA45">
        <f t="shared" si="12"/>
        <v>0</v>
      </c>
      <c r="AB45">
        <f t="shared" si="12"/>
        <v>0</v>
      </c>
      <c r="AC45">
        <f t="shared" si="12"/>
        <v>0</v>
      </c>
      <c r="AD45">
        <f t="shared" si="12"/>
        <v>0</v>
      </c>
      <c r="AE45">
        <f t="shared" si="12"/>
        <v>0</v>
      </c>
      <c r="AF45">
        <f t="shared" si="12"/>
        <v>0</v>
      </c>
      <c r="AG45">
        <f t="shared" si="13"/>
        <v>0</v>
      </c>
      <c r="AH45">
        <f t="shared" si="13"/>
        <v>0</v>
      </c>
      <c r="AI45">
        <f t="shared" si="13"/>
        <v>0</v>
      </c>
      <c r="AJ45">
        <f t="shared" si="13"/>
        <v>0</v>
      </c>
      <c r="AK45">
        <f t="shared" si="13"/>
        <v>0</v>
      </c>
      <c r="AL45">
        <f t="shared" si="13"/>
        <v>0</v>
      </c>
      <c r="AM45">
        <f t="shared" si="13"/>
        <v>0</v>
      </c>
      <c r="AN45">
        <f t="shared" si="13"/>
        <v>0</v>
      </c>
      <c r="AO45">
        <f t="shared" si="15"/>
        <v>0</v>
      </c>
      <c r="AP45">
        <f t="shared" si="15"/>
        <v>0</v>
      </c>
      <c r="AQ45">
        <f t="shared" si="15"/>
        <v>0</v>
      </c>
      <c r="AR45">
        <f t="shared" si="15"/>
        <v>0</v>
      </c>
    </row>
    <row r="46" spans="1:44" x14ac:dyDescent="0.2">
      <c r="E46" s="1">
        <f>moment_rate!$AC46</f>
        <v>7.4493433161470389E-3</v>
      </c>
      <c r="F46" s="1">
        <f t="shared" si="5"/>
        <v>0</v>
      </c>
      <c r="G46">
        <f>moment_rate!I46-0.005</f>
        <v>0.39000000000000018</v>
      </c>
      <c r="H46" s="1">
        <f t="shared" si="6"/>
        <v>0</v>
      </c>
      <c r="I46">
        <f t="shared" si="14"/>
        <v>0</v>
      </c>
      <c r="J46">
        <f t="shared" si="14"/>
        <v>0</v>
      </c>
      <c r="K46">
        <f t="shared" si="14"/>
        <v>0</v>
      </c>
      <c r="L46">
        <f t="shared" si="14"/>
        <v>0</v>
      </c>
      <c r="M46">
        <f t="shared" si="14"/>
        <v>0</v>
      </c>
      <c r="N46">
        <f t="shared" si="14"/>
        <v>0</v>
      </c>
      <c r="O46">
        <f t="shared" si="14"/>
        <v>0</v>
      </c>
      <c r="P46">
        <f t="shared" si="14"/>
        <v>0</v>
      </c>
      <c r="Q46">
        <f t="shared" si="14"/>
        <v>0</v>
      </c>
      <c r="R46">
        <f t="shared" si="14"/>
        <v>0</v>
      </c>
      <c r="S46">
        <f t="shared" si="14"/>
        <v>0</v>
      </c>
      <c r="T46">
        <f t="shared" si="14"/>
        <v>0</v>
      </c>
      <c r="U46">
        <f t="shared" si="14"/>
        <v>0</v>
      </c>
      <c r="V46">
        <f t="shared" si="14"/>
        <v>0</v>
      </c>
      <c r="W46">
        <f t="shared" si="14"/>
        <v>0</v>
      </c>
      <c r="X46">
        <f t="shared" ref="X46:AM61" si="16">IF(AND($G46&gt;=X$3,$G46&lt;X$4),$F46,0)</f>
        <v>0</v>
      </c>
      <c r="Y46">
        <f t="shared" si="16"/>
        <v>0</v>
      </c>
      <c r="Z46">
        <f t="shared" si="16"/>
        <v>0</v>
      </c>
      <c r="AA46">
        <f t="shared" si="16"/>
        <v>0</v>
      </c>
      <c r="AB46">
        <f t="shared" si="16"/>
        <v>0</v>
      </c>
      <c r="AC46">
        <f t="shared" si="16"/>
        <v>0</v>
      </c>
      <c r="AD46">
        <f t="shared" si="16"/>
        <v>0</v>
      </c>
      <c r="AE46">
        <f t="shared" si="16"/>
        <v>0</v>
      </c>
      <c r="AF46">
        <f t="shared" si="16"/>
        <v>0</v>
      </c>
      <c r="AG46">
        <f t="shared" si="16"/>
        <v>0</v>
      </c>
      <c r="AH46">
        <f t="shared" si="16"/>
        <v>0</v>
      </c>
      <c r="AI46">
        <f t="shared" si="16"/>
        <v>0</v>
      </c>
      <c r="AJ46">
        <f t="shared" si="16"/>
        <v>0</v>
      </c>
      <c r="AK46">
        <f t="shared" si="16"/>
        <v>0</v>
      </c>
      <c r="AL46">
        <f t="shared" si="16"/>
        <v>0</v>
      </c>
      <c r="AM46">
        <f t="shared" si="16"/>
        <v>0</v>
      </c>
      <c r="AN46">
        <f t="shared" ref="AN46:AN76" si="17">IF(AND($G46&gt;=AN$3,$G46&lt;AN$4),$F46,0)</f>
        <v>0</v>
      </c>
      <c r="AO46">
        <f t="shared" si="15"/>
        <v>0</v>
      </c>
      <c r="AP46">
        <f t="shared" si="15"/>
        <v>0</v>
      </c>
      <c r="AQ46">
        <f t="shared" si="15"/>
        <v>0</v>
      </c>
      <c r="AR46">
        <f t="shared" si="15"/>
        <v>0</v>
      </c>
    </row>
    <row r="47" spans="1:44" x14ac:dyDescent="0.2">
      <c r="E47" s="1">
        <f>moment_rate!$AC47</f>
        <v>7.4493433161470389E-3</v>
      </c>
      <c r="F47" s="1">
        <f t="shared" si="5"/>
        <v>0</v>
      </c>
      <c r="G47">
        <f>moment_rate!I47-0.005</f>
        <v>0.40000000000000019</v>
      </c>
      <c r="H47" s="1">
        <f t="shared" si="6"/>
        <v>0</v>
      </c>
      <c r="I47">
        <f t="shared" ref="I47:X62" si="18">IF(AND($G47&gt;=I$3,$G47&lt;I$4),$F47,0)</f>
        <v>0</v>
      </c>
      <c r="J47">
        <f t="shared" si="18"/>
        <v>0</v>
      </c>
      <c r="K47">
        <f t="shared" si="18"/>
        <v>0</v>
      </c>
      <c r="L47">
        <f t="shared" si="18"/>
        <v>0</v>
      </c>
      <c r="M47">
        <f t="shared" si="18"/>
        <v>0</v>
      </c>
      <c r="N47">
        <f t="shared" si="18"/>
        <v>0</v>
      </c>
      <c r="O47">
        <f t="shared" si="18"/>
        <v>0</v>
      </c>
      <c r="P47">
        <f t="shared" si="18"/>
        <v>0</v>
      </c>
      <c r="Q47">
        <f t="shared" si="18"/>
        <v>0</v>
      </c>
      <c r="R47">
        <f t="shared" si="18"/>
        <v>0</v>
      </c>
      <c r="S47">
        <f t="shared" si="18"/>
        <v>0</v>
      </c>
      <c r="T47">
        <f t="shared" si="18"/>
        <v>0</v>
      </c>
      <c r="U47">
        <f t="shared" si="18"/>
        <v>0</v>
      </c>
      <c r="V47">
        <f t="shared" si="18"/>
        <v>0</v>
      </c>
      <c r="W47">
        <f t="shared" si="18"/>
        <v>0</v>
      </c>
      <c r="X47">
        <f t="shared" si="18"/>
        <v>0</v>
      </c>
      <c r="Y47">
        <f t="shared" si="16"/>
        <v>0</v>
      </c>
      <c r="Z47">
        <f t="shared" si="16"/>
        <v>0</v>
      </c>
      <c r="AA47">
        <f t="shared" si="16"/>
        <v>0</v>
      </c>
      <c r="AB47">
        <f t="shared" si="16"/>
        <v>0</v>
      </c>
      <c r="AC47">
        <f t="shared" si="16"/>
        <v>0</v>
      </c>
      <c r="AD47">
        <f t="shared" si="16"/>
        <v>0</v>
      </c>
      <c r="AE47">
        <f t="shared" si="16"/>
        <v>0</v>
      </c>
      <c r="AF47">
        <f t="shared" si="16"/>
        <v>0</v>
      </c>
      <c r="AG47">
        <f t="shared" si="16"/>
        <v>0</v>
      </c>
      <c r="AH47">
        <f t="shared" si="16"/>
        <v>0</v>
      </c>
      <c r="AI47">
        <f t="shared" si="16"/>
        <v>0</v>
      </c>
      <c r="AJ47">
        <f t="shared" si="16"/>
        <v>0</v>
      </c>
      <c r="AK47">
        <f t="shared" si="16"/>
        <v>0</v>
      </c>
      <c r="AL47">
        <f t="shared" si="16"/>
        <v>0</v>
      </c>
      <c r="AM47">
        <f t="shared" si="16"/>
        <v>0</v>
      </c>
      <c r="AN47">
        <f t="shared" si="17"/>
        <v>0</v>
      </c>
      <c r="AO47">
        <f t="shared" si="15"/>
        <v>0</v>
      </c>
      <c r="AP47">
        <f t="shared" si="15"/>
        <v>0</v>
      </c>
      <c r="AQ47">
        <f t="shared" si="15"/>
        <v>0</v>
      </c>
      <c r="AR47">
        <f t="shared" si="15"/>
        <v>0</v>
      </c>
    </row>
    <row r="48" spans="1:44" x14ac:dyDescent="0.2">
      <c r="E48" s="1">
        <f>moment_rate!$AC48</f>
        <v>7.4493433161470389E-3</v>
      </c>
      <c r="F48" s="1">
        <f t="shared" si="5"/>
        <v>0</v>
      </c>
      <c r="G48">
        <f>moment_rate!I48-0.005</f>
        <v>0.4100000000000002</v>
      </c>
      <c r="H48" s="1">
        <f t="shared" si="6"/>
        <v>0</v>
      </c>
      <c r="I48">
        <f t="shared" si="18"/>
        <v>0</v>
      </c>
      <c r="J48">
        <f t="shared" si="18"/>
        <v>0</v>
      </c>
      <c r="K48">
        <f t="shared" si="18"/>
        <v>0</v>
      </c>
      <c r="L48">
        <f t="shared" si="18"/>
        <v>0</v>
      </c>
      <c r="M48">
        <f t="shared" si="18"/>
        <v>0</v>
      </c>
      <c r="N48">
        <f t="shared" si="18"/>
        <v>0</v>
      </c>
      <c r="O48">
        <f t="shared" si="18"/>
        <v>0</v>
      </c>
      <c r="P48">
        <f t="shared" si="18"/>
        <v>0</v>
      </c>
      <c r="Q48">
        <f t="shared" si="18"/>
        <v>0</v>
      </c>
      <c r="R48">
        <f t="shared" si="18"/>
        <v>0</v>
      </c>
      <c r="S48">
        <f t="shared" si="18"/>
        <v>0</v>
      </c>
      <c r="T48">
        <f t="shared" si="18"/>
        <v>0</v>
      </c>
      <c r="U48">
        <f t="shared" si="18"/>
        <v>0</v>
      </c>
      <c r="V48">
        <f t="shared" si="18"/>
        <v>0</v>
      </c>
      <c r="W48">
        <f t="shared" si="18"/>
        <v>0</v>
      </c>
      <c r="X48">
        <f t="shared" si="18"/>
        <v>0</v>
      </c>
      <c r="Y48">
        <f t="shared" si="16"/>
        <v>0</v>
      </c>
      <c r="Z48">
        <f t="shared" si="16"/>
        <v>0</v>
      </c>
      <c r="AA48">
        <f t="shared" si="16"/>
        <v>0</v>
      </c>
      <c r="AB48">
        <f t="shared" si="16"/>
        <v>0</v>
      </c>
      <c r="AC48">
        <f t="shared" si="16"/>
        <v>0</v>
      </c>
      <c r="AD48">
        <f t="shared" si="16"/>
        <v>0</v>
      </c>
      <c r="AE48">
        <f t="shared" si="16"/>
        <v>0</v>
      </c>
      <c r="AF48">
        <f t="shared" si="16"/>
        <v>0</v>
      </c>
      <c r="AG48">
        <f t="shared" si="16"/>
        <v>0</v>
      </c>
      <c r="AH48">
        <f t="shared" si="16"/>
        <v>0</v>
      </c>
      <c r="AI48">
        <f t="shared" si="16"/>
        <v>0</v>
      </c>
      <c r="AJ48">
        <f t="shared" si="16"/>
        <v>0</v>
      </c>
      <c r="AK48">
        <f t="shared" si="16"/>
        <v>0</v>
      </c>
      <c r="AL48">
        <f t="shared" si="16"/>
        <v>0</v>
      </c>
      <c r="AM48">
        <f t="shared" si="16"/>
        <v>0</v>
      </c>
      <c r="AN48">
        <f t="shared" si="17"/>
        <v>0</v>
      </c>
      <c r="AO48">
        <f t="shared" si="15"/>
        <v>0</v>
      </c>
      <c r="AP48">
        <f t="shared" si="15"/>
        <v>0</v>
      </c>
      <c r="AQ48">
        <f t="shared" si="15"/>
        <v>0</v>
      </c>
      <c r="AR48">
        <f t="shared" si="15"/>
        <v>0</v>
      </c>
    </row>
    <row r="49" spans="5:44" x14ac:dyDescent="0.2">
      <c r="E49" s="1">
        <f>moment_rate!$AC49</f>
        <v>7.4493433161470389E-3</v>
      </c>
      <c r="F49" s="1">
        <f t="shared" si="5"/>
        <v>0</v>
      </c>
      <c r="G49">
        <f>moment_rate!I49-0.005</f>
        <v>0.42000000000000021</v>
      </c>
      <c r="H49" s="1">
        <f t="shared" si="6"/>
        <v>0</v>
      </c>
      <c r="I49">
        <f t="shared" si="18"/>
        <v>0</v>
      </c>
      <c r="J49">
        <f t="shared" si="18"/>
        <v>0</v>
      </c>
      <c r="K49">
        <f t="shared" si="18"/>
        <v>0</v>
      </c>
      <c r="L49">
        <f t="shared" si="18"/>
        <v>0</v>
      </c>
      <c r="M49">
        <f t="shared" si="18"/>
        <v>0</v>
      </c>
      <c r="N49">
        <f t="shared" si="18"/>
        <v>0</v>
      </c>
      <c r="O49">
        <f t="shared" si="18"/>
        <v>0</v>
      </c>
      <c r="P49">
        <f t="shared" si="18"/>
        <v>0</v>
      </c>
      <c r="Q49">
        <f t="shared" si="18"/>
        <v>0</v>
      </c>
      <c r="R49">
        <f t="shared" si="18"/>
        <v>0</v>
      </c>
      <c r="S49">
        <f t="shared" si="18"/>
        <v>0</v>
      </c>
      <c r="T49">
        <f t="shared" si="18"/>
        <v>0</v>
      </c>
      <c r="U49">
        <f t="shared" si="18"/>
        <v>0</v>
      </c>
      <c r="V49">
        <f t="shared" si="18"/>
        <v>0</v>
      </c>
      <c r="W49">
        <f t="shared" si="18"/>
        <v>0</v>
      </c>
      <c r="X49">
        <f t="shared" si="18"/>
        <v>0</v>
      </c>
      <c r="Y49">
        <f t="shared" si="16"/>
        <v>0</v>
      </c>
      <c r="Z49">
        <f t="shared" si="16"/>
        <v>0</v>
      </c>
      <c r="AA49">
        <f t="shared" si="16"/>
        <v>0</v>
      </c>
      <c r="AB49">
        <f t="shared" si="16"/>
        <v>0</v>
      </c>
      <c r="AC49">
        <f t="shared" si="16"/>
        <v>0</v>
      </c>
      <c r="AD49">
        <f t="shared" si="16"/>
        <v>0</v>
      </c>
      <c r="AE49">
        <f t="shared" si="16"/>
        <v>0</v>
      </c>
      <c r="AF49">
        <f t="shared" si="16"/>
        <v>0</v>
      </c>
      <c r="AG49">
        <f t="shared" si="16"/>
        <v>0</v>
      </c>
      <c r="AH49">
        <f t="shared" si="16"/>
        <v>0</v>
      </c>
      <c r="AI49">
        <f t="shared" si="16"/>
        <v>0</v>
      </c>
      <c r="AJ49">
        <f t="shared" si="16"/>
        <v>0</v>
      </c>
      <c r="AK49">
        <f t="shared" si="16"/>
        <v>0</v>
      </c>
      <c r="AL49">
        <f t="shared" si="16"/>
        <v>0</v>
      </c>
      <c r="AM49">
        <f t="shared" si="16"/>
        <v>0</v>
      </c>
      <c r="AN49">
        <f t="shared" si="17"/>
        <v>0</v>
      </c>
      <c r="AO49">
        <f t="shared" si="15"/>
        <v>0</v>
      </c>
      <c r="AP49">
        <f t="shared" si="15"/>
        <v>0</v>
      </c>
      <c r="AQ49">
        <f t="shared" si="15"/>
        <v>0</v>
      </c>
      <c r="AR49">
        <f t="shared" si="15"/>
        <v>0</v>
      </c>
    </row>
    <row r="50" spans="5:44" x14ac:dyDescent="0.2">
      <c r="E50" s="1">
        <f>moment_rate!$AC50</f>
        <v>7.4493433161470389E-3</v>
      </c>
      <c r="F50" s="1">
        <f t="shared" si="5"/>
        <v>0</v>
      </c>
      <c r="G50">
        <f>moment_rate!I50-0.005</f>
        <v>0.43000000000000022</v>
      </c>
      <c r="H50" s="1">
        <f t="shared" si="6"/>
        <v>0</v>
      </c>
      <c r="I50">
        <f t="shared" si="18"/>
        <v>0</v>
      </c>
      <c r="J50">
        <f t="shared" si="18"/>
        <v>0</v>
      </c>
      <c r="K50">
        <f t="shared" si="18"/>
        <v>0</v>
      </c>
      <c r="L50">
        <f t="shared" si="18"/>
        <v>0</v>
      </c>
      <c r="M50">
        <f t="shared" si="18"/>
        <v>0</v>
      </c>
      <c r="N50">
        <f t="shared" si="18"/>
        <v>0</v>
      </c>
      <c r="O50">
        <f t="shared" si="18"/>
        <v>0</v>
      </c>
      <c r="P50">
        <f t="shared" si="18"/>
        <v>0</v>
      </c>
      <c r="Q50">
        <f t="shared" si="18"/>
        <v>0</v>
      </c>
      <c r="R50">
        <f t="shared" si="18"/>
        <v>0</v>
      </c>
      <c r="S50">
        <f t="shared" si="18"/>
        <v>0</v>
      </c>
      <c r="T50">
        <f t="shared" si="18"/>
        <v>0</v>
      </c>
      <c r="U50">
        <f t="shared" si="18"/>
        <v>0</v>
      </c>
      <c r="V50">
        <f t="shared" si="18"/>
        <v>0</v>
      </c>
      <c r="W50">
        <f t="shared" si="18"/>
        <v>0</v>
      </c>
      <c r="X50">
        <f t="shared" si="18"/>
        <v>0</v>
      </c>
      <c r="Y50">
        <f t="shared" si="16"/>
        <v>0</v>
      </c>
      <c r="Z50">
        <f t="shared" si="16"/>
        <v>0</v>
      </c>
      <c r="AA50">
        <f t="shared" si="16"/>
        <v>0</v>
      </c>
      <c r="AB50">
        <f t="shared" si="16"/>
        <v>0</v>
      </c>
      <c r="AC50">
        <f t="shared" si="16"/>
        <v>0</v>
      </c>
      <c r="AD50">
        <f t="shared" si="16"/>
        <v>0</v>
      </c>
      <c r="AE50">
        <f t="shared" si="16"/>
        <v>0</v>
      </c>
      <c r="AF50">
        <f t="shared" si="16"/>
        <v>0</v>
      </c>
      <c r="AG50">
        <f t="shared" si="16"/>
        <v>0</v>
      </c>
      <c r="AH50">
        <f t="shared" si="16"/>
        <v>0</v>
      </c>
      <c r="AI50">
        <f t="shared" si="16"/>
        <v>0</v>
      </c>
      <c r="AJ50">
        <f t="shared" si="16"/>
        <v>0</v>
      </c>
      <c r="AK50">
        <f t="shared" si="16"/>
        <v>0</v>
      </c>
      <c r="AL50">
        <f t="shared" si="16"/>
        <v>0</v>
      </c>
      <c r="AM50">
        <f t="shared" si="16"/>
        <v>0</v>
      </c>
      <c r="AN50">
        <f t="shared" si="17"/>
        <v>0</v>
      </c>
      <c r="AO50">
        <f t="shared" si="15"/>
        <v>0</v>
      </c>
      <c r="AP50">
        <f t="shared" si="15"/>
        <v>0</v>
      </c>
      <c r="AQ50">
        <f t="shared" si="15"/>
        <v>0</v>
      </c>
      <c r="AR50">
        <f t="shared" si="15"/>
        <v>0</v>
      </c>
    </row>
    <row r="51" spans="5:44" x14ac:dyDescent="0.2">
      <c r="E51" s="1">
        <f>moment_rate!$AC51</f>
        <v>7.4493433161470389E-3</v>
      </c>
      <c r="F51" s="1">
        <f t="shared" si="5"/>
        <v>0</v>
      </c>
      <c r="G51">
        <f>moment_rate!I51-0.005</f>
        <v>0.44000000000000022</v>
      </c>
      <c r="H51" s="1">
        <f t="shared" si="6"/>
        <v>0</v>
      </c>
      <c r="I51">
        <f t="shared" si="18"/>
        <v>0</v>
      </c>
      <c r="J51">
        <f t="shared" si="18"/>
        <v>0</v>
      </c>
      <c r="K51">
        <f t="shared" si="18"/>
        <v>0</v>
      </c>
      <c r="L51">
        <f t="shared" si="18"/>
        <v>0</v>
      </c>
      <c r="M51">
        <f t="shared" si="18"/>
        <v>0</v>
      </c>
      <c r="N51">
        <f t="shared" si="18"/>
        <v>0</v>
      </c>
      <c r="O51">
        <f t="shared" si="18"/>
        <v>0</v>
      </c>
      <c r="P51">
        <f t="shared" si="18"/>
        <v>0</v>
      </c>
      <c r="Q51">
        <f t="shared" si="18"/>
        <v>0</v>
      </c>
      <c r="R51">
        <f t="shared" si="18"/>
        <v>0</v>
      </c>
      <c r="S51">
        <f t="shared" si="18"/>
        <v>0</v>
      </c>
      <c r="T51">
        <f t="shared" si="18"/>
        <v>0</v>
      </c>
      <c r="U51">
        <f t="shared" si="18"/>
        <v>0</v>
      </c>
      <c r="V51">
        <f t="shared" si="18"/>
        <v>0</v>
      </c>
      <c r="W51">
        <f t="shared" si="18"/>
        <v>0</v>
      </c>
      <c r="X51">
        <f t="shared" si="18"/>
        <v>0</v>
      </c>
      <c r="Y51">
        <f t="shared" si="16"/>
        <v>0</v>
      </c>
      <c r="Z51">
        <f t="shared" si="16"/>
        <v>0</v>
      </c>
      <c r="AA51">
        <f t="shared" si="16"/>
        <v>0</v>
      </c>
      <c r="AB51">
        <f t="shared" si="16"/>
        <v>0</v>
      </c>
      <c r="AC51">
        <f t="shared" si="16"/>
        <v>0</v>
      </c>
      <c r="AD51">
        <f t="shared" si="16"/>
        <v>0</v>
      </c>
      <c r="AE51">
        <f t="shared" si="16"/>
        <v>0</v>
      </c>
      <c r="AF51">
        <f t="shared" si="16"/>
        <v>0</v>
      </c>
      <c r="AG51">
        <f t="shared" si="16"/>
        <v>0</v>
      </c>
      <c r="AH51">
        <f t="shared" si="16"/>
        <v>0</v>
      </c>
      <c r="AI51">
        <f t="shared" si="16"/>
        <v>0</v>
      </c>
      <c r="AJ51">
        <f t="shared" si="16"/>
        <v>0</v>
      </c>
      <c r="AK51">
        <f t="shared" si="16"/>
        <v>0</v>
      </c>
      <c r="AL51">
        <f t="shared" si="16"/>
        <v>0</v>
      </c>
      <c r="AM51">
        <f t="shared" si="16"/>
        <v>0</v>
      </c>
      <c r="AN51">
        <f t="shared" si="17"/>
        <v>0</v>
      </c>
      <c r="AO51">
        <f t="shared" si="15"/>
        <v>0</v>
      </c>
      <c r="AP51">
        <f t="shared" si="15"/>
        <v>0</v>
      </c>
      <c r="AQ51">
        <f t="shared" si="15"/>
        <v>0</v>
      </c>
      <c r="AR51">
        <f t="shared" si="15"/>
        <v>0</v>
      </c>
    </row>
    <row r="52" spans="5:44" x14ac:dyDescent="0.2">
      <c r="E52" s="1">
        <f>moment_rate!$AC52</f>
        <v>7.4493433161470389E-3</v>
      </c>
      <c r="F52" s="1">
        <f t="shared" si="5"/>
        <v>0</v>
      </c>
      <c r="G52">
        <f>moment_rate!I52-0.005</f>
        <v>0.45000000000000023</v>
      </c>
      <c r="H52" s="1">
        <f t="shared" si="6"/>
        <v>0</v>
      </c>
      <c r="I52">
        <f t="shared" si="18"/>
        <v>0</v>
      </c>
      <c r="J52">
        <f t="shared" si="18"/>
        <v>0</v>
      </c>
      <c r="K52">
        <f t="shared" si="18"/>
        <v>0</v>
      </c>
      <c r="L52">
        <f t="shared" si="18"/>
        <v>0</v>
      </c>
      <c r="M52">
        <f t="shared" si="18"/>
        <v>0</v>
      </c>
      <c r="N52">
        <f t="shared" si="18"/>
        <v>0</v>
      </c>
      <c r="O52">
        <f t="shared" si="18"/>
        <v>0</v>
      </c>
      <c r="P52">
        <f t="shared" si="18"/>
        <v>0</v>
      </c>
      <c r="Q52">
        <f t="shared" si="18"/>
        <v>0</v>
      </c>
      <c r="R52">
        <f t="shared" si="18"/>
        <v>0</v>
      </c>
      <c r="S52">
        <f t="shared" si="18"/>
        <v>0</v>
      </c>
      <c r="T52">
        <f t="shared" si="18"/>
        <v>0</v>
      </c>
      <c r="U52">
        <f t="shared" si="18"/>
        <v>0</v>
      </c>
      <c r="V52">
        <f t="shared" si="18"/>
        <v>0</v>
      </c>
      <c r="W52">
        <f t="shared" si="18"/>
        <v>0</v>
      </c>
      <c r="X52">
        <f t="shared" si="18"/>
        <v>0</v>
      </c>
      <c r="Y52">
        <f t="shared" si="16"/>
        <v>0</v>
      </c>
      <c r="Z52">
        <f t="shared" si="16"/>
        <v>0</v>
      </c>
      <c r="AA52">
        <f t="shared" si="16"/>
        <v>0</v>
      </c>
      <c r="AB52">
        <f t="shared" si="16"/>
        <v>0</v>
      </c>
      <c r="AC52">
        <f t="shared" si="16"/>
        <v>0</v>
      </c>
      <c r="AD52">
        <f t="shared" si="16"/>
        <v>0</v>
      </c>
      <c r="AE52">
        <f t="shared" si="16"/>
        <v>0</v>
      </c>
      <c r="AF52">
        <f t="shared" si="16"/>
        <v>0</v>
      </c>
      <c r="AG52">
        <f t="shared" si="16"/>
        <v>0</v>
      </c>
      <c r="AH52">
        <f t="shared" si="16"/>
        <v>0</v>
      </c>
      <c r="AI52">
        <f t="shared" si="16"/>
        <v>0</v>
      </c>
      <c r="AJ52">
        <f t="shared" si="16"/>
        <v>0</v>
      </c>
      <c r="AK52">
        <f t="shared" si="16"/>
        <v>0</v>
      </c>
      <c r="AL52">
        <f t="shared" si="16"/>
        <v>0</v>
      </c>
      <c r="AM52">
        <f t="shared" si="16"/>
        <v>0</v>
      </c>
      <c r="AN52">
        <f t="shared" si="17"/>
        <v>0</v>
      </c>
      <c r="AO52">
        <f t="shared" si="15"/>
        <v>0</v>
      </c>
      <c r="AP52">
        <f t="shared" si="15"/>
        <v>0</v>
      </c>
      <c r="AQ52">
        <f t="shared" si="15"/>
        <v>0</v>
      </c>
      <c r="AR52">
        <f t="shared" si="15"/>
        <v>0</v>
      </c>
    </row>
    <row r="53" spans="5:44" x14ac:dyDescent="0.2">
      <c r="E53" s="1">
        <f>moment_rate!$AC53</f>
        <v>7.4493433161470389E-3</v>
      </c>
      <c r="F53" s="1">
        <f t="shared" si="5"/>
        <v>0</v>
      </c>
      <c r="G53">
        <f>moment_rate!I53-0.005</f>
        <v>0.46000000000000024</v>
      </c>
      <c r="H53" s="1">
        <f t="shared" si="6"/>
        <v>0</v>
      </c>
      <c r="I53">
        <f t="shared" si="18"/>
        <v>0</v>
      </c>
      <c r="J53">
        <f t="shared" si="18"/>
        <v>0</v>
      </c>
      <c r="K53">
        <f t="shared" si="18"/>
        <v>0</v>
      </c>
      <c r="L53">
        <f t="shared" si="18"/>
        <v>0</v>
      </c>
      <c r="M53">
        <f t="shared" si="18"/>
        <v>0</v>
      </c>
      <c r="N53">
        <f t="shared" si="18"/>
        <v>0</v>
      </c>
      <c r="O53">
        <f t="shared" si="18"/>
        <v>0</v>
      </c>
      <c r="P53">
        <f t="shared" si="18"/>
        <v>0</v>
      </c>
      <c r="Q53">
        <f t="shared" si="18"/>
        <v>0</v>
      </c>
      <c r="R53">
        <f t="shared" si="18"/>
        <v>0</v>
      </c>
      <c r="S53">
        <f t="shared" si="18"/>
        <v>0</v>
      </c>
      <c r="T53">
        <f t="shared" si="18"/>
        <v>0</v>
      </c>
      <c r="U53">
        <f t="shared" si="18"/>
        <v>0</v>
      </c>
      <c r="V53">
        <f t="shared" si="18"/>
        <v>0</v>
      </c>
      <c r="W53">
        <f t="shared" si="18"/>
        <v>0</v>
      </c>
      <c r="X53">
        <f t="shared" si="18"/>
        <v>0</v>
      </c>
      <c r="Y53">
        <f t="shared" si="16"/>
        <v>0</v>
      </c>
      <c r="Z53">
        <f t="shared" si="16"/>
        <v>0</v>
      </c>
      <c r="AA53">
        <f t="shared" si="16"/>
        <v>0</v>
      </c>
      <c r="AB53">
        <f t="shared" si="16"/>
        <v>0</v>
      </c>
      <c r="AC53">
        <f t="shared" si="16"/>
        <v>0</v>
      </c>
      <c r="AD53">
        <f t="shared" si="16"/>
        <v>0</v>
      </c>
      <c r="AE53">
        <f t="shared" si="16"/>
        <v>0</v>
      </c>
      <c r="AF53">
        <f t="shared" si="16"/>
        <v>0</v>
      </c>
      <c r="AG53">
        <f t="shared" si="16"/>
        <v>0</v>
      </c>
      <c r="AH53">
        <f t="shared" si="16"/>
        <v>0</v>
      </c>
      <c r="AI53">
        <f t="shared" si="16"/>
        <v>0</v>
      </c>
      <c r="AJ53">
        <f t="shared" si="16"/>
        <v>0</v>
      </c>
      <c r="AK53">
        <f t="shared" si="16"/>
        <v>0</v>
      </c>
      <c r="AL53">
        <f t="shared" si="16"/>
        <v>0</v>
      </c>
      <c r="AM53">
        <f t="shared" si="16"/>
        <v>0</v>
      </c>
      <c r="AN53">
        <f t="shared" si="17"/>
        <v>0</v>
      </c>
      <c r="AO53">
        <f t="shared" si="15"/>
        <v>0</v>
      </c>
      <c r="AP53">
        <f t="shared" si="15"/>
        <v>0</v>
      </c>
      <c r="AQ53">
        <f t="shared" si="15"/>
        <v>0</v>
      </c>
      <c r="AR53">
        <f t="shared" si="15"/>
        <v>0</v>
      </c>
    </row>
    <row r="54" spans="5:44" x14ac:dyDescent="0.2">
      <c r="E54" s="1">
        <f>moment_rate!$AC54</f>
        <v>7.4493433161470389E-3</v>
      </c>
      <c r="F54" s="1">
        <f t="shared" si="5"/>
        <v>0</v>
      </c>
      <c r="G54">
        <f>moment_rate!I54-0.005</f>
        <v>0.47000000000000025</v>
      </c>
      <c r="H54" s="1">
        <f t="shared" si="6"/>
        <v>0</v>
      </c>
      <c r="I54">
        <f t="shared" si="18"/>
        <v>0</v>
      </c>
      <c r="J54">
        <f t="shared" si="18"/>
        <v>0</v>
      </c>
      <c r="K54">
        <f t="shared" si="18"/>
        <v>0</v>
      </c>
      <c r="L54">
        <f t="shared" si="18"/>
        <v>0</v>
      </c>
      <c r="M54">
        <f t="shared" si="18"/>
        <v>0</v>
      </c>
      <c r="N54">
        <f t="shared" si="18"/>
        <v>0</v>
      </c>
      <c r="O54">
        <f t="shared" si="18"/>
        <v>0</v>
      </c>
      <c r="P54">
        <f t="shared" si="18"/>
        <v>0</v>
      </c>
      <c r="Q54">
        <f t="shared" si="18"/>
        <v>0</v>
      </c>
      <c r="R54">
        <f t="shared" si="18"/>
        <v>0</v>
      </c>
      <c r="S54">
        <f t="shared" si="18"/>
        <v>0</v>
      </c>
      <c r="T54">
        <f t="shared" si="18"/>
        <v>0</v>
      </c>
      <c r="U54">
        <f t="shared" si="18"/>
        <v>0</v>
      </c>
      <c r="V54">
        <f t="shared" si="18"/>
        <v>0</v>
      </c>
      <c r="W54">
        <f t="shared" si="18"/>
        <v>0</v>
      </c>
      <c r="X54">
        <f t="shared" si="18"/>
        <v>0</v>
      </c>
      <c r="Y54">
        <f t="shared" si="16"/>
        <v>0</v>
      </c>
      <c r="Z54">
        <f t="shared" si="16"/>
        <v>0</v>
      </c>
      <c r="AA54">
        <f t="shared" si="16"/>
        <v>0</v>
      </c>
      <c r="AB54">
        <f t="shared" si="16"/>
        <v>0</v>
      </c>
      <c r="AC54">
        <f t="shared" si="16"/>
        <v>0</v>
      </c>
      <c r="AD54">
        <f t="shared" si="16"/>
        <v>0</v>
      </c>
      <c r="AE54">
        <f t="shared" si="16"/>
        <v>0</v>
      </c>
      <c r="AF54">
        <f t="shared" si="16"/>
        <v>0</v>
      </c>
      <c r="AG54">
        <f t="shared" si="16"/>
        <v>0</v>
      </c>
      <c r="AH54">
        <f t="shared" si="16"/>
        <v>0</v>
      </c>
      <c r="AI54">
        <f t="shared" si="16"/>
        <v>0</v>
      </c>
      <c r="AJ54">
        <f t="shared" si="16"/>
        <v>0</v>
      </c>
      <c r="AK54">
        <f t="shared" si="16"/>
        <v>0</v>
      </c>
      <c r="AL54">
        <f t="shared" si="16"/>
        <v>0</v>
      </c>
      <c r="AM54">
        <f t="shared" si="16"/>
        <v>0</v>
      </c>
      <c r="AN54">
        <f t="shared" si="17"/>
        <v>0</v>
      </c>
      <c r="AO54">
        <f t="shared" si="15"/>
        <v>0</v>
      </c>
      <c r="AP54">
        <f t="shared" si="15"/>
        <v>0</v>
      </c>
      <c r="AQ54">
        <f t="shared" si="15"/>
        <v>0</v>
      </c>
      <c r="AR54">
        <f t="shared" si="15"/>
        <v>0</v>
      </c>
    </row>
    <row r="55" spans="5:44" x14ac:dyDescent="0.2">
      <c r="E55" s="1">
        <f>moment_rate!$AC55</f>
        <v>7.4493433161470389E-3</v>
      </c>
      <c r="F55" s="1">
        <f t="shared" si="5"/>
        <v>0</v>
      </c>
      <c r="G55">
        <f>moment_rate!I55-0.005</f>
        <v>0.48000000000000026</v>
      </c>
      <c r="H55" s="1">
        <f t="shared" si="6"/>
        <v>0</v>
      </c>
      <c r="I55">
        <f t="shared" si="18"/>
        <v>0</v>
      </c>
      <c r="J55">
        <f t="shared" si="18"/>
        <v>0</v>
      </c>
      <c r="K55">
        <f t="shared" si="18"/>
        <v>0</v>
      </c>
      <c r="L55">
        <f t="shared" si="18"/>
        <v>0</v>
      </c>
      <c r="M55">
        <f t="shared" si="18"/>
        <v>0</v>
      </c>
      <c r="N55">
        <f t="shared" si="18"/>
        <v>0</v>
      </c>
      <c r="O55">
        <f t="shared" si="18"/>
        <v>0</v>
      </c>
      <c r="P55">
        <f t="shared" si="18"/>
        <v>0</v>
      </c>
      <c r="Q55">
        <f t="shared" si="18"/>
        <v>0</v>
      </c>
      <c r="R55">
        <f t="shared" si="18"/>
        <v>0</v>
      </c>
      <c r="S55">
        <f t="shared" si="18"/>
        <v>0</v>
      </c>
      <c r="T55">
        <f t="shared" si="18"/>
        <v>0</v>
      </c>
      <c r="U55">
        <f t="shared" si="18"/>
        <v>0</v>
      </c>
      <c r="V55">
        <f t="shared" si="18"/>
        <v>0</v>
      </c>
      <c r="W55">
        <f t="shared" si="18"/>
        <v>0</v>
      </c>
      <c r="X55">
        <f t="shared" si="18"/>
        <v>0</v>
      </c>
      <c r="Y55">
        <f t="shared" si="16"/>
        <v>0</v>
      </c>
      <c r="Z55">
        <f t="shared" si="16"/>
        <v>0</v>
      </c>
      <c r="AA55">
        <f t="shared" si="16"/>
        <v>0</v>
      </c>
      <c r="AB55">
        <f t="shared" si="16"/>
        <v>0</v>
      </c>
      <c r="AC55">
        <f t="shared" si="16"/>
        <v>0</v>
      </c>
      <c r="AD55">
        <f t="shared" si="16"/>
        <v>0</v>
      </c>
      <c r="AE55">
        <f t="shared" si="16"/>
        <v>0</v>
      </c>
      <c r="AF55">
        <f t="shared" si="16"/>
        <v>0</v>
      </c>
      <c r="AG55">
        <f t="shared" si="16"/>
        <v>0</v>
      </c>
      <c r="AH55">
        <f t="shared" si="16"/>
        <v>0</v>
      </c>
      <c r="AI55">
        <f t="shared" si="16"/>
        <v>0</v>
      </c>
      <c r="AJ55">
        <f t="shared" si="16"/>
        <v>0</v>
      </c>
      <c r="AK55">
        <f t="shared" si="16"/>
        <v>0</v>
      </c>
      <c r="AL55">
        <f t="shared" si="16"/>
        <v>0</v>
      </c>
      <c r="AM55">
        <f t="shared" si="16"/>
        <v>0</v>
      </c>
      <c r="AN55">
        <f t="shared" si="17"/>
        <v>0</v>
      </c>
      <c r="AO55">
        <f t="shared" si="15"/>
        <v>0</v>
      </c>
      <c r="AP55">
        <f t="shared" si="15"/>
        <v>0</v>
      </c>
      <c r="AQ55">
        <f t="shared" si="15"/>
        <v>0</v>
      </c>
      <c r="AR55">
        <f t="shared" si="15"/>
        <v>0</v>
      </c>
    </row>
    <row r="56" spans="5:44" x14ac:dyDescent="0.2">
      <c r="E56" s="1">
        <f>moment_rate!$AC56</f>
        <v>7.4493433161470389E-3</v>
      </c>
      <c r="F56" s="1">
        <f t="shared" si="5"/>
        <v>0</v>
      </c>
      <c r="G56">
        <f>moment_rate!I56-0.005</f>
        <v>0.49000000000000027</v>
      </c>
      <c r="H56" s="1">
        <f t="shared" si="6"/>
        <v>0</v>
      </c>
      <c r="I56">
        <f t="shared" si="18"/>
        <v>0</v>
      </c>
      <c r="J56">
        <f t="shared" si="18"/>
        <v>0</v>
      </c>
      <c r="K56">
        <f t="shared" si="18"/>
        <v>0</v>
      </c>
      <c r="L56">
        <f t="shared" si="18"/>
        <v>0</v>
      </c>
      <c r="M56">
        <f t="shared" si="18"/>
        <v>0</v>
      </c>
      <c r="N56">
        <f t="shared" si="18"/>
        <v>0</v>
      </c>
      <c r="O56">
        <f t="shared" si="18"/>
        <v>0</v>
      </c>
      <c r="P56">
        <f t="shared" si="18"/>
        <v>0</v>
      </c>
      <c r="Q56">
        <f t="shared" si="18"/>
        <v>0</v>
      </c>
      <c r="R56">
        <f t="shared" si="18"/>
        <v>0</v>
      </c>
      <c r="S56">
        <f t="shared" si="18"/>
        <v>0</v>
      </c>
      <c r="T56">
        <f t="shared" si="18"/>
        <v>0</v>
      </c>
      <c r="U56">
        <f t="shared" si="18"/>
        <v>0</v>
      </c>
      <c r="V56">
        <f t="shared" si="18"/>
        <v>0</v>
      </c>
      <c r="W56">
        <f t="shared" si="18"/>
        <v>0</v>
      </c>
      <c r="X56">
        <f t="shared" si="18"/>
        <v>0</v>
      </c>
      <c r="Y56">
        <f t="shared" si="16"/>
        <v>0</v>
      </c>
      <c r="Z56">
        <f t="shared" si="16"/>
        <v>0</v>
      </c>
      <c r="AA56">
        <f t="shared" si="16"/>
        <v>0</v>
      </c>
      <c r="AB56">
        <f t="shared" si="16"/>
        <v>0</v>
      </c>
      <c r="AC56">
        <f t="shared" si="16"/>
        <v>0</v>
      </c>
      <c r="AD56">
        <f t="shared" si="16"/>
        <v>0</v>
      </c>
      <c r="AE56">
        <f t="shared" si="16"/>
        <v>0</v>
      </c>
      <c r="AF56">
        <f t="shared" si="16"/>
        <v>0</v>
      </c>
      <c r="AG56">
        <f t="shared" si="16"/>
        <v>0</v>
      </c>
      <c r="AH56">
        <f t="shared" si="16"/>
        <v>0</v>
      </c>
      <c r="AI56">
        <f t="shared" si="16"/>
        <v>0</v>
      </c>
      <c r="AJ56">
        <f t="shared" si="16"/>
        <v>0</v>
      </c>
      <c r="AK56">
        <f t="shared" si="16"/>
        <v>0</v>
      </c>
      <c r="AL56">
        <f t="shared" si="16"/>
        <v>0</v>
      </c>
      <c r="AM56">
        <f t="shared" si="16"/>
        <v>0</v>
      </c>
      <c r="AN56">
        <f t="shared" si="17"/>
        <v>0</v>
      </c>
      <c r="AO56">
        <f t="shared" si="15"/>
        <v>0</v>
      </c>
      <c r="AP56">
        <f t="shared" si="15"/>
        <v>0</v>
      </c>
      <c r="AQ56">
        <f t="shared" si="15"/>
        <v>0</v>
      </c>
      <c r="AR56">
        <f t="shared" si="15"/>
        <v>0</v>
      </c>
    </row>
    <row r="57" spans="5:44" x14ac:dyDescent="0.2">
      <c r="E57" s="1">
        <f>moment_rate!$AC57</f>
        <v>7.4493433161470389E-3</v>
      </c>
      <c r="F57" s="1">
        <f t="shared" si="5"/>
        <v>0</v>
      </c>
      <c r="G57">
        <f>moment_rate!I57-0.005</f>
        <v>0.50000000000000022</v>
      </c>
      <c r="H57" s="1">
        <f t="shared" si="6"/>
        <v>0</v>
      </c>
      <c r="I57">
        <f t="shared" si="18"/>
        <v>0</v>
      </c>
      <c r="J57">
        <f t="shared" si="18"/>
        <v>0</v>
      </c>
      <c r="K57">
        <f t="shared" si="18"/>
        <v>0</v>
      </c>
      <c r="L57">
        <f t="shared" si="18"/>
        <v>0</v>
      </c>
      <c r="M57">
        <f t="shared" si="18"/>
        <v>0</v>
      </c>
      <c r="N57">
        <f t="shared" si="18"/>
        <v>0</v>
      </c>
      <c r="O57">
        <f t="shared" si="18"/>
        <v>0</v>
      </c>
      <c r="P57">
        <f t="shared" si="18"/>
        <v>0</v>
      </c>
      <c r="Q57">
        <f t="shared" si="18"/>
        <v>0</v>
      </c>
      <c r="R57">
        <f t="shared" si="18"/>
        <v>0</v>
      </c>
      <c r="S57">
        <f t="shared" si="18"/>
        <v>0</v>
      </c>
      <c r="T57">
        <f t="shared" si="18"/>
        <v>0</v>
      </c>
      <c r="U57">
        <f t="shared" si="18"/>
        <v>0</v>
      </c>
      <c r="V57">
        <f t="shared" si="18"/>
        <v>0</v>
      </c>
      <c r="W57">
        <f t="shared" si="18"/>
        <v>0</v>
      </c>
      <c r="X57">
        <f t="shared" si="18"/>
        <v>0</v>
      </c>
      <c r="Y57">
        <f t="shared" si="16"/>
        <v>0</v>
      </c>
      <c r="Z57">
        <f t="shared" si="16"/>
        <v>0</v>
      </c>
      <c r="AA57">
        <f t="shared" si="16"/>
        <v>0</v>
      </c>
      <c r="AB57">
        <f t="shared" si="16"/>
        <v>0</v>
      </c>
      <c r="AC57">
        <f t="shared" si="16"/>
        <v>0</v>
      </c>
      <c r="AD57">
        <f t="shared" si="16"/>
        <v>0</v>
      </c>
      <c r="AE57">
        <f t="shared" si="16"/>
        <v>0</v>
      </c>
      <c r="AF57">
        <f t="shared" si="16"/>
        <v>0</v>
      </c>
      <c r="AG57">
        <f t="shared" si="16"/>
        <v>0</v>
      </c>
      <c r="AH57">
        <f t="shared" si="16"/>
        <v>0</v>
      </c>
      <c r="AI57">
        <f t="shared" si="16"/>
        <v>0</v>
      </c>
      <c r="AJ57">
        <f t="shared" si="16"/>
        <v>0</v>
      </c>
      <c r="AK57">
        <f t="shared" si="16"/>
        <v>0</v>
      </c>
      <c r="AL57">
        <f t="shared" si="16"/>
        <v>0</v>
      </c>
      <c r="AM57">
        <f t="shared" si="16"/>
        <v>0</v>
      </c>
      <c r="AN57">
        <f t="shared" si="17"/>
        <v>0</v>
      </c>
      <c r="AO57">
        <f t="shared" si="15"/>
        <v>0</v>
      </c>
      <c r="AP57">
        <f t="shared" si="15"/>
        <v>0</v>
      </c>
      <c r="AQ57">
        <f t="shared" si="15"/>
        <v>0</v>
      </c>
      <c r="AR57">
        <f t="shared" si="15"/>
        <v>0</v>
      </c>
    </row>
    <row r="58" spans="5:44" x14ac:dyDescent="0.2">
      <c r="E58" s="1">
        <f>moment_rate!$AC58</f>
        <v>7.4493433161470389E-3</v>
      </c>
      <c r="F58" s="1">
        <f t="shared" si="5"/>
        <v>0</v>
      </c>
      <c r="G58">
        <f>moment_rate!I58-0.005</f>
        <v>0.51000000000000023</v>
      </c>
      <c r="H58" s="1">
        <f t="shared" si="6"/>
        <v>0</v>
      </c>
      <c r="I58">
        <f t="shared" si="18"/>
        <v>0</v>
      </c>
      <c r="J58">
        <f t="shared" si="18"/>
        <v>0</v>
      </c>
      <c r="K58">
        <f t="shared" si="18"/>
        <v>0</v>
      </c>
      <c r="L58">
        <f t="shared" si="18"/>
        <v>0</v>
      </c>
      <c r="M58">
        <f t="shared" si="18"/>
        <v>0</v>
      </c>
      <c r="N58">
        <f t="shared" si="18"/>
        <v>0</v>
      </c>
      <c r="O58">
        <f t="shared" si="18"/>
        <v>0</v>
      </c>
      <c r="P58">
        <f t="shared" si="18"/>
        <v>0</v>
      </c>
      <c r="Q58">
        <f t="shared" si="18"/>
        <v>0</v>
      </c>
      <c r="R58">
        <f t="shared" si="18"/>
        <v>0</v>
      </c>
      <c r="S58">
        <f t="shared" si="18"/>
        <v>0</v>
      </c>
      <c r="T58">
        <f t="shared" si="18"/>
        <v>0</v>
      </c>
      <c r="U58">
        <f t="shared" si="18"/>
        <v>0</v>
      </c>
      <c r="V58">
        <f t="shared" si="18"/>
        <v>0</v>
      </c>
      <c r="W58">
        <f t="shared" si="18"/>
        <v>0</v>
      </c>
      <c r="X58">
        <f t="shared" si="18"/>
        <v>0</v>
      </c>
      <c r="Y58">
        <f t="shared" si="16"/>
        <v>0</v>
      </c>
      <c r="Z58">
        <f t="shared" si="16"/>
        <v>0</v>
      </c>
      <c r="AA58">
        <f t="shared" si="16"/>
        <v>0</v>
      </c>
      <c r="AB58">
        <f t="shared" si="16"/>
        <v>0</v>
      </c>
      <c r="AC58">
        <f t="shared" si="16"/>
        <v>0</v>
      </c>
      <c r="AD58">
        <f t="shared" si="16"/>
        <v>0</v>
      </c>
      <c r="AE58">
        <f t="shared" si="16"/>
        <v>0</v>
      </c>
      <c r="AF58">
        <f t="shared" si="16"/>
        <v>0</v>
      </c>
      <c r="AG58">
        <f t="shared" si="16"/>
        <v>0</v>
      </c>
      <c r="AH58">
        <f t="shared" si="16"/>
        <v>0</v>
      </c>
      <c r="AI58">
        <f t="shared" si="16"/>
        <v>0</v>
      </c>
      <c r="AJ58">
        <f t="shared" si="16"/>
        <v>0</v>
      </c>
      <c r="AK58">
        <f t="shared" si="16"/>
        <v>0</v>
      </c>
      <c r="AL58">
        <f t="shared" si="16"/>
        <v>0</v>
      </c>
      <c r="AM58">
        <f t="shared" si="16"/>
        <v>0</v>
      </c>
      <c r="AN58">
        <f t="shared" si="17"/>
        <v>0</v>
      </c>
      <c r="AO58">
        <f t="shared" si="15"/>
        <v>0</v>
      </c>
      <c r="AP58">
        <f t="shared" si="15"/>
        <v>0</v>
      </c>
      <c r="AQ58">
        <f t="shared" si="15"/>
        <v>0</v>
      </c>
      <c r="AR58">
        <f t="shared" si="15"/>
        <v>0</v>
      </c>
    </row>
    <row r="59" spans="5:44" x14ac:dyDescent="0.2">
      <c r="E59" s="1">
        <f>moment_rate!$AC59</f>
        <v>7.4493433161470389E-3</v>
      </c>
      <c r="F59" s="1">
        <f t="shared" si="5"/>
        <v>0</v>
      </c>
      <c r="G59">
        <f>moment_rate!I59-0.005</f>
        <v>0.52000000000000024</v>
      </c>
      <c r="H59" s="1">
        <f t="shared" si="6"/>
        <v>0</v>
      </c>
      <c r="I59">
        <f t="shared" si="18"/>
        <v>0</v>
      </c>
      <c r="J59">
        <f t="shared" si="18"/>
        <v>0</v>
      </c>
      <c r="K59">
        <f t="shared" si="18"/>
        <v>0</v>
      </c>
      <c r="L59">
        <f t="shared" si="18"/>
        <v>0</v>
      </c>
      <c r="M59">
        <f t="shared" si="18"/>
        <v>0</v>
      </c>
      <c r="N59">
        <f t="shared" si="18"/>
        <v>0</v>
      </c>
      <c r="O59">
        <f t="shared" si="18"/>
        <v>0</v>
      </c>
      <c r="P59">
        <f t="shared" si="18"/>
        <v>0</v>
      </c>
      <c r="Q59">
        <f t="shared" si="18"/>
        <v>0</v>
      </c>
      <c r="R59">
        <f t="shared" si="18"/>
        <v>0</v>
      </c>
      <c r="S59">
        <f t="shared" si="18"/>
        <v>0</v>
      </c>
      <c r="T59">
        <f t="shared" si="18"/>
        <v>0</v>
      </c>
      <c r="U59">
        <f t="shared" si="18"/>
        <v>0</v>
      </c>
      <c r="V59">
        <f t="shared" si="18"/>
        <v>0</v>
      </c>
      <c r="W59">
        <f t="shared" si="18"/>
        <v>0</v>
      </c>
      <c r="X59">
        <f t="shared" si="18"/>
        <v>0</v>
      </c>
      <c r="Y59">
        <f t="shared" si="16"/>
        <v>0</v>
      </c>
      <c r="Z59">
        <f t="shared" si="16"/>
        <v>0</v>
      </c>
      <c r="AA59">
        <f t="shared" si="16"/>
        <v>0</v>
      </c>
      <c r="AB59">
        <f t="shared" si="16"/>
        <v>0</v>
      </c>
      <c r="AC59">
        <f t="shared" si="16"/>
        <v>0</v>
      </c>
      <c r="AD59">
        <f t="shared" si="16"/>
        <v>0</v>
      </c>
      <c r="AE59">
        <f t="shared" si="16"/>
        <v>0</v>
      </c>
      <c r="AF59">
        <f t="shared" si="16"/>
        <v>0</v>
      </c>
      <c r="AG59">
        <f t="shared" si="16"/>
        <v>0</v>
      </c>
      <c r="AH59">
        <f t="shared" si="16"/>
        <v>0</v>
      </c>
      <c r="AI59">
        <f t="shared" si="16"/>
        <v>0</v>
      </c>
      <c r="AJ59">
        <f t="shared" si="16"/>
        <v>0</v>
      </c>
      <c r="AK59">
        <f t="shared" si="16"/>
        <v>0</v>
      </c>
      <c r="AL59">
        <f t="shared" si="16"/>
        <v>0</v>
      </c>
      <c r="AM59">
        <f t="shared" si="16"/>
        <v>0</v>
      </c>
      <c r="AN59">
        <f t="shared" si="17"/>
        <v>0</v>
      </c>
      <c r="AO59">
        <f t="shared" si="15"/>
        <v>0</v>
      </c>
      <c r="AP59">
        <f t="shared" si="15"/>
        <v>0</v>
      </c>
      <c r="AQ59">
        <f t="shared" si="15"/>
        <v>0</v>
      </c>
      <c r="AR59">
        <f t="shared" si="15"/>
        <v>0</v>
      </c>
    </row>
    <row r="60" spans="5:44" x14ac:dyDescent="0.2">
      <c r="E60" s="1">
        <f>moment_rate!$AC60</f>
        <v>7.4493433161470389E-3</v>
      </c>
      <c r="F60" s="1">
        <f t="shared" si="5"/>
        <v>0</v>
      </c>
      <c r="G60">
        <f>moment_rate!I60-0.005</f>
        <v>0.53000000000000025</v>
      </c>
      <c r="H60" s="1">
        <f t="shared" si="6"/>
        <v>0</v>
      </c>
      <c r="I60">
        <f t="shared" si="18"/>
        <v>0</v>
      </c>
      <c r="J60">
        <f t="shared" si="18"/>
        <v>0</v>
      </c>
      <c r="K60">
        <f t="shared" si="18"/>
        <v>0</v>
      </c>
      <c r="L60">
        <f t="shared" si="18"/>
        <v>0</v>
      </c>
      <c r="M60">
        <f t="shared" si="18"/>
        <v>0</v>
      </c>
      <c r="N60">
        <f t="shared" si="18"/>
        <v>0</v>
      </c>
      <c r="O60">
        <f t="shared" si="18"/>
        <v>0</v>
      </c>
      <c r="P60">
        <f t="shared" si="18"/>
        <v>0</v>
      </c>
      <c r="Q60">
        <f t="shared" si="18"/>
        <v>0</v>
      </c>
      <c r="R60">
        <f t="shared" si="18"/>
        <v>0</v>
      </c>
      <c r="S60">
        <f t="shared" si="18"/>
        <v>0</v>
      </c>
      <c r="T60">
        <f t="shared" si="18"/>
        <v>0</v>
      </c>
      <c r="U60">
        <f t="shared" si="18"/>
        <v>0</v>
      </c>
      <c r="V60">
        <f t="shared" si="18"/>
        <v>0</v>
      </c>
      <c r="W60">
        <f t="shared" si="18"/>
        <v>0</v>
      </c>
      <c r="X60">
        <f t="shared" si="18"/>
        <v>0</v>
      </c>
      <c r="Y60">
        <f t="shared" si="16"/>
        <v>0</v>
      </c>
      <c r="Z60">
        <f t="shared" si="16"/>
        <v>0</v>
      </c>
      <c r="AA60">
        <f t="shared" si="16"/>
        <v>0</v>
      </c>
      <c r="AB60">
        <f t="shared" si="16"/>
        <v>0</v>
      </c>
      <c r="AC60">
        <f t="shared" si="16"/>
        <v>0</v>
      </c>
      <c r="AD60">
        <f t="shared" si="16"/>
        <v>0</v>
      </c>
      <c r="AE60">
        <f t="shared" si="16"/>
        <v>0</v>
      </c>
      <c r="AF60">
        <f t="shared" si="16"/>
        <v>0</v>
      </c>
      <c r="AG60">
        <f t="shared" si="16"/>
        <v>0</v>
      </c>
      <c r="AH60">
        <f t="shared" si="16"/>
        <v>0</v>
      </c>
      <c r="AI60">
        <f t="shared" si="16"/>
        <v>0</v>
      </c>
      <c r="AJ60">
        <f t="shared" si="16"/>
        <v>0</v>
      </c>
      <c r="AK60">
        <f t="shared" si="16"/>
        <v>0</v>
      </c>
      <c r="AL60">
        <f t="shared" si="16"/>
        <v>0</v>
      </c>
      <c r="AM60">
        <f t="shared" si="16"/>
        <v>0</v>
      </c>
      <c r="AN60">
        <f t="shared" si="17"/>
        <v>0</v>
      </c>
      <c r="AO60">
        <f t="shared" si="15"/>
        <v>0</v>
      </c>
      <c r="AP60">
        <f t="shared" si="15"/>
        <v>0</v>
      </c>
      <c r="AQ60">
        <f t="shared" si="15"/>
        <v>0</v>
      </c>
      <c r="AR60">
        <f t="shared" si="15"/>
        <v>0</v>
      </c>
    </row>
    <row r="61" spans="5:44" x14ac:dyDescent="0.2">
      <c r="E61" s="1">
        <f>moment_rate!$AC61</f>
        <v>7.4493433161470389E-3</v>
      </c>
      <c r="F61" s="1">
        <f t="shared" si="5"/>
        <v>0</v>
      </c>
      <c r="G61">
        <f>moment_rate!I61-0.005</f>
        <v>0.54000000000000026</v>
      </c>
      <c r="H61" s="1">
        <f t="shared" si="6"/>
        <v>0</v>
      </c>
      <c r="I61">
        <f t="shared" si="18"/>
        <v>0</v>
      </c>
      <c r="J61">
        <f t="shared" si="18"/>
        <v>0</v>
      </c>
      <c r="K61">
        <f t="shared" si="18"/>
        <v>0</v>
      </c>
      <c r="L61">
        <f t="shared" si="18"/>
        <v>0</v>
      </c>
      <c r="M61">
        <f t="shared" si="18"/>
        <v>0</v>
      </c>
      <c r="N61">
        <f t="shared" si="18"/>
        <v>0</v>
      </c>
      <c r="O61">
        <f t="shared" si="18"/>
        <v>0</v>
      </c>
      <c r="P61">
        <f t="shared" si="18"/>
        <v>0</v>
      </c>
      <c r="Q61">
        <f t="shared" si="18"/>
        <v>0</v>
      </c>
      <c r="R61">
        <f t="shared" si="18"/>
        <v>0</v>
      </c>
      <c r="S61">
        <f t="shared" si="18"/>
        <v>0</v>
      </c>
      <c r="T61">
        <f t="shared" si="18"/>
        <v>0</v>
      </c>
      <c r="U61">
        <f t="shared" si="18"/>
        <v>0</v>
      </c>
      <c r="V61">
        <f t="shared" si="18"/>
        <v>0</v>
      </c>
      <c r="W61">
        <f t="shared" si="18"/>
        <v>0</v>
      </c>
      <c r="X61">
        <f t="shared" si="18"/>
        <v>0</v>
      </c>
      <c r="Y61">
        <f t="shared" si="16"/>
        <v>0</v>
      </c>
      <c r="Z61">
        <f t="shared" si="16"/>
        <v>0</v>
      </c>
      <c r="AA61">
        <f t="shared" si="16"/>
        <v>0</v>
      </c>
      <c r="AB61">
        <f t="shared" si="16"/>
        <v>0</v>
      </c>
      <c r="AC61">
        <f t="shared" si="16"/>
        <v>0</v>
      </c>
      <c r="AD61">
        <f t="shared" si="16"/>
        <v>0</v>
      </c>
      <c r="AE61">
        <f t="shared" si="16"/>
        <v>0</v>
      </c>
      <c r="AF61">
        <f t="shared" si="16"/>
        <v>0</v>
      </c>
      <c r="AG61">
        <f t="shared" si="16"/>
        <v>0</v>
      </c>
      <c r="AH61">
        <f t="shared" si="16"/>
        <v>0</v>
      </c>
      <c r="AI61">
        <f t="shared" si="16"/>
        <v>0</v>
      </c>
      <c r="AJ61">
        <f t="shared" si="16"/>
        <v>0</v>
      </c>
      <c r="AK61">
        <f t="shared" si="16"/>
        <v>0</v>
      </c>
      <c r="AL61">
        <f t="shared" si="16"/>
        <v>0</v>
      </c>
      <c r="AM61">
        <f t="shared" si="16"/>
        <v>0</v>
      </c>
      <c r="AN61">
        <f t="shared" si="17"/>
        <v>0</v>
      </c>
      <c r="AO61">
        <f t="shared" si="15"/>
        <v>0</v>
      </c>
      <c r="AP61">
        <f t="shared" si="15"/>
        <v>0</v>
      </c>
      <c r="AQ61">
        <f t="shared" si="15"/>
        <v>0</v>
      </c>
      <c r="AR61">
        <f t="shared" si="15"/>
        <v>0</v>
      </c>
    </row>
    <row r="62" spans="5:44" x14ac:dyDescent="0.2">
      <c r="E62" s="1">
        <f>moment_rate!$AC62</f>
        <v>7.4493433161470389E-3</v>
      </c>
      <c r="F62" s="1">
        <f t="shared" si="5"/>
        <v>0</v>
      </c>
      <c r="G62">
        <f>moment_rate!I62-0.005</f>
        <v>0.55000000000000027</v>
      </c>
      <c r="H62" s="1">
        <f t="shared" si="6"/>
        <v>0</v>
      </c>
      <c r="I62">
        <f t="shared" si="18"/>
        <v>0</v>
      </c>
      <c r="J62">
        <f t="shared" si="18"/>
        <v>0</v>
      </c>
      <c r="K62">
        <f t="shared" si="18"/>
        <v>0</v>
      </c>
      <c r="L62">
        <f t="shared" si="18"/>
        <v>0</v>
      </c>
      <c r="M62">
        <f t="shared" si="18"/>
        <v>0</v>
      </c>
      <c r="N62">
        <f t="shared" si="18"/>
        <v>0</v>
      </c>
      <c r="O62">
        <f t="shared" si="18"/>
        <v>0</v>
      </c>
      <c r="P62">
        <f t="shared" si="18"/>
        <v>0</v>
      </c>
      <c r="Q62">
        <f t="shared" si="18"/>
        <v>0</v>
      </c>
      <c r="R62">
        <f t="shared" si="18"/>
        <v>0</v>
      </c>
      <c r="S62">
        <f t="shared" si="18"/>
        <v>0</v>
      </c>
      <c r="T62">
        <f t="shared" si="18"/>
        <v>0</v>
      </c>
      <c r="U62">
        <f t="shared" si="18"/>
        <v>0</v>
      </c>
      <c r="V62">
        <f t="shared" si="18"/>
        <v>0</v>
      </c>
      <c r="W62">
        <f t="shared" si="18"/>
        <v>0</v>
      </c>
      <c r="X62">
        <f t="shared" ref="X62:AM77" si="19">IF(AND($G62&gt;=X$3,$G62&lt;X$4),$F62,0)</f>
        <v>0</v>
      </c>
      <c r="Y62">
        <f t="shared" si="19"/>
        <v>0</v>
      </c>
      <c r="Z62">
        <f t="shared" si="19"/>
        <v>0</v>
      </c>
      <c r="AA62">
        <f t="shared" si="19"/>
        <v>0</v>
      </c>
      <c r="AB62">
        <f t="shared" si="19"/>
        <v>0</v>
      </c>
      <c r="AC62">
        <f t="shared" si="19"/>
        <v>0</v>
      </c>
      <c r="AD62">
        <f t="shared" si="19"/>
        <v>0</v>
      </c>
      <c r="AE62">
        <f t="shared" si="19"/>
        <v>0</v>
      </c>
      <c r="AF62">
        <f t="shared" si="19"/>
        <v>0</v>
      </c>
      <c r="AG62">
        <f t="shared" si="19"/>
        <v>0</v>
      </c>
      <c r="AH62">
        <f t="shared" si="19"/>
        <v>0</v>
      </c>
      <c r="AI62">
        <f t="shared" si="19"/>
        <v>0</v>
      </c>
      <c r="AJ62">
        <f t="shared" si="19"/>
        <v>0</v>
      </c>
      <c r="AK62">
        <f t="shared" si="19"/>
        <v>0</v>
      </c>
      <c r="AL62">
        <f t="shared" si="19"/>
        <v>0</v>
      </c>
      <c r="AM62">
        <f t="shared" si="19"/>
        <v>0</v>
      </c>
      <c r="AN62">
        <f t="shared" si="17"/>
        <v>0</v>
      </c>
      <c r="AO62">
        <f t="shared" si="15"/>
        <v>0</v>
      </c>
      <c r="AP62">
        <f t="shared" si="15"/>
        <v>0</v>
      </c>
      <c r="AQ62">
        <f t="shared" si="15"/>
        <v>0</v>
      </c>
      <c r="AR62">
        <f t="shared" si="15"/>
        <v>0</v>
      </c>
    </row>
    <row r="63" spans="5:44" x14ac:dyDescent="0.2">
      <c r="E63" s="1">
        <f>moment_rate!$AC63</f>
        <v>7.4493433161470389E-3</v>
      </c>
      <c r="F63" s="1">
        <f t="shared" si="5"/>
        <v>0</v>
      </c>
      <c r="G63">
        <f>moment_rate!I63-0.005</f>
        <v>0.56000000000000028</v>
      </c>
      <c r="H63" s="1">
        <f t="shared" si="6"/>
        <v>0</v>
      </c>
      <c r="I63">
        <f t="shared" ref="I63:X78" si="20">IF(AND($G63&gt;=I$3,$G63&lt;I$4),$F63,0)</f>
        <v>0</v>
      </c>
      <c r="J63">
        <f t="shared" si="20"/>
        <v>0</v>
      </c>
      <c r="K63">
        <f t="shared" si="20"/>
        <v>0</v>
      </c>
      <c r="L63">
        <f t="shared" si="20"/>
        <v>0</v>
      </c>
      <c r="M63">
        <f t="shared" si="20"/>
        <v>0</v>
      </c>
      <c r="N63">
        <f t="shared" si="20"/>
        <v>0</v>
      </c>
      <c r="O63">
        <f t="shared" si="20"/>
        <v>0</v>
      </c>
      <c r="P63">
        <f t="shared" si="20"/>
        <v>0</v>
      </c>
      <c r="Q63">
        <f t="shared" si="20"/>
        <v>0</v>
      </c>
      <c r="R63">
        <f t="shared" si="20"/>
        <v>0</v>
      </c>
      <c r="S63">
        <f t="shared" si="20"/>
        <v>0</v>
      </c>
      <c r="T63">
        <f t="shared" si="20"/>
        <v>0</v>
      </c>
      <c r="U63">
        <f t="shared" si="20"/>
        <v>0</v>
      </c>
      <c r="V63">
        <f t="shared" si="20"/>
        <v>0</v>
      </c>
      <c r="W63">
        <f t="shared" si="20"/>
        <v>0</v>
      </c>
      <c r="X63">
        <f t="shared" si="20"/>
        <v>0</v>
      </c>
      <c r="Y63">
        <f t="shared" si="19"/>
        <v>0</v>
      </c>
      <c r="Z63">
        <f t="shared" si="19"/>
        <v>0</v>
      </c>
      <c r="AA63">
        <f t="shared" si="19"/>
        <v>0</v>
      </c>
      <c r="AB63">
        <f t="shared" si="19"/>
        <v>0</v>
      </c>
      <c r="AC63">
        <f t="shared" si="19"/>
        <v>0</v>
      </c>
      <c r="AD63">
        <f t="shared" si="19"/>
        <v>0</v>
      </c>
      <c r="AE63">
        <f t="shared" si="19"/>
        <v>0</v>
      </c>
      <c r="AF63">
        <f t="shared" si="19"/>
        <v>0</v>
      </c>
      <c r="AG63">
        <f t="shared" si="19"/>
        <v>0</v>
      </c>
      <c r="AH63">
        <f t="shared" si="19"/>
        <v>0</v>
      </c>
      <c r="AI63">
        <f t="shared" si="19"/>
        <v>0</v>
      </c>
      <c r="AJ63">
        <f t="shared" si="19"/>
        <v>0</v>
      </c>
      <c r="AK63">
        <f t="shared" si="19"/>
        <v>0</v>
      </c>
      <c r="AL63">
        <f t="shared" si="19"/>
        <v>0</v>
      </c>
      <c r="AM63">
        <f t="shared" si="19"/>
        <v>0</v>
      </c>
      <c r="AN63">
        <f t="shared" si="17"/>
        <v>0</v>
      </c>
      <c r="AO63">
        <f t="shared" si="15"/>
        <v>0</v>
      </c>
      <c r="AP63">
        <f t="shared" si="15"/>
        <v>0</v>
      </c>
      <c r="AQ63">
        <f t="shared" si="15"/>
        <v>0</v>
      </c>
      <c r="AR63">
        <f t="shared" si="15"/>
        <v>0</v>
      </c>
    </row>
    <row r="64" spans="5:44" x14ac:dyDescent="0.2">
      <c r="E64" s="1">
        <f>moment_rate!$AC64</f>
        <v>7.4493433161470389E-3</v>
      </c>
      <c r="F64" s="1">
        <f t="shared" si="5"/>
        <v>0</v>
      </c>
      <c r="G64">
        <f>moment_rate!I64-0.005</f>
        <v>0.57000000000000028</v>
      </c>
      <c r="H64" s="1">
        <f t="shared" si="6"/>
        <v>0</v>
      </c>
      <c r="I64">
        <f t="shared" si="20"/>
        <v>0</v>
      </c>
      <c r="J64">
        <f t="shared" si="20"/>
        <v>0</v>
      </c>
      <c r="K64">
        <f t="shared" si="20"/>
        <v>0</v>
      </c>
      <c r="L64">
        <f t="shared" si="20"/>
        <v>0</v>
      </c>
      <c r="M64">
        <f t="shared" si="20"/>
        <v>0</v>
      </c>
      <c r="N64">
        <f t="shared" si="20"/>
        <v>0</v>
      </c>
      <c r="O64">
        <f t="shared" si="20"/>
        <v>0</v>
      </c>
      <c r="P64">
        <f t="shared" si="20"/>
        <v>0</v>
      </c>
      <c r="Q64">
        <f t="shared" si="20"/>
        <v>0</v>
      </c>
      <c r="R64">
        <f t="shared" si="20"/>
        <v>0</v>
      </c>
      <c r="S64">
        <f t="shared" si="20"/>
        <v>0</v>
      </c>
      <c r="T64">
        <f t="shared" si="20"/>
        <v>0</v>
      </c>
      <c r="U64">
        <f t="shared" si="20"/>
        <v>0</v>
      </c>
      <c r="V64">
        <f t="shared" si="20"/>
        <v>0</v>
      </c>
      <c r="W64">
        <f t="shared" si="20"/>
        <v>0</v>
      </c>
      <c r="X64">
        <f t="shared" si="20"/>
        <v>0</v>
      </c>
      <c r="Y64">
        <f t="shared" si="19"/>
        <v>0</v>
      </c>
      <c r="Z64">
        <f t="shared" si="19"/>
        <v>0</v>
      </c>
      <c r="AA64">
        <f t="shared" si="19"/>
        <v>0</v>
      </c>
      <c r="AB64">
        <f t="shared" si="19"/>
        <v>0</v>
      </c>
      <c r="AC64">
        <f t="shared" si="19"/>
        <v>0</v>
      </c>
      <c r="AD64">
        <f t="shared" si="19"/>
        <v>0</v>
      </c>
      <c r="AE64">
        <f t="shared" si="19"/>
        <v>0</v>
      </c>
      <c r="AF64">
        <f t="shared" si="19"/>
        <v>0</v>
      </c>
      <c r="AG64">
        <f t="shared" si="19"/>
        <v>0</v>
      </c>
      <c r="AH64">
        <f t="shared" si="19"/>
        <v>0</v>
      </c>
      <c r="AI64">
        <f t="shared" si="19"/>
        <v>0</v>
      </c>
      <c r="AJ64">
        <f t="shared" si="19"/>
        <v>0</v>
      </c>
      <c r="AK64">
        <f t="shared" si="19"/>
        <v>0</v>
      </c>
      <c r="AL64">
        <f t="shared" si="19"/>
        <v>0</v>
      </c>
      <c r="AM64">
        <f t="shared" si="19"/>
        <v>0</v>
      </c>
      <c r="AN64">
        <f t="shared" si="17"/>
        <v>0</v>
      </c>
      <c r="AO64">
        <f t="shared" si="15"/>
        <v>0</v>
      </c>
      <c r="AP64">
        <f t="shared" si="15"/>
        <v>0</v>
      </c>
      <c r="AQ64">
        <f t="shared" si="15"/>
        <v>0</v>
      </c>
      <c r="AR64">
        <f t="shared" si="15"/>
        <v>0</v>
      </c>
    </row>
    <row r="65" spans="5:44" x14ac:dyDescent="0.2">
      <c r="E65" s="1">
        <f>moment_rate!$AC65</f>
        <v>7.4493433161470389E-3</v>
      </c>
      <c r="F65" s="1">
        <f t="shared" si="5"/>
        <v>0</v>
      </c>
      <c r="G65">
        <f>moment_rate!I65-0.005</f>
        <v>0.58000000000000029</v>
      </c>
      <c r="H65" s="1">
        <f t="shared" si="6"/>
        <v>0</v>
      </c>
      <c r="I65">
        <f t="shared" si="20"/>
        <v>0</v>
      </c>
      <c r="J65">
        <f t="shared" si="20"/>
        <v>0</v>
      </c>
      <c r="K65">
        <f t="shared" si="20"/>
        <v>0</v>
      </c>
      <c r="L65">
        <f t="shared" si="20"/>
        <v>0</v>
      </c>
      <c r="M65">
        <f t="shared" si="20"/>
        <v>0</v>
      </c>
      <c r="N65">
        <f t="shared" si="20"/>
        <v>0</v>
      </c>
      <c r="O65">
        <f t="shared" si="20"/>
        <v>0</v>
      </c>
      <c r="P65">
        <f t="shared" si="20"/>
        <v>0</v>
      </c>
      <c r="Q65">
        <f t="shared" si="20"/>
        <v>0</v>
      </c>
      <c r="R65">
        <f t="shared" si="20"/>
        <v>0</v>
      </c>
      <c r="S65">
        <f t="shared" si="20"/>
        <v>0</v>
      </c>
      <c r="T65">
        <f t="shared" si="20"/>
        <v>0</v>
      </c>
      <c r="U65">
        <f t="shared" si="20"/>
        <v>0</v>
      </c>
      <c r="V65">
        <f t="shared" si="20"/>
        <v>0</v>
      </c>
      <c r="W65">
        <f t="shared" si="20"/>
        <v>0</v>
      </c>
      <c r="X65">
        <f t="shared" si="20"/>
        <v>0</v>
      </c>
      <c r="Y65">
        <f t="shared" si="19"/>
        <v>0</v>
      </c>
      <c r="Z65">
        <f t="shared" si="19"/>
        <v>0</v>
      </c>
      <c r="AA65">
        <f t="shared" si="19"/>
        <v>0</v>
      </c>
      <c r="AB65">
        <f t="shared" si="19"/>
        <v>0</v>
      </c>
      <c r="AC65">
        <f t="shared" si="19"/>
        <v>0</v>
      </c>
      <c r="AD65">
        <f t="shared" si="19"/>
        <v>0</v>
      </c>
      <c r="AE65">
        <f t="shared" si="19"/>
        <v>0</v>
      </c>
      <c r="AF65">
        <f t="shared" si="19"/>
        <v>0</v>
      </c>
      <c r="AG65">
        <f t="shared" si="19"/>
        <v>0</v>
      </c>
      <c r="AH65">
        <f t="shared" si="19"/>
        <v>0</v>
      </c>
      <c r="AI65">
        <f t="shared" si="19"/>
        <v>0</v>
      </c>
      <c r="AJ65">
        <f t="shared" si="19"/>
        <v>0</v>
      </c>
      <c r="AK65">
        <f t="shared" si="19"/>
        <v>0</v>
      </c>
      <c r="AL65">
        <f t="shared" si="19"/>
        <v>0</v>
      </c>
      <c r="AM65">
        <f t="shared" si="19"/>
        <v>0</v>
      </c>
      <c r="AN65">
        <f t="shared" si="17"/>
        <v>0</v>
      </c>
      <c r="AO65">
        <f t="shared" si="15"/>
        <v>0</v>
      </c>
      <c r="AP65">
        <f t="shared" si="15"/>
        <v>0</v>
      </c>
      <c r="AQ65">
        <f t="shared" si="15"/>
        <v>0</v>
      </c>
      <c r="AR65">
        <f t="shared" si="15"/>
        <v>0</v>
      </c>
    </row>
    <row r="66" spans="5:44" x14ac:dyDescent="0.2">
      <c r="E66" s="1">
        <f>moment_rate!$AC66</f>
        <v>7.4493433161470389E-3</v>
      </c>
      <c r="F66" s="1">
        <f t="shared" si="5"/>
        <v>0</v>
      </c>
      <c r="G66">
        <f>moment_rate!I66-0.005</f>
        <v>0.5900000000000003</v>
      </c>
      <c r="H66" s="1">
        <f t="shared" si="6"/>
        <v>0</v>
      </c>
      <c r="I66">
        <f t="shared" si="20"/>
        <v>0</v>
      </c>
      <c r="J66">
        <f t="shared" si="20"/>
        <v>0</v>
      </c>
      <c r="K66">
        <f t="shared" si="20"/>
        <v>0</v>
      </c>
      <c r="L66">
        <f t="shared" si="20"/>
        <v>0</v>
      </c>
      <c r="M66">
        <f t="shared" si="20"/>
        <v>0</v>
      </c>
      <c r="N66">
        <f t="shared" si="20"/>
        <v>0</v>
      </c>
      <c r="O66">
        <f t="shared" si="20"/>
        <v>0</v>
      </c>
      <c r="P66">
        <f t="shared" si="20"/>
        <v>0</v>
      </c>
      <c r="Q66">
        <f t="shared" si="20"/>
        <v>0</v>
      </c>
      <c r="R66">
        <f t="shared" si="20"/>
        <v>0</v>
      </c>
      <c r="S66">
        <f t="shared" si="20"/>
        <v>0</v>
      </c>
      <c r="T66">
        <f t="shared" si="20"/>
        <v>0</v>
      </c>
      <c r="U66">
        <f t="shared" si="20"/>
        <v>0</v>
      </c>
      <c r="V66">
        <f t="shared" si="20"/>
        <v>0</v>
      </c>
      <c r="W66">
        <f t="shared" si="20"/>
        <v>0</v>
      </c>
      <c r="X66">
        <f t="shared" si="20"/>
        <v>0</v>
      </c>
      <c r="Y66">
        <f t="shared" si="19"/>
        <v>0</v>
      </c>
      <c r="Z66">
        <f t="shared" si="19"/>
        <v>0</v>
      </c>
      <c r="AA66">
        <f t="shared" si="19"/>
        <v>0</v>
      </c>
      <c r="AB66">
        <f t="shared" si="19"/>
        <v>0</v>
      </c>
      <c r="AC66">
        <f t="shared" si="19"/>
        <v>0</v>
      </c>
      <c r="AD66">
        <f t="shared" si="19"/>
        <v>0</v>
      </c>
      <c r="AE66">
        <f t="shared" si="19"/>
        <v>0</v>
      </c>
      <c r="AF66">
        <f t="shared" si="19"/>
        <v>0</v>
      </c>
      <c r="AG66">
        <f t="shared" si="19"/>
        <v>0</v>
      </c>
      <c r="AH66">
        <f t="shared" si="19"/>
        <v>0</v>
      </c>
      <c r="AI66">
        <f t="shared" si="19"/>
        <v>0</v>
      </c>
      <c r="AJ66">
        <f t="shared" si="19"/>
        <v>0</v>
      </c>
      <c r="AK66">
        <f t="shared" si="19"/>
        <v>0</v>
      </c>
      <c r="AL66">
        <f t="shared" si="19"/>
        <v>0</v>
      </c>
      <c r="AM66">
        <f t="shared" si="19"/>
        <v>0</v>
      </c>
      <c r="AN66">
        <f t="shared" si="17"/>
        <v>0</v>
      </c>
      <c r="AO66">
        <f t="shared" si="15"/>
        <v>0</v>
      </c>
      <c r="AP66">
        <f t="shared" si="15"/>
        <v>0</v>
      </c>
      <c r="AQ66">
        <f t="shared" si="15"/>
        <v>0</v>
      </c>
      <c r="AR66">
        <f t="shared" si="15"/>
        <v>0</v>
      </c>
    </row>
    <row r="67" spans="5:44" x14ac:dyDescent="0.2">
      <c r="E67" s="1">
        <f>moment_rate!$AC67</f>
        <v>7.4493433161470389E-3</v>
      </c>
      <c r="F67" s="1">
        <f t="shared" si="5"/>
        <v>0</v>
      </c>
      <c r="G67">
        <f>moment_rate!I67-0.005</f>
        <v>0.60000000000000031</v>
      </c>
      <c r="H67" s="1">
        <f t="shared" si="6"/>
        <v>0</v>
      </c>
      <c r="I67">
        <f t="shared" si="20"/>
        <v>0</v>
      </c>
      <c r="J67">
        <f t="shared" si="20"/>
        <v>0</v>
      </c>
      <c r="K67">
        <f t="shared" si="20"/>
        <v>0</v>
      </c>
      <c r="L67">
        <f t="shared" si="20"/>
        <v>0</v>
      </c>
      <c r="M67">
        <f t="shared" si="20"/>
        <v>0</v>
      </c>
      <c r="N67">
        <f t="shared" si="20"/>
        <v>0</v>
      </c>
      <c r="O67">
        <f t="shared" si="20"/>
        <v>0</v>
      </c>
      <c r="P67">
        <f t="shared" si="20"/>
        <v>0</v>
      </c>
      <c r="Q67">
        <f t="shared" si="20"/>
        <v>0</v>
      </c>
      <c r="R67">
        <f t="shared" si="20"/>
        <v>0</v>
      </c>
      <c r="S67">
        <f t="shared" si="20"/>
        <v>0</v>
      </c>
      <c r="T67">
        <f t="shared" si="20"/>
        <v>0</v>
      </c>
      <c r="U67">
        <f t="shared" si="20"/>
        <v>0</v>
      </c>
      <c r="V67">
        <f t="shared" si="20"/>
        <v>0</v>
      </c>
      <c r="W67">
        <f t="shared" si="20"/>
        <v>0</v>
      </c>
      <c r="X67">
        <f t="shared" si="20"/>
        <v>0</v>
      </c>
      <c r="Y67">
        <f t="shared" si="19"/>
        <v>0</v>
      </c>
      <c r="Z67">
        <f t="shared" si="19"/>
        <v>0</v>
      </c>
      <c r="AA67">
        <f t="shared" si="19"/>
        <v>0</v>
      </c>
      <c r="AB67">
        <f t="shared" si="19"/>
        <v>0</v>
      </c>
      <c r="AC67">
        <f t="shared" si="19"/>
        <v>0</v>
      </c>
      <c r="AD67">
        <f t="shared" si="19"/>
        <v>0</v>
      </c>
      <c r="AE67">
        <f t="shared" si="19"/>
        <v>0</v>
      </c>
      <c r="AF67">
        <f t="shared" si="19"/>
        <v>0</v>
      </c>
      <c r="AG67">
        <f t="shared" si="19"/>
        <v>0</v>
      </c>
      <c r="AH67">
        <f t="shared" si="19"/>
        <v>0</v>
      </c>
      <c r="AI67">
        <f t="shared" si="19"/>
        <v>0</v>
      </c>
      <c r="AJ67">
        <f t="shared" si="19"/>
        <v>0</v>
      </c>
      <c r="AK67">
        <f t="shared" si="19"/>
        <v>0</v>
      </c>
      <c r="AL67">
        <f t="shared" si="19"/>
        <v>0</v>
      </c>
      <c r="AM67">
        <f t="shared" si="19"/>
        <v>0</v>
      </c>
      <c r="AN67">
        <f t="shared" si="17"/>
        <v>0</v>
      </c>
      <c r="AO67">
        <f t="shared" si="15"/>
        <v>0</v>
      </c>
      <c r="AP67">
        <f t="shared" si="15"/>
        <v>0</v>
      </c>
      <c r="AQ67">
        <f t="shared" si="15"/>
        <v>0</v>
      </c>
      <c r="AR67">
        <f t="shared" si="15"/>
        <v>0</v>
      </c>
    </row>
    <row r="68" spans="5:44" x14ac:dyDescent="0.2">
      <c r="E68" s="1">
        <f>moment_rate!$AC68</f>
        <v>7.4493433161470389E-3</v>
      </c>
      <c r="F68" s="1">
        <f t="shared" si="5"/>
        <v>0</v>
      </c>
      <c r="G68">
        <f>moment_rate!I68-0.005</f>
        <v>0.61000000000000032</v>
      </c>
      <c r="H68" s="1">
        <f t="shared" si="6"/>
        <v>0</v>
      </c>
      <c r="I68">
        <f t="shared" si="20"/>
        <v>0</v>
      </c>
      <c r="J68">
        <f t="shared" si="20"/>
        <v>0</v>
      </c>
      <c r="K68">
        <f t="shared" si="20"/>
        <v>0</v>
      </c>
      <c r="L68">
        <f t="shared" si="20"/>
        <v>0</v>
      </c>
      <c r="M68">
        <f t="shared" si="20"/>
        <v>0</v>
      </c>
      <c r="N68">
        <f t="shared" si="20"/>
        <v>0</v>
      </c>
      <c r="O68">
        <f t="shared" si="20"/>
        <v>0</v>
      </c>
      <c r="P68">
        <f t="shared" si="20"/>
        <v>0</v>
      </c>
      <c r="Q68">
        <f t="shared" si="20"/>
        <v>0</v>
      </c>
      <c r="R68">
        <f t="shared" si="20"/>
        <v>0</v>
      </c>
      <c r="S68">
        <f t="shared" si="20"/>
        <v>0</v>
      </c>
      <c r="T68">
        <f t="shared" si="20"/>
        <v>0</v>
      </c>
      <c r="U68">
        <f t="shared" si="20"/>
        <v>0</v>
      </c>
      <c r="V68">
        <f t="shared" si="20"/>
        <v>0</v>
      </c>
      <c r="W68">
        <f t="shared" si="20"/>
        <v>0</v>
      </c>
      <c r="X68">
        <f t="shared" si="20"/>
        <v>0</v>
      </c>
      <c r="Y68">
        <f t="shared" si="19"/>
        <v>0</v>
      </c>
      <c r="Z68">
        <f t="shared" si="19"/>
        <v>0</v>
      </c>
      <c r="AA68">
        <f t="shared" si="19"/>
        <v>0</v>
      </c>
      <c r="AB68">
        <f t="shared" si="19"/>
        <v>0</v>
      </c>
      <c r="AC68">
        <f t="shared" si="19"/>
        <v>0</v>
      </c>
      <c r="AD68">
        <f t="shared" si="19"/>
        <v>0</v>
      </c>
      <c r="AE68">
        <f t="shared" si="19"/>
        <v>0</v>
      </c>
      <c r="AF68">
        <f t="shared" si="19"/>
        <v>0</v>
      </c>
      <c r="AG68">
        <f t="shared" si="19"/>
        <v>0</v>
      </c>
      <c r="AH68">
        <f t="shared" si="19"/>
        <v>0</v>
      </c>
      <c r="AI68">
        <f t="shared" si="19"/>
        <v>0</v>
      </c>
      <c r="AJ68">
        <f t="shared" si="19"/>
        <v>0</v>
      </c>
      <c r="AK68">
        <f t="shared" si="19"/>
        <v>0</v>
      </c>
      <c r="AL68">
        <f t="shared" si="19"/>
        <v>0</v>
      </c>
      <c r="AM68">
        <f t="shared" si="19"/>
        <v>0</v>
      </c>
      <c r="AN68">
        <f t="shared" si="17"/>
        <v>0</v>
      </c>
      <c r="AO68">
        <f t="shared" si="15"/>
        <v>0</v>
      </c>
      <c r="AP68">
        <f t="shared" si="15"/>
        <v>0</v>
      </c>
      <c r="AQ68">
        <f t="shared" si="15"/>
        <v>0</v>
      </c>
      <c r="AR68">
        <f t="shared" si="15"/>
        <v>0</v>
      </c>
    </row>
    <row r="69" spans="5:44" x14ac:dyDescent="0.2">
      <c r="E69" s="1">
        <f>moment_rate!$AC69</f>
        <v>7.4493433161470389E-3</v>
      </c>
      <c r="F69" s="1">
        <f t="shared" si="5"/>
        <v>0</v>
      </c>
      <c r="G69">
        <f>moment_rate!I69-0.005</f>
        <v>0.62000000000000033</v>
      </c>
      <c r="H69" s="1">
        <f t="shared" si="6"/>
        <v>0</v>
      </c>
      <c r="I69">
        <f t="shared" si="20"/>
        <v>0</v>
      </c>
      <c r="J69">
        <f t="shared" si="20"/>
        <v>0</v>
      </c>
      <c r="K69">
        <f t="shared" si="20"/>
        <v>0</v>
      </c>
      <c r="L69">
        <f t="shared" si="20"/>
        <v>0</v>
      </c>
      <c r="M69">
        <f t="shared" si="20"/>
        <v>0</v>
      </c>
      <c r="N69">
        <f t="shared" si="20"/>
        <v>0</v>
      </c>
      <c r="O69">
        <f t="shared" si="20"/>
        <v>0</v>
      </c>
      <c r="P69">
        <f t="shared" si="20"/>
        <v>0</v>
      </c>
      <c r="Q69">
        <f t="shared" si="20"/>
        <v>0</v>
      </c>
      <c r="R69">
        <f t="shared" si="20"/>
        <v>0</v>
      </c>
      <c r="S69">
        <f t="shared" si="20"/>
        <v>0</v>
      </c>
      <c r="T69">
        <f t="shared" si="20"/>
        <v>0</v>
      </c>
      <c r="U69">
        <f t="shared" si="20"/>
        <v>0</v>
      </c>
      <c r="V69">
        <f t="shared" si="20"/>
        <v>0</v>
      </c>
      <c r="W69">
        <f t="shared" si="20"/>
        <v>0</v>
      </c>
      <c r="X69">
        <f t="shared" si="20"/>
        <v>0</v>
      </c>
      <c r="Y69">
        <f t="shared" si="19"/>
        <v>0</v>
      </c>
      <c r="Z69">
        <f t="shared" si="19"/>
        <v>0</v>
      </c>
      <c r="AA69">
        <f t="shared" si="19"/>
        <v>0</v>
      </c>
      <c r="AB69">
        <f t="shared" si="19"/>
        <v>0</v>
      </c>
      <c r="AC69">
        <f t="shared" si="19"/>
        <v>0</v>
      </c>
      <c r="AD69">
        <f t="shared" si="19"/>
        <v>0</v>
      </c>
      <c r="AE69">
        <f t="shared" si="19"/>
        <v>0</v>
      </c>
      <c r="AF69">
        <f t="shared" si="19"/>
        <v>0</v>
      </c>
      <c r="AG69">
        <f t="shared" si="19"/>
        <v>0</v>
      </c>
      <c r="AH69">
        <f t="shared" si="19"/>
        <v>0</v>
      </c>
      <c r="AI69">
        <f t="shared" si="19"/>
        <v>0</v>
      </c>
      <c r="AJ69">
        <f t="shared" si="19"/>
        <v>0</v>
      </c>
      <c r="AK69">
        <f t="shared" si="19"/>
        <v>0</v>
      </c>
      <c r="AL69">
        <f t="shared" si="19"/>
        <v>0</v>
      </c>
      <c r="AM69">
        <f t="shared" si="19"/>
        <v>0</v>
      </c>
      <c r="AN69">
        <f t="shared" si="17"/>
        <v>0</v>
      </c>
      <c r="AO69">
        <f t="shared" si="15"/>
        <v>0</v>
      </c>
      <c r="AP69">
        <f t="shared" si="15"/>
        <v>0</v>
      </c>
      <c r="AQ69">
        <f t="shared" si="15"/>
        <v>0</v>
      </c>
      <c r="AR69">
        <f t="shared" si="15"/>
        <v>0</v>
      </c>
    </row>
    <row r="70" spans="5:44" x14ac:dyDescent="0.2">
      <c r="E70" s="1">
        <f>moment_rate!$AC70</f>
        <v>7.4493433161470389E-3</v>
      </c>
      <c r="F70" s="1">
        <f t="shared" si="5"/>
        <v>0</v>
      </c>
      <c r="G70">
        <f>moment_rate!I70-0.005</f>
        <v>0.63000000000000034</v>
      </c>
      <c r="H70" s="1">
        <f t="shared" si="6"/>
        <v>0</v>
      </c>
      <c r="I70">
        <f t="shared" si="20"/>
        <v>0</v>
      </c>
      <c r="J70">
        <f t="shared" si="20"/>
        <v>0</v>
      </c>
      <c r="K70">
        <f t="shared" si="20"/>
        <v>0</v>
      </c>
      <c r="L70">
        <f t="shared" si="20"/>
        <v>0</v>
      </c>
      <c r="M70">
        <f t="shared" si="20"/>
        <v>0</v>
      </c>
      <c r="N70">
        <f t="shared" si="20"/>
        <v>0</v>
      </c>
      <c r="O70">
        <f t="shared" si="20"/>
        <v>0</v>
      </c>
      <c r="P70">
        <f t="shared" si="20"/>
        <v>0</v>
      </c>
      <c r="Q70">
        <f t="shared" si="20"/>
        <v>0</v>
      </c>
      <c r="R70">
        <f t="shared" si="20"/>
        <v>0</v>
      </c>
      <c r="S70">
        <f t="shared" si="20"/>
        <v>0</v>
      </c>
      <c r="T70">
        <f t="shared" si="20"/>
        <v>0</v>
      </c>
      <c r="U70">
        <f t="shared" si="20"/>
        <v>0</v>
      </c>
      <c r="V70">
        <f t="shared" si="20"/>
        <v>0</v>
      </c>
      <c r="W70">
        <f t="shared" si="20"/>
        <v>0</v>
      </c>
      <c r="X70">
        <f t="shared" si="20"/>
        <v>0</v>
      </c>
      <c r="Y70">
        <f t="shared" si="19"/>
        <v>0</v>
      </c>
      <c r="Z70">
        <f t="shared" si="19"/>
        <v>0</v>
      </c>
      <c r="AA70">
        <f t="shared" si="19"/>
        <v>0</v>
      </c>
      <c r="AB70">
        <f t="shared" si="19"/>
        <v>0</v>
      </c>
      <c r="AC70">
        <f t="shared" si="19"/>
        <v>0</v>
      </c>
      <c r="AD70">
        <f t="shared" si="19"/>
        <v>0</v>
      </c>
      <c r="AE70">
        <f t="shared" si="19"/>
        <v>0</v>
      </c>
      <c r="AF70">
        <f t="shared" si="19"/>
        <v>0</v>
      </c>
      <c r="AG70">
        <f t="shared" si="19"/>
        <v>0</v>
      </c>
      <c r="AH70">
        <f t="shared" si="19"/>
        <v>0</v>
      </c>
      <c r="AI70">
        <f t="shared" si="19"/>
        <v>0</v>
      </c>
      <c r="AJ70">
        <f t="shared" si="19"/>
        <v>0</v>
      </c>
      <c r="AK70">
        <f t="shared" si="19"/>
        <v>0</v>
      </c>
      <c r="AL70">
        <f t="shared" si="19"/>
        <v>0</v>
      </c>
      <c r="AM70">
        <f t="shared" si="19"/>
        <v>0</v>
      </c>
      <c r="AN70">
        <f t="shared" si="17"/>
        <v>0</v>
      </c>
      <c r="AO70">
        <f t="shared" si="15"/>
        <v>0</v>
      </c>
      <c r="AP70">
        <f t="shared" si="15"/>
        <v>0</v>
      </c>
      <c r="AQ70">
        <f t="shared" si="15"/>
        <v>0</v>
      </c>
      <c r="AR70">
        <f t="shared" si="15"/>
        <v>0</v>
      </c>
    </row>
    <row r="71" spans="5:44" x14ac:dyDescent="0.2">
      <c r="E71" s="1">
        <f>moment_rate!$AC71</f>
        <v>7.4493433161470389E-3</v>
      </c>
      <c r="F71" s="1">
        <f t="shared" si="5"/>
        <v>0</v>
      </c>
      <c r="G71">
        <f>moment_rate!I71-0.005</f>
        <v>0.64000000000000035</v>
      </c>
      <c r="H71" s="1">
        <f t="shared" si="6"/>
        <v>0</v>
      </c>
      <c r="I71">
        <f t="shared" si="20"/>
        <v>0</v>
      </c>
      <c r="J71">
        <f t="shared" si="20"/>
        <v>0</v>
      </c>
      <c r="K71">
        <f t="shared" si="20"/>
        <v>0</v>
      </c>
      <c r="L71">
        <f t="shared" si="20"/>
        <v>0</v>
      </c>
      <c r="M71">
        <f t="shared" si="20"/>
        <v>0</v>
      </c>
      <c r="N71">
        <f t="shared" si="20"/>
        <v>0</v>
      </c>
      <c r="O71">
        <f t="shared" si="20"/>
        <v>0</v>
      </c>
      <c r="P71">
        <f t="shared" si="20"/>
        <v>0</v>
      </c>
      <c r="Q71">
        <f t="shared" si="20"/>
        <v>0</v>
      </c>
      <c r="R71">
        <f t="shared" si="20"/>
        <v>0</v>
      </c>
      <c r="S71">
        <f t="shared" si="20"/>
        <v>0</v>
      </c>
      <c r="T71">
        <f t="shared" si="20"/>
        <v>0</v>
      </c>
      <c r="U71">
        <f t="shared" si="20"/>
        <v>0</v>
      </c>
      <c r="V71">
        <f t="shared" si="20"/>
        <v>0</v>
      </c>
      <c r="W71">
        <f t="shared" si="20"/>
        <v>0</v>
      </c>
      <c r="X71">
        <f t="shared" si="20"/>
        <v>0</v>
      </c>
      <c r="Y71">
        <f t="shared" si="19"/>
        <v>0</v>
      </c>
      <c r="Z71">
        <f t="shared" si="19"/>
        <v>0</v>
      </c>
      <c r="AA71">
        <f t="shared" si="19"/>
        <v>0</v>
      </c>
      <c r="AB71">
        <f t="shared" si="19"/>
        <v>0</v>
      </c>
      <c r="AC71">
        <f t="shared" si="19"/>
        <v>0</v>
      </c>
      <c r="AD71">
        <f t="shared" si="19"/>
        <v>0</v>
      </c>
      <c r="AE71">
        <f t="shared" si="19"/>
        <v>0</v>
      </c>
      <c r="AF71">
        <f t="shared" si="19"/>
        <v>0</v>
      </c>
      <c r="AG71">
        <f t="shared" si="19"/>
        <v>0</v>
      </c>
      <c r="AH71">
        <f t="shared" si="19"/>
        <v>0</v>
      </c>
      <c r="AI71">
        <f t="shared" si="19"/>
        <v>0</v>
      </c>
      <c r="AJ71">
        <f t="shared" si="19"/>
        <v>0</v>
      </c>
      <c r="AK71">
        <f t="shared" si="19"/>
        <v>0</v>
      </c>
      <c r="AL71">
        <f t="shared" si="19"/>
        <v>0</v>
      </c>
      <c r="AM71">
        <f t="shared" si="19"/>
        <v>0</v>
      </c>
      <c r="AN71">
        <f t="shared" si="17"/>
        <v>0</v>
      </c>
      <c r="AO71">
        <f t="shared" si="15"/>
        <v>0</v>
      </c>
      <c r="AP71">
        <f t="shared" si="15"/>
        <v>0</v>
      </c>
      <c r="AQ71">
        <f t="shared" si="15"/>
        <v>0</v>
      </c>
      <c r="AR71">
        <f t="shared" si="15"/>
        <v>0</v>
      </c>
    </row>
    <row r="72" spans="5:44" x14ac:dyDescent="0.2">
      <c r="E72" s="1">
        <f>moment_rate!$AC72</f>
        <v>7.4493433161470389E-3</v>
      </c>
      <c r="F72" s="1">
        <f t="shared" ref="F72:F135" si="21">E72-E73</f>
        <v>0</v>
      </c>
      <c r="G72">
        <f>moment_rate!I72-0.005</f>
        <v>0.65000000000000036</v>
      </c>
      <c r="H72" s="1">
        <f t="shared" ref="H72:H135" si="22">IF($G72&gt;=4.999,(E72-E73),0)</f>
        <v>0</v>
      </c>
      <c r="I72">
        <f t="shared" si="20"/>
        <v>0</v>
      </c>
      <c r="J72">
        <f t="shared" si="20"/>
        <v>0</v>
      </c>
      <c r="K72">
        <f t="shared" si="20"/>
        <v>0</v>
      </c>
      <c r="L72">
        <f t="shared" si="20"/>
        <v>0</v>
      </c>
      <c r="M72">
        <f t="shared" si="20"/>
        <v>0</v>
      </c>
      <c r="N72">
        <f t="shared" si="20"/>
        <v>0</v>
      </c>
      <c r="O72">
        <f t="shared" si="20"/>
        <v>0</v>
      </c>
      <c r="P72">
        <f t="shared" si="20"/>
        <v>0</v>
      </c>
      <c r="Q72">
        <f t="shared" si="20"/>
        <v>0</v>
      </c>
      <c r="R72">
        <f t="shared" si="20"/>
        <v>0</v>
      </c>
      <c r="S72">
        <f t="shared" si="20"/>
        <v>0</v>
      </c>
      <c r="T72">
        <f t="shared" si="20"/>
        <v>0</v>
      </c>
      <c r="U72">
        <f t="shared" si="20"/>
        <v>0</v>
      </c>
      <c r="V72">
        <f t="shared" si="20"/>
        <v>0</v>
      </c>
      <c r="W72">
        <f t="shared" si="20"/>
        <v>0</v>
      </c>
      <c r="X72">
        <f t="shared" si="20"/>
        <v>0</v>
      </c>
      <c r="Y72">
        <f t="shared" si="19"/>
        <v>0</v>
      </c>
      <c r="Z72">
        <f t="shared" si="19"/>
        <v>0</v>
      </c>
      <c r="AA72">
        <f t="shared" si="19"/>
        <v>0</v>
      </c>
      <c r="AB72">
        <f t="shared" si="19"/>
        <v>0</v>
      </c>
      <c r="AC72">
        <f t="shared" si="19"/>
        <v>0</v>
      </c>
      <c r="AD72">
        <f t="shared" si="19"/>
        <v>0</v>
      </c>
      <c r="AE72">
        <f t="shared" si="19"/>
        <v>0</v>
      </c>
      <c r="AF72">
        <f t="shared" si="19"/>
        <v>0</v>
      </c>
      <c r="AG72">
        <f t="shared" si="19"/>
        <v>0</v>
      </c>
      <c r="AH72">
        <f t="shared" si="19"/>
        <v>0</v>
      </c>
      <c r="AI72">
        <f t="shared" si="19"/>
        <v>0</v>
      </c>
      <c r="AJ72">
        <f t="shared" si="19"/>
        <v>0</v>
      </c>
      <c r="AK72">
        <f t="shared" si="19"/>
        <v>0</v>
      </c>
      <c r="AL72">
        <f t="shared" si="19"/>
        <v>0</v>
      </c>
      <c r="AM72">
        <f t="shared" si="19"/>
        <v>0</v>
      </c>
      <c r="AN72">
        <f t="shared" si="17"/>
        <v>0</v>
      </c>
      <c r="AO72">
        <f t="shared" si="15"/>
        <v>0</v>
      </c>
      <c r="AP72">
        <f t="shared" si="15"/>
        <v>0</v>
      </c>
      <c r="AQ72">
        <f t="shared" si="15"/>
        <v>0</v>
      </c>
      <c r="AR72">
        <f t="shared" si="15"/>
        <v>0</v>
      </c>
    </row>
    <row r="73" spans="5:44" x14ac:dyDescent="0.2">
      <c r="E73" s="1">
        <f>moment_rate!$AC73</f>
        <v>7.4493433161470389E-3</v>
      </c>
      <c r="F73" s="1">
        <f t="shared" si="21"/>
        <v>0</v>
      </c>
      <c r="G73">
        <f>moment_rate!I73-0.005</f>
        <v>0.66000000000000036</v>
      </c>
      <c r="H73" s="1">
        <f t="shared" si="22"/>
        <v>0</v>
      </c>
      <c r="I73">
        <f t="shared" si="20"/>
        <v>0</v>
      </c>
      <c r="J73">
        <f t="shared" si="20"/>
        <v>0</v>
      </c>
      <c r="K73">
        <f t="shared" si="20"/>
        <v>0</v>
      </c>
      <c r="L73">
        <f t="shared" si="20"/>
        <v>0</v>
      </c>
      <c r="M73">
        <f t="shared" si="20"/>
        <v>0</v>
      </c>
      <c r="N73">
        <f t="shared" si="20"/>
        <v>0</v>
      </c>
      <c r="O73">
        <f t="shared" si="20"/>
        <v>0</v>
      </c>
      <c r="P73">
        <f t="shared" si="20"/>
        <v>0</v>
      </c>
      <c r="Q73">
        <f t="shared" si="20"/>
        <v>0</v>
      </c>
      <c r="R73">
        <f t="shared" si="20"/>
        <v>0</v>
      </c>
      <c r="S73">
        <f t="shared" si="20"/>
        <v>0</v>
      </c>
      <c r="T73">
        <f t="shared" si="20"/>
        <v>0</v>
      </c>
      <c r="U73">
        <f t="shared" si="20"/>
        <v>0</v>
      </c>
      <c r="V73">
        <f t="shared" si="20"/>
        <v>0</v>
      </c>
      <c r="W73">
        <f t="shared" si="20"/>
        <v>0</v>
      </c>
      <c r="X73">
        <f t="shared" si="20"/>
        <v>0</v>
      </c>
      <c r="Y73">
        <f t="shared" si="19"/>
        <v>0</v>
      </c>
      <c r="Z73">
        <f t="shared" si="19"/>
        <v>0</v>
      </c>
      <c r="AA73">
        <f t="shared" si="19"/>
        <v>0</v>
      </c>
      <c r="AB73">
        <f t="shared" si="19"/>
        <v>0</v>
      </c>
      <c r="AC73">
        <f t="shared" si="19"/>
        <v>0</v>
      </c>
      <c r="AD73">
        <f t="shared" si="19"/>
        <v>0</v>
      </c>
      <c r="AE73">
        <f t="shared" si="19"/>
        <v>0</v>
      </c>
      <c r="AF73">
        <f t="shared" si="19"/>
        <v>0</v>
      </c>
      <c r="AG73">
        <f t="shared" si="19"/>
        <v>0</v>
      </c>
      <c r="AH73">
        <f t="shared" si="19"/>
        <v>0</v>
      </c>
      <c r="AI73">
        <f t="shared" si="19"/>
        <v>0</v>
      </c>
      <c r="AJ73">
        <f t="shared" si="19"/>
        <v>0</v>
      </c>
      <c r="AK73">
        <f t="shared" si="19"/>
        <v>0</v>
      </c>
      <c r="AL73">
        <f t="shared" si="19"/>
        <v>0</v>
      </c>
      <c r="AM73">
        <f t="shared" si="19"/>
        <v>0</v>
      </c>
      <c r="AN73">
        <f t="shared" si="17"/>
        <v>0</v>
      </c>
      <c r="AO73">
        <f t="shared" si="15"/>
        <v>0</v>
      </c>
      <c r="AP73">
        <f t="shared" si="15"/>
        <v>0</v>
      </c>
      <c r="AQ73">
        <f t="shared" si="15"/>
        <v>0</v>
      </c>
      <c r="AR73">
        <f t="shared" si="15"/>
        <v>0</v>
      </c>
    </row>
    <row r="74" spans="5:44" x14ac:dyDescent="0.2">
      <c r="E74" s="1">
        <f>moment_rate!$AC74</f>
        <v>7.4493433161470389E-3</v>
      </c>
      <c r="F74" s="1">
        <f t="shared" si="21"/>
        <v>0</v>
      </c>
      <c r="G74">
        <f>moment_rate!I74-0.005</f>
        <v>0.67000000000000037</v>
      </c>
      <c r="H74" s="1">
        <f t="shared" si="22"/>
        <v>0</v>
      </c>
      <c r="I74">
        <f t="shared" si="20"/>
        <v>0</v>
      </c>
      <c r="J74">
        <f t="shared" si="20"/>
        <v>0</v>
      </c>
      <c r="K74">
        <f t="shared" si="20"/>
        <v>0</v>
      </c>
      <c r="L74">
        <f t="shared" si="20"/>
        <v>0</v>
      </c>
      <c r="M74">
        <f t="shared" si="20"/>
        <v>0</v>
      </c>
      <c r="N74">
        <f t="shared" si="20"/>
        <v>0</v>
      </c>
      <c r="O74">
        <f t="shared" si="20"/>
        <v>0</v>
      </c>
      <c r="P74">
        <f t="shared" si="20"/>
        <v>0</v>
      </c>
      <c r="Q74">
        <f t="shared" si="20"/>
        <v>0</v>
      </c>
      <c r="R74">
        <f t="shared" si="20"/>
        <v>0</v>
      </c>
      <c r="S74">
        <f t="shared" si="20"/>
        <v>0</v>
      </c>
      <c r="T74">
        <f t="shared" si="20"/>
        <v>0</v>
      </c>
      <c r="U74">
        <f t="shared" si="20"/>
        <v>0</v>
      </c>
      <c r="V74">
        <f t="shared" si="20"/>
        <v>0</v>
      </c>
      <c r="W74">
        <f t="shared" si="20"/>
        <v>0</v>
      </c>
      <c r="X74">
        <f t="shared" si="20"/>
        <v>0</v>
      </c>
      <c r="Y74">
        <f t="shared" si="19"/>
        <v>0</v>
      </c>
      <c r="Z74">
        <f t="shared" si="19"/>
        <v>0</v>
      </c>
      <c r="AA74">
        <f t="shared" si="19"/>
        <v>0</v>
      </c>
      <c r="AB74">
        <f t="shared" si="19"/>
        <v>0</v>
      </c>
      <c r="AC74">
        <f t="shared" si="19"/>
        <v>0</v>
      </c>
      <c r="AD74">
        <f t="shared" si="19"/>
        <v>0</v>
      </c>
      <c r="AE74">
        <f t="shared" si="19"/>
        <v>0</v>
      </c>
      <c r="AF74">
        <f t="shared" si="19"/>
        <v>0</v>
      </c>
      <c r="AG74">
        <f t="shared" si="19"/>
        <v>0</v>
      </c>
      <c r="AH74">
        <f t="shared" si="19"/>
        <v>0</v>
      </c>
      <c r="AI74">
        <f t="shared" si="19"/>
        <v>0</v>
      </c>
      <c r="AJ74">
        <f t="shared" si="19"/>
        <v>0</v>
      </c>
      <c r="AK74">
        <f t="shared" si="19"/>
        <v>0</v>
      </c>
      <c r="AL74">
        <f t="shared" si="19"/>
        <v>0</v>
      </c>
      <c r="AM74">
        <f t="shared" si="19"/>
        <v>0</v>
      </c>
      <c r="AN74">
        <f t="shared" si="17"/>
        <v>0</v>
      </c>
      <c r="AO74">
        <f t="shared" si="15"/>
        <v>0</v>
      </c>
      <c r="AP74">
        <f t="shared" si="15"/>
        <v>0</v>
      </c>
      <c r="AQ74">
        <f t="shared" si="15"/>
        <v>0</v>
      </c>
      <c r="AR74">
        <f t="shared" si="15"/>
        <v>0</v>
      </c>
    </row>
    <row r="75" spans="5:44" x14ac:dyDescent="0.2">
      <c r="E75" s="1">
        <f>moment_rate!$AC75</f>
        <v>7.4493433161470389E-3</v>
      </c>
      <c r="F75" s="1">
        <f t="shared" si="21"/>
        <v>0</v>
      </c>
      <c r="G75">
        <f>moment_rate!I75-0.005</f>
        <v>0.68000000000000038</v>
      </c>
      <c r="H75" s="1">
        <f t="shared" si="22"/>
        <v>0</v>
      </c>
      <c r="I75">
        <f t="shared" si="20"/>
        <v>0</v>
      </c>
      <c r="J75">
        <f t="shared" si="20"/>
        <v>0</v>
      </c>
      <c r="K75">
        <f t="shared" si="20"/>
        <v>0</v>
      </c>
      <c r="L75">
        <f t="shared" si="20"/>
        <v>0</v>
      </c>
      <c r="M75">
        <f t="shared" si="20"/>
        <v>0</v>
      </c>
      <c r="N75">
        <f t="shared" si="20"/>
        <v>0</v>
      </c>
      <c r="O75">
        <f t="shared" si="20"/>
        <v>0</v>
      </c>
      <c r="P75">
        <f t="shared" si="20"/>
        <v>0</v>
      </c>
      <c r="Q75">
        <f t="shared" si="20"/>
        <v>0</v>
      </c>
      <c r="R75">
        <f t="shared" si="20"/>
        <v>0</v>
      </c>
      <c r="S75">
        <f t="shared" si="20"/>
        <v>0</v>
      </c>
      <c r="T75">
        <f t="shared" si="20"/>
        <v>0</v>
      </c>
      <c r="U75">
        <f t="shared" si="20"/>
        <v>0</v>
      </c>
      <c r="V75">
        <f t="shared" si="20"/>
        <v>0</v>
      </c>
      <c r="W75">
        <f t="shared" si="20"/>
        <v>0</v>
      </c>
      <c r="X75">
        <f t="shared" si="20"/>
        <v>0</v>
      </c>
      <c r="Y75">
        <f t="shared" si="19"/>
        <v>0</v>
      </c>
      <c r="Z75">
        <f t="shared" si="19"/>
        <v>0</v>
      </c>
      <c r="AA75">
        <f t="shared" si="19"/>
        <v>0</v>
      </c>
      <c r="AB75">
        <f t="shared" si="19"/>
        <v>0</v>
      </c>
      <c r="AC75">
        <f t="shared" si="19"/>
        <v>0</v>
      </c>
      <c r="AD75">
        <f t="shared" si="19"/>
        <v>0</v>
      </c>
      <c r="AE75">
        <f t="shared" si="19"/>
        <v>0</v>
      </c>
      <c r="AF75">
        <f t="shared" si="19"/>
        <v>0</v>
      </c>
      <c r="AG75">
        <f t="shared" si="19"/>
        <v>0</v>
      </c>
      <c r="AH75">
        <f t="shared" si="19"/>
        <v>0</v>
      </c>
      <c r="AI75">
        <f t="shared" si="19"/>
        <v>0</v>
      </c>
      <c r="AJ75">
        <f t="shared" si="19"/>
        <v>0</v>
      </c>
      <c r="AK75">
        <f t="shared" si="19"/>
        <v>0</v>
      </c>
      <c r="AL75">
        <f t="shared" si="19"/>
        <v>0</v>
      </c>
      <c r="AM75">
        <f t="shared" si="19"/>
        <v>0</v>
      </c>
      <c r="AN75">
        <f t="shared" si="17"/>
        <v>0</v>
      </c>
      <c r="AO75">
        <f t="shared" si="15"/>
        <v>0</v>
      </c>
      <c r="AP75">
        <f t="shared" si="15"/>
        <v>0</v>
      </c>
      <c r="AQ75">
        <f t="shared" si="15"/>
        <v>0</v>
      </c>
      <c r="AR75">
        <f t="shared" si="15"/>
        <v>0</v>
      </c>
    </row>
    <row r="76" spans="5:44" x14ac:dyDescent="0.2">
      <c r="E76" s="1">
        <f>moment_rate!$AC76</f>
        <v>7.4493433161470389E-3</v>
      </c>
      <c r="F76" s="1">
        <f t="shared" si="21"/>
        <v>0</v>
      </c>
      <c r="G76">
        <f>moment_rate!I76-0.005</f>
        <v>0.69000000000000039</v>
      </c>
      <c r="H76" s="1">
        <f t="shared" si="22"/>
        <v>0</v>
      </c>
      <c r="I76">
        <f t="shared" si="20"/>
        <v>0</v>
      </c>
      <c r="J76">
        <f t="shared" si="20"/>
        <v>0</v>
      </c>
      <c r="K76">
        <f t="shared" si="20"/>
        <v>0</v>
      </c>
      <c r="L76">
        <f t="shared" si="20"/>
        <v>0</v>
      </c>
      <c r="M76">
        <f t="shared" si="20"/>
        <v>0</v>
      </c>
      <c r="N76">
        <f t="shared" si="20"/>
        <v>0</v>
      </c>
      <c r="O76">
        <f t="shared" si="20"/>
        <v>0</v>
      </c>
      <c r="P76">
        <f t="shared" si="20"/>
        <v>0</v>
      </c>
      <c r="Q76">
        <f t="shared" si="20"/>
        <v>0</v>
      </c>
      <c r="R76">
        <f t="shared" si="20"/>
        <v>0</v>
      </c>
      <c r="S76">
        <f t="shared" si="20"/>
        <v>0</v>
      </c>
      <c r="T76">
        <f t="shared" si="20"/>
        <v>0</v>
      </c>
      <c r="U76">
        <f t="shared" si="20"/>
        <v>0</v>
      </c>
      <c r="V76">
        <f t="shared" si="20"/>
        <v>0</v>
      </c>
      <c r="W76">
        <f t="shared" si="20"/>
        <v>0</v>
      </c>
      <c r="X76">
        <f t="shared" si="20"/>
        <v>0</v>
      </c>
      <c r="Y76">
        <f t="shared" si="19"/>
        <v>0</v>
      </c>
      <c r="Z76">
        <f t="shared" si="19"/>
        <v>0</v>
      </c>
      <c r="AA76">
        <f t="shared" si="19"/>
        <v>0</v>
      </c>
      <c r="AB76">
        <f t="shared" si="19"/>
        <v>0</v>
      </c>
      <c r="AC76">
        <f t="shared" si="19"/>
        <v>0</v>
      </c>
      <c r="AD76">
        <f t="shared" si="19"/>
        <v>0</v>
      </c>
      <c r="AE76">
        <f t="shared" si="19"/>
        <v>0</v>
      </c>
      <c r="AF76">
        <f t="shared" si="19"/>
        <v>0</v>
      </c>
      <c r="AG76">
        <f t="shared" si="19"/>
        <v>0</v>
      </c>
      <c r="AH76">
        <f t="shared" si="19"/>
        <v>0</v>
      </c>
      <c r="AI76">
        <f t="shared" si="19"/>
        <v>0</v>
      </c>
      <c r="AJ76">
        <f t="shared" si="19"/>
        <v>0</v>
      </c>
      <c r="AK76">
        <f t="shared" si="19"/>
        <v>0</v>
      </c>
      <c r="AL76">
        <f t="shared" si="19"/>
        <v>0</v>
      </c>
      <c r="AM76">
        <f t="shared" si="19"/>
        <v>0</v>
      </c>
      <c r="AN76">
        <f t="shared" si="17"/>
        <v>0</v>
      </c>
      <c r="AO76">
        <f>IF(AND($G76&gt;=AO$3,$G76&lt;AO$4),$F76,0)</f>
        <v>0</v>
      </c>
      <c r="AP76">
        <f>IF(AND($G76&gt;=AP$3,$G76&lt;AP$4),$F76,0)</f>
        <v>0</v>
      </c>
      <c r="AQ76">
        <f>IF(AND($G76&gt;=AQ$3,$G76&lt;AQ$4),$F76,0)</f>
        <v>0</v>
      </c>
      <c r="AR76">
        <f>IF(AND($G76&gt;=AR$3,$G76&lt;AR$4),$F76,0)</f>
        <v>0</v>
      </c>
    </row>
    <row r="77" spans="5:44" x14ac:dyDescent="0.2">
      <c r="E77" s="1">
        <f>moment_rate!$AC77</f>
        <v>7.4493433161470389E-3</v>
      </c>
      <c r="F77" s="1">
        <f t="shared" si="21"/>
        <v>0</v>
      </c>
      <c r="G77">
        <f>moment_rate!I77-0.005</f>
        <v>0.7000000000000004</v>
      </c>
      <c r="H77" s="1">
        <f t="shared" si="22"/>
        <v>0</v>
      </c>
      <c r="I77">
        <f t="shared" si="20"/>
        <v>0</v>
      </c>
      <c r="J77">
        <f t="shared" si="20"/>
        <v>0</v>
      </c>
      <c r="K77">
        <f t="shared" si="20"/>
        <v>0</v>
      </c>
      <c r="L77">
        <f t="shared" si="20"/>
        <v>0</v>
      </c>
      <c r="M77">
        <f t="shared" si="20"/>
        <v>0</v>
      </c>
      <c r="N77">
        <f t="shared" si="20"/>
        <v>0</v>
      </c>
      <c r="O77">
        <f t="shared" si="20"/>
        <v>0</v>
      </c>
      <c r="P77">
        <f t="shared" si="20"/>
        <v>0</v>
      </c>
      <c r="Q77">
        <f t="shared" si="20"/>
        <v>0</v>
      </c>
      <c r="R77">
        <f t="shared" si="20"/>
        <v>0</v>
      </c>
      <c r="S77">
        <f t="shared" si="20"/>
        <v>0</v>
      </c>
      <c r="T77">
        <f t="shared" si="20"/>
        <v>0</v>
      </c>
      <c r="U77">
        <f t="shared" si="20"/>
        <v>0</v>
      </c>
      <c r="V77">
        <f t="shared" si="20"/>
        <v>0</v>
      </c>
      <c r="W77">
        <f t="shared" si="20"/>
        <v>0</v>
      </c>
      <c r="X77">
        <f t="shared" si="20"/>
        <v>0</v>
      </c>
      <c r="Y77">
        <f t="shared" si="19"/>
        <v>0</v>
      </c>
      <c r="Z77">
        <f t="shared" si="19"/>
        <v>0</v>
      </c>
      <c r="AA77">
        <f t="shared" si="19"/>
        <v>0</v>
      </c>
      <c r="AB77">
        <f t="shared" si="19"/>
        <v>0</v>
      </c>
      <c r="AC77">
        <f t="shared" si="19"/>
        <v>0</v>
      </c>
      <c r="AD77">
        <f t="shared" si="19"/>
        <v>0</v>
      </c>
      <c r="AE77">
        <f t="shared" si="19"/>
        <v>0</v>
      </c>
      <c r="AF77">
        <f t="shared" si="19"/>
        <v>0</v>
      </c>
      <c r="AG77">
        <f t="shared" si="19"/>
        <v>0</v>
      </c>
      <c r="AH77">
        <f t="shared" si="19"/>
        <v>0</v>
      </c>
      <c r="AI77">
        <f t="shared" si="19"/>
        <v>0</v>
      </c>
      <c r="AJ77">
        <f t="shared" si="19"/>
        <v>0</v>
      </c>
      <c r="AK77">
        <f t="shared" si="19"/>
        <v>0</v>
      </c>
      <c r="AL77">
        <f t="shared" si="19"/>
        <v>0</v>
      </c>
      <c r="AM77">
        <f t="shared" si="19"/>
        <v>0</v>
      </c>
      <c r="AN77">
        <f t="shared" ref="AN77:AR92" si="23">IF(AND($G77&gt;=AN$3,$G77&lt;AN$4),$F77,0)</f>
        <v>0</v>
      </c>
      <c r="AO77">
        <f t="shared" si="23"/>
        <v>0</v>
      </c>
      <c r="AP77">
        <f t="shared" si="23"/>
        <v>0</v>
      </c>
      <c r="AQ77">
        <f t="shared" si="23"/>
        <v>0</v>
      </c>
      <c r="AR77">
        <f t="shared" si="23"/>
        <v>0</v>
      </c>
    </row>
    <row r="78" spans="5:44" x14ac:dyDescent="0.2">
      <c r="E78" s="1">
        <f>moment_rate!$AC78</f>
        <v>7.4493433161470389E-3</v>
      </c>
      <c r="F78" s="1">
        <f t="shared" si="21"/>
        <v>0</v>
      </c>
      <c r="G78">
        <f>moment_rate!I78-0.005</f>
        <v>0.71000000000000041</v>
      </c>
      <c r="H78" s="1">
        <f t="shared" si="22"/>
        <v>0</v>
      </c>
      <c r="I78">
        <f t="shared" si="20"/>
        <v>0</v>
      </c>
      <c r="J78">
        <f t="shared" si="20"/>
        <v>0</v>
      </c>
      <c r="K78">
        <f t="shared" si="20"/>
        <v>0</v>
      </c>
      <c r="L78">
        <f t="shared" si="20"/>
        <v>0</v>
      </c>
      <c r="M78">
        <f t="shared" si="20"/>
        <v>0</v>
      </c>
      <c r="N78">
        <f t="shared" si="20"/>
        <v>0</v>
      </c>
      <c r="O78">
        <f t="shared" si="20"/>
        <v>0</v>
      </c>
      <c r="P78">
        <f t="shared" si="20"/>
        <v>0</v>
      </c>
      <c r="Q78">
        <f t="shared" si="20"/>
        <v>0</v>
      </c>
      <c r="R78">
        <f t="shared" si="20"/>
        <v>0</v>
      </c>
      <c r="S78">
        <f t="shared" si="20"/>
        <v>0</v>
      </c>
      <c r="T78">
        <f t="shared" si="20"/>
        <v>0</v>
      </c>
      <c r="U78">
        <f t="shared" si="20"/>
        <v>0</v>
      </c>
      <c r="V78">
        <f t="shared" si="20"/>
        <v>0</v>
      </c>
      <c r="W78">
        <f t="shared" si="20"/>
        <v>0</v>
      </c>
      <c r="X78">
        <f t="shared" ref="X78:AM94" si="24">IF(AND($G78&gt;=X$3,$G78&lt;X$4),$F78,0)</f>
        <v>0</v>
      </c>
      <c r="Y78">
        <f t="shared" si="24"/>
        <v>0</v>
      </c>
      <c r="Z78">
        <f t="shared" si="24"/>
        <v>0</v>
      </c>
      <c r="AA78">
        <f t="shared" si="24"/>
        <v>0</v>
      </c>
      <c r="AB78">
        <f t="shared" si="24"/>
        <v>0</v>
      </c>
      <c r="AC78">
        <f t="shared" si="24"/>
        <v>0</v>
      </c>
      <c r="AD78">
        <f t="shared" si="24"/>
        <v>0</v>
      </c>
      <c r="AE78">
        <f t="shared" si="24"/>
        <v>0</v>
      </c>
      <c r="AF78">
        <f t="shared" si="24"/>
        <v>0</v>
      </c>
      <c r="AG78">
        <f t="shared" si="24"/>
        <v>0</v>
      </c>
      <c r="AH78">
        <f t="shared" si="24"/>
        <v>0</v>
      </c>
      <c r="AI78">
        <f t="shared" si="24"/>
        <v>0</v>
      </c>
      <c r="AJ78">
        <f t="shared" si="24"/>
        <v>0</v>
      </c>
      <c r="AK78">
        <f t="shared" si="24"/>
        <v>0</v>
      </c>
      <c r="AL78">
        <f t="shared" si="24"/>
        <v>0</v>
      </c>
      <c r="AM78">
        <f t="shared" si="24"/>
        <v>0</v>
      </c>
      <c r="AN78">
        <f t="shared" si="23"/>
        <v>0</v>
      </c>
      <c r="AO78">
        <f t="shared" si="23"/>
        <v>0</v>
      </c>
      <c r="AP78">
        <f t="shared" si="23"/>
        <v>0</v>
      </c>
      <c r="AQ78">
        <f t="shared" si="23"/>
        <v>0</v>
      </c>
      <c r="AR78">
        <f t="shared" si="23"/>
        <v>0</v>
      </c>
    </row>
    <row r="79" spans="5:44" x14ac:dyDescent="0.2">
      <c r="E79" s="1">
        <f>moment_rate!$AC79</f>
        <v>7.4493433161470389E-3</v>
      </c>
      <c r="F79" s="1">
        <f t="shared" si="21"/>
        <v>0</v>
      </c>
      <c r="G79">
        <f>moment_rate!I79-0.005</f>
        <v>0.72000000000000042</v>
      </c>
      <c r="H79" s="1">
        <f t="shared" si="22"/>
        <v>0</v>
      </c>
      <c r="I79">
        <f t="shared" ref="I79:X94" si="25">IF(AND($G79&gt;=I$3,$G79&lt;I$4),$F79,0)</f>
        <v>0</v>
      </c>
      <c r="J79">
        <f t="shared" si="25"/>
        <v>0</v>
      </c>
      <c r="K79">
        <f t="shared" si="25"/>
        <v>0</v>
      </c>
      <c r="L79">
        <f t="shared" si="25"/>
        <v>0</v>
      </c>
      <c r="M79">
        <f t="shared" si="25"/>
        <v>0</v>
      </c>
      <c r="N79">
        <f t="shared" si="25"/>
        <v>0</v>
      </c>
      <c r="O79">
        <f t="shared" si="25"/>
        <v>0</v>
      </c>
      <c r="P79">
        <f t="shared" si="25"/>
        <v>0</v>
      </c>
      <c r="Q79">
        <f t="shared" si="25"/>
        <v>0</v>
      </c>
      <c r="R79">
        <f t="shared" si="25"/>
        <v>0</v>
      </c>
      <c r="S79">
        <f t="shared" si="25"/>
        <v>0</v>
      </c>
      <c r="T79">
        <f t="shared" si="25"/>
        <v>0</v>
      </c>
      <c r="U79">
        <f t="shared" si="25"/>
        <v>0</v>
      </c>
      <c r="V79">
        <f t="shared" si="25"/>
        <v>0</v>
      </c>
      <c r="W79">
        <f t="shared" si="25"/>
        <v>0</v>
      </c>
      <c r="X79">
        <f t="shared" si="25"/>
        <v>0</v>
      </c>
      <c r="Y79">
        <f t="shared" si="24"/>
        <v>0</v>
      </c>
      <c r="Z79">
        <f t="shared" si="24"/>
        <v>0</v>
      </c>
      <c r="AA79">
        <f t="shared" si="24"/>
        <v>0</v>
      </c>
      <c r="AB79">
        <f t="shared" si="24"/>
        <v>0</v>
      </c>
      <c r="AC79">
        <f t="shared" si="24"/>
        <v>0</v>
      </c>
      <c r="AD79">
        <f t="shared" si="24"/>
        <v>0</v>
      </c>
      <c r="AE79">
        <f t="shared" si="24"/>
        <v>0</v>
      </c>
      <c r="AF79">
        <f t="shared" si="24"/>
        <v>0</v>
      </c>
      <c r="AG79">
        <f t="shared" si="24"/>
        <v>0</v>
      </c>
      <c r="AH79">
        <f t="shared" si="24"/>
        <v>0</v>
      </c>
      <c r="AI79">
        <f t="shared" si="24"/>
        <v>0</v>
      </c>
      <c r="AJ79">
        <f t="shared" si="24"/>
        <v>0</v>
      </c>
      <c r="AK79">
        <f t="shared" si="24"/>
        <v>0</v>
      </c>
      <c r="AL79">
        <f t="shared" si="24"/>
        <v>0</v>
      </c>
      <c r="AM79">
        <f t="shared" si="24"/>
        <v>0</v>
      </c>
      <c r="AN79">
        <f t="shared" si="23"/>
        <v>0</v>
      </c>
      <c r="AO79">
        <f t="shared" si="23"/>
        <v>0</v>
      </c>
      <c r="AP79">
        <f t="shared" si="23"/>
        <v>0</v>
      </c>
      <c r="AQ79">
        <f t="shared" si="23"/>
        <v>0</v>
      </c>
      <c r="AR79">
        <f t="shared" si="23"/>
        <v>0</v>
      </c>
    </row>
    <row r="80" spans="5:44" x14ac:dyDescent="0.2">
      <c r="E80" s="1">
        <f>moment_rate!$AC80</f>
        <v>7.4493433161470389E-3</v>
      </c>
      <c r="F80" s="1">
        <f t="shared" si="21"/>
        <v>0</v>
      </c>
      <c r="G80">
        <f>moment_rate!I80-0.005</f>
        <v>0.73000000000000043</v>
      </c>
      <c r="H80" s="1">
        <f t="shared" si="22"/>
        <v>0</v>
      </c>
      <c r="I80">
        <f t="shared" si="25"/>
        <v>0</v>
      </c>
      <c r="J80">
        <f t="shared" si="25"/>
        <v>0</v>
      </c>
      <c r="K80">
        <f t="shared" si="25"/>
        <v>0</v>
      </c>
      <c r="L80">
        <f t="shared" si="25"/>
        <v>0</v>
      </c>
      <c r="M80">
        <f t="shared" si="25"/>
        <v>0</v>
      </c>
      <c r="N80">
        <f t="shared" si="25"/>
        <v>0</v>
      </c>
      <c r="O80">
        <f t="shared" si="25"/>
        <v>0</v>
      </c>
      <c r="P80">
        <f t="shared" si="25"/>
        <v>0</v>
      </c>
      <c r="Q80">
        <f t="shared" si="25"/>
        <v>0</v>
      </c>
      <c r="R80">
        <f t="shared" si="25"/>
        <v>0</v>
      </c>
      <c r="S80">
        <f t="shared" si="25"/>
        <v>0</v>
      </c>
      <c r="T80">
        <f t="shared" si="25"/>
        <v>0</v>
      </c>
      <c r="U80">
        <f t="shared" si="25"/>
        <v>0</v>
      </c>
      <c r="V80">
        <f t="shared" si="25"/>
        <v>0</v>
      </c>
      <c r="W80">
        <f t="shared" si="25"/>
        <v>0</v>
      </c>
      <c r="X80">
        <f t="shared" si="25"/>
        <v>0</v>
      </c>
      <c r="Y80">
        <f t="shared" si="24"/>
        <v>0</v>
      </c>
      <c r="Z80">
        <f t="shared" si="24"/>
        <v>0</v>
      </c>
      <c r="AA80">
        <f t="shared" si="24"/>
        <v>0</v>
      </c>
      <c r="AB80">
        <f t="shared" si="24"/>
        <v>0</v>
      </c>
      <c r="AC80">
        <f t="shared" si="24"/>
        <v>0</v>
      </c>
      <c r="AD80">
        <f t="shared" si="24"/>
        <v>0</v>
      </c>
      <c r="AE80">
        <f t="shared" si="24"/>
        <v>0</v>
      </c>
      <c r="AF80">
        <f t="shared" si="24"/>
        <v>0</v>
      </c>
      <c r="AG80">
        <f t="shared" si="24"/>
        <v>0</v>
      </c>
      <c r="AH80">
        <f t="shared" si="24"/>
        <v>0</v>
      </c>
      <c r="AI80">
        <f t="shared" si="24"/>
        <v>0</v>
      </c>
      <c r="AJ80">
        <f t="shared" si="24"/>
        <v>0</v>
      </c>
      <c r="AK80">
        <f t="shared" si="24"/>
        <v>0</v>
      </c>
      <c r="AL80">
        <f t="shared" si="24"/>
        <v>0</v>
      </c>
      <c r="AM80">
        <f t="shared" si="24"/>
        <v>0</v>
      </c>
      <c r="AN80">
        <f t="shared" si="23"/>
        <v>0</v>
      </c>
      <c r="AO80">
        <f t="shared" si="23"/>
        <v>0</v>
      </c>
      <c r="AP80">
        <f t="shared" si="23"/>
        <v>0</v>
      </c>
      <c r="AQ80">
        <f t="shared" si="23"/>
        <v>0</v>
      </c>
      <c r="AR80">
        <f t="shared" si="23"/>
        <v>0</v>
      </c>
    </row>
    <row r="81" spans="5:44" x14ac:dyDescent="0.2">
      <c r="E81" s="1">
        <f>moment_rate!$AC81</f>
        <v>7.4493433161470389E-3</v>
      </c>
      <c r="F81" s="1">
        <f t="shared" si="21"/>
        <v>0</v>
      </c>
      <c r="G81">
        <f>moment_rate!I81-0.005</f>
        <v>0.74000000000000044</v>
      </c>
      <c r="H81" s="1">
        <f t="shared" si="22"/>
        <v>0</v>
      </c>
      <c r="I81">
        <f t="shared" si="25"/>
        <v>0</v>
      </c>
      <c r="J81">
        <f t="shared" si="25"/>
        <v>0</v>
      </c>
      <c r="K81">
        <f t="shared" si="25"/>
        <v>0</v>
      </c>
      <c r="L81">
        <f t="shared" si="25"/>
        <v>0</v>
      </c>
      <c r="M81">
        <f t="shared" si="25"/>
        <v>0</v>
      </c>
      <c r="N81">
        <f t="shared" si="25"/>
        <v>0</v>
      </c>
      <c r="O81">
        <f t="shared" si="25"/>
        <v>0</v>
      </c>
      <c r="P81">
        <f t="shared" si="25"/>
        <v>0</v>
      </c>
      <c r="Q81">
        <f t="shared" si="25"/>
        <v>0</v>
      </c>
      <c r="R81">
        <f t="shared" si="25"/>
        <v>0</v>
      </c>
      <c r="S81">
        <f t="shared" si="25"/>
        <v>0</v>
      </c>
      <c r="T81">
        <f t="shared" si="25"/>
        <v>0</v>
      </c>
      <c r="U81">
        <f t="shared" si="25"/>
        <v>0</v>
      </c>
      <c r="V81">
        <f t="shared" si="25"/>
        <v>0</v>
      </c>
      <c r="W81">
        <f t="shared" si="25"/>
        <v>0</v>
      </c>
      <c r="X81">
        <f t="shared" si="25"/>
        <v>0</v>
      </c>
      <c r="Y81">
        <f t="shared" si="24"/>
        <v>0</v>
      </c>
      <c r="Z81">
        <f t="shared" si="24"/>
        <v>0</v>
      </c>
      <c r="AA81">
        <f t="shared" si="24"/>
        <v>0</v>
      </c>
      <c r="AB81">
        <f t="shared" si="24"/>
        <v>0</v>
      </c>
      <c r="AC81">
        <f t="shared" si="24"/>
        <v>0</v>
      </c>
      <c r="AD81">
        <f t="shared" si="24"/>
        <v>0</v>
      </c>
      <c r="AE81">
        <f t="shared" si="24"/>
        <v>0</v>
      </c>
      <c r="AF81">
        <f t="shared" si="24"/>
        <v>0</v>
      </c>
      <c r="AG81">
        <f t="shared" si="24"/>
        <v>0</v>
      </c>
      <c r="AH81">
        <f t="shared" si="24"/>
        <v>0</v>
      </c>
      <c r="AI81">
        <f t="shared" si="24"/>
        <v>0</v>
      </c>
      <c r="AJ81">
        <f t="shared" si="24"/>
        <v>0</v>
      </c>
      <c r="AK81">
        <f t="shared" si="24"/>
        <v>0</v>
      </c>
      <c r="AL81">
        <f t="shared" si="24"/>
        <v>0</v>
      </c>
      <c r="AM81">
        <f t="shared" si="24"/>
        <v>0</v>
      </c>
      <c r="AN81">
        <f t="shared" si="23"/>
        <v>0</v>
      </c>
      <c r="AO81">
        <f t="shared" si="23"/>
        <v>0</v>
      </c>
      <c r="AP81">
        <f t="shared" si="23"/>
        <v>0</v>
      </c>
      <c r="AQ81">
        <f t="shared" si="23"/>
        <v>0</v>
      </c>
      <c r="AR81">
        <f t="shared" si="23"/>
        <v>0</v>
      </c>
    </row>
    <row r="82" spans="5:44" x14ac:dyDescent="0.2">
      <c r="E82" s="1">
        <f>moment_rate!$AC82</f>
        <v>7.4493433161470389E-3</v>
      </c>
      <c r="F82" s="1">
        <f t="shared" si="21"/>
        <v>0</v>
      </c>
      <c r="G82">
        <f>moment_rate!I82-0.005</f>
        <v>0.75000000000000044</v>
      </c>
      <c r="H82" s="1">
        <f t="shared" si="22"/>
        <v>0</v>
      </c>
      <c r="I82">
        <f t="shared" si="25"/>
        <v>0</v>
      </c>
      <c r="J82">
        <f t="shared" si="25"/>
        <v>0</v>
      </c>
      <c r="K82">
        <f t="shared" si="25"/>
        <v>0</v>
      </c>
      <c r="L82">
        <f t="shared" si="25"/>
        <v>0</v>
      </c>
      <c r="M82">
        <f t="shared" si="25"/>
        <v>0</v>
      </c>
      <c r="N82">
        <f t="shared" si="25"/>
        <v>0</v>
      </c>
      <c r="O82">
        <f t="shared" si="25"/>
        <v>0</v>
      </c>
      <c r="P82">
        <f t="shared" si="25"/>
        <v>0</v>
      </c>
      <c r="Q82">
        <f t="shared" si="25"/>
        <v>0</v>
      </c>
      <c r="R82">
        <f t="shared" si="25"/>
        <v>0</v>
      </c>
      <c r="S82">
        <f t="shared" si="25"/>
        <v>0</v>
      </c>
      <c r="T82">
        <f t="shared" si="25"/>
        <v>0</v>
      </c>
      <c r="U82">
        <f t="shared" si="25"/>
        <v>0</v>
      </c>
      <c r="V82">
        <f t="shared" si="25"/>
        <v>0</v>
      </c>
      <c r="W82">
        <f t="shared" si="25"/>
        <v>0</v>
      </c>
      <c r="X82">
        <f t="shared" si="25"/>
        <v>0</v>
      </c>
      <c r="Y82">
        <f t="shared" si="24"/>
        <v>0</v>
      </c>
      <c r="Z82">
        <f t="shared" si="24"/>
        <v>0</v>
      </c>
      <c r="AA82">
        <f t="shared" si="24"/>
        <v>0</v>
      </c>
      <c r="AB82">
        <f t="shared" si="24"/>
        <v>0</v>
      </c>
      <c r="AC82">
        <f t="shared" si="24"/>
        <v>0</v>
      </c>
      <c r="AD82">
        <f t="shared" si="24"/>
        <v>0</v>
      </c>
      <c r="AE82">
        <f t="shared" si="24"/>
        <v>0</v>
      </c>
      <c r="AF82">
        <f t="shared" si="24"/>
        <v>0</v>
      </c>
      <c r="AG82">
        <f t="shared" si="24"/>
        <v>0</v>
      </c>
      <c r="AH82">
        <f t="shared" si="24"/>
        <v>0</v>
      </c>
      <c r="AI82">
        <f t="shared" si="24"/>
        <v>0</v>
      </c>
      <c r="AJ82">
        <f t="shared" si="24"/>
        <v>0</v>
      </c>
      <c r="AK82">
        <f t="shared" si="24"/>
        <v>0</v>
      </c>
      <c r="AL82">
        <f t="shared" si="24"/>
        <v>0</v>
      </c>
      <c r="AM82">
        <f t="shared" si="24"/>
        <v>0</v>
      </c>
      <c r="AN82">
        <f t="shared" si="23"/>
        <v>0</v>
      </c>
      <c r="AO82">
        <f t="shared" si="23"/>
        <v>0</v>
      </c>
      <c r="AP82">
        <f t="shared" si="23"/>
        <v>0</v>
      </c>
      <c r="AQ82">
        <f t="shared" si="23"/>
        <v>0</v>
      </c>
      <c r="AR82">
        <f t="shared" si="23"/>
        <v>0</v>
      </c>
    </row>
    <row r="83" spans="5:44" x14ac:dyDescent="0.2">
      <c r="E83" s="1">
        <f>moment_rate!$AC83</f>
        <v>7.4493433161470389E-3</v>
      </c>
      <c r="F83" s="1">
        <f t="shared" si="21"/>
        <v>0</v>
      </c>
      <c r="G83">
        <f>moment_rate!I83-0.005</f>
        <v>0.76000000000000045</v>
      </c>
      <c r="H83" s="1">
        <f t="shared" si="22"/>
        <v>0</v>
      </c>
      <c r="I83">
        <f t="shared" si="25"/>
        <v>0</v>
      </c>
      <c r="J83">
        <f t="shared" si="25"/>
        <v>0</v>
      </c>
      <c r="K83">
        <f t="shared" si="25"/>
        <v>0</v>
      </c>
      <c r="L83">
        <f t="shared" si="25"/>
        <v>0</v>
      </c>
      <c r="M83">
        <f t="shared" si="25"/>
        <v>0</v>
      </c>
      <c r="N83">
        <f t="shared" si="25"/>
        <v>0</v>
      </c>
      <c r="O83">
        <f t="shared" si="25"/>
        <v>0</v>
      </c>
      <c r="P83">
        <f t="shared" si="25"/>
        <v>0</v>
      </c>
      <c r="Q83">
        <f t="shared" si="25"/>
        <v>0</v>
      </c>
      <c r="R83">
        <f t="shared" si="25"/>
        <v>0</v>
      </c>
      <c r="S83">
        <f t="shared" si="25"/>
        <v>0</v>
      </c>
      <c r="T83">
        <f t="shared" si="25"/>
        <v>0</v>
      </c>
      <c r="U83">
        <f t="shared" si="25"/>
        <v>0</v>
      </c>
      <c r="V83">
        <f t="shared" si="25"/>
        <v>0</v>
      </c>
      <c r="W83">
        <f t="shared" si="25"/>
        <v>0</v>
      </c>
      <c r="X83">
        <f t="shared" si="25"/>
        <v>0</v>
      </c>
      <c r="Y83">
        <f t="shared" si="24"/>
        <v>0</v>
      </c>
      <c r="Z83">
        <f t="shared" si="24"/>
        <v>0</v>
      </c>
      <c r="AA83">
        <f t="shared" si="24"/>
        <v>0</v>
      </c>
      <c r="AB83">
        <f t="shared" si="24"/>
        <v>0</v>
      </c>
      <c r="AC83">
        <f t="shared" si="24"/>
        <v>0</v>
      </c>
      <c r="AD83">
        <f t="shared" si="24"/>
        <v>0</v>
      </c>
      <c r="AE83">
        <f t="shared" si="24"/>
        <v>0</v>
      </c>
      <c r="AF83">
        <f t="shared" si="24"/>
        <v>0</v>
      </c>
      <c r="AG83">
        <f t="shared" si="24"/>
        <v>0</v>
      </c>
      <c r="AH83">
        <f t="shared" si="24"/>
        <v>0</v>
      </c>
      <c r="AI83">
        <f t="shared" si="24"/>
        <v>0</v>
      </c>
      <c r="AJ83">
        <f t="shared" si="24"/>
        <v>0</v>
      </c>
      <c r="AK83">
        <f t="shared" si="24"/>
        <v>0</v>
      </c>
      <c r="AL83">
        <f t="shared" si="24"/>
        <v>0</v>
      </c>
      <c r="AM83">
        <f t="shared" si="24"/>
        <v>0</v>
      </c>
      <c r="AN83">
        <f t="shared" si="23"/>
        <v>0</v>
      </c>
      <c r="AO83">
        <f t="shared" si="23"/>
        <v>0</v>
      </c>
      <c r="AP83">
        <f t="shared" si="23"/>
        <v>0</v>
      </c>
      <c r="AQ83">
        <f t="shared" si="23"/>
        <v>0</v>
      </c>
      <c r="AR83">
        <f t="shared" si="23"/>
        <v>0</v>
      </c>
    </row>
    <row r="84" spans="5:44" x14ac:dyDescent="0.2">
      <c r="E84" s="1">
        <f>moment_rate!$AC84</f>
        <v>7.4493433161470389E-3</v>
      </c>
      <c r="F84" s="1">
        <f t="shared" si="21"/>
        <v>0</v>
      </c>
      <c r="G84">
        <f>moment_rate!I84-0.005</f>
        <v>0.77000000000000046</v>
      </c>
      <c r="H84" s="1">
        <f t="shared" si="22"/>
        <v>0</v>
      </c>
      <c r="I84">
        <f t="shared" si="25"/>
        <v>0</v>
      </c>
      <c r="J84">
        <f t="shared" si="25"/>
        <v>0</v>
      </c>
      <c r="K84">
        <f t="shared" si="25"/>
        <v>0</v>
      </c>
      <c r="L84">
        <f t="shared" si="25"/>
        <v>0</v>
      </c>
      <c r="M84">
        <f t="shared" si="25"/>
        <v>0</v>
      </c>
      <c r="N84">
        <f t="shared" si="25"/>
        <v>0</v>
      </c>
      <c r="O84">
        <f t="shared" si="25"/>
        <v>0</v>
      </c>
      <c r="P84">
        <f t="shared" si="25"/>
        <v>0</v>
      </c>
      <c r="Q84">
        <f t="shared" si="25"/>
        <v>0</v>
      </c>
      <c r="R84">
        <f t="shared" si="25"/>
        <v>0</v>
      </c>
      <c r="S84">
        <f t="shared" si="25"/>
        <v>0</v>
      </c>
      <c r="T84">
        <f t="shared" si="25"/>
        <v>0</v>
      </c>
      <c r="U84">
        <f t="shared" si="25"/>
        <v>0</v>
      </c>
      <c r="V84">
        <f t="shared" si="25"/>
        <v>0</v>
      </c>
      <c r="W84">
        <f t="shared" si="25"/>
        <v>0</v>
      </c>
      <c r="X84">
        <f t="shared" si="25"/>
        <v>0</v>
      </c>
      <c r="Y84">
        <f t="shared" si="24"/>
        <v>0</v>
      </c>
      <c r="Z84">
        <f t="shared" si="24"/>
        <v>0</v>
      </c>
      <c r="AA84">
        <f t="shared" si="24"/>
        <v>0</v>
      </c>
      <c r="AB84">
        <f t="shared" si="24"/>
        <v>0</v>
      </c>
      <c r="AC84">
        <f t="shared" si="24"/>
        <v>0</v>
      </c>
      <c r="AD84">
        <f t="shared" si="24"/>
        <v>0</v>
      </c>
      <c r="AE84">
        <f t="shared" si="24"/>
        <v>0</v>
      </c>
      <c r="AF84">
        <f t="shared" si="24"/>
        <v>0</v>
      </c>
      <c r="AG84">
        <f t="shared" si="24"/>
        <v>0</v>
      </c>
      <c r="AH84">
        <f t="shared" si="24"/>
        <v>0</v>
      </c>
      <c r="AI84">
        <f t="shared" si="24"/>
        <v>0</v>
      </c>
      <c r="AJ84">
        <f t="shared" si="24"/>
        <v>0</v>
      </c>
      <c r="AK84">
        <f t="shared" si="24"/>
        <v>0</v>
      </c>
      <c r="AL84">
        <f t="shared" si="24"/>
        <v>0</v>
      </c>
      <c r="AM84">
        <f t="shared" si="24"/>
        <v>0</v>
      </c>
      <c r="AN84">
        <f t="shared" si="23"/>
        <v>0</v>
      </c>
      <c r="AO84">
        <f t="shared" si="23"/>
        <v>0</v>
      </c>
      <c r="AP84">
        <f t="shared" si="23"/>
        <v>0</v>
      </c>
      <c r="AQ84">
        <f t="shared" si="23"/>
        <v>0</v>
      </c>
      <c r="AR84">
        <f t="shared" si="23"/>
        <v>0</v>
      </c>
    </row>
    <row r="85" spans="5:44" x14ac:dyDescent="0.2">
      <c r="E85" s="1">
        <f>moment_rate!$AC85</f>
        <v>7.4493433161470389E-3</v>
      </c>
      <c r="F85" s="1">
        <f t="shared" si="21"/>
        <v>0</v>
      </c>
      <c r="G85">
        <f>moment_rate!I85-0.005</f>
        <v>0.78000000000000047</v>
      </c>
      <c r="H85" s="1">
        <f t="shared" si="22"/>
        <v>0</v>
      </c>
      <c r="I85">
        <f t="shared" si="25"/>
        <v>0</v>
      </c>
      <c r="J85">
        <f t="shared" si="25"/>
        <v>0</v>
      </c>
      <c r="K85">
        <f t="shared" si="25"/>
        <v>0</v>
      </c>
      <c r="L85">
        <f t="shared" si="25"/>
        <v>0</v>
      </c>
      <c r="M85">
        <f t="shared" si="25"/>
        <v>0</v>
      </c>
      <c r="N85">
        <f t="shared" si="25"/>
        <v>0</v>
      </c>
      <c r="O85">
        <f t="shared" si="25"/>
        <v>0</v>
      </c>
      <c r="P85">
        <f t="shared" si="25"/>
        <v>0</v>
      </c>
      <c r="Q85">
        <f t="shared" si="25"/>
        <v>0</v>
      </c>
      <c r="R85">
        <f t="shared" si="25"/>
        <v>0</v>
      </c>
      <c r="S85">
        <f t="shared" si="25"/>
        <v>0</v>
      </c>
      <c r="T85">
        <f t="shared" si="25"/>
        <v>0</v>
      </c>
      <c r="U85">
        <f t="shared" si="25"/>
        <v>0</v>
      </c>
      <c r="V85">
        <f t="shared" si="25"/>
        <v>0</v>
      </c>
      <c r="W85">
        <f t="shared" si="25"/>
        <v>0</v>
      </c>
      <c r="X85">
        <f t="shared" si="25"/>
        <v>0</v>
      </c>
      <c r="Y85">
        <f t="shared" si="24"/>
        <v>0</v>
      </c>
      <c r="Z85">
        <f t="shared" si="24"/>
        <v>0</v>
      </c>
      <c r="AA85">
        <f t="shared" si="24"/>
        <v>0</v>
      </c>
      <c r="AB85">
        <f t="shared" si="24"/>
        <v>0</v>
      </c>
      <c r="AC85">
        <f t="shared" si="24"/>
        <v>0</v>
      </c>
      <c r="AD85">
        <f t="shared" si="24"/>
        <v>0</v>
      </c>
      <c r="AE85">
        <f t="shared" si="24"/>
        <v>0</v>
      </c>
      <c r="AF85">
        <f t="shared" si="24"/>
        <v>0</v>
      </c>
      <c r="AG85">
        <f t="shared" si="24"/>
        <v>0</v>
      </c>
      <c r="AH85">
        <f t="shared" si="24"/>
        <v>0</v>
      </c>
      <c r="AI85">
        <f t="shared" si="24"/>
        <v>0</v>
      </c>
      <c r="AJ85">
        <f t="shared" si="24"/>
        <v>0</v>
      </c>
      <c r="AK85">
        <f t="shared" si="24"/>
        <v>0</v>
      </c>
      <c r="AL85">
        <f t="shared" si="24"/>
        <v>0</v>
      </c>
      <c r="AM85">
        <f t="shared" si="24"/>
        <v>0</v>
      </c>
      <c r="AN85">
        <f t="shared" si="23"/>
        <v>0</v>
      </c>
      <c r="AO85">
        <f t="shared" si="23"/>
        <v>0</v>
      </c>
      <c r="AP85">
        <f t="shared" si="23"/>
        <v>0</v>
      </c>
      <c r="AQ85">
        <f t="shared" si="23"/>
        <v>0</v>
      </c>
      <c r="AR85">
        <f t="shared" si="23"/>
        <v>0</v>
      </c>
    </row>
    <row r="86" spans="5:44" x14ac:dyDescent="0.2">
      <c r="E86" s="1">
        <f>moment_rate!$AC86</f>
        <v>7.4493433161470389E-3</v>
      </c>
      <c r="F86" s="1">
        <f t="shared" si="21"/>
        <v>0</v>
      </c>
      <c r="G86">
        <f>moment_rate!I86-0.005</f>
        <v>0.79000000000000048</v>
      </c>
      <c r="H86" s="1">
        <f t="shared" si="22"/>
        <v>0</v>
      </c>
      <c r="I86">
        <f t="shared" si="25"/>
        <v>0</v>
      </c>
      <c r="J86">
        <f t="shared" si="25"/>
        <v>0</v>
      </c>
      <c r="K86">
        <f t="shared" si="25"/>
        <v>0</v>
      </c>
      <c r="L86">
        <f t="shared" si="25"/>
        <v>0</v>
      </c>
      <c r="M86">
        <f t="shared" si="25"/>
        <v>0</v>
      </c>
      <c r="N86">
        <f t="shared" si="25"/>
        <v>0</v>
      </c>
      <c r="O86">
        <f t="shared" si="25"/>
        <v>0</v>
      </c>
      <c r="P86">
        <f t="shared" si="25"/>
        <v>0</v>
      </c>
      <c r="Q86">
        <f t="shared" si="25"/>
        <v>0</v>
      </c>
      <c r="R86">
        <f t="shared" si="25"/>
        <v>0</v>
      </c>
      <c r="S86">
        <f t="shared" si="25"/>
        <v>0</v>
      </c>
      <c r="T86">
        <f t="shared" si="25"/>
        <v>0</v>
      </c>
      <c r="U86">
        <f t="shared" si="25"/>
        <v>0</v>
      </c>
      <c r="V86">
        <f t="shared" si="25"/>
        <v>0</v>
      </c>
      <c r="W86">
        <f t="shared" si="25"/>
        <v>0</v>
      </c>
      <c r="X86">
        <f t="shared" si="25"/>
        <v>0</v>
      </c>
      <c r="Y86">
        <f t="shared" si="24"/>
        <v>0</v>
      </c>
      <c r="Z86">
        <f t="shared" si="24"/>
        <v>0</v>
      </c>
      <c r="AA86">
        <f t="shared" si="24"/>
        <v>0</v>
      </c>
      <c r="AB86">
        <f t="shared" si="24"/>
        <v>0</v>
      </c>
      <c r="AC86">
        <f t="shared" si="24"/>
        <v>0</v>
      </c>
      <c r="AD86">
        <f t="shared" si="24"/>
        <v>0</v>
      </c>
      <c r="AE86">
        <f t="shared" si="24"/>
        <v>0</v>
      </c>
      <c r="AF86">
        <f t="shared" si="24"/>
        <v>0</v>
      </c>
      <c r="AG86">
        <f t="shared" si="24"/>
        <v>0</v>
      </c>
      <c r="AH86">
        <f t="shared" si="24"/>
        <v>0</v>
      </c>
      <c r="AI86">
        <f t="shared" si="24"/>
        <v>0</v>
      </c>
      <c r="AJ86">
        <f t="shared" si="24"/>
        <v>0</v>
      </c>
      <c r="AK86">
        <f t="shared" si="24"/>
        <v>0</v>
      </c>
      <c r="AL86">
        <f t="shared" si="24"/>
        <v>0</v>
      </c>
      <c r="AM86">
        <f t="shared" si="24"/>
        <v>0</v>
      </c>
      <c r="AN86">
        <f t="shared" si="23"/>
        <v>0</v>
      </c>
      <c r="AO86">
        <f t="shared" si="23"/>
        <v>0</v>
      </c>
      <c r="AP86">
        <f t="shared" si="23"/>
        <v>0</v>
      </c>
      <c r="AQ86">
        <f t="shared" si="23"/>
        <v>0</v>
      </c>
      <c r="AR86">
        <f t="shared" si="23"/>
        <v>0</v>
      </c>
    </row>
    <row r="87" spans="5:44" x14ac:dyDescent="0.2">
      <c r="E87" s="1">
        <f>moment_rate!$AC87</f>
        <v>7.4493433161470389E-3</v>
      </c>
      <c r="F87" s="1">
        <f t="shared" si="21"/>
        <v>0</v>
      </c>
      <c r="G87">
        <f>moment_rate!I87-0.005</f>
        <v>0.80000000000000049</v>
      </c>
      <c r="H87" s="1">
        <f t="shared" si="22"/>
        <v>0</v>
      </c>
      <c r="I87">
        <f t="shared" si="25"/>
        <v>0</v>
      </c>
      <c r="J87">
        <f t="shared" si="25"/>
        <v>0</v>
      </c>
      <c r="K87">
        <f t="shared" si="25"/>
        <v>0</v>
      </c>
      <c r="L87">
        <f t="shared" si="25"/>
        <v>0</v>
      </c>
      <c r="M87">
        <f t="shared" si="25"/>
        <v>0</v>
      </c>
      <c r="N87">
        <f t="shared" si="25"/>
        <v>0</v>
      </c>
      <c r="O87">
        <f t="shared" si="25"/>
        <v>0</v>
      </c>
      <c r="P87">
        <f t="shared" si="25"/>
        <v>0</v>
      </c>
      <c r="Q87">
        <f t="shared" si="25"/>
        <v>0</v>
      </c>
      <c r="R87">
        <f t="shared" si="25"/>
        <v>0</v>
      </c>
      <c r="S87">
        <f t="shared" si="25"/>
        <v>0</v>
      </c>
      <c r="T87">
        <f t="shared" si="25"/>
        <v>0</v>
      </c>
      <c r="U87">
        <f t="shared" si="25"/>
        <v>0</v>
      </c>
      <c r="V87">
        <f t="shared" si="25"/>
        <v>0</v>
      </c>
      <c r="W87">
        <f t="shared" si="25"/>
        <v>0</v>
      </c>
      <c r="X87">
        <f t="shared" si="25"/>
        <v>0</v>
      </c>
      <c r="Y87">
        <f t="shared" si="24"/>
        <v>0</v>
      </c>
      <c r="Z87">
        <f t="shared" si="24"/>
        <v>0</v>
      </c>
      <c r="AA87">
        <f t="shared" si="24"/>
        <v>0</v>
      </c>
      <c r="AB87">
        <f t="shared" si="24"/>
        <v>0</v>
      </c>
      <c r="AC87">
        <f t="shared" si="24"/>
        <v>0</v>
      </c>
      <c r="AD87">
        <f t="shared" si="24"/>
        <v>0</v>
      </c>
      <c r="AE87">
        <f t="shared" si="24"/>
        <v>0</v>
      </c>
      <c r="AF87">
        <f t="shared" si="24"/>
        <v>0</v>
      </c>
      <c r="AG87">
        <f t="shared" si="24"/>
        <v>0</v>
      </c>
      <c r="AH87">
        <f t="shared" si="24"/>
        <v>0</v>
      </c>
      <c r="AI87">
        <f t="shared" si="24"/>
        <v>0</v>
      </c>
      <c r="AJ87">
        <f t="shared" si="24"/>
        <v>0</v>
      </c>
      <c r="AK87">
        <f t="shared" si="24"/>
        <v>0</v>
      </c>
      <c r="AL87">
        <f t="shared" si="24"/>
        <v>0</v>
      </c>
      <c r="AM87">
        <f t="shared" si="24"/>
        <v>0</v>
      </c>
      <c r="AN87">
        <f t="shared" si="23"/>
        <v>0</v>
      </c>
      <c r="AO87">
        <f t="shared" si="23"/>
        <v>0</v>
      </c>
      <c r="AP87">
        <f t="shared" si="23"/>
        <v>0</v>
      </c>
      <c r="AQ87">
        <f t="shared" si="23"/>
        <v>0</v>
      </c>
      <c r="AR87">
        <f t="shared" si="23"/>
        <v>0</v>
      </c>
    </row>
    <row r="88" spans="5:44" x14ac:dyDescent="0.2">
      <c r="E88" s="1">
        <f>moment_rate!$AC88</f>
        <v>7.4493433161470389E-3</v>
      </c>
      <c r="F88" s="1">
        <f t="shared" si="21"/>
        <v>0</v>
      </c>
      <c r="G88">
        <f>moment_rate!I88-0.005</f>
        <v>0.8100000000000005</v>
      </c>
      <c r="H88" s="1">
        <f t="shared" si="22"/>
        <v>0</v>
      </c>
      <c r="I88">
        <f t="shared" si="25"/>
        <v>0</v>
      </c>
      <c r="J88">
        <f t="shared" si="25"/>
        <v>0</v>
      </c>
      <c r="K88">
        <f t="shared" si="25"/>
        <v>0</v>
      </c>
      <c r="L88">
        <f t="shared" si="25"/>
        <v>0</v>
      </c>
      <c r="M88">
        <f t="shared" si="25"/>
        <v>0</v>
      </c>
      <c r="N88">
        <f t="shared" si="25"/>
        <v>0</v>
      </c>
      <c r="O88">
        <f t="shared" si="25"/>
        <v>0</v>
      </c>
      <c r="P88">
        <f t="shared" si="25"/>
        <v>0</v>
      </c>
      <c r="Q88">
        <f t="shared" si="25"/>
        <v>0</v>
      </c>
      <c r="R88">
        <f t="shared" si="25"/>
        <v>0</v>
      </c>
      <c r="S88">
        <f t="shared" si="25"/>
        <v>0</v>
      </c>
      <c r="T88">
        <f t="shared" si="25"/>
        <v>0</v>
      </c>
      <c r="U88">
        <f t="shared" si="25"/>
        <v>0</v>
      </c>
      <c r="V88">
        <f t="shared" si="25"/>
        <v>0</v>
      </c>
      <c r="W88">
        <f t="shared" si="25"/>
        <v>0</v>
      </c>
      <c r="X88">
        <f t="shared" si="25"/>
        <v>0</v>
      </c>
      <c r="Y88">
        <f t="shared" si="24"/>
        <v>0</v>
      </c>
      <c r="Z88">
        <f t="shared" si="24"/>
        <v>0</v>
      </c>
      <c r="AA88">
        <f t="shared" si="24"/>
        <v>0</v>
      </c>
      <c r="AB88">
        <f t="shared" si="24"/>
        <v>0</v>
      </c>
      <c r="AC88">
        <f t="shared" si="24"/>
        <v>0</v>
      </c>
      <c r="AD88">
        <f t="shared" si="24"/>
        <v>0</v>
      </c>
      <c r="AE88">
        <f t="shared" si="24"/>
        <v>0</v>
      </c>
      <c r="AF88">
        <f t="shared" si="24"/>
        <v>0</v>
      </c>
      <c r="AG88">
        <f t="shared" si="24"/>
        <v>0</v>
      </c>
      <c r="AH88">
        <f t="shared" si="24"/>
        <v>0</v>
      </c>
      <c r="AI88">
        <f t="shared" si="24"/>
        <v>0</v>
      </c>
      <c r="AJ88">
        <f t="shared" si="24"/>
        <v>0</v>
      </c>
      <c r="AK88">
        <f t="shared" si="24"/>
        <v>0</v>
      </c>
      <c r="AL88">
        <f t="shared" si="24"/>
        <v>0</v>
      </c>
      <c r="AM88">
        <f t="shared" si="24"/>
        <v>0</v>
      </c>
      <c r="AN88">
        <f t="shared" si="23"/>
        <v>0</v>
      </c>
      <c r="AO88">
        <f t="shared" si="23"/>
        <v>0</v>
      </c>
      <c r="AP88">
        <f t="shared" si="23"/>
        <v>0</v>
      </c>
      <c r="AQ88">
        <f t="shared" si="23"/>
        <v>0</v>
      </c>
      <c r="AR88">
        <f t="shared" si="23"/>
        <v>0</v>
      </c>
    </row>
    <row r="89" spans="5:44" x14ac:dyDescent="0.2">
      <c r="E89" s="1">
        <f>moment_rate!$AC89</f>
        <v>7.4493433161470389E-3</v>
      </c>
      <c r="F89" s="1">
        <f t="shared" si="21"/>
        <v>0</v>
      </c>
      <c r="G89">
        <f>moment_rate!I89-0.005</f>
        <v>0.82000000000000051</v>
      </c>
      <c r="H89" s="1">
        <f t="shared" si="22"/>
        <v>0</v>
      </c>
      <c r="I89">
        <f t="shared" si="25"/>
        <v>0</v>
      </c>
      <c r="J89">
        <f t="shared" si="25"/>
        <v>0</v>
      </c>
      <c r="K89">
        <f t="shared" si="25"/>
        <v>0</v>
      </c>
      <c r="L89">
        <f t="shared" si="25"/>
        <v>0</v>
      </c>
      <c r="M89">
        <f t="shared" si="25"/>
        <v>0</v>
      </c>
      <c r="N89">
        <f t="shared" si="25"/>
        <v>0</v>
      </c>
      <c r="O89">
        <f t="shared" si="25"/>
        <v>0</v>
      </c>
      <c r="P89">
        <f t="shared" si="25"/>
        <v>0</v>
      </c>
      <c r="Q89">
        <f t="shared" si="25"/>
        <v>0</v>
      </c>
      <c r="R89">
        <f t="shared" si="25"/>
        <v>0</v>
      </c>
      <c r="S89">
        <f t="shared" si="25"/>
        <v>0</v>
      </c>
      <c r="T89">
        <f t="shared" si="25"/>
        <v>0</v>
      </c>
      <c r="U89">
        <f t="shared" si="25"/>
        <v>0</v>
      </c>
      <c r="V89">
        <f t="shared" si="25"/>
        <v>0</v>
      </c>
      <c r="W89">
        <f t="shared" si="25"/>
        <v>0</v>
      </c>
      <c r="X89">
        <f t="shared" si="25"/>
        <v>0</v>
      </c>
      <c r="Y89">
        <f t="shared" si="24"/>
        <v>0</v>
      </c>
      <c r="Z89">
        <f t="shared" si="24"/>
        <v>0</v>
      </c>
      <c r="AA89">
        <f t="shared" si="24"/>
        <v>0</v>
      </c>
      <c r="AB89">
        <f t="shared" si="24"/>
        <v>0</v>
      </c>
      <c r="AC89">
        <f t="shared" si="24"/>
        <v>0</v>
      </c>
      <c r="AD89">
        <f t="shared" si="24"/>
        <v>0</v>
      </c>
      <c r="AE89">
        <f t="shared" si="24"/>
        <v>0</v>
      </c>
      <c r="AF89">
        <f t="shared" si="24"/>
        <v>0</v>
      </c>
      <c r="AG89">
        <f t="shared" si="24"/>
        <v>0</v>
      </c>
      <c r="AH89">
        <f t="shared" si="24"/>
        <v>0</v>
      </c>
      <c r="AI89">
        <f t="shared" si="24"/>
        <v>0</v>
      </c>
      <c r="AJ89">
        <f t="shared" si="24"/>
        <v>0</v>
      </c>
      <c r="AK89">
        <f t="shared" si="24"/>
        <v>0</v>
      </c>
      <c r="AL89">
        <f t="shared" si="24"/>
        <v>0</v>
      </c>
      <c r="AM89">
        <f t="shared" si="24"/>
        <v>0</v>
      </c>
      <c r="AN89">
        <f t="shared" si="23"/>
        <v>0</v>
      </c>
      <c r="AO89">
        <f t="shared" si="23"/>
        <v>0</v>
      </c>
      <c r="AP89">
        <f t="shared" si="23"/>
        <v>0</v>
      </c>
      <c r="AQ89">
        <f t="shared" si="23"/>
        <v>0</v>
      </c>
      <c r="AR89">
        <f t="shared" si="23"/>
        <v>0</v>
      </c>
    </row>
    <row r="90" spans="5:44" x14ac:dyDescent="0.2">
      <c r="E90" s="1">
        <f>moment_rate!$AC90</f>
        <v>7.4493433161470389E-3</v>
      </c>
      <c r="F90" s="1">
        <f t="shared" si="21"/>
        <v>0</v>
      </c>
      <c r="G90">
        <f>moment_rate!I90-0.005</f>
        <v>0.83000000000000052</v>
      </c>
      <c r="H90" s="1">
        <f t="shared" si="22"/>
        <v>0</v>
      </c>
      <c r="I90">
        <f t="shared" si="25"/>
        <v>0</v>
      </c>
      <c r="J90">
        <f t="shared" si="25"/>
        <v>0</v>
      </c>
      <c r="K90">
        <f t="shared" si="25"/>
        <v>0</v>
      </c>
      <c r="L90">
        <f t="shared" si="25"/>
        <v>0</v>
      </c>
      <c r="M90">
        <f t="shared" si="25"/>
        <v>0</v>
      </c>
      <c r="N90">
        <f t="shared" si="25"/>
        <v>0</v>
      </c>
      <c r="O90">
        <f t="shared" si="25"/>
        <v>0</v>
      </c>
      <c r="P90">
        <f t="shared" si="25"/>
        <v>0</v>
      </c>
      <c r="Q90">
        <f t="shared" si="25"/>
        <v>0</v>
      </c>
      <c r="R90">
        <f t="shared" si="25"/>
        <v>0</v>
      </c>
      <c r="S90">
        <f t="shared" si="25"/>
        <v>0</v>
      </c>
      <c r="T90">
        <f t="shared" si="25"/>
        <v>0</v>
      </c>
      <c r="U90">
        <f t="shared" si="25"/>
        <v>0</v>
      </c>
      <c r="V90">
        <f t="shared" si="25"/>
        <v>0</v>
      </c>
      <c r="W90">
        <f t="shared" si="25"/>
        <v>0</v>
      </c>
      <c r="X90">
        <f t="shared" si="25"/>
        <v>0</v>
      </c>
      <c r="Y90">
        <f t="shared" si="24"/>
        <v>0</v>
      </c>
      <c r="Z90">
        <f t="shared" si="24"/>
        <v>0</v>
      </c>
      <c r="AA90">
        <f t="shared" si="24"/>
        <v>0</v>
      </c>
      <c r="AB90">
        <f t="shared" si="24"/>
        <v>0</v>
      </c>
      <c r="AC90">
        <f t="shared" si="24"/>
        <v>0</v>
      </c>
      <c r="AD90">
        <f t="shared" si="24"/>
        <v>0</v>
      </c>
      <c r="AE90">
        <f t="shared" si="24"/>
        <v>0</v>
      </c>
      <c r="AF90">
        <f t="shared" si="24"/>
        <v>0</v>
      </c>
      <c r="AG90">
        <f t="shared" si="24"/>
        <v>0</v>
      </c>
      <c r="AH90">
        <f t="shared" si="24"/>
        <v>0</v>
      </c>
      <c r="AI90">
        <f t="shared" si="24"/>
        <v>0</v>
      </c>
      <c r="AJ90">
        <f t="shared" si="24"/>
        <v>0</v>
      </c>
      <c r="AK90">
        <f t="shared" si="24"/>
        <v>0</v>
      </c>
      <c r="AL90">
        <f t="shared" si="24"/>
        <v>0</v>
      </c>
      <c r="AM90">
        <f t="shared" si="24"/>
        <v>0</v>
      </c>
      <c r="AN90">
        <f t="shared" si="23"/>
        <v>0</v>
      </c>
      <c r="AO90">
        <f t="shared" si="23"/>
        <v>0</v>
      </c>
      <c r="AP90">
        <f t="shared" si="23"/>
        <v>0</v>
      </c>
      <c r="AQ90">
        <f t="shared" si="23"/>
        <v>0</v>
      </c>
      <c r="AR90">
        <f t="shared" si="23"/>
        <v>0</v>
      </c>
    </row>
    <row r="91" spans="5:44" x14ac:dyDescent="0.2">
      <c r="E91" s="1">
        <f>moment_rate!$AC91</f>
        <v>7.4493433161470389E-3</v>
      </c>
      <c r="F91" s="1">
        <f t="shared" si="21"/>
        <v>0</v>
      </c>
      <c r="G91">
        <f>moment_rate!I91-0.005</f>
        <v>0.84000000000000052</v>
      </c>
      <c r="H91" s="1">
        <f t="shared" si="22"/>
        <v>0</v>
      </c>
      <c r="I91">
        <f t="shared" si="25"/>
        <v>0</v>
      </c>
      <c r="J91">
        <f t="shared" si="25"/>
        <v>0</v>
      </c>
      <c r="K91">
        <f t="shared" si="25"/>
        <v>0</v>
      </c>
      <c r="L91">
        <f t="shared" si="25"/>
        <v>0</v>
      </c>
      <c r="M91">
        <f t="shared" si="25"/>
        <v>0</v>
      </c>
      <c r="N91">
        <f t="shared" si="25"/>
        <v>0</v>
      </c>
      <c r="O91">
        <f t="shared" si="25"/>
        <v>0</v>
      </c>
      <c r="P91">
        <f t="shared" si="25"/>
        <v>0</v>
      </c>
      <c r="Q91">
        <f t="shared" si="25"/>
        <v>0</v>
      </c>
      <c r="R91">
        <f t="shared" si="25"/>
        <v>0</v>
      </c>
      <c r="S91">
        <f t="shared" si="25"/>
        <v>0</v>
      </c>
      <c r="T91">
        <f t="shared" si="25"/>
        <v>0</v>
      </c>
      <c r="U91">
        <f t="shared" si="25"/>
        <v>0</v>
      </c>
      <c r="V91">
        <f t="shared" si="25"/>
        <v>0</v>
      </c>
      <c r="W91">
        <f t="shared" si="25"/>
        <v>0</v>
      </c>
      <c r="X91">
        <f t="shared" si="25"/>
        <v>0</v>
      </c>
      <c r="Y91">
        <f t="shared" si="24"/>
        <v>0</v>
      </c>
      <c r="Z91">
        <f t="shared" si="24"/>
        <v>0</v>
      </c>
      <c r="AA91">
        <f t="shared" si="24"/>
        <v>0</v>
      </c>
      <c r="AB91">
        <f t="shared" si="24"/>
        <v>0</v>
      </c>
      <c r="AC91">
        <f t="shared" si="24"/>
        <v>0</v>
      </c>
      <c r="AD91">
        <f t="shared" si="24"/>
        <v>0</v>
      </c>
      <c r="AE91">
        <f t="shared" si="24"/>
        <v>0</v>
      </c>
      <c r="AF91">
        <f t="shared" si="24"/>
        <v>0</v>
      </c>
      <c r="AG91">
        <f t="shared" si="24"/>
        <v>0</v>
      </c>
      <c r="AH91">
        <f t="shared" si="24"/>
        <v>0</v>
      </c>
      <c r="AI91">
        <f t="shared" si="24"/>
        <v>0</v>
      </c>
      <c r="AJ91">
        <f t="shared" si="24"/>
        <v>0</v>
      </c>
      <c r="AK91">
        <f t="shared" si="24"/>
        <v>0</v>
      </c>
      <c r="AL91">
        <f t="shared" si="24"/>
        <v>0</v>
      </c>
      <c r="AM91">
        <f t="shared" si="24"/>
        <v>0</v>
      </c>
      <c r="AN91">
        <f t="shared" si="23"/>
        <v>0</v>
      </c>
      <c r="AO91">
        <f t="shared" si="23"/>
        <v>0</v>
      </c>
      <c r="AP91">
        <f t="shared" si="23"/>
        <v>0</v>
      </c>
      <c r="AQ91">
        <f t="shared" si="23"/>
        <v>0</v>
      </c>
      <c r="AR91">
        <f t="shared" si="23"/>
        <v>0</v>
      </c>
    </row>
    <row r="92" spans="5:44" x14ac:dyDescent="0.2">
      <c r="E92" s="1">
        <f>moment_rate!$AC92</f>
        <v>7.4493433161470389E-3</v>
      </c>
      <c r="F92" s="1">
        <f t="shared" si="21"/>
        <v>0</v>
      </c>
      <c r="G92">
        <f>moment_rate!I92-0.005</f>
        <v>0.85000000000000053</v>
      </c>
      <c r="H92" s="1">
        <f t="shared" si="22"/>
        <v>0</v>
      </c>
      <c r="I92">
        <f t="shared" si="25"/>
        <v>0</v>
      </c>
      <c r="J92">
        <f t="shared" si="25"/>
        <v>0</v>
      </c>
      <c r="K92">
        <f t="shared" si="25"/>
        <v>0</v>
      </c>
      <c r="L92">
        <f t="shared" si="25"/>
        <v>0</v>
      </c>
      <c r="M92">
        <f t="shared" si="25"/>
        <v>0</v>
      </c>
      <c r="N92">
        <f t="shared" si="25"/>
        <v>0</v>
      </c>
      <c r="O92">
        <f t="shared" si="25"/>
        <v>0</v>
      </c>
      <c r="P92">
        <f t="shared" si="25"/>
        <v>0</v>
      </c>
      <c r="Q92">
        <f t="shared" si="25"/>
        <v>0</v>
      </c>
      <c r="R92">
        <f t="shared" si="25"/>
        <v>0</v>
      </c>
      <c r="S92">
        <f t="shared" si="25"/>
        <v>0</v>
      </c>
      <c r="T92">
        <f t="shared" si="25"/>
        <v>0</v>
      </c>
      <c r="U92">
        <f t="shared" si="25"/>
        <v>0</v>
      </c>
      <c r="V92">
        <f t="shared" si="25"/>
        <v>0</v>
      </c>
      <c r="W92">
        <f t="shared" si="25"/>
        <v>0</v>
      </c>
      <c r="X92">
        <f t="shared" si="25"/>
        <v>0</v>
      </c>
      <c r="Y92">
        <f t="shared" si="24"/>
        <v>0</v>
      </c>
      <c r="Z92">
        <f t="shared" si="24"/>
        <v>0</v>
      </c>
      <c r="AA92">
        <f t="shared" si="24"/>
        <v>0</v>
      </c>
      <c r="AB92">
        <f t="shared" si="24"/>
        <v>0</v>
      </c>
      <c r="AC92">
        <f t="shared" si="24"/>
        <v>0</v>
      </c>
      <c r="AD92">
        <f t="shared" si="24"/>
        <v>0</v>
      </c>
      <c r="AE92">
        <f t="shared" si="24"/>
        <v>0</v>
      </c>
      <c r="AF92">
        <f t="shared" si="24"/>
        <v>0</v>
      </c>
      <c r="AG92">
        <f t="shared" si="24"/>
        <v>0</v>
      </c>
      <c r="AH92">
        <f t="shared" si="24"/>
        <v>0</v>
      </c>
      <c r="AI92">
        <f t="shared" si="24"/>
        <v>0</v>
      </c>
      <c r="AJ92">
        <f t="shared" si="24"/>
        <v>0</v>
      </c>
      <c r="AK92">
        <f t="shared" si="24"/>
        <v>0</v>
      </c>
      <c r="AL92">
        <f t="shared" si="24"/>
        <v>0</v>
      </c>
      <c r="AM92">
        <f t="shared" si="24"/>
        <v>0</v>
      </c>
      <c r="AN92">
        <f t="shared" si="23"/>
        <v>0</v>
      </c>
      <c r="AO92">
        <f t="shared" si="23"/>
        <v>0</v>
      </c>
      <c r="AP92">
        <f t="shared" si="23"/>
        <v>0</v>
      </c>
      <c r="AQ92">
        <f t="shared" si="23"/>
        <v>0</v>
      </c>
      <c r="AR92">
        <f t="shared" si="23"/>
        <v>0</v>
      </c>
    </row>
    <row r="93" spans="5:44" x14ac:dyDescent="0.2">
      <c r="E93" s="1">
        <f>moment_rate!$AC93</f>
        <v>7.4493433161470389E-3</v>
      </c>
      <c r="F93" s="1">
        <f t="shared" si="21"/>
        <v>0</v>
      </c>
      <c r="G93">
        <f>moment_rate!I93-0.005</f>
        <v>0.86000000000000054</v>
      </c>
      <c r="H93" s="1">
        <f t="shared" si="22"/>
        <v>0</v>
      </c>
      <c r="I93">
        <f t="shared" si="25"/>
        <v>0</v>
      </c>
      <c r="J93">
        <f t="shared" si="25"/>
        <v>0</v>
      </c>
      <c r="K93">
        <f t="shared" si="25"/>
        <v>0</v>
      </c>
      <c r="L93">
        <f t="shared" si="25"/>
        <v>0</v>
      </c>
      <c r="M93">
        <f t="shared" si="25"/>
        <v>0</v>
      </c>
      <c r="N93">
        <f t="shared" si="25"/>
        <v>0</v>
      </c>
      <c r="O93">
        <f t="shared" si="25"/>
        <v>0</v>
      </c>
      <c r="P93">
        <f t="shared" si="25"/>
        <v>0</v>
      </c>
      <c r="Q93">
        <f t="shared" si="25"/>
        <v>0</v>
      </c>
      <c r="R93">
        <f t="shared" si="25"/>
        <v>0</v>
      </c>
      <c r="S93">
        <f t="shared" si="25"/>
        <v>0</v>
      </c>
      <c r="T93">
        <f t="shared" si="25"/>
        <v>0</v>
      </c>
      <c r="U93">
        <f t="shared" si="25"/>
        <v>0</v>
      </c>
      <c r="V93">
        <f t="shared" si="25"/>
        <v>0</v>
      </c>
      <c r="W93">
        <f t="shared" si="25"/>
        <v>0</v>
      </c>
      <c r="X93">
        <f t="shared" si="25"/>
        <v>0</v>
      </c>
      <c r="Y93">
        <f t="shared" si="24"/>
        <v>0</v>
      </c>
      <c r="Z93">
        <f t="shared" si="24"/>
        <v>0</v>
      </c>
      <c r="AA93">
        <f t="shared" si="24"/>
        <v>0</v>
      </c>
      <c r="AB93">
        <f t="shared" si="24"/>
        <v>0</v>
      </c>
      <c r="AC93">
        <f t="shared" si="24"/>
        <v>0</v>
      </c>
      <c r="AD93">
        <f t="shared" si="24"/>
        <v>0</v>
      </c>
      <c r="AE93">
        <f t="shared" si="24"/>
        <v>0</v>
      </c>
      <c r="AF93">
        <f t="shared" si="24"/>
        <v>0</v>
      </c>
      <c r="AG93">
        <f t="shared" si="24"/>
        <v>0</v>
      </c>
      <c r="AH93">
        <f t="shared" si="24"/>
        <v>0</v>
      </c>
      <c r="AI93">
        <f t="shared" si="24"/>
        <v>0</v>
      </c>
      <c r="AJ93">
        <f t="shared" si="24"/>
        <v>0</v>
      </c>
      <c r="AK93">
        <f t="shared" si="24"/>
        <v>0</v>
      </c>
      <c r="AL93">
        <f t="shared" si="24"/>
        <v>0</v>
      </c>
      <c r="AM93">
        <f t="shared" si="24"/>
        <v>0</v>
      </c>
      <c r="AN93">
        <f t="shared" ref="AN93:AR117" si="26">IF(AND($G93&gt;=AN$3,$G93&lt;AN$4),$F93,0)</f>
        <v>0</v>
      </c>
      <c r="AO93">
        <f t="shared" si="26"/>
        <v>0</v>
      </c>
      <c r="AP93">
        <f t="shared" si="26"/>
        <v>0</v>
      </c>
      <c r="AQ93">
        <f t="shared" si="26"/>
        <v>0</v>
      </c>
      <c r="AR93">
        <f t="shared" si="26"/>
        <v>0</v>
      </c>
    </row>
    <row r="94" spans="5:44" x14ac:dyDescent="0.2">
      <c r="E94" s="1">
        <f>moment_rate!$AC94</f>
        <v>7.4493433161470389E-3</v>
      </c>
      <c r="F94" s="1">
        <f t="shared" si="21"/>
        <v>0</v>
      </c>
      <c r="G94">
        <f>moment_rate!I94-0.005</f>
        <v>0.87000000000000055</v>
      </c>
      <c r="H94" s="1">
        <f t="shared" si="22"/>
        <v>0</v>
      </c>
      <c r="I94">
        <f t="shared" si="25"/>
        <v>0</v>
      </c>
      <c r="J94">
        <f t="shared" si="25"/>
        <v>0</v>
      </c>
      <c r="K94">
        <f t="shared" si="25"/>
        <v>0</v>
      </c>
      <c r="L94">
        <f t="shared" si="25"/>
        <v>0</v>
      </c>
      <c r="M94">
        <f t="shared" si="25"/>
        <v>0</v>
      </c>
      <c r="N94">
        <f t="shared" si="25"/>
        <v>0</v>
      </c>
      <c r="O94">
        <f t="shared" si="25"/>
        <v>0</v>
      </c>
      <c r="P94">
        <f t="shared" si="25"/>
        <v>0</v>
      </c>
      <c r="Q94">
        <f t="shared" si="25"/>
        <v>0</v>
      </c>
      <c r="R94">
        <f t="shared" si="25"/>
        <v>0</v>
      </c>
      <c r="S94">
        <f t="shared" si="25"/>
        <v>0</v>
      </c>
      <c r="T94">
        <f t="shared" si="25"/>
        <v>0</v>
      </c>
      <c r="U94">
        <f t="shared" si="25"/>
        <v>0</v>
      </c>
      <c r="V94">
        <f t="shared" si="25"/>
        <v>0</v>
      </c>
      <c r="W94">
        <f t="shared" si="25"/>
        <v>0</v>
      </c>
      <c r="X94">
        <f t="shared" ref="X94:AM109" si="27">IF(AND($G94&gt;=X$3,$G94&lt;X$4),$F94,0)</f>
        <v>0</v>
      </c>
      <c r="Y94">
        <f t="shared" si="27"/>
        <v>0</v>
      </c>
      <c r="Z94">
        <f t="shared" si="24"/>
        <v>0</v>
      </c>
      <c r="AA94">
        <f t="shared" si="24"/>
        <v>0</v>
      </c>
      <c r="AB94">
        <f t="shared" si="24"/>
        <v>0</v>
      </c>
      <c r="AC94">
        <f t="shared" si="24"/>
        <v>0</v>
      </c>
      <c r="AD94">
        <f t="shared" si="24"/>
        <v>0</v>
      </c>
      <c r="AE94">
        <f t="shared" si="24"/>
        <v>0</v>
      </c>
      <c r="AF94">
        <f t="shared" si="24"/>
        <v>0</v>
      </c>
      <c r="AG94">
        <f t="shared" si="24"/>
        <v>0</v>
      </c>
      <c r="AH94">
        <f t="shared" si="24"/>
        <v>0</v>
      </c>
      <c r="AI94">
        <f t="shared" si="24"/>
        <v>0</v>
      </c>
      <c r="AJ94">
        <f t="shared" si="24"/>
        <v>0</v>
      </c>
      <c r="AK94">
        <f t="shared" si="24"/>
        <v>0</v>
      </c>
      <c r="AL94">
        <f t="shared" si="24"/>
        <v>0</v>
      </c>
      <c r="AM94">
        <f t="shared" si="24"/>
        <v>0</v>
      </c>
      <c r="AN94">
        <f t="shared" si="26"/>
        <v>0</v>
      </c>
      <c r="AO94">
        <f t="shared" si="26"/>
        <v>0</v>
      </c>
      <c r="AP94">
        <f t="shared" si="26"/>
        <v>0</v>
      </c>
      <c r="AQ94">
        <f t="shared" si="26"/>
        <v>0</v>
      </c>
      <c r="AR94">
        <f t="shared" si="26"/>
        <v>0</v>
      </c>
    </row>
    <row r="95" spans="5:44" x14ac:dyDescent="0.2">
      <c r="E95" s="1">
        <f>moment_rate!$AC95</f>
        <v>7.4493433161470389E-3</v>
      </c>
      <c r="F95" s="1">
        <f t="shared" si="21"/>
        <v>0</v>
      </c>
      <c r="G95">
        <f>moment_rate!I95-0.005</f>
        <v>0.88000000000000056</v>
      </c>
      <c r="H95" s="1">
        <f t="shared" si="22"/>
        <v>0</v>
      </c>
      <c r="I95">
        <f t="shared" ref="I95:X110" si="28">IF(AND($G95&gt;=I$3,$G95&lt;I$4),$F95,0)</f>
        <v>0</v>
      </c>
      <c r="J95">
        <f t="shared" si="28"/>
        <v>0</v>
      </c>
      <c r="K95">
        <f t="shared" si="28"/>
        <v>0</v>
      </c>
      <c r="L95">
        <f t="shared" si="28"/>
        <v>0</v>
      </c>
      <c r="M95">
        <f t="shared" si="28"/>
        <v>0</v>
      </c>
      <c r="N95">
        <f t="shared" si="28"/>
        <v>0</v>
      </c>
      <c r="O95">
        <f t="shared" si="28"/>
        <v>0</v>
      </c>
      <c r="P95">
        <f t="shared" si="28"/>
        <v>0</v>
      </c>
      <c r="Q95">
        <f t="shared" si="28"/>
        <v>0</v>
      </c>
      <c r="R95">
        <f t="shared" si="28"/>
        <v>0</v>
      </c>
      <c r="S95">
        <f t="shared" si="28"/>
        <v>0</v>
      </c>
      <c r="T95">
        <f t="shared" si="28"/>
        <v>0</v>
      </c>
      <c r="U95">
        <f t="shared" si="28"/>
        <v>0</v>
      </c>
      <c r="V95">
        <f t="shared" si="28"/>
        <v>0</v>
      </c>
      <c r="W95">
        <f t="shared" si="28"/>
        <v>0</v>
      </c>
      <c r="X95">
        <f t="shared" si="28"/>
        <v>0</v>
      </c>
      <c r="Y95">
        <f t="shared" si="27"/>
        <v>0</v>
      </c>
      <c r="Z95">
        <f t="shared" si="27"/>
        <v>0</v>
      </c>
      <c r="AA95">
        <f t="shared" si="27"/>
        <v>0</v>
      </c>
      <c r="AB95">
        <f t="shared" si="27"/>
        <v>0</v>
      </c>
      <c r="AC95">
        <f t="shared" si="27"/>
        <v>0</v>
      </c>
      <c r="AD95">
        <f t="shared" si="27"/>
        <v>0</v>
      </c>
      <c r="AE95">
        <f t="shared" si="27"/>
        <v>0</v>
      </c>
      <c r="AF95">
        <f t="shared" si="27"/>
        <v>0</v>
      </c>
      <c r="AG95">
        <f t="shared" si="27"/>
        <v>0</v>
      </c>
      <c r="AH95">
        <f t="shared" si="27"/>
        <v>0</v>
      </c>
      <c r="AI95">
        <f t="shared" si="27"/>
        <v>0</v>
      </c>
      <c r="AJ95">
        <f t="shared" si="27"/>
        <v>0</v>
      </c>
      <c r="AK95">
        <f t="shared" si="27"/>
        <v>0</v>
      </c>
      <c r="AL95">
        <f t="shared" si="27"/>
        <v>0</v>
      </c>
      <c r="AM95">
        <f t="shared" si="27"/>
        <v>0</v>
      </c>
      <c r="AN95">
        <f t="shared" si="26"/>
        <v>0</v>
      </c>
      <c r="AO95">
        <f t="shared" si="26"/>
        <v>0</v>
      </c>
      <c r="AP95">
        <f t="shared" si="26"/>
        <v>0</v>
      </c>
      <c r="AQ95">
        <f t="shared" si="26"/>
        <v>0</v>
      </c>
      <c r="AR95">
        <f t="shared" si="26"/>
        <v>0</v>
      </c>
    </row>
    <row r="96" spans="5:44" x14ac:dyDescent="0.2">
      <c r="E96" s="1">
        <f>moment_rate!$AC96</f>
        <v>7.4493433161470389E-3</v>
      </c>
      <c r="F96" s="1">
        <f t="shared" si="21"/>
        <v>0</v>
      </c>
      <c r="G96">
        <f>moment_rate!I96-0.005</f>
        <v>0.89000000000000057</v>
      </c>
      <c r="H96" s="1">
        <f t="shared" si="22"/>
        <v>0</v>
      </c>
      <c r="I96">
        <f t="shared" si="28"/>
        <v>0</v>
      </c>
      <c r="J96">
        <f t="shared" si="28"/>
        <v>0</v>
      </c>
      <c r="K96">
        <f t="shared" si="28"/>
        <v>0</v>
      </c>
      <c r="L96">
        <f t="shared" si="28"/>
        <v>0</v>
      </c>
      <c r="M96">
        <f t="shared" si="28"/>
        <v>0</v>
      </c>
      <c r="N96">
        <f t="shared" si="28"/>
        <v>0</v>
      </c>
      <c r="O96">
        <f t="shared" si="28"/>
        <v>0</v>
      </c>
      <c r="P96">
        <f t="shared" si="28"/>
        <v>0</v>
      </c>
      <c r="Q96">
        <f t="shared" si="28"/>
        <v>0</v>
      </c>
      <c r="R96">
        <f t="shared" si="28"/>
        <v>0</v>
      </c>
      <c r="S96">
        <f t="shared" si="28"/>
        <v>0</v>
      </c>
      <c r="T96">
        <f t="shared" si="28"/>
        <v>0</v>
      </c>
      <c r="U96">
        <f t="shared" si="28"/>
        <v>0</v>
      </c>
      <c r="V96">
        <f t="shared" si="28"/>
        <v>0</v>
      </c>
      <c r="W96">
        <f t="shared" si="28"/>
        <v>0</v>
      </c>
      <c r="X96">
        <f t="shared" si="28"/>
        <v>0</v>
      </c>
      <c r="Y96">
        <f t="shared" si="27"/>
        <v>0</v>
      </c>
      <c r="Z96">
        <f t="shared" si="27"/>
        <v>0</v>
      </c>
      <c r="AA96">
        <f t="shared" si="27"/>
        <v>0</v>
      </c>
      <c r="AB96">
        <f t="shared" si="27"/>
        <v>0</v>
      </c>
      <c r="AC96">
        <f t="shared" si="27"/>
        <v>0</v>
      </c>
      <c r="AD96">
        <f t="shared" si="27"/>
        <v>0</v>
      </c>
      <c r="AE96">
        <f t="shared" si="27"/>
        <v>0</v>
      </c>
      <c r="AF96">
        <f t="shared" si="27"/>
        <v>0</v>
      </c>
      <c r="AG96">
        <f t="shared" si="27"/>
        <v>0</v>
      </c>
      <c r="AH96">
        <f t="shared" si="27"/>
        <v>0</v>
      </c>
      <c r="AI96">
        <f t="shared" si="27"/>
        <v>0</v>
      </c>
      <c r="AJ96">
        <f t="shared" si="27"/>
        <v>0</v>
      </c>
      <c r="AK96">
        <f t="shared" si="27"/>
        <v>0</v>
      </c>
      <c r="AL96">
        <f t="shared" si="27"/>
        <v>0</v>
      </c>
      <c r="AM96">
        <f t="shared" si="27"/>
        <v>0</v>
      </c>
      <c r="AN96">
        <f t="shared" si="26"/>
        <v>0</v>
      </c>
      <c r="AO96">
        <f t="shared" si="26"/>
        <v>0</v>
      </c>
      <c r="AP96">
        <f t="shared" si="26"/>
        <v>0</v>
      </c>
      <c r="AQ96">
        <f t="shared" si="26"/>
        <v>0</v>
      </c>
      <c r="AR96">
        <f t="shared" si="26"/>
        <v>0</v>
      </c>
    </row>
    <row r="97" spans="5:44" x14ac:dyDescent="0.2">
      <c r="E97" s="1">
        <f>moment_rate!$AC97</f>
        <v>7.4493433161470389E-3</v>
      </c>
      <c r="F97" s="1">
        <f t="shared" si="21"/>
        <v>0</v>
      </c>
      <c r="G97">
        <f>moment_rate!I97-0.005</f>
        <v>0.90000000000000058</v>
      </c>
      <c r="H97" s="1">
        <f t="shared" si="22"/>
        <v>0</v>
      </c>
      <c r="I97">
        <f t="shared" si="28"/>
        <v>0</v>
      </c>
      <c r="J97">
        <f t="shared" si="28"/>
        <v>0</v>
      </c>
      <c r="K97">
        <f t="shared" si="28"/>
        <v>0</v>
      </c>
      <c r="L97">
        <f t="shared" si="28"/>
        <v>0</v>
      </c>
      <c r="M97">
        <f t="shared" si="28"/>
        <v>0</v>
      </c>
      <c r="N97">
        <f t="shared" si="28"/>
        <v>0</v>
      </c>
      <c r="O97">
        <f t="shared" si="28"/>
        <v>0</v>
      </c>
      <c r="P97">
        <f t="shared" si="28"/>
        <v>0</v>
      </c>
      <c r="Q97">
        <f t="shared" si="28"/>
        <v>0</v>
      </c>
      <c r="R97">
        <f t="shared" si="28"/>
        <v>0</v>
      </c>
      <c r="S97">
        <f t="shared" si="28"/>
        <v>0</v>
      </c>
      <c r="T97">
        <f t="shared" si="28"/>
        <v>0</v>
      </c>
      <c r="U97">
        <f t="shared" si="28"/>
        <v>0</v>
      </c>
      <c r="V97">
        <f t="shared" si="28"/>
        <v>0</v>
      </c>
      <c r="W97">
        <f t="shared" si="28"/>
        <v>0</v>
      </c>
      <c r="X97">
        <f t="shared" si="28"/>
        <v>0</v>
      </c>
      <c r="Y97">
        <f t="shared" si="27"/>
        <v>0</v>
      </c>
      <c r="Z97">
        <f t="shared" si="27"/>
        <v>0</v>
      </c>
      <c r="AA97">
        <f t="shared" si="27"/>
        <v>0</v>
      </c>
      <c r="AB97">
        <f t="shared" si="27"/>
        <v>0</v>
      </c>
      <c r="AC97">
        <f t="shared" si="27"/>
        <v>0</v>
      </c>
      <c r="AD97">
        <f t="shared" si="27"/>
        <v>0</v>
      </c>
      <c r="AE97">
        <f t="shared" si="27"/>
        <v>0</v>
      </c>
      <c r="AF97">
        <f t="shared" si="27"/>
        <v>0</v>
      </c>
      <c r="AG97">
        <f t="shared" si="27"/>
        <v>0</v>
      </c>
      <c r="AH97">
        <f t="shared" si="27"/>
        <v>0</v>
      </c>
      <c r="AI97">
        <f t="shared" si="27"/>
        <v>0</v>
      </c>
      <c r="AJ97">
        <f t="shared" si="27"/>
        <v>0</v>
      </c>
      <c r="AK97">
        <f t="shared" si="27"/>
        <v>0</v>
      </c>
      <c r="AL97">
        <f t="shared" si="27"/>
        <v>0</v>
      </c>
      <c r="AM97">
        <f t="shared" si="27"/>
        <v>0</v>
      </c>
      <c r="AN97">
        <f t="shared" si="26"/>
        <v>0</v>
      </c>
      <c r="AO97">
        <f t="shared" si="26"/>
        <v>0</v>
      </c>
      <c r="AP97">
        <f t="shared" si="26"/>
        <v>0</v>
      </c>
      <c r="AQ97">
        <f t="shared" si="26"/>
        <v>0</v>
      </c>
      <c r="AR97">
        <f t="shared" si="26"/>
        <v>0</v>
      </c>
    </row>
    <row r="98" spans="5:44" x14ac:dyDescent="0.2">
      <c r="E98" s="1">
        <f>moment_rate!$AC98</f>
        <v>7.4493433161470389E-3</v>
      </c>
      <c r="F98" s="1">
        <f t="shared" si="21"/>
        <v>0</v>
      </c>
      <c r="G98">
        <f>moment_rate!I98-0.005</f>
        <v>0.91000000000000059</v>
      </c>
      <c r="H98" s="1">
        <f t="shared" si="22"/>
        <v>0</v>
      </c>
      <c r="I98">
        <f t="shared" si="28"/>
        <v>0</v>
      </c>
      <c r="J98">
        <f t="shared" si="28"/>
        <v>0</v>
      </c>
      <c r="K98">
        <f t="shared" si="28"/>
        <v>0</v>
      </c>
      <c r="L98">
        <f t="shared" si="28"/>
        <v>0</v>
      </c>
      <c r="M98">
        <f t="shared" si="28"/>
        <v>0</v>
      </c>
      <c r="N98">
        <f t="shared" si="28"/>
        <v>0</v>
      </c>
      <c r="O98">
        <f t="shared" si="28"/>
        <v>0</v>
      </c>
      <c r="P98">
        <f t="shared" si="28"/>
        <v>0</v>
      </c>
      <c r="Q98">
        <f t="shared" si="28"/>
        <v>0</v>
      </c>
      <c r="R98">
        <f t="shared" si="28"/>
        <v>0</v>
      </c>
      <c r="S98">
        <f t="shared" si="28"/>
        <v>0</v>
      </c>
      <c r="T98">
        <f t="shared" si="28"/>
        <v>0</v>
      </c>
      <c r="U98">
        <f t="shared" si="28"/>
        <v>0</v>
      </c>
      <c r="V98">
        <f t="shared" si="28"/>
        <v>0</v>
      </c>
      <c r="W98">
        <f t="shared" si="28"/>
        <v>0</v>
      </c>
      <c r="X98">
        <f t="shared" si="28"/>
        <v>0</v>
      </c>
      <c r="Y98">
        <f t="shared" si="27"/>
        <v>0</v>
      </c>
      <c r="Z98">
        <f t="shared" si="27"/>
        <v>0</v>
      </c>
      <c r="AA98">
        <f t="shared" si="27"/>
        <v>0</v>
      </c>
      <c r="AB98">
        <f t="shared" si="27"/>
        <v>0</v>
      </c>
      <c r="AC98">
        <f t="shared" si="27"/>
        <v>0</v>
      </c>
      <c r="AD98">
        <f t="shared" si="27"/>
        <v>0</v>
      </c>
      <c r="AE98">
        <f t="shared" si="27"/>
        <v>0</v>
      </c>
      <c r="AF98">
        <f t="shared" si="27"/>
        <v>0</v>
      </c>
      <c r="AG98">
        <f t="shared" si="27"/>
        <v>0</v>
      </c>
      <c r="AH98">
        <f t="shared" si="27"/>
        <v>0</v>
      </c>
      <c r="AI98">
        <f t="shared" si="27"/>
        <v>0</v>
      </c>
      <c r="AJ98">
        <f t="shared" si="27"/>
        <v>0</v>
      </c>
      <c r="AK98">
        <f t="shared" si="27"/>
        <v>0</v>
      </c>
      <c r="AL98">
        <f t="shared" si="27"/>
        <v>0</v>
      </c>
      <c r="AM98">
        <f t="shared" si="27"/>
        <v>0</v>
      </c>
      <c r="AN98">
        <f t="shared" si="26"/>
        <v>0</v>
      </c>
      <c r="AO98">
        <f t="shared" si="26"/>
        <v>0</v>
      </c>
      <c r="AP98">
        <f t="shared" si="26"/>
        <v>0</v>
      </c>
      <c r="AQ98">
        <f t="shared" si="26"/>
        <v>0</v>
      </c>
      <c r="AR98">
        <f t="shared" si="26"/>
        <v>0</v>
      </c>
    </row>
    <row r="99" spans="5:44" x14ac:dyDescent="0.2">
      <c r="E99" s="1">
        <f>moment_rate!$AC99</f>
        <v>7.4493433161470389E-3</v>
      </c>
      <c r="F99" s="1">
        <f t="shared" si="21"/>
        <v>0</v>
      </c>
      <c r="G99">
        <f>moment_rate!I99-0.005</f>
        <v>0.9200000000000006</v>
      </c>
      <c r="H99" s="1">
        <f t="shared" si="22"/>
        <v>0</v>
      </c>
      <c r="I99">
        <f t="shared" si="28"/>
        <v>0</v>
      </c>
      <c r="J99">
        <f t="shared" si="28"/>
        <v>0</v>
      </c>
      <c r="K99">
        <f t="shared" si="28"/>
        <v>0</v>
      </c>
      <c r="L99">
        <f t="shared" si="28"/>
        <v>0</v>
      </c>
      <c r="M99">
        <f t="shared" si="28"/>
        <v>0</v>
      </c>
      <c r="N99">
        <f t="shared" si="28"/>
        <v>0</v>
      </c>
      <c r="O99">
        <f t="shared" si="28"/>
        <v>0</v>
      </c>
      <c r="P99">
        <f t="shared" si="28"/>
        <v>0</v>
      </c>
      <c r="Q99">
        <f t="shared" si="28"/>
        <v>0</v>
      </c>
      <c r="R99">
        <f t="shared" si="28"/>
        <v>0</v>
      </c>
      <c r="S99">
        <f t="shared" si="28"/>
        <v>0</v>
      </c>
      <c r="T99">
        <f t="shared" si="28"/>
        <v>0</v>
      </c>
      <c r="U99">
        <f t="shared" si="28"/>
        <v>0</v>
      </c>
      <c r="V99">
        <f t="shared" si="28"/>
        <v>0</v>
      </c>
      <c r="W99">
        <f t="shared" si="28"/>
        <v>0</v>
      </c>
      <c r="X99">
        <f t="shared" si="28"/>
        <v>0</v>
      </c>
      <c r="Y99">
        <f t="shared" si="27"/>
        <v>0</v>
      </c>
      <c r="Z99">
        <f t="shared" si="27"/>
        <v>0</v>
      </c>
      <c r="AA99">
        <f t="shared" si="27"/>
        <v>0</v>
      </c>
      <c r="AB99">
        <f t="shared" si="27"/>
        <v>0</v>
      </c>
      <c r="AC99">
        <f t="shared" si="27"/>
        <v>0</v>
      </c>
      <c r="AD99">
        <f t="shared" si="27"/>
        <v>0</v>
      </c>
      <c r="AE99">
        <f t="shared" si="27"/>
        <v>0</v>
      </c>
      <c r="AF99">
        <f t="shared" si="27"/>
        <v>0</v>
      </c>
      <c r="AG99">
        <f t="shared" si="27"/>
        <v>0</v>
      </c>
      <c r="AH99">
        <f t="shared" si="27"/>
        <v>0</v>
      </c>
      <c r="AI99">
        <f t="shared" si="27"/>
        <v>0</v>
      </c>
      <c r="AJ99">
        <f t="shared" si="27"/>
        <v>0</v>
      </c>
      <c r="AK99">
        <f t="shared" si="27"/>
        <v>0</v>
      </c>
      <c r="AL99">
        <f t="shared" si="27"/>
        <v>0</v>
      </c>
      <c r="AM99">
        <f t="shared" si="27"/>
        <v>0</v>
      </c>
      <c r="AN99">
        <f t="shared" si="26"/>
        <v>0</v>
      </c>
      <c r="AO99">
        <f t="shared" si="26"/>
        <v>0</v>
      </c>
      <c r="AP99">
        <f t="shared" si="26"/>
        <v>0</v>
      </c>
      <c r="AQ99">
        <f t="shared" si="26"/>
        <v>0</v>
      </c>
      <c r="AR99">
        <f t="shared" si="26"/>
        <v>0</v>
      </c>
    </row>
    <row r="100" spans="5:44" x14ac:dyDescent="0.2">
      <c r="E100" s="1">
        <f>moment_rate!$AC100</f>
        <v>7.4493433161470389E-3</v>
      </c>
      <c r="F100" s="1">
        <f t="shared" si="21"/>
        <v>0</v>
      </c>
      <c r="G100">
        <f>moment_rate!I100-0.005</f>
        <v>0.9300000000000006</v>
      </c>
      <c r="H100" s="1">
        <f t="shared" si="22"/>
        <v>0</v>
      </c>
      <c r="I100">
        <f t="shared" si="28"/>
        <v>0</v>
      </c>
      <c r="J100">
        <f t="shared" si="28"/>
        <v>0</v>
      </c>
      <c r="K100">
        <f t="shared" si="28"/>
        <v>0</v>
      </c>
      <c r="L100">
        <f t="shared" si="28"/>
        <v>0</v>
      </c>
      <c r="M100">
        <f t="shared" si="28"/>
        <v>0</v>
      </c>
      <c r="N100">
        <f t="shared" si="28"/>
        <v>0</v>
      </c>
      <c r="O100">
        <f t="shared" si="28"/>
        <v>0</v>
      </c>
      <c r="P100">
        <f t="shared" si="28"/>
        <v>0</v>
      </c>
      <c r="Q100">
        <f t="shared" si="28"/>
        <v>0</v>
      </c>
      <c r="R100">
        <f t="shared" si="28"/>
        <v>0</v>
      </c>
      <c r="S100">
        <f t="shared" si="28"/>
        <v>0</v>
      </c>
      <c r="T100">
        <f t="shared" si="28"/>
        <v>0</v>
      </c>
      <c r="U100">
        <f t="shared" si="28"/>
        <v>0</v>
      </c>
      <c r="V100">
        <f t="shared" si="28"/>
        <v>0</v>
      </c>
      <c r="W100">
        <f t="shared" si="28"/>
        <v>0</v>
      </c>
      <c r="X100">
        <f t="shared" si="28"/>
        <v>0</v>
      </c>
      <c r="Y100">
        <f t="shared" si="27"/>
        <v>0</v>
      </c>
      <c r="Z100">
        <f t="shared" si="27"/>
        <v>0</v>
      </c>
      <c r="AA100">
        <f t="shared" si="27"/>
        <v>0</v>
      </c>
      <c r="AB100">
        <f t="shared" si="27"/>
        <v>0</v>
      </c>
      <c r="AC100">
        <f t="shared" si="27"/>
        <v>0</v>
      </c>
      <c r="AD100">
        <f t="shared" si="27"/>
        <v>0</v>
      </c>
      <c r="AE100">
        <f t="shared" si="27"/>
        <v>0</v>
      </c>
      <c r="AF100">
        <f t="shared" si="27"/>
        <v>0</v>
      </c>
      <c r="AG100">
        <f t="shared" si="27"/>
        <v>0</v>
      </c>
      <c r="AH100">
        <f t="shared" si="27"/>
        <v>0</v>
      </c>
      <c r="AI100">
        <f t="shared" si="27"/>
        <v>0</v>
      </c>
      <c r="AJ100">
        <f t="shared" si="27"/>
        <v>0</v>
      </c>
      <c r="AK100">
        <f t="shared" si="27"/>
        <v>0</v>
      </c>
      <c r="AL100">
        <f t="shared" si="27"/>
        <v>0</v>
      </c>
      <c r="AM100">
        <f t="shared" si="27"/>
        <v>0</v>
      </c>
      <c r="AN100">
        <f t="shared" si="26"/>
        <v>0</v>
      </c>
      <c r="AO100">
        <f t="shared" si="26"/>
        <v>0</v>
      </c>
      <c r="AP100">
        <f t="shared" si="26"/>
        <v>0</v>
      </c>
      <c r="AQ100">
        <f t="shared" si="26"/>
        <v>0</v>
      </c>
      <c r="AR100">
        <f t="shared" si="26"/>
        <v>0</v>
      </c>
    </row>
    <row r="101" spans="5:44" x14ac:dyDescent="0.2">
      <c r="E101" s="1">
        <f>moment_rate!$AC101</f>
        <v>7.4493433161470389E-3</v>
      </c>
      <c r="F101" s="1">
        <f t="shared" si="21"/>
        <v>0</v>
      </c>
      <c r="G101">
        <f>moment_rate!I101-0.005</f>
        <v>0.94000000000000061</v>
      </c>
      <c r="H101" s="1">
        <f t="shared" si="22"/>
        <v>0</v>
      </c>
      <c r="I101">
        <f t="shared" si="28"/>
        <v>0</v>
      </c>
      <c r="J101">
        <f t="shared" si="28"/>
        <v>0</v>
      </c>
      <c r="K101">
        <f t="shared" si="28"/>
        <v>0</v>
      </c>
      <c r="L101">
        <f t="shared" si="28"/>
        <v>0</v>
      </c>
      <c r="M101">
        <f t="shared" si="28"/>
        <v>0</v>
      </c>
      <c r="N101">
        <f t="shared" si="28"/>
        <v>0</v>
      </c>
      <c r="O101">
        <f t="shared" si="28"/>
        <v>0</v>
      </c>
      <c r="P101">
        <f t="shared" si="28"/>
        <v>0</v>
      </c>
      <c r="Q101">
        <f t="shared" si="28"/>
        <v>0</v>
      </c>
      <c r="R101">
        <f t="shared" si="28"/>
        <v>0</v>
      </c>
      <c r="S101">
        <f t="shared" si="28"/>
        <v>0</v>
      </c>
      <c r="T101">
        <f t="shared" si="28"/>
        <v>0</v>
      </c>
      <c r="U101">
        <f t="shared" si="28"/>
        <v>0</v>
      </c>
      <c r="V101">
        <f t="shared" si="28"/>
        <v>0</v>
      </c>
      <c r="W101">
        <f t="shared" si="28"/>
        <v>0</v>
      </c>
      <c r="X101">
        <f t="shared" si="28"/>
        <v>0</v>
      </c>
      <c r="Y101">
        <f t="shared" si="27"/>
        <v>0</v>
      </c>
      <c r="Z101">
        <f t="shared" si="27"/>
        <v>0</v>
      </c>
      <c r="AA101">
        <f t="shared" si="27"/>
        <v>0</v>
      </c>
      <c r="AB101">
        <f t="shared" si="27"/>
        <v>0</v>
      </c>
      <c r="AC101">
        <f t="shared" si="27"/>
        <v>0</v>
      </c>
      <c r="AD101">
        <f t="shared" si="27"/>
        <v>0</v>
      </c>
      <c r="AE101">
        <f t="shared" si="27"/>
        <v>0</v>
      </c>
      <c r="AF101">
        <f t="shared" si="27"/>
        <v>0</v>
      </c>
      <c r="AG101">
        <f t="shared" si="27"/>
        <v>0</v>
      </c>
      <c r="AH101">
        <f t="shared" si="27"/>
        <v>0</v>
      </c>
      <c r="AI101">
        <f t="shared" si="27"/>
        <v>0</v>
      </c>
      <c r="AJ101">
        <f t="shared" si="27"/>
        <v>0</v>
      </c>
      <c r="AK101">
        <f t="shared" si="27"/>
        <v>0</v>
      </c>
      <c r="AL101">
        <f t="shared" si="27"/>
        <v>0</v>
      </c>
      <c r="AM101">
        <f t="shared" si="27"/>
        <v>0</v>
      </c>
      <c r="AN101">
        <f t="shared" si="26"/>
        <v>0</v>
      </c>
      <c r="AO101">
        <f t="shared" si="26"/>
        <v>0</v>
      </c>
      <c r="AP101">
        <f t="shared" si="26"/>
        <v>0</v>
      </c>
      <c r="AQ101">
        <f t="shared" si="26"/>
        <v>0</v>
      </c>
      <c r="AR101">
        <f t="shared" si="26"/>
        <v>0</v>
      </c>
    </row>
    <row r="102" spans="5:44" x14ac:dyDescent="0.2">
      <c r="E102" s="1">
        <f>moment_rate!$AC102</f>
        <v>7.4493433161470389E-3</v>
      </c>
      <c r="F102" s="1">
        <f t="shared" si="21"/>
        <v>0</v>
      </c>
      <c r="G102">
        <f>moment_rate!I102-0.005</f>
        <v>0.95000000000000062</v>
      </c>
      <c r="H102" s="1">
        <f t="shared" si="22"/>
        <v>0</v>
      </c>
      <c r="I102">
        <f t="shared" si="28"/>
        <v>0</v>
      </c>
      <c r="J102">
        <f t="shared" si="28"/>
        <v>0</v>
      </c>
      <c r="K102">
        <f t="shared" si="28"/>
        <v>0</v>
      </c>
      <c r="L102">
        <f t="shared" si="28"/>
        <v>0</v>
      </c>
      <c r="M102">
        <f t="shared" si="28"/>
        <v>0</v>
      </c>
      <c r="N102">
        <f t="shared" si="28"/>
        <v>0</v>
      </c>
      <c r="O102">
        <f t="shared" si="28"/>
        <v>0</v>
      </c>
      <c r="P102">
        <f t="shared" si="28"/>
        <v>0</v>
      </c>
      <c r="Q102">
        <f t="shared" si="28"/>
        <v>0</v>
      </c>
      <c r="R102">
        <f t="shared" si="28"/>
        <v>0</v>
      </c>
      <c r="S102">
        <f t="shared" si="28"/>
        <v>0</v>
      </c>
      <c r="T102">
        <f t="shared" si="28"/>
        <v>0</v>
      </c>
      <c r="U102">
        <f t="shared" si="28"/>
        <v>0</v>
      </c>
      <c r="V102">
        <f t="shared" si="28"/>
        <v>0</v>
      </c>
      <c r="W102">
        <f t="shared" si="28"/>
        <v>0</v>
      </c>
      <c r="X102">
        <f t="shared" si="28"/>
        <v>0</v>
      </c>
      <c r="Y102">
        <f t="shared" si="27"/>
        <v>0</v>
      </c>
      <c r="Z102">
        <f t="shared" si="27"/>
        <v>0</v>
      </c>
      <c r="AA102">
        <f t="shared" si="27"/>
        <v>0</v>
      </c>
      <c r="AB102">
        <f t="shared" si="27"/>
        <v>0</v>
      </c>
      <c r="AC102">
        <f t="shared" si="27"/>
        <v>0</v>
      </c>
      <c r="AD102">
        <f t="shared" si="27"/>
        <v>0</v>
      </c>
      <c r="AE102">
        <f t="shared" si="27"/>
        <v>0</v>
      </c>
      <c r="AF102">
        <f t="shared" si="27"/>
        <v>0</v>
      </c>
      <c r="AG102">
        <f t="shared" si="27"/>
        <v>0</v>
      </c>
      <c r="AH102">
        <f t="shared" si="27"/>
        <v>0</v>
      </c>
      <c r="AI102">
        <f t="shared" si="27"/>
        <v>0</v>
      </c>
      <c r="AJ102">
        <f t="shared" si="27"/>
        <v>0</v>
      </c>
      <c r="AK102">
        <f t="shared" si="27"/>
        <v>0</v>
      </c>
      <c r="AL102">
        <f t="shared" si="27"/>
        <v>0</v>
      </c>
      <c r="AM102">
        <f t="shared" si="27"/>
        <v>0</v>
      </c>
      <c r="AN102">
        <f t="shared" si="26"/>
        <v>0</v>
      </c>
      <c r="AO102">
        <f t="shared" si="26"/>
        <v>0</v>
      </c>
      <c r="AP102">
        <f t="shared" si="26"/>
        <v>0</v>
      </c>
      <c r="AQ102">
        <f t="shared" si="26"/>
        <v>0</v>
      </c>
      <c r="AR102">
        <f t="shared" si="26"/>
        <v>0</v>
      </c>
    </row>
    <row r="103" spans="5:44" x14ac:dyDescent="0.2">
      <c r="E103" s="1">
        <f>moment_rate!$AC103</f>
        <v>7.4493433161470389E-3</v>
      </c>
      <c r="F103" s="1">
        <f t="shared" si="21"/>
        <v>0</v>
      </c>
      <c r="G103">
        <f>moment_rate!I103-0.005</f>
        <v>0.96000000000000063</v>
      </c>
      <c r="H103" s="1">
        <f t="shared" si="22"/>
        <v>0</v>
      </c>
      <c r="I103">
        <f t="shared" si="28"/>
        <v>0</v>
      </c>
      <c r="J103">
        <f t="shared" si="28"/>
        <v>0</v>
      </c>
      <c r="K103">
        <f t="shared" si="28"/>
        <v>0</v>
      </c>
      <c r="L103">
        <f t="shared" si="28"/>
        <v>0</v>
      </c>
      <c r="M103">
        <f t="shared" si="28"/>
        <v>0</v>
      </c>
      <c r="N103">
        <f t="shared" si="28"/>
        <v>0</v>
      </c>
      <c r="O103">
        <f t="shared" si="28"/>
        <v>0</v>
      </c>
      <c r="P103">
        <f t="shared" si="28"/>
        <v>0</v>
      </c>
      <c r="Q103">
        <f t="shared" si="28"/>
        <v>0</v>
      </c>
      <c r="R103">
        <f t="shared" si="28"/>
        <v>0</v>
      </c>
      <c r="S103">
        <f t="shared" si="28"/>
        <v>0</v>
      </c>
      <c r="T103">
        <f t="shared" si="28"/>
        <v>0</v>
      </c>
      <c r="U103">
        <f t="shared" si="28"/>
        <v>0</v>
      </c>
      <c r="V103">
        <f t="shared" si="28"/>
        <v>0</v>
      </c>
      <c r="W103">
        <f t="shared" si="28"/>
        <v>0</v>
      </c>
      <c r="X103">
        <f t="shared" si="28"/>
        <v>0</v>
      </c>
      <c r="Y103">
        <f t="shared" si="27"/>
        <v>0</v>
      </c>
      <c r="Z103">
        <f t="shared" si="27"/>
        <v>0</v>
      </c>
      <c r="AA103">
        <f t="shared" si="27"/>
        <v>0</v>
      </c>
      <c r="AB103">
        <f t="shared" si="27"/>
        <v>0</v>
      </c>
      <c r="AC103">
        <f t="shared" si="27"/>
        <v>0</v>
      </c>
      <c r="AD103">
        <f t="shared" si="27"/>
        <v>0</v>
      </c>
      <c r="AE103">
        <f t="shared" si="27"/>
        <v>0</v>
      </c>
      <c r="AF103">
        <f t="shared" si="27"/>
        <v>0</v>
      </c>
      <c r="AG103">
        <f t="shared" si="27"/>
        <v>0</v>
      </c>
      <c r="AH103">
        <f t="shared" si="27"/>
        <v>0</v>
      </c>
      <c r="AI103">
        <f t="shared" si="27"/>
        <v>0</v>
      </c>
      <c r="AJ103">
        <f t="shared" si="27"/>
        <v>0</v>
      </c>
      <c r="AK103">
        <f t="shared" si="27"/>
        <v>0</v>
      </c>
      <c r="AL103">
        <f t="shared" si="27"/>
        <v>0</v>
      </c>
      <c r="AM103">
        <f t="shared" si="27"/>
        <v>0</v>
      </c>
      <c r="AN103">
        <f t="shared" si="26"/>
        <v>0</v>
      </c>
      <c r="AO103">
        <f t="shared" si="26"/>
        <v>0</v>
      </c>
      <c r="AP103">
        <f t="shared" si="26"/>
        <v>0</v>
      </c>
      <c r="AQ103">
        <f t="shared" si="26"/>
        <v>0</v>
      </c>
      <c r="AR103">
        <f t="shared" si="26"/>
        <v>0</v>
      </c>
    </row>
    <row r="104" spans="5:44" x14ac:dyDescent="0.2">
      <c r="E104" s="1">
        <f>moment_rate!$AC104</f>
        <v>7.4493433161470389E-3</v>
      </c>
      <c r="F104" s="1">
        <f t="shared" si="21"/>
        <v>0</v>
      </c>
      <c r="G104">
        <f>moment_rate!I104-0.005</f>
        <v>0.97000000000000064</v>
      </c>
      <c r="H104" s="1">
        <f t="shared" si="22"/>
        <v>0</v>
      </c>
      <c r="I104">
        <f t="shared" si="28"/>
        <v>0</v>
      </c>
      <c r="J104">
        <f t="shared" si="28"/>
        <v>0</v>
      </c>
      <c r="K104">
        <f t="shared" si="28"/>
        <v>0</v>
      </c>
      <c r="L104">
        <f t="shared" si="28"/>
        <v>0</v>
      </c>
      <c r="M104">
        <f t="shared" si="28"/>
        <v>0</v>
      </c>
      <c r="N104">
        <f t="shared" si="28"/>
        <v>0</v>
      </c>
      <c r="O104">
        <f t="shared" si="28"/>
        <v>0</v>
      </c>
      <c r="P104">
        <f t="shared" si="28"/>
        <v>0</v>
      </c>
      <c r="Q104">
        <f t="shared" si="28"/>
        <v>0</v>
      </c>
      <c r="R104">
        <f t="shared" si="28"/>
        <v>0</v>
      </c>
      <c r="S104">
        <f t="shared" si="28"/>
        <v>0</v>
      </c>
      <c r="T104">
        <f t="shared" si="28"/>
        <v>0</v>
      </c>
      <c r="U104">
        <f t="shared" si="28"/>
        <v>0</v>
      </c>
      <c r="V104">
        <f t="shared" si="28"/>
        <v>0</v>
      </c>
      <c r="W104">
        <f t="shared" si="28"/>
        <v>0</v>
      </c>
      <c r="X104">
        <f t="shared" si="28"/>
        <v>0</v>
      </c>
      <c r="Y104">
        <f t="shared" si="27"/>
        <v>0</v>
      </c>
      <c r="Z104">
        <f t="shared" si="27"/>
        <v>0</v>
      </c>
      <c r="AA104">
        <f t="shared" si="27"/>
        <v>0</v>
      </c>
      <c r="AB104">
        <f t="shared" si="27"/>
        <v>0</v>
      </c>
      <c r="AC104">
        <f t="shared" si="27"/>
        <v>0</v>
      </c>
      <c r="AD104">
        <f t="shared" si="27"/>
        <v>0</v>
      </c>
      <c r="AE104">
        <f t="shared" si="27"/>
        <v>0</v>
      </c>
      <c r="AF104">
        <f t="shared" si="27"/>
        <v>0</v>
      </c>
      <c r="AG104">
        <f t="shared" si="27"/>
        <v>0</v>
      </c>
      <c r="AH104">
        <f t="shared" si="27"/>
        <v>0</v>
      </c>
      <c r="AI104">
        <f t="shared" si="27"/>
        <v>0</v>
      </c>
      <c r="AJ104">
        <f t="shared" si="27"/>
        <v>0</v>
      </c>
      <c r="AK104">
        <f t="shared" si="27"/>
        <v>0</v>
      </c>
      <c r="AL104">
        <f t="shared" si="27"/>
        <v>0</v>
      </c>
      <c r="AM104">
        <f t="shared" si="27"/>
        <v>0</v>
      </c>
      <c r="AN104">
        <f t="shared" si="26"/>
        <v>0</v>
      </c>
      <c r="AO104">
        <f t="shared" si="26"/>
        <v>0</v>
      </c>
      <c r="AP104">
        <f t="shared" si="26"/>
        <v>0</v>
      </c>
      <c r="AQ104">
        <f t="shared" si="26"/>
        <v>0</v>
      </c>
      <c r="AR104">
        <f t="shared" si="26"/>
        <v>0</v>
      </c>
    </row>
    <row r="105" spans="5:44" x14ac:dyDescent="0.2">
      <c r="E105" s="1">
        <f>moment_rate!$AC105</f>
        <v>7.4493433161470389E-3</v>
      </c>
      <c r="F105" s="1">
        <f t="shared" si="21"/>
        <v>0</v>
      </c>
      <c r="G105">
        <f>moment_rate!I105-0.005</f>
        <v>0.98000000000000065</v>
      </c>
      <c r="H105" s="1">
        <f t="shared" si="22"/>
        <v>0</v>
      </c>
      <c r="I105">
        <f t="shared" si="28"/>
        <v>0</v>
      </c>
      <c r="J105">
        <f t="shared" si="28"/>
        <v>0</v>
      </c>
      <c r="K105">
        <f t="shared" si="28"/>
        <v>0</v>
      </c>
      <c r="L105">
        <f t="shared" si="28"/>
        <v>0</v>
      </c>
      <c r="M105">
        <f t="shared" si="28"/>
        <v>0</v>
      </c>
      <c r="N105">
        <f t="shared" si="28"/>
        <v>0</v>
      </c>
      <c r="O105">
        <f t="shared" si="28"/>
        <v>0</v>
      </c>
      <c r="P105">
        <f t="shared" si="28"/>
        <v>0</v>
      </c>
      <c r="Q105">
        <f t="shared" si="28"/>
        <v>0</v>
      </c>
      <c r="R105">
        <f t="shared" si="28"/>
        <v>0</v>
      </c>
      <c r="S105">
        <f t="shared" si="28"/>
        <v>0</v>
      </c>
      <c r="T105">
        <f t="shared" si="28"/>
        <v>0</v>
      </c>
      <c r="U105">
        <f t="shared" si="28"/>
        <v>0</v>
      </c>
      <c r="V105">
        <f t="shared" si="28"/>
        <v>0</v>
      </c>
      <c r="W105">
        <f t="shared" si="28"/>
        <v>0</v>
      </c>
      <c r="X105">
        <f t="shared" si="28"/>
        <v>0</v>
      </c>
      <c r="Y105">
        <f t="shared" si="27"/>
        <v>0</v>
      </c>
      <c r="Z105">
        <f t="shared" si="27"/>
        <v>0</v>
      </c>
      <c r="AA105">
        <f t="shared" si="27"/>
        <v>0</v>
      </c>
      <c r="AB105">
        <f t="shared" si="27"/>
        <v>0</v>
      </c>
      <c r="AC105">
        <f t="shared" si="27"/>
        <v>0</v>
      </c>
      <c r="AD105">
        <f t="shared" si="27"/>
        <v>0</v>
      </c>
      <c r="AE105">
        <f t="shared" si="27"/>
        <v>0</v>
      </c>
      <c r="AF105">
        <f t="shared" si="27"/>
        <v>0</v>
      </c>
      <c r="AG105">
        <f t="shared" si="27"/>
        <v>0</v>
      </c>
      <c r="AH105">
        <f t="shared" si="27"/>
        <v>0</v>
      </c>
      <c r="AI105">
        <f t="shared" si="27"/>
        <v>0</v>
      </c>
      <c r="AJ105">
        <f t="shared" si="27"/>
        <v>0</v>
      </c>
      <c r="AK105">
        <f t="shared" si="27"/>
        <v>0</v>
      </c>
      <c r="AL105">
        <f t="shared" si="27"/>
        <v>0</v>
      </c>
      <c r="AM105">
        <f t="shared" si="27"/>
        <v>0</v>
      </c>
      <c r="AN105">
        <f t="shared" si="26"/>
        <v>0</v>
      </c>
      <c r="AO105">
        <f t="shared" si="26"/>
        <v>0</v>
      </c>
      <c r="AP105">
        <f t="shared" si="26"/>
        <v>0</v>
      </c>
      <c r="AQ105">
        <f t="shared" si="26"/>
        <v>0</v>
      </c>
      <c r="AR105">
        <f t="shared" si="26"/>
        <v>0</v>
      </c>
    </row>
    <row r="106" spans="5:44" x14ac:dyDescent="0.2">
      <c r="E106" s="1">
        <f>moment_rate!$AC106</f>
        <v>7.4493433161470389E-3</v>
      </c>
      <c r="F106" s="1">
        <f t="shared" si="21"/>
        <v>0</v>
      </c>
      <c r="G106">
        <f>moment_rate!I106-0.005</f>
        <v>0.99000000000000066</v>
      </c>
      <c r="H106" s="1">
        <f t="shared" si="22"/>
        <v>0</v>
      </c>
      <c r="I106">
        <f t="shared" si="28"/>
        <v>0</v>
      </c>
      <c r="J106">
        <f t="shared" si="28"/>
        <v>0</v>
      </c>
      <c r="K106">
        <f t="shared" si="28"/>
        <v>0</v>
      </c>
      <c r="L106">
        <f t="shared" si="28"/>
        <v>0</v>
      </c>
      <c r="M106">
        <f t="shared" si="28"/>
        <v>0</v>
      </c>
      <c r="N106">
        <f t="shared" si="28"/>
        <v>0</v>
      </c>
      <c r="O106">
        <f t="shared" si="28"/>
        <v>0</v>
      </c>
      <c r="P106">
        <f t="shared" si="28"/>
        <v>0</v>
      </c>
      <c r="Q106">
        <f t="shared" si="28"/>
        <v>0</v>
      </c>
      <c r="R106">
        <f t="shared" si="28"/>
        <v>0</v>
      </c>
      <c r="S106">
        <f t="shared" si="28"/>
        <v>0</v>
      </c>
      <c r="T106">
        <f t="shared" si="28"/>
        <v>0</v>
      </c>
      <c r="U106">
        <f t="shared" si="28"/>
        <v>0</v>
      </c>
      <c r="V106">
        <f t="shared" si="28"/>
        <v>0</v>
      </c>
      <c r="W106">
        <f t="shared" si="28"/>
        <v>0</v>
      </c>
      <c r="X106">
        <f t="shared" si="28"/>
        <v>0</v>
      </c>
      <c r="Y106">
        <f t="shared" si="27"/>
        <v>0</v>
      </c>
      <c r="Z106">
        <f t="shared" si="27"/>
        <v>0</v>
      </c>
      <c r="AA106">
        <f t="shared" si="27"/>
        <v>0</v>
      </c>
      <c r="AB106">
        <f t="shared" si="27"/>
        <v>0</v>
      </c>
      <c r="AC106">
        <f t="shared" si="27"/>
        <v>0</v>
      </c>
      <c r="AD106">
        <f t="shared" si="27"/>
        <v>0</v>
      </c>
      <c r="AE106">
        <f t="shared" si="27"/>
        <v>0</v>
      </c>
      <c r="AF106">
        <f t="shared" si="27"/>
        <v>0</v>
      </c>
      <c r="AG106">
        <f t="shared" si="27"/>
        <v>0</v>
      </c>
      <c r="AH106">
        <f t="shared" si="27"/>
        <v>0</v>
      </c>
      <c r="AI106">
        <f t="shared" si="27"/>
        <v>0</v>
      </c>
      <c r="AJ106">
        <f t="shared" si="27"/>
        <v>0</v>
      </c>
      <c r="AK106">
        <f t="shared" si="27"/>
        <v>0</v>
      </c>
      <c r="AL106">
        <f t="shared" si="27"/>
        <v>0</v>
      </c>
      <c r="AM106">
        <f t="shared" si="27"/>
        <v>0</v>
      </c>
      <c r="AN106">
        <f t="shared" si="26"/>
        <v>0</v>
      </c>
      <c r="AO106">
        <f t="shared" si="26"/>
        <v>0</v>
      </c>
      <c r="AP106">
        <f t="shared" si="26"/>
        <v>0</v>
      </c>
      <c r="AQ106">
        <f t="shared" si="26"/>
        <v>0</v>
      </c>
      <c r="AR106">
        <f t="shared" si="26"/>
        <v>0</v>
      </c>
    </row>
    <row r="107" spans="5:44" x14ac:dyDescent="0.2">
      <c r="E107" s="1">
        <f>moment_rate!$AC107</f>
        <v>7.4493433161470389E-3</v>
      </c>
      <c r="F107" s="1">
        <f t="shared" si="21"/>
        <v>0</v>
      </c>
      <c r="G107">
        <f>moment_rate!I107-0.005</f>
        <v>1.0000000000000007</v>
      </c>
      <c r="H107" s="1">
        <f t="shared" si="22"/>
        <v>0</v>
      </c>
      <c r="I107">
        <f t="shared" si="28"/>
        <v>0</v>
      </c>
      <c r="J107">
        <f t="shared" si="28"/>
        <v>0</v>
      </c>
      <c r="K107">
        <f t="shared" si="28"/>
        <v>0</v>
      </c>
      <c r="L107">
        <f t="shared" si="28"/>
        <v>0</v>
      </c>
      <c r="M107">
        <f t="shared" si="28"/>
        <v>0</v>
      </c>
      <c r="N107">
        <f t="shared" si="28"/>
        <v>0</v>
      </c>
      <c r="O107">
        <f t="shared" si="28"/>
        <v>0</v>
      </c>
      <c r="P107">
        <f t="shared" si="28"/>
        <v>0</v>
      </c>
      <c r="Q107">
        <f t="shared" si="28"/>
        <v>0</v>
      </c>
      <c r="R107">
        <f t="shared" si="28"/>
        <v>0</v>
      </c>
      <c r="S107">
        <f t="shared" si="28"/>
        <v>0</v>
      </c>
      <c r="T107">
        <f t="shared" si="28"/>
        <v>0</v>
      </c>
      <c r="U107">
        <f t="shared" si="28"/>
        <v>0</v>
      </c>
      <c r="V107">
        <f t="shared" si="28"/>
        <v>0</v>
      </c>
      <c r="W107">
        <f t="shared" si="28"/>
        <v>0</v>
      </c>
      <c r="X107">
        <f t="shared" si="28"/>
        <v>0</v>
      </c>
      <c r="Y107">
        <f t="shared" si="27"/>
        <v>0</v>
      </c>
      <c r="Z107">
        <f t="shared" si="27"/>
        <v>0</v>
      </c>
      <c r="AA107">
        <f t="shared" si="27"/>
        <v>0</v>
      </c>
      <c r="AB107">
        <f t="shared" si="27"/>
        <v>0</v>
      </c>
      <c r="AC107">
        <f t="shared" si="27"/>
        <v>0</v>
      </c>
      <c r="AD107">
        <f t="shared" si="27"/>
        <v>0</v>
      </c>
      <c r="AE107">
        <f t="shared" si="27"/>
        <v>0</v>
      </c>
      <c r="AF107">
        <f t="shared" si="27"/>
        <v>0</v>
      </c>
      <c r="AG107">
        <f t="shared" si="27"/>
        <v>0</v>
      </c>
      <c r="AH107">
        <f t="shared" si="27"/>
        <v>0</v>
      </c>
      <c r="AI107">
        <f t="shared" si="27"/>
        <v>0</v>
      </c>
      <c r="AJ107">
        <f t="shared" si="27"/>
        <v>0</v>
      </c>
      <c r="AK107">
        <f t="shared" si="27"/>
        <v>0</v>
      </c>
      <c r="AL107">
        <f t="shared" si="27"/>
        <v>0</v>
      </c>
      <c r="AM107">
        <f t="shared" si="27"/>
        <v>0</v>
      </c>
      <c r="AN107">
        <f t="shared" si="26"/>
        <v>0</v>
      </c>
      <c r="AO107">
        <f t="shared" si="26"/>
        <v>0</v>
      </c>
      <c r="AP107">
        <f t="shared" si="26"/>
        <v>0</v>
      </c>
      <c r="AQ107">
        <f t="shared" si="26"/>
        <v>0</v>
      </c>
      <c r="AR107">
        <f t="shared" si="26"/>
        <v>0</v>
      </c>
    </row>
    <row r="108" spans="5:44" x14ac:dyDescent="0.2">
      <c r="E108" s="1">
        <f>moment_rate!$AC108</f>
        <v>7.4493433161470389E-3</v>
      </c>
      <c r="F108" s="1">
        <f t="shared" si="21"/>
        <v>0</v>
      </c>
      <c r="G108">
        <f>moment_rate!I108-0.005</f>
        <v>1.0100000000000007</v>
      </c>
      <c r="H108" s="1">
        <f t="shared" si="22"/>
        <v>0</v>
      </c>
      <c r="I108">
        <f t="shared" si="28"/>
        <v>0</v>
      </c>
      <c r="J108">
        <f t="shared" si="28"/>
        <v>0</v>
      </c>
      <c r="K108">
        <f t="shared" si="28"/>
        <v>0</v>
      </c>
      <c r="L108">
        <f t="shared" si="28"/>
        <v>0</v>
      </c>
      <c r="M108">
        <f t="shared" si="28"/>
        <v>0</v>
      </c>
      <c r="N108">
        <f t="shared" si="28"/>
        <v>0</v>
      </c>
      <c r="O108">
        <f t="shared" si="28"/>
        <v>0</v>
      </c>
      <c r="P108">
        <f t="shared" si="28"/>
        <v>0</v>
      </c>
      <c r="Q108">
        <f t="shared" si="28"/>
        <v>0</v>
      </c>
      <c r="R108">
        <f t="shared" si="28"/>
        <v>0</v>
      </c>
      <c r="S108">
        <f t="shared" si="28"/>
        <v>0</v>
      </c>
      <c r="T108">
        <f t="shared" si="28"/>
        <v>0</v>
      </c>
      <c r="U108">
        <f t="shared" si="28"/>
        <v>0</v>
      </c>
      <c r="V108">
        <f t="shared" si="28"/>
        <v>0</v>
      </c>
      <c r="W108">
        <f t="shared" si="28"/>
        <v>0</v>
      </c>
      <c r="X108">
        <f t="shared" si="28"/>
        <v>0</v>
      </c>
      <c r="Y108">
        <f t="shared" si="27"/>
        <v>0</v>
      </c>
      <c r="Z108">
        <f t="shared" si="27"/>
        <v>0</v>
      </c>
      <c r="AA108">
        <f t="shared" si="27"/>
        <v>0</v>
      </c>
      <c r="AB108">
        <f t="shared" si="27"/>
        <v>0</v>
      </c>
      <c r="AC108">
        <f t="shared" si="27"/>
        <v>0</v>
      </c>
      <c r="AD108">
        <f t="shared" si="27"/>
        <v>0</v>
      </c>
      <c r="AE108">
        <f t="shared" si="27"/>
        <v>0</v>
      </c>
      <c r="AF108">
        <f t="shared" si="27"/>
        <v>0</v>
      </c>
      <c r="AG108">
        <f t="shared" si="27"/>
        <v>0</v>
      </c>
      <c r="AH108">
        <f t="shared" si="27"/>
        <v>0</v>
      </c>
      <c r="AI108">
        <f t="shared" si="27"/>
        <v>0</v>
      </c>
      <c r="AJ108">
        <f t="shared" si="27"/>
        <v>0</v>
      </c>
      <c r="AK108">
        <f t="shared" si="27"/>
        <v>0</v>
      </c>
      <c r="AL108">
        <f t="shared" si="27"/>
        <v>0</v>
      </c>
      <c r="AM108">
        <f t="shared" si="27"/>
        <v>0</v>
      </c>
      <c r="AN108">
        <f t="shared" si="26"/>
        <v>0</v>
      </c>
      <c r="AO108">
        <f t="shared" si="26"/>
        <v>0</v>
      </c>
      <c r="AP108">
        <f t="shared" si="26"/>
        <v>0</v>
      </c>
      <c r="AQ108">
        <f t="shared" si="26"/>
        <v>0</v>
      </c>
      <c r="AR108">
        <f t="shared" si="26"/>
        <v>0</v>
      </c>
    </row>
    <row r="109" spans="5:44" x14ac:dyDescent="0.2">
      <c r="E109" s="1">
        <f>moment_rate!$AC109</f>
        <v>7.4493433161470389E-3</v>
      </c>
      <c r="F109" s="1">
        <f t="shared" si="21"/>
        <v>0</v>
      </c>
      <c r="G109">
        <f>moment_rate!I109-0.005</f>
        <v>1.0200000000000007</v>
      </c>
      <c r="H109" s="1">
        <f t="shared" si="22"/>
        <v>0</v>
      </c>
      <c r="I109">
        <f t="shared" si="28"/>
        <v>0</v>
      </c>
      <c r="J109">
        <f t="shared" si="28"/>
        <v>0</v>
      </c>
      <c r="K109">
        <f t="shared" si="28"/>
        <v>0</v>
      </c>
      <c r="L109">
        <f t="shared" si="28"/>
        <v>0</v>
      </c>
      <c r="M109">
        <f t="shared" si="28"/>
        <v>0</v>
      </c>
      <c r="N109">
        <f t="shared" si="28"/>
        <v>0</v>
      </c>
      <c r="O109">
        <f t="shared" si="28"/>
        <v>0</v>
      </c>
      <c r="P109">
        <f t="shared" si="28"/>
        <v>0</v>
      </c>
      <c r="Q109">
        <f t="shared" si="28"/>
        <v>0</v>
      </c>
      <c r="R109">
        <f t="shared" si="28"/>
        <v>0</v>
      </c>
      <c r="S109">
        <f t="shared" si="28"/>
        <v>0</v>
      </c>
      <c r="T109">
        <f t="shared" si="28"/>
        <v>0</v>
      </c>
      <c r="U109">
        <f t="shared" si="28"/>
        <v>0</v>
      </c>
      <c r="V109">
        <f t="shared" si="28"/>
        <v>0</v>
      </c>
      <c r="W109">
        <f t="shared" si="28"/>
        <v>0</v>
      </c>
      <c r="X109">
        <f t="shared" si="28"/>
        <v>0</v>
      </c>
      <c r="Y109">
        <f t="shared" si="27"/>
        <v>0</v>
      </c>
      <c r="Z109">
        <f t="shared" si="27"/>
        <v>0</v>
      </c>
      <c r="AA109">
        <f t="shared" si="27"/>
        <v>0</v>
      </c>
      <c r="AB109">
        <f t="shared" si="27"/>
        <v>0</v>
      </c>
      <c r="AC109">
        <f t="shared" si="27"/>
        <v>0</v>
      </c>
      <c r="AD109">
        <f t="shared" si="27"/>
        <v>0</v>
      </c>
      <c r="AE109">
        <f t="shared" si="27"/>
        <v>0</v>
      </c>
      <c r="AF109">
        <f t="shared" si="27"/>
        <v>0</v>
      </c>
      <c r="AG109">
        <f t="shared" si="27"/>
        <v>0</v>
      </c>
      <c r="AH109">
        <f t="shared" si="27"/>
        <v>0</v>
      </c>
      <c r="AI109">
        <f t="shared" si="27"/>
        <v>0</v>
      </c>
      <c r="AJ109">
        <f t="shared" si="27"/>
        <v>0</v>
      </c>
      <c r="AK109">
        <f t="shared" si="27"/>
        <v>0</v>
      </c>
      <c r="AL109">
        <f t="shared" si="27"/>
        <v>0</v>
      </c>
      <c r="AM109">
        <f t="shared" si="27"/>
        <v>0</v>
      </c>
      <c r="AN109">
        <f t="shared" si="26"/>
        <v>0</v>
      </c>
      <c r="AO109">
        <f t="shared" si="26"/>
        <v>0</v>
      </c>
      <c r="AP109">
        <f t="shared" si="26"/>
        <v>0</v>
      </c>
      <c r="AQ109">
        <f t="shared" si="26"/>
        <v>0</v>
      </c>
      <c r="AR109">
        <f t="shared" si="26"/>
        <v>0</v>
      </c>
    </row>
    <row r="110" spans="5:44" x14ac:dyDescent="0.2">
      <c r="E110" s="1">
        <f>moment_rate!$AC110</f>
        <v>7.4493433161470389E-3</v>
      </c>
      <c r="F110" s="1">
        <f t="shared" si="21"/>
        <v>0</v>
      </c>
      <c r="G110">
        <f>moment_rate!I110-0.005</f>
        <v>1.0300000000000007</v>
      </c>
      <c r="H110" s="1">
        <f t="shared" si="22"/>
        <v>0</v>
      </c>
      <c r="I110">
        <f t="shared" si="28"/>
        <v>0</v>
      </c>
      <c r="J110">
        <f t="shared" si="28"/>
        <v>0</v>
      </c>
      <c r="K110">
        <f t="shared" si="28"/>
        <v>0</v>
      </c>
      <c r="L110">
        <f t="shared" si="28"/>
        <v>0</v>
      </c>
      <c r="M110">
        <f t="shared" si="28"/>
        <v>0</v>
      </c>
      <c r="N110">
        <f t="shared" si="28"/>
        <v>0</v>
      </c>
      <c r="O110">
        <f t="shared" si="28"/>
        <v>0</v>
      </c>
      <c r="P110">
        <f t="shared" si="28"/>
        <v>0</v>
      </c>
      <c r="Q110">
        <f t="shared" si="28"/>
        <v>0</v>
      </c>
      <c r="R110">
        <f t="shared" si="28"/>
        <v>0</v>
      </c>
      <c r="S110">
        <f t="shared" si="28"/>
        <v>0</v>
      </c>
      <c r="T110">
        <f t="shared" si="28"/>
        <v>0</v>
      </c>
      <c r="U110">
        <f t="shared" si="28"/>
        <v>0</v>
      </c>
      <c r="V110">
        <f t="shared" si="28"/>
        <v>0</v>
      </c>
      <c r="W110">
        <f t="shared" si="28"/>
        <v>0</v>
      </c>
      <c r="X110">
        <f t="shared" ref="X110:AM125" si="29">IF(AND($G110&gt;=X$3,$G110&lt;X$4),$F110,0)</f>
        <v>0</v>
      </c>
      <c r="Y110">
        <f t="shared" si="29"/>
        <v>0</v>
      </c>
      <c r="Z110">
        <f t="shared" si="29"/>
        <v>0</v>
      </c>
      <c r="AA110">
        <f t="shared" si="29"/>
        <v>0</v>
      </c>
      <c r="AB110">
        <f t="shared" si="29"/>
        <v>0</v>
      </c>
      <c r="AC110">
        <f t="shared" si="29"/>
        <v>0</v>
      </c>
      <c r="AD110">
        <f t="shared" si="29"/>
        <v>0</v>
      </c>
      <c r="AE110">
        <f t="shared" si="29"/>
        <v>0</v>
      </c>
      <c r="AF110">
        <f t="shared" si="29"/>
        <v>0</v>
      </c>
      <c r="AG110">
        <f t="shared" si="29"/>
        <v>0</v>
      </c>
      <c r="AH110">
        <f t="shared" si="29"/>
        <v>0</v>
      </c>
      <c r="AI110">
        <f t="shared" si="29"/>
        <v>0</v>
      </c>
      <c r="AJ110">
        <f t="shared" si="29"/>
        <v>0</v>
      </c>
      <c r="AK110">
        <f t="shared" si="29"/>
        <v>0</v>
      </c>
      <c r="AL110">
        <f t="shared" si="29"/>
        <v>0</v>
      </c>
      <c r="AM110">
        <f t="shared" si="29"/>
        <v>0</v>
      </c>
      <c r="AN110">
        <f t="shared" si="26"/>
        <v>0</v>
      </c>
      <c r="AO110">
        <f t="shared" si="26"/>
        <v>0</v>
      </c>
      <c r="AP110">
        <f t="shared" si="26"/>
        <v>0</v>
      </c>
      <c r="AQ110">
        <f t="shared" si="26"/>
        <v>0</v>
      </c>
      <c r="AR110">
        <f t="shared" si="26"/>
        <v>0</v>
      </c>
    </row>
    <row r="111" spans="5:44" x14ac:dyDescent="0.2">
      <c r="E111" s="1">
        <f>moment_rate!$AC111</f>
        <v>7.4493433161470389E-3</v>
      </c>
      <c r="F111" s="1">
        <f t="shared" si="21"/>
        <v>0</v>
      </c>
      <c r="G111">
        <f>moment_rate!I111-0.005</f>
        <v>1.0400000000000007</v>
      </c>
      <c r="H111" s="1">
        <f t="shared" si="22"/>
        <v>0</v>
      </c>
      <c r="I111">
        <f t="shared" ref="I111:X126" si="30">IF(AND($G111&gt;=I$3,$G111&lt;I$4),$F111,0)</f>
        <v>0</v>
      </c>
      <c r="J111">
        <f t="shared" si="30"/>
        <v>0</v>
      </c>
      <c r="K111">
        <f t="shared" si="30"/>
        <v>0</v>
      </c>
      <c r="L111">
        <f t="shared" si="30"/>
        <v>0</v>
      </c>
      <c r="M111">
        <f t="shared" si="30"/>
        <v>0</v>
      </c>
      <c r="N111">
        <f t="shared" si="30"/>
        <v>0</v>
      </c>
      <c r="O111">
        <f t="shared" si="30"/>
        <v>0</v>
      </c>
      <c r="P111">
        <f t="shared" si="30"/>
        <v>0</v>
      </c>
      <c r="Q111">
        <f t="shared" si="30"/>
        <v>0</v>
      </c>
      <c r="R111">
        <f t="shared" si="30"/>
        <v>0</v>
      </c>
      <c r="S111">
        <f t="shared" si="30"/>
        <v>0</v>
      </c>
      <c r="T111">
        <f t="shared" si="30"/>
        <v>0</v>
      </c>
      <c r="U111">
        <f t="shared" si="30"/>
        <v>0</v>
      </c>
      <c r="V111">
        <f t="shared" si="30"/>
        <v>0</v>
      </c>
      <c r="W111">
        <f t="shared" si="30"/>
        <v>0</v>
      </c>
      <c r="X111">
        <f t="shared" si="30"/>
        <v>0</v>
      </c>
      <c r="Y111">
        <f t="shared" si="29"/>
        <v>0</v>
      </c>
      <c r="Z111">
        <f t="shared" si="29"/>
        <v>0</v>
      </c>
      <c r="AA111">
        <f t="shared" si="29"/>
        <v>0</v>
      </c>
      <c r="AB111">
        <f t="shared" si="29"/>
        <v>0</v>
      </c>
      <c r="AC111">
        <f t="shared" si="29"/>
        <v>0</v>
      </c>
      <c r="AD111">
        <f t="shared" si="29"/>
        <v>0</v>
      </c>
      <c r="AE111">
        <f t="shared" si="29"/>
        <v>0</v>
      </c>
      <c r="AF111">
        <f t="shared" si="29"/>
        <v>0</v>
      </c>
      <c r="AG111">
        <f t="shared" si="29"/>
        <v>0</v>
      </c>
      <c r="AH111">
        <f t="shared" si="29"/>
        <v>0</v>
      </c>
      <c r="AI111">
        <f t="shared" si="29"/>
        <v>0</v>
      </c>
      <c r="AJ111">
        <f t="shared" si="29"/>
        <v>0</v>
      </c>
      <c r="AK111">
        <f t="shared" si="29"/>
        <v>0</v>
      </c>
      <c r="AL111">
        <f t="shared" si="29"/>
        <v>0</v>
      </c>
      <c r="AM111">
        <f t="shared" si="29"/>
        <v>0</v>
      </c>
      <c r="AN111">
        <f t="shared" si="26"/>
        <v>0</v>
      </c>
      <c r="AO111">
        <f t="shared" si="26"/>
        <v>0</v>
      </c>
      <c r="AP111">
        <f t="shared" si="26"/>
        <v>0</v>
      </c>
      <c r="AQ111">
        <f t="shared" si="26"/>
        <v>0</v>
      </c>
      <c r="AR111">
        <f t="shared" si="26"/>
        <v>0</v>
      </c>
    </row>
    <row r="112" spans="5:44" x14ac:dyDescent="0.2">
      <c r="E112" s="1">
        <f>moment_rate!$AC112</f>
        <v>7.4493433161470389E-3</v>
      </c>
      <c r="F112" s="1">
        <f t="shared" si="21"/>
        <v>0</v>
      </c>
      <c r="G112">
        <f>moment_rate!I112-0.005</f>
        <v>1.0500000000000007</v>
      </c>
      <c r="H112" s="1">
        <f t="shared" si="22"/>
        <v>0</v>
      </c>
      <c r="I112">
        <f t="shared" si="30"/>
        <v>0</v>
      </c>
      <c r="J112">
        <f t="shared" si="30"/>
        <v>0</v>
      </c>
      <c r="K112">
        <f t="shared" si="30"/>
        <v>0</v>
      </c>
      <c r="L112">
        <f t="shared" si="30"/>
        <v>0</v>
      </c>
      <c r="M112">
        <f t="shared" si="30"/>
        <v>0</v>
      </c>
      <c r="N112">
        <f t="shared" si="30"/>
        <v>0</v>
      </c>
      <c r="O112">
        <f t="shared" si="30"/>
        <v>0</v>
      </c>
      <c r="P112">
        <f t="shared" si="30"/>
        <v>0</v>
      </c>
      <c r="Q112">
        <f t="shared" si="30"/>
        <v>0</v>
      </c>
      <c r="R112">
        <f t="shared" si="30"/>
        <v>0</v>
      </c>
      <c r="S112">
        <f t="shared" si="30"/>
        <v>0</v>
      </c>
      <c r="T112">
        <f t="shared" si="30"/>
        <v>0</v>
      </c>
      <c r="U112">
        <f t="shared" si="30"/>
        <v>0</v>
      </c>
      <c r="V112">
        <f t="shared" si="30"/>
        <v>0</v>
      </c>
      <c r="W112">
        <f t="shared" si="30"/>
        <v>0</v>
      </c>
      <c r="X112">
        <f t="shared" si="30"/>
        <v>0</v>
      </c>
      <c r="Y112">
        <f t="shared" si="29"/>
        <v>0</v>
      </c>
      <c r="Z112">
        <f t="shared" si="29"/>
        <v>0</v>
      </c>
      <c r="AA112">
        <f t="shared" si="29"/>
        <v>0</v>
      </c>
      <c r="AB112">
        <f t="shared" si="29"/>
        <v>0</v>
      </c>
      <c r="AC112">
        <f t="shared" si="29"/>
        <v>0</v>
      </c>
      <c r="AD112">
        <f t="shared" si="29"/>
        <v>0</v>
      </c>
      <c r="AE112">
        <f t="shared" si="29"/>
        <v>0</v>
      </c>
      <c r="AF112">
        <f t="shared" si="29"/>
        <v>0</v>
      </c>
      <c r="AG112">
        <f t="shared" si="29"/>
        <v>0</v>
      </c>
      <c r="AH112">
        <f t="shared" si="29"/>
        <v>0</v>
      </c>
      <c r="AI112">
        <f t="shared" si="29"/>
        <v>0</v>
      </c>
      <c r="AJ112">
        <f t="shared" si="29"/>
        <v>0</v>
      </c>
      <c r="AK112">
        <f t="shared" si="29"/>
        <v>0</v>
      </c>
      <c r="AL112">
        <f t="shared" si="29"/>
        <v>0</v>
      </c>
      <c r="AM112">
        <f t="shared" si="29"/>
        <v>0</v>
      </c>
      <c r="AN112">
        <f t="shared" si="26"/>
        <v>0</v>
      </c>
      <c r="AO112">
        <f t="shared" si="26"/>
        <v>0</v>
      </c>
      <c r="AP112">
        <f t="shared" si="26"/>
        <v>0</v>
      </c>
      <c r="AQ112">
        <f t="shared" si="26"/>
        <v>0</v>
      </c>
      <c r="AR112">
        <f t="shared" si="26"/>
        <v>0</v>
      </c>
    </row>
    <row r="113" spans="5:44" x14ac:dyDescent="0.2">
      <c r="E113" s="1">
        <f>moment_rate!$AC113</f>
        <v>7.4493433161470389E-3</v>
      </c>
      <c r="F113" s="1">
        <f t="shared" si="21"/>
        <v>0</v>
      </c>
      <c r="G113">
        <f>moment_rate!I113-0.005</f>
        <v>1.0600000000000007</v>
      </c>
      <c r="H113" s="1">
        <f t="shared" si="22"/>
        <v>0</v>
      </c>
      <c r="I113">
        <f t="shared" si="30"/>
        <v>0</v>
      </c>
      <c r="J113">
        <f t="shared" si="30"/>
        <v>0</v>
      </c>
      <c r="K113">
        <f t="shared" si="30"/>
        <v>0</v>
      </c>
      <c r="L113">
        <f t="shared" si="30"/>
        <v>0</v>
      </c>
      <c r="M113">
        <f t="shared" si="30"/>
        <v>0</v>
      </c>
      <c r="N113">
        <f t="shared" si="30"/>
        <v>0</v>
      </c>
      <c r="O113">
        <f t="shared" si="30"/>
        <v>0</v>
      </c>
      <c r="P113">
        <f t="shared" si="30"/>
        <v>0</v>
      </c>
      <c r="Q113">
        <f t="shared" si="30"/>
        <v>0</v>
      </c>
      <c r="R113">
        <f t="shared" si="30"/>
        <v>0</v>
      </c>
      <c r="S113">
        <f t="shared" si="30"/>
        <v>0</v>
      </c>
      <c r="T113">
        <f t="shared" si="30"/>
        <v>0</v>
      </c>
      <c r="U113">
        <f t="shared" si="30"/>
        <v>0</v>
      </c>
      <c r="V113">
        <f t="shared" si="30"/>
        <v>0</v>
      </c>
      <c r="W113">
        <f t="shared" si="30"/>
        <v>0</v>
      </c>
      <c r="X113">
        <f t="shared" si="30"/>
        <v>0</v>
      </c>
      <c r="Y113">
        <f t="shared" si="29"/>
        <v>0</v>
      </c>
      <c r="Z113">
        <f t="shared" si="29"/>
        <v>0</v>
      </c>
      <c r="AA113">
        <f t="shared" si="29"/>
        <v>0</v>
      </c>
      <c r="AB113">
        <f t="shared" si="29"/>
        <v>0</v>
      </c>
      <c r="AC113">
        <f t="shared" si="29"/>
        <v>0</v>
      </c>
      <c r="AD113">
        <f t="shared" si="29"/>
        <v>0</v>
      </c>
      <c r="AE113">
        <f t="shared" si="29"/>
        <v>0</v>
      </c>
      <c r="AF113">
        <f t="shared" si="29"/>
        <v>0</v>
      </c>
      <c r="AG113">
        <f t="shared" si="29"/>
        <v>0</v>
      </c>
      <c r="AH113">
        <f t="shared" si="29"/>
        <v>0</v>
      </c>
      <c r="AI113">
        <f t="shared" si="29"/>
        <v>0</v>
      </c>
      <c r="AJ113">
        <f t="shared" si="29"/>
        <v>0</v>
      </c>
      <c r="AK113">
        <f t="shared" si="29"/>
        <v>0</v>
      </c>
      <c r="AL113">
        <f t="shared" si="29"/>
        <v>0</v>
      </c>
      <c r="AM113">
        <f t="shared" si="29"/>
        <v>0</v>
      </c>
      <c r="AN113">
        <f t="shared" si="26"/>
        <v>0</v>
      </c>
      <c r="AO113">
        <f t="shared" si="26"/>
        <v>0</v>
      </c>
      <c r="AP113">
        <f t="shared" si="26"/>
        <v>0</v>
      </c>
      <c r="AQ113">
        <f t="shared" si="26"/>
        <v>0</v>
      </c>
      <c r="AR113">
        <f t="shared" si="26"/>
        <v>0</v>
      </c>
    </row>
    <row r="114" spans="5:44" x14ac:dyDescent="0.2">
      <c r="E114" s="1">
        <f>moment_rate!$AC114</f>
        <v>7.4493433161470389E-3</v>
      </c>
      <c r="F114" s="1">
        <f t="shared" si="21"/>
        <v>0</v>
      </c>
      <c r="G114">
        <f>moment_rate!I114-0.005</f>
        <v>1.0700000000000007</v>
      </c>
      <c r="H114" s="1">
        <f t="shared" si="22"/>
        <v>0</v>
      </c>
      <c r="I114">
        <f t="shared" si="30"/>
        <v>0</v>
      </c>
      <c r="J114">
        <f t="shared" si="30"/>
        <v>0</v>
      </c>
      <c r="K114">
        <f t="shared" si="30"/>
        <v>0</v>
      </c>
      <c r="L114">
        <f t="shared" si="30"/>
        <v>0</v>
      </c>
      <c r="M114">
        <f t="shared" si="30"/>
        <v>0</v>
      </c>
      <c r="N114">
        <f t="shared" si="30"/>
        <v>0</v>
      </c>
      <c r="O114">
        <f t="shared" si="30"/>
        <v>0</v>
      </c>
      <c r="P114">
        <f t="shared" si="30"/>
        <v>0</v>
      </c>
      <c r="Q114">
        <f t="shared" si="30"/>
        <v>0</v>
      </c>
      <c r="R114">
        <f t="shared" si="30"/>
        <v>0</v>
      </c>
      <c r="S114">
        <f t="shared" si="30"/>
        <v>0</v>
      </c>
      <c r="T114">
        <f t="shared" si="30"/>
        <v>0</v>
      </c>
      <c r="U114">
        <f t="shared" si="30"/>
        <v>0</v>
      </c>
      <c r="V114">
        <f t="shared" si="30"/>
        <v>0</v>
      </c>
      <c r="W114">
        <f t="shared" si="30"/>
        <v>0</v>
      </c>
      <c r="X114">
        <f t="shared" si="30"/>
        <v>0</v>
      </c>
      <c r="Y114">
        <f t="shared" si="29"/>
        <v>0</v>
      </c>
      <c r="Z114">
        <f t="shared" si="29"/>
        <v>0</v>
      </c>
      <c r="AA114">
        <f t="shared" si="29"/>
        <v>0</v>
      </c>
      <c r="AB114">
        <f t="shared" si="29"/>
        <v>0</v>
      </c>
      <c r="AC114">
        <f t="shared" si="29"/>
        <v>0</v>
      </c>
      <c r="AD114">
        <f t="shared" si="29"/>
        <v>0</v>
      </c>
      <c r="AE114">
        <f t="shared" si="29"/>
        <v>0</v>
      </c>
      <c r="AF114">
        <f t="shared" si="29"/>
        <v>0</v>
      </c>
      <c r="AG114">
        <f t="shared" si="29"/>
        <v>0</v>
      </c>
      <c r="AH114">
        <f t="shared" si="29"/>
        <v>0</v>
      </c>
      <c r="AI114">
        <f t="shared" si="29"/>
        <v>0</v>
      </c>
      <c r="AJ114">
        <f t="shared" si="29"/>
        <v>0</v>
      </c>
      <c r="AK114">
        <f t="shared" si="29"/>
        <v>0</v>
      </c>
      <c r="AL114">
        <f t="shared" si="29"/>
        <v>0</v>
      </c>
      <c r="AM114">
        <f t="shared" si="29"/>
        <v>0</v>
      </c>
      <c r="AN114">
        <f t="shared" si="26"/>
        <v>0</v>
      </c>
      <c r="AO114">
        <f t="shared" si="26"/>
        <v>0</v>
      </c>
      <c r="AP114">
        <f t="shared" si="26"/>
        <v>0</v>
      </c>
      <c r="AQ114">
        <f t="shared" si="26"/>
        <v>0</v>
      </c>
      <c r="AR114">
        <f t="shared" si="26"/>
        <v>0</v>
      </c>
    </row>
    <row r="115" spans="5:44" x14ac:dyDescent="0.2">
      <c r="E115" s="1">
        <f>moment_rate!$AC115</f>
        <v>7.4493433161470389E-3</v>
      </c>
      <c r="F115" s="1">
        <f t="shared" si="21"/>
        <v>0</v>
      </c>
      <c r="G115">
        <f>moment_rate!I115-0.005</f>
        <v>1.0800000000000007</v>
      </c>
      <c r="H115" s="1">
        <f t="shared" si="22"/>
        <v>0</v>
      </c>
      <c r="I115">
        <f t="shared" si="30"/>
        <v>0</v>
      </c>
      <c r="J115">
        <f t="shared" si="30"/>
        <v>0</v>
      </c>
      <c r="K115">
        <f t="shared" si="30"/>
        <v>0</v>
      </c>
      <c r="L115">
        <f t="shared" si="30"/>
        <v>0</v>
      </c>
      <c r="M115">
        <f t="shared" si="30"/>
        <v>0</v>
      </c>
      <c r="N115">
        <f t="shared" si="30"/>
        <v>0</v>
      </c>
      <c r="O115">
        <f t="shared" si="30"/>
        <v>0</v>
      </c>
      <c r="P115">
        <f t="shared" si="30"/>
        <v>0</v>
      </c>
      <c r="Q115">
        <f t="shared" si="30"/>
        <v>0</v>
      </c>
      <c r="R115">
        <f t="shared" si="30"/>
        <v>0</v>
      </c>
      <c r="S115">
        <f t="shared" si="30"/>
        <v>0</v>
      </c>
      <c r="T115">
        <f t="shared" si="30"/>
        <v>0</v>
      </c>
      <c r="U115">
        <f t="shared" si="30"/>
        <v>0</v>
      </c>
      <c r="V115">
        <f t="shared" si="30"/>
        <v>0</v>
      </c>
      <c r="W115">
        <f t="shared" si="30"/>
        <v>0</v>
      </c>
      <c r="X115">
        <f t="shared" si="30"/>
        <v>0</v>
      </c>
      <c r="Y115">
        <f t="shared" si="29"/>
        <v>0</v>
      </c>
      <c r="Z115">
        <f t="shared" si="29"/>
        <v>0</v>
      </c>
      <c r="AA115">
        <f t="shared" si="29"/>
        <v>0</v>
      </c>
      <c r="AB115">
        <f t="shared" si="29"/>
        <v>0</v>
      </c>
      <c r="AC115">
        <f t="shared" si="29"/>
        <v>0</v>
      </c>
      <c r="AD115">
        <f t="shared" si="29"/>
        <v>0</v>
      </c>
      <c r="AE115">
        <f t="shared" si="29"/>
        <v>0</v>
      </c>
      <c r="AF115">
        <f t="shared" si="29"/>
        <v>0</v>
      </c>
      <c r="AG115">
        <f t="shared" si="29"/>
        <v>0</v>
      </c>
      <c r="AH115">
        <f t="shared" si="29"/>
        <v>0</v>
      </c>
      <c r="AI115">
        <f t="shared" si="29"/>
        <v>0</v>
      </c>
      <c r="AJ115">
        <f t="shared" si="29"/>
        <v>0</v>
      </c>
      <c r="AK115">
        <f t="shared" si="29"/>
        <v>0</v>
      </c>
      <c r="AL115">
        <f t="shared" si="29"/>
        <v>0</v>
      </c>
      <c r="AM115">
        <f t="shared" si="29"/>
        <v>0</v>
      </c>
      <c r="AN115">
        <f t="shared" si="26"/>
        <v>0</v>
      </c>
      <c r="AO115">
        <f t="shared" si="26"/>
        <v>0</v>
      </c>
      <c r="AP115">
        <f t="shared" si="26"/>
        <v>0</v>
      </c>
      <c r="AQ115">
        <f t="shared" si="26"/>
        <v>0</v>
      </c>
      <c r="AR115">
        <f t="shared" si="26"/>
        <v>0</v>
      </c>
    </row>
    <row r="116" spans="5:44" x14ac:dyDescent="0.2">
      <c r="E116" s="1">
        <f>moment_rate!$AC116</f>
        <v>7.4493433161470389E-3</v>
      </c>
      <c r="F116" s="1">
        <f t="shared" si="21"/>
        <v>0</v>
      </c>
      <c r="G116">
        <f>moment_rate!I116-0.005</f>
        <v>1.0900000000000007</v>
      </c>
      <c r="H116" s="1">
        <f t="shared" si="22"/>
        <v>0</v>
      </c>
      <c r="I116">
        <f t="shared" si="30"/>
        <v>0</v>
      </c>
      <c r="J116">
        <f t="shared" si="30"/>
        <v>0</v>
      </c>
      <c r="K116">
        <f t="shared" si="30"/>
        <v>0</v>
      </c>
      <c r="L116">
        <f t="shared" si="30"/>
        <v>0</v>
      </c>
      <c r="M116">
        <f t="shared" si="30"/>
        <v>0</v>
      </c>
      <c r="N116">
        <f t="shared" si="30"/>
        <v>0</v>
      </c>
      <c r="O116">
        <f t="shared" si="30"/>
        <v>0</v>
      </c>
      <c r="P116">
        <f t="shared" si="30"/>
        <v>0</v>
      </c>
      <c r="Q116">
        <f t="shared" si="30"/>
        <v>0</v>
      </c>
      <c r="R116">
        <f t="shared" si="30"/>
        <v>0</v>
      </c>
      <c r="S116">
        <f t="shared" si="30"/>
        <v>0</v>
      </c>
      <c r="T116">
        <f t="shared" si="30"/>
        <v>0</v>
      </c>
      <c r="U116">
        <f t="shared" si="30"/>
        <v>0</v>
      </c>
      <c r="V116">
        <f t="shared" si="30"/>
        <v>0</v>
      </c>
      <c r="W116">
        <f t="shared" si="30"/>
        <v>0</v>
      </c>
      <c r="X116">
        <f t="shared" si="30"/>
        <v>0</v>
      </c>
      <c r="Y116">
        <f t="shared" si="29"/>
        <v>0</v>
      </c>
      <c r="Z116">
        <f t="shared" si="29"/>
        <v>0</v>
      </c>
      <c r="AA116">
        <f t="shared" si="29"/>
        <v>0</v>
      </c>
      <c r="AB116">
        <f t="shared" si="29"/>
        <v>0</v>
      </c>
      <c r="AC116">
        <f t="shared" si="29"/>
        <v>0</v>
      </c>
      <c r="AD116">
        <f t="shared" si="29"/>
        <v>0</v>
      </c>
      <c r="AE116">
        <f t="shared" si="29"/>
        <v>0</v>
      </c>
      <c r="AF116">
        <f t="shared" si="29"/>
        <v>0</v>
      </c>
      <c r="AG116">
        <f t="shared" si="29"/>
        <v>0</v>
      </c>
      <c r="AH116">
        <f t="shared" si="29"/>
        <v>0</v>
      </c>
      <c r="AI116">
        <f t="shared" si="29"/>
        <v>0</v>
      </c>
      <c r="AJ116">
        <f t="shared" si="29"/>
        <v>0</v>
      </c>
      <c r="AK116">
        <f t="shared" si="29"/>
        <v>0</v>
      </c>
      <c r="AL116">
        <f t="shared" si="29"/>
        <v>0</v>
      </c>
      <c r="AM116">
        <f t="shared" si="29"/>
        <v>0</v>
      </c>
      <c r="AN116">
        <f t="shared" si="26"/>
        <v>0</v>
      </c>
      <c r="AO116">
        <f t="shared" si="26"/>
        <v>0</v>
      </c>
      <c r="AP116">
        <f t="shared" si="26"/>
        <v>0</v>
      </c>
      <c r="AQ116">
        <f t="shared" si="26"/>
        <v>0</v>
      </c>
      <c r="AR116">
        <f t="shared" si="26"/>
        <v>0</v>
      </c>
    </row>
    <row r="117" spans="5:44" x14ac:dyDescent="0.2">
      <c r="E117" s="1">
        <f>moment_rate!$AC117</f>
        <v>7.4493433161470389E-3</v>
      </c>
      <c r="F117" s="1">
        <f t="shared" si="21"/>
        <v>0</v>
      </c>
      <c r="G117">
        <f>moment_rate!I117-0.005</f>
        <v>1.1000000000000008</v>
      </c>
      <c r="H117" s="1">
        <f t="shared" si="22"/>
        <v>0</v>
      </c>
      <c r="I117">
        <f t="shared" si="30"/>
        <v>0</v>
      </c>
      <c r="J117">
        <f t="shared" si="30"/>
        <v>0</v>
      </c>
      <c r="K117">
        <f t="shared" si="30"/>
        <v>0</v>
      </c>
      <c r="L117">
        <f t="shared" si="30"/>
        <v>0</v>
      </c>
      <c r="M117">
        <f t="shared" si="30"/>
        <v>0</v>
      </c>
      <c r="N117">
        <f t="shared" si="30"/>
        <v>0</v>
      </c>
      <c r="O117">
        <f t="shared" si="30"/>
        <v>0</v>
      </c>
      <c r="P117">
        <f t="shared" si="30"/>
        <v>0</v>
      </c>
      <c r="Q117">
        <f t="shared" si="30"/>
        <v>0</v>
      </c>
      <c r="R117">
        <f t="shared" si="30"/>
        <v>0</v>
      </c>
      <c r="S117">
        <f t="shared" si="30"/>
        <v>0</v>
      </c>
      <c r="T117">
        <f t="shared" si="30"/>
        <v>0</v>
      </c>
      <c r="U117">
        <f t="shared" si="30"/>
        <v>0</v>
      </c>
      <c r="V117">
        <f t="shared" si="30"/>
        <v>0</v>
      </c>
      <c r="W117">
        <f t="shared" si="30"/>
        <v>0</v>
      </c>
      <c r="X117">
        <f t="shared" si="30"/>
        <v>0</v>
      </c>
      <c r="Y117">
        <f t="shared" si="29"/>
        <v>0</v>
      </c>
      <c r="Z117">
        <f t="shared" si="29"/>
        <v>0</v>
      </c>
      <c r="AA117">
        <f t="shared" si="29"/>
        <v>0</v>
      </c>
      <c r="AB117">
        <f t="shared" si="29"/>
        <v>0</v>
      </c>
      <c r="AC117">
        <f t="shared" si="29"/>
        <v>0</v>
      </c>
      <c r="AD117">
        <f t="shared" si="29"/>
        <v>0</v>
      </c>
      <c r="AE117">
        <f t="shared" si="29"/>
        <v>0</v>
      </c>
      <c r="AF117">
        <f t="shared" si="29"/>
        <v>0</v>
      </c>
      <c r="AG117">
        <f t="shared" si="29"/>
        <v>0</v>
      </c>
      <c r="AH117">
        <f t="shared" si="29"/>
        <v>0</v>
      </c>
      <c r="AI117">
        <f t="shared" si="29"/>
        <v>0</v>
      </c>
      <c r="AJ117">
        <f t="shared" si="29"/>
        <v>0</v>
      </c>
      <c r="AK117">
        <f t="shared" si="29"/>
        <v>0</v>
      </c>
      <c r="AL117">
        <f t="shared" si="29"/>
        <v>0</v>
      </c>
      <c r="AM117">
        <f t="shared" si="29"/>
        <v>0</v>
      </c>
      <c r="AN117">
        <f t="shared" si="26"/>
        <v>0</v>
      </c>
      <c r="AO117">
        <f t="shared" si="26"/>
        <v>0</v>
      </c>
      <c r="AP117">
        <f t="shared" si="26"/>
        <v>0</v>
      </c>
      <c r="AQ117">
        <f t="shared" si="26"/>
        <v>0</v>
      </c>
      <c r="AR117">
        <f t="shared" si="26"/>
        <v>0</v>
      </c>
    </row>
    <row r="118" spans="5:44" x14ac:dyDescent="0.2">
      <c r="E118" s="1">
        <f>moment_rate!$AC118</f>
        <v>7.4493433161470389E-3</v>
      </c>
      <c r="F118" s="1">
        <f t="shared" si="21"/>
        <v>0</v>
      </c>
      <c r="G118">
        <f>moment_rate!I118-0.005</f>
        <v>1.1100000000000008</v>
      </c>
      <c r="H118" s="1">
        <f t="shared" si="22"/>
        <v>0</v>
      </c>
      <c r="I118">
        <f t="shared" si="30"/>
        <v>0</v>
      </c>
      <c r="J118">
        <f t="shared" si="30"/>
        <v>0</v>
      </c>
      <c r="K118">
        <f t="shared" si="30"/>
        <v>0</v>
      </c>
      <c r="L118">
        <f t="shared" si="30"/>
        <v>0</v>
      </c>
      <c r="M118">
        <f t="shared" si="30"/>
        <v>0</v>
      </c>
      <c r="N118">
        <f t="shared" si="30"/>
        <v>0</v>
      </c>
      <c r="O118">
        <f t="shared" si="30"/>
        <v>0</v>
      </c>
      <c r="P118">
        <f t="shared" si="30"/>
        <v>0</v>
      </c>
      <c r="Q118">
        <f t="shared" si="30"/>
        <v>0</v>
      </c>
      <c r="R118">
        <f t="shared" si="30"/>
        <v>0</v>
      </c>
      <c r="S118">
        <f t="shared" si="30"/>
        <v>0</v>
      </c>
      <c r="T118">
        <f t="shared" si="30"/>
        <v>0</v>
      </c>
      <c r="U118">
        <f t="shared" si="30"/>
        <v>0</v>
      </c>
      <c r="V118">
        <f t="shared" si="30"/>
        <v>0</v>
      </c>
      <c r="W118">
        <f t="shared" si="30"/>
        <v>0</v>
      </c>
      <c r="X118">
        <f t="shared" si="30"/>
        <v>0</v>
      </c>
      <c r="Y118">
        <f t="shared" si="29"/>
        <v>0</v>
      </c>
      <c r="Z118">
        <f t="shared" si="29"/>
        <v>0</v>
      </c>
      <c r="AA118">
        <f t="shared" si="29"/>
        <v>0</v>
      </c>
      <c r="AB118">
        <f t="shared" si="29"/>
        <v>0</v>
      </c>
      <c r="AC118">
        <f t="shared" si="29"/>
        <v>0</v>
      </c>
      <c r="AD118">
        <f t="shared" si="29"/>
        <v>0</v>
      </c>
      <c r="AE118">
        <f t="shared" si="29"/>
        <v>0</v>
      </c>
      <c r="AF118">
        <f t="shared" si="29"/>
        <v>0</v>
      </c>
      <c r="AG118">
        <f t="shared" si="29"/>
        <v>0</v>
      </c>
      <c r="AH118">
        <f t="shared" si="29"/>
        <v>0</v>
      </c>
      <c r="AI118">
        <f t="shared" si="29"/>
        <v>0</v>
      </c>
      <c r="AJ118">
        <f t="shared" si="29"/>
        <v>0</v>
      </c>
      <c r="AK118">
        <f t="shared" si="29"/>
        <v>0</v>
      </c>
      <c r="AL118">
        <f t="shared" si="29"/>
        <v>0</v>
      </c>
      <c r="AM118">
        <f t="shared" si="29"/>
        <v>0</v>
      </c>
      <c r="AN118">
        <f t="shared" ref="AK118:AR159" si="31">IF(AND($G118&gt;=AN$3,$G118&lt;AN$4),$F118,0)</f>
        <v>0</v>
      </c>
      <c r="AO118">
        <f t="shared" si="31"/>
        <v>0</v>
      </c>
      <c r="AP118">
        <f t="shared" si="31"/>
        <v>0</v>
      </c>
      <c r="AQ118">
        <f t="shared" si="31"/>
        <v>0</v>
      </c>
      <c r="AR118">
        <f t="shared" si="31"/>
        <v>0</v>
      </c>
    </row>
    <row r="119" spans="5:44" x14ac:dyDescent="0.2">
      <c r="E119" s="1">
        <f>moment_rate!$AC119</f>
        <v>7.4493433161470389E-3</v>
      </c>
      <c r="F119" s="1">
        <f t="shared" si="21"/>
        <v>0</v>
      </c>
      <c r="G119">
        <f>moment_rate!I119-0.005</f>
        <v>1.1200000000000008</v>
      </c>
      <c r="H119" s="1">
        <f t="shared" si="22"/>
        <v>0</v>
      </c>
      <c r="I119">
        <f t="shared" si="30"/>
        <v>0</v>
      </c>
      <c r="J119">
        <f t="shared" si="30"/>
        <v>0</v>
      </c>
      <c r="K119">
        <f t="shared" si="30"/>
        <v>0</v>
      </c>
      <c r="L119">
        <f t="shared" si="30"/>
        <v>0</v>
      </c>
      <c r="M119">
        <f t="shared" si="30"/>
        <v>0</v>
      </c>
      <c r="N119">
        <f t="shared" si="30"/>
        <v>0</v>
      </c>
      <c r="O119">
        <f t="shared" si="30"/>
        <v>0</v>
      </c>
      <c r="P119">
        <f t="shared" si="30"/>
        <v>0</v>
      </c>
      <c r="Q119">
        <f t="shared" si="30"/>
        <v>0</v>
      </c>
      <c r="R119">
        <f t="shared" si="30"/>
        <v>0</v>
      </c>
      <c r="S119">
        <f t="shared" si="30"/>
        <v>0</v>
      </c>
      <c r="T119">
        <f t="shared" si="30"/>
        <v>0</v>
      </c>
      <c r="U119">
        <f t="shared" si="30"/>
        <v>0</v>
      </c>
      <c r="V119">
        <f t="shared" si="30"/>
        <v>0</v>
      </c>
      <c r="W119">
        <f t="shared" si="30"/>
        <v>0</v>
      </c>
      <c r="X119">
        <f t="shared" si="30"/>
        <v>0</v>
      </c>
      <c r="Y119">
        <f t="shared" si="29"/>
        <v>0</v>
      </c>
      <c r="Z119">
        <f t="shared" si="29"/>
        <v>0</v>
      </c>
      <c r="AA119">
        <f t="shared" si="29"/>
        <v>0</v>
      </c>
      <c r="AB119">
        <f t="shared" si="29"/>
        <v>0</v>
      </c>
      <c r="AC119">
        <f t="shared" si="29"/>
        <v>0</v>
      </c>
      <c r="AD119">
        <f t="shared" si="29"/>
        <v>0</v>
      </c>
      <c r="AE119">
        <f t="shared" si="29"/>
        <v>0</v>
      </c>
      <c r="AF119">
        <f t="shared" si="29"/>
        <v>0</v>
      </c>
      <c r="AG119">
        <f t="shared" si="29"/>
        <v>0</v>
      </c>
      <c r="AH119">
        <f t="shared" si="29"/>
        <v>0</v>
      </c>
      <c r="AI119">
        <f t="shared" si="29"/>
        <v>0</v>
      </c>
      <c r="AJ119">
        <f t="shared" si="29"/>
        <v>0</v>
      </c>
      <c r="AK119">
        <f t="shared" si="29"/>
        <v>0</v>
      </c>
      <c r="AL119">
        <f t="shared" si="29"/>
        <v>0</v>
      </c>
      <c r="AM119">
        <f t="shared" si="29"/>
        <v>0</v>
      </c>
      <c r="AN119">
        <f t="shared" si="31"/>
        <v>0</v>
      </c>
      <c r="AO119">
        <f t="shared" si="31"/>
        <v>0</v>
      </c>
      <c r="AP119">
        <f t="shared" si="31"/>
        <v>0</v>
      </c>
      <c r="AQ119">
        <f t="shared" si="31"/>
        <v>0</v>
      </c>
      <c r="AR119">
        <f t="shared" si="31"/>
        <v>0</v>
      </c>
    </row>
    <row r="120" spans="5:44" x14ac:dyDescent="0.2">
      <c r="E120" s="1">
        <f>moment_rate!$AC120</f>
        <v>7.4493433161470389E-3</v>
      </c>
      <c r="F120" s="1">
        <f t="shared" si="21"/>
        <v>0</v>
      </c>
      <c r="G120">
        <f>moment_rate!I120-0.005</f>
        <v>1.1300000000000008</v>
      </c>
      <c r="H120" s="1">
        <f t="shared" si="22"/>
        <v>0</v>
      </c>
      <c r="I120">
        <f t="shared" si="30"/>
        <v>0</v>
      </c>
      <c r="J120">
        <f t="shared" si="30"/>
        <v>0</v>
      </c>
      <c r="K120">
        <f t="shared" si="30"/>
        <v>0</v>
      </c>
      <c r="L120">
        <f t="shared" si="30"/>
        <v>0</v>
      </c>
      <c r="M120">
        <f t="shared" si="30"/>
        <v>0</v>
      </c>
      <c r="N120">
        <f t="shared" si="30"/>
        <v>0</v>
      </c>
      <c r="O120">
        <f t="shared" si="30"/>
        <v>0</v>
      </c>
      <c r="P120">
        <f t="shared" si="30"/>
        <v>0</v>
      </c>
      <c r="Q120">
        <f t="shared" si="30"/>
        <v>0</v>
      </c>
      <c r="R120">
        <f t="shared" si="30"/>
        <v>0</v>
      </c>
      <c r="S120">
        <f t="shared" si="30"/>
        <v>0</v>
      </c>
      <c r="T120">
        <f t="shared" si="30"/>
        <v>0</v>
      </c>
      <c r="U120">
        <f t="shared" si="30"/>
        <v>0</v>
      </c>
      <c r="V120">
        <f t="shared" si="30"/>
        <v>0</v>
      </c>
      <c r="W120">
        <f t="shared" si="30"/>
        <v>0</v>
      </c>
      <c r="X120">
        <f t="shared" si="30"/>
        <v>0</v>
      </c>
      <c r="Y120">
        <f t="shared" si="29"/>
        <v>0</v>
      </c>
      <c r="Z120">
        <f t="shared" si="29"/>
        <v>0</v>
      </c>
      <c r="AA120">
        <f t="shared" si="29"/>
        <v>0</v>
      </c>
      <c r="AB120">
        <f t="shared" si="29"/>
        <v>0</v>
      </c>
      <c r="AC120">
        <f t="shared" si="29"/>
        <v>0</v>
      </c>
      <c r="AD120">
        <f t="shared" si="29"/>
        <v>0</v>
      </c>
      <c r="AE120">
        <f t="shared" si="29"/>
        <v>0</v>
      </c>
      <c r="AF120">
        <f t="shared" si="29"/>
        <v>0</v>
      </c>
      <c r="AG120">
        <f t="shared" si="29"/>
        <v>0</v>
      </c>
      <c r="AH120">
        <f t="shared" si="29"/>
        <v>0</v>
      </c>
      <c r="AI120">
        <f t="shared" si="29"/>
        <v>0</v>
      </c>
      <c r="AJ120">
        <f t="shared" si="29"/>
        <v>0</v>
      </c>
      <c r="AK120">
        <f t="shared" si="29"/>
        <v>0</v>
      </c>
      <c r="AL120">
        <f t="shared" si="29"/>
        <v>0</v>
      </c>
      <c r="AM120">
        <f t="shared" si="29"/>
        <v>0</v>
      </c>
      <c r="AN120">
        <f t="shared" si="31"/>
        <v>0</v>
      </c>
      <c r="AO120">
        <f t="shared" si="31"/>
        <v>0</v>
      </c>
      <c r="AP120">
        <f t="shared" si="31"/>
        <v>0</v>
      </c>
      <c r="AQ120">
        <f t="shared" si="31"/>
        <v>0</v>
      </c>
      <c r="AR120">
        <f t="shared" si="31"/>
        <v>0</v>
      </c>
    </row>
    <row r="121" spans="5:44" x14ac:dyDescent="0.2">
      <c r="E121" s="1">
        <f>moment_rate!$AC121</f>
        <v>7.4493433161470389E-3</v>
      </c>
      <c r="F121" s="1">
        <f t="shared" si="21"/>
        <v>0</v>
      </c>
      <c r="G121">
        <f>moment_rate!I121-0.005</f>
        <v>1.1400000000000008</v>
      </c>
      <c r="H121" s="1">
        <f t="shared" si="22"/>
        <v>0</v>
      </c>
      <c r="I121">
        <f t="shared" si="30"/>
        <v>0</v>
      </c>
      <c r="J121">
        <f t="shared" si="30"/>
        <v>0</v>
      </c>
      <c r="K121">
        <f t="shared" si="30"/>
        <v>0</v>
      </c>
      <c r="L121">
        <f t="shared" si="30"/>
        <v>0</v>
      </c>
      <c r="M121">
        <f t="shared" si="30"/>
        <v>0</v>
      </c>
      <c r="N121">
        <f t="shared" si="30"/>
        <v>0</v>
      </c>
      <c r="O121">
        <f t="shared" si="30"/>
        <v>0</v>
      </c>
      <c r="P121">
        <f t="shared" si="30"/>
        <v>0</v>
      </c>
      <c r="Q121">
        <f t="shared" si="30"/>
        <v>0</v>
      </c>
      <c r="R121">
        <f t="shared" si="30"/>
        <v>0</v>
      </c>
      <c r="S121">
        <f t="shared" si="30"/>
        <v>0</v>
      </c>
      <c r="T121">
        <f t="shared" si="30"/>
        <v>0</v>
      </c>
      <c r="U121">
        <f t="shared" si="30"/>
        <v>0</v>
      </c>
      <c r="V121">
        <f t="shared" si="30"/>
        <v>0</v>
      </c>
      <c r="W121">
        <f t="shared" si="30"/>
        <v>0</v>
      </c>
      <c r="X121">
        <f t="shared" si="30"/>
        <v>0</v>
      </c>
      <c r="Y121">
        <f t="shared" si="29"/>
        <v>0</v>
      </c>
      <c r="Z121">
        <f t="shared" si="29"/>
        <v>0</v>
      </c>
      <c r="AA121">
        <f t="shared" si="29"/>
        <v>0</v>
      </c>
      <c r="AB121">
        <f t="shared" si="29"/>
        <v>0</v>
      </c>
      <c r="AC121">
        <f t="shared" si="29"/>
        <v>0</v>
      </c>
      <c r="AD121">
        <f t="shared" si="29"/>
        <v>0</v>
      </c>
      <c r="AE121">
        <f t="shared" si="29"/>
        <v>0</v>
      </c>
      <c r="AF121">
        <f t="shared" si="29"/>
        <v>0</v>
      </c>
      <c r="AG121">
        <f t="shared" si="29"/>
        <v>0</v>
      </c>
      <c r="AH121">
        <f t="shared" si="29"/>
        <v>0</v>
      </c>
      <c r="AI121">
        <f t="shared" si="29"/>
        <v>0</v>
      </c>
      <c r="AJ121">
        <f t="shared" si="29"/>
        <v>0</v>
      </c>
      <c r="AK121">
        <f t="shared" si="29"/>
        <v>0</v>
      </c>
      <c r="AL121">
        <f t="shared" si="29"/>
        <v>0</v>
      </c>
      <c r="AM121">
        <f t="shared" si="29"/>
        <v>0</v>
      </c>
      <c r="AN121">
        <f t="shared" si="31"/>
        <v>0</v>
      </c>
      <c r="AO121">
        <f t="shared" si="31"/>
        <v>0</v>
      </c>
      <c r="AP121">
        <f t="shared" si="31"/>
        <v>0</v>
      </c>
      <c r="AQ121">
        <f t="shared" si="31"/>
        <v>0</v>
      </c>
      <c r="AR121">
        <f t="shared" si="31"/>
        <v>0</v>
      </c>
    </row>
    <row r="122" spans="5:44" x14ac:dyDescent="0.2">
      <c r="E122" s="1">
        <f>moment_rate!$AC122</f>
        <v>7.4493433161470389E-3</v>
      </c>
      <c r="F122" s="1">
        <f t="shared" si="21"/>
        <v>0</v>
      </c>
      <c r="G122">
        <f>moment_rate!I122-0.005</f>
        <v>1.1500000000000008</v>
      </c>
      <c r="H122" s="1">
        <f t="shared" si="22"/>
        <v>0</v>
      </c>
      <c r="I122">
        <f t="shared" si="30"/>
        <v>0</v>
      </c>
      <c r="J122">
        <f t="shared" si="30"/>
        <v>0</v>
      </c>
      <c r="K122">
        <f t="shared" si="30"/>
        <v>0</v>
      </c>
      <c r="L122">
        <f t="shared" si="30"/>
        <v>0</v>
      </c>
      <c r="M122">
        <f t="shared" si="30"/>
        <v>0</v>
      </c>
      <c r="N122">
        <f t="shared" si="30"/>
        <v>0</v>
      </c>
      <c r="O122">
        <f t="shared" si="30"/>
        <v>0</v>
      </c>
      <c r="P122">
        <f t="shared" si="30"/>
        <v>0</v>
      </c>
      <c r="Q122">
        <f t="shared" si="30"/>
        <v>0</v>
      </c>
      <c r="R122">
        <f t="shared" si="30"/>
        <v>0</v>
      </c>
      <c r="S122">
        <f t="shared" si="30"/>
        <v>0</v>
      </c>
      <c r="T122">
        <f t="shared" si="30"/>
        <v>0</v>
      </c>
      <c r="U122">
        <f t="shared" si="30"/>
        <v>0</v>
      </c>
      <c r="V122">
        <f t="shared" si="30"/>
        <v>0</v>
      </c>
      <c r="W122">
        <f t="shared" si="30"/>
        <v>0</v>
      </c>
      <c r="X122">
        <f t="shared" si="30"/>
        <v>0</v>
      </c>
      <c r="Y122">
        <f t="shared" si="29"/>
        <v>0</v>
      </c>
      <c r="Z122">
        <f t="shared" si="29"/>
        <v>0</v>
      </c>
      <c r="AA122">
        <f t="shared" si="29"/>
        <v>0</v>
      </c>
      <c r="AB122">
        <f t="shared" si="29"/>
        <v>0</v>
      </c>
      <c r="AC122">
        <f t="shared" si="29"/>
        <v>0</v>
      </c>
      <c r="AD122">
        <f t="shared" si="29"/>
        <v>0</v>
      </c>
      <c r="AE122">
        <f t="shared" si="29"/>
        <v>0</v>
      </c>
      <c r="AF122">
        <f t="shared" si="29"/>
        <v>0</v>
      </c>
      <c r="AG122">
        <f t="shared" si="29"/>
        <v>0</v>
      </c>
      <c r="AH122">
        <f t="shared" si="29"/>
        <v>0</v>
      </c>
      <c r="AI122">
        <f t="shared" si="29"/>
        <v>0</v>
      </c>
      <c r="AJ122">
        <f t="shared" si="29"/>
        <v>0</v>
      </c>
      <c r="AK122">
        <f t="shared" si="29"/>
        <v>0</v>
      </c>
      <c r="AL122">
        <f t="shared" si="29"/>
        <v>0</v>
      </c>
      <c r="AM122">
        <f t="shared" si="29"/>
        <v>0</v>
      </c>
      <c r="AN122">
        <f t="shared" si="31"/>
        <v>0</v>
      </c>
      <c r="AO122">
        <f t="shared" si="31"/>
        <v>0</v>
      </c>
      <c r="AP122">
        <f t="shared" si="31"/>
        <v>0</v>
      </c>
      <c r="AQ122">
        <f t="shared" si="31"/>
        <v>0</v>
      </c>
      <c r="AR122">
        <f t="shared" si="31"/>
        <v>0</v>
      </c>
    </row>
    <row r="123" spans="5:44" x14ac:dyDescent="0.2">
      <c r="E123" s="1">
        <f>moment_rate!$AC123</f>
        <v>7.4493433161470389E-3</v>
      </c>
      <c r="F123" s="1">
        <f t="shared" si="21"/>
        <v>0</v>
      </c>
      <c r="G123">
        <f>moment_rate!I123-0.005</f>
        <v>1.1600000000000008</v>
      </c>
      <c r="H123" s="1">
        <f t="shared" si="22"/>
        <v>0</v>
      </c>
      <c r="I123">
        <f t="shared" si="30"/>
        <v>0</v>
      </c>
      <c r="J123">
        <f t="shared" si="30"/>
        <v>0</v>
      </c>
      <c r="K123">
        <f t="shared" si="30"/>
        <v>0</v>
      </c>
      <c r="L123">
        <f t="shared" si="30"/>
        <v>0</v>
      </c>
      <c r="M123">
        <f t="shared" si="30"/>
        <v>0</v>
      </c>
      <c r="N123">
        <f t="shared" si="30"/>
        <v>0</v>
      </c>
      <c r="O123">
        <f t="shared" si="30"/>
        <v>0</v>
      </c>
      <c r="P123">
        <f t="shared" si="30"/>
        <v>0</v>
      </c>
      <c r="Q123">
        <f t="shared" si="30"/>
        <v>0</v>
      </c>
      <c r="R123">
        <f t="shared" si="30"/>
        <v>0</v>
      </c>
      <c r="S123">
        <f t="shared" si="30"/>
        <v>0</v>
      </c>
      <c r="T123">
        <f t="shared" si="30"/>
        <v>0</v>
      </c>
      <c r="U123">
        <f t="shared" si="30"/>
        <v>0</v>
      </c>
      <c r="V123">
        <f t="shared" si="30"/>
        <v>0</v>
      </c>
      <c r="W123">
        <f t="shared" si="30"/>
        <v>0</v>
      </c>
      <c r="X123">
        <f t="shared" si="30"/>
        <v>0</v>
      </c>
      <c r="Y123">
        <f t="shared" si="29"/>
        <v>0</v>
      </c>
      <c r="Z123">
        <f t="shared" si="29"/>
        <v>0</v>
      </c>
      <c r="AA123">
        <f t="shared" si="29"/>
        <v>0</v>
      </c>
      <c r="AB123">
        <f t="shared" si="29"/>
        <v>0</v>
      </c>
      <c r="AC123">
        <f t="shared" si="29"/>
        <v>0</v>
      </c>
      <c r="AD123">
        <f t="shared" si="29"/>
        <v>0</v>
      </c>
      <c r="AE123">
        <f t="shared" si="29"/>
        <v>0</v>
      </c>
      <c r="AF123">
        <f t="shared" si="29"/>
        <v>0</v>
      </c>
      <c r="AG123">
        <f t="shared" si="29"/>
        <v>0</v>
      </c>
      <c r="AH123">
        <f t="shared" si="29"/>
        <v>0</v>
      </c>
      <c r="AI123">
        <f t="shared" si="29"/>
        <v>0</v>
      </c>
      <c r="AJ123">
        <f t="shared" si="29"/>
        <v>0</v>
      </c>
      <c r="AK123">
        <f t="shared" si="29"/>
        <v>0</v>
      </c>
      <c r="AL123">
        <f t="shared" si="29"/>
        <v>0</v>
      </c>
      <c r="AM123">
        <f t="shared" si="29"/>
        <v>0</v>
      </c>
      <c r="AN123">
        <f t="shared" si="31"/>
        <v>0</v>
      </c>
      <c r="AO123">
        <f t="shared" si="31"/>
        <v>0</v>
      </c>
      <c r="AP123">
        <f t="shared" si="31"/>
        <v>0</v>
      </c>
      <c r="AQ123">
        <f t="shared" si="31"/>
        <v>0</v>
      </c>
      <c r="AR123">
        <f t="shared" si="31"/>
        <v>0</v>
      </c>
    </row>
    <row r="124" spans="5:44" x14ac:dyDescent="0.2">
      <c r="E124" s="1">
        <f>moment_rate!$AC124</f>
        <v>7.4493433161470389E-3</v>
      </c>
      <c r="F124" s="1">
        <f t="shared" si="21"/>
        <v>0</v>
      </c>
      <c r="G124">
        <f>moment_rate!I124-0.005</f>
        <v>1.1700000000000008</v>
      </c>
      <c r="H124" s="1">
        <f t="shared" si="22"/>
        <v>0</v>
      </c>
      <c r="I124">
        <f t="shared" si="30"/>
        <v>0</v>
      </c>
      <c r="J124">
        <f t="shared" si="30"/>
        <v>0</v>
      </c>
      <c r="K124">
        <f t="shared" si="30"/>
        <v>0</v>
      </c>
      <c r="L124">
        <f t="shared" si="30"/>
        <v>0</v>
      </c>
      <c r="M124">
        <f t="shared" si="30"/>
        <v>0</v>
      </c>
      <c r="N124">
        <f t="shared" si="30"/>
        <v>0</v>
      </c>
      <c r="O124">
        <f t="shared" si="30"/>
        <v>0</v>
      </c>
      <c r="P124">
        <f t="shared" si="30"/>
        <v>0</v>
      </c>
      <c r="Q124">
        <f t="shared" si="30"/>
        <v>0</v>
      </c>
      <c r="R124">
        <f t="shared" si="30"/>
        <v>0</v>
      </c>
      <c r="S124">
        <f t="shared" si="30"/>
        <v>0</v>
      </c>
      <c r="T124">
        <f t="shared" si="30"/>
        <v>0</v>
      </c>
      <c r="U124">
        <f t="shared" si="30"/>
        <v>0</v>
      </c>
      <c r="V124">
        <f t="shared" si="30"/>
        <v>0</v>
      </c>
      <c r="W124">
        <f t="shared" si="30"/>
        <v>0</v>
      </c>
      <c r="X124">
        <f t="shared" si="30"/>
        <v>0</v>
      </c>
      <c r="Y124">
        <f t="shared" si="29"/>
        <v>0</v>
      </c>
      <c r="Z124">
        <f t="shared" si="29"/>
        <v>0</v>
      </c>
      <c r="AA124">
        <f t="shared" si="29"/>
        <v>0</v>
      </c>
      <c r="AB124">
        <f t="shared" si="29"/>
        <v>0</v>
      </c>
      <c r="AC124">
        <f t="shared" si="29"/>
        <v>0</v>
      </c>
      <c r="AD124">
        <f t="shared" si="29"/>
        <v>0</v>
      </c>
      <c r="AE124">
        <f t="shared" si="29"/>
        <v>0</v>
      </c>
      <c r="AF124">
        <f t="shared" si="29"/>
        <v>0</v>
      </c>
      <c r="AG124">
        <f t="shared" si="29"/>
        <v>0</v>
      </c>
      <c r="AH124">
        <f t="shared" si="29"/>
        <v>0</v>
      </c>
      <c r="AI124">
        <f t="shared" si="29"/>
        <v>0</v>
      </c>
      <c r="AJ124">
        <f t="shared" si="29"/>
        <v>0</v>
      </c>
      <c r="AK124">
        <f t="shared" si="29"/>
        <v>0</v>
      </c>
      <c r="AL124">
        <f t="shared" si="29"/>
        <v>0</v>
      </c>
      <c r="AM124">
        <f t="shared" si="29"/>
        <v>0</v>
      </c>
      <c r="AN124">
        <f t="shared" si="31"/>
        <v>0</v>
      </c>
      <c r="AO124">
        <f t="shared" si="31"/>
        <v>0</v>
      </c>
      <c r="AP124">
        <f t="shared" si="31"/>
        <v>0</v>
      </c>
      <c r="AQ124">
        <f t="shared" si="31"/>
        <v>0</v>
      </c>
      <c r="AR124">
        <f t="shared" si="31"/>
        <v>0</v>
      </c>
    </row>
    <row r="125" spans="5:44" x14ac:dyDescent="0.2">
      <c r="E125" s="1">
        <f>moment_rate!$AC125</f>
        <v>7.4493433161470389E-3</v>
      </c>
      <c r="F125" s="1">
        <f t="shared" si="21"/>
        <v>0</v>
      </c>
      <c r="G125">
        <f>moment_rate!I125-0.005</f>
        <v>1.1800000000000008</v>
      </c>
      <c r="H125" s="1">
        <f t="shared" si="22"/>
        <v>0</v>
      </c>
      <c r="I125">
        <f t="shared" si="30"/>
        <v>0</v>
      </c>
      <c r="J125">
        <f t="shared" si="30"/>
        <v>0</v>
      </c>
      <c r="K125">
        <f t="shared" si="30"/>
        <v>0</v>
      </c>
      <c r="L125">
        <f t="shared" si="30"/>
        <v>0</v>
      </c>
      <c r="M125">
        <f t="shared" si="30"/>
        <v>0</v>
      </c>
      <c r="N125">
        <f t="shared" si="30"/>
        <v>0</v>
      </c>
      <c r="O125">
        <f t="shared" si="30"/>
        <v>0</v>
      </c>
      <c r="P125">
        <f t="shared" si="30"/>
        <v>0</v>
      </c>
      <c r="Q125">
        <f t="shared" si="30"/>
        <v>0</v>
      </c>
      <c r="R125">
        <f t="shared" si="30"/>
        <v>0</v>
      </c>
      <c r="S125">
        <f t="shared" si="30"/>
        <v>0</v>
      </c>
      <c r="T125">
        <f t="shared" si="30"/>
        <v>0</v>
      </c>
      <c r="U125">
        <f t="shared" si="30"/>
        <v>0</v>
      </c>
      <c r="V125">
        <f t="shared" si="30"/>
        <v>0</v>
      </c>
      <c r="W125">
        <f t="shared" si="30"/>
        <v>0</v>
      </c>
      <c r="X125">
        <f t="shared" si="30"/>
        <v>0</v>
      </c>
      <c r="Y125">
        <f t="shared" si="29"/>
        <v>0</v>
      </c>
      <c r="Z125">
        <f t="shared" si="29"/>
        <v>0</v>
      </c>
      <c r="AA125">
        <f t="shared" si="29"/>
        <v>0</v>
      </c>
      <c r="AB125">
        <f t="shared" si="29"/>
        <v>0</v>
      </c>
      <c r="AC125">
        <f t="shared" si="29"/>
        <v>0</v>
      </c>
      <c r="AD125">
        <f t="shared" si="29"/>
        <v>0</v>
      </c>
      <c r="AE125">
        <f t="shared" si="29"/>
        <v>0</v>
      </c>
      <c r="AF125">
        <f t="shared" si="29"/>
        <v>0</v>
      </c>
      <c r="AG125">
        <f t="shared" si="29"/>
        <v>0</v>
      </c>
      <c r="AH125">
        <f t="shared" si="29"/>
        <v>0</v>
      </c>
      <c r="AI125">
        <f t="shared" si="29"/>
        <v>0</v>
      </c>
      <c r="AJ125">
        <f t="shared" si="29"/>
        <v>0</v>
      </c>
      <c r="AK125">
        <f t="shared" si="29"/>
        <v>0</v>
      </c>
      <c r="AL125">
        <f t="shared" si="29"/>
        <v>0</v>
      </c>
      <c r="AM125">
        <f t="shared" si="29"/>
        <v>0</v>
      </c>
      <c r="AN125">
        <f t="shared" si="31"/>
        <v>0</v>
      </c>
      <c r="AO125">
        <f t="shared" si="31"/>
        <v>0</v>
      </c>
      <c r="AP125">
        <f t="shared" si="31"/>
        <v>0</v>
      </c>
      <c r="AQ125">
        <f t="shared" si="31"/>
        <v>0</v>
      </c>
      <c r="AR125">
        <f t="shared" si="31"/>
        <v>0</v>
      </c>
    </row>
    <row r="126" spans="5:44" x14ac:dyDescent="0.2">
      <c r="E126" s="1">
        <f>moment_rate!$AC126</f>
        <v>7.4493433161470389E-3</v>
      </c>
      <c r="F126" s="1">
        <f t="shared" si="21"/>
        <v>0</v>
      </c>
      <c r="G126">
        <f>moment_rate!I126-0.005</f>
        <v>1.1900000000000008</v>
      </c>
      <c r="H126" s="1">
        <f t="shared" si="22"/>
        <v>0</v>
      </c>
      <c r="I126">
        <f t="shared" si="30"/>
        <v>0</v>
      </c>
      <c r="J126">
        <f t="shared" si="30"/>
        <v>0</v>
      </c>
      <c r="K126">
        <f t="shared" si="30"/>
        <v>0</v>
      </c>
      <c r="L126">
        <f t="shared" si="30"/>
        <v>0</v>
      </c>
      <c r="M126">
        <f t="shared" si="30"/>
        <v>0</v>
      </c>
      <c r="N126">
        <f t="shared" si="30"/>
        <v>0</v>
      </c>
      <c r="O126">
        <f t="shared" si="30"/>
        <v>0</v>
      </c>
      <c r="P126">
        <f t="shared" si="30"/>
        <v>0</v>
      </c>
      <c r="Q126">
        <f t="shared" si="30"/>
        <v>0</v>
      </c>
      <c r="R126">
        <f t="shared" si="30"/>
        <v>0</v>
      </c>
      <c r="S126">
        <f t="shared" si="30"/>
        <v>0</v>
      </c>
      <c r="T126">
        <f t="shared" si="30"/>
        <v>0</v>
      </c>
      <c r="U126">
        <f t="shared" si="30"/>
        <v>0</v>
      </c>
      <c r="V126">
        <f t="shared" si="30"/>
        <v>0</v>
      </c>
      <c r="W126">
        <f t="shared" si="30"/>
        <v>0</v>
      </c>
      <c r="X126">
        <f t="shared" ref="X126:AM141" si="32">IF(AND($G126&gt;=X$3,$G126&lt;X$4),$F126,0)</f>
        <v>0</v>
      </c>
      <c r="Y126">
        <f t="shared" si="32"/>
        <v>0</v>
      </c>
      <c r="Z126">
        <f t="shared" si="32"/>
        <v>0</v>
      </c>
      <c r="AA126">
        <f t="shared" si="32"/>
        <v>0</v>
      </c>
      <c r="AB126">
        <f t="shared" si="32"/>
        <v>0</v>
      </c>
      <c r="AC126">
        <f t="shared" si="32"/>
        <v>0</v>
      </c>
      <c r="AD126">
        <f t="shared" si="32"/>
        <v>0</v>
      </c>
      <c r="AE126">
        <f t="shared" si="32"/>
        <v>0</v>
      </c>
      <c r="AF126">
        <f t="shared" si="32"/>
        <v>0</v>
      </c>
      <c r="AG126">
        <f t="shared" si="32"/>
        <v>0</v>
      </c>
      <c r="AH126">
        <f t="shared" si="32"/>
        <v>0</v>
      </c>
      <c r="AI126">
        <f t="shared" si="32"/>
        <v>0</v>
      </c>
      <c r="AJ126">
        <f t="shared" si="32"/>
        <v>0</v>
      </c>
      <c r="AK126">
        <f t="shared" si="32"/>
        <v>0</v>
      </c>
      <c r="AL126">
        <f t="shared" si="32"/>
        <v>0</v>
      </c>
      <c r="AM126">
        <f t="shared" si="32"/>
        <v>0</v>
      </c>
      <c r="AN126">
        <f t="shared" si="31"/>
        <v>0</v>
      </c>
      <c r="AO126">
        <f t="shared" si="31"/>
        <v>0</v>
      </c>
      <c r="AP126">
        <f t="shared" si="31"/>
        <v>0</v>
      </c>
      <c r="AQ126">
        <f t="shared" si="31"/>
        <v>0</v>
      </c>
      <c r="AR126">
        <f t="shared" si="31"/>
        <v>0</v>
      </c>
    </row>
    <row r="127" spans="5:44" x14ac:dyDescent="0.2">
      <c r="E127" s="1">
        <f>moment_rate!$AC127</f>
        <v>7.4493433161470389E-3</v>
      </c>
      <c r="F127" s="1">
        <f t="shared" si="21"/>
        <v>0</v>
      </c>
      <c r="G127">
        <f>moment_rate!I127-0.005</f>
        <v>1.2000000000000008</v>
      </c>
      <c r="H127" s="1">
        <f t="shared" si="22"/>
        <v>0</v>
      </c>
      <c r="I127">
        <f t="shared" ref="I127:X142" si="33">IF(AND($G127&gt;=I$3,$G127&lt;I$4),$F127,0)</f>
        <v>0</v>
      </c>
      <c r="J127">
        <f t="shared" si="33"/>
        <v>0</v>
      </c>
      <c r="K127">
        <f t="shared" si="33"/>
        <v>0</v>
      </c>
      <c r="L127">
        <f t="shared" si="33"/>
        <v>0</v>
      </c>
      <c r="M127">
        <f t="shared" si="33"/>
        <v>0</v>
      </c>
      <c r="N127">
        <f t="shared" si="33"/>
        <v>0</v>
      </c>
      <c r="O127">
        <f t="shared" si="33"/>
        <v>0</v>
      </c>
      <c r="P127">
        <f t="shared" si="33"/>
        <v>0</v>
      </c>
      <c r="Q127">
        <f t="shared" si="33"/>
        <v>0</v>
      </c>
      <c r="R127">
        <f t="shared" si="33"/>
        <v>0</v>
      </c>
      <c r="S127">
        <f t="shared" si="33"/>
        <v>0</v>
      </c>
      <c r="T127">
        <f t="shared" si="33"/>
        <v>0</v>
      </c>
      <c r="U127">
        <f t="shared" si="33"/>
        <v>0</v>
      </c>
      <c r="V127">
        <f t="shared" si="33"/>
        <v>0</v>
      </c>
      <c r="W127">
        <f t="shared" si="33"/>
        <v>0</v>
      </c>
      <c r="X127">
        <f t="shared" si="33"/>
        <v>0</v>
      </c>
      <c r="Y127">
        <f t="shared" si="32"/>
        <v>0</v>
      </c>
      <c r="Z127">
        <f t="shared" si="32"/>
        <v>0</v>
      </c>
      <c r="AA127">
        <f t="shared" si="32"/>
        <v>0</v>
      </c>
      <c r="AB127">
        <f t="shared" si="32"/>
        <v>0</v>
      </c>
      <c r="AC127">
        <f t="shared" si="32"/>
        <v>0</v>
      </c>
      <c r="AD127">
        <f t="shared" si="32"/>
        <v>0</v>
      </c>
      <c r="AE127">
        <f t="shared" si="32"/>
        <v>0</v>
      </c>
      <c r="AF127">
        <f t="shared" si="32"/>
        <v>0</v>
      </c>
      <c r="AG127">
        <f t="shared" si="32"/>
        <v>0</v>
      </c>
      <c r="AH127">
        <f t="shared" si="32"/>
        <v>0</v>
      </c>
      <c r="AI127">
        <f t="shared" si="32"/>
        <v>0</v>
      </c>
      <c r="AJ127">
        <f t="shared" si="32"/>
        <v>0</v>
      </c>
      <c r="AK127">
        <f t="shared" si="32"/>
        <v>0</v>
      </c>
      <c r="AL127">
        <f t="shared" si="32"/>
        <v>0</v>
      </c>
      <c r="AM127">
        <f t="shared" si="32"/>
        <v>0</v>
      </c>
      <c r="AN127">
        <f t="shared" si="31"/>
        <v>0</v>
      </c>
      <c r="AO127">
        <f t="shared" si="31"/>
        <v>0</v>
      </c>
      <c r="AP127">
        <f t="shared" si="31"/>
        <v>0</v>
      </c>
      <c r="AQ127">
        <f t="shared" si="31"/>
        <v>0</v>
      </c>
      <c r="AR127">
        <f t="shared" si="31"/>
        <v>0</v>
      </c>
    </row>
    <row r="128" spans="5:44" x14ac:dyDescent="0.2">
      <c r="E128" s="1">
        <f>moment_rate!$AC128</f>
        <v>7.4493433161470389E-3</v>
      </c>
      <c r="F128" s="1">
        <f t="shared" si="21"/>
        <v>0</v>
      </c>
      <c r="G128">
        <f>moment_rate!I128-0.005</f>
        <v>1.2100000000000009</v>
      </c>
      <c r="H128" s="1">
        <f t="shared" si="22"/>
        <v>0</v>
      </c>
      <c r="I128">
        <f t="shared" si="33"/>
        <v>0</v>
      </c>
      <c r="J128">
        <f t="shared" si="33"/>
        <v>0</v>
      </c>
      <c r="K128">
        <f t="shared" si="33"/>
        <v>0</v>
      </c>
      <c r="L128">
        <f t="shared" si="33"/>
        <v>0</v>
      </c>
      <c r="M128">
        <f t="shared" si="33"/>
        <v>0</v>
      </c>
      <c r="N128">
        <f t="shared" si="33"/>
        <v>0</v>
      </c>
      <c r="O128">
        <f t="shared" si="33"/>
        <v>0</v>
      </c>
      <c r="P128">
        <f t="shared" si="33"/>
        <v>0</v>
      </c>
      <c r="Q128">
        <f t="shared" si="33"/>
        <v>0</v>
      </c>
      <c r="R128">
        <f t="shared" si="33"/>
        <v>0</v>
      </c>
      <c r="S128">
        <f t="shared" si="33"/>
        <v>0</v>
      </c>
      <c r="T128">
        <f t="shared" si="33"/>
        <v>0</v>
      </c>
      <c r="U128">
        <f t="shared" si="33"/>
        <v>0</v>
      </c>
      <c r="V128">
        <f t="shared" si="33"/>
        <v>0</v>
      </c>
      <c r="W128">
        <f t="shared" si="33"/>
        <v>0</v>
      </c>
      <c r="X128">
        <f t="shared" si="33"/>
        <v>0</v>
      </c>
      <c r="Y128">
        <f t="shared" si="32"/>
        <v>0</v>
      </c>
      <c r="Z128">
        <f t="shared" si="32"/>
        <v>0</v>
      </c>
      <c r="AA128">
        <f t="shared" si="32"/>
        <v>0</v>
      </c>
      <c r="AB128">
        <f t="shared" si="32"/>
        <v>0</v>
      </c>
      <c r="AC128">
        <f t="shared" si="32"/>
        <v>0</v>
      </c>
      <c r="AD128">
        <f t="shared" si="32"/>
        <v>0</v>
      </c>
      <c r="AE128">
        <f t="shared" si="32"/>
        <v>0</v>
      </c>
      <c r="AF128">
        <f t="shared" si="32"/>
        <v>0</v>
      </c>
      <c r="AG128">
        <f t="shared" si="32"/>
        <v>0</v>
      </c>
      <c r="AH128">
        <f t="shared" si="32"/>
        <v>0</v>
      </c>
      <c r="AI128">
        <f t="shared" si="32"/>
        <v>0</v>
      </c>
      <c r="AJ128">
        <f t="shared" si="32"/>
        <v>0</v>
      </c>
      <c r="AK128">
        <f t="shared" si="32"/>
        <v>0</v>
      </c>
      <c r="AL128">
        <f t="shared" si="32"/>
        <v>0</v>
      </c>
      <c r="AM128">
        <f t="shared" si="32"/>
        <v>0</v>
      </c>
      <c r="AN128">
        <f t="shared" si="31"/>
        <v>0</v>
      </c>
      <c r="AO128">
        <f t="shared" si="31"/>
        <v>0</v>
      </c>
      <c r="AP128">
        <f t="shared" si="31"/>
        <v>0</v>
      </c>
      <c r="AQ128">
        <f t="shared" si="31"/>
        <v>0</v>
      </c>
      <c r="AR128">
        <f t="shared" si="31"/>
        <v>0</v>
      </c>
    </row>
    <row r="129" spans="5:44" x14ac:dyDescent="0.2">
      <c r="E129" s="1">
        <f>moment_rate!$AC129</f>
        <v>7.4493433161470389E-3</v>
      </c>
      <c r="F129" s="1">
        <f t="shared" si="21"/>
        <v>0</v>
      </c>
      <c r="G129">
        <f>moment_rate!I129-0.005</f>
        <v>1.2200000000000009</v>
      </c>
      <c r="H129" s="1">
        <f t="shared" si="22"/>
        <v>0</v>
      </c>
      <c r="I129">
        <f t="shared" si="33"/>
        <v>0</v>
      </c>
      <c r="J129">
        <f t="shared" si="33"/>
        <v>0</v>
      </c>
      <c r="K129">
        <f t="shared" si="33"/>
        <v>0</v>
      </c>
      <c r="L129">
        <f t="shared" si="33"/>
        <v>0</v>
      </c>
      <c r="M129">
        <f t="shared" si="33"/>
        <v>0</v>
      </c>
      <c r="N129">
        <f t="shared" si="33"/>
        <v>0</v>
      </c>
      <c r="O129">
        <f t="shared" si="33"/>
        <v>0</v>
      </c>
      <c r="P129">
        <f t="shared" si="33"/>
        <v>0</v>
      </c>
      <c r="Q129">
        <f t="shared" si="33"/>
        <v>0</v>
      </c>
      <c r="R129">
        <f t="shared" si="33"/>
        <v>0</v>
      </c>
      <c r="S129">
        <f t="shared" si="33"/>
        <v>0</v>
      </c>
      <c r="T129">
        <f t="shared" si="33"/>
        <v>0</v>
      </c>
      <c r="U129">
        <f t="shared" si="33"/>
        <v>0</v>
      </c>
      <c r="V129">
        <f t="shared" si="33"/>
        <v>0</v>
      </c>
      <c r="W129">
        <f t="shared" si="33"/>
        <v>0</v>
      </c>
      <c r="X129">
        <f t="shared" si="33"/>
        <v>0</v>
      </c>
      <c r="Y129">
        <f t="shared" si="32"/>
        <v>0</v>
      </c>
      <c r="Z129">
        <f t="shared" si="32"/>
        <v>0</v>
      </c>
      <c r="AA129">
        <f t="shared" si="32"/>
        <v>0</v>
      </c>
      <c r="AB129">
        <f t="shared" si="32"/>
        <v>0</v>
      </c>
      <c r="AC129">
        <f t="shared" si="32"/>
        <v>0</v>
      </c>
      <c r="AD129">
        <f t="shared" si="32"/>
        <v>0</v>
      </c>
      <c r="AE129">
        <f t="shared" si="32"/>
        <v>0</v>
      </c>
      <c r="AF129">
        <f t="shared" si="32"/>
        <v>0</v>
      </c>
      <c r="AG129">
        <f t="shared" si="32"/>
        <v>0</v>
      </c>
      <c r="AH129">
        <f t="shared" si="32"/>
        <v>0</v>
      </c>
      <c r="AI129">
        <f t="shared" si="32"/>
        <v>0</v>
      </c>
      <c r="AJ129">
        <f t="shared" si="32"/>
        <v>0</v>
      </c>
      <c r="AK129">
        <f t="shared" si="32"/>
        <v>0</v>
      </c>
      <c r="AL129">
        <f t="shared" si="32"/>
        <v>0</v>
      </c>
      <c r="AM129">
        <f t="shared" si="32"/>
        <v>0</v>
      </c>
      <c r="AN129">
        <f t="shared" si="31"/>
        <v>0</v>
      </c>
      <c r="AO129">
        <f t="shared" si="31"/>
        <v>0</v>
      </c>
      <c r="AP129">
        <f t="shared" si="31"/>
        <v>0</v>
      </c>
      <c r="AQ129">
        <f t="shared" si="31"/>
        <v>0</v>
      </c>
      <c r="AR129">
        <f t="shared" si="31"/>
        <v>0</v>
      </c>
    </row>
    <row r="130" spans="5:44" x14ac:dyDescent="0.2">
      <c r="E130" s="1">
        <f>moment_rate!$AC130</f>
        <v>7.4493433161470389E-3</v>
      </c>
      <c r="F130" s="1">
        <f t="shared" si="21"/>
        <v>0</v>
      </c>
      <c r="G130">
        <f>moment_rate!I130-0.005</f>
        <v>1.2300000000000009</v>
      </c>
      <c r="H130" s="1">
        <f t="shared" si="22"/>
        <v>0</v>
      </c>
      <c r="I130">
        <f t="shared" si="33"/>
        <v>0</v>
      </c>
      <c r="J130">
        <f t="shared" si="33"/>
        <v>0</v>
      </c>
      <c r="K130">
        <f t="shared" si="33"/>
        <v>0</v>
      </c>
      <c r="L130">
        <f t="shared" si="33"/>
        <v>0</v>
      </c>
      <c r="M130">
        <f t="shared" si="33"/>
        <v>0</v>
      </c>
      <c r="N130">
        <f t="shared" si="33"/>
        <v>0</v>
      </c>
      <c r="O130">
        <f t="shared" si="33"/>
        <v>0</v>
      </c>
      <c r="P130">
        <f t="shared" si="33"/>
        <v>0</v>
      </c>
      <c r="Q130">
        <f t="shared" si="33"/>
        <v>0</v>
      </c>
      <c r="R130">
        <f t="shared" si="33"/>
        <v>0</v>
      </c>
      <c r="S130">
        <f t="shared" si="33"/>
        <v>0</v>
      </c>
      <c r="T130">
        <f t="shared" si="33"/>
        <v>0</v>
      </c>
      <c r="U130">
        <f t="shared" si="33"/>
        <v>0</v>
      </c>
      <c r="V130">
        <f t="shared" si="33"/>
        <v>0</v>
      </c>
      <c r="W130">
        <f t="shared" si="33"/>
        <v>0</v>
      </c>
      <c r="X130">
        <f t="shared" si="33"/>
        <v>0</v>
      </c>
      <c r="Y130">
        <f t="shared" si="32"/>
        <v>0</v>
      </c>
      <c r="Z130">
        <f t="shared" si="32"/>
        <v>0</v>
      </c>
      <c r="AA130">
        <f t="shared" si="32"/>
        <v>0</v>
      </c>
      <c r="AB130">
        <f t="shared" si="32"/>
        <v>0</v>
      </c>
      <c r="AC130">
        <f t="shared" si="32"/>
        <v>0</v>
      </c>
      <c r="AD130">
        <f t="shared" si="32"/>
        <v>0</v>
      </c>
      <c r="AE130">
        <f t="shared" si="32"/>
        <v>0</v>
      </c>
      <c r="AF130">
        <f t="shared" si="32"/>
        <v>0</v>
      </c>
      <c r="AG130">
        <f t="shared" si="32"/>
        <v>0</v>
      </c>
      <c r="AH130">
        <f t="shared" si="32"/>
        <v>0</v>
      </c>
      <c r="AI130">
        <f t="shared" si="32"/>
        <v>0</v>
      </c>
      <c r="AJ130">
        <f t="shared" si="32"/>
        <v>0</v>
      </c>
      <c r="AK130">
        <f t="shared" si="32"/>
        <v>0</v>
      </c>
      <c r="AL130">
        <f t="shared" si="32"/>
        <v>0</v>
      </c>
      <c r="AM130">
        <f t="shared" si="32"/>
        <v>0</v>
      </c>
      <c r="AN130">
        <f t="shared" si="31"/>
        <v>0</v>
      </c>
      <c r="AO130">
        <f t="shared" si="31"/>
        <v>0</v>
      </c>
      <c r="AP130">
        <f t="shared" si="31"/>
        <v>0</v>
      </c>
      <c r="AQ130">
        <f t="shared" si="31"/>
        <v>0</v>
      </c>
      <c r="AR130">
        <f t="shared" si="31"/>
        <v>0</v>
      </c>
    </row>
    <row r="131" spans="5:44" x14ac:dyDescent="0.2">
      <c r="E131" s="1">
        <f>moment_rate!$AC131</f>
        <v>7.4493433161470389E-3</v>
      </c>
      <c r="F131" s="1">
        <f t="shared" si="21"/>
        <v>0</v>
      </c>
      <c r="G131">
        <f>moment_rate!I131-0.005</f>
        <v>1.2400000000000009</v>
      </c>
      <c r="H131" s="1">
        <f t="shared" si="22"/>
        <v>0</v>
      </c>
      <c r="I131">
        <f t="shared" si="33"/>
        <v>0</v>
      </c>
      <c r="J131">
        <f t="shared" si="33"/>
        <v>0</v>
      </c>
      <c r="K131">
        <f t="shared" si="33"/>
        <v>0</v>
      </c>
      <c r="L131">
        <f t="shared" si="33"/>
        <v>0</v>
      </c>
      <c r="M131">
        <f t="shared" si="33"/>
        <v>0</v>
      </c>
      <c r="N131">
        <f t="shared" si="33"/>
        <v>0</v>
      </c>
      <c r="O131">
        <f t="shared" si="33"/>
        <v>0</v>
      </c>
      <c r="P131">
        <f t="shared" si="33"/>
        <v>0</v>
      </c>
      <c r="Q131">
        <f t="shared" si="33"/>
        <v>0</v>
      </c>
      <c r="R131">
        <f t="shared" si="33"/>
        <v>0</v>
      </c>
      <c r="S131">
        <f t="shared" si="33"/>
        <v>0</v>
      </c>
      <c r="T131">
        <f t="shared" si="33"/>
        <v>0</v>
      </c>
      <c r="U131">
        <f t="shared" si="33"/>
        <v>0</v>
      </c>
      <c r="V131">
        <f t="shared" si="33"/>
        <v>0</v>
      </c>
      <c r="W131">
        <f t="shared" si="33"/>
        <v>0</v>
      </c>
      <c r="X131">
        <f t="shared" si="33"/>
        <v>0</v>
      </c>
      <c r="Y131">
        <f t="shared" si="32"/>
        <v>0</v>
      </c>
      <c r="Z131">
        <f t="shared" si="32"/>
        <v>0</v>
      </c>
      <c r="AA131">
        <f t="shared" si="32"/>
        <v>0</v>
      </c>
      <c r="AB131">
        <f t="shared" si="32"/>
        <v>0</v>
      </c>
      <c r="AC131">
        <f t="shared" si="32"/>
        <v>0</v>
      </c>
      <c r="AD131">
        <f t="shared" si="32"/>
        <v>0</v>
      </c>
      <c r="AE131">
        <f t="shared" si="32"/>
        <v>0</v>
      </c>
      <c r="AF131">
        <f t="shared" si="32"/>
        <v>0</v>
      </c>
      <c r="AG131">
        <f t="shared" si="32"/>
        <v>0</v>
      </c>
      <c r="AH131">
        <f t="shared" si="32"/>
        <v>0</v>
      </c>
      <c r="AI131">
        <f t="shared" si="32"/>
        <v>0</v>
      </c>
      <c r="AJ131">
        <f t="shared" si="32"/>
        <v>0</v>
      </c>
      <c r="AK131">
        <f t="shared" si="32"/>
        <v>0</v>
      </c>
      <c r="AL131">
        <f t="shared" si="32"/>
        <v>0</v>
      </c>
      <c r="AM131">
        <f t="shared" si="32"/>
        <v>0</v>
      </c>
      <c r="AN131">
        <f t="shared" si="31"/>
        <v>0</v>
      </c>
      <c r="AO131">
        <f t="shared" si="31"/>
        <v>0</v>
      </c>
      <c r="AP131">
        <f t="shared" si="31"/>
        <v>0</v>
      </c>
      <c r="AQ131">
        <f t="shared" si="31"/>
        <v>0</v>
      </c>
      <c r="AR131">
        <f t="shared" si="31"/>
        <v>0</v>
      </c>
    </row>
    <row r="132" spans="5:44" x14ac:dyDescent="0.2">
      <c r="E132" s="1">
        <f>moment_rate!$AC132</f>
        <v>7.4493433161470389E-3</v>
      </c>
      <c r="F132" s="1">
        <f t="shared" si="21"/>
        <v>0</v>
      </c>
      <c r="G132">
        <f>moment_rate!I132-0.005</f>
        <v>1.2500000000000009</v>
      </c>
      <c r="H132" s="1">
        <f t="shared" si="22"/>
        <v>0</v>
      </c>
      <c r="I132">
        <f t="shared" si="33"/>
        <v>0</v>
      </c>
      <c r="J132">
        <f t="shared" si="33"/>
        <v>0</v>
      </c>
      <c r="K132">
        <f t="shared" si="33"/>
        <v>0</v>
      </c>
      <c r="L132">
        <f t="shared" si="33"/>
        <v>0</v>
      </c>
      <c r="M132">
        <f t="shared" si="33"/>
        <v>0</v>
      </c>
      <c r="N132">
        <f t="shared" si="33"/>
        <v>0</v>
      </c>
      <c r="O132">
        <f t="shared" si="33"/>
        <v>0</v>
      </c>
      <c r="P132">
        <f t="shared" si="33"/>
        <v>0</v>
      </c>
      <c r="Q132">
        <f t="shared" si="33"/>
        <v>0</v>
      </c>
      <c r="R132">
        <f t="shared" si="33"/>
        <v>0</v>
      </c>
      <c r="S132">
        <f t="shared" si="33"/>
        <v>0</v>
      </c>
      <c r="T132">
        <f t="shared" si="33"/>
        <v>0</v>
      </c>
      <c r="U132">
        <f t="shared" si="33"/>
        <v>0</v>
      </c>
      <c r="V132">
        <f t="shared" si="33"/>
        <v>0</v>
      </c>
      <c r="W132">
        <f t="shared" si="33"/>
        <v>0</v>
      </c>
      <c r="X132">
        <f t="shared" si="33"/>
        <v>0</v>
      </c>
      <c r="Y132">
        <f t="shared" si="32"/>
        <v>0</v>
      </c>
      <c r="Z132">
        <f t="shared" si="32"/>
        <v>0</v>
      </c>
      <c r="AA132">
        <f t="shared" si="32"/>
        <v>0</v>
      </c>
      <c r="AB132">
        <f t="shared" si="32"/>
        <v>0</v>
      </c>
      <c r="AC132">
        <f t="shared" si="32"/>
        <v>0</v>
      </c>
      <c r="AD132">
        <f t="shared" si="32"/>
        <v>0</v>
      </c>
      <c r="AE132">
        <f t="shared" si="32"/>
        <v>0</v>
      </c>
      <c r="AF132">
        <f t="shared" si="32"/>
        <v>0</v>
      </c>
      <c r="AG132">
        <f t="shared" si="32"/>
        <v>0</v>
      </c>
      <c r="AH132">
        <f t="shared" si="32"/>
        <v>0</v>
      </c>
      <c r="AI132">
        <f t="shared" si="32"/>
        <v>0</v>
      </c>
      <c r="AJ132">
        <f t="shared" si="32"/>
        <v>0</v>
      </c>
      <c r="AK132">
        <f t="shared" si="32"/>
        <v>0</v>
      </c>
      <c r="AL132">
        <f t="shared" si="32"/>
        <v>0</v>
      </c>
      <c r="AM132">
        <f t="shared" si="32"/>
        <v>0</v>
      </c>
      <c r="AN132">
        <f t="shared" si="31"/>
        <v>0</v>
      </c>
      <c r="AO132">
        <f t="shared" si="31"/>
        <v>0</v>
      </c>
      <c r="AP132">
        <f t="shared" si="31"/>
        <v>0</v>
      </c>
      <c r="AQ132">
        <f t="shared" si="31"/>
        <v>0</v>
      </c>
      <c r="AR132">
        <f t="shared" si="31"/>
        <v>0</v>
      </c>
    </row>
    <row r="133" spans="5:44" x14ac:dyDescent="0.2">
      <c r="E133" s="1">
        <f>moment_rate!$AC133</f>
        <v>7.4493433161470389E-3</v>
      </c>
      <c r="F133" s="1">
        <f t="shared" si="21"/>
        <v>0</v>
      </c>
      <c r="G133">
        <f>moment_rate!I133-0.005</f>
        <v>1.2600000000000009</v>
      </c>
      <c r="H133" s="1">
        <f t="shared" si="22"/>
        <v>0</v>
      </c>
      <c r="I133">
        <f t="shared" si="33"/>
        <v>0</v>
      </c>
      <c r="J133">
        <f t="shared" si="33"/>
        <v>0</v>
      </c>
      <c r="K133">
        <f t="shared" si="33"/>
        <v>0</v>
      </c>
      <c r="L133">
        <f t="shared" si="33"/>
        <v>0</v>
      </c>
      <c r="M133">
        <f t="shared" si="33"/>
        <v>0</v>
      </c>
      <c r="N133">
        <f t="shared" si="33"/>
        <v>0</v>
      </c>
      <c r="O133">
        <f t="shared" si="33"/>
        <v>0</v>
      </c>
      <c r="P133">
        <f t="shared" si="33"/>
        <v>0</v>
      </c>
      <c r="Q133">
        <f t="shared" si="33"/>
        <v>0</v>
      </c>
      <c r="R133">
        <f t="shared" si="33"/>
        <v>0</v>
      </c>
      <c r="S133">
        <f t="shared" si="33"/>
        <v>0</v>
      </c>
      <c r="T133">
        <f t="shared" si="33"/>
        <v>0</v>
      </c>
      <c r="U133">
        <f t="shared" si="33"/>
        <v>0</v>
      </c>
      <c r="V133">
        <f t="shared" si="33"/>
        <v>0</v>
      </c>
      <c r="W133">
        <f t="shared" si="33"/>
        <v>0</v>
      </c>
      <c r="X133">
        <f t="shared" si="33"/>
        <v>0</v>
      </c>
      <c r="Y133">
        <f t="shared" si="32"/>
        <v>0</v>
      </c>
      <c r="Z133">
        <f t="shared" si="32"/>
        <v>0</v>
      </c>
      <c r="AA133">
        <f t="shared" si="32"/>
        <v>0</v>
      </c>
      <c r="AB133">
        <f t="shared" si="32"/>
        <v>0</v>
      </c>
      <c r="AC133">
        <f t="shared" si="32"/>
        <v>0</v>
      </c>
      <c r="AD133">
        <f t="shared" si="32"/>
        <v>0</v>
      </c>
      <c r="AE133">
        <f t="shared" si="32"/>
        <v>0</v>
      </c>
      <c r="AF133">
        <f t="shared" si="32"/>
        <v>0</v>
      </c>
      <c r="AG133">
        <f t="shared" si="32"/>
        <v>0</v>
      </c>
      <c r="AH133">
        <f t="shared" si="32"/>
        <v>0</v>
      </c>
      <c r="AI133">
        <f t="shared" si="32"/>
        <v>0</v>
      </c>
      <c r="AJ133">
        <f t="shared" si="32"/>
        <v>0</v>
      </c>
      <c r="AK133">
        <f t="shared" si="32"/>
        <v>0</v>
      </c>
      <c r="AL133">
        <f t="shared" si="32"/>
        <v>0</v>
      </c>
      <c r="AM133">
        <f t="shared" si="32"/>
        <v>0</v>
      </c>
      <c r="AN133">
        <f t="shared" si="31"/>
        <v>0</v>
      </c>
      <c r="AO133">
        <f t="shared" si="31"/>
        <v>0</v>
      </c>
      <c r="AP133">
        <f t="shared" si="31"/>
        <v>0</v>
      </c>
      <c r="AQ133">
        <f t="shared" si="31"/>
        <v>0</v>
      </c>
      <c r="AR133">
        <f t="shared" si="31"/>
        <v>0</v>
      </c>
    </row>
    <row r="134" spans="5:44" x14ac:dyDescent="0.2">
      <c r="E134" s="1">
        <f>moment_rate!$AC134</f>
        <v>7.4493433161470389E-3</v>
      </c>
      <c r="F134" s="1">
        <f t="shared" si="21"/>
        <v>0</v>
      </c>
      <c r="G134">
        <f>moment_rate!I134-0.005</f>
        <v>1.2700000000000009</v>
      </c>
      <c r="H134" s="1">
        <f t="shared" si="22"/>
        <v>0</v>
      </c>
      <c r="I134">
        <f t="shared" si="33"/>
        <v>0</v>
      </c>
      <c r="J134">
        <f t="shared" si="33"/>
        <v>0</v>
      </c>
      <c r="K134">
        <f t="shared" si="33"/>
        <v>0</v>
      </c>
      <c r="L134">
        <f t="shared" si="33"/>
        <v>0</v>
      </c>
      <c r="M134">
        <f t="shared" si="33"/>
        <v>0</v>
      </c>
      <c r="N134">
        <f t="shared" si="33"/>
        <v>0</v>
      </c>
      <c r="O134">
        <f t="shared" si="33"/>
        <v>0</v>
      </c>
      <c r="P134">
        <f t="shared" si="33"/>
        <v>0</v>
      </c>
      <c r="Q134">
        <f t="shared" si="33"/>
        <v>0</v>
      </c>
      <c r="R134">
        <f t="shared" si="33"/>
        <v>0</v>
      </c>
      <c r="S134">
        <f t="shared" si="33"/>
        <v>0</v>
      </c>
      <c r="T134">
        <f t="shared" si="33"/>
        <v>0</v>
      </c>
      <c r="U134">
        <f t="shared" si="33"/>
        <v>0</v>
      </c>
      <c r="V134">
        <f t="shared" si="33"/>
        <v>0</v>
      </c>
      <c r="W134">
        <f t="shared" si="33"/>
        <v>0</v>
      </c>
      <c r="X134">
        <f t="shared" si="33"/>
        <v>0</v>
      </c>
      <c r="Y134">
        <f t="shared" si="32"/>
        <v>0</v>
      </c>
      <c r="Z134">
        <f t="shared" si="32"/>
        <v>0</v>
      </c>
      <c r="AA134">
        <f t="shared" si="32"/>
        <v>0</v>
      </c>
      <c r="AB134">
        <f t="shared" si="32"/>
        <v>0</v>
      </c>
      <c r="AC134">
        <f t="shared" si="32"/>
        <v>0</v>
      </c>
      <c r="AD134">
        <f t="shared" si="32"/>
        <v>0</v>
      </c>
      <c r="AE134">
        <f t="shared" si="32"/>
        <v>0</v>
      </c>
      <c r="AF134">
        <f t="shared" si="32"/>
        <v>0</v>
      </c>
      <c r="AG134">
        <f t="shared" si="32"/>
        <v>0</v>
      </c>
      <c r="AH134">
        <f t="shared" si="32"/>
        <v>0</v>
      </c>
      <c r="AI134">
        <f t="shared" si="32"/>
        <v>0</v>
      </c>
      <c r="AJ134">
        <f t="shared" si="32"/>
        <v>0</v>
      </c>
      <c r="AK134">
        <f t="shared" si="32"/>
        <v>0</v>
      </c>
      <c r="AL134">
        <f t="shared" si="32"/>
        <v>0</v>
      </c>
      <c r="AM134">
        <f t="shared" si="32"/>
        <v>0</v>
      </c>
      <c r="AN134">
        <f t="shared" si="31"/>
        <v>0</v>
      </c>
      <c r="AO134">
        <f t="shared" si="31"/>
        <v>0</v>
      </c>
      <c r="AP134">
        <f t="shared" si="31"/>
        <v>0</v>
      </c>
      <c r="AQ134">
        <f t="shared" si="31"/>
        <v>0</v>
      </c>
      <c r="AR134">
        <f t="shared" si="31"/>
        <v>0</v>
      </c>
    </row>
    <row r="135" spans="5:44" x14ac:dyDescent="0.2">
      <c r="E135" s="1">
        <f>moment_rate!$AC135</f>
        <v>7.4493433161470389E-3</v>
      </c>
      <c r="F135" s="1">
        <f t="shared" si="21"/>
        <v>0</v>
      </c>
      <c r="G135">
        <f>moment_rate!I135-0.005</f>
        <v>1.2800000000000009</v>
      </c>
      <c r="H135" s="1">
        <f t="shared" si="22"/>
        <v>0</v>
      </c>
      <c r="I135">
        <f t="shared" si="33"/>
        <v>0</v>
      </c>
      <c r="J135">
        <f t="shared" si="33"/>
        <v>0</v>
      </c>
      <c r="K135">
        <f t="shared" si="33"/>
        <v>0</v>
      </c>
      <c r="L135">
        <f t="shared" si="33"/>
        <v>0</v>
      </c>
      <c r="M135">
        <f t="shared" si="33"/>
        <v>0</v>
      </c>
      <c r="N135">
        <f t="shared" si="33"/>
        <v>0</v>
      </c>
      <c r="O135">
        <f t="shared" si="33"/>
        <v>0</v>
      </c>
      <c r="P135">
        <f t="shared" si="33"/>
        <v>0</v>
      </c>
      <c r="Q135">
        <f t="shared" si="33"/>
        <v>0</v>
      </c>
      <c r="R135">
        <f t="shared" si="33"/>
        <v>0</v>
      </c>
      <c r="S135">
        <f t="shared" si="33"/>
        <v>0</v>
      </c>
      <c r="T135">
        <f t="shared" si="33"/>
        <v>0</v>
      </c>
      <c r="U135">
        <f t="shared" si="33"/>
        <v>0</v>
      </c>
      <c r="V135">
        <f t="shared" si="33"/>
        <v>0</v>
      </c>
      <c r="W135">
        <f t="shared" si="33"/>
        <v>0</v>
      </c>
      <c r="X135">
        <f t="shared" si="33"/>
        <v>0</v>
      </c>
      <c r="Y135">
        <f t="shared" si="32"/>
        <v>0</v>
      </c>
      <c r="Z135">
        <f t="shared" si="32"/>
        <v>0</v>
      </c>
      <c r="AA135">
        <f t="shared" si="32"/>
        <v>0</v>
      </c>
      <c r="AB135">
        <f t="shared" si="32"/>
        <v>0</v>
      </c>
      <c r="AC135">
        <f t="shared" si="32"/>
        <v>0</v>
      </c>
      <c r="AD135">
        <f t="shared" si="32"/>
        <v>0</v>
      </c>
      <c r="AE135">
        <f t="shared" si="32"/>
        <v>0</v>
      </c>
      <c r="AF135">
        <f t="shared" si="32"/>
        <v>0</v>
      </c>
      <c r="AG135">
        <f t="shared" si="32"/>
        <v>0</v>
      </c>
      <c r="AH135">
        <f t="shared" si="32"/>
        <v>0</v>
      </c>
      <c r="AI135">
        <f t="shared" si="32"/>
        <v>0</v>
      </c>
      <c r="AJ135">
        <f t="shared" si="32"/>
        <v>0</v>
      </c>
      <c r="AK135">
        <f t="shared" si="32"/>
        <v>0</v>
      </c>
      <c r="AL135">
        <f t="shared" si="32"/>
        <v>0</v>
      </c>
      <c r="AM135">
        <f t="shared" si="32"/>
        <v>0</v>
      </c>
      <c r="AN135">
        <f t="shared" si="31"/>
        <v>0</v>
      </c>
      <c r="AO135">
        <f t="shared" si="31"/>
        <v>0</v>
      </c>
      <c r="AP135">
        <f t="shared" si="31"/>
        <v>0</v>
      </c>
      <c r="AQ135">
        <f t="shared" si="31"/>
        <v>0</v>
      </c>
      <c r="AR135">
        <f t="shared" si="31"/>
        <v>0</v>
      </c>
    </row>
    <row r="136" spans="5:44" x14ac:dyDescent="0.2">
      <c r="E136" s="1">
        <f>moment_rate!$AC136</f>
        <v>7.4493433161470389E-3</v>
      </c>
      <c r="F136" s="1">
        <f t="shared" ref="F136:F199" si="34">E136-E137</f>
        <v>0</v>
      </c>
      <c r="G136">
        <f>moment_rate!I136-0.005</f>
        <v>1.2900000000000009</v>
      </c>
      <c r="H136" s="1">
        <f t="shared" ref="H136:H199" si="35">IF($G136&gt;=4.999,(E136-E137),0)</f>
        <v>0</v>
      </c>
      <c r="I136">
        <f t="shared" si="33"/>
        <v>0</v>
      </c>
      <c r="J136">
        <f t="shared" si="33"/>
        <v>0</v>
      </c>
      <c r="K136">
        <f t="shared" si="33"/>
        <v>0</v>
      </c>
      <c r="L136">
        <f t="shared" si="33"/>
        <v>0</v>
      </c>
      <c r="M136">
        <f t="shared" si="33"/>
        <v>0</v>
      </c>
      <c r="N136">
        <f t="shared" si="33"/>
        <v>0</v>
      </c>
      <c r="O136">
        <f t="shared" si="33"/>
        <v>0</v>
      </c>
      <c r="P136">
        <f t="shared" si="33"/>
        <v>0</v>
      </c>
      <c r="Q136">
        <f t="shared" si="33"/>
        <v>0</v>
      </c>
      <c r="R136">
        <f t="shared" si="33"/>
        <v>0</v>
      </c>
      <c r="S136">
        <f t="shared" si="33"/>
        <v>0</v>
      </c>
      <c r="T136">
        <f t="shared" si="33"/>
        <v>0</v>
      </c>
      <c r="U136">
        <f t="shared" si="33"/>
        <v>0</v>
      </c>
      <c r="V136">
        <f t="shared" si="33"/>
        <v>0</v>
      </c>
      <c r="W136">
        <f t="shared" si="33"/>
        <v>0</v>
      </c>
      <c r="X136">
        <f t="shared" si="33"/>
        <v>0</v>
      </c>
      <c r="Y136">
        <f t="shared" si="32"/>
        <v>0</v>
      </c>
      <c r="Z136">
        <f t="shared" si="32"/>
        <v>0</v>
      </c>
      <c r="AA136">
        <f t="shared" si="32"/>
        <v>0</v>
      </c>
      <c r="AB136">
        <f t="shared" si="32"/>
        <v>0</v>
      </c>
      <c r="AC136">
        <f t="shared" si="32"/>
        <v>0</v>
      </c>
      <c r="AD136">
        <f t="shared" si="32"/>
        <v>0</v>
      </c>
      <c r="AE136">
        <f t="shared" si="32"/>
        <v>0</v>
      </c>
      <c r="AF136">
        <f t="shared" si="32"/>
        <v>0</v>
      </c>
      <c r="AG136">
        <f t="shared" si="32"/>
        <v>0</v>
      </c>
      <c r="AH136">
        <f t="shared" si="32"/>
        <v>0</v>
      </c>
      <c r="AI136">
        <f t="shared" si="32"/>
        <v>0</v>
      </c>
      <c r="AJ136">
        <f t="shared" si="32"/>
        <v>0</v>
      </c>
      <c r="AK136">
        <f t="shared" si="32"/>
        <v>0</v>
      </c>
      <c r="AL136">
        <f t="shared" si="32"/>
        <v>0</v>
      </c>
      <c r="AM136">
        <f t="shared" si="32"/>
        <v>0</v>
      </c>
      <c r="AN136">
        <f t="shared" si="31"/>
        <v>0</v>
      </c>
      <c r="AO136">
        <f t="shared" si="31"/>
        <v>0</v>
      </c>
      <c r="AP136">
        <f t="shared" si="31"/>
        <v>0</v>
      </c>
      <c r="AQ136">
        <f t="shared" si="31"/>
        <v>0</v>
      </c>
      <c r="AR136">
        <f t="shared" si="31"/>
        <v>0</v>
      </c>
    </row>
    <row r="137" spans="5:44" x14ac:dyDescent="0.2">
      <c r="E137" s="1">
        <f>moment_rate!$AC137</f>
        <v>7.4493433161470389E-3</v>
      </c>
      <c r="F137" s="1">
        <f t="shared" si="34"/>
        <v>0</v>
      </c>
      <c r="G137">
        <f>moment_rate!I137-0.005</f>
        <v>1.3000000000000009</v>
      </c>
      <c r="H137" s="1">
        <f t="shared" si="35"/>
        <v>0</v>
      </c>
      <c r="I137">
        <f t="shared" si="33"/>
        <v>0</v>
      </c>
      <c r="J137">
        <f t="shared" si="33"/>
        <v>0</v>
      </c>
      <c r="K137">
        <f t="shared" si="33"/>
        <v>0</v>
      </c>
      <c r="L137">
        <f t="shared" si="33"/>
        <v>0</v>
      </c>
      <c r="M137">
        <f t="shared" si="33"/>
        <v>0</v>
      </c>
      <c r="N137">
        <f t="shared" si="33"/>
        <v>0</v>
      </c>
      <c r="O137">
        <f t="shared" si="33"/>
        <v>0</v>
      </c>
      <c r="P137">
        <f t="shared" si="33"/>
        <v>0</v>
      </c>
      <c r="Q137">
        <f t="shared" si="33"/>
        <v>0</v>
      </c>
      <c r="R137">
        <f t="shared" si="33"/>
        <v>0</v>
      </c>
      <c r="S137">
        <f t="shared" si="33"/>
        <v>0</v>
      </c>
      <c r="T137">
        <f t="shared" si="33"/>
        <v>0</v>
      </c>
      <c r="U137">
        <f t="shared" si="33"/>
        <v>0</v>
      </c>
      <c r="V137">
        <f t="shared" si="33"/>
        <v>0</v>
      </c>
      <c r="W137">
        <f t="shared" si="33"/>
        <v>0</v>
      </c>
      <c r="X137">
        <f t="shared" si="33"/>
        <v>0</v>
      </c>
      <c r="Y137">
        <f t="shared" si="32"/>
        <v>0</v>
      </c>
      <c r="Z137">
        <f t="shared" si="32"/>
        <v>0</v>
      </c>
      <c r="AA137">
        <f t="shared" si="32"/>
        <v>0</v>
      </c>
      <c r="AB137">
        <f t="shared" si="32"/>
        <v>0</v>
      </c>
      <c r="AC137">
        <f t="shared" si="32"/>
        <v>0</v>
      </c>
      <c r="AD137">
        <f t="shared" si="32"/>
        <v>0</v>
      </c>
      <c r="AE137">
        <f t="shared" si="32"/>
        <v>0</v>
      </c>
      <c r="AF137">
        <f t="shared" si="32"/>
        <v>0</v>
      </c>
      <c r="AG137">
        <f t="shared" si="32"/>
        <v>0</v>
      </c>
      <c r="AH137">
        <f t="shared" si="32"/>
        <v>0</v>
      </c>
      <c r="AI137">
        <f t="shared" si="32"/>
        <v>0</v>
      </c>
      <c r="AJ137">
        <f t="shared" si="32"/>
        <v>0</v>
      </c>
      <c r="AK137">
        <f t="shared" si="32"/>
        <v>0</v>
      </c>
      <c r="AL137">
        <f t="shared" si="32"/>
        <v>0</v>
      </c>
      <c r="AM137">
        <f t="shared" si="32"/>
        <v>0</v>
      </c>
      <c r="AN137">
        <f t="shared" si="31"/>
        <v>0</v>
      </c>
      <c r="AO137">
        <f t="shared" si="31"/>
        <v>0</v>
      </c>
      <c r="AP137">
        <f t="shared" si="31"/>
        <v>0</v>
      </c>
      <c r="AQ137">
        <f t="shared" si="31"/>
        <v>0</v>
      </c>
      <c r="AR137">
        <f t="shared" si="31"/>
        <v>0</v>
      </c>
    </row>
    <row r="138" spans="5:44" x14ac:dyDescent="0.2">
      <c r="E138" s="1">
        <f>moment_rate!$AC138</f>
        <v>7.4493433161470389E-3</v>
      </c>
      <c r="F138" s="1">
        <f t="shared" si="34"/>
        <v>0</v>
      </c>
      <c r="G138">
        <f>moment_rate!I138-0.005</f>
        <v>1.3100000000000009</v>
      </c>
      <c r="H138" s="1">
        <f t="shared" si="35"/>
        <v>0</v>
      </c>
      <c r="I138">
        <f t="shared" si="33"/>
        <v>0</v>
      </c>
      <c r="J138">
        <f t="shared" si="33"/>
        <v>0</v>
      </c>
      <c r="K138">
        <f t="shared" si="33"/>
        <v>0</v>
      </c>
      <c r="L138">
        <f t="shared" si="33"/>
        <v>0</v>
      </c>
      <c r="M138">
        <f t="shared" si="33"/>
        <v>0</v>
      </c>
      <c r="N138">
        <f t="shared" si="33"/>
        <v>0</v>
      </c>
      <c r="O138">
        <f t="shared" si="33"/>
        <v>0</v>
      </c>
      <c r="P138">
        <f t="shared" si="33"/>
        <v>0</v>
      </c>
      <c r="Q138">
        <f t="shared" si="33"/>
        <v>0</v>
      </c>
      <c r="R138">
        <f t="shared" si="33"/>
        <v>0</v>
      </c>
      <c r="S138">
        <f t="shared" si="33"/>
        <v>0</v>
      </c>
      <c r="T138">
        <f t="shared" si="33"/>
        <v>0</v>
      </c>
      <c r="U138">
        <f t="shared" si="33"/>
        <v>0</v>
      </c>
      <c r="V138">
        <f t="shared" si="33"/>
        <v>0</v>
      </c>
      <c r="W138">
        <f t="shared" si="33"/>
        <v>0</v>
      </c>
      <c r="X138">
        <f t="shared" si="33"/>
        <v>0</v>
      </c>
      <c r="Y138">
        <f t="shared" si="32"/>
        <v>0</v>
      </c>
      <c r="Z138">
        <f t="shared" si="32"/>
        <v>0</v>
      </c>
      <c r="AA138">
        <f t="shared" si="32"/>
        <v>0</v>
      </c>
      <c r="AB138">
        <f t="shared" si="32"/>
        <v>0</v>
      </c>
      <c r="AC138">
        <f t="shared" si="32"/>
        <v>0</v>
      </c>
      <c r="AD138">
        <f t="shared" si="32"/>
        <v>0</v>
      </c>
      <c r="AE138">
        <f t="shared" si="32"/>
        <v>0</v>
      </c>
      <c r="AF138">
        <f t="shared" si="32"/>
        <v>0</v>
      </c>
      <c r="AG138">
        <f t="shared" si="32"/>
        <v>0</v>
      </c>
      <c r="AH138">
        <f t="shared" si="32"/>
        <v>0</v>
      </c>
      <c r="AI138">
        <f t="shared" si="32"/>
        <v>0</v>
      </c>
      <c r="AJ138">
        <f t="shared" si="32"/>
        <v>0</v>
      </c>
      <c r="AK138">
        <f t="shared" si="32"/>
        <v>0</v>
      </c>
      <c r="AL138">
        <f t="shared" si="32"/>
        <v>0</v>
      </c>
      <c r="AM138">
        <f t="shared" si="32"/>
        <v>0</v>
      </c>
      <c r="AN138">
        <f t="shared" si="31"/>
        <v>0</v>
      </c>
      <c r="AO138">
        <f t="shared" si="31"/>
        <v>0</v>
      </c>
      <c r="AP138">
        <f t="shared" si="31"/>
        <v>0</v>
      </c>
      <c r="AQ138">
        <f t="shared" si="31"/>
        <v>0</v>
      </c>
      <c r="AR138">
        <f t="shared" si="31"/>
        <v>0</v>
      </c>
    </row>
    <row r="139" spans="5:44" x14ac:dyDescent="0.2">
      <c r="E139" s="1">
        <f>moment_rate!$AC139</f>
        <v>7.4493433161470389E-3</v>
      </c>
      <c r="F139" s="1">
        <f t="shared" si="34"/>
        <v>0</v>
      </c>
      <c r="G139">
        <f>moment_rate!I139-0.005</f>
        <v>1.320000000000001</v>
      </c>
      <c r="H139" s="1">
        <f t="shared" si="35"/>
        <v>0</v>
      </c>
      <c r="I139">
        <f t="shared" si="33"/>
        <v>0</v>
      </c>
      <c r="J139">
        <f t="shared" si="33"/>
        <v>0</v>
      </c>
      <c r="K139">
        <f t="shared" si="33"/>
        <v>0</v>
      </c>
      <c r="L139">
        <f t="shared" si="33"/>
        <v>0</v>
      </c>
      <c r="M139">
        <f t="shared" si="33"/>
        <v>0</v>
      </c>
      <c r="N139">
        <f t="shared" si="33"/>
        <v>0</v>
      </c>
      <c r="O139">
        <f t="shared" si="33"/>
        <v>0</v>
      </c>
      <c r="P139">
        <f t="shared" si="33"/>
        <v>0</v>
      </c>
      <c r="Q139">
        <f t="shared" si="33"/>
        <v>0</v>
      </c>
      <c r="R139">
        <f t="shared" si="33"/>
        <v>0</v>
      </c>
      <c r="S139">
        <f t="shared" si="33"/>
        <v>0</v>
      </c>
      <c r="T139">
        <f t="shared" si="33"/>
        <v>0</v>
      </c>
      <c r="U139">
        <f t="shared" si="33"/>
        <v>0</v>
      </c>
      <c r="V139">
        <f t="shared" si="33"/>
        <v>0</v>
      </c>
      <c r="W139">
        <f t="shared" si="33"/>
        <v>0</v>
      </c>
      <c r="X139">
        <f t="shared" si="33"/>
        <v>0</v>
      </c>
      <c r="Y139">
        <f t="shared" si="32"/>
        <v>0</v>
      </c>
      <c r="Z139">
        <f t="shared" si="32"/>
        <v>0</v>
      </c>
      <c r="AA139">
        <f t="shared" si="32"/>
        <v>0</v>
      </c>
      <c r="AB139">
        <f t="shared" si="32"/>
        <v>0</v>
      </c>
      <c r="AC139">
        <f t="shared" si="32"/>
        <v>0</v>
      </c>
      <c r="AD139">
        <f t="shared" si="32"/>
        <v>0</v>
      </c>
      <c r="AE139">
        <f t="shared" si="32"/>
        <v>0</v>
      </c>
      <c r="AF139">
        <f t="shared" si="32"/>
        <v>0</v>
      </c>
      <c r="AG139">
        <f t="shared" si="32"/>
        <v>0</v>
      </c>
      <c r="AH139">
        <f t="shared" si="32"/>
        <v>0</v>
      </c>
      <c r="AI139">
        <f t="shared" si="32"/>
        <v>0</v>
      </c>
      <c r="AJ139">
        <f t="shared" si="32"/>
        <v>0</v>
      </c>
      <c r="AK139">
        <f t="shared" si="32"/>
        <v>0</v>
      </c>
      <c r="AL139">
        <f t="shared" si="32"/>
        <v>0</v>
      </c>
      <c r="AM139">
        <f t="shared" si="32"/>
        <v>0</v>
      </c>
      <c r="AN139">
        <f t="shared" si="31"/>
        <v>0</v>
      </c>
      <c r="AO139">
        <f t="shared" si="31"/>
        <v>0</v>
      </c>
      <c r="AP139">
        <f t="shared" si="31"/>
        <v>0</v>
      </c>
      <c r="AQ139">
        <f t="shared" si="31"/>
        <v>0</v>
      </c>
      <c r="AR139">
        <f t="shared" si="31"/>
        <v>0</v>
      </c>
    </row>
    <row r="140" spans="5:44" x14ac:dyDescent="0.2">
      <c r="E140" s="1">
        <f>moment_rate!$AC140</f>
        <v>7.4493433161470389E-3</v>
      </c>
      <c r="F140" s="1">
        <f t="shared" si="34"/>
        <v>0</v>
      </c>
      <c r="G140">
        <f>moment_rate!I140-0.005</f>
        <v>1.330000000000001</v>
      </c>
      <c r="H140" s="1">
        <f t="shared" si="35"/>
        <v>0</v>
      </c>
      <c r="I140">
        <f t="shared" si="33"/>
        <v>0</v>
      </c>
      <c r="J140">
        <f t="shared" si="33"/>
        <v>0</v>
      </c>
      <c r="K140">
        <f t="shared" si="33"/>
        <v>0</v>
      </c>
      <c r="L140">
        <f t="shared" si="33"/>
        <v>0</v>
      </c>
      <c r="M140">
        <f t="shared" si="33"/>
        <v>0</v>
      </c>
      <c r="N140">
        <f t="shared" si="33"/>
        <v>0</v>
      </c>
      <c r="O140">
        <f t="shared" si="33"/>
        <v>0</v>
      </c>
      <c r="P140">
        <f t="shared" si="33"/>
        <v>0</v>
      </c>
      <c r="Q140">
        <f t="shared" si="33"/>
        <v>0</v>
      </c>
      <c r="R140">
        <f t="shared" si="33"/>
        <v>0</v>
      </c>
      <c r="S140">
        <f t="shared" si="33"/>
        <v>0</v>
      </c>
      <c r="T140">
        <f t="shared" si="33"/>
        <v>0</v>
      </c>
      <c r="U140">
        <f t="shared" si="33"/>
        <v>0</v>
      </c>
      <c r="V140">
        <f t="shared" si="33"/>
        <v>0</v>
      </c>
      <c r="W140">
        <f t="shared" si="33"/>
        <v>0</v>
      </c>
      <c r="X140">
        <f t="shared" si="33"/>
        <v>0</v>
      </c>
      <c r="Y140">
        <f t="shared" si="32"/>
        <v>0</v>
      </c>
      <c r="Z140">
        <f t="shared" si="32"/>
        <v>0</v>
      </c>
      <c r="AA140">
        <f t="shared" si="32"/>
        <v>0</v>
      </c>
      <c r="AB140">
        <f t="shared" si="32"/>
        <v>0</v>
      </c>
      <c r="AC140">
        <f t="shared" si="32"/>
        <v>0</v>
      </c>
      <c r="AD140">
        <f t="shared" si="32"/>
        <v>0</v>
      </c>
      <c r="AE140">
        <f t="shared" si="32"/>
        <v>0</v>
      </c>
      <c r="AF140">
        <f t="shared" si="32"/>
        <v>0</v>
      </c>
      <c r="AG140">
        <f t="shared" si="32"/>
        <v>0</v>
      </c>
      <c r="AH140">
        <f t="shared" si="32"/>
        <v>0</v>
      </c>
      <c r="AI140">
        <f t="shared" si="32"/>
        <v>0</v>
      </c>
      <c r="AJ140">
        <f t="shared" si="32"/>
        <v>0</v>
      </c>
      <c r="AK140">
        <f t="shared" si="32"/>
        <v>0</v>
      </c>
      <c r="AL140">
        <f t="shared" si="32"/>
        <v>0</v>
      </c>
      <c r="AM140">
        <f t="shared" si="32"/>
        <v>0</v>
      </c>
      <c r="AN140">
        <f t="shared" si="31"/>
        <v>0</v>
      </c>
      <c r="AO140">
        <f t="shared" si="31"/>
        <v>0</v>
      </c>
      <c r="AP140">
        <f t="shared" si="31"/>
        <v>0</v>
      </c>
      <c r="AQ140">
        <f t="shared" si="31"/>
        <v>0</v>
      </c>
      <c r="AR140">
        <f t="shared" si="31"/>
        <v>0</v>
      </c>
    </row>
    <row r="141" spans="5:44" x14ac:dyDescent="0.2">
      <c r="E141" s="1">
        <f>moment_rate!$AC141</f>
        <v>7.4493433161470389E-3</v>
      </c>
      <c r="F141" s="1">
        <f t="shared" si="34"/>
        <v>0</v>
      </c>
      <c r="G141">
        <f>moment_rate!I141-0.005</f>
        <v>1.340000000000001</v>
      </c>
      <c r="H141" s="1">
        <f t="shared" si="35"/>
        <v>0</v>
      </c>
      <c r="I141">
        <f t="shared" si="33"/>
        <v>0</v>
      </c>
      <c r="J141">
        <f t="shared" si="33"/>
        <v>0</v>
      </c>
      <c r="K141">
        <f t="shared" si="33"/>
        <v>0</v>
      </c>
      <c r="L141">
        <f t="shared" si="33"/>
        <v>0</v>
      </c>
      <c r="M141">
        <f t="shared" si="33"/>
        <v>0</v>
      </c>
      <c r="N141">
        <f t="shared" si="33"/>
        <v>0</v>
      </c>
      <c r="O141">
        <f t="shared" si="33"/>
        <v>0</v>
      </c>
      <c r="P141">
        <f t="shared" si="33"/>
        <v>0</v>
      </c>
      <c r="Q141">
        <f t="shared" si="33"/>
        <v>0</v>
      </c>
      <c r="R141">
        <f t="shared" si="33"/>
        <v>0</v>
      </c>
      <c r="S141">
        <f t="shared" si="33"/>
        <v>0</v>
      </c>
      <c r="T141">
        <f t="shared" si="33"/>
        <v>0</v>
      </c>
      <c r="U141">
        <f t="shared" si="33"/>
        <v>0</v>
      </c>
      <c r="V141">
        <f t="shared" si="33"/>
        <v>0</v>
      </c>
      <c r="W141">
        <f t="shared" si="33"/>
        <v>0</v>
      </c>
      <c r="X141">
        <f t="shared" si="33"/>
        <v>0</v>
      </c>
      <c r="Y141">
        <f t="shared" si="32"/>
        <v>0</v>
      </c>
      <c r="Z141">
        <f t="shared" si="32"/>
        <v>0</v>
      </c>
      <c r="AA141">
        <f t="shared" si="32"/>
        <v>0</v>
      </c>
      <c r="AB141">
        <f t="shared" si="32"/>
        <v>0</v>
      </c>
      <c r="AC141">
        <f t="shared" si="32"/>
        <v>0</v>
      </c>
      <c r="AD141">
        <f t="shared" si="32"/>
        <v>0</v>
      </c>
      <c r="AE141">
        <f t="shared" si="32"/>
        <v>0</v>
      </c>
      <c r="AF141">
        <f t="shared" si="32"/>
        <v>0</v>
      </c>
      <c r="AG141">
        <f t="shared" si="32"/>
        <v>0</v>
      </c>
      <c r="AH141">
        <f t="shared" si="32"/>
        <v>0</v>
      </c>
      <c r="AI141">
        <f t="shared" si="32"/>
        <v>0</v>
      </c>
      <c r="AJ141">
        <f t="shared" si="32"/>
        <v>0</v>
      </c>
      <c r="AK141">
        <f t="shared" si="32"/>
        <v>0</v>
      </c>
      <c r="AL141">
        <f t="shared" si="32"/>
        <v>0</v>
      </c>
      <c r="AM141">
        <f t="shared" si="32"/>
        <v>0</v>
      </c>
      <c r="AN141">
        <f t="shared" si="31"/>
        <v>0</v>
      </c>
      <c r="AO141">
        <f t="shared" si="31"/>
        <v>0</v>
      </c>
      <c r="AP141">
        <f t="shared" si="31"/>
        <v>0</v>
      </c>
      <c r="AQ141">
        <f t="shared" si="31"/>
        <v>0</v>
      </c>
      <c r="AR141">
        <f t="shared" si="31"/>
        <v>0</v>
      </c>
    </row>
    <row r="142" spans="5:44" x14ac:dyDescent="0.2">
      <c r="E142" s="1">
        <f>moment_rate!$AC142</f>
        <v>7.4493433161470389E-3</v>
      </c>
      <c r="F142" s="1">
        <f t="shared" si="34"/>
        <v>0</v>
      </c>
      <c r="G142">
        <f>moment_rate!I142-0.005</f>
        <v>1.350000000000001</v>
      </c>
      <c r="H142" s="1">
        <f t="shared" si="35"/>
        <v>0</v>
      </c>
      <c r="I142">
        <f t="shared" si="33"/>
        <v>0</v>
      </c>
      <c r="J142">
        <f t="shared" si="33"/>
        <v>0</v>
      </c>
      <c r="K142">
        <f t="shared" si="33"/>
        <v>0</v>
      </c>
      <c r="L142">
        <f t="shared" si="33"/>
        <v>0</v>
      </c>
      <c r="M142">
        <f t="shared" si="33"/>
        <v>0</v>
      </c>
      <c r="N142">
        <f t="shared" si="33"/>
        <v>0</v>
      </c>
      <c r="O142">
        <f t="shared" si="33"/>
        <v>0</v>
      </c>
      <c r="P142">
        <f t="shared" si="33"/>
        <v>0</v>
      </c>
      <c r="Q142">
        <f t="shared" si="33"/>
        <v>0</v>
      </c>
      <c r="R142">
        <f t="shared" si="33"/>
        <v>0</v>
      </c>
      <c r="S142">
        <f t="shared" si="33"/>
        <v>0</v>
      </c>
      <c r="T142">
        <f t="shared" si="33"/>
        <v>0</v>
      </c>
      <c r="U142">
        <f t="shared" si="33"/>
        <v>0</v>
      </c>
      <c r="V142">
        <f t="shared" si="33"/>
        <v>0</v>
      </c>
      <c r="W142">
        <f t="shared" si="33"/>
        <v>0</v>
      </c>
      <c r="X142">
        <f t="shared" ref="X142:AM159" si="36">IF(AND($G142&gt;=X$3,$G142&lt;X$4),$F142,0)</f>
        <v>0</v>
      </c>
      <c r="Y142">
        <f t="shared" si="36"/>
        <v>0</v>
      </c>
      <c r="Z142">
        <f t="shared" si="36"/>
        <v>0</v>
      </c>
      <c r="AA142">
        <f t="shared" si="36"/>
        <v>0</v>
      </c>
      <c r="AB142">
        <f t="shared" si="36"/>
        <v>0</v>
      </c>
      <c r="AC142">
        <f t="shared" si="36"/>
        <v>0</v>
      </c>
      <c r="AD142">
        <f t="shared" si="36"/>
        <v>0</v>
      </c>
      <c r="AE142">
        <f t="shared" si="36"/>
        <v>0</v>
      </c>
      <c r="AF142">
        <f t="shared" si="36"/>
        <v>0</v>
      </c>
      <c r="AG142">
        <f t="shared" si="36"/>
        <v>0</v>
      </c>
      <c r="AH142">
        <f t="shared" si="36"/>
        <v>0</v>
      </c>
      <c r="AI142">
        <f t="shared" si="36"/>
        <v>0</v>
      </c>
      <c r="AJ142">
        <f t="shared" si="36"/>
        <v>0</v>
      </c>
      <c r="AK142">
        <f t="shared" si="36"/>
        <v>0</v>
      </c>
      <c r="AL142">
        <f t="shared" si="36"/>
        <v>0</v>
      </c>
      <c r="AM142">
        <f t="shared" si="36"/>
        <v>0</v>
      </c>
      <c r="AN142">
        <f t="shared" si="31"/>
        <v>0</v>
      </c>
      <c r="AO142">
        <f t="shared" si="31"/>
        <v>0</v>
      </c>
      <c r="AP142">
        <f t="shared" si="31"/>
        <v>0</v>
      </c>
      <c r="AQ142">
        <f t="shared" si="31"/>
        <v>0</v>
      </c>
      <c r="AR142">
        <f t="shared" si="31"/>
        <v>0</v>
      </c>
    </row>
    <row r="143" spans="5:44" x14ac:dyDescent="0.2">
      <c r="E143" s="1">
        <f>moment_rate!$AC143</f>
        <v>7.4493433161470389E-3</v>
      </c>
      <c r="F143" s="1">
        <f t="shared" si="34"/>
        <v>0</v>
      </c>
      <c r="G143">
        <f>moment_rate!I143-0.005</f>
        <v>1.360000000000001</v>
      </c>
      <c r="H143" s="1">
        <f t="shared" si="35"/>
        <v>0</v>
      </c>
      <c r="I143">
        <f t="shared" ref="I143:X158" si="37">IF(AND($G143&gt;=I$3,$G143&lt;I$4),$F143,0)</f>
        <v>0</v>
      </c>
      <c r="J143">
        <f t="shared" si="37"/>
        <v>0</v>
      </c>
      <c r="K143">
        <f t="shared" si="37"/>
        <v>0</v>
      </c>
      <c r="L143">
        <f t="shared" si="37"/>
        <v>0</v>
      </c>
      <c r="M143">
        <f t="shared" si="37"/>
        <v>0</v>
      </c>
      <c r="N143">
        <f t="shared" si="37"/>
        <v>0</v>
      </c>
      <c r="O143">
        <f t="shared" si="37"/>
        <v>0</v>
      </c>
      <c r="P143">
        <f t="shared" si="37"/>
        <v>0</v>
      </c>
      <c r="Q143">
        <f t="shared" si="37"/>
        <v>0</v>
      </c>
      <c r="R143">
        <f t="shared" si="37"/>
        <v>0</v>
      </c>
      <c r="S143">
        <f t="shared" si="37"/>
        <v>0</v>
      </c>
      <c r="T143">
        <f t="shared" si="37"/>
        <v>0</v>
      </c>
      <c r="U143">
        <f t="shared" si="37"/>
        <v>0</v>
      </c>
      <c r="V143">
        <f t="shared" si="37"/>
        <v>0</v>
      </c>
      <c r="W143">
        <f t="shared" si="37"/>
        <v>0</v>
      </c>
      <c r="X143">
        <f t="shared" si="37"/>
        <v>0</v>
      </c>
      <c r="Y143">
        <f t="shared" si="36"/>
        <v>0</v>
      </c>
      <c r="Z143">
        <f t="shared" si="36"/>
        <v>0</v>
      </c>
      <c r="AA143">
        <f t="shared" si="36"/>
        <v>0</v>
      </c>
      <c r="AB143">
        <f t="shared" si="36"/>
        <v>0</v>
      </c>
      <c r="AC143">
        <f t="shared" si="36"/>
        <v>0</v>
      </c>
      <c r="AD143">
        <f t="shared" si="36"/>
        <v>0</v>
      </c>
      <c r="AE143">
        <f t="shared" si="36"/>
        <v>0</v>
      </c>
      <c r="AF143">
        <f t="shared" si="36"/>
        <v>0</v>
      </c>
      <c r="AG143">
        <f t="shared" si="36"/>
        <v>0</v>
      </c>
      <c r="AH143">
        <f t="shared" si="36"/>
        <v>0</v>
      </c>
      <c r="AI143">
        <f t="shared" si="36"/>
        <v>0</v>
      </c>
      <c r="AJ143">
        <f t="shared" si="36"/>
        <v>0</v>
      </c>
      <c r="AK143">
        <f t="shared" si="36"/>
        <v>0</v>
      </c>
      <c r="AL143">
        <f t="shared" si="36"/>
        <v>0</v>
      </c>
      <c r="AM143">
        <f t="shared" si="36"/>
        <v>0</v>
      </c>
      <c r="AN143">
        <f t="shared" si="31"/>
        <v>0</v>
      </c>
      <c r="AO143">
        <f t="shared" si="31"/>
        <v>0</v>
      </c>
      <c r="AP143">
        <f t="shared" si="31"/>
        <v>0</v>
      </c>
      <c r="AQ143">
        <f t="shared" si="31"/>
        <v>0</v>
      </c>
      <c r="AR143">
        <f t="shared" si="31"/>
        <v>0</v>
      </c>
    </row>
    <row r="144" spans="5:44" x14ac:dyDescent="0.2">
      <c r="E144" s="1">
        <f>moment_rate!$AC144</f>
        <v>7.4493433161470389E-3</v>
      </c>
      <c r="F144" s="1">
        <f t="shared" si="34"/>
        <v>0</v>
      </c>
      <c r="G144">
        <f>moment_rate!I144-0.005</f>
        <v>1.370000000000001</v>
      </c>
      <c r="H144" s="1">
        <f t="shared" si="35"/>
        <v>0</v>
      </c>
      <c r="I144">
        <f t="shared" si="37"/>
        <v>0</v>
      </c>
      <c r="J144">
        <f t="shared" si="37"/>
        <v>0</v>
      </c>
      <c r="K144">
        <f t="shared" si="37"/>
        <v>0</v>
      </c>
      <c r="L144">
        <f t="shared" si="37"/>
        <v>0</v>
      </c>
      <c r="M144">
        <f t="shared" si="37"/>
        <v>0</v>
      </c>
      <c r="N144">
        <f t="shared" si="37"/>
        <v>0</v>
      </c>
      <c r="O144">
        <f t="shared" si="37"/>
        <v>0</v>
      </c>
      <c r="P144">
        <f t="shared" si="37"/>
        <v>0</v>
      </c>
      <c r="Q144">
        <f t="shared" si="37"/>
        <v>0</v>
      </c>
      <c r="R144">
        <f t="shared" si="37"/>
        <v>0</v>
      </c>
      <c r="S144">
        <f t="shared" si="37"/>
        <v>0</v>
      </c>
      <c r="T144">
        <f t="shared" si="37"/>
        <v>0</v>
      </c>
      <c r="U144">
        <f t="shared" si="37"/>
        <v>0</v>
      </c>
      <c r="V144">
        <f t="shared" si="37"/>
        <v>0</v>
      </c>
      <c r="W144">
        <f t="shared" si="37"/>
        <v>0</v>
      </c>
      <c r="X144">
        <f t="shared" si="37"/>
        <v>0</v>
      </c>
      <c r="Y144">
        <f t="shared" si="36"/>
        <v>0</v>
      </c>
      <c r="Z144">
        <f t="shared" si="36"/>
        <v>0</v>
      </c>
      <c r="AA144">
        <f t="shared" si="36"/>
        <v>0</v>
      </c>
      <c r="AB144">
        <f t="shared" si="36"/>
        <v>0</v>
      </c>
      <c r="AC144">
        <f t="shared" si="36"/>
        <v>0</v>
      </c>
      <c r="AD144">
        <f t="shared" si="36"/>
        <v>0</v>
      </c>
      <c r="AE144">
        <f t="shared" si="36"/>
        <v>0</v>
      </c>
      <c r="AF144">
        <f t="shared" si="36"/>
        <v>0</v>
      </c>
      <c r="AG144">
        <f t="shared" si="36"/>
        <v>0</v>
      </c>
      <c r="AH144">
        <f t="shared" si="36"/>
        <v>0</v>
      </c>
      <c r="AI144">
        <f t="shared" si="36"/>
        <v>0</v>
      </c>
      <c r="AJ144">
        <f t="shared" si="36"/>
        <v>0</v>
      </c>
      <c r="AK144">
        <f t="shared" si="36"/>
        <v>0</v>
      </c>
      <c r="AL144">
        <f t="shared" si="36"/>
        <v>0</v>
      </c>
      <c r="AM144">
        <f t="shared" si="36"/>
        <v>0</v>
      </c>
      <c r="AN144">
        <f t="shared" si="31"/>
        <v>0</v>
      </c>
      <c r="AO144">
        <f t="shared" si="31"/>
        <v>0</v>
      </c>
      <c r="AP144">
        <f t="shared" si="31"/>
        <v>0</v>
      </c>
      <c r="AQ144">
        <f t="shared" si="31"/>
        <v>0</v>
      </c>
      <c r="AR144">
        <f t="shared" si="31"/>
        <v>0</v>
      </c>
    </row>
    <row r="145" spans="5:44" x14ac:dyDescent="0.2">
      <c r="E145" s="1">
        <f>moment_rate!$AC145</f>
        <v>7.4493433161470389E-3</v>
      </c>
      <c r="F145" s="1">
        <f t="shared" si="34"/>
        <v>0</v>
      </c>
      <c r="G145">
        <f>moment_rate!I145-0.005</f>
        <v>1.380000000000001</v>
      </c>
      <c r="H145" s="1">
        <f t="shared" si="35"/>
        <v>0</v>
      </c>
      <c r="I145">
        <f t="shared" si="37"/>
        <v>0</v>
      </c>
      <c r="J145">
        <f t="shared" si="37"/>
        <v>0</v>
      </c>
      <c r="K145">
        <f t="shared" si="37"/>
        <v>0</v>
      </c>
      <c r="L145">
        <f t="shared" si="37"/>
        <v>0</v>
      </c>
      <c r="M145">
        <f t="shared" si="37"/>
        <v>0</v>
      </c>
      <c r="N145">
        <f t="shared" si="37"/>
        <v>0</v>
      </c>
      <c r="O145">
        <f t="shared" si="37"/>
        <v>0</v>
      </c>
      <c r="P145">
        <f t="shared" si="37"/>
        <v>0</v>
      </c>
      <c r="Q145">
        <f t="shared" si="37"/>
        <v>0</v>
      </c>
      <c r="R145">
        <f t="shared" si="37"/>
        <v>0</v>
      </c>
      <c r="S145">
        <f t="shared" si="37"/>
        <v>0</v>
      </c>
      <c r="T145">
        <f t="shared" si="37"/>
        <v>0</v>
      </c>
      <c r="U145">
        <f t="shared" si="37"/>
        <v>0</v>
      </c>
      <c r="V145">
        <f t="shared" si="37"/>
        <v>0</v>
      </c>
      <c r="W145">
        <f t="shared" si="37"/>
        <v>0</v>
      </c>
      <c r="X145">
        <f t="shared" si="37"/>
        <v>0</v>
      </c>
      <c r="Y145">
        <f t="shared" si="36"/>
        <v>0</v>
      </c>
      <c r="Z145">
        <f t="shared" si="36"/>
        <v>0</v>
      </c>
      <c r="AA145">
        <f t="shared" si="36"/>
        <v>0</v>
      </c>
      <c r="AB145">
        <f t="shared" si="36"/>
        <v>0</v>
      </c>
      <c r="AC145">
        <f t="shared" si="36"/>
        <v>0</v>
      </c>
      <c r="AD145">
        <f t="shared" si="36"/>
        <v>0</v>
      </c>
      <c r="AE145">
        <f t="shared" si="36"/>
        <v>0</v>
      </c>
      <c r="AF145">
        <f t="shared" si="36"/>
        <v>0</v>
      </c>
      <c r="AG145">
        <f t="shared" si="36"/>
        <v>0</v>
      </c>
      <c r="AH145">
        <f t="shared" si="36"/>
        <v>0</v>
      </c>
      <c r="AI145">
        <f t="shared" si="36"/>
        <v>0</v>
      </c>
      <c r="AJ145">
        <f t="shared" si="36"/>
        <v>0</v>
      </c>
      <c r="AK145">
        <f t="shared" si="36"/>
        <v>0</v>
      </c>
      <c r="AL145">
        <f t="shared" si="36"/>
        <v>0</v>
      </c>
      <c r="AM145">
        <f t="shared" si="36"/>
        <v>0</v>
      </c>
      <c r="AN145">
        <f t="shared" si="31"/>
        <v>0</v>
      </c>
      <c r="AO145">
        <f t="shared" si="31"/>
        <v>0</v>
      </c>
      <c r="AP145">
        <f t="shared" si="31"/>
        <v>0</v>
      </c>
      <c r="AQ145">
        <f t="shared" si="31"/>
        <v>0</v>
      </c>
      <c r="AR145">
        <f t="shared" si="31"/>
        <v>0</v>
      </c>
    </row>
    <row r="146" spans="5:44" x14ac:dyDescent="0.2">
      <c r="E146" s="1">
        <f>moment_rate!$AC146</f>
        <v>7.4493433161470389E-3</v>
      </c>
      <c r="F146" s="1">
        <f t="shared" si="34"/>
        <v>0</v>
      </c>
      <c r="G146">
        <f>moment_rate!I146-0.005</f>
        <v>1.390000000000001</v>
      </c>
      <c r="H146" s="1">
        <f t="shared" si="35"/>
        <v>0</v>
      </c>
      <c r="I146">
        <f t="shared" si="37"/>
        <v>0</v>
      </c>
      <c r="J146">
        <f t="shared" si="37"/>
        <v>0</v>
      </c>
      <c r="K146">
        <f t="shared" si="37"/>
        <v>0</v>
      </c>
      <c r="L146">
        <f t="shared" si="37"/>
        <v>0</v>
      </c>
      <c r="M146">
        <f t="shared" si="37"/>
        <v>0</v>
      </c>
      <c r="N146">
        <f t="shared" si="37"/>
        <v>0</v>
      </c>
      <c r="O146">
        <f t="shared" si="37"/>
        <v>0</v>
      </c>
      <c r="P146">
        <f t="shared" si="37"/>
        <v>0</v>
      </c>
      <c r="Q146">
        <f t="shared" si="37"/>
        <v>0</v>
      </c>
      <c r="R146">
        <f t="shared" si="37"/>
        <v>0</v>
      </c>
      <c r="S146">
        <f t="shared" si="37"/>
        <v>0</v>
      </c>
      <c r="T146">
        <f t="shared" si="37"/>
        <v>0</v>
      </c>
      <c r="U146">
        <f t="shared" si="37"/>
        <v>0</v>
      </c>
      <c r="V146">
        <f t="shared" si="37"/>
        <v>0</v>
      </c>
      <c r="W146">
        <f t="shared" si="37"/>
        <v>0</v>
      </c>
      <c r="X146">
        <f t="shared" si="37"/>
        <v>0</v>
      </c>
      <c r="Y146">
        <f t="shared" si="36"/>
        <v>0</v>
      </c>
      <c r="Z146">
        <f t="shared" si="36"/>
        <v>0</v>
      </c>
      <c r="AA146">
        <f t="shared" si="36"/>
        <v>0</v>
      </c>
      <c r="AB146">
        <f t="shared" si="36"/>
        <v>0</v>
      </c>
      <c r="AC146">
        <f t="shared" si="36"/>
        <v>0</v>
      </c>
      <c r="AD146">
        <f t="shared" si="36"/>
        <v>0</v>
      </c>
      <c r="AE146">
        <f t="shared" si="36"/>
        <v>0</v>
      </c>
      <c r="AF146">
        <f t="shared" si="36"/>
        <v>0</v>
      </c>
      <c r="AG146">
        <f t="shared" si="36"/>
        <v>0</v>
      </c>
      <c r="AH146">
        <f t="shared" si="36"/>
        <v>0</v>
      </c>
      <c r="AI146">
        <f t="shared" si="36"/>
        <v>0</v>
      </c>
      <c r="AJ146">
        <f t="shared" si="36"/>
        <v>0</v>
      </c>
      <c r="AK146">
        <f t="shared" si="36"/>
        <v>0</v>
      </c>
      <c r="AL146">
        <f t="shared" si="36"/>
        <v>0</v>
      </c>
      <c r="AM146">
        <f t="shared" si="36"/>
        <v>0</v>
      </c>
      <c r="AN146">
        <f t="shared" si="31"/>
        <v>0</v>
      </c>
      <c r="AO146">
        <f t="shared" si="31"/>
        <v>0</v>
      </c>
      <c r="AP146">
        <f t="shared" si="31"/>
        <v>0</v>
      </c>
      <c r="AQ146">
        <f t="shared" si="31"/>
        <v>0</v>
      </c>
      <c r="AR146">
        <f t="shared" si="31"/>
        <v>0</v>
      </c>
    </row>
    <row r="147" spans="5:44" x14ac:dyDescent="0.2">
      <c r="E147" s="1">
        <f>moment_rate!$AC147</f>
        <v>7.4493433161470389E-3</v>
      </c>
      <c r="F147" s="1">
        <f t="shared" si="34"/>
        <v>0</v>
      </c>
      <c r="G147">
        <f>moment_rate!I147-0.005</f>
        <v>1.400000000000001</v>
      </c>
      <c r="H147" s="1">
        <f t="shared" si="35"/>
        <v>0</v>
      </c>
      <c r="I147">
        <f t="shared" si="37"/>
        <v>0</v>
      </c>
      <c r="J147">
        <f t="shared" si="37"/>
        <v>0</v>
      </c>
      <c r="K147">
        <f t="shared" si="37"/>
        <v>0</v>
      </c>
      <c r="L147">
        <f t="shared" si="37"/>
        <v>0</v>
      </c>
      <c r="M147">
        <f t="shared" si="37"/>
        <v>0</v>
      </c>
      <c r="N147">
        <f t="shared" si="37"/>
        <v>0</v>
      </c>
      <c r="O147">
        <f t="shared" si="37"/>
        <v>0</v>
      </c>
      <c r="P147">
        <f t="shared" si="37"/>
        <v>0</v>
      </c>
      <c r="Q147">
        <f t="shared" si="37"/>
        <v>0</v>
      </c>
      <c r="R147">
        <f t="shared" si="37"/>
        <v>0</v>
      </c>
      <c r="S147">
        <f t="shared" si="37"/>
        <v>0</v>
      </c>
      <c r="T147">
        <f t="shared" si="37"/>
        <v>0</v>
      </c>
      <c r="U147">
        <f t="shared" si="37"/>
        <v>0</v>
      </c>
      <c r="V147">
        <f t="shared" si="37"/>
        <v>0</v>
      </c>
      <c r="W147">
        <f t="shared" si="37"/>
        <v>0</v>
      </c>
      <c r="X147">
        <f t="shared" si="37"/>
        <v>0</v>
      </c>
      <c r="Y147">
        <f t="shared" si="36"/>
        <v>0</v>
      </c>
      <c r="Z147">
        <f t="shared" si="36"/>
        <v>0</v>
      </c>
      <c r="AA147">
        <f t="shared" si="36"/>
        <v>0</v>
      </c>
      <c r="AB147">
        <f t="shared" si="36"/>
        <v>0</v>
      </c>
      <c r="AC147">
        <f t="shared" si="36"/>
        <v>0</v>
      </c>
      <c r="AD147">
        <f t="shared" si="36"/>
        <v>0</v>
      </c>
      <c r="AE147">
        <f t="shared" si="36"/>
        <v>0</v>
      </c>
      <c r="AF147">
        <f t="shared" si="36"/>
        <v>0</v>
      </c>
      <c r="AG147">
        <f t="shared" si="36"/>
        <v>0</v>
      </c>
      <c r="AH147">
        <f t="shared" si="36"/>
        <v>0</v>
      </c>
      <c r="AI147">
        <f t="shared" si="36"/>
        <v>0</v>
      </c>
      <c r="AJ147">
        <f t="shared" si="36"/>
        <v>0</v>
      </c>
      <c r="AK147">
        <f t="shared" si="36"/>
        <v>0</v>
      </c>
      <c r="AL147">
        <f t="shared" si="36"/>
        <v>0</v>
      </c>
      <c r="AM147">
        <f t="shared" si="36"/>
        <v>0</v>
      </c>
      <c r="AN147">
        <f t="shared" si="31"/>
        <v>0</v>
      </c>
      <c r="AO147">
        <f t="shared" si="31"/>
        <v>0</v>
      </c>
      <c r="AP147">
        <f t="shared" si="31"/>
        <v>0</v>
      </c>
      <c r="AQ147">
        <f t="shared" si="31"/>
        <v>0</v>
      </c>
      <c r="AR147">
        <f t="shared" si="31"/>
        <v>0</v>
      </c>
    </row>
    <row r="148" spans="5:44" x14ac:dyDescent="0.2">
      <c r="E148" s="1">
        <f>moment_rate!$AC148</f>
        <v>7.4493433161470389E-3</v>
      </c>
      <c r="F148" s="1">
        <f t="shared" si="34"/>
        <v>0</v>
      </c>
      <c r="G148">
        <f>moment_rate!I148-0.005</f>
        <v>1.410000000000001</v>
      </c>
      <c r="H148" s="1">
        <f t="shared" si="35"/>
        <v>0</v>
      </c>
      <c r="I148">
        <f t="shared" si="37"/>
        <v>0</v>
      </c>
      <c r="J148">
        <f t="shared" si="37"/>
        <v>0</v>
      </c>
      <c r="K148">
        <f t="shared" si="37"/>
        <v>0</v>
      </c>
      <c r="L148">
        <f t="shared" si="37"/>
        <v>0</v>
      </c>
      <c r="M148">
        <f t="shared" si="37"/>
        <v>0</v>
      </c>
      <c r="N148">
        <f t="shared" si="37"/>
        <v>0</v>
      </c>
      <c r="O148">
        <f t="shared" si="37"/>
        <v>0</v>
      </c>
      <c r="P148">
        <f t="shared" si="37"/>
        <v>0</v>
      </c>
      <c r="Q148">
        <f t="shared" si="37"/>
        <v>0</v>
      </c>
      <c r="R148">
        <f t="shared" si="37"/>
        <v>0</v>
      </c>
      <c r="S148">
        <f t="shared" si="37"/>
        <v>0</v>
      </c>
      <c r="T148">
        <f t="shared" si="37"/>
        <v>0</v>
      </c>
      <c r="U148">
        <f t="shared" si="37"/>
        <v>0</v>
      </c>
      <c r="V148">
        <f t="shared" si="37"/>
        <v>0</v>
      </c>
      <c r="W148">
        <f t="shared" si="37"/>
        <v>0</v>
      </c>
      <c r="X148">
        <f t="shared" si="37"/>
        <v>0</v>
      </c>
      <c r="Y148">
        <f t="shared" si="36"/>
        <v>0</v>
      </c>
      <c r="Z148">
        <f t="shared" si="36"/>
        <v>0</v>
      </c>
      <c r="AA148">
        <f t="shared" si="36"/>
        <v>0</v>
      </c>
      <c r="AB148">
        <f t="shared" si="36"/>
        <v>0</v>
      </c>
      <c r="AC148">
        <f t="shared" si="36"/>
        <v>0</v>
      </c>
      <c r="AD148">
        <f t="shared" si="36"/>
        <v>0</v>
      </c>
      <c r="AE148">
        <f t="shared" si="36"/>
        <v>0</v>
      </c>
      <c r="AF148">
        <f t="shared" si="36"/>
        <v>0</v>
      </c>
      <c r="AG148">
        <f t="shared" si="36"/>
        <v>0</v>
      </c>
      <c r="AH148">
        <f t="shared" si="36"/>
        <v>0</v>
      </c>
      <c r="AI148">
        <f t="shared" si="36"/>
        <v>0</v>
      </c>
      <c r="AJ148">
        <f t="shared" si="36"/>
        <v>0</v>
      </c>
      <c r="AK148">
        <f t="shared" si="36"/>
        <v>0</v>
      </c>
      <c r="AL148">
        <f t="shared" si="36"/>
        <v>0</v>
      </c>
      <c r="AM148">
        <f t="shared" si="36"/>
        <v>0</v>
      </c>
      <c r="AN148">
        <f t="shared" si="31"/>
        <v>0</v>
      </c>
      <c r="AO148">
        <f t="shared" si="31"/>
        <v>0</v>
      </c>
      <c r="AP148">
        <f t="shared" si="31"/>
        <v>0</v>
      </c>
      <c r="AQ148">
        <f t="shared" si="31"/>
        <v>0</v>
      </c>
      <c r="AR148">
        <f t="shared" si="31"/>
        <v>0</v>
      </c>
    </row>
    <row r="149" spans="5:44" x14ac:dyDescent="0.2">
      <c r="E149" s="1">
        <f>moment_rate!$AC149</f>
        <v>7.4493433161470389E-3</v>
      </c>
      <c r="F149" s="1">
        <f t="shared" si="34"/>
        <v>0</v>
      </c>
      <c r="G149">
        <f>moment_rate!I149-0.005</f>
        <v>1.420000000000001</v>
      </c>
      <c r="H149" s="1">
        <f t="shared" si="35"/>
        <v>0</v>
      </c>
      <c r="I149">
        <f t="shared" si="37"/>
        <v>0</v>
      </c>
      <c r="J149">
        <f t="shared" si="37"/>
        <v>0</v>
      </c>
      <c r="K149">
        <f t="shared" si="37"/>
        <v>0</v>
      </c>
      <c r="L149">
        <f t="shared" si="37"/>
        <v>0</v>
      </c>
      <c r="M149">
        <f t="shared" si="37"/>
        <v>0</v>
      </c>
      <c r="N149">
        <f t="shared" si="37"/>
        <v>0</v>
      </c>
      <c r="O149">
        <f t="shared" si="37"/>
        <v>0</v>
      </c>
      <c r="P149">
        <f t="shared" si="37"/>
        <v>0</v>
      </c>
      <c r="Q149">
        <f t="shared" si="37"/>
        <v>0</v>
      </c>
      <c r="R149">
        <f t="shared" si="37"/>
        <v>0</v>
      </c>
      <c r="S149">
        <f t="shared" si="37"/>
        <v>0</v>
      </c>
      <c r="T149">
        <f t="shared" si="37"/>
        <v>0</v>
      </c>
      <c r="U149">
        <f t="shared" si="37"/>
        <v>0</v>
      </c>
      <c r="V149">
        <f t="shared" si="37"/>
        <v>0</v>
      </c>
      <c r="W149">
        <f t="shared" si="37"/>
        <v>0</v>
      </c>
      <c r="X149">
        <f t="shared" si="37"/>
        <v>0</v>
      </c>
      <c r="Y149">
        <f t="shared" si="36"/>
        <v>0</v>
      </c>
      <c r="Z149">
        <f t="shared" si="36"/>
        <v>0</v>
      </c>
      <c r="AA149">
        <f t="shared" si="36"/>
        <v>0</v>
      </c>
      <c r="AB149">
        <f t="shared" si="36"/>
        <v>0</v>
      </c>
      <c r="AC149">
        <f t="shared" si="36"/>
        <v>0</v>
      </c>
      <c r="AD149">
        <f t="shared" si="36"/>
        <v>0</v>
      </c>
      <c r="AE149">
        <f t="shared" si="36"/>
        <v>0</v>
      </c>
      <c r="AF149">
        <f t="shared" si="36"/>
        <v>0</v>
      </c>
      <c r="AG149">
        <f t="shared" si="36"/>
        <v>0</v>
      </c>
      <c r="AH149">
        <f t="shared" si="36"/>
        <v>0</v>
      </c>
      <c r="AI149">
        <f t="shared" si="36"/>
        <v>0</v>
      </c>
      <c r="AJ149">
        <f t="shared" si="36"/>
        <v>0</v>
      </c>
      <c r="AK149">
        <f t="shared" si="31"/>
        <v>0</v>
      </c>
      <c r="AL149">
        <f t="shared" si="31"/>
        <v>0</v>
      </c>
      <c r="AM149">
        <f t="shared" si="31"/>
        <v>0</v>
      </c>
      <c r="AN149">
        <f t="shared" si="31"/>
        <v>0</v>
      </c>
      <c r="AO149">
        <f t="shared" si="31"/>
        <v>0</v>
      </c>
      <c r="AP149">
        <f t="shared" si="31"/>
        <v>0</v>
      </c>
      <c r="AQ149">
        <f t="shared" si="31"/>
        <v>0</v>
      </c>
      <c r="AR149">
        <f t="shared" si="31"/>
        <v>0</v>
      </c>
    </row>
    <row r="150" spans="5:44" x14ac:dyDescent="0.2">
      <c r="E150" s="1">
        <f>moment_rate!$AC150</f>
        <v>7.4493433161470389E-3</v>
      </c>
      <c r="F150" s="1">
        <f t="shared" si="34"/>
        <v>0</v>
      </c>
      <c r="G150">
        <f>moment_rate!I150-0.005</f>
        <v>1.430000000000001</v>
      </c>
      <c r="H150" s="1">
        <f t="shared" si="35"/>
        <v>0</v>
      </c>
      <c r="I150">
        <f t="shared" si="37"/>
        <v>0</v>
      </c>
      <c r="J150">
        <f t="shared" si="37"/>
        <v>0</v>
      </c>
      <c r="K150">
        <f t="shared" si="37"/>
        <v>0</v>
      </c>
      <c r="L150">
        <f t="shared" si="37"/>
        <v>0</v>
      </c>
      <c r="M150">
        <f t="shared" si="37"/>
        <v>0</v>
      </c>
      <c r="N150">
        <f t="shared" si="37"/>
        <v>0</v>
      </c>
      <c r="O150">
        <f t="shared" si="37"/>
        <v>0</v>
      </c>
      <c r="P150">
        <f t="shared" si="37"/>
        <v>0</v>
      </c>
      <c r="Q150">
        <f t="shared" si="37"/>
        <v>0</v>
      </c>
      <c r="R150">
        <f t="shared" si="37"/>
        <v>0</v>
      </c>
      <c r="S150">
        <f t="shared" si="37"/>
        <v>0</v>
      </c>
      <c r="T150">
        <f t="shared" si="37"/>
        <v>0</v>
      </c>
      <c r="U150">
        <f t="shared" si="37"/>
        <v>0</v>
      </c>
      <c r="V150">
        <f t="shared" si="37"/>
        <v>0</v>
      </c>
      <c r="W150">
        <f t="shared" si="37"/>
        <v>0</v>
      </c>
      <c r="X150">
        <f t="shared" si="37"/>
        <v>0</v>
      </c>
      <c r="Y150">
        <f t="shared" si="36"/>
        <v>0</v>
      </c>
      <c r="Z150">
        <f t="shared" si="36"/>
        <v>0</v>
      </c>
      <c r="AA150">
        <f t="shared" si="36"/>
        <v>0</v>
      </c>
      <c r="AB150">
        <f t="shared" si="36"/>
        <v>0</v>
      </c>
      <c r="AC150">
        <f t="shared" si="36"/>
        <v>0</v>
      </c>
      <c r="AD150">
        <f t="shared" si="36"/>
        <v>0</v>
      </c>
      <c r="AE150">
        <f t="shared" si="36"/>
        <v>0</v>
      </c>
      <c r="AF150">
        <f t="shared" si="36"/>
        <v>0</v>
      </c>
      <c r="AG150">
        <f t="shared" si="36"/>
        <v>0</v>
      </c>
      <c r="AH150">
        <f t="shared" si="36"/>
        <v>0</v>
      </c>
      <c r="AI150">
        <f t="shared" si="36"/>
        <v>0</v>
      </c>
      <c r="AJ150">
        <f t="shared" si="36"/>
        <v>0</v>
      </c>
      <c r="AK150">
        <f t="shared" si="31"/>
        <v>0</v>
      </c>
      <c r="AL150">
        <f t="shared" si="31"/>
        <v>0</v>
      </c>
      <c r="AM150">
        <f t="shared" si="31"/>
        <v>0</v>
      </c>
      <c r="AN150">
        <f t="shared" si="31"/>
        <v>0</v>
      </c>
      <c r="AO150">
        <f t="shared" si="31"/>
        <v>0</v>
      </c>
      <c r="AP150">
        <f t="shared" si="31"/>
        <v>0</v>
      </c>
      <c r="AQ150">
        <f t="shared" si="31"/>
        <v>0</v>
      </c>
      <c r="AR150">
        <f t="shared" si="31"/>
        <v>0</v>
      </c>
    </row>
    <row r="151" spans="5:44" x14ac:dyDescent="0.2">
      <c r="E151" s="1">
        <f>moment_rate!$AC151</f>
        <v>7.4493433161470389E-3</v>
      </c>
      <c r="F151" s="1">
        <f t="shared" si="34"/>
        <v>0</v>
      </c>
      <c r="G151">
        <f>moment_rate!I151-0.005</f>
        <v>1.4400000000000011</v>
      </c>
      <c r="H151" s="1">
        <f t="shared" si="35"/>
        <v>0</v>
      </c>
      <c r="I151">
        <f t="shared" si="37"/>
        <v>0</v>
      </c>
      <c r="J151">
        <f t="shared" si="37"/>
        <v>0</v>
      </c>
      <c r="K151">
        <f t="shared" si="37"/>
        <v>0</v>
      </c>
      <c r="L151">
        <f t="shared" si="37"/>
        <v>0</v>
      </c>
      <c r="M151">
        <f t="shared" si="37"/>
        <v>0</v>
      </c>
      <c r="N151">
        <f t="shared" si="37"/>
        <v>0</v>
      </c>
      <c r="O151">
        <f t="shared" si="37"/>
        <v>0</v>
      </c>
      <c r="P151">
        <f t="shared" si="37"/>
        <v>0</v>
      </c>
      <c r="Q151">
        <f t="shared" si="37"/>
        <v>0</v>
      </c>
      <c r="R151">
        <f t="shared" si="37"/>
        <v>0</v>
      </c>
      <c r="S151">
        <f t="shared" si="37"/>
        <v>0</v>
      </c>
      <c r="T151">
        <f t="shared" si="37"/>
        <v>0</v>
      </c>
      <c r="U151">
        <f t="shared" si="37"/>
        <v>0</v>
      </c>
      <c r="V151">
        <f t="shared" si="37"/>
        <v>0</v>
      </c>
      <c r="W151">
        <f t="shared" si="37"/>
        <v>0</v>
      </c>
      <c r="X151">
        <f t="shared" si="37"/>
        <v>0</v>
      </c>
      <c r="Y151">
        <f t="shared" si="36"/>
        <v>0</v>
      </c>
      <c r="Z151">
        <f t="shared" si="36"/>
        <v>0</v>
      </c>
      <c r="AA151">
        <f t="shared" si="36"/>
        <v>0</v>
      </c>
      <c r="AB151">
        <f t="shared" si="36"/>
        <v>0</v>
      </c>
      <c r="AC151">
        <f t="shared" si="36"/>
        <v>0</v>
      </c>
      <c r="AD151">
        <f t="shared" si="36"/>
        <v>0</v>
      </c>
      <c r="AE151">
        <f t="shared" si="36"/>
        <v>0</v>
      </c>
      <c r="AF151">
        <f t="shared" si="36"/>
        <v>0</v>
      </c>
      <c r="AG151">
        <f t="shared" si="36"/>
        <v>0</v>
      </c>
      <c r="AH151">
        <f t="shared" si="36"/>
        <v>0</v>
      </c>
      <c r="AI151">
        <f t="shared" si="36"/>
        <v>0</v>
      </c>
      <c r="AJ151">
        <f t="shared" si="36"/>
        <v>0</v>
      </c>
      <c r="AK151">
        <f t="shared" si="31"/>
        <v>0</v>
      </c>
      <c r="AL151">
        <f t="shared" si="31"/>
        <v>0</v>
      </c>
      <c r="AM151">
        <f t="shared" si="31"/>
        <v>0</v>
      </c>
      <c r="AN151">
        <f t="shared" si="31"/>
        <v>0</v>
      </c>
      <c r="AO151">
        <f t="shared" si="31"/>
        <v>0</v>
      </c>
      <c r="AP151">
        <f t="shared" si="31"/>
        <v>0</v>
      </c>
      <c r="AQ151">
        <f t="shared" si="31"/>
        <v>0</v>
      </c>
      <c r="AR151">
        <f t="shared" si="31"/>
        <v>0</v>
      </c>
    </row>
    <row r="152" spans="5:44" x14ac:dyDescent="0.2">
      <c r="E152" s="1">
        <f>moment_rate!$AC152</f>
        <v>7.4493433161470389E-3</v>
      </c>
      <c r="F152" s="1">
        <f t="shared" si="34"/>
        <v>0</v>
      </c>
      <c r="G152">
        <f>moment_rate!I152-0.005</f>
        <v>1.4500000000000011</v>
      </c>
      <c r="H152" s="1">
        <f t="shared" si="35"/>
        <v>0</v>
      </c>
      <c r="I152">
        <f t="shared" si="37"/>
        <v>0</v>
      </c>
      <c r="J152">
        <f t="shared" si="37"/>
        <v>0</v>
      </c>
      <c r="K152">
        <f t="shared" si="37"/>
        <v>0</v>
      </c>
      <c r="L152">
        <f t="shared" si="37"/>
        <v>0</v>
      </c>
      <c r="M152">
        <f t="shared" si="37"/>
        <v>0</v>
      </c>
      <c r="N152">
        <f t="shared" si="37"/>
        <v>0</v>
      </c>
      <c r="O152">
        <f t="shared" si="37"/>
        <v>0</v>
      </c>
      <c r="P152">
        <f t="shared" si="37"/>
        <v>0</v>
      </c>
      <c r="Q152">
        <f t="shared" si="37"/>
        <v>0</v>
      </c>
      <c r="R152">
        <f t="shared" si="37"/>
        <v>0</v>
      </c>
      <c r="S152">
        <f t="shared" si="37"/>
        <v>0</v>
      </c>
      <c r="T152">
        <f t="shared" si="37"/>
        <v>0</v>
      </c>
      <c r="U152">
        <f t="shared" si="37"/>
        <v>0</v>
      </c>
      <c r="V152">
        <f t="shared" si="37"/>
        <v>0</v>
      </c>
      <c r="W152">
        <f t="shared" si="37"/>
        <v>0</v>
      </c>
      <c r="X152">
        <f t="shared" si="37"/>
        <v>0</v>
      </c>
      <c r="Y152">
        <f t="shared" si="36"/>
        <v>0</v>
      </c>
      <c r="Z152">
        <f t="shared" si="36"/>
        <v>0</v>
      </c>
      <c r="AA152">
        <f t="shared" si="36"/>
        <v>0</v>
      </c>
      <c r="AB152">
        <f t="shared" si="36"/>
        <v>0</v>
      </c>
      <c r="AC152">
        <f t="shared" si="36"/>
        <v>0</v>
      </c>
      <c r="AD152">
        <f t="shared" si="36"/>
        <v>0</v>
      </c>
      <c r="AE152">
        <f t="shared" si="36"/>
        <v>0</v>
      </c>
      <c r="AF152">
        <f t="shared" si="36"/>
        <v>0</v>
      </c>
      <c r="AG152">
        <f t="shared" si="36"/>
        <v>0</v>
      </c>
      <c r="AH152">
        <f t="shared" si="36"/>
        <v>0</v>
      </c>
      <c r="AI152">
        <f t="shared" si="36"/>
        <v>0</v>
      </c>
      <c r="AJ152">
        <f t="shared" si="36"/>
        <v>0</v>
      </c>
      <c r="AK152">
        <f t="shared" si="31"/>
        <v>0</v>
      </c>
      <c r="AL152">
        <f t="shared" si="31"/>
        <v>0</v>
      </c>
      <c r="AM152">
        <f t="shared" si="31"/>
        <v>0</v>
      </c>
      <c r="AN152">
        <f t="shared" si="31"/>
        <v>0</v>
      </c>
      <c r="AO152">
        <f t="shared" si="31"/>
        <v>0</v>
      </c>
      <c r="AP152">
        <f t="shared" si="31"/>
        <v>0</v>
      </c>
      <c r="AQ152">
        <f t="shared" si="31"/>
        <v>0</v>
      </c>
      <c r="AR152">
        <f t="shared" si="31"/>
        <v>0</v>
      </c>
    </row>
    <row r="153" spans="5:44" x14ac:dyDescent="0.2">
      <c r="E153" s="1">
        <f>moment_rate!$AC153</f>
        <v>7.4493433161470389E-3</v>
      </c>
      <c r="F153" s="1">
        <f t="shared" si="34"/>
        <v>0</v>
      </c>
      <c r="G153">
        <f>moment_rate!I153-0.005</f>
        <v>1.4600000000000011</v>
      </c>
      <c r="H153" s="1">
        <f t="shared" si="35"/>
        <v>0</v>
      </c>
      <c r="I153">
        <f t="shared" si="37"/>
        <v>0</v>
      </c>
      <c r="J153">
        <f t="shared" si="37"/>
        <v>0</v>
      </c>
      <c r="K153">
        <f t="shared" si="37"/>
        <v>0</v>
      </c>
      <c r="L153">
        <f t="shared" si="37"/>
        <v>0</v>
      </c>
      <c r="M153">
        <f t="shared" si="37"/>
        <v>0</v>
      </c>
      <c r="N153">
        <f t="shared" si="37"/>
        <v>0</v>
      </c>
      <c r="O153">
        <f t="shared" si="37"/>
        <v>0</v>
      </c>
      <c r="P153">
        <f t="shared" si="37"/>
        <v>0</v>
      </c>
      <c r="Q153">
        <f t="shared" si="37"/>
        <v>0</v>
      </c>
      <c r="R153">
        <f t="shared" si="37"/>
        <v>0</v>
      </c>
      <c r="S153">
        <f t="shared" si="37"/>
        <v>0</v>
      </c>
      <c r="T153">
        <f t="shared" si="37"/>
        <v>0</v>
      </c>
      <c r="U153">
        <f t="shared" si="37"/>
        <v>0</v>
      </c>
      <c r="V153">
        <f t="shared" si="37"/>
        <v>0</v>
      </c>
      <c r="W153">
        <f t="shared" si="37"/>
        <v>0</v>
      </c>
      <c r="X153">
        <f t="shared" si="37"/>
        <v>0</v>
      </c>
      <c r="Y153">
        <f t="shared" si="36"/>
        <v>0</v>
      </c>
      <c r="Z153">
        <f t="shared" si="36"/>
        <v>0</v>
      </c>
      <c r="AA153">
        <f t="shared" si="36"/>
        <v>0</v>
      </c>
      <c r="AB153">
        <f t="shared" si="36"/>
        <v>0</v>
      </c>
      <c r="AC153">
        <f t="shared" si="36"/>
        <v>0</v>
      </c>
      <c r="AD153">
        <f t="shared" si="36"/>
        <v>0</v>
      </c>
      <c r="AE153">
        <f t="shared" si="36"/>
        <v>0</v>
      </c>
      <c r="AF153">
        <f t="shared" si="36"/>
        <v>0</v>
      </c>
      <c r="AG153">
        <f t="shared" si="36"/>
        <v>0</v>
      </c>
      <c r="AH153">
        <f t="shared" si="36"/>
        <v>0</v>
      </c>
      <c r="AI153">
        <f t="shared" si="36"/>
        <v>0</v>
      </c>
      <c r="AJ153">
        <f t="shared" si="36"/>
        <v>0</v>
      </c>
      <c r="AK153">
        <f t="shared" si="36"/>
        <v>0</v>
      </c>
      <c r="AL153">
        <f t="shared" si="36"/>
        <v>0</v>
      </c>
      <c r="AM153">
        <f t="shared" si="36"/>
        <v>0</v>
      </c>
      <c r="AN153">
        <f t="shared" si="31"/>
        <v>0</v>
      </c>
      <c r="AO153">
        <f t="shared" si="31"/>
        <v>0</v>
      </c>
      <c r="AP153">
        <f t="shared" si="31"/>
        <v>0</v>
      </c>
      <c r="AQ153">
        <f t="shared" si="31"/>
        <v>0</v>
      </c>
      <c r="AR153">
        <f t="shared" si="31"/>
        <v>0</v>
      </c>
    </row>
    <row r="154" spans="5:44" x14ac:dyDescent="0.2">
      <c r="E154" s="1">
        <f>moment_rate!$AC154</f>
        <v>7.4493433161470389E-3</v>
      </c>
      <c r="F154" s="1">
        <f t="shared" si="34"/>
        <v>0</v>
      </c>
      <c r="G154">
        <f>moment_rate!I154-0.005</f>
        <v>1.4700000000000011</v>
      </c>
      <c r="H154" s="1">
        <f t="shared" si="35"/>
        <v>0</v>
      </c>
      <c r="I154">
        <f t="shared" si="37"/>
        <v>0</v>
      </c>
      <c r="J154">
        <f t="shared" si="37"/>
        <v>0</v>
      </c>
      <c r="K154">
        <f t="shared" si="37"/>
        <v>0</v>
      </c>
      <c r="L154">
        <f t="shared" si="37"/>
        <v>0</v>
      </c>
      <c r="M154">
        <f t="shared" si="37"/>
        <v>0</v>
      </c>
      <c r="N154">
        <f t="shared" si="37"/>
        <v>0</v>
      </c>
      <c r="O154">
        <f t="shared" si="37"/>
        <v>0</v>
      </c>
      <c r="P154">
        <f t="shared" si="37"/>
        <v>0</v>
      </c>
      <c r="Q154">
        <f t="shared" si="37"/>
        <v>0</v>
      </c>
      <c r="R154">
        <f t="shared" si="37"/>
        <v>0</v>
      </c>
      <c r="S154">
        <f t="shared" si="37"/>
        <v>0</v>
      </c>
      <c r="T154">
        <f t="shared" si="37"/>
        <v>0</v>
      </c>
      <c r="U154">
        <f t="shared" si="37"/>
        <v>0</v>
      </c>
      <c r="V154">
        <f t="shared" si="37"/>
        <v>0</v>
      </c>
      <c r="W154">
        <f t="shared" si="37"/>
        <v>0</v>
      </c>
      <c r="X154">
        <f t="shared" si="37"/>
        <v>0</v>
      </c>
      <c r="Y154">
        <f t="shared" si="36"/>
        <v>0</v>
      </c>
      <c r="Z154">
        <f t="shared" si="36"/>
        <v>0</v>
      </c>
      <c r="AA154">
        <f t="shared" si="36"/>
        <v>0</v>
      </c>
      <c r="AB154">
        <f t="shared" si="36"/>
        <v>0</v>
      </c>
      <c r="AC154">
        <f t="shared" si="36"/>
        <v>0</v>
      </c>
      <c r="AD154">
        <f t="shared" si="36"/>
        <v>0</v>
      </c>
      <c r="AE154">
        <f t="shared" si="36"/>
        <v>0</v>
      </c>
      <c r="AF154">
        <f t="shared" si="36"/>
        <v>0</v>
      </c>
      <c r="AG154">
        <f t="shared" si="36"/>
        <v>0</v>
      </c>
      <c r="AH154">
        <f t="shared" si="36"/>
        <v>0</v>
      </c>
      <c r="AI154">
        <f t="shared" si="36"/>
        <v>0</v>
      </c>
      <c r="AJ154">
        <f t="shared" si="36"/>
        <v>0</v>
      </c>
      <c r="AK154">
        <f t="shared" si="36"/>
        <v>0</v>
      </c>
      <c r="AL154">
        <f t="shared" si="36"/>
        <v>0</v>
      </c>
      <c r="AM154">
        <f t="shared" si="36"/>
        <v>0</v>
      </c>
      <c r="AN154">
        <f t="shared" si="31"/>
        <v>0</v>
      </c>
      <c r="AO154">
        <f t="shared" si="31"/>
        <v>0</v>
      </c>
      <c r="AP154">
        <f t="shared" si="31"/>
        <v>0</v>
      </c>
      <c r="AQ154">
        <f t="shared" si="31"/>
        <v>0</v>
      </c>
      <c r="AR154">
        <f t="shared" si="31"/>
        <v>0</v>
      </c>
    </row>
    <row r="155" spans="5:44" x14ac:dyDescent="0.2">
      <c r="E155" s="1">
        <f>moment_rate!$AC155</f>
        <v>7.4493433161470389E-3</v>
      </c>
      <c r="F155" s="1">
        <f t="shared" si="34"/>
        <v>0</v>
      </c>
      <c r="G155">
        <f>moment_rate!I155-0.005</f>
        <v>1.4800000000000011</v>
      </c>
      <c r="H155" s="1">
        <f t="shared" si="35"/>
        <v>0</v>
      </c>
      <c r="I155">
        <f t="shared" si="37"/>
        <v>0</v>
      </c>
      <c r="J155">
        <f t="shared" si="37"/>
        <v>0</v>
      </c>
      <c r="K155">
        <f t="shared" si="37"/>
        <v>0</v>
      </c>
      <c r="L155">
        <f t="shared" si="37"/>
        <v>0</v>
      </c>
      <c r="M155">
        <f t="shared" si="37"/>
        <v>0</v>
      </c>
      <c r="N155">
        <f t="shared" si="37"/>
        <v>0</v>
      </c>
      <c r="O155">
        <f t="shared" si="37"/>
        <v>0</v>
      </c>
      <c r="P155">
        <f t="shared" si="37"/>
        <v>0</v>
      </c>
      <c r="Q155">
        <f t="shared" si="37"/>
        <v>0</v>
      </c>
      <c r="R155">
        <f t="shared" si="37"/>
        <v>0</v>
      </c>
      <c r="S155">
        <f t="shared" si="37"/>
        <v>0</v>
      </c>
      <c r="T155">
        <f t="shared" si="37"/>
        <v>0</v>
      </c>
      <c r="U155">
        <f t="shared" si="37"/>
        <v>0</v>
      </c>
      <c r="V155">
        <f t="shared" si="37"/>
        <v>0</v>
      </c>
      <c r="W155">
        <f t="shared" si="37"/>
        <v>0</v>
      </c>
      <c r="X155">
        <f t="shared" si="37"/>
        <v>0</v>
      </c>
      <c r="Y155">
        <f t="shared" si="36"/>
        <v>0</v>
      </c>
      <c r="Z155">
        <f t="shared" si="36"/>
        <v>0</v>
      </c>
      <c r="AA155">
        <f t="shared" si="36"/>
        <v>0</v>
      </c>
      <c r="AB155">
        <f t="shared" si="36"/>
        <v>0</v>
      </c>
      <c r="AC155">
        <f t="shared" si="36"/>
        <v>0</v>
      </c>
      <c r="AD155">
        <f t="shared" si="36"/>
        <v>0</v>
      </c>
      <c r="AE155">
        <f t="shared" si="36"/>
        <v>0</v>
      </c>
      <c r="AF155">
        <f t="shared" si="36"/>
        <v>0</v>
      </c>
      <c r="AG155">
        <f t="shared" si="36"/>
        <v>0</v>
      </c>
      <c r="AH155">
        <f t="shared" si="36"/>
        <v>0</v>
      </c>
      <c r="AI155">
        <f t="shared" si="36"/>
        <v>0</v>
      </c>
      <c r="AJ155">
        <f t="shared" si="36"/>
        <v>0</v>
      </c>
      <c r="AK155">
        <f t="shared" si="36"/>
        <v>0</v>
      </c>
      <c r="AL155">
        <f t="shared" si="36"/>
        <v>0</v>
      </c>
      <c r="AM155">
        <f t="shared" si="36"/>
        <v>0</v>
      </c>
      <c r="AN155">
        <f t="shared" si="31"/>
        <v>0</v>
      </c>
      <c r="AO155">
        <f t="shared" si="31"/>
        <v>0</v>
      </c>
      <c r="AP155">
        <f t="shared" si="31"/>
        <v>0</v>
      </c>
      <c r="AQ155">
        <f t="shared" si="31"/>
        <v>0</v>
      </c>
      <c r="AR155">
        <f t="shared" si="31"/>
        <v>0</v>
      </c>
    </row>
    <row r="156" spans="5:44" x14ac:dyDescent="0.2">
      <c r="E156" s="1">
        <f>moment_rate!$AC156</f>
        <v>7.4493433161470389E-3</v>
      </c>
      <c r="F156" s="1">
        <f t="shared" si="34"/>
        <v>0</v>
      </c>
      <c r="G156">
        <f>moment_rate!I156-0.005</f>
        <v>1.4900000000000011</v>
      </c>
      <c r="H156" s="1">
        <f t="shared" si="35"/>
        <v>0</v>
      </c>
      <c r="I156">
        <f t="shared" si="37"/>
        <v>0</v>
      </c>
      <c r="J156">
        <f t="shared" si="37"/>
        <v>0</v>
      </c>
      <c r="K156">
        <f t="shared" si="37"/>
        <v>0</v>
      </c>
      <c r="L156">
        <f t="shared" si="37"/>
        <v>0</v>
      </c>
      <c r="M156">
        <f t="shared" si="37"/>
        <v>0</v>
      </c>
      <c r="N156">
        <f t="shared" si="37"/>
        <v>0</v>
      </c>
      <c r="O156">
        <f t="shared" si="37"/>
        <v>0</v>
      </c>
      <c r="P156">
        <f t="shared" si="37"/>
        <v>0</v>
      </c>
      <c r="Q156">
        <f t="shared" si="37"/>
        <v>0</v>
      </c>
      <c r="R156">
        <f t="shared" si="37"/>
        <v>0</v>
      </c>
      <c r="S156">
        <f t="shared" si="37"/>
        <v>0</v>
      </c>
      <c r="T156">
        <f t="shared" si="37"/>
        <v>0</v>
      </c>
      <c r="U156">
        <f t="shared" si="37"/>
        <v>0</v>
      </c>
      <c r="V156">
        <f t="shared" si="37"/>
        <v>0</v>
      </c>
      <c r="W156">
        <f t="shared" si="37"/>
        <v>0</v>
      </c>
      <c r="X156">
        <f t="shared" si="37"/>
        <v>0</v>
      </c>
      <c r="Y156">
        <f t="shared" si="36"/>
        <v>0</v>
      </c>
      <c r="Z156">
        <f t="shared" si="36"/>
        <v>0</v>
      </c>
      <c r="AA156">
        <f t="shared" si="36"/>
        <v>0</v>
      </c>
      <c r="AB156">
        <f t="shared" si="36"/>
        <v>0</v>
      </c>
      <c r="AC156">
        <f t="shared" si="36"/>
        <v>0</v>
      </c>
      <c r="AD156">
        <f t="shared" si="36"/>
        <v>0</v>
      </c>
      <c r="AE156">
        <f t="shared" si="36"/>
        <v>0</v>
      </c>
      <c r="AF156">
        <f t="shared" si="36"/>
        <v>0</v>
      </c>
      <c r="AG156">
        <f t="shared" si="36"/>
        <v>0</v>
      </c>
      <c r="AH156">
        <f t="shared" si="36"/>
        <v>0</v>
      </c>
      <c r="AI156">
        <f t="shared" si="36"/>
        <v>0</v>
      </c>
      <c r="AJ156">
        <f t="shared" si="36"/>
        <v>0</v>
      </c>
      <c r="AK156">
        <f t="shared" si="36"/>
        <v>0</v>
      </c>
      <c r="AL156">
        <f t="shared" si="36"/>
        <v>0</v>
      </c>
      <c r="AM156">
        <f t="shared" si="36"/>
        <v>0</v>
      </c>
      <c r="AN156">
        <f t="shared" si="31"/>
        <v>0</v>
      </c>
      <c r="AO156">
        <f t="shared" si="31"/>
        <v>0</v>
      </c>
      <c r="AP156">
        <f t="shared" si="31"/>
        <v>0</v>
      </c>
      <c r="AQ156">
        <f t="shared" si="31"/>
        <v>0</v>
      </c>
      <c r="AR156">
        <f t="shared" si="31"/>
        <v>0</v>
      </c>
    </row>
    <row r="157" spans="5:44" x14ac:dyDescent="0.2">
      <c r="E157" s="1">
        <f>moment_rate!$AC157</f>
        <v>7.4493433161470389E-3</v>
      </c>
      <c r="F157" s="1">
        <f t="shared" si="34"/>
        <v>0</v>
      </c>
      <c r="G157">
        <f>moment_rate!I157-0.005</f>
        <v>1.5000000000000011</v>
      </c>
      <c r="H157" s="1">
        <f t="shared" si="35"/>
        <v>0</v>
      </c>
      <c r="I157">
        <f t="shared" si="37"/>
        <v>0</v>
      </c>
      <c r="J157">
        <f t="shared" si="37"/>
        <v>0</v>
      </c>
      <c r="K157">
        <f t="shared" si="37"/>
        <v>0</v>
      </c>
      <c r="L157">
        <f t="shared" si="37"/>
        <v>0</v>
      </c>
      <c r="M157">
        <f t="shared" si="37"/>
        <v>0</v>
      </c>
      <c r="N157">
        <f t="shared" si="37"/>
        <v>0</v>
      </c>
      <c r="O157">
        <f t="shared" si="37"/>
        <v>0</v>
      </c>
      <c r="P157">
        <f t="shared" si="37"/>
        <v>0</v>
      </c>
      <c r="Q157">
        <f t="shared" si="37"/>
        <v>0</v>
      </c>
      <c r="R157">
        <f t="shared" si="37"/>
        <v>0</v>
      </c>
      <c r="S157">
        <f t="shared" si="37"/>
        <v>0</v>
      </c>
      <c r="T157">
        <f t="shared" si="37"/>
        <v>0</v>
      </c>
      <c r="U157">
        <f t="shared" si="37"/>
        <v>0</v>
      </c>
      <c r="V157">
        <f t="shared" si="37"/>
        <v>0</v>
      </c>
      <c r="W157">
        <f t="shared" si="37"/>
        <v>0</v>
      </c>
      <c r="X157">
        <f t="shared" si="37"/>
        <v>0</v>
      </c>
      <c r="Y157">
        <f t="shared" si="36"/>
        <v>0</v>
      </c>
      <c r="Z157">
        <f t="shared" si="36"/>
        <v>0</v>
      </c>
      <c r="AA157">
        <f t="shared" si="36"/>
        <v>0</v>
      </c>
      <c r="AB157">
        <f t="shared" si="36"/>
        <v>0</v>
      </c>
      <c r="AC157">
        <f t="shared" si="36"/>
        <v>0</v>
      </c>
      <c r="AD157">
        <f t="shared" si="36"/>
        <v>0</v>
      </c>
      <c r="AE157">
        <f t="shared" si="36"/>
        <v>0</v>
      </c>
      <c r="AF157">
        <f t="shared" si="36"/>
        <v>0</v>
      </c>
      <c r="AG157">
        <f t="shared" si="36"/>
        <v>0</v>
      </c>
      <c r="AH157">
        <f t="shared" si="36"/>
        <v>0</v>
      </c>
      <c r="AI157">
        <f t="shared" si="36"/>
        <v>0</v>
      </c>
      <c r="AJ157">
        <f t="shared" si="36"/>
        <v>0</v>
      </c>
      <c r="AK157">
        <f t="shared" si="36"/>
        <v>0</v>
      </c>
      <c r="AL157">
        <f t="shared" si="36"/>
        <v>0</v>
      </c>
      <c r="AM157">
        <f t="shared" si="36"/>
        <v>0</v>
      </c>
      <c r="AN157">
        <f t="shared" si="31"/>
        <v>0</v>
      </c>
      <c r="AO157">
        <f t="shared" si="31"/>
        <v>0</v>
      </c>
      <c r="AP157">
        <f t="shared" si="31"/>
        <v>0</v>
      </c>
      <c r="AQ157">
        <f t="shared" si="31"/>
        <v>0</v>
      </c>
      <c r="AR157">
        <f t="shared" si="31"/>
        <v>0</v>
      </c>
    </row>
    <row r="158" spans="5:44" x14ac:dyDescent="0.2">
      <c r="E158" s="1">
        <f>moment_rate!$AC158</f>
        <v>7.4493433161470389E-3</v>
      </c>
      <c r="F158" s="1">
        <f t="shared" si="34"/>
        <v>0</v>
      </c>
      <c r="G158">
        <f>moment_rate!I158-0.005</f>
        <v>1.5100000000000011</v>
      </c>
      <c r="H158" s="1">
        <f t="shared" si="35"/>
        <v>0</v>
      </c>
      <c r="I158">
        <f t="shared" si="37"/>
        <v>0</v>
      </c>
      <c r="J158">
        <f t="shared" si="37"/>
        <v>0</v>
      </c>
      <c r="K158">
        <f t="shared" si="37"/>
        <v>0</v>
      </c>
      <c r="L158">
        <f t="shared" si="37"/>
        <v>0</v>
      </c>
      <c r="M158">
        <f t="shared" si="37"/>
        <v>0</v>
      </c>
      <c r="N158">
        <f t="shared" si="37"/>
        <v>0</v>
      </c>
      <c r="O158">
        <f t="shared" si="37"/>
        <v>0</v>
      </c>
      <c r="P158">
        <f t="shared" si="37"/>
        <v>0</v>
      </c>
      <c r="Q158">
        <f t="shared" si="37"/>
        <v>0</v>
      </c>
      <c r="R158">
        <f t="shared" si="37"/>
        <v>0</v>
      </c>
      <c r="S158">
        <f t="shared" si="37"/>
        <v>0</v>
      </c>
      <c r="T158">
        <f t="shared" si="37"/>
        <v>0</v>
      </c>
      <c r="U158">
        <f t="shared" si="37"/>
        <v>0</v>
      </c>
      <c r="V158">
        <f t="shared" si="37"/>
        <v>0</v>
      </c>
      <c r="W158">
        <f t="shared" si="37"/>
        <v>0</v>
      </c>
      <c r="X158">
        <f t="shared" ref="X158:AM173" si="38">IF(AND($G158&gt;=X$3,$G158&lt;X$4),$F158,0)</f>
        <v>0</v>
      </c>
      <c r="Y158">
        <f t="shared" si="38"/>
        <v>0</v>
      </c>
      <c r="Z158">
        <f t="shared" si="36"/>
        <v>0</v>
      </c>
      <c r="AA158">
        <f t="shared" si="36"/>
        <v>0</v>
      </c>
      <c r="AB158">
        <f t="shared" si="36"/>
        <v>0</v>
      </c>
      <c r="AC158">
        <f t="shared" si="36"/>
        <v>0</v>
      </c>
      <c r="AD158">
        <f t="shared" si="36"/>
        <v>0</v>
      </c>
      <c r="AE158">
        <f t="shared" si="36"/>
        <v>0</v>
      </c>
      <c r="AF158">
        <f t="shared" si="36"/>
        <v>0</v>
      </c>
      <c r="AG158">
        <f t="shared" si="36"/>
        <v>0</v>
      </c>
      <c r="AH158">
        <f t="shared" si="36"/>
        <v>0</v>
      </c>
      <c r="AI158">
        <f t="shared" si="36"/>
        <v>0</v>
      </c>
      <c r="AJ158">
        <f t="shared" si="36"/>
        <v>0</v>
      </c>
      <c r="AK158">
        <f t="shared" si="36"/>
        <v>0</v>
      </c>
      <c r="AL158">
        <f t="shared" si="36"/>
        <v>0</v>
      </c>
      <c r="AM158">
        <f t="shared" si="36"/>
        <v>0</v>
      </c>
      <c r="AN158">
        <f t="shared" si="31"/>
        <v>0</v>
      </c>
      <c r="AO158">
        <f t="shared" si="31"/>
        <v>0</v>
      </c>
      <c r="AP158">
        <f t="shared" si="31"/>
        <v>0</v>
      </c>
      <c r="AQ158">
        <f t="shared" si="31"/>
        <v>0</v>
      </c>
      <c r="AR158">
        <f t="shared" si="31"/>
        <v>0</v>
      </c>
    </row>
    <row r="159" spans="5:44" x14ac:dyDescent="0.2">
      <c r="E159" s="1">
        <f>moment_rate!$AC159</f>
        <v>7.4493433161470389E-3</v>
      </c>
      <c r="F159" s="1">
        <f t="shared" si="34"/>
        <v>0</v>
      </c>
      <c r="G159">
        <f>moment_rate!I159-0.005</f>
        <v>1.5200000000000011</v>
      </c>
      <c r="H159" s="1">
        <f t="shared" si="35"/>
        <v>0</v>
      </c>
      <c r="I159">
        <f t="shared" ref="I159:X174" si="39">IF(AND($G159&gt;=I$3,$G159&lt;I$4),$F159,0)</f>
        <v>0</v>
      </c>
      <c r="J159">
        <f t="shared" si="39"/>
        <v>0</v>
      </c>
      <c r="K159">
        <f t="shared" si="39"/>
        <v>0</v>
      </c>
      <c r="L159">
        <f t="shared" si="39"/>
        <v>0</v>
      </c>
      <c r="M159">
        <f t="shared" si="39"/>
        <v>0</v>
      </c>
      <c r="N159">
        <f t="shared" si="39"/>
        <v>0</v>
      </c>
      <c r="O159">
        <f t="shared" si="39"/>
        <v>0</v>
      </c>
      <c r="P159">
        <f t="shared" si="39"/>
        <v>0</v>
      </c>
      <c r="Q159">
        <f t="shared" si="39"/>
        <v>0</v>
      </c>
      <c r="R159">
        <f t="shared" si="39"/>
        <v>0</v>
      </c>
      <c r="S159">
        <f t="shared" si="39"/>
        <v>0</v>
      </c>
      <c r="T159">
        <f t="shared" si="39"/>
        <v>0</v>
      </c>
      <c r="U159">
        <f t="shared" si="39"/>
        <v>0</v>
      </c>
      <c r="V159">
        <f t="shared" si="39"/>
        <v>0</v>
      </c>
      <c r="W159">
        <f t="shared" si="39"/>
        <v>0</v>
      </c>
      <c r="X159">
        <f t="shared" si="39"/>
        <v>0</v>
      </c>
      <c r="Y159">
        <f t="shared" si="38"/>
        <v>0</v>
      </c>
      <c r="Z159">
        <f t="shared" si="36"/>
        <v>0</v>
      </c>
      <c r="AA159">
        <f t="shared" si="36"/>
        <v>0</v>
      </c>
      <c r="AB159">
        <f t="shared" si="36"/>
        <v>0</v>
      </c>
      <c r="AC159">
        <f t="shared" si="36"/>
        <v>0</v>
      </c>
      <c r="AD159">
        <f t="shared" si="36"/>
        <v>0</v>
      </c>
      <c r="AE159">
        <f t="shared" si="36"/>
        <v>0</v>
      </c>
      <c r="AF159">
        <f t="shared" si="36"/>
        <v>0</v>
      </c>
      <c r="AG159">
        <f t="shared" si="36"/>
        <v>0</v>
      </c>
      <c r="AH159">
        <f t="shared" si="36"/>
        <v>0</v>
      </c>
      <c r="AI159">
        <f t="shared" si="36"/>
        <v>0</v>
      </c>
      <c r="AJ159">
        <f t="shared" si="36"/>
        <v>0</v>
      </c>
      <c r="AK159">
        <f t="shared" si="36"/>
        <v>0</v>
      </c>
      <c r="AL159">
        <f t="shared" ref="AL159:AR182" si="40">IF(AND($G159&gt;=AL$3,$G159&lt;AL$4),$F159,0)</f>
        <v>0</v>
      </c>
      <c r="AM159">
        <f t="shared" si="40"/>
        <v>0</v>
      </c>
      <c r="AN159">
        <f t="shared" si="40"/>
        <v>0</v>
      </c>
      <c r="AO159">
        <f t="shared" si="31"/>
        <v>0</v>
      </c>
      <c r="AP159">
        <f t="shared" si="31"/>
        <v>0</v>
      </c>
      <c r="AQ159">
        <f t="shared" si="31"/>
        <v>0</v>
      </c>
      <c r="AR159">
        <f t="shared" si="31"/>
        <v>0</v>
      </c>
    </row>
    <row r="160" spans="5:44" x14ac:dyDescent="0.2">
      <c r="E160" s="1">
        <f>moment_rate!$AC160</f>
        <v>7.4493433161470389E-3</v>
      </c>
      <c r="F160" s="1">
        <f t="shared" si="34"/>
        <v>0</v>
      </c>
      <c r="G160">
        <f>moment_rate!I160-0.005</f>
        <v>1.5300000000000011</v>
      </c>
      <c r="H160" s="1">
        <f t="shared" si="35"/>
        <v>0</v>
      </c>
      <c r="I160">
        <f t="shared" si="39"/>
        <v>0</v>
      </c>
      <c r="J160">
        <f t="shared" si="39"/>
        <v>0</v>
      </c>
      <c r="K160">
        <f t="shared" si="39"/>
        <v>0</v>
      </c>
      <c r="L160">
        <f t="shared" si="39"/>
        <v>0</v>
      </c>
      <c r="M160">
        <f t="shared" si="39"/>
        <v>0</v>
      </c>
      <c r="N160">
        <f t="shared" si="39"/>
        <v>0</v>
      </c>
      <c r="O160">
        <f t="shared" si="39"/>
        <v>0</v>
      </c>
      <c r="P160">
        <f t="shared" si="39"/>
        <v>0</v>
      </c>
      <c r="Q160">
        <f t="shared" si="39"/>
        <v>0</v>
      </c>
      <c r="R160">
        <f t="shared" si="39"/>
        <v>0</v>
      </c>
      <c r="S160">
        <f t="shared" si="39"/>
        <v>0</v>
      </c>
      <c r="T160">
        <f t="shared" si="39"/>
        <v>0</v>
      </c>
      <c r="U160">
        <f t="shared" si="39"/>
        <v>0</v>
      </c>
      <c r="V160">
        <f t="shared" si="39"/>
        <v>0</v>
      </c>
      <c r="W160">
        <f t="shared" si="39"/>
        <v>0</v>
      </c>
      <c r="X160">
        <f t="shared" si="39"/>
        <v>0</v>
      </c>
      <c r="Y160">
        <f t="shared" si="38"/>
        <v>0</v>
      </c>
      <c r="Z160">
        <f t="shared" si="38"/>
        <v>0</v>
      </c>
      <c r="AA160">
        <f t="shared" si="38"/>
        <v>0</v>
      </c>
      <c r="AB160">
        <f t="shared" si="38"/>
        <v>0</v>
      </c>
      <c r="AC160">
        <f t="shared" si="38"/>
        <v>0</v>
      </c>
      <c r="AD160">
        <f t="shared" si="38"/>
        <v>0</v>
      </c>
      <c r="AE160">
        <f t="shared" si="38"/>
        <v>0</v>
      </c>
      <c r="AF160">
        <f t="shared" si="38"/>
        <v>0</v>
      </c>
      <c r="AG160">
        <f t="shared" si="38"/>
        <v>0</v>
      </c>
      <c r="AH160">
        <f t="shared" si="38"/>
        <v>0</v>
      </c>
      <c r="AI160">
        <f t="shared" si="38"/>
        <v>0</v>
      </c>
      <c r="AJ160">
        <f t="shared" si="38"/>
        <v>0</v>
      </c>
      <c r="AK160">
        <f t="shared" si="38"/>
        <v>0</v>
      </c>
      <c r="AL160">
        <f t="shared" si="38"/>
        <v>0</v>
      </c>
      <c r="AM160">
        <f t="shared" si="38"/>
        <v>0</v>
      </c>
      <c r="AN160">
        <f t="shared" si="40"/>
        <v>0</v>
      </c>
      <c r="AO160">
        <f t="shared" si="40"/>
        <v>0</v>
      </c>
      <c r="AP160">
        <f t="shared" si="40"/>
        <v>0</v>
      </c>
      <c r="AQ160">
        <f t="shared" si="40"/>
        <v>0</v>
      </c>
      <c r="AR160">
        <f t="shared" si="40"/>
        <v>0</v>
      </c>
    </row>
    <row r="161" spans="5:44" x14ac:dyDescent="0.2">
      <c r="E161" s="1">
        <f>moment_rate!$AC161</f>
        <v>7.4493433161470389E-3</v>
      </c>
      <c r="F161" s="1">
        <f t="shared" si="34"/>
        <v>0</v>
      </c>
      <c r="G161">
        <f>moment_rate!I161-0.005</f>
        <v>1.5400000000000011</v>
      </c>
      <c r="H161" s="1">
        <f t="shared" si="35"/>
        <v>0</v>
      </c>
      <c r="I161">
        <f t="shared" si="39"/>
        <v>0</v>
      </c>
      <c r="J161">
        <f t="shared" si="39"/>
        <v>0</v>
      </c>
      <c r="K161">
        <f t="shared" si="39"/>
        <v>0</v>
      </c>
      <c r="L161">
        <f t="shared" si="39"/>
        <v>0</v>
      </c>
      <c r="M161">
        <f t="shared" si="39"/>
        <v>0</v>
      </c>
      <c r="N161">
        <f t="shared" si="39"/>
        <v>0</v>
      </c>
      <c r="O161">
        <f t="shared" si="39"/>
        <v>0</v>
      </c>
      <c r="P161">
        <f t="shared" si="39"/>
        <v>0</v>
      </c>
      <c r="Q161">
        <f t="shared" si="39"/>
        <v>0</v>
      </c>
      <c r="R161">
        <f t="shared" si="39"/>
        <v>0</v>
      </c>
      <c r="S161">
        <f t="shared" si="39"/>
        <v>0</v>
      </c>
      <c r="T161">
        <f t="shared" si="39"/>
        <v>0</v>
      </c>
      <c r="U161">
        <f t="shared" si="39"/>
        <v>0</v>
      </c>
      <c r="V161">
        <f t="shared" si="39"/>
        <v>0</v>
      </c>
      <c r="W161">
        <f t="shared" si="39"/>
        <v>0</v>
      </c>
      <c r="X161">
        <f t="shared" si="39"/>
        <v>0</v>
      </c>
      <c r="Y161">
        <f t="shared" si="38"/>
        <v>0</v>
      </c>
      <c r="Z161">
        <f t="shared" si="38"/>
        <v>0</v>
      </c>
      <c r="AA161">
        <f t="shared" si="38"/>
        <v>0</v>
      </c>
      <c r="AB161">
        <f t="shared" si="38"/>
        <v>0</v>
      </c>
      <c r="AC161">
        <f t="shared" si="38"/>
        <v>0</v>
      </c>
      <c r="AD161">
        <f t="shared" si="38"/>
        <v>0</v>
      </c>
      <c r="AE161">
        <f t="shared" si="38"/>
        <v>0</v>
      </c>
      <c r="AF161">
        <f t="shared" si="38"/>
        <v>0</v>
      </c>
      <c r="AG161">
        <f t="shared" si="38"/>
        <v>0</v>
      </c>
      <c r="AH161">
        <f t="shared" si="38"/>
        <v>0</v>
      </c>
      <c r="AI161">
        <f t="shared" si="38"/>
        <v>0</v>
      </c>
      <c r="AJ161">
        <f t="shared" si="38"/>
        <v>0</v>
      </c>
      <c r="AK161">
        <f t="shared" si="38"/>
        <v>0</v>
      </c>
      <c r="AL161">
        <f t="shared" si="38"/>
        <v>0</v>
      </c>
      <c r="AM161">
        <f t="shared" si="38"/>
        <v>0</v>
      </c>
      <c r="AN161">
        <f t="shared" si="40"/>
        <v>0</v>
      </c>
      <c r="AO161">
        <f t="shared" si="40"/>
        <v>0</v>
      </c>
      <c r="AP161">
        <f t="shared" si="40"/>
        <v>0</v>
      </c>
      <c r="AQ161">
        <f t="shared" si="40"/>
        <v>0</v>
      </c>
      <c r="AR161">
        <f t="shared" si="40"/>
        <v>0</v>
      </c>
    </row>
    <row r="162" spans="5:44" x14ac:dyDescent="0.2">
      <c r="E162" s="1">
        <f>moment_rate!$AC162</f>
        <v>7.4493433161470389E-3</v>
      </c>
      <c r="F162" s="1">
        <f t="shared" si="34"/>
        <v>0</v>
      </c>
      <c r="G162">
        <f>moment_rate!I162-0.005</f>
        <v>1.5500000000000012</v>
      </c>
      <c r="H162" s="1">
        <f t="shared" si="35"/>
        <v>0</v>
      </c>
      <c r="I162">
        <f t="shared" si="39"/>
        <v>0</v>
      </c>
      <c r="J162">
        <f t="shared" si="39"/>
        <v>0</v>
      </c>
      <c r="K162">
        <f t="shared" si="39"/>
        <v>0</v>
      </c>
      <c r="L162">
        <f t="shared" si="39"/>
        <v>0</v>
      </c>
      <c r="M162">
        <f t="shared" si="39"/>
        <v>0</v>
      </c>
      <c r="N162">
        <f t="shared" si="39"/>
        <v>0</v>
      </c>
      <c r="O162">
        <f t="shared" si="39"/>
        <v>0</v>
      </c>
      <c r="P162">
        <f t="shared" si="39"/>
        <v>0</v>
      </c>
      <c r="Q162">
        <f t="shared" si="39"/>
        <v>0</v>
      </c>
      <c r="R162">
        <f t="shared" si="39"/>
        <v>0</v>
      </c>
      <c r="S162">
        <f t="shared" si="39"/>
        <v>0</v>
      </c>
      <c r="T162">
        <f t="shared" si="39"/>
        <v>0</v>
      </c>
      <c r="U162">
        <f t="shared" si="39"/>
        <v>0</v>
      </c>
      <c r="V162">
        <f t="shared" si="39"/>
        <v>0</v>
      </c>
      <c r="W162">
        <f t="shared" si="39"/>
        <v>0</v>
      </c>
      <c r="X162">
        <f t="shared" si="39"/>
        <v>0</v>
      </c>
      <c r="Y162">
        <f t="shared" si="38"/>
        <v>0</v>
      </c>
      <c r="Z162">
        <f t="shared" si="38"/>
        <v>0</v>
      </c>
      <c r="AA162">
        <f t="shared" si="38"/>
        <v>0</v>
      </c>
      <c r="AB162">
        <f t="shared" si="38"/>
        <v>0</v>
      </c>
      <c r="AC162">
        <f t="shared" si="38"/>
        <v>0</v>
      </c>
      <c r="AD162">
        <f t="shared" si="38"/>
        <v>0</v>
      </c>
      <c r="AE162">
        <f t="shared" si="38"/>
        <v>0</v>
      </c>
      <c r="AF162">
        <f t="shared" si="38"/>
        <v>0</v>
      </c>
      <c r="AG162">
        <f t="shared" si="38"/>
        <v>0</v>
      </c>
      <c r="AH162">
        <f t="shared" si="38"/>
        <v>0</v>
      </c>
      <c r="AI162">
        <f t="shared" si="38"/>
        <v>0</v>
      </c>
      <c r="AJ162">
        <f t="shared" si="38"/>
        <v>0</v>
      </c>
      <c r="AK162">
        <f t="shared" si="38"/>
        <v>0</v>
      </c>
      <c r="AL162">
        <f t="shared" si="38"/>
        <v>0</v>
      </c>
      <c r="AM162">
        <f t="shared" si="38"/>
        <v>0</v>
      </c>
      <c r="AN162">
        <f t="shared" si="40"/>
        <v>0</v>
      </c>
      <c r="AO162">
        <f t="shared" si="40"/>
        <v>0</v>
      </c>
      <c r="AP162">
        <f t="shared" si="40"/>
        <v>0</v>
      </c>
      <c r="AQ162">
        <f t="shared" si="40"/>
        <v>0</v>
      </c>
      <c r="AR162">
        <f t="shared" si="40"/>
        <v>0</v>
      </c>
    </row>
    <row r="163" spans="5:44" x14ac:dyDescent="0.2">
      <c r="E163" s="1">
        <f>moment_rate!$AC163</f>
        <v>7.4493433161470389E-3</v>
      </c>
      <c r="F163" s="1">
        <f t="shared" si="34"/>
        <v>0</v>
      </c>
      <c r="G163">
        <f>moment_rate!I163-0.005</f>
        <v>1.5600000000000012</v>
      </c>
      <c r="H163" s="1">
        <f t="shared" si="35"/>
        <v>0</v>
      </c>
      <c r="I163">
        <f t="shared" si="39"/>
        <v>0</v>
      </c>
      <c r="J163">
        <f t="shared" si="39"/>
        <v>0</v>
      </c>
      <c r="K163">
        <f t="shared" si="39"/>
        <v>0</v>
      </c>
      <c r="L163">
        <f t="shared" si="39"/>
        <v>0</v>
      </c>
      <c r="M163">
        <f t="shared" si="39"/>
        <v>0</v>
      </c>
      <c r="N163">
        <f t="shared" si="39"/>
        <v>0</v>
      </c>
      <c r="O163">
        <f t="shared" si="39"/>
        <v>0</v>
      </c>
      <c r="P163">
        <f t="shared" si="39"/>
        <v>0</v>
      </c>
      <c r="Q163">
        <f t="shared" si="39"/>
        <v>0</v>
      </c>
      <c r="R163">
        <f t="shared" si="39"/>
        <v>0</v>
      </c>
      <c r="S163">
        <f t="shared" si="39"/>
        <v>0</v>
      </c>
      <c r="T163">
        <f t="shared" si="39"/>
        <v>0</v>
      </c>
      <c r="U163">
        <f t="shared" si="39"/>
        <v>0</v>
      </c>
      <c r="V163">
        <f t="shared" si="39"/>
        <v>0</v>
      </c>
      <c r="W163">
        <f t="shared" si="39"/>
        <v>0</v>
      </c>
      <c r="X163">
        <f t="shared" si="39"/>
        <v>0</v>
      </c>
      <c r="Y163">
        <f t="shared" si="38"/>
        <v>0</v>
      </c>
      <c r="Z163">
        <f t="shared" si="38"/>
        <v>0</v>
      </c>
      <c r="AA163">
        <f t="shared" si="38"/>
        <v>0</v>
      </c>
      <c r="AB163">
        <f t="shared" si="38"/>
        <v>0</v>
      </c>
      <c r="AC163">
        <f t="shared" si="38"/>
        <v>0</v>
      </c>
      <c r="AD163">
        <f t="shared" si="38"/>
        <v>0</v>
      </c>
      <c r="AE163">
        <f t="shared" si="38"/>
        <v>0</v>
      </c>
      <c r="AF163">
        <f t="shared" si="38"/>
        <v>0</v>
      </c>
      <c r="AG163">
        <f t="shared" si="38"/>
        <v>0</v>
      </c>
      <c r="AH163">
        <f t="shared" si="38"/>
        <v>0</v>
      </c>
      <c r="AI163">
        <f t="shared" si="38"/>
        <v>0</v>
      </c>
      <c r="AJ163">
        <f t="shared" si="38"/>
        <v>0</v>
      </c>
      <c r="AK163">
        <f t="shared" si="38"/>
        <v>0</v>
      </c>
      <c r="AL163">
        <f t="shared" si="38"/>
        <v>0</v>
      </c>
      <c r="AM163">
        <f t="shared" si="38"/>
        <v>0</v>
      </c>
      <c r="AN163">
        <f t="shared" si="40"/>
        <v>0</v>
      </c>
      <c r="AO163">
        <f t="shared" si="40"/>
        <v>0</v>
      </c>
      <c r="AP163">
        <f t="shared" si="40"/>
        <v>0</v>
      </c>
      <c r="AQ163">
        <f t="shared" si="40"/>
        <v>0</v>
      </c>
      <c r="AR163">
        <f t="shared" si="40"/>
        <v>0</v>
      </c>
    </row>
    <row r="164" spans="5:44" x14ac:dyDescent="0.2">
      <c r="E164" s="1">
        <f>moment_rate!$AC164</f>
        <v>7.4493433161470389E-3</v>
      </c>
      <c r="F164" s="1">
        <f t="shared" si="34"/>
        <v>0</v>
      </c>
      <c r="G164">
        <f>moment_rate!I164-0.005</f>
        <v>1.5700000000000012</v>
      </c>
      <c r="H164" s="1">
        <f t="shared" si="35"/>
        <v>0</v>
      </c>
      <c r="I164">
        <f t="shared" si="39"/>
        <v>0</v>
      </c>
      <c r="J164">
        <f t="shared" si="39"/>
        <v>0</v>
      </c>
      <c r="K164">
        <f t="shared" si="39"/>
        <v>0</v>
      </c>
      <c r="L164">
        <f t="shared" si="39"/>
        <v>0</v>
      </c>
      <c r="M164">
        <f t="shared" si="39"/>
        <v>0</v>
      </c>
      <c r="N164">
        <f t="shared" si="39"/>
        <v>0</v>
      </c>
      <c r="O164">
        <f t="shared" si="39"/>
        <v>0</v>
      </c>
      <c r="P164">
        <f t="shared" si="39"/>
        <v>0</v>
      </c>
      <c r="Q164">
        <f t="shared" si="39"/>
        <v>0</v>
      </c>
      <c r="R164">
        <f t="shared" si="39"/>
        <v>0</v>
      </c>
      <c r="S164">
        <f t="shared" si="39"/>
        <v>0</v>
      </c>
      <c r="T164">
        <f t="shared" si="39"/>
        <v>0</v>
      </c>
      <c r="U164">
        <f t="shared" si="39"/>
        <v>0</v>
      </c>
      <c r="V164">
        <f t="shared" si="39"/>
        <v>0</v>
      </c>
      <c r="W164">
        <f t="shared" si="39"/>
        <v>0</v>
      </c>
      <c r="X164">
        <f t="shared" si="39"/>
        <v>0</v>
      </c>
      <c r="Y164">
        <f t="shared" si="38"/>
        <v>0</v>
      </c>
      <c r="Z164">
        <f t="shared" si="38"/>
        <v>0</v>
      </c>
      <c r="AA164">
        <f t="shared" si="38"/>
        <v>0</v>
      </c>
      <c r="AB164">
        <f t="shared" si="38"/>
        <v>0</v>
      </c>
      <c r="AC164">
        <f t="shared" si="38"/>
        <v>0</v>
      </c>
      <c r="AD164">
        <f t="shared" si="38"/>
        <v>0</v>
      </c>
      <c r="AE164">
        <f t="shared" si="38"/>
        <v>0</v>
      </c>
      <c r="AF164">
        <f t="shared" si="38"/>
        <v>0</v>
      </c>
      <c r="AG164">
        <f t="shared" si="38"/>
        <v>0</v>
      </c>
      <c r="AH164">
        <f t="shared" si="38"/>
        <v>0</v>
      </c>
      <c r="AI164">
        <f t="shared" si="38"/>
        <v>0</v>
      </c>
      <c r="AJ164">
        <f t="shared" si="38"/>
        <v>0</v>
      </c>
      <c r="AK164">
        <f t="shared" si="38"/>
        <v>0</v>
      </c>
      <c r="AL164">
        <f t="shared" si="38"/>
        <v>0</v>
      </c>
      <c r="AM164">
        <f t="shared" si="38"/>
        <v>0</v>
      </c>
      <c r="AN164">
        <f t="shared" si="40"/>
        <v>0</v>
      </c>
      <c r="AO164">
        <f t="shared" si="40"/>
        <v>0</v>
      </c>
      <c r="AP164">
        <f t="shared" si="40"/>
        <v>0</v>
      </c>
      <c r="AQ164">
        <f t="shared" si="40"/>
        <v>0</v>
      </c>
      <c r="AR164">
        <f t="shared" si="40"/>
        <v>0</v>
      </c>
    </row>
    <row r="165" spans="5:44" x14ac:dyDescent="0.2">
      <c r="E165" s="1">
        <f>moment_rate!$AC165</f>
        <v>7.4493433161470389E-3</v>
      </c>
      <c r="F165" s="1">
        <f t="shared" si="34"/>
        <v>0</v>
      </c>
      <c r="G165">
        <f>moment_rate!I165-0.005</f>
        <v>1.5800000000000012</v>
      </c>
      <c r="H165" s="1">
        <f t="shared" si="35"/>
        <v>0</v>
      </c>
      <c r="I165">
        <f t="shared" si="39"/>
        <v>0</v>
      </c>
      <c r="J165">
        <f t="shared" si="39"/>
        <v>0</v>
      </c>
      <c r="K165">
        <f t="shared" si="39"/>
        <v>0</v>
      </c>
      <c r="L165">
        <f t="shared" si="39"/>
        <v>0</v>
      </c>
      <c r="M165">
        <f t="shared" si="39"/>
        <v>0</v>
      </c>
      <c r="N165">
        <f t="shared" si="39"/>
        <v>0</v>
      </c>
      <c r="O165">
        <f t="shared" si="39"/>
        <v>0</v>
      </c>
      <c r="P165">
        <f t="shared" si="39"/>
        <v>0</v>
      </c>
      <c r="Q165">
        <f t="shared" si="39"/>
        <v>0</v>
      </c>
      <c r="R165">
        <f t="shared" si="39"/>
        <v>0</v>
      </c>
      <c r="S165">
        <f t="shared" si="39"/>
        <v>0</v>
      </c>
      <c r="T165">
        <f t="shared" si="39"/>
        <v>0</v>
      </c>
      <c r="U165">
        <f t="shared" si="39"/>
        <v>0</v>
      </c>
      <c r="V165">
        <f t="shared" si="39"/>
        <v>0</v>
      </c>
      <c r="W165">
        <f t="shared" si="39"/>
        <v>0</v>
      </c>
      <c r="X165">
        <f t="shared" si="39"/>
        <v>0</v>
      </c>
      <c r="Y165">
        <f t="shared" si="38"/>
        <v>0</v>
      </c>
      <c r="Z165">
        <f t="shared" si="38"/>
        <v>0</v>
      </c>
      <c r="AA165">
        <f t="shared" si="38"/>
        <v>0</v>
      </c>
      <c r="AB165">
        <f t="shared" si="38"/>
        <v>0</v>
      </c>
      <c r="AC165">
        <f t="shared" si="38"/>
        <v>0</v>
      </c>
      <c r="AD165">
        <f t="shared" si="38"/>
        <v>0</v>
      </c>
      <c r="AE165">
        <f t="shared" si="38"/>
        <v>0</v>
      </c>
      <c r="AF165">
        <f t="shared" si="38"/>
        <v>0</v>
      </c>
      <c r="AG165">
        <f t="shared" si="38"/>
        <v>0</v>
      </c>
      <c r="AH165">
        <f t="shared" si="38"/>
        <v>0</v>
      </c>
      <c r="AI165">
        <f t="shared" si="38"/>
        <v>0</v>
      </c>
      <c r="AJ165">
        <f t="shared" si="38"/>
        <v>0</v>
      </c>
      <c r="AK165">
        <f t="shared" si="38"/>
        <v>0</v>
      </c>
      <c r="AL165">
        <f t="shared" si="38"/>
        <v>0</v>
      </c>
      <c r="AM165">
        <f t="shared" si="38"/>
        <v>0</v>
      </c>
      <c r="AN165">
        <f t="shared" si="40"/>
        <v>0</v>
      </c>
      <c r="AO165">
        <f t="shared" si="40"/>
        <v>0</v>
      </c>
      <c r="AP165">
        <f t="shared" si="40"/>
        <v>0</v>
      </c>
      <c r="AQ165">
        <f t="shared" si="40"/>
        <v>0</v>
      </c>
      <c r="AR165">
        <f t="shared" si="40"/>
        <v>0</v>
      </c>
    </row>
    <row r="166" spans="5:44" x14ac:dyDescent="0.2">
      <c r="E166" s="1">
        <f>moment_rate!$AC166</f>
        <v>7.4493433161470389E-3</v>
      </c>
      <c r="F166" s="1">
        <f t="shared" si="34"/>
        <v>0</v>
      </c>
      <c r="G166">
        <f>moment_rate!I166-0.005</f>
        <v>1.5900000000000012</v>
      </c>
      <c r="H166" s="1">
        <f t="shared" si="35"/>
        <v>0</v>
      </c>
      <c r="I166">
        <f t="shared" si="39"/>
        <v>0</v>
      </c>
      <c r="J166">
        <f t="shared" si="39"/>
        <v>0</v>
      </c>
      <c r="K166">
        <f t="shared" si="39"/>
        <v>0</v>
      </c>
      <c r="L166">
        <f t="shared" si="39"/>
        <v>0</v>
      </c>
      <c r="M166">
        <f t="shared" si="39"/>
        <v>0</v>
      </c>
      <c r="N166">
        <f t="shared" si="39"/>
        <v>0</v>
      </c>
      <c r="O166">
        <f t="shared" si="39"/>
        <v>0</v>
      </c>
      <c r="P166">
        <f t="shared" si="39"/>
        <v>0</v>
      </c>
      <c r="Q166">
        <f t="shared" si="39"/>
        <v>0</v>
      </c>
      <c r="R166">
        <f t="shared" si="39"/>
        <v>0</v>
      </c>
      <c r="S166">
        <f t="shared" si="39"/>
        <v>0</v>
      </c>
      <c r="T166">
        <f t="shared" si="39"/>
        <v>0</v>
      </c>
      <c r="U166">
        <f t="shared" si="39"/>
        <v>0</v>
      </c>
      <c r="V166">
        <f t="shared" si="39"/>
        <v>0</v>
      </c>
      <c r="W166">
        <f t="shared" si="39"/>
        <v>0</v>
      </c>
      <c r="X166">
        <f t="shared" si="39"/>
        <v>0</v>
      </c>
      <c r="Y166">
        <f t="shared" si="38"/>
        <v>0</v>
      </c>
      <c r="Z166">
        <f t="shared" si="38"/>
        <v>0</v>
      </c>
      <c r="AA166">
        <f t="shared" si="38"/>
        <v>0</v>
      </c>
      <c r="AB166">
        <f t="shared" si="38"/>
        <v>0</v>
      </c>
      <c r="AC166">
        <f t="shared" si="38"/>
        <v>0</v>
      </c>
      <c r="AD166">
        <f t="shared" si="38"/>
        <v>0</v>
      </c>
      <c r="AE166">
        <f t="shared" si="38"/>
        <v>0</v>
      </c>
      <c r="AF166">
        <f t="shared" si="38"/>
        <v>0</v>
      </c>
      <c r="AG166">
        <f t="shared" si="38"/>
        <v>0</v>
      </c>
      <c r="AH166">
        <f t="shared" si="38"/>
        <v>0</v>
      </c>
      <c r="AI166">
        <f t="shared" si="38"/>
        <v>0</v>
      </c>
      <c r="AJ166">
        <f t="shared" si="38"/>
        <v>0</v>
      </c>
      <c r="AK166">
        <f t="shared" si="38"/>
        <v>0</v>
      </c>
      <c r="AL166">
        <f t="shared" si="38"/>
        <v>0</v>
      </c>
      <c r="AM166">
        <f t="shared" si="38"/>
        <v>0</v>
      </c>
      <c r="AN166">
        <f t="shared" si="40"/>
        <v>0</v>
      </c>
      <c r="AO166">
        <f t="shared" si="40"/>
        <v>0</v>
      </c>
      <c r="AP166">
        <f t="shared" si="40"/>
        <v>0</v>
      </c>
      <c r="AQ166">
        <f t="shared" si="40"/>
        <v>0</v>
      </c>
      <c r="AR166">
        <f t="shared" si="40"/>
        <v>0</v>
      </c>
    </row>
    <row r="167" spans="5:44" x14ac:dyDescent="0.2">
      <c r="E167" s="1">
        <f>moment_rate!$AC167</f>
        <v>7.4493433161470389E-3</v>
      </c>
      <c r="F167" s="1">
        <f t="shared" si="34"/>
        <v>0</v>
      </c>
      <c r="G167">
        <f>moment_rate!I167-0.005</f>
        <v>1.6000000000000012</v>
      </c>
      <c r="H167" s="1">
        <f t="shared" si="35"/>
        <v>0</v>
      </c>
      <c r="I167">
        <f t="shared" si="39"/>
        <v>0</v>
      </c>
      <c r="J167">
        <f t="shared" si="39"/>
        <v>0</v>
      </c>
      <c r="K167">
        <f t="shared" si="39"/>
        <v>0</v>
      </c>
      <c r="L167">
        <f t="shared" si="39"/>
        <v>0</v>
      </c>
      <c r="M167">
        <f t="shared" si="39"/>
        <v>0</v>
      </c>
      <c r="N167">
        <f t="shared" si="39"/>
        <v>0</v>
      </c>
      <c r="O167">
        <f t="shared" si="39"/>
        <v>0</v>
      </c>
      <c r="P167">
        <f t="shared" si="39"/>
        <v>0</v>
      </c>
      <c r="Q167">
        <f t="shared" si="39"/>
        <v>0</v>
      </c>
      <c r="R167">
        <f t="shared" si="39"/>
        <v>0</v>
      </c>
      <c r="S167">
        <f t="shared" si="39"/>
        <v>0</v>
      </c>
      <c r="T167">
        <f t="shared" si="39"/>
        <v>0</v>
      </c>
      <c r="U167">
        <f t="shared" si="39"/>
        <v>0</v>
      </c>
      <c r="V167">
        <f t="shared" si="39"/>
        <v>0</v>
      </c>
      <c r="W167">
        <f t="shared" si="39"/>
        <v>0</v>
      </c>
      <c r="X167">
        <f t="shared" si="39"/>
        <v>0</v>
      </c>
      <c r="Y167">
        <f t="shared" si="38"/>
        <v>0</v>
      </c>
      <c r="Z167">
        <f t="shared" si="38"/>
        <v>0</v>
      </c>
      <c r="AA167">
        <f t="shared" si="38"/>
        <v>0</v>
      </c>
      <c r="AB167">
        <f t="shared" si="38"/>
        <v>0</v>
      </c>
      <c r="AC167">
        <f t="shared" si="38"/>
        <v>0</v>
      </c>
      <c r="AD167">
        <f t="shared" si="38"/>
        <v>0</v>
      </c>
      <c r="AE167">
        <f t="shared" si="38"/>
        <v>0</v>
      </c>
      <c r="AF167">
        <f t="shared" si="38"/>
        <v>0</v>
      </c>
      <c r="AG167">
        <f t="shared" si="38"/>
        <v>0</v>
      </c>
      <c r="AH167">
        <f t="shared" si="38"/>
        <v>0</v>
      </c>
      <c r="AI167">
        <f t="shared" si="38"/>
        <v>0</v>
      </c>
      <c r="AJ167">
        <f t="shared" si="38"/>
        <v>0</v>
      </c>
      <c r="AK167">
        <f t="shared" si="38"/>
        <v>0</v>
      </c>
      <c r="AL167">
        <f t="shared" si="38"/>
        <v>0</v>
      </c>
      <c r="AM167">
        <f t="shared" si="38"/>
        <v>0</v>
      </c>
      <c r="AN167">
        <f t="shared" si="40"/>
        <v>0</v>
      </c>
      <c r="AO167">
        <f t="shared" si="40"/>
        <v>0</v>
      </c>
      <c r="AP167">
        <f t="shared" si="40"/>
        <v>0</v>
      </c>
      <c r="AQ167">
        <f t="shared" si="40"/>
        <v>0</v>
      </c>
      <c r="AR167">
        <f t="shared" si="40"/>
        <v>0</v>
      </c>
    </row>
    <row r="168" spans="5:44" x14ac:dyDescent="0.2">
      <c r="E168" s="1">
        <f>moment_rate!$AC168</f>
        <v>7.4493433161470389E-3</v>
      </c>
      <c r="F168" s="1">
        <f t="shared" si="34"/>
        <v>0</v>
      </c>
      <c r="G168">
        <f>moment_rate!I168-0.005</f>
        <v>1.6100000000000012</v>
      </c>
      <c r="H168" s="1">
        <f t="shared" si="35"/>
        <v>0</v>
      </c>
      <c r="I168">
        <f t="shared" si="39"/>
        <v>0</v>
      </c>
      <c r="J168">
        <f t="shared" si="39"/>
        <v>0</v>
      </c>
      <c r="K168">
        <f t="shared" si="39"/>
        <v>0</v>
      </c>
      <c r="L168">
        <f t="shared" si="39"/>
        <v>0</v>
      </c>
      <c r="M168">
        <f t="shared" si="39"/>
        <v>0</v>
      </c>
      <c r="N168">
        <f t="shared" si="39"/>
        <v>0</v>
      </c>
      <c r="O168">
        <f t="shared" si="39"/>
        <v>0</v>
      </c>
      <c r="P168">
        <f t="shared" si="39"/>
        <v>0</v>
      </c>
      <c r="Q168">
        <f t="shared" si="39"/>
        <v>0</v>
      </c>
      <c r="R168">
        <f t="shared" si="39"/>
        <v>0</v>
      </c>
      <c r="S168">
        <f t="shared" si="39"/>
        <v>0</v>
      </c>
      <c r="T168">
        <f t="shared" si="39"/>
        <v>0</v>
      </c>
      <c r="U168">
        <f t="shared" si="39"/>
        <v>0</v>
      </c>
      <c r="V168">
        <f t="shared" si="39"/>
        <v>0</v>
      </c>
      <c r="W168">
        <f t="shared" si="39"/>
        <v>0</v>
      </c>
      <c r="X168">
        <f t="shared" si="39"/>
        <v>0</v>
      </c>
      <c r="Y168">
        <f t="shared" si="38"/>
        <v>0</v>
      </c>
      <c r="Z168">
        <f t="shared" si="38"/>
        <v>0</v>
      </c>
      <c r="AA168">
        <f t="shared" si="38"/>
        <v>0</v>
      </c>
      <c r="AB168">
        <f t="shared" si="38"/>
        <v>0</v>
      </c>
      <c r="AC168">
        <f t="shared" si="38"/>
        <v>0</v>
      </c>
      <c r="AD168">
        <f t="shared" si="38"/>
        <v>0</v>
      </c>
      <c r="AE168">
        <f t="shared" si="38"/>
        <v>0</v>
      </c>
      <c r="AF168">
        <f t="shared" si="38"/>
        <v>0</v>
      </c>
      <c r="AG168">
        <f t="shared" si="38"/>
        <v>0</v>
      </c>
      <c r="AH168">
        <f t="shared" si="38"/>
        <v>0</v>
      </c>
      <c r="AI168">
        <f t="shared" si="38"/>
        <v>0</v>
      </c>
      <c r="AJ168">
        <f t="shared" si="38"/>
        <v>0</v>
      </c>
      <c r="AK168">
        <f t="shared" si="38"/>
        <v>0</v>
      </c>
      <c r="AL168">
        <f t="shared" si="38"/>
        <v>0</v>
      </c>
      <c r="AM168">
        <f t="shared" si="38"/>
        <v>0</v>
      </c>
      <c r="AN168">
        <f t="shared" si="40"/>
        <v>0</v>
      </c>
      <c r="AO168">
        <f t="shared" si="40"/>
        <v>0</v>
      </c>
      <c r="AP168">
        <f t="shared" si="40"/>
        <v>0</v>
      </c>
      <c r="AQ168">
        <f t="shared" si="40"/>
        <v>0</v>
      </c>
      <c r="AR168">
        <f t="shared" si="40"/>
        <v>0</v>
      </c>
    </row>
    <row r="169" spans="5:44" x14ac:dyDescent="0.2">
      <c r="E169" s="1">
        <f>moment_rate!$AC169</f>
        <v>7.4493433161470389E-3</v>
      </c>
      <c r="F169" s="1">
        <f t="shared" si="34"/>
        <v>0</v>
      </c>
      <c r="G169">
        <f>moment_rate!I169-0.005</f>
        <v>1.6200000000000012</v>
      </c>
      <c r="H169" s="1">
        <f t="shared" si="35"/>
        <v>0</v>
      </c>
      <c r="I169">
        <f t="shared" si="39"/>
        <v>0</v>
      </c>
      <c r="J169">
        <f t="shared" si="39"/>
        <v>0</v>
      </c>
      <c r="K169">
        <f t="shared" si="39"/>
        <v>0</v>
      </c>
      <c r="L169">
        <f t="shared" si="39"/>
        <v>0</v>
      </c>
      <c r="M169">
        <f t="shared" si="39"/>
        <v>0</v>
      </c>
      <c r="N169">
        <f t="shared" si="39"/>
        <v>0</v>
      </c>
      <c r="O169">
        <f t="shared" si="39"/>
        <v>0</v>
      </c>
      <c r="P169">
        <f t="shared" si="39"/>
        <v>0</v>
      </c>
      <c r="Q169">
        <f t="shared" si="39"/>
        <v>0</v>
      </c>
      <c r="R169">
        <f t="shared" si="39"/>
        <v>0</v>
      </c>
      <c r="S169">
        <f t="shared" si="39"/>
        <v>0</v>
      </c>
      <c r="T169">
        <f t="shared" si="39"/>
        <v>0</v>
      </c>
      <c r="U169">
        <f t="shared" si="39"/>
        <v>0</v>
      </c>
      <c r="V169">
        <f t="shared" si="39"/>
        <v>0</v>
      </c>
      <c r="W169">
        <f t="shared" si="39"/>
        <v>0</v>
      </c>
      <c r="X169">
        <f t="shared" si="39"/>
        <v>0</v>
      </c>
      <c r="Y169">
        <f t="shared" si="38"/>
        <v>0</v>
      </c>
      <c r="Z169">
        <f t="shared" si="38"/>
        <v>0</v>
      </c>
      <c r="AA169">
        <f t="shared" si="38"/>
        <v>0</v>
      </c>
      <c r="AB169">
        <f t="shared" si="38"/>
        <v>0</v>
      </c>
      <c r="AC169">
        <f t="shared" si="38"/>
        <v>0</v>
      </c>
      <c r="AD169">
        <f t="shared" si="38"/>
        <v>0</v>
      </c>
      <c r="AE169">
        <f t="shared" si="38"/>
        <v>0</v>
      </c>
      <c r="AF169">
        <f t="shared" si="38"/>
        <v>0</v>
      </c>
      <c r="AG169">
        <f t="shared" si="38"/>
        <v>0</v>
      </c>
      <c r="AH169">
        <f t="shared" si="38"/>
        <v>0</v>
      </c>
      <c r="AI169">
        <f t="shared" si="38"/>
        <v>0</v>
      </c>
      <c r="AJ169">
        <f t="shared" si="38"/>
        <v>0</v>
      </c>
      <c r="AK169">
        <f t="shared" si="38"/>
        <v>0</v>
      </c>
      <c r="AL169">
        <f t="shared" si="38"/>
        <v>0</v>
      </c>
      <c r="AM169">
        <f t="shared" si="38"/>
        <v>0</v>
      </c>
      <c r="AN169">
        <f t="shared" si="40"/>
        <v>0</v>
      </c>
      <c r="AO169">
        <f t="shared" si="40"/>
        <v>0</v>
      </c>
      <c r="AP169">
        <f t="shared" si="40"/>
        <v>0</v>
      </c>
      <c r="AQ169">
        <f t="shared" si="40"/>
        <v>0</v>
      </c>
      <c r="AR169">
        <f t="shared" si="40"/>
        <v>0</v>
      </c>
    </row>
    <row r="170" spans="5:44" x14ac:dyDescent="0.2">
      <c r="E170" s="1">
        <f>moment_rate!$AC170</f>
        <v>7.4493433161470389E-3</v>
      </c>
      <c r="F170" s="1">
        <f t="shared" si="34"/>
        <v>0</v>
      </c>
      <c r="G170">
        <f>moment_rate!I170-0.005</f>
        <v>1.6300000000000012</v>
      </c>
      <c r="H170" s="1">
        <f t="shared" si="35"/>
        <v>0</v>
      </c>
      <c r="I170">
        <f t="shared" si="39"/>
        <v>0</v>
      </c>
      <c r="J170">
        <f t="shared" si="39"/>
        <v>0</v>
      </c>
      <c r="K170">
        <f t="shared" si="39"/>
        <v>0</v>
      </c>
      <c r="L170">
        <f t="shared" si="39"/>
        <v>0</v>
      </c>
      <c r="M170">
        <f t="shared" si="39"/>
        <v>0</v>
      </c>
      <c r="N170">
        <f t="shared" si="39"/>
        <v>0</v>
      </c>
      <c r="O170">
        <f t="shared" si="39"/>
        <v>0</v>
      </c>
      <c r="P170">
        <f t="shared" si="39"/>
        <v>0</v>
      </c>
      <c r="Q170">
        <f t="shared" si="39"/>
        <v>0</v>
      </c>
      <c r="R170">
        <f t="shared" si="39"/>
        <v>0</v>
      </c>
      <c r="S170">
        <f t="shared" si="39"/>
        <v>0</v>
      </c>
      <c r="T170">
        <f t="shared" si="39"/>
        <v>0</v>
      </c>
      <c r="U170">
        <f t="shared" si="39"/>
        <v>0</v>
      </c>
      <c r="V170">
        <f t="shared" si="39"/>
        <v>0</v>
      </c>
      <c r="W170">
        <f t="shared" si="39"/>
        <v>0</v>
      </c>
      <c r="X170">
        <f t="shared" si="39"/>
        <v>0</v>
      </c>
      <c r="Y170">
        <f t="shared" si="38"/>
        <v>0</v>
      </c>
      <c r="Z170">
        <f t="shared" si="38"/>
        <v>0</v>
      </c>
      <c r="AA170">
        <f t="shared" si="38"/>
        <v>0</v>
      </c>
      <c r="AB170">
        <f t="shared" si="38"/>
        <v>0</v>
      </c>
      <c r="AC170">
        <f t="shared" si="38"/>
        <v>0</v>
      </c>
      <c r="AD170">
        <f t="shared" si="38"/>
        <v>0</v>
      </c>
      <c r="AE170">
        <f t="shared" si="38"/>
        <v>0</v>
      </c>
      <c r="AF170">
        <f t="shared" si="38"/>
        <v>0</v>
      </c>
      <c r="AG170">
        <f t="shared" si="38"/>
        <v>0</v>
      </c>
      <c r="AH170">
        <f t="shared" si="38"/>
        <v>0</v>
      </c>
      <c r="AI170">
        <f t="shared" si="38"/>
        <v>0</v>
      </c>
      <c r="AJ170">
        <f t="shared" si="38"/>
        <v>0</v>
      </c>
      <c r="AK170">
        <f t="shared" si="38"/>
        <v>0</v>
      </c>
      <c r="AL170">
        <f t="shared" si="38"/>
        <v>0</v>
      </c>
      <c r="AM170">
        <f t="shared" si="38"/>
        <v>0</v>
      </c>
      <c r="AN170">
        <f t="shared" si="40"/>
        <v>0</v>
      </c>
      <c r="AO170">
        <f t="shared" si="40"/>
        <v>0</v>
      </c>
      <c r="AP170">
        <f t="shared" si="40"/>
        <v>0</v>
      </c>
      <c r="AQ170">
        <f t="shared" si="40"/>
        <v>0</v>
      </c>
      <c r="AR170">
        <f t="shared" si="40"/>
        <v>0</v>
      </c>
    </row>
    <row r="171" spans="5:44" x14ac:dyDescent="0.2">
      <c r="E171" s="1">
        <f>moment_rate!$AC171</f>
        <v>7.4493433161470389E-3</v>
      </c>
      <c r="F171" s="1">
        <f t="shared" si="34"/>
        <v>0</v>
      </c>
      <c r="G171">
        <f>moment_rate!I171-0.005</f>
        <v>1.6400000000000012</v>
      </c>
      <c r="H171" s="1">
        <f t="shared" si="35"/>
        <v>0</v>
      </c>
      <c r="I171">
        <f t="shared" si="39"/>
        <v>0</v>
      </c>
      <c r="J171">
        <f t="shared" si="39"/>
        <v>0</v>
      </c>
      <c r="K171">
        <f t="shared" si="39"/>
        <v>0</v>
      </c>
      <c r="L171">
        <f t="shared" si="39"/>
        <v>0</v>
      </c>
      <c r="M171">
        <f t="shared" si="39"/>
        <v>0</v>
      </c>
      <c r="N171">
        <f t="shared" si="39"/>
        <v>0</v>
      </c>
      <c r="O171">
        <f t="shared" si="39"/>
        <v>0</v>
      </c>
      <c r="P171">
        <f t="shared" si="39"/>
        <v>0</v>
      </c>
      <c r="Q171">
        <f t="shared" si="39"/>
        <v>0</v>
      </c>
      <c r="R171">
        <f t="shared" si="39"/>
        <v>0</v>
      </c>
      <c r="S171">
        <f t="shared" si="39"/>
        <v>0</v>
      </c>
      <c r="T171">
        <f t="shared" si="39"/>
        <v>0</v>
      </c>
      <c r="U171">
        <f t="shared" si="39"/>
        <v>0</v>
      </c>
      <c r="V171">
        <f t="shared" si="39"/>
        <v>0</v>
      </c>
      <c r="W171">
        <f t="shared" si="39"/>
        <v>0</v>
      </c>
      <c r="X171">
        <f t="shared" si="39"/>
        <v>0</v>
      </c>
      <c r="Y171">
        <f t="shared" si="38"/>
        <v>0</v>
      </c>
      <c r="Z171">
        <f t="shared" si="38"/>
        <v>0</v>
      </c>
      <c r="AA171">
        <f t="shared" si="38"/>
        <v>0</v>
      </c>
      <c r="AB171">
        <f t="shared" si="38"/>
        <v>0</v>
      </c>
      <c r="AC171">
        <f t="shared" si="38"/>
        <v>0</v>
      </c>
      <c r="AD171">
        <f t="shared" si="38"/>
        <v>0</v>
      </c>
      <c r="AE171">
        <f t="shared" si="38"/>
        <v>0</v>
      </c>
      <c r="AF171">
        <f t="shared" si="38"/>
        <v>0</v>
      </c>
      <c r="AG171">
        <f t="shared" si="38"/>
        <v>0</v>
      </c>
      <c r="AH171">
        <f t="shared" si="38"/>
        <v>0</v>
      </c>
      <c r="AI171">
        <f t="shared" si="38"/>
        <v>0</v>
      </c>
      <c r="AJ171">
        <f t="shared" si="38"/>
        <v>0</v>
      </c>
      <c r="AK171">
        <f t="shared" si="38"/>
        <v>0</v>
      </c>
      <c r="AL171">
        <f t="shared" si="38"/>
        <v>0</v>
      </c>
      <c r="AM171">
        <f t="shared" si="38"/>
        <v>0</v>
      </c>
      <c r="AN171">
        <f t="shared" si="40"/>
        <v>0</v>
      </c>
      <c r="AO171">
        <f t="shared" si="40"/>
        <v>0</v>
      </c>
      <c r="AP171">
        <f t="shared" si="40"/>
        <v>0</v>
      </c>
      <c r="AQ171">
        <f t="shared" si="40"/>
        <v>0</v>
      </c>
      <c r="AR171">
        <f t="shared" si="40"/>
        <v>0</v>
      </c>
    </row>
    <row r="172" spans="5:44" x14ac:dyDescent="0.2">
      <c r="E172" s="1">
        <f>moment_rate!$AC172</f>
        <v>7.4493433161470389E-3</v>
      </c>
      <c r="F172" s="1">
        <f t="shared" si="34"/>
        <v>0</v>
      </c>
      <c r="G172">
        <f>moment_rate!I172-0.005</f>
        <v>1.6500000000000012</v>
      </c>
      <c r="H172" s="1">
        <f t="shared" si="35"/>
        <v>0</v>
      </c>
      <c r="I172">
        <f t="shared" si="39"/>
        <v>0</v>
      </c>
      <c r="J172">
        <f t="shared" si="39"/>
        <v>0</v>
      </c>
      <c r="K172">
        <f t="shared" si="39"/>
        <v>0</v>
      </c>
      <c r="L172">
        <f t="shared" si="39"/>
        <v>0</v>
      </c>
      <c r="M172">
        <f t="shared" si="39"/>
        <v>0</v>
      </c>
      <c r="N172">
        <f t="shared" si="39"/>
        <v>0</v>
      </c>
      <c r="O172">
        <f t="shared" si="39"/>
        <v>0</v>
      </c>
      <c r="P172">
        <f t="shared" si="39"/>
        <v>0</v>
      </c>
      <c r="Q172">
        <f t="shared" si="39"/>
        <v>0</v>
      </c>
      <c r="R172">
        <f t="shared" si="39"/>
        <v>0</v>
      </c>
      <c r="S172">
        <f t="shared" si="39"/>
        <v>0</v>
      </c>
      <c r="T172">
        <f t="shared" si="39"/>
        <v>0</v>
      </c>
      <c r="U172">
        <f t="shared" si="39"/>
        <v>0</v>
      </c>
      <c r="V172">
        <f t="shared" si="39"/>
        <v>0</v>
      </c>
      <c r="W172">
        <f t="shared" si="39"/>
        <v>0</v>
      </c>
      <c r="X172">
        <f t="shared" si="39"/>
        <v>0</v>
      </c>
      <c r="Y172">
        <f t="shared" si="38"/>
        <v>0</v>
      </c>
      <c r="Z172">
        <f t="shared" si="38"/>
        <v>0</v>
      </c>
      <c r="AA172">
        <f t="shared" si="38"/>
        <v>0</v>
      </c>
      <c r="AB172">
        <f t="shared" si="38"/>
        <v>0</v>
      </c>
      <c r="AC172">
        <f t="shared" si="38"/>
        <v>0</v>
      </c>
      <c r="AD172">
        <f t="shared" si="38"/>
        <v>0</v>
      </c>
      <c r="AE172">
        <f t="shared" si="38"/>
        <v>0</v>
      </c>
      <c r="AF172">
        <f t="shared" si="38"/>
        <v>0</v>
      </c>
      <c r="AG172">
        <f t="shared" si="38"/>
        <v>0</v>
      </c>
      <c r="AH172">
        <f t="shared" si="38"/>
        <v>0</v>
      </c>
      <c r="AI172">
        <f t="shared" si="38"/>
        <v>0</v>
      </c>
      <c r="AJ172">
        <f t="shared" si="38"/>
        <v>0</v>
      </c>
      <c r="AK172">
        <f t="shared" si="38"/>
        <v>0</v>
      </c>
      <c r="AL172">
        <f t="shared" si="38"/>
        <v>0</v>
      </c>
      <c r="AM172">
        <f t="shared" si="38"/>
        <v>0</v>
      </c>
      <c r="AN172">
        <f t="shared" si="40"/>
        <v>0</v>
      </c>
      <c r="AO172">
        <f t="shared" si="40"/>
        <v>0</v>
      </c>
      <c r="AP172">
        <f t="shared" si="40"/>
        <v>0</v>
      </c>
      <c r="AQ172">
        <f t="shared" si="40"/>
        <v>0</v>
      </c>
      <c r="AR172">
        <f t="shared" si="40"/>
        <v>0</v>
      </c>
    </row>
    <row r="173" spans="5:44" x14ac:dyDescent="0.2">
      <c r="E173" s="1">
        <f>moment_rate!$AC173</f>
        <v>7.4493433161470389E-3</v>
      </c>
      <c r="F173" s="1">
        <f t="shared" si="34"/>
        <v>0</v>
      </c>
      <c r="G173">
        <f>moment_rate!I173-0.005</f>
        <v>1.6600000000000013</v>
      </c>
      <c r="H173" s="1">
        <f t="shared" si="35"/>
        <v>0</v>
      </c>
      <c r="I173">
        <f t="shared" si="39"/>
        <v>0</v>
      </c>
      <c r="J173">
        <f t="shared" si="39"/>
        <v>0</v>
      </c>
      <c r="K173">
        <f t="shared" si="39"/>
        <v>0</v>
      </c>
      <c r="L173">
        <f t="shared" si="39"/>
        <v>0</v>
      </c>
      <c r="M173">
        <f t="shared" si="39"/>
        <v>0</v>
      </c>
      <c r="N173">
        <f t="shared" si="39"/>
        <v>0</v>
      </c>
      <c r="O173">
        <f t="shared" si="39"/>
        <v>0</v>
      </c>
      <c r="P173">
        <f t="shared" si="39"/>
        <v>0</v>
      </c>
      <c r="Q173">
        <f t="shared" si="39"/>
        <v>0</v>
      </c>
      <c r="R173">
        <f t="shared" si="39"/>
        <v>0</v>
      </c>
      <c r="S173">
        <f t="shared" si="39"/>
        <v>0</v>
      </c>
      <c r="T173">
        <f t="shared" si="39"/>
        <v>0</v>
      </c>
      <c r="U173">
        <f t="shared" si="39"/>
        <v>0</v>
      </c>
      <c r="V173">
        <f t="shared" si="39"/>
        <v>0</v>
      </c>
      <c r="W173">
        <f t="shared" si="39"/>
        <v>0</v>
      </c>
      <c r="X173">
        <f t="shared" si="39"/>
        <v>0</v>
      </c>
      <c r="Y173">
        <f t="shared" si="38"/>
        <v>0</v>
      </c>
      <c r="Z173">
        <f t="shared" si="38"/>
        <v>0</v>
      </c>
      <c r="AA173">
        <f t="shared" si="38"/>
        <v>0</v>
      </c>
      <c r="AB173">
        <f t="shared" si="38"/>
        <v>0</v>
      </c>
      <c r="AC173">
        <f t="shared" si="38"/>
        <v>0</v>
      </c>
      <c r="AD173">
        <f t="shared" si="38"/>
        <v>0</v>
      </c>
      <c r="AE173">
        <f t="shared" si="38"/>
        <v>0</v>
      </c>
      <c r="AF173">
        <f t="shared" si="38"/>
        <v>0</v>
      </c>
      <c r="AG173">
        <f t="shared" si="38"/>
        <v>0</v>
      </c>
      <c r="AH173">
        <f t="shared" si="38"/>
        <v>0</v>
      </c>
      <c r="AI173">
        <f t="shared" si="38"/>
        <v>0</v>
      </c>
      <c r="AJ173">
        <f t="shared" si="38"/>
        <v>0</v>
      </c>
      <c r="AK173">
        <f t="shared" si="38"/>
        <v>0</v>
      </c>
      <c r="AL173">
        <f t="shared" si="38"/>
        <v>0</v>
      </c>
      <c r="AM173">
        <f t="shared" si="38"/>
        <v>0</v>
      </c>
      <c r="AN173">
        <f t="shared" si="40"/>
        <v>0</v>
      </c>
      <c r="AO173">
        <f t="shared" si="40"/>
        <v>0</v>
      </c>
      <c r="AP173">
        <f t="shared" si="40"/>
        <v>0</v>
      </c>
      <c r="AQ173">
        <f t="shared" si="40"/>
        <v>0</v>
      </c>
      <c r="AR173">
        <f t="shared" si="40"/>
        <v>0</v>
      </c>
    </row>
    <row r="174" spans="5:44" x14ac:dyDescent="0.2">
      <c r="E174" s="1">
        <f>moment_rate!$AC174</f>
        <v>7.4493433161470389E-3</v>
      </c>
      <c r="F174" s="1">
        <f t="shared" si="34"/>
        <v>0</v>
      </c>
      <c r="G174">
        <f>moment_rate!I174-0.005</f>
        <v>1.6700000000000013</v>
      </c>
      <c r="H174" s="1">
        <f t="shared" si="35"/>
        <v>0</v>
      </c>
      <c r="I174">
        <f t="shared" si="39"/>
        <v>0</v>
      </c>
      <c r="J174">
        <f t="shared" si="39"/>
        <v>0</v>
      </c>
      <c r="K174">
        <f t="shared" si="39"/>
        <v>0</v>
      </c>
      <c r="L174">
        <f t="shared" si="39"/>
        <v>0</v>
      </c>
      <c r="M174">
        <f t="shared" si="39"/>
        <v>0</v>
      </c>
      <c r="N174">
        <f t="shared" si="39"/>
        <v>0</v>
      </c>
      <c r="O174">
        <f t="shared" si="39"/>
        <v>0</v>
      </c>
      <c r="P174">
        <f t="shared" si="39"/>
        <v>0</v>
      </c>
      <c r="Q174">
        <f t="shared" si="39"/>
        <v>0</v>
      </c>
      <c r="R174">
        <f t="shared" si="39"/>
        <v>0</v>
      </c>
      <c r="S174">
        <f t="shared" si="39"/>
        <v>0</v>
      </c>
      <c r="T174">
        <f t="shared" si="39"/>
        <v>0</v>
      </c>
      <c r="U174">
        <f t="shared" si="39"/>
        <v>0</v>
      </c>
      <c r="V174">
        <f t="shared" si="39"/>
        <v>0</v>
      </c>
      <c r="W174">
        <f t="shared" si="39"/>
        <v>0</v>
      </c>
      <c r="X174">
        <f t="shared" ref="X174:AM189" si="41">IF(AND($G174&gt;=X$3,$G174&lt;X$4),$F174,0)</f>
        <v>0</v>
      </c>
      <c r="Y174">
        <f t="shared" si="41"/>
        <v>0</v>
      </c>
      <c r="Z174">
        <f t="shared" si="41"/>
        <v>0</v>
      </c>
      <c r="AA174">
        <f t="shared" si="41"/>
        <v>0</v>
      </c>
      <c r="AB174">
        <f t="shared" si="41"/>
        <v>0</v>
      </c>
      <c r="AC174">
        <f t="shared" si="41"/>
        <v>0</v>
      </c>
      <c r="AD174">
        <f t="shared" si="41"/>
        <v>0</v>
      </c>
      <c r="AE174">
        <f t="shared" si="41"/>
        <v>0</v>
      </c>
      <c r="AF174">
        <f t="shared" si="41"/>
        <v>0</v>
      </c>
      <c r="AG174">
        <f t="shared" si="41"/>
        <v>0</v>
      </c>
      <c r="AH174">
        <f t="shared" si="41"/>
        <v>0</v>
      </c>
      <c r="AI174">
        <f t="shared" si="41"/>
        <v>0</v>
      </c>
      <c r="AJ174">
        <f t="shared" si="41"/>
        <v>0</v>
      </c>
      <c r="AK174">
        <f t="shared" si="41"/>
        <v>0</v>
      </c>
      <c r="AL174">
        <f t="shared" si="41"/>
        <v>0</v>
      </c>
      <c r="AM174">
        <f t="shared" si="41"/>
        <v>0</v>
      </c>
      <c r="AN174">
        <f t="shared" si="40"/>
        <v>0</v>
      </c>
      <c r="AO174">
        <f t="shared" si="40"/>
        <v>0</v>
      </c>
      <c r="AP174">
        <f t="shared" si="40"/>
        <v>0</v>
      </c>
      <c r="AQ174">
        <f t="shared" si="40"/>
        <v>0</v>
      </c>
      <c r="AR174">
        <f t="shared" si="40"/>
        <v>0</v>
      </c>
    </row>
    <row r="175" spans="5:44" x14ac:dyDescent="0.2">
      <c r="E175" s="1">
        <f>moment_rate!$AC175</f>
        <v>7.4493433161470389E-3</v>
      </c>
      <c r="F175" s="1">
        <f t="shared" si="34"/>
        <v>0</v>
      </c>
      <c r="G175">
        <f>moment_rate!I175-0.005</f>
        <v>1.6800000000000013</v>
      </c>
      <c r="H175" s="1">
        <f t="shared" si="35"/>
        <v>0</v>
      </c>
      <c r="I175">
        <f t="shared" ref="I175:X190" si="42">IF(AND($G175&gt;=I$3,$G175&lt;I$4),$F175,0)</f>
        <v>0</v>
      </c>
      <c r="J175">
        <f t="shared" si="42"/>
        <v>0</v>
      </c>
      <c r="K175">
        <f t="shared" si="42"/>
        <v>0</v>
      </c>
      <c r="L175">
        <f t="shared" si="42"/>
        <v>0</v>
      </c>
      <c r="M175">
        <f t="shared" si="42"/>
        <v>0</v>
      </c>
      <c r="N175">
        <f t="shared" si="42"/>
        <v>0</v>
      </c>
      <c r="O175">
        <f t="shared" si="42"/>
        <v>0</v>
      </c>
      <c r="P175">
        <f t="shared" si="42"/>
        <v>0</v>
      </c>
      <c r="Q175">
        <f t="shared" si="42"/>
        <v>0</v>
      </c>
      <c r="R175">
        <f t="shared" si="42"/>
        <v>0</v>
      </c>
      <c r="S175">
        <f t="shared" si="42"/>
        <v>0</v>
      </c>
      <c r="T175">
        <f t="shared" si="42"/>
        <v>0</v>
      </c>
      <c r="U175">
        <f t="shared" si="42"/>
        <v>0</v>
      </c>
      <c r="V175">
        <f t="shared" si="42"/>
        <v>0</v>
      </c>
      <c r="W175">
        <f t="shared" si="42"/>
        <v>0</v>
      </c>
      <c r="X175">
        <f t="shared" si="42"/>
        <v>0</v>
      </c>
      <c r="Y175">
        <f t="shared" si="41"/>
        <v>0</v>
      </c>
      <c r="Z175">
        <f t="shared" si="41"/>
        <v>0</v>
      </c>
      <c r="AA175">
        <f t="shared" si="41"/>
        <v>0</v>
      </c>
      <c r="AB175">
        <f t="shared" si="41"/>
        <v>0</v>
      </c>
      <c r="AC175">
        <f t="shared" si="41"/>
        <v>0</v>
      </c>
      <c r="AD175">
        <f t="shared" si="41"/>
        <v>0</v>
      </c>
      <c r="AE175">
        <f t="shared" si="41"/>
        <v>0</v>
      </c>
      <c r="AF175">
        <f t="shared" si="41"/>
        <v>0</v>
      </c>
      <c r="AG175">
        <f t="shared" si="41"/>
        <v>0</v>
      </c>
      <c r="AH175">
        <f t="shared" si="41"/>
        <v>0</v>
      </c>
      <c r="AI175">
        <f t="shared" si="41"/>
        <v>0</v>
      </c>
      <c r="AJ175">
        <f t="shared" si="41"/>
        <v>0</v>
      </c>
      <c r="AK175">
        <f t="shared" si="41"/>
        <v>0</v>
      </c>
      <c r="AL175">
        <f t="shared" si="41"/>
        <v>0</v>
      </c>
      <c r="AM175">
        <f t="shared" si="41"/>
        <v>0</v>
      </c>
      <c r="AN175">
        <f t="shared" si="40"/>
        <v>0</v>
      </c>
      <c r="AO175">
        <f t="shared" si="40"/>
        <v>0</v>
      </c>
      <c r="AP175">
        <f t="shared" si="40"/>
        <v>0</v>
      </c>
      <c r="AQ175">
        <f t="shared" si="40"/>
        <v>0</v>
      </c>
      <c r="AR175">
        <f t="shared" si="40"/>
        <v>0</v>
      </c>
    </row>
    <row r="176" spans="5:44" x14ac:dyDescent="0.2">
      <c r="E176" s="1">
        <f>moment_rate!$AC176</f>
        <v>7.4493433161470389E-3</v>
      </c>
      <c r="F176" s="1">
        <f t="shared" si="34"/>
        <v>0</v>
      </c>
      <c r="G176">
        <f>moment_rate!I176-0.005</f>
        <v>1.6900000000000013</v>
      </c>
      <c r="H176" s="1">
        <f t="shared" si="35"/>
        <v>0</v>
      </c>
      <c r="I176">
        <f t="shared" si="42"/>
        <v>0</v>
      </c>
      <c r="J176">
        <f t="shared" si="42"/>
        <v>0</v>
      </c>
      <c r="K176">
        <f t="shared" si="42"/>
        <v>0</v>
      </c>
      <c r="L176">
        <f t="shared" si="42"/>
        <v>0</v>
      </c>
      <c r="M176">
        <f t="shared" si="42"/>
        <v>0</v>
      </c>
      <c r="N176">
        <f t="shared" si="42"/>
        <v>0</v>
      </c>
      <c r="O176">
        <f t="shared" si="42"/>
        <v>0</v>
      </c>
      <c r="P176">
        <f t="shared" si="42"/>
        <v>0</v>
      </c>
      <c r="Q176">
        <f t="shared" si="42"/>
        <v>0</v>
      </c>
      <c r="R176">
        <f t="shared" si="42"/>
        <v>0</v>
      </c>
      <c r="S176">
        <f t="shared" si="42"/>
        <v>0</v>
      </c>
      <c r="T176">
        <f t="shared" si="42"/>
        <v>0</v>
      </c>
      <c r="U176">
        <f t="shared" si="42"/>
        <v>0</v>
      </c>
      <c r="V176">
        <f t="shared" si="42"/>
        <v>0</v>
      </c>
      <c r="W176">
        <f t="shared" si="42"/>
        <v>0</v>
      </c>
      <c r="X176">
        <f t="shared" si="42"/>
        <v>0</v>
      </c>
      <c r="Y176">
        <f t="shared" si="41"/>
        <v>0</v>
      </c>
      <c r="Z176">
        <f t="shared" si="41"/>
        <v>0</v>
      </c>
      <c r="AA176">
        <f t="shared" si="41"/>
        <v>0</v>
      </c>
      <c r="AB176">
        <f t="shared" si="41"/>
        <v>0</v>
      </c>
      <c r="AC176">
        <f t="shared" si="41"/>
        <v>0</v>
      </c>
      <c r="AD176">
        <f t="shared" si="41"/>
        <v>0</v>
      </c>
      <c r="AE176">
        <f t="shared" si="41"/>
        <v>0</v>
      </c>
      <c r="AF176">
        <f t="shared" si="41"/>
        <v>0</v>
      </c>
      <c r="AG176">
        <f t="shared" si="41"/>
        <v>0</v>
      </c>
      <c r="AH176">
        <f t="shared" si="41"/>
        <v>0</v>
      </c>
      <c r="AI176">
        <f t="shared" si="41"/>
        <v>0</v>
      </c>
      <c r="AJ176">
        <f t="shared" si="41"/>
        <v>0</v>
      </c>
      <c r="AK176">
        <f t="shared" si="41"/>
        <v>0</v>
      </c>
      <c r="AL176">
        <f t="shared" si="41"/>
        <v>0</v>
      </c>
      <c r="AM176">
        <f t="shared" si="41"/>
        <v>0</v>
      </c>
      <c r="AN176">
        <f t="shared" si="40"/>
        <v>0</v>
      </c>
      <c r="AO176">
        <f t="shared" si="40"/>
        <v>0</v>
      </c>
      <c r="AP176">
        <f t="shared" si="40"/>
        <v>0</v>
      </c>
      <c r="AQ176">
        <f t="shared" si="40"/>
        <v>0</v>
      </c>
      <c r="AR176">
        <f t="shared" si="40"/>
        <v>0</v>
      </c>
    </row>
    <row r="177" spans="5:44" x14ac:dyDescent="0.2">
      <c r="E177" s="1">
        <f>moment_rate!$AC177</f>
        <v>7.4493433161470389E-3</v>
      </c>
      <c r="F177" s="1">
        <f t="shared" si="34"/>
        <v>0</v>
      </c>
      <c r="G177">
        <f>moment_rate!I177-0.005</f>
        <v>1.7000000000000013</v>
      </c>
      <c r="H177" s="1">
        <f t="shared" si="35"/>
        <v>0</v>
      </c>
      <c r="I177">
        <f t="shared" si="42"/>
        <v>0</v>
      </c>
      <c r="J177">
        <f t="shared" si="42"/>
        <v>0</v>
      </c>
      <c r="K177">
        <f t="shared" si="42"/>
        <v>0</v>
      </c>
      <c r="L177">
        <f t="shared" si="42"/>
        <v>0</v>
      </c>
      <c r="M177">
        <f t="shared" si="42"/>
        <v>0</v>
      </c>
      <c r="N177">
        <f t="shared" si="42"/>
        <v>0</v>
      </c>
      <c r="O177">
        <f t="shared" si="42"/>
        <v>0</v>
      </c>
      <c r="P177">
        <f t="shared" si="42"/>
        <v>0</v>
      </c>
      <c r="Q177">
        <f t="shared" si="42"/>
        <v>0</v>
      </c>
      <c r="R177">
        <f t="shared" si="42"/>
        <v>0</v>
      </c>
      <c r="S177">
        <f t="shared" si="42"/>
        <v>0</v>
      </c>
      <c r="T177">
        <f t="shared" si="42"/>
        <v>0</v>
      </c>
      <c r="U177">
        <f t="shared" si="42"/>
        <v>0</v>
      </c>
      <c r="V177">
        <f t="shared" si="42"/>
        <v>0</v>
      </c>
      <c r="W177">
        <f t="shared" si="42"/>
        <v>0</v>
      </c>
      <c r="X177">
        <f t="shared" si="42"/>
        <v>0</v>
      </c>
      <c r="Y177">
        <f t="shared" si="41"/>
        <v>0</v>
      </c>
      <c r="Z177">
        <f t="shared" si="41"/>
        <v>0</v>
      </c>
      <c r="AA177">
        <f t="shared" si="41"/>
        <v>0</v>
      </c>
      <c r="AB177">
        <f t="shared" si="41"/>
        <v>0</v>
      </c>
      <c r="AC177">
        <f t="shared" si="41"/>
        <v>0</v>
      </c>
      <c r="AD177">
        <f t="shared" si="41"/>
        <v>0</v>
      </c>
      <c r="AE177">
        <f t="shared" si="41"/>
        <v>0</v>
      </c>
      <c r="AF177">
        <f t="shared" si="41"/>
        <v>0</v>
      </c>
      <c r="AG177">
        <f t="shared" si="41"/>
        <v>0</v>
      </c>
      <c r="AH177">
        <f t="shared" si="41"/>
        <v>0</v>
      </c>
      <c r="AI177">
        <f t="shared" si="41"/>
        <v>0</v>
      </c>
      <c r="AJ177">
        <f t="shared" si="41"/>
        <v>0</v>
      </c>
      <c r="AK177">
        <f t="shared" si="41"/>
        <v>0</v>
      </c>
      <c r="AL177">
        <f t="shared" si="41"/>
        <v>0</v>
      </c>
      <c r="AM177">
        <f t="shared" si="41"/>
        <v>0</v>
      </c>
      <c r="AN177">
        <f t="shared" si="40"/>
        <v>0</v>
      </c>
      <c r="AO177">
        <f t="shared" si="40"/>
        <v>0</v>
      </c>
      <c r="AP177">
        <f t="shared" si="40"/>
        <v>0</v>
      </c>
      <c r="AQ177">
        <f t="shared" si="40"/>
        <v>0</v>
      </c>
      <c r="AR177">
        <f t="shared" si="40"/>
        <v>0</v>
      </c>
    </row>
    <row r="178" spans="5:44" x14ac:dyDescent="0.2">
      <c r="E178" s="1">
        <f>moment_rate!$AC178</f>
        <v>7.4493433161470389E-3</v>
      </c>
      <c r="F178" s="1">
        <f t="shared" si="34"/>
        <v>0</v>
      </c>
      <c r="G178">
        <f>moment_rate!I178-0.005</f>
        <v>1.7100000000000013</v>
      </c>
      <c r="H178" s="1">
        <f t="shared" si="35"/>
        <v>0</v>
      </c>
      <c r="I178">
        <f t="shared" si="42"/>
        <v>0</v>
      </c>
      <c r="J178">
        <f t="shared" si="42"/>
        <v>0</v>
      </c>
      <c r="K178">
        <f t="shared" si="42"/>
        <v>0</v>
      </c>
      <c r="L178">
        <f t="shared" si="42"/>
        <v>0</v>
      </c>
      <c r="M178">
        <f t="shared" si="42"/>
        <v>0</v>
      </c>
      <c r="N178">
        <f t="shared" si="42"/>
        <v>0</v>
      </c>
      <c r="O178">
        <f t="shared" si="42"/>
        <v>0</v>
      </c>
      <c r="P178">
        <f t="shared" si="42"/>
        <v>0</v>
      </c>
      <c r="Q178">
        <f t="shared" si="42"/>
        <v>0</v>
      </c>
      <c r="R178">
        <f t="shared" si="42"/>
        <v>0</v>
      </c>
      <c r="S178">
        <f t="shared" si="42"/>
        <v>0</v>
      </c>
      <c r="T178">
        <f t="shared" si="42"/>
        <v>0</v>
      </c>
      <c r="U178">
        <f t="shared" si="42"/>
        <v>0</v>
      </c>
      <c r="V178">
        <f t="shared" si="42"/>
        <v>0</v>
      </c>
      <c r="W178">
        <f t="shared" si="42"/>
        <v>0</v>
      </c>
      <c r="X178">
        <f t="shared" si="42"/>
        <v>0</v>
      </c>
      <c r="Y178">
        <f t="shared" si="41"/>
        <v>0</v>
      </c>
      <c r="Z178">
        <f t="shared" si="41"/>
        <v>0</v>
      </c>
      <c r="AA178">
        <f t="shared" si="41"/>
        <v>0</v>
      </c>
      <c r="AB178">
        <f t="shared" si="41"/>
        <v>0</v>
      </c>
      <c r="AC178">
        <f t="shared" si="41"/>
        <v>0</v>
      </c>
      <c r="AD178">
        <f t="shared" si="41"/>
        <v>0</v>
      </c>
      <c r="AE178">
        <f t="shared" si="41"/>
        <v>0</v>
      </c>
      <c r="AF178">
        <f t="shared" si="41"/>
        <v>0</v>
      </c>
      <c r="AG178">
        <f t="shared" si="41"/>
        <v>0</v>
      </c>
      <c r="AH178">
        <f t="shared" si="41"/>
        <v>0</v>
      </c>
      <c r="AI178">
        <f t="shared" si="41"/>
        <v>0</v>
      </c>
      <c r="AJ178">
        <f t="shared" si="41"/>
        <v>0</v>
      </c>
      <c r="AK178">
        <f t="shared" si="41"/>
        <v>0</v>
      </c>
      <c r="AL178">
        <f t="shared" si="41"/>
        <v>0</v>
      </c>
      <c r="AM178">
        <f t="shared" si="41"/>
        <v>0</v>
      </c>
      <c r="AN178">
        <f t="shared" si="40"/>
        <v>0</v>
      </c>
      <c r="AO178">
        <f t="shared" si="40"/>
        <v>0</v>
      </c>
      <c r="AP178">
        <f t="shared" si="40"/>
        <v>0</v>
      </c>
      <c r="AQ178">
        <f t="shared" si="40"/>
        <v>0</v>
      </c>
      <c r="AR178">
        <f t="shared" si="40"/>
        <v>0</v>
      </c>
    </row>
    <row r="179" spans="5:44" x14ac:dyDescent="0.2">
      <c r="E179" s="1">
        <f>moment_rate!$AC179</f>
        <v>7.4493433161470389E-3</v>
      </c>
      <c r="F179" s="1">
        <f t="shared" si="34"/>
        <v>0</v>
      </c>
      <c r="G179">
        <f>moment_rate!I179-0.005</f>
        <v>1.7200000000000013</v>
      </c>
      <c r="H179" s="1">
        <f t="shared" si="35"/>
        <v>0</v>
      </c>
      <c r="I179">
        <f t="shared" si="42"/>
        <v>0</v>
      </c>
      <c r="J179">
        <f t="shared" si="42"/>
        <v>0</v>
      </c>
      <c r="K179">
        <f t="shared" si="42"/>
        <v>0</v>
      </c>
      <c r="L179">
        <f t="shared" si="42"/>
        <v>0</v>
      </c>
      <c r="M179">
        <f t="shared" si="42"/>
        <v>0</v>
      </c>
      <c r="N179">
        <f t="shared" si="42"/>
        <v>0</v>
      </c>
      <c r="O179">
        <f t="shared" si="42"/>
        <v>0</v>
      </c>
      <c r="P179">
        <f t="shared" si="42"/>
        <v>0</v>
      </c>
      <c r="Q179">
        <f t="shared" si="42"/>
        <v>0</v>
      </c>
      <c r="R179">
        <f t="shared" si="42"/>
        <v>0</v>
      </c>
      <c r="S179">
        <f t="shared" si="42"/>
        <v>0</v>
      </c>
      <c r="T179">
        <f t="shared" si="42"/>
        <v>0</v>
      </c>
      <c r="U179">
        <f t="shared" si="42"/>
        <v>0</v>
      </c>
      <c r="V179">
        <f t="shared" si="42"/>
        <v>0</v>
      </c>
      <c r="W179">
        <f t="shared" si="42"/>
        <v>0</v>
      </c>
      <c r="X179">
        <f t="shared" si="42"/>
        <v>0</v>
      </c>
      <c r="Y179">
        <f t="shared" si="41"/>
        <v>0</v>
      </c>
      <c r="Z179">
        <f t="shared" si="41"/>
        <v>0</v>
      </c>
      <c r="AA179">
        <f t="shared" si="41"/>
        <v>0</v>
      </c>
      <c r="AB179">
        <f t="shared" si="41"/>
        <v>0</v>
      </c>
      <c r="AC179">
        <f t="shared" si="41"/>
        <v>0</v>
      </c>
      <c r="AD179">
        <f t="shared" si="41"/>
        <v>0</v>
      </c>
      <c r="AE179">
        <f t="shared" si="41"/>
        <v>0</v>
      </c>
      <c r="AF179">
        <f t="shared" si="41"/>
        <v>0</v>
      </c>
      <c r="AG179">
        <f t="shared" si="41"/>
        <v>0</v>
      </c>
      <c r="AH179">
        <f t="shared" si="41"/>
        <v>0</v>
      </c>
      <c r="AI179">
        <f t="shared" si="41"/>
        <v>0</v>
      </c>
      <c r="AJ179">
        <f t="shared" si="41"/>
        <v>0</v>
      </c>
      <c r="AK179">
        <f t="shared" si="41"/>
        <v>0</v>
      </c>
      <c r="AL179">
        <f t="shared" si="41"/>
        <v>0</v>
      </c>
      <c r="AM179">
        <f t="shared" si="41"/>
        <v>0</v>
      </c>
      <c r="AN179">
        <f t="shared" si="40"/>
        <v>0</v>
      </c>
      <c r="AO179">
        <f t="shared" si="40"/>
        <v>0</v>
      </c>
      <c r="AP179">
        <f t="shared" si="40"/>
        <v>0</v>
      </c>
      <c r="AQ179">
        <f t="shared" si="40"/>
        <v>0</v>
      </c>
      <c r="AR179">
        <f t="shared" si="40"/>
        <v>0</v>
      </c>
    </row>
    <row r="180" spans="5:44" x14ac:dyDescent="0.2">
      <c r="E180" s="1">
        <f>moment_rate!$AC180</f>
        <v>7.4493433161470389E-3</v>
      </c>
      <c r="F180" s="1">
        <f t="shared" si="34"/>
        <v>0</v>
      </c>
      <c r="G180">
        <f>moment_rate!I180-0.005</f>
        <v>1.7300000000000013</v>
      </c>
      <c r="H180" s="1">
        <f t="shared" si="35"/>
        <v>0</v>
      </c>
      <c r="I180">
        <f t="shared" si="42"/>
        <v>0</v>
      </c>
      <c r="J180">
        <f t="shared" si="42"/>
        <v>0</v>
      </c>
      <c r="K180">
        <f t="shared" si="42"/>
        <v>0</v>
      </c>
      <c r="L180">
        <f t="shared" si="42"/>
        <v>0</v>
      </c>
      <c r="M180">
        <f t="shared" si="42"/>
        <v>0</v>
      </c>
      <c r="N180">
        <f t="shared" si="42"/>
        <v>0</v>
      </c>
      <c r="O180">
        <f t="shared" si="42"/>
        <v>0</v>
      </c>
      <c r="P180">
        <f t="shared" si="42"/>
        <v>0</v>
      </c>
      <c r="Q180">
        <f t="shared" si="42"/>
        <v>0</v>
      </c>
      <c r="R180">
        <f t="shared" si="42"/>
        <v>0</v>
      </c>
      <c r="S180">
        <f t="shared" si="42"/>
        <v>0</v>
      </c>
      <c r="T180">
        <f t="shared" si="42"/>
        <v>0</v>
      </c>
      <c r="U180">
        <f t="shared" si="42"/>
        <v>0</v>
      </c>
      <c r="V180">
        <f t="shared" si="42"/>
        <v>0</v>
      </c>
      <c r="W180">
        <f t="shared" si="42"/>
        <v>0</v>
      </c>
      <c r="X180">
        <f t="shared" si="42"/>
        <v>0</v>
      </c>
      <c r="Y180">
        <f t="shared" si="41"/>
        <v>0</v>
      </c>
      <c r="Z180">
        <f t="shared" si="41"/>
        <v>0</v>
      </c>
      <c r="AA180">
        <f t="shared" si="41"/>
        <v>0</v>
      </c>
      <c r="AB180">
        <f t="shared" si="41"/>
        <v>0</v>
      </c>
      <c r="AC180">
        <f t="shared" si="41"/>
        <v>0</v>
      </c>
      <c r="AD180">
        <f t="shared" si="41"/>
        <v>0</v>
      </c>
      <c r="AE180">
        <f t="shared" si="41"/>
        <v>0</v>
      </c>
      <c r="AF180">
        <f t="shared" si="41"/>
        <v>0</v>
      </c>
      <c r="AG180">
        <f t="shared" si="41"/>
        <v>0</v>
      </c>
      <c r="AH180">
        <f t="shared" si="41"/>
        <v>0</v>
      </c>
      <c r="AI180">
        <f t="shared" si="41"/>
        <v>0</v>
      </c>
      <c r="AJ180">
        <f t="shared" si="41"/>
        <v>0</v>
      </c>
      <c r="AK180">
        <f t="shared" si="41"/>
        <v>0</v>
      </c>
      <c r="AL180">
        <f t="shared" si="41"/>
        <v>0</v>
      </c>
      <c r="AM180">
        <f t="shared" si="41"/>
        <v>0</v>
      </c>
      <c r="AN180">
        <f t="shared" si="40"/>
        <v>0</v>
      </c>
      <c r="AO180">
        <f t="shared" si="40"/>
        <v>0</v>
      </c>
      <c r="AP180">
        <f t="shared" si="40"/>
        <v>0</v>
      </c>
      <c r="AQ180">
        <f t="shared" si="40"/>
        <v>0</v>
      </c>
      <c r="AR180">
        <f t="shared" si="40"/>
        <v>0</v>
      </c>
    </row>
    <row r="181" spans="5:44" x14ac:dyDescent="0.2">
      <c r="E181" s="1">
        <f>moment_rate!$AC181</f>
        <v>7.4493433161470389E-3</v>
      </c>
      <c r="F181" s="1">
        <f t="shared" si="34"/>
        <v>0</v>
      </c>
      <c r="G181">
        <f>moment_rate!I181-0.005</f>
        <v>1.7400000000000013</v>
      </c>
      <c r="H181" s="1">
        <f t="shared" si="35"/>
        <v>0</v>
      </c>
      <c r="I181">
        <f t="shared" si="42"/>
        <v>0</v>
      </c>
      <c r="J181">
        <f t="shared" si="42"/>
        <v>0</v>
      </c>
      <c r="K181">
        <f t="shared" si="42"/>
        <v>0</v>
      </c>
      <c r="L181">
        <f t="shared" si="42"/>
        <v>0</v>
      </c>
      <c r="M181">
        <f t="shared" si="42"/>
        <v>0</v>
      </c>
      <c r="N181">
        <f t="shared" si="42"/>
        <v>0</v>
      </c>
      <c r="O181">
        <f t="shared" si="42"/>
        <v>0</v>
      </c>
      <c r="P181">
        <f t="shared" si="42"/>
        <v>0</v>
      </c>
      <c r="Q181">
        <f t="shared" si="42"/>
        <v>0</v>
      </c>
      <c r="R181">
        <f t="shared" si="42"/>
        <v>0</v>
      </c>
      <c r="S181">
        <f t="shared" si="42"/>
        <v>0</v>
      </c>
      <c r="T181">
        <f t="shared" si="42"/>
        <v>0</v>
      </c>
      <c r="U181">
        <f t="shared" si="42"/>
        <v>0</v>
      </c>
      <c r="V181">
        <f t="shared" si="42"/>
        <v>0</v>
      </c>
      <c r="W181">
        <f t="shared" si="42"/>
        <v>0</v>
      </c>
      <c r="X181">
        <f t="shared" si="42"/>
        <v>0</v>
      </c>
      <c r="Y181">
        <f t="shared" si="41"/>
        <v>0</v>
      </c>
      <c r="Z181">
        <f t="shared" si="41"/>
        <v>0</v>
      </c>
      <c r="AA181">
        <f t="shared" si="41"/>
        <v>0</v>
      </c>
      <c r="AB181">
        <f t="shared" si="41"/>
        <v>0</v>
      </c>
      <c r="AC181">
        <f t="shared" si="41"/>
        <v>0</v>
      </c>
      <c r="AD181">
        <f t="shared" si="41"/>
        <v>0</v>
      </c>
      <c r="AE181">
        <f t="shared" si="41"/>
        <v>0</v>
      </c>
      <c r="AF181">
        <f t="shared" si="41"/>
        <v>0</v>
      </c>
      <c r="AG181">
        <f t="shared" si="41"/>
        <v>0</v>
      </c>
      <c r="AH181">
        <f t="shared" si="41"/>
        <v>0</v>
      </c>
      <c r="AI181">
        <f t="shared" si="41"/>
        <v>0</v>
      </c>
      <c r="AJ181">
        <f t="shared" si="41"/>
        <v>0</v>
      </c>
      <c r="AK181">
        <f t="shared" si="41"/>
        <v>0</v>
      </c>
      <c r="AL181">
        <f t="shared" si="41"/>
        <v>0</v>
      </c>
      <c r="AM181">
        <f t="shared" si="41"/>
        <v>0</v>
      </c>
      <c r="AN181">
        <f t="shared" si="40"/>
        <v>0</v>
      </c>
      <c r="AO181">
        <f t="shared" si="40"/>
        <v>0</v>
      </c>
      <c r="AP181">
        <f t="shared" si="40"/>
        <v>0</v>
      </c>
      <c r="AQ181">
        <f t="shared" si="40"/>
        <v>0</v>
      </c>
      <c r="AR181">
        <f t="shared" si="40"/>
        <v>0</v>
      </c>
    </row>
    <row r="182" spans="5:44" x14ac:dyDescent="0.2">
      <c r="E182" s="1">
        <f>moment_rate!$AC182</f>
        <v>7.4493433161470389E-3</v>
      </c>
      <c r="F182" s="1">
        <f t="shared" si="34"/>
        <v>0</v>
      </c>
      <c r="G182">
        <f>moment_rate!I182-0.005</f>
        <v>1.7500000000000013</v>
      </c>
      <c r="H182" s="1">
        <f t="shared" si="35"/>
        <v>0</v>
      </c>
      <c r="I182">
        <f t="shared" si="42"/>
        <v>0</v>
      </c>
      <c r="J182">
        <f t="shared" si="42"/>
        <v>0</v>
      </c>
      <c r="K182">
        <f t="shared" si="42"/>
        <v>0</v>
      </c>
      <c r="L182">
        <f t="shared" si="42"/>
        <v>0</v>
      </c>
      <c r="M182">
        <f t="shared" si="42"/>
        <v>0</v>
      </c>
      <c r="N182">
        <f t="shared" si="42"/>
        <v>0</v>
      </c>
      <c r="O182">
        <f t="shared" si="42"/>
        <v>0</v>
      </c>
      <c r="P182">
        <f t="shared" si="42"/>
        <v>0</v>
      </c>
      <c r="Q182">
        <f t="shared" si="42"/>
        <v>0</v>
      </c>
      <c r="R182">
        <f t="shared" si="42"/>
        <v>0</v>
      </c>
      <c r="S182">
        <f t="shared" si="42"/>
        <v>0</v>
      </c>
      <c r="T182">
        <f t="shared" si="42"/>
        <v>0</v>
      </c>
      <c r="U182">
        <f t="shared" si="42"/>
        <v>0</v>
      </c>
      <c r="V182">
        <f t="shared" si="42"/>
        <v>0</v>
      </c>
      <c r="W182">
        <f t="shared" si="42"/>
        <v>0</v>
      </c>
      <c r="X182">
        <f t="shared" si="42"/>
        <v>0</v>
      </c>
      <c r="Y182">
        <f t="shared" si="41"/>
        <v>0</v>
      </c>
      <c r="Z182">
        <f t="shared" si="41"/>
        <v>0</v>
      </c>
      <c r="AA182">
        <f t="shared" si="41"/>
        <v>0</v>
      </c>
      <c r="AB182">
        <f t="shared" si="41"/>
        <v>0</v>
      </c>
      <c r="AC182">
        <f t="shared" si="41"/>
        <v>0</v>
      </c>
      <c r="AD182">
        <f t="shared" si="41"/>
        <v>0</v>
      </c>
      <c r="AE182">
        <f t="shared" si="41"/>
        <v>0</v>
      </c>
      <c r="AF182">
        <f t="shared" si="41"/>
        <v>0</v>
      </c>
      <c r="AG182">
        <f t="shared" si="41"/>
        <v>0</v>
      </c>
      <c r="AH182">
        <f t="shared" si="41"/>
        <v>0</v>
      </c>
      <c r="AI182">
        <f t="shared" si="41"/>
        <v>0</v>
      </c>
      <c r="AJ182">
        <f t="shared" si="41"/>
        <v>0</v>
      </c>
      <c r="AK182">
        <f t="shared" si="41"/>
        <v>0</v>
      </c>
      <c r="AL182">
        <f t="shared" si="41"/>
        <v>0</v>
      </c>
      <c r="AM182">
        <f t="shared" si="41"/>
        <v>0</v>
      </c>
      <c r="AN182">
        <f t="shared" si="40"/>
        <v>0</v>
      </c>
      <c r="AO182">
        <f t="shared" si="40"/>
        <v>0</v>
      </c>
      <c r="AP182">
        <f t="shared" si="40"/>
        <v>0</v>
      </c>
      <c r="AQ182">
        <f t="shared" si="40"/>
        <v>0</v>
      </c>
      <c r="AR182">
        <f t="shared" si="40"/>
        <v>0</v>
      </c>
    </row>
    <row r="183" spans="5:44" x14ac:dyDescent="0.2">
      <c r="E183" s="1">
        <f>moment_rate!$AC183</f>
        <v>7.4493433161470389E-3</v>
      </c>
      <c r="F183" s="1">
        <f t="shared" si="34"/>
        <v>0</v>
      </c>
      <c r="G183">
        <f>moment_rate!I183-0.005</f>
        <v>1.7600000000000013</v>
      </c>
      <c r="H183" s="1">
        <f t="shared" si="35"/>
        <v>0</v>
      </c>
      <c r="I183">
        <f t="shared" si="42"/>
        <v>0</v>
      </c>
      <c r="J183">
        <f t="shared" si="42"/>
        <v>0</v>
      </c>
      <c r="K183">
        <f t="shared" si="42"/>
        <v>0</v>
      </c>
      <c r="L183">
        <f t="shared" si="42"/>
        <v>0</v>
      </c>
      <c r="M183">
        <f t="shared" si="42"/>
        <v>0</v>
      </c>
      <c r="N183">
        <f t="shared" si="42"/>
        <v>0</v>
      </c>
      <c r="O183">
        <f t="shared" si="42"/>
        <v>0</v>
      </c>
      <c r="P183">
        <f t="shared" si="42"/>
        <v>0</v>
      </c>
      <c r="Q183">
        <f t="shared" si="42"/>
        <v>0</v>
      </c>
      <c r="R183">
        <f t="shared" si="42"/>
        <v>0</v>
      </c>
      <c r="S183">
        <f t="shared" si="42"/>
        <v>0</v>
      </c>
      <c r="T183">
        <f t="shared" si="42"/>
        <v>0</v>
      </c>
      <c r="U183">
        <f t="shared" si="42"/>
        <v>0</v>
      </c>
      <c r="V183">
        <f t="shared" si="42"/>
        <v>0</v>
      </c>
      <c r="W183">
        <f t="shared" si="42"/>
        <v>0</v>
      </c>
      <c r="X183">
        <f t="shared" si="42"/>
        <v>0</v>
      </c>
      <c r="Y183">
        <f t="shared" si="41"/>
        <v>0</v>
      </c>
      <c r="Z183">
        <f t="shared" si="41"/>
        <v>0</v>
      </c>
      <c r="AA183">
        <f t="shared" si="41"/>
        <v>0</v>
      </c>
      <c r="AB183">
        <f t="shared" si="41"/>
        <v>0</v>
      </c>
      <c r="AC183">
        <f t="shared" si="41"/>
        <v>0</v>
      </c>
      <c r="AD183">
        <f t="shared" si="41"/>
        <v>0</v>
      </c>
      <c r="AE183">
        <f t="shared" si="41"/>
        <v>0</v>
      </c>
      <c r="AF183">
        <f t="shared" si="41"/>
        <v>0</v>
      </c>
      <c r="AG183">
        <f t="shared" si="41"/>
        <v>0</v>
      </c>
      <c r="AH183">
        <f t="shared" si="41"/>
        <v>0</v>
      </c>
      <c r="AI183">
        <f t="shared" si="41"/>
        <v>0</v>
      </c>
      <c r="AJ183">
        <f t="shared" si="41"/>
        <v>0</v>
      </c>
      <c r="AK183">
        <f t="shared" si="41"/>
        <v>0</v>
      </c>
      <c r="AL183">
        <f t="shared" si="41"/>
        <v>0</v>
      </c>
      <c r="AM183">
        <f t="shared" si="41"/>
        <v>0</v>
      </c>
      <c r="AN183">
        <f t="shared" ref="AN183:AR198" si="43">IF(AND($G183&gt;=AN$3,$G183&lt;AN$4),$F183,0)</f>
        <v>0</v>
      </c>
      <c r="AO183">
        <f t="shared" si="43"/>
        <v>0</v>
      </c>
      <c r="AP183">
        <f t="shared" si="43"/>
        <v>0</v>
      </c>
      <c r="AQ183">
        <f t="shared" si="43"/>
        <v>0</v>
      </c>
      <c r="AR183">
        <f t="shared" si="43"/>
        <v>0</v>
      </c>
    </row>
    <row r="184" spans="5:44" x14ac:dyDescent="0.2">
      <c r="E184" s="1">
        <f>moment_rate!$AC184</f>
        <v>7.4493433161470389E-3</v>
      </c>
      <c r="F184" s="1">
        <f t="shared" si="34"/>
        <v>0</v>
      </c>
      <c r="G184">
        <f>moment_rate!I184-0.005</f>
        <v>1.7700000000000014</v>
      </c>
      <c r="H184" s="1">
        <f t="shared" si="35"/>
        <v>0</v>
      </c>
      <c r="I184">
        <f t="shared" si="42"/>
        <v>0</v>
      </c>
      <c r="J184">
        <f t="shared" si="42"/>
        <v>0</v>
      </c>
      <c r="K184">
        <f t="shared" si="42"/>
        <v>0</v>
      </c>
      <c r="L184">
        <f t="shared" si="42"/>
        <v>0</v>
      </c>
      <c r="M184">
        <f t="shared" si="42"/>
        <v>0</v>
      </c>
      <c r="N184">
        <f t="shared" si="42"/>
        <v>0</v>
      </c>
      <c r="O184">
        <f t="shared" si="42"/>
        <v>0</v>
      </c>
      <c r="P184">
        <f t="shared" si="42"/>
        <v>0</v>
      </c>
      <c r="Q184">
        <f t="shared" si="42"/>
        <v>0</v>
      </c>
      <c r="R184">
        <f t="shared" si="42"/>
        <v>0</v>
      </c>
      <c r="S184">
        <f t="shared" si="42"/>
        <v>0</v>
      </c>
      <c r="T184">
        <f t="shared" si="42"/>
        <v>0</v>
      </c>
      <c r="U184">
        <f t="shared" si="42"/>
        <v>0</v>
      </c>
      <c r="V184">
        <f t="shared" si="42"/>
        <v>0</v>
      </c>
      <c r="W184">
        <f t="shared" si="42"/>
        <v>0</v>
      </c>
      <c r="X184">
        <f t="shared" si="42"/>
        <v>0</v>
      </c>
      <c r="Y184">
        <f t="shared" si="41"/>
        <v>0</v>
      </c>
      <c r="Z184">
        <f t="shared" si="41"/>
        <v>0</v>
      </c>
      <c r="AA184">
        <f t="shared" si="41"/>
        <v>0</v>
      </c>
      <c r="AB184">
        <f t="shared" si="41"/>
        <v>0</v>
      </c>
      <c r="AC184">
        <f t="shared" si="41"/>
        <v>0</v>
      </c>
      <c r="AD184">
        <f t="shared" si="41"/>
        <v>0</v>
      </c>
      <c r="AE184">
        <f t="shared" si="41"/>
        <v>0</v>
      </c>
      <c r="AF184">
        <f t="shared" si="41"/>
        <v>0</v>
      </c>
      <c r="AG184">
        <f t="shared" si="41"/>
        <v>0</v>
      </c>
      <c r="AH184">
        <f t="shared" si="41"/>
        <v>0</v>
      </c>
      <c r="AI184">
        <f t="shared" si="41"/>
        <v>0</v>
      </c>
      <c r="AJ184">
        <f t="shared" si="41"/>
        <v>0</v>
      </c>
      <c r="AK184">
        <f t="shared" si="41"/>
        <v>0</v>
      </c>
      <c r="AL184">
        <f t="shared" si="41"/>
        <v>0</v>
      </c>
      <c r="AM184">
        <f t="shared" si="41"/>
        <v>0</v>
      </c>
      <c r="AN184">
        <f t="shared" si="43"/>
        <v>0</v>
      </c>
      <c r="AO184">
        <f t="shared" si="43"/>
        <v>0</v>
      </c>
      <c r="AP184">
        <f t="shared" si="43"/>
        <v>0</v>
      </c>
      <c r="AQ184">
        <f t="shared" si="43"/>
        <v>0</v>
      </c>
      <c r="AR184">
        <f t="shared" si="43"/>
        <v>0</v>
      </c>
    </row>
    <row r="185" spans="5:44" x14ac:dyDescent="0.2">
      <c r="E185" s="1">
        <f>moment_rate!$AC185</f>
        <v>7.4493433161470389E-3</v>
      </c>
      <c r="F185" s="1">
        <f t="shared" si="34"/>
        <v>0</v>
      </c>
      <c r="G185">
        <f>moment_rate!I185-0.005</f>
        <v>1.7800000000000014</v>
      </c>
      <c r="H185" s="1">
        <f t="shared" si="35"/>
        <v>0</v>
      </c>
      <c r="I185">
        <f t="shared" si="42"/>
        <v>0</v>
      </c>
      <c r="J185">
        <f t="shared" si="42"/>
        <v>0</v>
      </c>
      <c r="K185">
        <f t="shared" si="42"/>
        <v>0</v>
      </c>
      <c r="L185">
        <f t="shared" si="42"/>
        <v>0</v>
      </c>
      <c r="M185">
        <f t="shared" si="42"/>
        <v>0</v>
      </c>
      <c r="N185">
        <f t="shared" si="42"/>
        <v>0</v>
      </c>
      <c r="O185">
        <f t="shared" si="42"/>
        <v>0</v>
      </c>
      <c r="P185">
        <f t="shared" si="42"/>
        <v>0</v>
      </c>
      <c r="Q185">
        <f t="shared" si="42"/>
        <v>0</v>
      </c>
      <c r="R185">
        <f t="shared" si="42"/>
        <v>0</v>
      </c>
      <c r="S185">
        <f t="shared" si="42"/>
        <v>0</v>
      </c>
      <c r="T185">
        <f t="shared" si="42"/>
        <v>0</v>
      </c>
      <c r="U185">
        <f t="shared" si="42"/>
        <v>0</v>
      </c>
      <c r="V185">
        <f t="shared" si="42"/>
        <v>0</v>
      </c>
      <c r="W185">
        <f t="shared" si="42"/>
        <v>0</v>
      </c>
      <c r="X185">
        <f t="shared" si="42"/>
        <v>0</v>
      </c>
      <c r="Y185">
        <f t="shared" si="41"/>
        <v>0</v>
      </c>
      <c r="Z185">
        <f t="shared" si="41"/>
        <v>0</v>
      </c>
      <c r="AA185">
        <f t="shared" si="41"/>
        <v>0</v>
      </c>
      <c r="AB185">
        <f t="shared" si="41"/>
        <v>0</v>
      </c>
      <c r="AC185">
        <f t="shared" si="41"/>
        <v>0</v>
      </c>
      <c r="AD185">
        <f t="shared" si="41"/>
        <v>0</v>
      </c>
      <c r="AE185">
        <f t="shared" si="41"/>
        <v>0</v>
      </c>
      <c r="AF185">
        <f t="shared" si="41"/>
        <v>0</v>
      </c>
      <c r="AG185">
        <f t="shared" si="41"/>
        <v>0</v>
      </c>
      <c r="AH185">
        <f t="shared" si="41"/>
        <v>0</v>
      </c>
      <c r="AI185">
        <f t="shared" si="41"/>
        <v>0</v>
      </c>
      <c r="AJ185">
        <f t="shared" si="41"/>
        <v>0</v>
      </c>
      <c r="AK185">
        <f t="shared" si="41"/>
        <v>0</v>
      </c>
      <c r="AL185">
        <f t="shared" si="41"/>
        <v>0</v>
      </c>
      <c r="AM185">
        <f t="shared" si="41"/>
        <v>0</v>
      </c>
      <c r="AN185">
        <f t="shared" si="43"/>
        <v>0</v>
      </c>
      <c r="AO185">
        <f t="shared" si="43"/>
        <v>0</v>
      </c>
      <c r="AP185">
        <f t="shared" si="43"/>
        <v>0</v>
      </c>
      <c r="AQ185">
        <f t="shared" si="43"/>
        <v>0</v>
      </c>
      <c r="AR185">
        <f t="shared" si="43"/>
        <v>0</v>
      </c>
    </row>
    <row r="186" spans="5:44" x14ac:dyDescent="0.2">
      <c r="E186" s="1">
        <f>moment_rate!$AC186</f>
        <v>7.4493433161470389E-3</v>
      </c>
      <c r="F186" s="1">
        <f t="shared" si="34"/>
        <v>0</v>
      </c>
      <c r="G186">
        <f>moment_rate!I186-0.005</f>
        <v>1.7900000000000014</v>
      </c>
      <c r="H186" s="1">
        <f t="shared" si="35"/>
        <v>0</v>
      </c>
      <c r="I186">
        <f t="shared" si="42"/>
        <v>0</v>
      </c>
      <c r="J186">
        <f t="shared" si="42"/>
        <v>0</v>
      </c>
      <c r="K186">
        <f t="shared" si="42"/>
        <v>0</v>
      </c>
      <c r="L186">
        <f t="shared" si="42"/>
        <v>0</v>
      </c>
      <c r="M186">
        <f t="shared" si="42"/>
        <v>0</v>
      </c>
      <c r="N186">
        <f t="shared" si="42"/>
        <v>0</v>
      </c>
      <c r="O186">
        <f t="shared" si="42"/>
        <v>0</v>
      </c>
      <c r="P186">
        <f t="shared" si="42"/>
        <v>0</v>
      </c>
      <c r="Q186">
        <f t="shared" si="42"/>
        <v>0</v>
      </c>
      <c r="R186">
        <f t="shared" si="42"/>
        <v>0</v>
      </c>
      <c r="S186">
        <f t="shared" si="42"/>
        <v>0</v>
      </c>
      <c r="T186">
        <f t="shared" si="42"/>
        <v>0</v>
      </c>
      <c r="U186">
        <f t="shared" si="42"/>
        <v>0</v>
      </c>
      <c r="V186">
        <f t="shared" si="42"/>
        <v>0</v>
      </c>
      <c r="W186">
        <f t="shared" si="42"/>
        <v>0</v>
      </c>
      <c r="X186">
        <f t="shared" si="42"/>
        <v>0</v>
      </c>
      <c r="Y186">
        <f t="shared" si="41"/>
        <v>0</v>
      </c>
      <c r="Z186">
        <f t="shared" si="41"/>
        <v>0</v>
      </c>
      <c r="AA186">
        <f t="shared" si="41"/>
        <v>0</v>
      </c>
      <c r="AB186">
        <f t="shared" si="41"/>
        <v>0</v>
      </c>
      <c r="AC186">
        <f t="shared" si="41"/>
        <v>0</v>
      </c>
      <c r="AD186">
        <f t="shared" si="41"/>
        <v>0</v>
      </c>
      <c r="AE186">
        <f t="shared" si="41"/>
        <v>0</v>
      </c>
      <c r="AF186">
        <f t="shared" si="41"/>
        <v>0</v>
      </c>
      <c r="AG186">
        <f t="shared" si="41"/>
        <v>0</v>
      </c>
      <c r="AH186">
        <f t="shared" si="41"/>
        <v>0</v>
      </c>
      <c r="AI186">
        <f t="shared" si="41"/>
        <v>0</v>
      </c>
      <c r="AJ186">
        <f t="shared" si="41"/>
        <v>0</v>
      </c>
      <c r="AK186">
        <f t="shared" si="41"/>
        <v>0</v>
      </c>
      <c r="AL186">
        <f t="shared" si="41"/>
        <v>0</v>
      </c>
      <c r="AM186">
        <f t="shared" si="41"/>
        <v>0</v>
      </c>
      <c r="AN186">
        <f t="shared" si="43"/>
        <v>0</v>
      </c>
      <c r="AO186">
        <f t="shared" si="43"/>
        <v>0</v>
      </c>
      <c r="AP186">
        <f t="shared" si="43"/>
        <v>0</v>
      </c>
      <c r="AQ186">
        <f t="shared" si="43"/>
        <v>0</v>
      </c>
      <c r="AR186">
        <f t="shared" si="43"/>
        <v>0</v>
      </c>
    </row>
    <row r="187" spans="5:44" x14ac:dyDescent="0.2">
      <c r="E187" s="1">
        <f>moment_rate!$AC187</f>
        <v>7.4493433161470389E-3</v>
      </c>
      <c r="F187" s="1">
        <f t="shared" si="34"/>
        <v>0</v>
      </c>
      <c r="G187">
        <f>moment_rate!I187-0.005</f>
        <v>1.8000000000000014</v>
      </c>
      <c r="H187" s="1">
        <f t="shared" si="35"/>
        <v>0</v>
      </c>
      <c r="I187">
        <f t="shared" si="42"/>
        <v>0</v>
      </c>
      <c r="J187">
        <f t="shared" si="42"/>
        <v>0</v>
      </c>
      <c r="K187">
        <f t="shared" si="42"/>
        <v>0</v>
      </c>
      <c r="L187">
        <f t="shared" si="42"/>
        <v>0</v>
      </c>
      <c r="M187">
        <f t="shared" si="42"/>
        <v>0</v>
      </c>
      <c r="N187">
        <f t="shared" si="42"/>
        <v>0</v>
      </c>
      <c r="O187">
        <f t="shared" si="42"/>
        <v>0</v>
      </c>
      <c r="P187">
        <f t="shared" si="42"/>
        <v>0</v>
      </c>
      <c r="Q187">
        <f t="shared" si="42"/>
        <v>0</v>
      </c>
      <c r="R187">
        <f t="shared" si="42"/>
        <v>0</v>
      </c>
      <c r="S187">
        <f t="shared" si="42"/>
        <v>0</v>
      </c>
      <c r="T187">
        <f t="shared" si="42"/>
        <v>0</v>
      </c>
      <c r="U187">
        <f t="shared" si="42"/>
        <v>0</v>
      </c>
      <c r="V187">
        <f t="shared" si="42"/>
        <v>0</v>
      </c>
      <c r="W187">
        <f t="shared" si="42"/>
        <v>0</v>
      </c>
      <c r="X187">
        <f t="shared" si="42"/>
        <v>0</v>
      </c>
      <c r="Y187">
        <f t="shared" si="41"/>
        <v>0</v>
      </c>
      <c r="Z187">
        <f t="shared" si="41"/>
        <v>0</v>
      </c>
      <c r="AA187">
        <f t="shared" si="41"/>
        <v>0</v>
      </c>
      <c r="AB187">
        <f t="shared" si="41"/>
        <v>0</v>
      </c>
      <c r="AC187">
        <f t="shared" si="41"/>
        <v>0</v>
      </c>
      <c r="AD187">
        <f t="shared" si="41"/>
        <v>0</v>
      </c>
      <c r="AE187">
        <f t="shared" si="41"/>
        <v>0</v>
      </c>
      <c r="AF187">
        <f t="shared" si="41"/>
        <v>0</v>
      </c>
      <c r="AG187">
        <f t="shared" si="41"/>
        <v>0</v>
      </c>
      <c r="AH187">
        <f t="shared" si="41"/>
        <v>0</v>
      </c>
      <c r="AI187">
        <f t="shared" si="41"/>
        <v>0</v>
      </c>
      <c r="AJ187">
        <f t="shared" si="41"/>
        <v>0</v>
      </c>
      <c r="AK187">
        <f t="shared" si="41"/>
        <v>0</v>
      </c>
      <c r="AL187">
        <f t="shared" si="41"/>
        <v>0</v>
      </c>
      <c r="AM187">
        <f t="shared" si="41"/>
        <v>0</v>
      </c>
      <c r="AN187">
        <f t="shared" si="43"/>
        <v>0</v>
      </c>
      <c r="AO187">
        <f t="shared" si="43"/>
        <v>0</v>
      </c>
      <c r="AP187">
        <f t="shared" si="43"/>
        <v>0</v>
      </c>
      <c r="AQ187">
        <f t="shared" si="43"/>
        <v>0</v>
      </c>
      <c r="AR187">
        <f t="shared" si="43"/>
        <v>0</v>
      </c>
    </row>
    <row r="188" spans="5:44" x14ac:dyDescent="0.2">
      <c r="E188" s="1">
        <f>moment_rate!$AC188</f>
        <v>7.4493433161470389E-3</v>
      </c>
      <c r="F188" s="1">
        <f t="shared" si="34"/>
        <v>0</v>
      </c>
      <c r="G188">
        <f>moment_rate!I188-0.005</f>
        <v>1.8100000000000014</v>
      </c>
      <c r="H188" s="1">
        <f t="shared" si="35"/>
        <v>0</v>
      </c>
      <c r="I188">
        <f t="shared" si="42"/>
        <v>0</v>
      </c>
      <c r="J188">
        <f t="shared" si="42"/>
        <v>0</v>
      </c>
      <c r="K188">
        <f t="shared" si="42"/>
        <v>0</v>
      </c>
      <c r="L188">
        <f t="shared" si="42"/>
        <v>0</v>
      </c>
      <c r="M188">
        <f t="shared" si="42"/>
        <v>0</v>
      </c>
      <c r="N188">
        <f t="shared" si="42"/>
        <v>0</v>
      </c>
      <c r="O188">
        <f t="shared" si="42"/>
        <v>0</v>
      </c>
      <c r="P188">
        <f t="shared" si="42"/>
        <v>0</v>
      </c>
      <c r="Q188">
        <f t="shared" si="42"/>
        <v>0</v>
      </c>
      <c r="R188">
        <f t="shared" si="42"/>
        <v>0</v>
      </c>
      <c r="S188">
        <f t="shared" si="42"/>
        <v>0</v>
      </c>
      <c r="T188">
        <f t="shared" si="42"/>
        <v>0</v>
      </c>
      <c r="U188">
        <f t="shared" si="42"/>
        <v>0</v>
      </c>
      <c r="V188">
        <f t="shared" si="42"/>
        <v>0</v>
      </c>
      <c r="W188">
        <f t="shared" si="42"/>
        <v>0</v>
      </c>
      <c r="X188">
        <f t="shared" si="42"/>
        <v>0</v>
      </c>
      <c r="Y188">
        <f t="shared" si="41"/>
        <v>0</v>
      </c>
      <c r="Z188">
        <f t="shared" si="41"/>
        <v>0</v>
      </c>
      <c r="AA188">
        <f t="shared" si="41"/>
        <v>0</v>
      </c>
      <c r="AB188">
        <f t="shared" si="41"/>
        <v>0</v>
      </c>
      <c r="AC188">
        <f t="shared" si="41"/>
        <v>0</v>
      </c>
      <c r="AD188">
        <f t="shared" si="41"/>
        <v>0</v>
      </c>
      <c r="AE188">
        <f t="shared" si="41"/>
        <v>0</v>
      </c>
      <c r="AF188">
        <f t="shared" si="41"/>
        <v>0</v>
      </c>
      <c r="AG188">
        <f t="shared" si="41"/>
        <v>0</v>
      </c>
      <c r="AH188">
        <f t="shared" si="41"/>
        <v>0</v>
      </c>
      <c r="AI188">
        <f t="shared" si="41"/>
        <v>0</v>
      </c>
      <c r="AJ188">
        <f t="shared" si="41"/>
        <v>0</v>
      </c>
      <c r="AK188">
        <f t="shared" si="41"/>
        <v>0</v>
      </c>
      <c r="AL188">
        <f t="shared" si="41"/>
        <v>0</v>
      </c>
      <c r="AM188">
        <f t="shared" si="41"/>
        <v>0</v>
      </c>
      <c r="AN188">
        <f t="shared" si="43"/>
        <v>0</v>
      </c>
      <c r="AO188">
        <f t="shared" si="43"/>
        <v>0</v>
      </c>
      <c r="AP188">
        <f t="shared" si="43"/>
        <v>0</v>
      </c>
      <c r="AQ188">
        <f t="shared" si="43"/>
        <v>0</v>
      </c>
      <c r="AR188">
        <f t="shared" si="43"/>
        <v>0</v>
      </c>
    </row>
    <row r="189" spans="5:44" x14ac:dyDescent="0.2">
      <c r="E189" s="1">
        <f>moment_rate!$AC189</f>
        <v>7.4493433161470389E-3</v>
      </c>
      <c r="F189" s="1">
        <f t="shared" si="34"/>
        <v>0</v>
      </c>
      <c r="G189">
        <f>moment_rate!I189-0.005</f>
        <v>1.8200000000000014</v>
      </c>
      <c r="H189" s="1">
        <f t="shared" si="35"/>
        <v>0</v>
      </c>
      <c r="I189">
        <f t="shared" si="42"/>
        <v>0</v>
      </c>
      <c r="J189">
        <f t="shared" si="42"/>
        <v>0</v>
      </c>
      <c r="K189">
        <f t="shared" si="42"/>
        <v>0</v>
      </c>
      <c r="L189">
        <f t="shared" si="42"/>
        <v>0</v>
      </c>
      <c r="M189">
        <f t="shared" si="42"/>
        <v>0</v>
      </c>
      <c r="N189">
        <f t="shared" si="42"/>
        <v>0</v>
      </c>
      <c r="O189">
        <f t="shared" si="42"/>
        <v>0</v>
      </c>
      <c r="P189">
        <f t="shared" si="42"/>
        <v>0</v>
      </c>
      <c r="Q189">
        <f t="shared" si="42"/>
        <v>0</v>
      </c>
      <c r="R189">
        <f t="shared" si="42"/>
        <v>0</v>
      </c>
      <c r="S189">
        <f t="shared" si="42"/>
        <v>0</v>
      </c>
      <c r="T189">
        <f t="shared" si="42"/>
        <v>0</v>
      </c>
      <c r="U189">
        <f t="shared" si="42"/>
        <v>0</v>
      </c>
      <c r="V189">
        <f t="shared" si="42"/>
        <v>0</v>
      </c>
      <c r="W189">
        <f t="shared" si="42"/>
        <v>0</v>
      </c>
      <c r="X189">
        <f t="shared" si="42"/>
        <v>0</v>
      </c>
      <c r="Y189">
        <f t="shared" si="41"/>
        <v>0</v>
      </c>
      <c r="Z189">
        <f t="shared" si="41"/>
        <v>0</v>
      </c>
      <c r="AA189">
        <f t="shared" si="41"/>
        <v>0</v>
      </c>
      <c r="AB189">
        <f t="shared" si="41"/>
        <v>0</v>
      </c>
      <c r="AC189">
        <f t="shared" si="41"/>
        <v>0</v>
      </c>
      <c r="AD189">
        <f t="shared" si="41"/>
        <v>0</v>
      </c>
      <c r="AE189">
        <f t="shared" si="41"/>
        <v>0</v>
      </c>
      <c r="AF189">
        <f t="shared" si="41"/>
        <v>0</v>
      </c>
      <c r="AG189">
        <f t="shared" si="41"/>
        <v>0</v>
      </c>
      <c r="AH189">
        <f t="shared" si="41"/>
        <v>0</v>
      </c>
      <c r="AI189">
        <f t="shared" si="41"/>
        <v>0</v>
      </c>
      <c r="AJ189">
        <f t="shared" si="41"/>
        <v>0</v>
      </c>
      <c r="AK189">
        <f t="shared" si="41"/>
        <v>0</v>
      </c>
      <c r="AL189">
        <f t="shared" si="41"/>
        <v>0</v>
      </c>
      <c r="AM189">
        <f t="shared" si="41"/>
        <v>0</v>
      </c>
      <c r="AN189">
        <f t="shared" si="43"/>
        <v>0</v>
      </c>
      <c r="AO189">
        <f t="shared" si="43"/>
        <v>0</v>
      </c>
      <c r="AP189">
        <f t="shared" si="43"/>
        <v>0</v>
      </c>
      <c r="AQ189">
        <f t="shared" si="43"/>
        <v>0</v>
      </c>
      <c r="AR189">
        <f t="shared" si="43"/>
        <v>0</v>
      </c>
    </row>
    <row r="190" spans="5:44" x14ac:dyDescent="0.2">
      <c r="E190" s="1">
        <f>moment_rate!$AC190</f>
        <v>7.4493433161470389E-3</v>
      </c>
      <c r="F190" s="1">
        <f t="shared" si="34"/>
        <v>0</v>
      </c>
      <c r="G190">
        <f>moment_rate!I190-0.005</f>
        <v>1.8300000000000014</v>
      </c>
      <c r="H190" s="1">
        <f t="shared" si="35"/>
        <v>0</v>
      </c>
      <c r="I190">
        <f t="shared" si="42"/>
        <v>0</v>
      </c>
      <c r="J190">
        <f t="shared" si="42"/>
        <v>0</v>
      </c>
      <c r="K190">
        <f t="shared" si="42"/>
        <v>0</v>
      </c>
      <c r="L190">
        <f t="shared" si="42"/>
        <v>0</v>
      </c>
      <c r="M190">
        <f t="shared" si="42"/>
        <v>0</v>
      </c>
      <c r="N190">
        <f t="shared" si="42"/>
        <v>0</v>
      </c>
      <c r="O190">
        <f t="shared" si="42"/>
        <v>0</v>
      </c>
      <c r="P190">
        <f t="shared" si="42"/>
        <v>0</v>
      </c>
      <c r="Q190">
        <f t="shared" si="42"/>
        <v>0</v>
      </c>
      <c r="R190">
        <f t="shared" si="42"/>
        <v>0</v>
      </c>
      <c r="S190">
        <f t="shared" si="42"/>
        <v>0</v>
      </c>
      <c r="T190">
        <f t="shared" si="42"/>
        <v>0</v>
      </c>
      <c r="U190">
        <f t="shared" si="42"/>
        <v>0</v>
      </c>
      <c r="V190">
        <f t="shared" si="42"/>
        <v>0</v>
      </c>
      <c r="W190">
        <f t="shared" si="42"/>
        <v>0</v>
      </c>
      <c r="X190">
        <f t="shared" ref="X190:AM205" si="44">IF(AND($G190&gt;=X$3,$G190&lt;X$4),$F190,0)</f>
        <v>0</v>
      </c>
      <c r="Y190">
        <f t="shared" si="44"/>
        <v>0</v>
      </c>
      <c r="Z190">
        <f t="shared" si="44"/>
        <v>0</v>
      </c>
      <c r="AA190">
        <f t="shared" si="44"/>
        <v>0</v>
      </c>
      <c r="AB190">
        <f t="shared" si="44"/>
        <v>0</v>
      </c>
      <c r="AC190">
        <f t="shared" si="44"/>
        <v>0</v>
      </c>
      <c r="AD190">
        <f t="shared" si="44"/>
        <v>0</v>
      </c>
      <c r="AE190">
        <f t="shared" si="44"/>
        <v>0</v>
      </c>
      <c r="AF190">
        <f t="shared" si="44"/>
        <v>0</v>
      </c>
      <c r="AG190">
        <f t="shared" si="44"/>
        <v>0</v>
      </c>
      <c r="AH190">
        <f t="shared" si="44"/>
        <v>0</v>
      </c>
      <c r="AI190">
        <f t="shared" si="44"/>
        <v>0</v>
      </c>
      <c r="AJ190">
        <f t="shared" si="44"/>
        <v>0</v>
      </c>
      <c r="AK190">
        <f t="shared" si="44"/>
        <v>0</v>
      </c>
      <c r="AL190">
        <f t="shared" si="44"/>
        <v>0</v>
      </c>
      <c r="AM190">
        <f t="shared" si="44"/>
        <v>0</v>
      </c>
      <c r="AN190">
        <f t="shared" si="43"/>
        <v>0</v>
      </c>
      <c r="AO190">
        <f t="shared" si="43"/>
        <v>0</v>
      </c>
      <c r="AP190">
        <f t="shared" si="43"/>
        <v>0</v>
      </c>
      <c r="AQ190">
        <f t="shared" si="43"/>
        <v>0</v>
      </c>
      <c r="AR190">
        <f t="shared" si="43"/>
        <v>0</v>
      </c>
    </row>
    <row r="191" spans="5:44" x14ac:dyDescent="0.2">
      <c r="E191" s="1">
        <f>moment_rate!$AC191</f>
        <v>7.4493433161470389E-3</v>
      </c>
      <c r="F191" s="1">
        <f t="shared" si="34"/>
        <v>0</v>
      </c>
      <c r="G191">
        <f>moment_rate!I191-0.005</f>
        <v>1.8400000000000014</v>
      </c>
      <c r="H191" s="1">
        <f t="shared" si="35"/>
        <v>0</v>
      </c>
      <c r="I191">
        <f t="shared" ref="I191:X206" si="45">IF(AND($G191&gt;=I$3,$G191&lt;I$4),$F191,0)</f>
        <v>0</v>
      </c>
      <c r="J191">
        <f t="shared" si="45"/>
        <v>0</v>
      </c>
      <c r="K191">
        <f t="shared" si="45"/>
        <v>0</v>
      </c>
      <c r="L191">
        <f t="shared" si="45"/>
        <v>0</v>
      </c>
      <c r="M191">
        <f t="shared" si="45"/>
        <v>0</v>
      </c>
      <c r="N191">
        <f t="shared" si="45"/>
        <v>0</v>
      </c>
      <c r="O191">
        <f t="shared" si="45"/>
        <v>0</v>
      </c>
      <c r="P191">
        <f t="shared" si="45"/>
        <v>0</v>
      </c>
      <c r="Q191">
        <f t="shared" si="45"/>
        <v>0</v>
      </c>
      <c r="R191">
        <f t="shared" si="45"/>
        <v>0</v>
      </c>
      <c r="S191">
        <f t="shared" si="45"/>
        <v>0</v>
      </c>
      <c r="T191">
        <f t="shared" si="45"/>
        <v>0</v>
      </c>
      <c r="U191">
        <f t="shared" si="45"/>
        <v>0</v>
      </c>
      <c r="V191">
        <f t="shared" si="45"/>
        <v>0</v>
      </c>
      <c r="W191">
        <f t="shared" si="45"/>
        <v>0</v>
      </c>
      <c r="X191">
        <f t="shared" si="45"/>
        <v>0</v>
      </c>
      <c r="Y191">
        <f t="shared" si="44"/>
        <v>0</v>
      </c>
      <c r="Z191">
        <f t="shared" si="44"/>
        <v>0</v>
      </c>
      <c r="AA191">
        <f t="shared" si="44"/>
        <v>0</v>
      </c>
      <c r="AB191">
        <f t="shared" si="44"/>
        <v>0</v>
      </c>
      <c r="AC191">
        <f t="shared" si="44"/>
        <v>0</v>
      </c>
      <c r="AD191">
        <f t="shared" si="44"/>
        <v>0</v>
      </c>
      <c r="AE191">
        <f t="shared" si="44"/>
        <v>0</v>
      </c>
      <c r="AF191">
        <f t="shared" si="44"/>
        <v>0</v>
      </c>
      <c r="AG191">
        <f t="shared" si="44"/>
        <v>0</v>
      </c>
      <c r="AH191">
        <f t="shared" si="44"/>
        <v>0</v>
      </c>
      <c r="AI191">
        <f t="shared" si="44"/>
        <v>0</v>
      </c>
      <c r="AJ191">
        <f t="shared" si="44"/>
        <v>0</v>
      </c>
      <c r="AK191">
        <f t="shared" si="44"/>
        <v>0</v>
      </c>
      <c r="AL191">
        <f t="shared" si="44"/>
        <v>0</v>
      </c>
      <c r="AM191">
        <f t="shared" si="44"/>
        <v>0</v>
      </c>
      <c r="AN191">
        <f t="shared" si="43"/>
        <v>0</v>
      </c>
      <c r="AO191">
        <f t="shared" si="43"/>
        <v>0</v>
      </c>
      <c r="AP191">
        <f t="shared" si="43"/>
        <v>0</v>
      </c>
      <c r="AQ191">
        <f t="shared" si="43"/>
        <v>0</v>
      </c>
      <c r="AR191">
        <f t="shared" si="43"/>
        <v>0</v>
      </c>
    </row>
    <row r="192" spans="5:44" x14ac:dyDescent="0.2">
      <c r="E192" s="1">
        <f>moment_rate!$AC192</f>
        <v>7.4493433161470389E-3</v>
      </c>
      <c r="F192" s="1">
        <f t="shared" si="34"/>
        <v>0</v>
      </c>
      <c r="G192">
        <f>moment_rate!I192-0.005</f>
        <v>1.8500000000000014</v>
      </c>
      <c r="H192" s="1">
        <f t="shared" si="35"/>
        <v>0</v>
      </c>
      <c r="I192">
        <f t="shared" si="45"/>
        <v>0</v>
      </c>
      <c r="J192">
        <f t="shared" si="45"/>
        <v>0</v>
      </c>
      <c r="K192">
        <f t="shared" si="45"/>
        <v>0</v>
      </c>
      <c r="L192">
        <f t="shared" si="45"/>
        <v>0</v>
      </c>
      <c r="M192">
        <f t="shared" si="45"/>
        <v>0</v>
      </c>
      <c r="N192">
        <f t="shared" si="45"/>
        <v>0</v>
      </c>
      <c r="O192">
        <f t="shared" si="45"/>
        <v>0</v>
      </c>
      <c r="P192">
        <f t="shared" si="45"/>
        <v>0</v>
      </c>
      <c r="Q192">
        <f t="shared" si="45"/>
        <v>0</v>
      </c>
      <c r="R192">
        <f t="shared" si="45"/>
        <v>0</v>
      </c>
      <c r="S192">
        <f t="shared" si="45"/>
        <v>0</v>
      </c>
      <c r="T192">
        <f t="shared" si="45"/>
        <v>0</v>
      </c>
      <c r="U192">
        <f t="shared" si="45"/>
        <v>0</v>
      </c>
      <c r="V192">
        <f t="shared" si="45"/>
        <v>0</v>
      </c>
      <c r="W192">
        <f t="shared" si="45"/>
        <v>0</v>
      </c>
      <c r="X192">
        <f t="shared" si="45"/>
        <v>0</v>
      </c>
      <c r="Y192">
        <f t="shared" si="44"/>
        <v>0</v>
      </c>
      <c r="Z192">
        <f t="shared" si="44"/>
        <v>0</v>
      </c>
      <c r="AA192">
        <f t="shared" si="44"/>
        <v>0</v>
      </c>
      <c r="AB192">
        <f t="shared" si="44"/>
        <v>0</v>
      </c>
      <c r="AC192">
        <f t="shared" si="44"/>
        <v>0</v>
      </c>
      <c r="AD192">
        <f t="shared" si="44"/>
        <v>0</v>
      </c>
      <c r="AE192">
        <f t="shared" si="44"/>
        <v>0</v>
      </c>
      <c r="AF192">
        <f t="shared" si="44"/>
        <v>0</v>
      </c>
      <c r="AG192">
        <f t="shared" si="44"/>
        <v>0</v>
      </c>
      <c r="AH192">
        <f t="shared" si="44"/>
        <v>0</v>
      </c>
      <c r="AI192">
        <f t="shared" si="44"/>
        <v>0</v>
      </c>
      <c r="AJ192">
        <f t="shared" si="44"/>
        <v>0</v>
      </c>
      <c r="AK192">
        <f t="shared" si="44"/>
        <v>0</v>
      </c>
      <c r="AL192">
        <f t="shared" si="44"/>
        <v>0</v>
      </c>
      <c r="AM192">
        <f t="shared" si="44"/>
        <v>0</v>
      </c>
      <c r="AN192">
        <f t="shared" si="43"/>
        <v>0</v>
      </c>
      <c r="AO192">
        <f t="shared" si="43"/>
        <v>0</v>
      </c>
      <c r="AP192">
        <f t="shared" si="43"/>
        <v>0</v>
      </c>
      <c r="AQ192">
        <f t="shared" si="43"/>
        <v>0</v>
      </c>
      <c r="AR192">
        <f t="shared" si="43"/>
        <v>0</v>
      </c>
    </row>
    <row r="193" spans="5:44" x14ac:dyDescent="0.2">
      <c r="E193" s="1">
        <f>moment_rate!$AC193</f>
        <v>7.4493433161470389E-3</v>
      </c>
      <c r="F193" s="1">
        <f t="shared" si="34"/>
        <v>0</v>
      </c>
      <c r="G193">
        <f>moment_rate!I193-0.005</f>
        <v>1.8600000000000014</v>
      </c>
      <c r="H193" s="1">
        <f t="shared" si="35"/>
        <v>0</v>
      </c>
      <c r="I193">
        <f t="shared" si="45"/>
        <v>0</v>
      </c>
      <c r="J193">
        <f t="shared" si="45"/>
        <v>0</v>
      </c>
      <c r="K193">
        <f t="shared" si="45"/>
        <v>0</v>
      </c>
      <c r="L193">
        <f t="shared" si="45"/>
        <v>0</v>
      </c>
      <c r="M193">
        <f t="shared" si="45"/>
        <v>0</v>
      </c>
      <c r="N193">
        <f t="shared" si="45"/>
        <v>0</v>
      </c>
      <c r="O193">
        <f t="shared" si="45"/>
        <v>0</v>
      </c>
      <c r="P193">
        <f t="shared" si="45"/>
        <v>0</v>
      </c>
      <c r="Q193">
        <f t="shared" si="45"/>
        <v>0</v>
      </c>
      <c r="R193">
        <f t="shared" si="45"/>
        <v>0</v>
      </c>
      <c r="S193">
        <f t="shared" si="45"/>
        <v>0</v>
      </c>
      <c r="T193">
        <f t="shared" si="45"/>
        <v>0</v>
      </c>
      <c r="U193">
        <f t="shared" si="45"/>
        <v>0</v>
      </c>
      <c r="V193">
        <f t="shared" si="45"/>
        <v>0</v>
      </c>
      <c r="W193">
        <f t="shared" si="45"/>
        <v>0</v>
      </c>
      <c r="X193">
        <f t="shared" si="45"/>
        <v>0</v>
      </c>
      <c r="Y193">
        <f t="shared" si="44"/>
        <v>0</v>
      </c>
      <c r="Z193">
        <f t="shared" si="44"/>
        <v>0</v>
      </c>
      <c r="AA193">
        <f t="shared" si="44"/>
        <v>0</v>
      </c>
      <c r="AB193">
        <f t="shared" si="44"/>
        <v>0</v>
      </c>
      <c r="AC193">
        <f t="shared" si="44"/>
        <v>0</v>
      </c>
      <c r="AD193">
        <f t="shared" si="44"/>
        <v>0</v>
      </c>
      <c r="AE193">
        <f t="shared" si="44"/>
        <v>0</v>
      </c>
      <c r="AF193">
        <f t="shared" si="44"/>
        <v>0</v>
      </c>
      <c r="AG193">
        <f t="shared" si="44"/>
        <v>0</v>
      </c>
      <c r="AH193">
        <f t="shared" si="44"/>
        <v>0</v>
      </c>
      <c r="AI193">
        <f t="shared" si="44"/>
        <v>0</v>
      </c>
      <c r="AJ193">
        <f t="shared" si="44"/>
        <v>0</v>
      </c>
      <c r="AK193">
        <f t="shared" si="44"/>
        <v>0</v>
      </c>
      <c r="AL193">
        <f t="shared" si="44"/>
        <v>0</v>
      </c>
      <c r="AM193">
        <f t="shared" si="44"/>
        <v>0</v>
      </c>
      <c r="AN193">
        <f t="shared" si="43"/>
        <v>0</v>
      </c>
      <c r="AO193">
        <f t="shared" si="43"/>
        <v>0</v>
      </c>
      <c r="AP193">
        <f t="shared" si="43"/>
        <v>0</v>
      </c>
      <c r="AQ193">
        <f t="shared" si="43"/>
        <v>0</v>
      </c>
      <c r="AR193">
        <f t="shared" si="43"/>
        <v>0</v>
      </c>
    </row>
    <row r="194" spans="5:44" x14ac:dyDescent="0.2">
      <c r="E194" s="1">
        <f>moment_rate!$AC194</f>
        <v>7.4493433161470389E-3</v>
      </c>
      <c r="F194" s="1">
        <f t="shared" si="34"/>
        <v>0</v>
      </c>
      <c r="G194">
        <f>moment_rate!I194-0.005</f>
        <v>1.8700000000000014</v>
      </c>
      <c r="H194" s="1">
        <f t="shared" si="35"/>
        <v>0</v>
      </c>
      <c r="I194">
        <f t="shared" si="45"/>
        <v>0</v>
      </c>
      <c r="J194">
        <f t="shared" si="45"/>
        <v>0</v>
      </c>
      <c r="K194">
        <f t="shared" si="45"/>
        <v>0</v>
      </c>
      <c r="L194">
        <f t="shared" si="45"/>
        <v>0</v>
      </c>
      <c r="M194">
        <f t="shared" si="45"/>
        <v>0</v>
      </c>
      <c r="N194">
        <f t="shared" si="45"/>
        <v>0</v>
      </c>
      <c r="O194">
        <f t="shared" si="45"/>
        <v>0</v>
      </c>
      <c r="P194">
        <f t="shared" si="45"/>
        <v>0</v>
      </c>
      <c r="Q194">
        <f t="shared" si="45"/>
        <v>0</v>
      </c>
      <c r="R194">
        <f t="shared" si="45"/>
        <v>0</v>
      </c>
      <c r="S194">
        <f t="shared" si="45"/>
        <v>0</v>
      </c>
      <c r="T194">
        <f t="shared" si="45"/>
        <v>0</v>
      </c>
      <c r="U194">
        <f t="shared" si="45"/>
        <v>0</v>
      </c>
      <c r="V194">
        <f t="shared" si="45"/>
        <v>0</v>
      </c>
      <c r="W194">
        <f t="shared" si="45"/>
        <v>0</v>
      </c>
      <c r="X194">
        <f t="shared" si="45"/>
        <v>0</v>
      </c>
      <c r="Y194">
        <f t="shared" si="44"/>
        <v>0</v>
      </c>
      <c r="Z194">
        <f t="shared" si="44"/>
        <v>0</v>
      </c>
      <c r="AA194">
        <f t="shared" si="44"/>
        <v>0</v>
      </c>
      <c r="AB194">
        <f t="shared" si="44"/>
        <v>0</v>
      </c>
      <c r="AC194">
        <f t="shared" si="44"/>
        <v>0</v>
      </c>
      <c r="AD194">
        <f t="shared" si="44"/>
        <v>0</v>
      </c>
      <c r="AE194">
        <f t="shared" si="44"/>
        <v>0</v>
      </c>
      <c r="AF194">
        <f t="shared" si="44"/>
        <v>0</v>
      </c>
      <c r="AG194">
        <f t="shared" si="44"/>
        <v>0</v>
      </c>
      <c r="AH194">
        <f t="shared" si="44"/>
        <v>0</v>
      </c>
      <c r="AI194">
        <f t="shared" si="44"/>
        <v>0</v>
      </c>
      <c r="AJ194">
        <f t="shared" si="44"/>
        <v>0</v>
      </c>
      <c r="AK194">
        <f t="shared" si="44"/>
        <v>0</v>
      </c>
      <c r="AL194">
        <f t="shared" si="44"/>
        <v>0</v>
      </c>
      <c r="AM194">
        <f t="shared" si="44"/>
        <v>0</v>
      </c>
      <c r="AN194">
        <f t="shared" si="43"/>
        <v>0</v>
      </c>
      <c r="AO194">
        <f t="shared" si="43"/>
        <v>0</v>
      </c>
      <c r="AP194">
        <f t="shared" si="43"/>
        <v>0</v>
      </c>
      <c r="AQ194">
        <f t="shared" si="43"/>
        <v>0</v>
      </c>
      <c r="AR194">
        <f t="shared" si="43"/>
        <v>0</v>
      </c>
    </row>
    <row r="195" spans="5:44" x14ac:dyDescent="0.2">
      <c r="E195" s="1">
        <f>moment_rate!$AC195</f>
        <v>7.4493433161470389E-3</v>
      </c>
      <c r="F195" s="1">
        <f t="shared" si="34"/>
        <v>0</v>
      </c>
      <c r="G195">
        <f>moment_rate!I195-0.005</f>
        <v>1.8800000000000014</v>
      </c>
      <c r="H195" s="1">
        <f t="shared" si="35"/>
        <v>0</v>
      </c>
      <c r="I195">
        <f t="shared" si="45"/>
        <v>0</v>
      </c>
      <c r="J195">
        <f t="shared" si="45"/>
        <v>0</v>
      </c>
      <c r="K195">
        <f t="shared" si="45"/>
        <v>0</v>
      </c>
      <c r="L195">
        <f t="shared" si="45"/>
        <v>0</v>
      </c>
      <c r="M195">
        <f t="shared" si="45"/>
        <v>0</v>
      </c>
      <c r="N195">
        <f t="shared" si="45"/>
        <v>0</v>
      </c>
      <c r="O195">
        <f t="shared" si="45"/>
        <v>0</v>
      </c>
      <c r="P195">
        <f t="shared" si="45"/>
        <v>0</v>
      </c>
      <c r="Q195">
        <f t="shared" si="45"/>
        <v>0</v>
      </c>
      <c r="R195">
        <f t="shared" si="45"/>
        <v>0</v>
      </c>
      <c r="S195">
        <f t="shared" si="45"/>
        <v>0</v>
      </c>
      <c r="T195">
        <f t="shared" si="45"/>
        <v>0</v>
      </c>
      <c r="U195">
        <f t="shared" si="45"/>
        <v>0</v>
      </c>
      <c r="V195">
        <f t="shared" si="45"/>
        <v>0</v>
      </c>
      <c r="W195">
        <f t="shared" si="45"/>
        <v>0</v>
      </c>
      <c r="X195">
        <f t="shared" si="45"/>
        <v>0</v>
      </c>
      <c r="Y195">
        <f t="shared" si="44"/>
        <v>0</v>
      </c>
      <c r="Z195">
        <f t="shared" si="44"/>
        <v>0</v>
      </c>
      <c r="AA195">
        <f t="shared" si="44"/>
        <v>0</v>
      </c>
      <c r="AB195">
        <f t="shared" si="44"/>
        <v>0</v>
      </c>
      <c r="AC195">
        <f t="shared" si="44"/>
        <v>0</v>
      </c>
      <c r="AD195">
        <f t="shared" si="44"/>
        <v>0</v>
      </c>
      <c r="AE195">
        <f t="shared" si="44"/>
        <v>0</v>
      </c>
      <c r="AF195">
        <f t="shared" si="44"/>
        <v>0</v>
      </c>
      <c r="AG195">
        <f t="shared" si="44"/>
        <v>0</v>
      </c>
      <c r="AH195">
        <f t="shared" si="44"/>
        <v>0</v>
      </c>
      <c r="AI195">
        <f t="shared" si="44"/>
        <v>0</v>
      </c>
      <c r="AJ195">
        <f t="shared" si="44"/>
        <v>0</v>
      </c>
      <c r="AK195">
        <f t="shared" si="44"/>
        <v>0</v>
      </c>
      <c r="AL195">
        <f t="shared" si="44"/>
        <v>0</v>
      </c>
      <c r="AM195">
        <f t="shared" si="44"/>
        <v>0</v>
      </c>
      <c r="AN195">
        <f t="shared" si="43"/>
        <v>0</v>
      </c>
      <c r="AO195">
        <f t="shared" si="43"/>
        <v>0</v>
      </c>
      <c r="AP195">
        <f t="shared" si="43"/>
        <v>0</v>
      </c>
      <c r="AQ195">
        <f t="shared" si="43"/>
        <v>0</v>
      </c>
      <c r="AR195">
        <f t="shared" si="43"/>
        <v>0</v>
      </c>
    </row>
    <row r="196" spans="5:44" x14ac:dyDescent="0.2">
      <c r="E196" s="1">
        <f>moment_rate!$AC196</f>
        <v>7.4493433161470389E-3</v>
      </c>
      <c r="F196" s="1">
        <f t="shared" si="34"/>
        <v>0</v>
      </c>
      <c r="G196">
        <f>moment_rate!I196-0.005</f>
        <v>1.8900000000000015</v>
      </c>
      <c r="H196" s="1">
        <f t="shared" si="35"/>
        <v>0</v>
      </c>
      <c r="I196">
        <f t="shared" si="45"/>
        <v>0</v>
      </c>
      <c r="J196">
        <f t="shared" si="45"/>
        <v>0</v>
      </c>
      <c r="K196">
        <f t="shared" si="45"/>
        <v>0</v>
      </c>
      <c r="L196">
        <f t="shared" si="45"/>
        <v>0</v>
      </c>
      <c r="M196">
        <f t="shared" si="45"/>
        <v>0</v>
      </c>
      <c r="N196">
        <f t="shared" si="45"/>
        <v>0</v>
      </c>
      <c r="O196">
        <f t="shared" si="45"/>
        <v>0</v>
      </c>
      <c r="P196">
        <f t="shared" si="45"/>
        <v>0</v>
      </c>
      <c r="Q196">
        <f t="shared" si="45"/>
        <v>0</v>
      </c>
      <c r="R196">
        <f t="shared" si="45"/>
        <v>0</v>
      </c>
      <c r="S196">
        <f t="shared" si="45"/>
        <v>0</v>
      </c>
      <c r="T196">
        <f t="shared" si="45"/>
        <v>0</v>
      </c>
      <c r="U196">
        <f t="shared" si="45"/>
        <v>0</v>
      </c>
      <c r="V196">
        <f t="shared" si="45"/>
        <v>0</v>
      </c>
      <c r="W196">
        <f t="shared" si="45"/>
        <v>0</v>
      </c>
      <c r="X196">
        <f t="shared" si="45"/>
        <v>0</v>
      </c>
      <c r="Y196">
        <f t="shared" si="44"/>
        <v>0</v>
      </c>
      <c r="Z196">
        <f t="shared" si="44"/>
        <v>0</v>
      </c>
      <c r="AA196">
        <f t="shared" si="44"/>
        <v>0</v>
      </c>
      <c r="AB196">
        <f t="shared" si="44"/>
        <v>0</v>
      </c>
      <c r="AC196">
        <f t="shared" si="44"/>
        <v>0</v>
      </c>
      <c r="AD196">
        <f t="shared" si="44"/>
        <v>0</v>
      </c>
      <c r="AE196">
        <f t="shared" si="44"/>
        <v>0</v>
      </c>
      <c r="AF196">
        <f t="shared" si="44"/>
        <v>0</v>
      </c>
      <c r="AG196">
        <f t="shared" si="44"/>
        <v>0</v>
      </c>
      <c r="AH196">
        <f t="shared" si="44"/>
        <v>0</v>
      </c>
      <c r="AI196">
        <f t="shared" si="44"/>
        <v>0</v>
      </c>
      <c r="AJ196">
        <f t="shared" si="44"/>
        <v>0</v>
      </c>
      <c r="AK196">
        <f t="shared" si="44"/>
        <v>0</v>
      </c>
      <c r="AL196">
        <f t="shared" si="44"/>
        <v>0</v>
      </c>
      <c r="AM196">
        <f t="shared" si="44"/>
        <v>0</v>
      </c>
      <c r="AN196">
        <f t="shared" si="43"/>
        <v>0</v>
      </c>
      <c r="AO196">
        <f t="shared" si="43"/>
        <v>0</v>
      </c>
      <c r="AP196">
        <f t="shared" si="43"/>
        <v>0</v>
      </c>
      <c r="AQ196">
        <f t="shared" si="43"/>
        <v>0</v>
      </c>
      <c r="AR196">
        <f t="shared" si="43"/>
        <v>0</v>
      </c>
    </row>
    <row r="197" spans="5:44" x14ac:dyDescent="0.2">
      <c r="E197" s="1">
        <f>moment_rate!$AC197</f>
        <v>7.4493433161470389E-3</v>
      </c>
      <c r="F197" s="1">
        <f t="shared" si="34"/>
        <v>0</v>
      </c>
      <c r="G197">
        <f>moment_rate!I197-0.005</f>
        <v>1.9000000000000015</v>
      </c>
      <c r="H197" s="1">
        <f t="shared" si="35"/>
        <v>0</v>
      </c>
      <c r="I197">
        <f t="shared" si="45"/>
        <v>0</v>
      </c>
      <c r="J197">
        <f t="shared" si="45"/>
        <v>0</v>
      </c>
      <c r="K197">
        <f t="shared" si="45"/>
        <v>0</v>
      </c>
      <c r="L197">
        <f t="shared" si="45"/>
        <v>0</v>
      </c>
      <c r="M197">
        <f t="shared" si="45"/>
        <v>0</v>
      </c>
      <c r="N197">
        <f t="shared" si="45"/>
        <v>0</v>
      </c>
      <c r="O197">
        <f t="shared" si="45"/>
        <v>0</v>
      </c>
      <c r="P197">
        <f t="shared" si="45"/>
        <v>0</v>
      </c>
      <c r="Q197">
        <f t="shared" si="45"/>
        <v>0</v>
      </c>
      <c r="R197">
        <f t="shared" si="45"/>
        <v>0</v>
      </c>
      <c r="S197">
        <f t="shared" si="45"/>
        <v>0</v>
      </c>
      <c r="T197">
        <f t="shared" si="45"/>
        <v>0</v>
      </c>
      <c r="U197">
        <f t="shared" si="45"/>
        <v>0</v>
      </c>
      <c r="V197">
        <f t="shared" si="45"/>
        <v>0</v>
      </c>
      <c r="W197">
        <f t="shared" si="45"/>
        <v>0</v>
      </c>
      <c r="X197">
        <f t="shared" si="45"/>
        <v>0</v>
      </c>
      <c r="Y197">
        <f t="shared" si="44"/>
        <v>0</v>
      </c>
      <c r="Z197">
        <f t="shared" si="44"/>
        <v>0</v>
      </c>
      <c r="AA197">
        <f t="shared" si="44"/>
        <v>0</v>
      </c>
      <c r="AB197">
        <f t="shared" si="44"/>
        <v>0</v>
      </c>
      <c r="AC197">
        <f t="shared" si="44"/>
        <v>0</v>
      </c>
      <c r="AD197">
        <f t="shared" si="44"/>
        <v>0</v>
      </c>
      <c r="AE197">
        <f t="shared" si="44"/>
        <v>0</v>
      </c>
      <c r="AF197">
        <f t="shared" si="44"/>
        <v>0</v>
      </c>
      <c r="AG197">
        <f t="shared" si="44"/>
        <v>0</v>
      </c>
      <c r="AH197">
        <f t="shared" si="44"/>
        <v>0</v>
      </c>
      <c r="AI197">
        <f t="shared" si="44"/>
        <v>0</v>
      </c>
      <c r="AJ197">
        <f t="shared" si="44"/>
        <v>0</v>
      </c>
      <c r="AK197">
        <f t="shared" si="44"/>
        <v>0</v>
      </c>
      <c r="AL197">
        <f t="shared" si="44"/>
        <v>0</v>
      </c>
      <c r="AM197">
        <f t="shared" si="44"/>
        <v>0</v>
      </c>
      <c r="AN197">
        <f t="shared" si="43"/>
        <v>0</v>
      </c>
      <c r="AO197">
        <f t="shared" si="43"/>
        <v>0</v>
      </c>
      <c r="AP197">
        <f t="shared" si="43"/>
        <v>0</v>
      </c>
      <c r="AQ197">
        <f t="shared" si="43"/>
        <v>0</v>
      </c>
      <c r="AR197">
        <f t="shared" si="43"/>
        <v>0</v>
      </c>
    </row>
    <row r="198" spans="5:44" x14ac:dyDescent="0.2">
      <c r="E198" s="1">
        <f>moment_rate!$AC198</f>
        <v>7.4493433161470389E-3</v>
      </c>
      <c r="F198" s="1">
        <f t="shared" si="34"/>
        <v>0</v>
      </c>
      <c r="G198">
        <f>moment_rate!I198-0.005</f>
        <v>1.9100000000000015</v>
      </c>
      <c r="H198" s="1">
        <f t="shared" si="35"/>
        <v>0</v>
      </c>
      <c r="I198">
        <f t="shared" si="45"/>
        <v>0</v>
      </c>
      <c r="J198">
        <f t="shared" si="45"/>
        <v>0</v>
      </c>
      <c r="K198">
        <f t="shared" si="45"/>
        <v>0</v>
      </c>
      <c r="L198">
        <f t="shared" si="45"/>
        <v>0</v>
      </c>
      <c r="M198">
        <f t="shared" si="45"/>
        <v>0</v>
      </c>
      <c r="N198">
        <f t="shared" si="45"/>
        <v>0</v>
      </c>
      <c r="O198">
        <f t="shared" si="45"/>
        <v>0</v>
      </c>
      <c r="P198">
        <f t="shared" si="45"/>
        <v>0</v>
      </c>
      <c r="Q198">
        <f t="shared" si="45"/>
        <v>0</v>
      </c>
      <c r="R198">
        <f t="shared" si="45"/>
        <v>0</v>
      </c>
      <c r="S198">
        <f t="shared" si="45"/>
        <v>0</v>
      </c>
      <c r="T198">
        <f t="shared" si="45"/>
        <v>0</v>
      </c>
      <c r="U198">
        <f t="shared" si="45"/>
        <v>0</v>
      </c>
      <c r="V198">
        <f t="shared" si="45"/>
        <v>0</v>
      </c>
      <c r="W198">
        <f t="shared" si="45"/>
        <v>0</v>
      </c>
      <c r="X198">
        <f t="shared" si="45"/>
        <v>0</v>
      </c>
      <c r="Y198">
        <f t="shared" si="44"/>
        <v>0</v>
      </c>
      <c r="Z198">
        <f t="shared" si="44"/>
        <v>0</v>
      </c>
      <c r="AA198">
        <f t="shared" si="44"/>
        <v>0</v>
      </c>
      <c r="AB198">
        <f t="shared" si="44"/>
        <v>0</v>
      </c>
      <c r="AC198">
        <f t="shared" si="44"/>
        <v>0</v>
      </c>
      <c r="AD198">
        <f t="shared" si="44"/>
        <v>0</v>
      </c>
      <c r="AE198">
        <f t="shared" si="44"/>
        <v>0</v>
      </c>
      <c r="AF198">
        <f t="shared" si="44"/>
        <v>0</v>
      </c>
      <c r="AG198">
        <f t="shared" si="44"/>
        <v>0</v>
      </c>
      <c r="AH198">
        <f t="shared" si="44"/>
        <v>0</v>
      </c>
      <c r="AI198">
        <f t="shared" si="44"/>
        <v>0</v>
      </c>
      <c r="AJ198">
        <f t="shared" si="44"/>
        <v>0</v>
      </c>
      <c r="AK198">
        <f t="shared" si="44"/>
        <v>0</v>
      </c>
      <c r="AL198">
        <f t="shared" si="44"/>
        <v>0</v>
      </c>
      <c r="AM198">
        <f t="shared" si="44"/>
        <v>0</v>
      </c>
      <c r="AN198">
        <f t="shared" si="43"/>
        <v>0</v>
      </c>
      <c r="AO198">
        <f t="shared" si="43"/>
        <v>0</v>
      </c>
      <c r="AP198">
        <f t="shared" si="43"/>
        <v>0</v>
      </c>
      <c r="AQ198">
        <f t="shared" si="43"/>
        <v>0</v>
      </c>
      <c r="AR198">
        <f t="shared" si="43"/>
        <v>0</v>
      </c>
    </row>
    <row r="199" spans="5:44" x14ac:dyDescent="0.2">
      <c r="E199" s="1">
        <f>moment_rate!$AC199</f>
        <v>7.4493433161470389E-3</v>
      </c>
      <c r="F199" s="1">
        <f t="shared" si="34"/>
        <v>0</v>
      </c>
      <c r="G199">
        <f>moment_rate!I199-0.005</f>
        <v>1.9200000000000015</v>
      </c>
      <c r="H199" s="1">
        <f t="shared" si="35"/>
        <v>0</v>
      </c>
      <c r="I199">
        <f t="shared" si="45"/>
        <v>0</v>
      </c>
      <c r="J199">
        <f t="shared" si="45"/>
        <v>0</v>
      </c>
      <c r="K199">
        <f t="shared" si="45"/>
        <v>0</v>
      </c>
      <c r="L199">
        <f t="shared" si="45"/>
        <v>0</v>
      </c>
      <c r="M199">
        <f t="shared" si="45"/>
        <v>0</v>
      </c>
      <c r="N199">
        <f t="shared" si="45"/>
        <v>0</v>
      </c>
      <c r="O199">
        <f t="shared" si="45"/>
        <v>0</v>
      </c>
      <c r="P199">
        <f t="shared" si="45"/>
        <v>0</v>
      </c>
      <c r="Q199">
        <f t="shared" si="45"/>
        <v>0</v>
      </c>
      <c r="R199">
        <f t="shared" si="45"/>
        <v>0</v>
      </c>
      <c r="S199">
        <f t="shared" si="45"/>
        <v>0</v>
      </c>
      <c r="T199">
        <f t="shared" si="45"/>
        <v>0</v>
      </c>
      <c r="U199">
        <f t="shared" si="45"/>
        <v>0</v>
      </c>
      <c r="V199">
        <f t="shared" si="45"/>
        <v>0</v>
      </c>
      <c r="W199">
        <f t="shared" si="45"/>
        <v>0</v>
      </c>
      <c r="X199">
        <f t="shared" si="45"/>
        <v>0</v>
      </c>
      <c r="Y199">
        <f t="shared" si="44"/>
        <v>0</v>
      </c>
      <c r="Z199">
        <f t="shared" si="44"/>
        <v>0</v>
      </c>
      <c r="AA199">
        <f t="shared" si="44"/>
        <v>0</v>
      </c>
      <c r="AB199">
        <f t="shared" si="44"/>
        <v>0</v>
      </c>
      <c r="AC199">
        <f t="shared" si="44"/>
        <v>0</v>
      </c>
      <c r="AD199">
        <f t="shared" si="44"/>
        <v>0</v>
      </c>
      <c r="AE199">
        <f t="shared" si="44"/>
        <v>0</v>
      </c>
      <c r="AF199">
        <f t="shared" si="44"/>
        <v>0</v>
      </c>
      <c r="AG199">
        <f t="shared" si="44"/>
        <v>0</v>
      </c>
      <c r="AH199">
        <f t="shared" si="44"/>
        <v>0</v>
      </c>
      <c r="AI199">
        <f t="shared" si="44"/>
        <v>0</v>
      </c>
      <c r="AJ199">
        <f t="shared" si="44"/>
        <v>0</v>
      </c>
      <c r="AK199">
        <f t="shared" si="44"/>
        <v>0</v>
      </c>
      <c r="AL199">
        <f t="shared" si="44"/>
        <v>0</v>
      </c>
      <c r="AM199">
        <f t="shared" si="44"/>
        <v>0</v>
      </c>
      <c r="AN199">
        <f t="shared" ref="AN199:AR214" si="46">IF(AND($G199&gt;=AN$3,$G199&lt;AN$4),$F199,0)</f>
        <v>0</v>
      </c>
      <c r="AO199">
        <f t="shared" si="46"/>
        <v>0</v>
      </c>
      <c r="AP199">
        <f t="shared" si="46"/>
        <v>0</v>
      </c>
      <c r="AQ199">
        <f t="shared" si="46"/>
        <v>0</v>
      </c>
      <c r="AR199">
        <f t="shared" si="46"/>
        <v>0</v>
      </c>
    </row>
    <row r="200" spans="5:44" x14ac:dyDescent="0.2">
      <c r="E200" s="1">
        <f>moment_rate!$AC200</f>
        <v>7.4493433161470389E-3</v>
      </c>
      <c r="F200" s="1">
        <f t="shared" ref="F200:F263" si="47">E200-E201</f>
        <v>0</v>
      </c>
      <c r="G200">
        <f>moment_rate!I200-0.005</f>
        <v>1.9300000000000015</v>
      </c>
      <c r="H200" s="1">
        <f t="shared" ref="H200:H263" si="48">IF($G200&gt;=4.999,(E200-E201),0)</f>
        <v>0</v>
      </c>
      <c r="I200">
        <f t="shared" si="45"/>
        <v>0</v>
      </c>
      <c r="J200">
        <f t="shared" si="45"/>
        <v>0</v>
      </c>
      <c r="K200">
        <f t="shared" si="45"/>
        <v>0</v>
      </c>
      <c r="L200">
        <f t="shared" si="45"/>
        <v>0</v>
      </c>
      <c r="M200">
        <f t="shared" si="45"/>
        <v>0</v>
      </c>
      <c r="N200">
        <f t="shared" si="45"/>
        <v>0</v>
      </c>
      <c r="O200">
        <f t="shared" si="45"/>
        <v>0</v>
      </c>
      <c r="P200">
        <f t="shared" si="45"/>
        <v>0</v>
      </c>
      <c r="Q200">
        <f t="shared" si="45"/>
        <v>0</v>
      </c>
      <c r="R200">
        <f t="shared" si="45"/>
        <v>0</v>
      </c>
      <c r="S200">
        <f t="shared" si="45"/>
        <v>0</v>
      </c>
      <c r="T200">
        <f t="shared" si="45"/>
        <v>0</v>
      </c>
      <c r="U200">
        <f t="shared" si="45"/>
        <v>0</v>
      </c>
      <c r="V200">
        <f t="shared" si="45"/>
        <v>0</v>
      </c>
      <c r="W200">
        <f t="shared" si="45"/>
        <v>0</v>
      </c>
      <c r="X200">
        <f t="shared" si="45"/>
        <v>0</v>
      </c>
      <c r="Y200">
        <f t="shared" si="44"/>
        <v>0</v>
      </c>
      <c r="Z200">
        <f t="shared" si="44"/>
        <v>0</v>
      </c>
      <c r="AA200">
        <f t="shared" si="44"/>
        <v>0</v>
      </c>
      <c r="AB200">
        <f t="shared" si="44"/>
        <v>0</v>
      </c>
      <c r="AC200">
        <f t="shared" si="44"/>
        <v>0</v>
      </c>
      <c r="AD200">
        <f t="shared" si="44"/>
        <v>0</v>
      </c>
      <c r="AE200">
        <f t="shared" si="44"/>
        <v>0</v>
      </c>
      <c r="AF200">
        <f t="shared" si="44"/>
        <v>0</v>
      </c>
      <c r="AG200">
        <f t="shared" si="44"/>
        <v>0</v>
      </c>
      <c r="AH200">
        <f t="shared" si="44"/>
        <v>0</v>
      </c>
      <c r="AI200">
        <f t="shared" si="44"/>
        <v>0</v>
      </c>
      <c r="AJ200">
        <f t="shared" si="44"/>
        <v>0</v>
      </c>
      <c r="AK200">
        <f t="shared" si="44"/>
        <v>0</v>
      </c>
      <c r="AL200">
        <f t="shared" si="44"/>
        <v>0</v>
      </c>
      <c r="AM200">
        <f t="shared" si="44"/>
        <v>0</v>
      </c>
      <c r="AN200">
        <f t="shared" si="46"/>
        <v>0</v>
      </c>
      <c r="AO200">
        <f t="shared" si="46"/>
        <v>0</v>
      </c>
      <c r="AP200">
        <f t="shared" si="46"/>
        <v>0</v>
      </c>
      <c r="AQ200">
        <f t="shared" si="46"/>
        <v>0</v>
      </c>
      <c r="AR200">
        <f t="shared" si="46"/>
        <v>0</v>
      </c>
    </row>
    <row r="201" spans="5:44" x14ac:dyDescent="0.2">
      <c r="E201" s="1">
        <f>moment_rate!$AC201</f>
        <v>7.4493433161470389E-3</v>
      </c>
      <c r="F201" s="1">
        <f t="shared" si="47"/>
        <v>0</v>
      </c>
      <c r="G201">
        <f>moment_rate!I201-0.005</f>
        <v>1.9400000000000015</v>
      </c>
      <c r="H201" s="1">
        <f t="shared" si="48"/>
        <v>0</v>
      </c>
      <c r="I201">
        <f t="shared" si="45"/>
        <v>0</v>
      </c>
      <c r="J201">
        <f t="shared" si="45"/>
        <v>0</v>
      </c>
      <c r="K201">
        <f t="shared" si="45"/>
        <v>0</v>
      </c>
      <c r="L201">
        <f t="shared" si="45"/>
        <v>0</v>
      </c>
      <c r="M201">
        <f t="shared" si="45"/>
        <v>0</v>
      </c>
      <c r="N201">
        <f t="shared" si="45"/>
        <v>0</v>
      </c>
      <c r="O201">
        <f t="shared" si="45"/>
        <v>0</v>
      </c>
      <c r="P201">
        <f t="shared" si="45"/>
        <v>0</v>
      </c>
      <c r="Q201">
        <f t="shared" si="45"/>
        <v>0</v>
      </c>
      <c r="R201">
        <f t="shared" si="45"/>
        <v>0</v>
      </c>
      <c r="S201">
        <f t="shared" si="45"/>
        <v>0</v>
      </c>
      <c r="T201">
        <f t="shared" si="45"/>
        <v>0</v>
      </c>
      <c r="U201">
        <f t="shared" si="45"/>
        <v>0</v>
      </c>
      <c r="V201">
        <f t="shared" si="45"/>
        <v>0</v>
      </c>
      <c r="W201">
        <f t="shared" si="45"/>
        <v>0</v>
      </c>
      <c r="X201">
        <f t="shared" si="45"/>
        <v>0</v>
      </c>
      <c r="Y201">
        <f t="shared" si="44"/>
        <v>0</v>
      </c>
      <c r="Z201">
        <f t="shared" si="44"/>
        <v>0</v>
      </c>
      <c r="AA201">
        <f t="shared" si="44"/>
        <v>0</v>
      </c>
      <c r="AB201">
        <f t="shared" si="44"/>
        <v>0</v>
      </c>
      <c r="AC201">
        <f t="shared" si="44"/>
        <v>0</v>
      </c>
      <c r="AD201">
        <f t="shared" si="44"/>
        <v>0</v>
      </c>
      <c r="AE201">
        <f t="shared" si="44"/>
        <v>0</v>
      </c>
      <c r="AF201">
        <f t="shared" si="44"/>
        <v>0</v>
      </c>
      <c r="AG201">
        <f t="shared" si="44"/>
        <v>0</v>
      </c>
      <c r="AH201">
        <f t="shared" si="44"/>
        <v>0</v>
      </c>
      <c r="AI201">
        <f t="shared" si="44"/>
        <v>0</v>
      </c>
      <c r="AJ201">
        <f t="shared" si="44"/>
        <v>0</v>
      </c>
      <c r="AK201">
        <f t="shared" si="44"/>
        <v>0</v>
      </c>
      <c r="AL201">
        <f t="shared" si="44"/>
        <v>0</v>
      </c>
      <c r="AM201">
        <f t="shared" si="44"/>
        <v>0</v>
      </c>
      <c r="AN201">
        <f t="shared" si="46"/>
        <v>0</v>
      </c>
      <c r="AO201">
        <f t="shared" si="46"/>
        <v>0</v>
      </c>
      <c r="AP201">
        <f t="shared" si="46"/>
        <v>0</v>
      </c>
      <c r="AQ201">
        <f t="shared" si="46"/>
        <v>0</v>
      </c>
      <c r="AR201">
        <f t="shared" si="46"/>
        <v>0</v>
      </c>
    </row>
    <row r="202" spans="5:44" x14ac:dyDescent="0.2">
      <c r="E202" s="1">
        <f>moment_rate!$AC202</f>
        <v>7.4493433161470389E-3</v>
      </c>
      <c r="F202" s="1">
        <f t="shared" si="47"/>
        <v>0</v>
      </c>
      <c r="G202">
        <f>moment_rate!I202-0.005</f>
        <v>1.9500000000000015</v>
      </c>
      <c r="H202" s="1">
        <f t="shared" si="48"/>
        <v>0</v>
      </c>
      <c r="I202">
        <f t="shared" si="45"/>
        <v>0</v>
      </c>
      <c r="J202">
        <f t="shared" si="45"/>
        <v>0</v>
      </c>
      <c r="K202">
        <f t="shared" si="45"/>
        <v>0</v>
      </c>
      <c r="L202">
        <f t="shared" si="45"/>
        <v>0</v>
      </c>
      <c r="M202">
        <f t="shared" si="45"/>
        <v>0</v>
      </c>
      <c r="N202">
        <f t="shared" si="45"/>
        <v>0</v>
      </c>
      <c r="O202">
        <f t="shared" si="45"/>
        <v>0</v>
      </c>
      <c r="P202">
        <f t="shared" si="45"/>
        <v>0</v>
      </c>
      <c r="Q202">
        <f t="shared" si="45"/>
        <v>0</v>
      </c>
      <c r="R202">
        <f t="shared" si="45"/>
        <v>0</v>
      </c>
      <c r="S202">
        <f t="shared" si="45"/>
        <v>0</v>
      </c>
      <c r="T202">
        <f t="shared" si="45"/>
        <v>0</v>
      </c>
      <c r="U202">
        <f t="shared" si="45"/>
        <v>0</v>
      </c>
      <c r="V202">
        <f t="shared" si="45"/>
        <v>0</v>
      </c>
      <c r="W202">
        <f t="shared" si="45"/>
        <v>0</v>
      </c>
      <c r="X202">
        <f t="shared" si="45"/>
        <v>0</v>
      </c>
      <c r="Y202">
        <f t="shared" si="44"/>
        <v>0</v>
      </c>
      <c r="Z202">
        <f t="shared" si="44"/>
        <v>0</v>
      </c>
      <c r="AA202">
        <f t="shared" si="44"/>
        <v>0</v>
      </c>
      <c r="AB202">
        <f t="shared" si="44"/>
        <v>0</v>
      </c>
      <c r="AC202">
        <f t="shared" si="44"/>
        <v>0</v>
      </c>
      <c r="AD202">
        <f t="shared" si="44"/>
        <v>0</v>
      </c>
      <c r="AE202">
        <f t="shared" si="44"/>
        <v>0</v>
      </c>
      <c r="AF202">
        <f t="shared" si="44"/>
        <v>0</v>
      </c>
      <c r="AG202">
        <f t="shared" si="44"/>
        <v>0</v>
      </c>
      <c r="AH202">
        <f t="shared" si="44"/>
        <v>0</v>
      </c>
      <c r="AI202">
        <f t="shared" si="44"/>
        <v>0</v>
      </c>
      <c r="AJ202">
        <f t="shared" si="44"/>
        <v>0</v>
      </c>
      <c r="AK202">
        <f t="shared" si="44"/>
        <v>0</v>
      </c>
      <c r="AL202">
        <f t="shared" si="44"/>
        <v>0</v>
      </c>
      <c r="AM202">
        <f t="shared" si="44"/>
        <v>0</v>
      </c>
      <c r="AN202">
        <f t="shared" si="46"/>
        <v>0</v>
      </c>
      <c r="AO202">
        <f t="shared" si="46"/>
        <v>0</v>
      </c>
      <c r="AP202">
        <f t="shared" si="46"/>
        <v>0</v>
      </c>
      <c r="AQ202">
        <f t="shared" si="46"/>
        <v>0</v>
      </c>
      <c r="AR202">
        <f t="shared" si="46"/>
        <v>0</v>
      </c>
    </row>
    <row r="203" spans="5:44" x14ac:dyDescent="0.2">
      <c r="E203" s="1">
        <f>moment_rate!$AC203</f>
        <v>7.4493433161470389E-3</v>
      </c>
      <c r="F203" s="1">
        <f t="shared" si="47"/>
        <v>0</v>
      </c>
      <c r="G203">
        <f>moment_rate!I203-0.005</f>
        <v>1.9600000000000015</v>
      </c>
      <c r="H203" s="1">
        <f t="shared" si="48"/>
        <v>0</v>
      </c>
      <c r="I203">
        <f t="shared" si="45"/>
        <v>0</v>
      </c>
      <c r="J203">
        <f t="shared" si="45"/>
        <v>0</v>
      </c>
      <c r="K203">
        <f t="shared" si="45"/>
        <v>0</v>
      </c>
      <c r="L203">
        <f t="shared" si="45"/>
        <v>0</v>
      </c>
      <c r="M203">
        <f t="shared" si="45"/>
        <v>0</v>
      </c>
      <c r="N203">
        <f t="shared" si="45"/>
        <v>0</v>
      </c>
      <c r="O203">
        <f t="shared" si="45"/>
        <v>0</v>
      </c>
      <c r="P203">
        <f t="shared" si="45"/>
        <v>0</v>
      </c>
      <c r="Q203">
        <f t="shared" si="45"/>
        <v>0</v>
      </c>
      <c r="R203">
        <f t="shared" si="45"/>
        <v>0</v>
      </c>
      <c r="S203">
        <f t="shared" si="45"/>
        <v>0</v>
      </c>
      <c r="T203">
        <f t="shared" si="45"/>
        <v>0</v>
      </c>
      <c r="U203">
        <f t="shared" si="45"/>
        <v>0</v>
      </c>
      <c r="V203">
        <f t="shared" si="45"/>
        <v>0</v>
      </c>
      <c r="W203">
        <f t="shared" si="45"/>
        <v>0</v>
      </c>
      <c r="X203">
        <f t="shared" si="45"/>
        <v>0</v>
      </c>
      <c r="Y203">
        <f t="shared" si="44"/>
        <v>0</v>
      </c>
      <c r="Z203">
        <f t="shared" si="44"/>
        <v>0</v>
      </c>
      <c r="AA203">
        <f t="shared" si="44"/>
        <v>0</v>
      </c>
      <c r="AB203">
        <f t="shared" si="44"/>
        <v>0</v>
      </c>
      <c r="AC203">
        <f t="shared" si="44"/>
        <v>0</v>
      </c>
      <c r="AD203">
        <f t="shared" si="44"/>
        <v>0</v>
      </c>
      <c r="AE203">
        <f t="shared" si="44"/>
        <v>0</v>
      </c>
      <c r="AF203">
        <f t="shared" si="44"/>
        <v>0</v>
      </c>
      <c r="AG203">
        <f t="shared" si="44"/>
        <v>0</v>
      </c>
      <c r="AH203">
        <f t="shared" si="44"/>
        <v>0</v>
      </c>
      <c r="AI203">
        <f t="shared" si="44"/>
        <v>0</v>
      </c>
      <c r="AJ203">
        <f t="shared" si="44"/>
        <v>0</v>
      </c>
      <c r="AK203">
        <f t="shared" si="44"/>
        <v>0</v>
      </c>
      <c r="AL203">
        <f t="shared" si="44"/>
        <v>0</v>
      </c>
      <c r="AM203">
        <f t="shared" si="44"/>
        <v>0</v>
      </c>
      <c r="AN203">
        <f t="shared" si="46"/>
        <v>0</v>
      </c>
      <c r="AO203">
        <f t="shared" si="46"/>
        <v>0</v>
      </c>
      <c r="AP203">
        <f t="shared" si="46"/>
        <v>0</v>
      </c>
      <c r="AQ203">
        <f t="shared" si="46"/>
        <v>0</v>
      </c>
      <c r="AR203">
        <f t="shared" si="46"/>
        <v>0</v>
      </c>
    </row>
    <row r="204" spans="5:44" x14ac:dyDescent="0.2">
      <c r="E204" s="1">
        <f>moment_rate!$AC204</f>
        <v>7.4493433161470389E-3</v>
      </c>
      <c r="F204" s="1">
        <f t="shared" si="47"/>
        <v>0</v>
      </c>
      <c r="G204">
        <f>moment_rate!I204-0.005</f>
        <v>1.9700000000000015</v>
      </c>
      <c r="H204" s="1">
        <f t="shared" si="48"/>
        <v>0</v>
      </c>
      <c r="I204">
        <f t="shared" si="45"/>
        <v>0</v>
      </c>
      <c r="J204">
        <f t="shared" si="45"/>
        <v>0</v>
      </c>
      <c r="K204">
        <f t="shared" si="45"/>
        <v>0</v>
      </c>
      <c r="L204">
        <f t="shared" si="45"/>
        <v>0</v>
      </c>
      <c r="M204">
        <f t="shared" si="45"/>
        <v>0</v>
      </c>
      <c r="N204">
        <f t="shared" si="45"/>
        <v>0</v>
      </c>
      <c r="O204">
        <f t="shared" si="45"/>
        <v>0</v>
      </c>
      <c r="P204">
        <f t="shared" si="45"/>
        <v>0</v>
      </c>
      <c r="Q204">
        <f t="shared" si="45"/>
        <v>0</v>
      </c>
      <c r="R204">
        <f t="shared" si="45"/>
        <v>0</v>
      </c>
      <c r="S204">
        <f t="shared" si="45"/>
        <v>0</v>
      </c>
      <c r="T204">
        <f t="shared" si="45"/>
        <v>0</v>
      </c>
      <c r="U204">
        <f t="shared" si="45"/>
        <v>0</v>
      </c>
      <c r="V204">
        <f t="shared" si="45"/>
        <v>0</v>
      </c>
      <c r="W204">
        <f t="shared" si="45"/>
        <v>0</v>
      </c>
      <c r="X204">
        <f t="shared" si="45"/>
        <v>0</v>
      </c>
      <c r="Y204">
        <f t="shared" si="44"/>
        <v>0</v>
      </c>
      <c r="Z204">
        <f t="shared" si="44"/>
        <v>0</v>
      </c>
      <c r="AA204">
        <f t="shared" si="44"/>
        <v>0</v>
      </c>
      <c r="AB204">
        <f t="shared" si="44"/>
        <v>0</v>
      </c>
      <c r="AC204">
        <f t="shared" si="44"/>
        <v>0</v>
      </c>
      <c r="AD204">
        <f t="shared" si="44"/>
        <v>0</v>
      </c>
      <c r="AE204">
        <f t="shared" si="44"/>
        <v>0</v>
      </c>
      <c r="AF204">
        <f t="shared" si="44"/>
        <v>0</v>
      </c>
      <c r="AG204">
        <f t="shared" si="44"/>
        <v>0</v>
      </c>
      <c r="AH204">
        <f t="shared" si="44"/>
        <v>0</v>
      </c>
      <c r="AI204">
        <f t="shared" si="44"/>
        <v>0</v>
      </c>
      <c r="AJ204">
        <f t="shared" si="44"/>
        <v>0</v>
      </c>
      <c r="AK204">
        <f t="shared" si="44"/>
        <v>0</v>
      </c>
      <c r="AL204">
        <f t="shared" si="44"/>
        <v>0</v>
      </c>
      <c r="AM204">
        <f t="shared" si="44"/>
        <v>0</v>
      </c>
      <c r="AN204">
        <f t="shared" si="46"/>
        <v>0</v>
      </c>
      <c r="AO204">
        <f t="shared" si="46"/>
        <v>0</v>
      </c>
      <c r="AP204">
        <f t="shared" si="46"/>
        <v>0</v>
      </c>
      <c r="AQ204">
        <f t="shared" si="46"/>
        <v>0</v>
      </c>
      <c r="AR204">
        <f t="shared" si="46"/>
        <v>0</v>
      </c>
    </row>
    <row r="205" spans="5:44" x14ac:dyDescent="0.2">
      <c r="E205" s="1">
        <f>moment_rate!$AC205</f>
        <v>7.4493433161470389E-3</v>
      </c>
      <c r="F205" s="1">
        <f t="shared" si="47"/>
        <v>0</v>
      </c>
      <c r="G205">
        <f>moment_rate!I205-0.005</f>
        <v>1.9800000000000015</v>
      </c>
      <c r="H205" s="1">
        <f t="shared" si="48"/>
        <v>0</v>
      </c>
      <c r="I205">
        <f t="shared" si="45"/>
        <v>0</v>
      </c>
      <c r="J205">
        <f t="shared" si="45"/>
        <v>0</v>
      </c>
      <c r="K205">
        <f t="shared" si="45"/>
        <v>0</v>
      </c>
      <c r="L205">
        <f t="shared" si="45"/>
        <v>0</v>
      </c>
      <c r="M205">
        <f t="shared" si="45"/>
        <v>0</v>
      </c>
      <c r="N205">
        <f t="shared" si="45"/>
        <v>0</v>
      </c>
      <c r="O205">
        <f t="shared" si="45"/>
        <v>0</v>
      </c>
      <c r="P205">
        <f t="shared" si="45"/>
        <v>0</v>
      </c>
      <c r="Q205">
        <f t="shared" si="45"/>
        <v>0</v>
      </c>
      <c r="R205">
        <f t="shared" si="45"/>
        <v>0</v>
      </c>
      <c r="S205">
        <f t="shared" si="45"/>
        <v>0</v>
      </c>
      <c r="T205">
        <f t="shared" si="45"/>
        <v>0</v>
      </c>
      <c r="U205">
        <f t="shared" si="45"/>
        <v>0</v>
      </c>
      <c r="V205">
        <f t="shared" si="45"/>
        <v>0</v>
      </c>
      <c r="W205">
        <f t="shared" si="45"/>
        <v>0</v>
      </c>
      <c r="X205">
        <f t="shared" si="45"/>
        <v>0</v>
      </c>
      <c r="Y205">
        <f t="shared" si="44"/>
        <v>0</v>
      </c>
      <c r="Z205">
        <f t="shared" si="44"/>
        <v>0</v>
      </c>
      <c r="AA205">
        <f t="shared" si="44"/>
        <v>0</v>
      </c>
      <c r="AB205">
        <f t="shared" si="44"/>
        <v>0</v>
      </c>
      <c r="AC205">
        <f t="shared" si="44"/>
        <v>0</v>
      </c>
      <c r="AD205">
        <f t="shared" si="44"/>
        <v>0</v>
      </c>
      <c r="AE205">
        <f t="shared" si="44"/>
        <v>0</v>
      </c>
      <c r="AF205">
        <f t="shared" si="44"/>
        <v>0</v>
      </c>
      <c r="AG205">
        <f t="shared" si="44"/>
        <v>0</v>
      </c>
      <c r="AH205">
        <f t="shared" si="44"/>
        <v>0</v>
      </c>
      <c r="AI205">
        <f t="shared" si="44"/>
        <v>0</v>
      </c>
      <c r="AJ205">
        <f t="shared" si="44"/>
        <v>0</v>
      </c>
      <c r="AK205">
        <f t="shared" si="44"/>
        <v>0</v>
      </c>
      <c r="AL205">
        <f t="shared" si="44"/>
        <v>0</v>
      </c>
      <c r="AM205">
        <f t="shared" si="44"/>
        <v>0</v>
      </c>
      <c r="AN205">
        <f t="shared" si="46"/>
        <v>0</v>
      </c>
      <c r="AO205">
        <f t="shared" si="46"/>
        <v>0</v>
      </c>
      <c r="AP205">
        <f t="shared" si="46"/>
        <v>0</v>
      </c>
      <c r="AQ205">
        <f t="shared" si="46"/>
        <v>0</v>
      </c>
      <c r="AR205">
        <f t="shared" si="46"/>
        <v>0</v>
      </c>
    </row>
    <row r="206" spans="5:44" x14ac:dyDescent="0.2">
      <c r="E206" s="1">
        <f>moment_rate!$AC206</f>
        <v>7.4493433161470389E-3</v>
      </c>
      <c r="F206" s="1">
        <f t="shared" si="47"/>
        <v>0</v>
      </c>
      <c r="G206">
        <f>moment_rate!I206-0.005</f>
        <v>1.9900000000000015</v>
      </c>
      <c r="H206" s="1">
        <f t="shared" si="48"/>
        <v>0</v>
      </c>
      <c r="I206">
        <f t="shared" si="45"/>
        <v>0</v>
      </c>
      <c r="J206">
        <f t="shared" si="45"/>
        <v>0</v>
      </c>
      <c r="K206">
        <f t="shared" si="45"/>
        <v>0</v>
      </c>
      <c r="L206">
        <f t="shared" si="45"/>
        <v>0</v>
      </c>
      <c r="M206">
        <f t="shared" si="45"/>
        <v>0</v>
      </c>
      <c r="N206">
        <f t="shared" si="45"/>
        <v>0</v>
      </c>
      <c r="O206">
        <f t="shared" si="45"/>
        <v>0</v>
      </c>
      <c r="P206">
        <f t="shared" si="45"/>
        <v>0</v>
      </c>
      <c r="Q206">
        <f t="shared" si="45"/>
        <v>0</v>
      </c>
      <c r="R206">
        <f t="shared" si="45"/>
        <v>0</v>
      </c>
      <c r="S206">
        <f t="shared" si="45"/>
        <v>0</v>
      </c>
      <c r="T206">
        <f t="shared" si="45"/>
        <v>0</v>
      </c>
      <c r="U206">
        <f t="shared" si="45"/>
        <v>0</v>
      </c>
      <c r="V206">
        <f t="shared" si="45"/>
        <v>0</v>
      </c>
      <c r="W206">
        <f t="shared" si="45"/>
        <v>0</v>
      </c>
      <c r="X206">
        <f t="shared" ref="X206:AM225" si="49">IF(AND($G206&gt;=X$3,$G206&lt;X$4),$F206,0)</f>
        <v>0</v>
      </c>
      <c r="Y206">
        <f t="shared" si="49"/>
        <v>0</v>
      </c>
      <c r="Z206">
        <f t="shared" si="49"/>
        <v>0</v>
      </c>
      <c r="AA206">
        <f t="shared" si="49"/>
        <v>0</v>
      </c>
      <c r="AB206">
        <f t="shared" si="49"/>
        <v>0</v>
      </c>
      <c r="AC206">
        <f t="shared" si="49"/>
        <v>0</v>
      </c>
      <c r="AD206">
        <f t="shared" si="49"/>
        <v>0</v>
      </c>
      <c r="AE206">
        <f t="shared" si="49"/>
        <v>0</v>
      </c>
      <c r="AF206">
        <f t="shared" si="49"/>
        <v>0</v>
      </c>
      <c r="AG206">
        <f t="shared" si="49"/>
        <v>0</v>
      </c>
      <c r="AH206">
        <f t="shared" si="49"/>
        <v>0</v>
      </c>
      <c r="AI206">
        <f t="shared" si="49"/>
        <v>0</v>
      </c>
      <c r="AJ206">
        <f t="shared" si="49"/>
        <v>0</v>
      </c>
      <c r="AK206">
        <f t="shared" si="49"/>
        <v>0</v>
      </c>
      <c r="AL206">
        <f t="shared" si="49"/>
        <v>0</v>
      </c>
      <c r="AM206">
        <f t="shared" si="49"/>
        <v>0</v>
      </c>
      <c r="AN206">
        <f t="shared" si="46"/>
        <v>0</v>
      </c>
      <c r="AO206">
        <f t="shared" si="46"/>
        <v>0</v>
      </c>
      <c r="AP206">
        <f t="shared" si="46"/>
        <v>0</v>
      </c>
      <c r="AQ206">
        <f t="shared" si="46"/>
        <v>0</v>
      </c>
      <c r="AR206">
        <f t="shared" si="46"/>
        <v>0</v>
      </c>
    </row>
    <row r="207" spans="5:44" x14ac:dyDescent="0.2">
      <c r="E207" s="1">
        <f>moment_rate!$AC207</f>
        <v>7.4493433161470389E-3</v>
      </c>
      <c r="F207" s="1">
        <f t="shared" si="47"/>
        <v>0</v>
      </c>
      <c r="G207">
        <f>moment_rate!I207-0.005</f>
        <v>2.0000000000000013</v>
      </c>
      <c r="H207" s="1">
        <f t="shared" si="48"/>
        <v>0</v>
      </c>
      <c r="I207">
        <f t="shared" ref="I207:X222" si="50">IF(AND($G207&gt;=I$3,$G207&lt;I$4),$F207,0)</f>
        <v>0</v>
      </c>
      <c r="J207">
        <f t="shared" si="50"/>
        <v>0</v>
      </c>
      <c r="K207">
        <f t="shared" si="50"/>
        <v>0</v>
      </c>
      <c r="L207">
        <f t="shared" si="50"/>
        <v>0</v>
      </c>
      <c r="M207">
        <f t="shared" si="50"/>
        <v>0</v>
      </c>
      <c r="N207">
        <f t="shared" si="50"/>
        <v>0</v>
      </c>
      <c r="O207">
        <f t="shared" si="50"/>
        <v>0</v>
      </c>
      <c r="P207">
        <f t="shared" si="50"/>
        <v>0</v>
      </c>
      <c r="Q207">
        <f t="shared" si="50"/>
        <v>0</v>
      </c>
      <c r="R207">
        <f t="shared" si="50"/>
        <v>0</v>
      </c>
      <c r="S207">
        <f t="shared" si="50"/>
        <v>0</v>
      </c>
      <c r="T207">
        <f t="shared" si="50"/>
        <v>0</v>
      </c>
      <c r="U207">
        <f t="shared" si="50"/>
        <v>0</v>
      </c>
      <c r="V207">
        <f t="shared" si="50"/>
        <v>0</v>
      </c>
      <c r="W207">
        <f t="shared" si="50"/>
        <v>0</v>
      </c>
      <c r="X207">
        <f t="shared" si="50"/>
        <v>0</v>
      </c>
      <c r="Y207">
        <f t="shared" si="49"/>
        <v>0</v>
      </c>
      <c r="Z207">
        <f t="shared" si="49"/>
        <v>0</v>
      </c>
      <c r="AA207">
        <f t="shared" si="49"/>
        <v>0</v>
      </c>
      <c r="AB207">
        <f t="shared" si="49"/>
        <v>0</v>
      </c>
      <c r="AC207">
        <f t="shared" si="49"/>
        <v>0</v>
      </c>
      <c r="AD207">
        <f t="shared" si="49"/>
        <v>0</v>
      </c>
      <c r="AE207">
        <f t="shared" si="49"/>
        <v>0</v>
      </c>
      <c r="AF207">
        <f t="shared" si="49"/>
        <v>0</v>
      </c>
      <c r="AG207">
        <f t="shared" si="49"/>
        <v>0</v>
      </c>
      <c r="AH207">
        <f t="shared" si="49"/>
        <v>0</v>
      </c>
      <c r="AI207">
        <f t="shared" si="49"/>
        <v>0</v>
      </c>
      <c r="AJ207">
        <f t="shared" si="49"/>
        <v>0</v>
      </c>
      <c r="AK207">
        <f t="shared" si="49"/>
        <v>0</v>
      </c>
      <c r="AL207">
        <f t="shared" si="49"/>
        <v>0</v>
      </c>
      <c r="AM207">
        <f t="shared" si="49"/>
        <v>0</v>
      </c>
      <c r="AN207">
        <f t="shared" si="46"/>
        <v>0</v>
      </c>
      <c r="AO207">
        <f t="shared" si="46"/>
        <v>0</v>
      </c>
      <c r="AP207">
        <f t="shared" si="46"/>
        <v>0</v>
      </c>
      <c r="AQ207">
        <f t="shared" si="46"/>
        <v>0</v>
      </c>
      <c r="AR207">
        <f t="shared" si="46"/>
        <v>0</v>
      </c>
    </row>
    <row r="208" spans="5:44" x14ac:dyDescent="0.2">
      <c r="E208" s="1">
        <f>moment_rate!$AC208</f>
        <v>7.4493433161470389E-3</v>
      </c>
      <c r="F208" s="1">
        <f t="shared" si="47"/>
        <v>0</v>
      </c>
      <c r="G208">
        <f>moment_rate!I208-0.005</f>
        <v>2.0100000000000011</v>
      </c>
      <c r="H208" s="1">
        <f t="shared" si="48"/>
        <v>0</v>
      </c>
      <c r="I208">
        <f t="shared" si="50"/>
        <v>0</v>
      </c>
      <c r="J208">
        <f t="shared" si="50"/>
        <v>0</v>
      </c>
      <c r="K208">
        <f t="shared" si="50"/>
        <v>0</v>
      </c>
      <c r="L208">
        <f t="shared" si="50"/>
        <v>0</v>
      </c>
      <c r="M208">
        <f t="shared" si="50"/>
        <v>0</v>
      </c>
      <c r="N208">
        <f t="shared" si="50"/>
        <v>0</v>
      </c>
      <c r="O208">
        <f t="shared" si="50"/>
        <v>0</v>
      </c>
      <c r="P208">
        <f t="shared" si="50"/>
        <v>0</v>
      </c>
      <c r="Q208">
        <f t="shared" si="50"/>
        <v>0</v>
      </c>
      <c r="R208">
        <f t="shared" si="50"/>
        <v>0</v>
      </c>
      <c r="S208">
        <f t="shared" si="50"/>
        <v>0</v>
      </c>
      <c r="T208">
        <f t="shared" si="50"/>
        <v>0</v>
      </c>
      <c r="U208">
        <f t="shared" si="50"/>
        <v>0</v>
      </c>
      <c r="V208">
        <f t="shared" si="50"/>
        <v>0</v>
      </c>
      <c r="W208">
        <f t="shared" si="50"/>
        <v>0</v>
      </c>
      <c r="X208">
        <f t="shared" si="50"/>
        <v>0</v>
      </c>
      <c r="Y208">
        <f t="shared" si="49"/>
        <v>0</v>
      </c>
      <c r="Z208">
        <f t="shared" si="49"/>
        <v>0</v>
      </c>
      <c r="AA208">
        <f t="shared" si="49"/>
        <v>0</v>
      </c>
      <c r="AB208">
        <f t="shared" si="49"/>
        <v>0</v>
      </c>
      <c r="AC208">
        <f t="shared" si="49"/>
        <v>0</v>
      </c>
      <c r="AD208">
        <f t="shared" si="49"/>
        <v>0</v>
      </c>
      <c r="AE208">
        <f t="shared" si="49"/>
        <v>0</v>
      </c>
      <c r="AF208">
        <f t="shared" si="49"/>
        <v>0</v>
      </c>
      <c r="AG208">
        <f t="shared" si="49"/>
        <v>0</v>
      </c>
      <c r="AH208">
        <f t="shared" si="49"/>
        <v>0</v>
      </c>
      <c r="AI208">
        <f t="shared" si="49"/>
        <v>0</v>
      </c>
      <c r="AJ208">
        <f t="shared" si="49"/>
        <v>0</v>
      </c>
      <c r="AK208">
        <f t="shared" si="49"/>
        <v>0</v>
      </c>
      <c r="AL208">
        <f t="shared" si="49"/>
        <v>0</v>
      </c>
      <c r="AM208">
        <f t="shared" si="49"/>
        <v>0</v>
      </c>
      <c r="AN208">
        <f t="shared" si="46"/>
        <v>0</v>
      </c>
      <c r="AO208">
        <f t="shared" si="46"/>
        <v>0</v>
      </c>
      <c r="AP208">
        <f t="shared" si="46"/>
        <v>0</v>
      </c>
      <c r="AQ208">
        <f t="shared" si="46"/>
        <v>0</v>
      </c>
      <c r="AR208">
        <f t="shared" si="46"/>
        <v>0</v>
      </c>
    </row>
    <row r="209" spans="5:44" x14ac:dyDescent="0.2">
      <c r="E209" s="1">
        <f>moment_rate!$AC209</f>
        <v>7.4493433161470389E-3</v>
      </c>
      <c r="F209" s="1">
        <f t="shared" si="47"/>
        <v>0</v>
      </c>
      <c r="G209">
        <f>moment_rate!I209-0.005</f>
        <v>2.0200000000000009</v>
      </c>
      <c r="H209" s="1">
        <f t="shared" si="48"/>
        <v>0</v>
      </c>
      <c r="I209">
        <f t="shared" si="50"/>
        <v>0</v>
      </c>
      <c r="J209">
        <f t="shared" si="50"/>
        <v>0</v>
      </c>
      <c r="K209">
        <f t="shared" si="50"/>
        <v>0</v>
      </c>
      <c r="L209">
        <f t="shared" si="50"/>
        <v>0</v>
      </c>
      <c r="M209">
        <f t="shared" si="50"/>
        <v>0</v>
      </c>
      <c r="N209">
        <f t="shared" si="50"/>
        <v>0</v>
      </c>
      <c r="O209">
        <f t="shared" si="50"/>
        <v>0</v>
      </c>
      <c r="P209">
        <f t="shared" si="50"/>
        <v>0</v>
      </c>
      <c r="Q209">
        <f t="shared" si="50"/>
        <v>0</v>
      </c>
      <c r="R209">
        <f t="shared" si="50"/>
        <v>0</v>
      </c>
      <c r="S209">
        <f t="shared" si="50"/>
        <v>0</v>
      </c>
      <c r="T209">
        <f t="shared" si="50"/>
        <v>0</v>
      </c>
      <c r="U209">
        <f t="shared" si="50"/>
        <v>0</v>
      </c>
      <c r="V209">
        <f t="shared" si="50"/>
        <v>0</v>
      </c>
      <c r="W209">
        <f t="shared" si="50"/>
        <v>0</v>
      </c>
      <c r="X209">
        <f t="shared" si="50"/>
        <v>0</v>
      </c>
      <c r="Y209">
        <f t="shared" si="49"/>
        <v>0</v>
      </c>
      <c r="Z209">
        <f t="shared" si="49"/>
        <v>0</v>
      </c>
      <c r="AA209">
        <f t="shared" si="49"/>
        <v>0</v>
      </c>
      <c r="AB209">
        <f t="shared" si="49"/>
        <v>0</v>
      </c>
      <c r="AC209">
        <f t="shared" si="49"/>
        <v>0</v>
      </c>
      <c r="AD209">
        <f t="shared" si="49"/>
        <v>0</v>
      </c>
      <c r="AE209">
        <f t="shared" si="49"/>
        <v>0</v>
      </c>
      <c r="AF209">
        <f t="shared" si="49"/>
        <v>0</v>
      </c>
      <c r="AG209">
        <f t="shared" si="49"/>
        <v>0</v>
      </c>
      <c r="AH209">
        <f t="shared" si="49"/>
        <v>0</v>
      </c>
      <c r="AI209">
        <f t="shared" si="49"/>
        <v>0</v>
      </c>
      <c r="AJ209">
        <f t="shared" si="49"/>
        <v>0</v>
      </c>
      <c r="AK209">
        <f t="shared" si="49"/>
        <v>0</v>
      </c>
      <c r="AL209">
        <f t="shared" si="49"/>
        <v>0</v>
      </c>
      <c r="AM209">
        <f t="shared" si="49"/>
        <v>0</v>
      </c>
      <c r="AN209">
        <f t="shared" si="46"/>
        <v>0</v>
      </c>
      <c r="AO209">
        <f t="shared" si="46"/>
        <v>0</v>
      </c>
      <c r="AP209">
        <f t="shared" si="46"/>
        <v>0</v>
      </c>
      <c r="AQ209">
        <f t="shared" si="46"/>
        <v>0</v>
      </c>
      <c r="AR209">
        <f t="shared" si="46"/>
        <v>0</v>
      </c>
    </row>
    <row r="210" spans="5:44" x14ac:dyDescent="0.2">
      <c r="E210" s="1">
        <f>moment_rate!$AC210</f>
        <v>7.4493433161470389E-3</v>
      </c>
      <c r="F210" s="1">
        <f t="shared" si="47"/>
        <v>0</v>
      </c>
      <c r="G210">
        <f>moment_rate!I210-0.005</f>
        <v>2.0300000000000007</v>
      </c>
      <c r="H210" s="1">
        <f t="shared" si="48"/>
        <v>0</v>
      </c>
      <c r="I210">
        <f t="shared" si="50"/>
        <v>0</v>
      </c>
      <c r="J210">
        <f t="shared" si="50"/>
        <v>0</v>
      </c>
      <c r="K210">
        <f t="shared" si="50"/>
        <v>0</v>
      </c>
      <c r="L210">
        <f t="shared" si="50"/>
        <v>0</v>
      </c>
      <c r="M210">
        <f t="shared" si="50"/>
        <v>0</v>
      </c>
      <c r="N210">
        <f t="shared" si="50"/>
        <v>0</v>
      </c>
      <c r="O210">
        <f t="shared" si="50"/>
        <v>0</v>
      </c>
      <c r="P210">
        <f t="shared" si="50"/>
        <v>0</v>
      </c>
      <c r="Q210">
        <f t="shared" si="50"/>
        <v>0</v>
      </c>
      <c r="R210">
        <f t="shared" si="50"/>
        <v>0</v>
      </c>
      <c r="S210">
        <f t="shared" si="50"/>
        <v>0</v>
      </c>
      <c r="T210">
        <f t="shared" si="50"/>
        <v>0</v>
      </c>
      <c r="U210">
        <f t="shared" si="50"/>
        <v>0</v>
      </c>
      <c r="V210">
        <f t="shared" si="50"/>
        <v>0</v>
      </c>
      <c r="W210">
        <f t="shared" si="50"/>
        <v>0</v>
      </c>
      <c r="X210">
        <f t="shared" si="50"/>
        <v>0</v>
      </c>
      <c r="Y210">
        <f t="shared" si="49"/>
        <v>0</v>
      </c>
      <c r="Z210">
        <f t="shared" si="49"/>
        <v>0</v>
      </c>
      <c r="AA210">
        <f t="shared" si="49"/>
        <v>0</v>
      </c>
      <c r="AB210">
        <f t="shared" si="49"/>
        <v>0</v>
      </c>
      <c r="AC210">
        <f t="shared" si="49"/>
        <v>0</v>
      </c>
      <c r="AD210">
        <f t="shared" si="49"/>
        <v>0</v>
      </c>
      <c r="AE210">
        <f t="shared" si="49"/>
        <v>0</v>
      </c>
      <c r="AF210">
        <f t="shared" si="49"/>
        <v>0</v>
      </c>
      <c r="AG210">
        <f t="shared" si="49"/>
        <v>0</v>
      </c>
      <c r="AH210">
        <f t="shared" si="49"/>
        <v>0</v>
      </c>
      <c r="AI210">
        <f t="shared" si="49"/>
        <v>0</v>
      </c>
      <c r="AJ210">
        <f t="shared" si="49"/>
        <v>0</v>
      </c>
      <c r="AK210">
        <f t="shared" si="49"/>
        <v>0</v>
      </c>
      <c r="AL210">
        <f t="shared" si="49"/>
        <v>0</v>
      </c>
      <c r="AM210">
        <f t="shared" si="49"/>
        <v>0</v>
      </c>
      <c r="AN210">
        <f t="shared" si="46"/>
        <v>0</v>
      </c>
      <c r="AO210">
        <f t="shared" si="46"/>
        <v>0</v>
      </c>
      <c r="AP210">
        <f t="shared" si="46"/>
        <v>0</v>
      </c>
      <c r="AQ210">
        <f t="shared" si="46"/>
        <v>0</v>
      </c>
      <c r="AR210">
        <f t="shared" si="46"/>
        <v>0</v>
      </c>
    </row>
    <row r="211" spans="5:44" x14ac:dyDescent="0.2">
      <c r="E211" s="1">
        <f>moment_rate!$AC211</f>
        <v>7.4493433161470389E-3</v>
      </c>
      <c r="F211" s="1">
        <f t="shared" si="47"/>
        <v>0</v>
      </c>
      <c r="G211">
        <f>moment_rate!I211-0.005</f>
        <v>2.0400000000000005</v>
      </c>
      <c r="H211" s="1">
        <f t="shared" si="48"/>
        <v>0</v>
      </c>
      <c r="I211">
        <f t="shared" si="50"/>
        <v>0</v>
      </c>
      <c r="J211">
        <f t="shared" si="50"/>
        <v>0</v>
      </c>
      <c r="K211">
        <f t="shared" si="50"/>
        <v>0</v>
      </c>
      <c r="L211">
        <f t="shared" si="50"/>
        <v>0</v>
      </c>
      <c r="M211">
        <f t="shared" si="50"/>
        <v>0</v>
      </c>
      <c r="N211">
        <f t="shared" si="50"/>
        <v>0</v>
      </c>
      <c r="O211">
        <f t="shared" si="50"/>
        <v>0</v>
      </c>
      <c r="P211">
        <f t="shared" si="50"/>
        <v>0</v>
      </c>
      <c r="Q211">
        <f t="shared" si="50"/>
        <v>0</v>
      </c>
      <c r="R211">
        <f t="shared" si="50"/>
        <v>0</v>
      </c>
      <c r="S211">
        <f t="shared" si="50"/>
        <v>0</v>
      </c>
      <c r="T211">
        <f t="shared" si="50"/>
        <v>0</v>
      </c>
      <c r="U211">
        <f t="shared" si="50"/>
        <v>0</v>
      </c>
      <c r="V211">
        <f t="shared" si="50"/>
        <v>0</v>
      </c>
      <c r="W211">
        <f t="shared" si="50"/>
        <v>0</v>
      </c>
      <c r="X211">
        <f t="shared" si="50"/>
        <v>0</v>
      </c>
      <c r="Y211">
        <f t="shared" si="49"/>
        <v>0</v>
      </c>
      <c r="Z211">
        <f t="shared" si="49"/>
        <v>0</v>
      </c>
      <c r="AA211">
        <f t="shared" si="49"/>
        <v>0</v>
      </c>
      <c r="AB211">
        <f t="shared" si="49"/>
        <v>0</v>
      </c>
      <c r="AC211">
        <f t="shared" si="49"/>
        <v>0</v>
      </c>
      <c r="AD211">
        <f t="shared" si="49"/>
        <v>0</v>
      </c>
      <c r="AE211">
        <f t="shared" si="49"/>
        <v>0</v>
      </c>
      <c r="AF211">
        <f t="shared" si="49"/>
        <v>0</v>
      </c>
      <c r="AG211">
        <f t="shared" si="49"/>
        <v>0</v>
      </c>
      <c r="AH211">
        <f t="shared" si="49"/>
        <v>0</v>
      </c>
      <c r="AI211">
        <f t="shared" si="49"/>
        <v>0</v>
      </c>
      <c r="AJ211">
        <f t="shared" si="49"/>
        <v>0</v>
      </c>
      <c r="AK211">
        <f t="shared" si="49"/>
        <v>0</v>
      </c>
      <c r="AL211">
        <f t="shared" si="49"/>
        <v>0</v>
      </c>
      <c r="AM211">
        <f t="shared" si="49"/>
        <v>0</v>
      </c>
      <c r="AN211">
        <f t="shared" si="46"/>
        <v>0</v>
      </c>
      <c r="AO211">
        <f t="shared" si="46"/>
        <v>0</v>
      </c>
      <c r="AP211">
        <f t="shared" si="46"/>
        <v>0</v>
      </c>
      <c r="AQ211">
        <f t="shared" si="46"/>
        <v>0</v>
      </c>
      <c r="AR211">
        <f t="shared" si="46"/>
        <v>0</v>
      </c>
    </row>
    <row r="212" spans="5:44" x14ac:dyDescent="0.2">
      <c r="E212" s="1">
        <f>moment_rate!$AC212</f>
        <v>7.4493433161470389E-3</v>
      </c>
      <c r="F212" s="1">
        <f t="shared" si="47"/>
        <v>0</v>
      </c>
      <c r="G212">
        <f>moment_rate!I212-0.005</f>
        <v>2.0500000000000003</v>
      </c>
      <c r="H212" s="1">
        <f t="shared" si="48"/>
        <v>0</v>
      </c>
      <c r="I212">
        <f t="shared" si="50"/>
        <v>0</v>
      </c>
      <c r="J212">
        <f t="shared" si="50"/>
        <v>0</v>
      </c>
      <c r="K212">
        <f t="shared" si="50"/>
        <v>0</v>
      </c>
      <c r="L212">
        <f t="shared" si="50"/>
        <v>0</v>
      </c>
      <c r="M212">
        <f t="shared" si="50"/>
        <v>0</v>
      </c>
      <c r="N212">
        <f t="shared" si="50"/>
        <v>0</v>
      </c>
      <c r="O212">
        <f t="shared" si="50"/>
        <v>0</v>
      </c>
      <c r="P212">
        <f t="shared" si="50"/>
        <v>0</v>
      </c>
      <c r="Q212">
        <f t="shared" si="50"/>
        <v>0</v>
      </c>
      <c r="R212">
        <f t="shared" si="50"/>
        <v>0</v>
      </c>
      <c r="S212">
        <f t="shared" si="50"/>
        <v>0</v>
      </c>
      <c r="T212">
        <f t="shared" si="50"/>
        <v>0</v>
      </c>
      <c r="U212">
        <f t="shared" si="50"/>
        <v>0</v>
      </c>
      <c r="V212">
        <f t="shared" si="50"/>
        <v>0</v>
      </c>
      <c r="W212">
        <f t="shared" si="50"/>
        <v>0</v>
      </c>
      <c r="X212">
        <f t="shared" si="50"/>
        <v>0</v>
      </c>
      <c r="Y212">
        <f t="shared" si="49"/>
        <v>0</v>
      </c>
      <c r="Z212">
        <f t="shared" si="49"/>
        <v>0</v>
      </c>
      <c r="AA212">
        <f t="shared" si="49"/>
        <v>0</v>
      </c>
      <c r="AB212">
        <f t="shared" si="49"/>
        <v>0</v>
      </c>
      <c r="AC212">
        <f t="shared" si="49"/>
        <v>0</v>
      </c>
      <c r="AD212">
        <f t="shared" si="49"/>
        <v>0</v>
      </c>
      <c r="AE212">
        <f t="shared" si="49"/>
        <v>0</v>
      </c>
      <c r="AF212">
        <f t="shared" si="49"/>
        <v>0</v>
      </c>
      <c r="AG212">
        <f t="shared" si="49"/>
        <v>0</v>
      </c>
      <c r="AH212">
        <f t="shared" si="49"/>
        <v>0</v>
      </c>
      <c r="AI212">
        <f t="shared" si="49"/>
        <v>0</v>
      </c>
      <c r="AJ212">
        <f t="shared" si="49"/>
        <v>0</v>
      </c>
      <c r="AK212">
        <f t="shared" si="49"/>
        <v>0</v>
      </c>
      <c r="AL212">
        <f t="shared" si="49"/>
        <v>0</v>
      </c>
      <c r="AM212">
        <f t="shared" si="49"/>
        <v>0</v>
      </c>
      <c r="AN212">
        <f t="shared" si="46"/>
        <v>0</v>
      </c>
      <c r="AO212">
        <f t="shared" si="46"/>
        <v>0</v>
      </c>
      <c r="AP212">
        <f t="shared" si="46"/>
        <v>0</v>
      </c>
      <c r="AQ212">
        <f t="shared" si="46"/>
        <v>0</v>
      </c>
      <c r="AR212">
        <f t="shared" si="46"/>
        <v>0</v>
      </c>
    </row>
    <row r="213" spans="5:44" x14ac:dyDescent="0.2">
      <c r="E213" s="1">
        <f>moment_rate!$AC213</f>
        <v>7.4493433161470389E-3</v>
      </c>
      <c r="F213" s="1">
        <f t="shared" si="47"/>
        <v>0</v>
      </c>
      <c r="G213">
        <f>moment_rate!I213-0.005</f>
        <v>2.06</v>
      </c>
      <c r="H213" s="1">
        <f t="shared" si="48"/>
        <v>0</v>
      </c>
      <c r="I213">
        <f t="shared" si="50"/>
        <v>0</v>
      </c>
      <c r="J213">
        <f t="shared" si="50"/>
        <v>0</v>
      </c>
      <c r="K213">
        <f t="shared" si="50"/>
        <v>0</v>
      </c>
      <c r="L213">
        <f t="shared" si="50"/>
        <v>0</v>
      </c>
      <c r="M213">
        <f t="shared" si="50"/>
        <v>0</v>
      </c>
      <c r="N213">
        <f t="shared" si="50"/>
        <v>0</v>
      </c>
      <c r="O213">
        <f t="shared" si="50"/>
        <v>0</v>
      </c>
      <c r="P213">
        <f t="shared" si="50"/>
        <v>0</v>
      </c>
      <c r="Q213">
        <f t="shared" si="50"/>
        <v>0</v>
      </c>
      <c r="R213">
        <f t="shared" si="50"/>
        <v>0</v>
      </c>
      <c r="S213">
        <f t="shared" si="50"/>
        <v>0</v>
      </c>
      <c r="T213">
        <f t="shared" si="50"/>
        <v>0</v>
      </c>
      <c r="U213">
        <f t="shared" si="50"/>
        <v>0</v>
      </c>
      <c r="V213">
        <f t="shared" si="50"/>
        <v>0</v>
      </c>
      <c r="W213">
        <f t="shared" si="50"/>
        <v>0</v>
      </c>
      <c r="X213">
        <f t="shared" si="50"/>
        <v>0</v>
      </c>
      <c r="Y213">
        <f t="shared" si="49"/>
        <v>0</v>
      </c>
      <c r="Z213">
        <f t="shared" si="49"/>
        <v>0</v>
      </c>
      <c r="AA213">
        <f t="shared" si="49"/>
        <v>0</v>
      </c>
      <c r="AB213">
        <f t="shared" si="49"/>
        <v>0</v>
      </c>
      <c r="AC213">
        <f t="shared" si="49"/>
        <v>0</v>
      </c>
      <c r="AD213">
        <f t="shared" si="49"/>
        <v>0</v>
      </c>
      <c r="AE213">
        <f t="shared" si="49"/>
        <v>0</v>
      </c>
      <c r="AF213">
        <f t="shared" si="49"/>
        <v>0</v>
      </c>
      <c r="AG213">
        <f t="shared" si="49"/>
        <v>0</v>
      </c>
      <c r="AH213">
        <f t="shared" si="49"/>
        <v>0</v>
      </c>
      <c r="AI213">
        <f t="shared" si="49"/>
        <v>0</v>
      </c>
      <c r="AJ213">
        <f t="shared" si="49"/>
        <v>0</v>
      </c>
      <c r="AK213">
        <f t="shared" si="49"/>
        <v>0</v>
      </c>
      <c r="AL213">
        <f t="shared" si="49"/>
        <v>0</v>
      </c>
      <c r="AM213">
        <f t="shared" si="49"/>
        <v>0</v>
      </c>
      <c r="AN213">
        <f t="shared" si="46"/>
        <v>0</v>
      </c>
      <c r="AO213">
        <f t="shared" si="46"/>
        <v>0</v>
      </c>
      <c r="AP213">
        <f t="shared" si="46"/>
        <v>0</v>
      </c>
      <c r="AQ213">
        <f t="shared" si="46"/>
        <v>0</v>
      </c>
      <c r="AR213">
        <f t="shared" si="46"/>
        <v>0</v>
      </c>
    </row>
    <row r="214" spans="5:44" x14ac:dyDescent="0.2">
      <c r="E214" s="1">
        <f>moment_rate!$AC214</f>
        <v>7.4493433161470389E-3</v>
      </c>
      <c r="F214" s="1">
        <f t="shared" si="47"/>
        <v>0</v>
      </c>
      <c r="G214">
        <f>moment_rate!I214-0.005</f>
        <v>2.0699999999999998</v>
      </c>
      <c r="H214" s="1">
        <f t="shared" si="48"/>
        <v>0</v>
      </c>
      <c r="I214">
        <f t="shared" si="50"/>
        <v>0</v>
      </c>
      <c r="J214">
        <f t="shared" si="50"/>
        <v>0</v>
      </c>
      <c r="K214">
        <f t="shared" si="50"/>
        <v>0</v>
      </c>
      <c r="L214">
        <f t="shared" si="50"/>
        <v>0</v>
      </c>
      <c r="M214">
        <f t="shared" si="50"/>
        <v>0</v>
      </c>
      <c r="N214">
        <f t="shared" si="50"/>
        <v>0</v>
      </c>
      <c r="O214">
        <f t="shared" si="50"/>
        <v>0</v>
      </c>
      <c r="P214">
        <f t="shared" si="50"/>
        <v>0</v>
      </c>
      <c r="Q214">
        <f t="shared" si="50"/>
        <v>0</v>
      </c>
      <c r="R214">
        <f t="shared" si="50"/>
        <v>0</v>
      </c>
      <c r="S214">
        <f t="shared" si="50"/>
        <v>0</v>
      </c>
      <c r="T214">
        <f t="shared" si="50"/>
        <v>0</v>
      </c>
      <c r="U214">
        <f t="shared" si="50"/>
        <v>0</v>
      </c>
      <c r="V214">
        <f t="shared" si="50"/>
        <v>0</v>
      </c>
      <c r="W214">
        <f t="shared" si="50"/>
        <v>0</v>
      </c>
      <c r="X214">
        <f t="shared" si="50"/>
        <v>0</v>
      </c>
      <c r="Y214">
        <f t="shared" si="49"/>
        <v>0</v>
      </c>
      <c r="Z214">
        <f t="shared" si="49"/>
        <v>0</v>
      </c>
      <c r="AA214">
        <f t="shared" si="49"/>
        <v>0</v>
      </c>
      <c r="AB214">
        <f t="shared" si="49"/>
        <v>0</v>
      </c>
      <c r="AC214">
        <f t="shared" si="49"/>
        <v>0</v>
      </c>
      <c r="AD214">
        <f t="shared" si="49"/>
        <v>0</v>
      </c>
      <c r="AE214">
        <f t="shared" si="49"/>
        <v>0</v>
      </c>
      <c r="AF214">
        <f t="shared" si="49"/>
        <v>0</v>
      </c>
      <c r="AG214">
        <f t="shared" si="49"/>
        <v>0</v>
      </c>
      <c r="AH214">
        <f t="shared" si="49"/>
        <v>0</v>
      </c>
      <c r="AI214">
        <f t="shared" si="49"/>
        <v>0</v>
      </c>
      <c r="AJ214">
        <f t="shared" si="49"/>
        <v>0</v>
      </c>
      <c r="AK214">
        <f t="shared" si="49"/>
        <v>0</v>
      </c>
      <c r="AL214">
        <f t="shared" si="49"/>
        <v>0</v>
      </c>
      <c r="AM214">
        <f t="shared" si="49"/>
        <v>0</v>
      </c>
      <c r="AN214">
        <f t="shared" si="46"/>
        <v>0</v>
      </c>
      <c r="AO214">
        <f t="shared" si="46"/>
        <v>0</v>
      </c>
      <c r="AP214">
        <f t="shared" si="46"/>
        <v>0</v>
      </c>
      <c r="AQ214">
        <f t="shared" si="46"/>
        <v>0</v>
      </c>
      <c r="AR214">
        <f t="shared" si="46"/>
        <v>0</v>
      </c>
    </row>
    <row r="215" spans="5:44" x14ac:dyDescent="0.2">
      <c r="E215" s="1">
        <f>moment_rate!$AC215</f>
        <v>7.4493433161470389E-3</v>
      </c>
      <c r="F215" s="1">
        <f t="shared" si="47"/>
        <v>0</v>
      </c>
      <c r="G215">
        <f>moment_rate!I215-0.005</f>
        <v>2.0799999999999996</v>
      </c>
      <c r="H215" s="1">
        <f t="shared" si="48"/>
        <v>0</v>
      </c>
      <c r="I215">
        <f t="shared" si="50"/>
        <v>0</v>
      </c>
      <c r="J215">
        <f t="shared" si="50"/>
        <v>0</v>
      </c>
      <c r="K215">
        <f t="shared" si="50"/>
        <v>0</v>
      </c>
      <c r="L215">
        <f t="shared" si="50"/>
        <v>0</v>
      </c>
      <c r="M215">
        <f t="shared" si="50"/>
        <v>0</v>
      </c>
      <c r="N215">
        <f t="shared" si="50"/>
        <v>0</v>
      </c>
      <c r="O215">
        <f t="shared" si="50"/>
        <v>0</v>
      </c>
      <c r="P215">
        <f t="shared" si="50"/>
        <v>0</v>
      </c>
      <c r="Q215">
        <f t="shared" si="50"/>
        <v>0</v>
      </c>
      <c r="R215">
        <f t="shared" si="50"/>
        <v>0</v>
      </c>
      <c r="S215">
        <f t="shared" si="50"/>
        <v>0</v>
      </c>
      <c r="T215">
        <f t="shared" si="50"/>
        <v>0</v>
      </c>
      <c r="U215">
        <f t="shared" si="50"/>
        <v>0</v>
      </c>
      <c r="V215">
        <f t="shared" si="50"/>
        <v>0</v>
      </c>
      <c r="W215">
        <f t="shared" si="50"/>
        <v>0</v>
      </c>
      <c r="X215">
        <f t="shared" si="50"/>
        <v>0</v>
      </c>
      <c r="Y215">
        <f t="shared" si="49"/>
        <v>0</v>
      </c>
      <c r="Z215">
        <f t="shared" si="49"/>
        <v>0</v>
      </c>
      <c r="AA215">
        <f t="shared" si="49"/>
        <v>0</v>
      </c>
      <c r="AB215">
        <f t="shared" si="49"/>
        <v>0</v>
      </c>
      <c r="AC215">
        <f t="shared" si="49"/>
        <v>0</v>
      </c>
      <c r="AD215">
        <f t="shared" si="49"/>
        <v>0</v>
      </c>
      <c r="AE215">
        <f t="shared" si="49"/>
        <v>0</v>
      </c>
      <c r="AF215">
        <f t="shared" si="49"/>
        <v>0</v>
      </c>
      <c r="AG215">
        <f t="shared" si="49"/>
        <v>0</v>
      </c>
      <c r="AH215">
        <f t="shared" si="49"/>
        <v>0</v>
      </c>
      <c r="AI215">
        <f t="shared" si="49"/>
        <v>0</v>
      </c>
      <c r="AJ215">
        <f t="shared" si="49"/>
        <v>0</v>
      </c>
      <c r="AK215">
        <f t="shared" si="49"/>
        <v>0</v>
      </c>
      <c r="AL215">
        <f t="shared" si="49"/>
        <v>0</v>
      </c>
      <c r="AM215">
        <f t="shared" si="49"/>
        <v>0</v>
      </c>
      <c r="AN215">
        <f t="shared" ref="AI215:AR252" si="51">IF(AND($G215&gt;=AN$3,$G215&lt;AN$4),$F215,0)</f>
        <v>0</v>
      </c>
      <c r="AO215">
        <f t="shared" si="51"/>
        <v>0</v>
      </c>
      <c r="AP215">
        <f t="shared" si="51"/>
        <v>0</v>
      </c>
      <c r="AQ215">
        <f t="shared" si="51"/>
        <v>0</v>
      </c>
      <c r="AR215">
        <f t="shared" si="51"/>
        <v>0</v>
      </c>
    </row>
    <row r="216" spans="5:44" x14ac:dyDescent="0.2">
      <c r="E216" s="1">
        <f>moment_rate!$AC216</f>
        <v>7.4493433161470389E-3</v>
      </c>
      <c r="F216" s="1">
        <f t="shared" si="47"/>
        <v>0</v>
      </c>
      <c r="G216">
        <f>moment_rate!I216-0.005</f>
        <v>2.0899999999999994</v>
      </c>
      <c r="H216" s="1">
        <f t="shared" si="48"/>
        <v>0</v>
      </c>
      <c r="I216">
        <f t="shared" si="50"/>
        <v>0</v>
      </c>
      <c r="J216">
        <f t="shared" si="50"/>
        <v>0</v>
      </c>
      <c r="K216">
        <f t="shared" si="50"/>
        <v>0</v>
      </c>
      <c r="L216">
        <f t="shared" si="50"/>
        <v>0</v>
      </c>
      <c r="M216">
        <f t="shared" si="50"/>
        <v>0</v>
      </c>
      <c r="N216">
        <f t="shared" si="50"/>
        <v>0</v>
      </c>
      <c r="O216">
        <f t="shared" si="50"/>
        <v>0</v>
      </c>
      <c r="P216">
        <f t="shared" si="50"/>
        <v>0</v>
      </c>
      <c r="Q216">
        <f t="shared" si="50"/>
        <v>0</v>
      </c>
      <c r="R216">
        <f t="shared" si="50"/>
        <v>0</v>
      </c>
      <c r="S216">
        <f t="shared" si="50"/>
        <v>0</v>
      </c>
      <c r="T216">
        <f t="shared" si="50"/>
        <v>0</v>
      </c>
      <c r="U216">
        <f t="shared" si="50"/>
        <v>0</v>
      </c>
      <c r="V216">
        <f t="shared" si="50"/>
        <v>0</v>
      </c>
      <c r="W216">
        <f t="shared" si="50"/>
        <v>0</v>
      </c>
      <c r="X216">
        <f t="shared" si="50"/>
        <v>0</v>
      </c>
      <c r="Y216">
        <f t="shared" si="49"/>
        <v>0</v>
      </c>
      <c r="Z216">
        <f t="shared" si="49"/>
        <v>0</v>
      </c>
      <c r="AA216">
        <f t="shared" si="49"/>
        <v>0</v>
      </c>
      <c r="AB216">
        <f t="shared" si="49"/>
        <v>0</v>
      </c>
      <c r="AC216">
        <f t="shared" si="49"/>
        <v>0</v>
      </c>
      <c r="AD216">
        <f t="shared" si="49"/>
        <v>0</v>
      </c>
      <c r="AE216">
        <f t="shared" si="49"/>
        <v>0</v>
      </c>
      <c r="AF216">
        <f t="shared" si="49"/>
        <v>0</v>
      </c>
      <c r="AG216">
        <f t="shared" si="49"/>
        <v>0</v>
      </c>
      <c r="AH216">
        <f t="shared" si="49"/>
        <v>0</v>
      </c>
      <c r="AI216">
        <f t="shared" si="51"/>
        <v>0</v>
      </c>
      <c r="AJ216">
        <f t="shared" si="51"/>
        <v>0</v>
      </c>
      <c r="AK216">
        <f t="shared" si="51"/>
        <v>0</v>
      </c>
      <c r="AL216">
        <f t="shared" si="51"/>
        <v>0</v>
      </c>
      <c r="AM216">
        <f t="shared" si="51"/>
        <v>0</v>
      </c>
      <c r="AN216">
        <f t="shared" si="51"/>
        <v>0</v>
      </c>
      <c r="AO216">
        <f t="shared" si="51"/>
        <v>0</v>
      </c>
      <c r="AP216">
        <f t="shared" si="51"/>
        <v>0</v>
      </c>
      <c r="AQ216">
        <f t="shared" si="51"/>
        <v>0</v>
      </c>
      <c r="AR216">
        <f t="shared" si="51"/>
        <v>0</v>
      </c>
    </row>
    <row r="217" spans="5:44" x14ac:dyDescent="0.2">
      <c r="E217" s="1">
        <f>moment_rate!$AC217</f>
        <v>7.4493433161470389E-3</v>
      </c>
      <c r="F217" s="1">
        <f t="shared" si="47"/>
        <v>0</v>
      </c>
      <c r="G217">
        <f>moment_rate!I217-0.005</f>
        <v>2.0999999999999992</v>
      </c>
      <c r="H217" s="1">
        <f t="shared" si="48"/>
        <v>0</v>
      </c>
      <c r="I217">
        <f t="shared" si="50"/>
        <v>0</v>
      </c>
      <c r="J217">
        <f t="shared" si="50"/>
        <v>0</v>
      </c>
      <c r="K217">
        <f t="shared" si="50"/>
        <v>0</v>
      </c>
      <c r="L217">
        <f t="shared" si="50"/>
        <v>0</v>
      </c>
      <c r="M217">
        <f t="shared" si="50"/>
        <v>0</v>
      </c>
      <c r="N217">
        <f t="shared" si="50"/>
        <v>0</v>
      </c>
      <c r="O217">
        <f t="shared" si="50"/>
        <v>0</v>
      </c>
      <c r="P217">
        <f t="shared" si="50"/>
        <v>0</v>
      </c>
      <c r="Q217">
        <f t="shared" si="50"/>
        <v>0</v>
      </c>
      <c r="R217">
        <f t="shared" si="50"/>
        <v>0</v>
      </c>
      <c r="S217">
        <f t="shared" si="50"/>
        <v>0</v>
      </c>
      <c r="T217">
        <f t="shared" si="50"/>
        <v>0</v>
      </c>
      <c r="U217">
        <f t="shared" si="50"/>
        <v>0</v>
      </c>
      <c r="V217">
        <f t="shared" si="50"/>
        <v>0</v>
      </c>
      <c r="W217">
        <f t="shared" si="50"/>
        <v>0</v>
      </c>
      <c r="X217">
        <f t="shared" si="50"/>
        <v>0</v>
      </c>
      <c r="Y217">
        <f t="shared" si="49"/>
        <v>0</v>
      </c>
      <c r="Z217">
        <f t="shared" si="49"/>
        <v>0</v>
      </c>
      <c r="AA217">
        <f t="shared" si="49"/>
        <v>0</v>
      </c>
      <c r="AB217">
        <f t="shared" si="49"/>
        <v>0</v>
      </c>
      <c r="AC217">
        <f t="shared" si="49"/>
        <v>0</v>
      </c>
      <c r="AD217">
        <f t="shared" si="49"/>
        <v>0</v>
      </c>
      <c r="AE217">
        <f t="shared" si="49"/>
        <v>0</v>
      </c>
      <c r="AF217">
        <f t="shared" si="49"/>
        <v>0</v>
      </c>
      <c r="AG217">
        <f t="shared" si="49"/>
        <v>0</v>
      </c>
      <c r="AH217">
        <f t="shared" si="49"/>
        <v>0</v>
      </c>
      <c r="AI217">
        <f t="shared" si="51"/>
        <v>0</v>
      </c>
      <c r="AJ217">
        <f t="shared" si="51"/>
        <v>0</v>
      </c>
      <c r="AK217">
        <f t="shared" si="51"/>
        <v>0</v>
      </c>
      <c r="AL217">
        <f t="shared" si="51"/>
        <v>0</v>
      </c>
      <c r="AM217">
        <f t="shared" si="51"/>
        <v>0</v>
      </c>
      <c r="AN217">
        <f t="shared" si="51"/>
        <v>0</v>
      </c>
      <c r="AO217">
        <f t="shared" si="51"/>
        <v>0</v>
      </c>
      <c r="AP217">
        <f t="shared" si="51"/>
        <v>0</v>
      </c>
      <c r="AQ217">
        <f t="shared" si="51"/>
        <v>0</v>
      </c>
      <c r="AR217">
        <f t="shared" si="51"/>
        <v>0</v>
      </c>
    </row>
    <row r="218" spans="5:44" x14ac:dyDescent="0.2">
      <c r="E218" s="1">
        <f>moment_rate!$AC218</f>
        <v>7.4493433161470389E-3</v>
      </c>
      <c r="F218" s="1">
        <f t="shared" si="47"/>
        <v>0</v>
      </c>
      <c r="G218">
        <f>moment_rate!I218-0.005</f>
        <v>2.109999999999999</v>
      </c>
      <c r="H218" s="1">
        <f t="shared" si="48"/>
        <v>0</v>
      </c>
      <c r="I218">
        <f t="shared" si="50"/>
        <v>0</v>
      </c>
      <c r="J218">
        <f t="shared" si="50"/>
        <v>0</v>
      </c>
      <c r="K218">
        <f t="shared" si="50"/>
        <v>0</v>
      </c>
      <c r="L218">
        <f t="shared" si="50"/>
        <v>0</v>
      </c>
      <c r="M218">
        <f t="shared" si="50"/>
        <v>0</v>
      </c>
      <c r="N218">
        <f t="shared" si="50"/>
        <v>0</v>
      </c>
      <c r="O218">
        <f t="shared" si="50"/>
        <v>0</v>
      </c>
      <c r="P218">
        <f t="shared" si="50"/>
        <v>0</v>
      </c>
      <c r="Q218">
        <f t="shared" si="50"/>
        <v>0</v>
      </c>
      <c r="R218">
        <f t="shared" si="50"/>
        <v>0</v>
      </c>
      <c r="S218">
        <f t="shared" si="50"/>
        <v>0</v>
      </c>
      <c r="T218">
        <f t="shared" si="50"/>
        <v>0</v>
      </c>
      <c r="U218">
        <f t="shared" si="50"/>
        <v>0</v>
      </c>
      <c r="V218">
        <f t="shared" si="50"/>
        <v>0</v>
      </c>
      <c r="W218">
        <f t="shared" si="50"/>
        <v>0</v>
      </c>
      <c r="X218">
        <f t="shared" si="50"/>
        <v>0</v>
      </c>
      <c r="Y218">
        <f t="shared" si="49"/>
        <v>0</v>
      </c>
      <c r="Z218">
        <f t="shared" si="49"/>
        <v>0</v>
      </c>
      <c r="AA218">
        <f t="shared" si="49"/>
        <v>0</v>
      </c>
      <c r="AB218">
        <f t="shared" si="49"/>
        <v>0</v>
      </c>
      <c r="AC218">
        <f t="shared" si="49"/>
        <v>0</v>
      </c>
      <c r="AD218">
        <f t="shared" si="49"/>
        <v>0</v>
      </c>
      <c r="AE218">
        <f t="shared" si="49"/>
        <v>0</v>
      </c>
      <c r="AF218">
        <f t="shared" si="49"/>
        <v>0</v>
      </c>
      <c r="AG218">
        <f t="shared" si="49"/>
        <v>0</v>
      </c>
      <c r="AH218">
        <f t="shared" si="49"/>
        <v>0</v>
      </c>
      <c r="AI218">
        <f t="shared" si="51"/>
        <v>0</v>
      </c>
      <c r="AJ218">
        <f t="shared" si="51"/>
        <v>0</v>
      </c>
      <c r="AK218">
        <f t="shared" si="51"/>
        <v>0</v>
      </c>
      <c r="AL218">
        <f t="shared" si="51"/>
        <v>0</v>
      </c>
      <c r="AM218">
        <f t="shared" si="51"/>
        <v>0</v>
      </c>
      <c r="AN218">
        <f t="shared" si="51"/>
        <v>0</v>
      </c>
      <c r="AO218">
        <f t="shared" si="51"/>
        <v>0</v>
      </c>
      <c r="AP218">
        <f t="shared" si="51"/>
        <v>0</v>
      </c>
      <c r="AQ218">
        <f t="shared" si="51"/>
        <v>0</v>
      </c>
      <c r="AR218">
        <f t="shared" si="51"/>
        <v>0</v>
      </c>
    </row>
    <row r="219" spans="5:44" x14ac:dyDescent="0.2">
      <c r="E219" s="1">
        <f>moment_rate!$AC219</f>
        <v>7.4493433161470389E-3</v>
      </c>
      <c r="F219" s="1">
        <f t="shared" si="47"/>
        <v>0</v>
      </c>
      <c r="G219">
        <f>moment_rate!I219-0.005</f>
        <v>2.1199999999999988</v>
      </c>
      <c r="H219" s="1">
        <f t="shared" si="48"/>
        <v>0</v>
      </c>
      <c r="I219">
        <f t="shared" si="50"/>
        <v>0</v>
      </c>
      <c r="J219">
        <f t="shared" si="50"/>
        <v>0</v>
      </c>
      <c r="K219">
        <f t="shared" si="50"/>
        <v>0</v>
      </c>
      <c r="L219">
        <f t="shared" si="50"/>
        <v>0</v>
      </c>
      <c r="M219">
        <f t="shared" si="50"/>
        <v>0</v>
      </c>
      <c r="N219">
        <f t="shared" si="50"/>
        <v>0</v>
      </c>
      <c r="O219">
        <f t="shared" si="50"/>
        <v>0</v>
      </c>
      <c r="P219">
        <f t="shared" si="50"/>
        <v>0</v>
      </c>
      <c r="Q219">
        <f t="shared" si="50"/>
        <v>0</v>
      </c>
      <c r="R219">
        <f t="shared" si="50"/>
        <v>0</v>
      </c>
      <c r="S219">
        <f t="shared" si="50"/>
        <v>0</v>
      </c>
      <c r="T219">
        <f t="shared" si="50"/>
        <v>0</v>
      </c>
      <c r="U219">
        <f t="shared" si="50"/>
        <v>0</v>
      </c>
      <c r="V219">
        <f t="shared" si="50"/>
        <v>0</v>
      </c>
      <c r="W219">
        <f t="shared" si="50"/>
        <v>0</v>
      </c>
      <c r="X219">
        <f t="shared" si="50"/>
        <v>0</v>
      </c>
      <c r="Y219">
        <f t="shared" si="49"/>
        <v>0</v>
      </c>
      <c r="Z219">
        <f t="shared" si="49"/>
        <v>0</v>
      </c>
      <c r="AA219">
        <f t="shared" si="49"/>
        <v>0</v>
      </c>
      <c r="AB219">
        <f t="shared" si="49"/>
        <v>0</v>
      </c>
      <c r="AC219">
        <f t="shared" si="49"/>
        <v>0</v>
      </c>
      <c r="AD219">
        <f t="shared" si="49"/>
        <v>0</v>
      </c>
      <c r="AE219">
        <f t="shared" si="49"/>
        <v>0</v>
      </c>
      <c r="AF219">
        <f t="shared" si="49"/>
        <v>0</v>
      </c>
      <c r="AG219">
        <f t="shared" si="49"/>
        <v>0</v>
      </c>
      <c r="AH219">
        <f t="shared" si="49"/>
        <v>0</v>
      </c>
      <c r="AI219">
        <f t="shared" si="51"/>
        <v>0</v>
      </c>
      <c r="AJ219">
        <f t="shared" si="51"/>
        <v>0</v>
      </c>
      <c r="AK219">
        <f t="shared" si="51"/>
        <v>0</v>
      </c>
      <c r="AL219">
        <f t="shared" si="51"/>
        <v>0</v>
      </c>
      <c r="AM219">
        <f t="shared" si="51"/>
        <v>0</v>
      </c>
      <c r="AN219">
        <f t="shared" si="51"/>
        <v>0</v>
      </c>
      <c r="AO219">
        <f t="shared" si="51"/>
        <v>0</v>
      </c>
      <c r="AP219">
        <f t="shared" si="51"/>
        <v>0</v>
      </c>
      <c r="AQ219">
        <f t="shared" si="51"/>
        <v>0</v>
      </c>
      <c r="AR219">
        <f t="shared" si="51"/>
        <v>0</v>
      </c>
    </row>
    <row r="220" spans="5:44" x14ac:dyDescent="0.2">
      <c r="E220" s="1">
        <f>moment_rate!$AC220</f>
        <v>7.4493433161470389E-3</v>
      </c>
      <c r="F220" s="1">
        <f t="shared" si="47"/>
        <v>0</v>
      </c>
      <c r="G220">
        <f>moment_rate!I220-0.005</f>
        <v>2.1299999999999986</v>
      </c>
      <c r="H220" s="1">
        <f t="shared" si="48"/>
        <v>0</v>
      </c>
      <c r="I220">
        <f t="shared" si="50"/>
        <v>0</v>
      </c>
      <c r="J220">
        <f t="shared" si="50"/>
        <v>0</v>
      </c>
      <c r="K220">
        <f t="shared" si="50"/>
        <v>0</v>
      </c>
      <c r="L220">
        <f t="shared" si="50"/>
        <v>0</v>
      </c>
      <c r="M220">
        <f t="shared" si="50"/>
        <v>0</v>
      </c>
      <c r="N220">
        <f t="shared" si="50"/>
        <v>0</v>
      </c>
      <c r="O220">
        <f t="shared" si="50"/>
        <v>0</v>
      </c>
      <c r="P220">
        <f t="shared" si="50"/>
        <v>0</v>
      </c>
      <c r="Q220">
        <f t="shared" si="50"/>
        <v>0</v>
      </c>
      <c r="R220">
        <f t="shared" si="50"/>
        <v>0</v>
      </c>
      <c r="S220">
        <f t="shared" si="50"/>
        <v>0</v>
      </c>
      <c r="T220">
        <f t="shared" si="50"/>
        <v>0</v>
      </c>
      <c r="U220">
        <f t="shared" si="50"/>
        <v>0</v>
      </c>
      <c r="V220">
        <f t="shared" si="50"/>
        <v>0</v>
      </c>
      <c r="W220">
        <f t="shared" si="50"/>
        <v>0</v>
      </c>
      <c r="X220">
        <f t="shared" si="50"/>
        <v>0</v>
      </c>
      <c r="Y220">
        <f t="shared" si="49"/>
        <v>0</v>
      </c>
      <c r="Z220">
        <f t="shared" si="49"/>
        <v>0</v>
      </c>
      <c r="AA220">
        <f t="shared" si="49"/>
        <v>0</v>
      </c>
      <c r="AB220">
        <f t="shared" si="49"/>
        <v>0</v>
      </c>
      <c r="AC220">
        <f t="shared" si="49"/>
        <v>0</v>
      </c>
      <c r="AD220">
        <f t="shared" si="49"/>
        <v>0</v>
      </c>
      <c r="AE220">
        <f t="shared" si="49"/>
        <v>0</v>
      </c>
      <c r="AF220">
        <f t="shared" si="49"/>
        <v>0</v>
      </c>
      <c r="AG220">
        <f t="shared" si="49"/>
        <v>0</v>
      </c>
      <c r="AH220">
        <f t="shared" si="49"/>
        <v>0</v>
      </c>
      <c r="AI220">
        <f t="shared" si="49"/>
        <v>0</v>
      </c>
      <c r="AJ220">
        <f t="shared" si="49"/>
        <v>0</v>
      </c>
      <c r="AK220">
        <f t="shared" si="51"/>
        <v>0</v>
      </c>
      <c r="AL220">
        <f t="shared" si="51"/>
        <v>0</v>
      </c>
      <c r="AM220">
        <f t="shared" si="51"/>
        <v>0</v>
      </c>
      <c r="AN220">
        <f t="shared" si="51"/>
        <v>0</v>
      </c>
      <c r="AO220">
        <f t="shared" si="51"/>
        <v>0</v>
      </c>
      <c r="AP220">
        <f t="shared" si="51"/>
        <v>0</v>
      </c>
      <c r="AQ220">
        <f t="shared" si="51"/>
        <v>0</v>
      </c>
      <c r="AR220">
        <f t="shared" si="51"/>
        <v>0</v>
      </c>
    </row>
    <row r="221" spans="5:44" x14ac:dyDescent="0.2">
      <c r="E221" s="1">
        <f>moment_rate!$AC221</f>
        <v>7.4493433161470389E-3</v>
      </c>
      <c r="F221" s="1">
        <f t="shared" si="47"/>
        <v>0</v>
      </c>
      <c r="G221">
        <f>moment_rate!I221-0.005</f>
        <v>2.1399999999999983</v>
      </c>
      <c r="H221" s="1">
        <f t="shared" si="48"/>
        <v>0</v>
      </c>
      <c r="I221">
        <f t="shared" si="50"/>
        <v>0</v>
      </c>
      <c r="J221">
        <f t="shared" si="50"/>
        <v>0</v>
      </c>
      <c r="K221">
        <f t="shared" si="50"/>
        <v>0</v>
      </c>
      <c r="L221">
        <f t="shared" si="50"/>
        <v>0</v>
      </c>
      <c r="M221">
        <f t="shared" si="50"/>
        <v>0</v>
      </c>
      <c r="N221">
        <f t="shared" si="50"/>
        <v>0</v>
      </c>
      <c r="O221">
        <f t="shared" si="50"/>
        <v>0</v>
      </c>
      <c r="P221">
        <f t="shared" si="50"/>
        <v>0</v>
      </c>
      <c r="Q221">
        <f t="shared" si="50"/>
        <v>0</v>
      </c>
      <c r="R221">
        <f t="shared" si="50"/>
        <v>0</v>
      </c>
      <c r="S221">
        <f t="shared" si="50"/>
        <v>0</v>
      </c>
      <c r="T221">
        <f t="shared" si="50"/>
        <v>0</v>
      </c>
      <c r="U221">
        <f t="shared" si="50"/>
        <v>0</v>
      </c>
      <c r="V221">
        <f t="shared" si="50"/>
        <v>0</v>
      </c>
      <c r="W221">
        <f t="shared" si="50"/>
        <v>0</v>
      </c>
      <c r="X221">
        <f t="shared" si="50"/>
        <v>0</v>
      </c>
      <c r="Y221">
        <f t="shared" si="49"/>
        <v>0</v>
      </c>
      <c r="Z221">
        <f t="shared" si="49"/>
        <v>0</v>
      </c>
      <c r="AA221">
        <f t="shared" si="49"/>
        <v>0</v>
      </c>
      <c r="AB221">
        <f t="shared" si="49"/>
        <v>0</v>
      </c>
      <c r="AC221">
        <f t="shared" si="49"/>
        <v>0</v>
      </c>
      <c r="AD221">
        <f t="shared" si="49"/>
        <v>0</v>
      </c>
      <c r="AE221">
        <f t="shared" si="49"/>
        <v>0</v>
      </c>
      <c r="AF221">
        <f t="shared" si="49"/>
        <v>0</v>
      </c>
      <c r="AG221">
        <f t="shared" si="49"/>
        <v>0</v>
      </c>
      <c r="AH221">
        <f t="shared" si="49"/>
        <v>0</v>
      </c>
      <c r="AI221">
        <f t="shared" si="49"/>
        <v>0</v>
      </c>
      <c r="AJ221">
        <f t="shared" si="49"/>
        <v>0</v>
      </c>
      <c r="AK221">
        <f t="shared" si="51"/>
        <v>0</v>
      </c>
      <c r="AL221">
        <f t="shared" si="51"/>
        <v>0</v>
      </c>
      <c r="AM221">
        <f t="shared" si="51"/>
        <v>0</v>
      </c>
      <c r="AN221">
        <f t="shared" si="51"/>
        <v>0</v>
      </c>
      <c r="AO221">
        <f t="shared" si="51"/>
        <v>0</v>
      </c>
      <c r="AP221">
        <f t="shared" si="51"/>
        <v>0</v>
      </c>
      <c r="AQ221">
        <f t="shared" si="51"/>
        <v>0</v>
      </c>
      <c r="AR221">
        <f t="shared" si="51"/>
        <v>0</v>
      </c>
    </row>
    <row r="222" spans="5:44" x14ac:dyDescent="0.2">
      <c r="E222" s="1">
        <f>moment_rate!$AC222</f>
        <v>7.4493433161470389E-3</v>
      </c>
      <c r="F222" s="1">
        <f t="shared" si="47"/>
        <v>0</v>
      </c>
      <c r="G222">
        <f>moment_rate!I222-0.005</f>
        <v>2.1499999999999981</v>
      </c>
      <c r="H222" s="1">
        <f t="shared" si="48"/>
        <v>0</v>
      </c>
      <c r="I222">
        <f t="shared" si="50"/>
        <v>0</v>
      </c>
      <c r="J222">
        <f t="shared" si="50"/>
        <v>0</v>
      </c>
      <c r="K222">
        <f t="shared" si="50"/>
        <v>0</v>
      </c>
      <c r="L222">
        <f t="shared" si="50"/>
        <v>0</v>
      </c>
      <c r="M222">
        <f t="shared" si="50"/>
        <v>0</v>
      </c>
      <c r="N222">
        <f t="shared" si="50"/>
        <v>0</v>
      </c>
      <c r="O222">
        <f t="shared" si="50"/>
        <v>0</v>
      </c>
      <c r="P222">
        <f t="shared" si="50"/>
        <v>0</v>
      </c>
      <c r="Q222">
        <f t="shared" si="50"/>
        <v>0</v>
      </c>
      <c r="R222">
        <f t="shared" si="50"/>
        <v>0</v>
      </c>
      <c r="S222">
        <f t="shared" si="50"/>
        <v>0</v>
      </c>
      <c r="T222">
        <f t="shared" si="50"/>
        <v>0</v>
      </c>
      <c r="U222">
        <f t="shared" si="50"/>
        <v>0</v>
      </c>
      <c r="V222">
        <f t="shared" si="50"/>
        <v>0</v>
      </c>
      <c r="W222">
        <f t="shared" si="50"/>
        <v>0</v>
      </c>
      <c r="X222">
        <f t="shared" ref="X222:AM237" si="52">IF(AND($G222&gt;=X$3,$G222&lt;X$4),$F222,0)</f>
        <v>0</v>
      </c>
      <c r="Y222">
        <f t="shared" si="52"/>
        <v>0</v>
      </c>
      <c r="Z222">
        <f t="shared" si="49"/>
        <v>0</v>
      </c>
      <c r="AA222">
        <f t="shared" si="49"/>
        <v>0</v>
      </c>
      <c r="AB222">
        <f t="shared" si="49"/>
        <v>0</v>
      </c>
      <c r="AC222">
        <f t="shared" si="49"/>
        <v>0</v>
      </c>
      <c r="AD222">
        <f t="shared" si="49"/>
        <v>0</v>
      </c>
      <c r="AE222">
        <f t="shared" si="49"/>
        <v>0</v>
      </c>
      <c r="AF222">
        <f t="shared" si="49"/>
        <v>0</v>
      </c>
      <c r="AG222">
        <f t="shared" si="49"/>
        <v>0</v>
      </c>
      <c r="AH222">
        <f t="shared" si="49"/>
        <v>0</v>
      </c>
      <c r="AI222">
        <f t="shared" si="49"/>
        <v>0</v>
      </c>
      <c r="AJ222">
        <f t="shared" si="49"/>
        <v>0</v>
      </c>
      <c r="AK222">
        <f t="shared" si="51"/>
        <v>0</v>
      </c>
      <c r="AL222">
        <f t="shared" si="51"/>
        <v>0</v>
      </c>
      <c r="AM222">
        <f t="shared" si="51"/>
        <v>0</v>
      </c>
      <c r="AN222">
        <f t="shared" si="51"/>
        <v>0</v>
      </c>
      <c r="AO222">
        <f t="shared" si="51"/>
        <v>0</v>
      </c>
      <c r="AP222">
        <f t="shared" si="51"/>
        <v>0</v>
      </c>
      <c r="AQ222">
        <f t="shared" si="51"/>
        <v>0</v>
      </c>
      <c r="AR222">
        <f t="shared" si="51"/>
        <v>0</v>
      </c>
    </row>
    <row r="223" spans="5:44" x14ac:dyDescent="0.2">
      <c r="E223" s="1">
        <f>moment_rate!$AC223</f>
        <v>7.4493433161470389E-3</v>
      </c>
      <c r="F223" s="1">
        <f t="shared" si="47"/>
        <v>0</v>
      </c>
      <c r="G223">
        <f>moment_rate!I223-0.005</f>
        <v>2.1599999999999979</v>
      </c>
      <c r="H223" s="1">
        <f t="shared" si="48"/>
        <v>0</v>
      </c>
      <c r="I223">
        <f t="shared" ref="I223:X238" si="53">IF(AND($G223&gt;=I$3,$G223&lt;I$4),$F223,0)</f>
        <v>0</v>
      </c>
      <c r="J223">
        <f t="shared" si="53"/>
        <v>0</v>
      </c>
      <c r="K223">
        <f t="shared" si="53"/>
        <v>0</v>
      </c>
      <c r="L223">
        <f t="shared" si="53"/>
        <v>0</v>
      </c>
      <c r="M223">
        <f t="shared" si="53"/>
        <v>0</v>
      </c>
      <c r="N223">
        <f t="shared" si="53"/>
        <v>0</v>
      </c>
      <c r="O223">
        <f t="shared" si="53"/>
        <v>0</v>
      </c>
      <c r="P223">
        <f t="shared" si="53"/>
        <v>0</v>
      </c>
      <c r="Q223">
        <f t="shared" si="53"/>
        <v>0</v>
      </c>
      <c r="R223">
        <f t="shared" si="53"/>
        <v>0</v>
      </c>
      <c r="S223">
        <f t="shared" si="53"/>
        <v>0</v>
      </c>
      <c r="T223">
        <f t="shared" si="53"/>
        <v>0</v>
      </c>
      <c r="U223">
        <f t="shared" si="53"/>
        <v>0</v>
      </c>
      <c r="V223">
        <f t="shared" si="53"/>
        <v>0</v>
      </c>
      <c r="W223">
        <f t="shared" si="53"/>
        <v>0</v>
      </c>
      <c r="X223">
        <f t="shared" si="53"/>
        <v>0</v>
      </c>
      <c r="Y223">
        <f t="shared" si="52"/>
        <v>0</v>
      </c>
      <c r="Z223">
        <f t="shared" si="49"/>
        <v>0</v>
      </c>
      <c r="AA223">
        <f t="shared" si="49"/>
        <v>0</v>
      </c>
      <c r="AB223">
        <f t="shared" si="49"/>
        <v>0</v>
      </c>
      <c r="AC223">
        <f t="shared" si="49"/>
        <v>0</v>
      </c>
      <c r="AD223">
        <f t="shared" si="49"/>
        <v>0</v>
      </c>
      <c r="AE223">
        <f t="shared" si="49"/>
        <v>0</v>
      </c>
      <c r="AF223">
        <f t="shared" si="49"/>
        <v>0</v>
      </c>
      <c r="AG223">
        <f t="shared" si="49"/>
        <v>0</v>
      </c>
      <c r="AH223">
        <f t="shared" si="49"/>
        <v>0</v>
      </c>
      <c r="AI223">
        <f t="shared" si="49"/>
        <v>0</v>
      </c>
      <c r="AJ223">
        <f t="shared" si="49"/>
        <v>0</v>
      </c>
      <c r="AK223">
        <f t="shared" si="51"/>
        <v>0</v>
      </c>
      <c r="AL223">
        <f t="shared" si="51"/>
        <v>0</v>
      </c>
      <c r="AM223">
        <f t="shared" si="51"/>
        <v>0</v>
      </c>
      <c r="AN223">
        <f t="shared" si="51"/>
        <v>0</v>
      </c>
      <c r="AO223">
        <f t="shared" si="51"/>
        <v>0</v>
      </c>
      <c r="AP223">
        <f t="shared" si="51"/>
        <v>0</v>
      </c>
      <c r="AQ223">
        <f t="shared" si="51"/>
        <v>0</v>
      </c>
      <c r="AR223">
        <f t="shared" si="51"/>
        <v>0</v>
      </c>
    </row>
    <row r="224" spans="5:44" x14ac:dyDescent="0.2">
      <c r="E224" s="1">
        <f>moment_rate!$AC224</f>
        <v>7.4493433161470389E-3</v>
      </c>
      <c r="F224" s="1">
        <f t="shared" si="47"/>
        <v>0</v>
      </c>
      <c r="G224">
        <f>moment_rate!I224-0.005</f>
        <v>2.1699999999999977</v>
      </c>
      <c r="H224" s="1">
        <f t="shared" si="48"/>
        <v>0</v>
      </c>
      <c r="I224">
        <f t="shared" si="53"/>
        <v>0</v>
      </c>
      <c r="J224">
        <f t="shared" si="53"/>
        <v>0</v>
      </c>
      <c r="K224">
        <f t="shared" si="53"/>
        <v>0</v>
      </c>
      <c r="L224">
        <f t="shared" si="53"/>
        <v>0</v>
      </c>
      <c r="M224">
        <f t="shared" si="53"/>
        <v>0</v>
      </c>
      <c r="N224">
        <f t="shared" si="53"/>
        <v>0</v>
      </c>
      <c r="O224">
        <f t="shared" si="53"/>
        <v>0</v>
      </c>
      <c r="P224">
        <f t="shared" si="53"/>
        <v>0</v>
      </c>
      <c r="Q224">
        <f t="shared" si="53"/>
        <v>0</v>
      </c>
      <c r="R224">
        <f t="shared" si="53"/>
        <v>0</v>
      </c>
      <c r="S224">
        <f t="shared" si="53"/>
        <v>0</v>
      </c>
      <c r="T224">
        <f t="shared" si="53"/>
        <v>0</v>
      </c>
      <c r="U224">
        <f t="shared" si="53"/>
        <v>0</v>
      </c>
      <c r="V224">
        <f t="shared" si="53"/>
        <v>0</v>
      </c>
      <c r="W224">
        <f t="shared" si="53"/>
        <v>0</v>
      </c>
      <c r="X224">
        <f t="shared" si="53"/>
        <v>0</v>
      </c>
      <c r="Y224">
        <f t="shared" si="52"/>
        <v>0</v>
      </c>
      <c r="Z224">
        <f t="shared" si="49"/>
        <v>0</v>
      </c>
      <c r="AA224">
        <f t="shared" si="49"/>
        <v>0</v>
      </c>
      <c r="AB224">
        <f t="shared" si="49"/>
        <v>0</v>
      </c>
      <c r="AC224">
        <f t="shared" si="49"/>
        <v>0</v>
      </c>
      <c r="AD224">
        <f t="shared" si="49"/>
        <v>0</v>
      </c>
      <c r="AE224">
        <f t="shared" si="49"/>
        <v>0</v>
      </c>
      <c r="AF224">
        <f t="shared" si="49"/>
        <v>0</v>
      </c>
      <c r="AG224">
        <f t="shared" si="49"/>
        <v>0</v>
      </c>
      <c r="AH224">
        <f t="shared" si="49"/>
        <v>0</v>
      </c>
      <c r="AI224">
        <f t="shared" si="49"/>
        <v>0</v>
      </c>
      <c r="AJ224">
        <f t="shared" si="49"/>
        <v>0</v>
      </c>
      <c r="AK224">
        <f t="shared" si="51"/>
        <v>0</v>
      </c>
      <c r="AL224">
        <f t="shared" si="51"/>
        <v>0</v>
      </c>
      <c r="AM224">
        <f t="shared" si="51"/>
        <v>0</v>
      </c>
      <c r="AN224">
        <f t="shared" si="51"/>
        <v>0</v>
      </c>
      <c r="AO224">
        <f t="shared" si="51"/>
        <v>0</v>
      </c>
      <c r="AP224">
        <f t="shared" si="51"/>
        <v>0</v>
      </c>
      <c r="AQ224">
        <f t="shared" si="51"/>
        <v>0</v>
      </c>
      <c r="AR224">
        <f t="shared" si="51"/>
        <v>0</v>
      </c>
    </row>
    <row r="225" spans="5:44" x14ac:dyDescent="0.2">
      <c r="E225" s="1">
        <f>moment_rate!$AC225</f>
        <v>7.4493433161470389E-3</v>
      </c>
      <c r="F225" s="1">
        <f t="shared" si="47"/>
        <v>0</v>
      </c>
      <c r="G225">
        <f>moment_rate!I225-0.005</f>
        <v>2.1799999999999975</v>
      </c>
      <c r="H225" s="1">
        <f t="shared" si="48"/>
        <v>0</v>
      </c>
      <c r="I225">
        <f t="shared" si="53"/>
        <v>0</v>
      </c>
      <c r="J225">
        <f t="shared" si="53"/>
        <v>0</v>
      </c>
      <c r="K225">
        <f t="shared" si="53"/>
        <v>0</v>
      </c>
      <c r="L225">
        <f t="shared" si="53"/>
        <v>0</v>
      </c>
      <c r="M225">
        <f t="shared" si="53"/>
        <v>0</v>
      </c>
      <c r="N225">
        <f t="shared" si="53"/>
        <v>0</v>
      </c>
      <c r="O225">
        <f t="shared" si="53"/>
        <v>0</v>
      </c>
      <c r="P225">
        <f t="shared" si="53"/>
        <v>0</v>
      </c>
      <c r="Q225">
        <f t="shared" si="53"/>
        <v>0</v>
      </c>
      <c r="R225">
        <f t="shared" si="53"/>
        <v>0</v>
      </c>
      <c r="S225">
        <f t="shared" si="53"/>
        <v>0</v>
      </c>
      <c r="T225">
        <f t="shared" si="53"/>
        <v>0</v>
      </c>
      <c r="U225">
        <f t="shared" si="53"/>
        <v>0</v>
      </c>
      <c r="V225">
        <f t="shared" si="53"/>
        <v>0</v>
      </c>
      <c r="W225">
        <f t="shared" si="53"/>
        <v>0</v>
      </c>
      <c r="X225">
        <f t="shared" si="53"/>
        <v>0</v>
      </c>
      <c r="Y225">
        <f t="shared" si="52"/>
        <v>0</v>
      </c>
      <c r="Z225">
        <f t="shared" si="49"/>
        <v>0</v>
      </c>
      <c r="AA225">
        <f t="shared" si="49"/>
        <v>0</v>
      </c>
      <c r="AB225">
        <f t="shared" si="49"/>
        <v>0</v>
      </c>
      <c r="AC225">
        <f t="shared" si="49"/>
        <v>0</v>
      </c>
      <c r="AD225">
        <f t="shared" si="49"/>
        <v>0</v>
      </c>
      <c r="AE225">
        <f t="shared" si="49"/>
        <v>0</v>
      </c>
      <c r="AF225">
        <f t="shared" si="49"/>
        <v>0</v>
      </c>
      <c r="AG225">
        <f>IF(AND($G225&gt;=AG$3,$G225&lt;AG$4),$F225,0)</f>
        <v>0</v>
      </c>
      <c r="AH225">
        <f>IF(AND($G225&gt;=AH$3,$G225&lt;AH$4),$F225,0)</f>
        <v>0</v>
      </c>
      <c r="AI225">
        <f>IF(AND($G225&gt;=AI$3,$G225&lt;AI$4),$F225,0)</f>
        <v>0</v>
      </c>
      <c r="AJ225">
        <f>IF(AND($G225&gt;=AJ$3,$G225&lt;AJ$4),$F225,0)</f>
        <v>0</v>
      </c>
      <c r="AK225">
        <f t="shared" si="51"/>
        <v>0</v>
      </c>
      <c r="AL225">
        <f t="shared" si="51"/>
        <v>0</v>
      </c>
      <c r="AM225">
        <f t="shared" si="51"/>
        <v>0</v>
      </c>
      <c r="AN225">
        <f t="shared" si="51"/>
        <v>0</v>
      </c>
      <c r="AO225">
        <f t="shared" si="51"/>
        <v>0</v>
      </c>
      <c r="AP225">
        <f t="shared" si="51"/>
        <v>0</v>
      </c>
      <c r="AQ225">
        <f t="shared" si="51"/>
        <v>0</v>
      </c>
      <c r="AR225">
        <f t="shared" si="51"/>
        <v>0</v>
      </c>
    </row>
    <row r="226" spans="5:44" x14ac:dyDescent="0.2">
      <c r="E226" s="1">
        <f>moment_rate!$AC226</f>
        <v>7.4493433161470389E-3</v>
      </c>
      <c r="F226" s="1">
        <f t="shared" si="47"/>
        <v>0</v>
      </c>
      <c r="G226">
        <f>moment_rate!I226-0.005</f>
        <v>2.1899999999999973</v>
      </c>
      <c r="H226" s="1">
        <f t="shared" si="48"/>
        <v>0</v>
      </c>
      <c r="I226">
        <f t="shared" si="53"/>
        <v>0</v>
      </c>
      <c r="J226">
        <f t="shared" si="53"/>
        <v>0</v>
      </c>
      <c r="K226">
        <f t="shared" si="53"/>
        <v>0</v>
      </c>
      <c r="L226">
        <f t="shared" si="53"/>
        <v>0</v>
      </c>
      <c r="M226">
        <f t="shared" si="53"/>
        <v>0</v>
      </c>
      <c r="N226">
        <f t="shared" si="53"/>
        <v>0</v>
      </c>
      <c r="O226">
        <f t="shared" si="53"/>
        <v>0</v>
      </c>
      <c r="P226">
        <f t="shared" si="53"/>
        <v>0</v>
      </c>
      <c r="Q226">
        <f t="shared" si="53"/>
        <v>0</v>
      </c>
      <c r="R226">
        <f t="shared" si="53"/>
        <v>0</v>
      </c>
      <c r="S226">
        <f t="shared" si="53"/>
        <v>0</v>
      </c>
      <c r="T226">
        <f t="shared" si="53"/>
        <v>0</v>
      </c>
      <c r="U226">
        <f t="shared" si="53"/>
        <v>0</v>
      </c>
      <c r="V226">
        <f t="shared" si="53"/>
        <v>0</v>
      </c>
      <c r="W226">
        <f t="shared" si="53"/>
        <v>0</v>
      </c>
      <c r="X226">
        <f t="shared" si="53"/>
        <v>0</v>
      </c>
      <c r="Y226">
        <f t="shared" si="52"/>
        <v>0</v>
      </c>
      <c r="Z226">
        <f t="shared" si="52"/>
        <v>0</v>
      </c>
      <c r="AA226">
        <f t="shared" si="52"/>
        <v>0</v>
      </c>
      <c r="AB226">
        <f t="shared" si="52"/>
        <v>0</v>
      </c>
      <c r="AC226">
        <f t="shared" si="52"/>
        <v>0</v>
      </c>
      <c r="AD226">
        <f t="shared" si="52"/>
        <v>0</v>
      </c>
      <c r="AE226">
        <f t="shared" si="52"/>
        <v>0</v>
      </c>
      <c r="AF226">
        <f t="shared" si="52"/>
        <v>0</v>
      </c>
      <c r="AG226">
        <f t="shared" si="52"/>
        <v>0</v>
      </c>
      <c r="AH226">
        <f t="shared" si="52"/>
        <v>0</v>
      </c>
      <c r="AI226">
        <f t="shared" si="52"/>
        <v>0</v>
      </c>
      <c r="AJ226">
        <f t="shared" si="52"/>
        <v>0</v>
      </c>
      <c r="AK226">
        <f t="shared" si="51"/>
        <v>0</v>
      </c>
      <c r="AL226">
        <f t="shared" si="51"/>
        <v>0</v>
      </c>
      <c r="AM226">
        <f t="shared" si="51"/>
        <v>0</v>
      </c>
      <c r="AN226">
        <f t="shared" si="51"/>
        <v>0</v>
      </c>
      <c r="AO226">
        <f t="shared" si="51"/>
        <v>0</v>
      </c>
      <c r="AP226">
        <f t="shared" si="51"/>
        <v>0</v>
      </c>
      <c r="AQ226">
        <f t="shared" si="51"/>
        <v>0</v>
      </c>
      <c r="AR226">
        <f t="shared" si="51"/>
        <v>0</v>
      </c>
    </row>
    <row r="227" spans="5:44" x14ac:dyDescent="0.2">
      <c r="E227" s="1">
        <f>moment_rate!$AC227</f>
        <v>7.4493433161470389E-3</v>
      </c>
      <c r="F227" s="1">
        <f t="shared" si="47"/>
        <v>0</v>
      </c>
      <c r="G227">
        <f>moment_rate!I227-0.005</f>
        <v>2.1999999999999971</v>
      </c>
      <c r="H227" s="1">
        <f t="shared" si="48"/>
        <v>0</v>
      </c>
      <c r="I227">
        <f t="shared" si="53"/>
        <v>0</v>
      </c>
      <c r="J227">
        <f t="shared" si="53"/>
        <v>0</v>
      </c>
      <c r="K227">
        <f t="shared" si="53"/>
        <v>0</v>
      </c>
      <c r="L227">
        <f t="shared" si="53"/>
        <v>0</v>
      </c>
      <c r="M227">
        <f t="shared" si="53"/>
        <v>0</v>
      </c>
      <c r="N227">
        <f t="shared" si="53"/>
        <v>0</v>
      </c>
      <c r="O227">
        <f t="shared" si="53"/>
        <v>0</v>
      </c>
      <c r="P227">
        <f t="shared" si="53"/>
        <v>0</v>
      </c>
      <c r="Q227">
        <f t="shared" si="53"/>
        <v>0</v>
      </c>
      <c r="R227">
        <f t="shared" si="53"/>
        <v>0</v>
      </c>
      <c r="S227">
        <f t="shared" si="53"/>
        <v>0</v>
      </c>
      <c r="T227">
        <f t="shared" si="53"/>
        <v>0</v>
      </c>
      <c r="U227">
        <f t="shared" si="53"/>
        <v>0</v>
      </c>
      <c r="V227">
        <f t="shared" si="53"/>
        <v>0</v>
      </c>
      <c r="W227">
        <f t="shared" si="53"/>
        <v>0</v>
      </c>
      <c r="X227">
        <f t="shared" si="53"/>
        <v>0</v>
      </c>
      <c r="Y227">
        <f t="shared" si="52"/>
        <v>0</v>
      </c>
      <c r="Z227">
        <f t="shared" si="52"/>
        <v>0</v>
      </c>
      <c r="AA227">
        <f t="shared" si="52"/>
        <v>0</v>
      </c>
      <c r="AB227">
        <f t="shared" si="52"/>
        <v>0</v>
      </c>
      <c r="AC227">
        <f t="shared" si="52"/>
        <v>0</v>
      </c>
      <c r="AD227">
        <f t="shared" si="52"/>
        <v>0</v>
      </c>
      <c r="AE227">
        <f t="shared" si="52"/>
        <v>0</v>
      </c>
      <c r="AF227">
        <f t="shared" si="52"/>
        <v>0</v>
      </c>
      <c r="AG227">
        <f t="shared" si="52"/>
        <v>0</v>
      </c>
      <c r="AH227">
        <f t="shared" si="52"/>
        <v>0</v>
      </c>
      <c r="AI227">
        <f t="shared" si="52"/>
        <v>0</v>
      </c>
      <c r="AJ227">
        <f t="shared" si="52"/>
        <v>0</v>
      </c>
      <c r="AK227">
        <f t="shared" si="51"/>
        <v>0</v>
      </c>
      <c r="AL227">
        <f t="shared" si="51"/>
        <v>0</v>
      </c>
      <c r="AM227">
        <f t="shared" si="51"/>
        <v>0</v>
      </c>
      <c r="AN227">
        <f t="shared" si="51"/>
        <v>0</v>
      </c>
      <c r="AO227">
        <f t="shared" si="51"/>
        <v>0</v>
      </c>
      <c r="AP227">
        <f t="shared" si="51"/>
        <v>0</v>
      </c>
      <c r="AQ227">
        <f t="shared" si="51"/>
        <v>0</v>
      </c>
      <c r="AR227">
        <f t="shared" si="51"/>
        <v>0</v>
      </c>
    </row>
    <row r="228" spans="5:44" x14ac:dyDescent="0.2">
      <c r="E228" s="1">
        <f>moment_rate!$AC228</f>
        <v>7.4493433161470389E-3</v>
      </c>
      <c r="F228" s="1">
        <f t="shared" si="47"/>
        <v>0</v>
      </c>
      <c r="G228">
        <f>moment_rate!I228-0.005</f>
        <v>2.2099999999999969</v>
      </c>
      <c r="H228" s="1">
        <f t="shared" si="48"/>
        <v>0</v>
      </c>
      <c r="I228">
        <f t="shared" si="53"/>
        <v>0</v>
      </c>
      <c r="J228">
        <f t="shared" si="53"/>
        <v>0</v>
      </c>
      <c r="K228">
        <f t="shared" si="53"/>
        <v>0</v>
      </c>
      <c r="L228">
        <f t="shared" si="53"/>
        <v>0</v>
      </c>
      <c r="M228">
        <f t="shared" si="53"/>
        <v>0</v>
      </c>
      <c r="N228">
        <f t="shared" si="53"/>
        <v>0</v>
      </c>
      <c r="O228">
        <f t="shared" si="53"/>
        <v>0</v>
      </c>
      <c r="P228">
        <f t="shared" si="53"/>
        <v>0</v>
      </c>
      <c r="Q228">
        <f t="shared" si="53"/>
        <v>0</v>
      </c>
      <c r="R228">
        <f t="shared" si="53"/>
        <v>0</v>
      </c>
      <c r="S228">
        <f t="shared" si="53"/>
        <v>0</v>
      </c>
      <c r="T228">
        <f t="shared" si="53"/>
        <v>0</v>
      </c>
      <c r="U228">
        <f t="shared" si="53"/>
        <v>0</v>
      </c>
      <c r="V228">
        <f t="shared" si="53"/>
        <v>0</v>
      </c>
      <c r="W228">
        <f t="shared" si="53"/>
        <v>0</v>
      </c>
      <c r="X228">
        <f t="shared" si="53"/>
        <v>0</v>
      </c>
      <c r="Y228">
        <f t="shared" si="52"/>
        <v>0</v>
      </c>
      <c r="Z228">
        <f t="shared" si="52"/>
        <v>0</v>
      </c>
      <c r="AA228">
        <f t="shared" si="52"/>
        <v>0</v>
      </c>
      <c r="AB228">
        <f t="shared" si="52"/>
        <v>0</v>
      </c>
      <c r="AC228">
        <f t="shared" si="52"/>
        <v>0</v>
      </c>
      <c r="AD228">
        <f t="shared" si="52"/>
        <v>0</v>
      </c>
      <c r="AE228">
        <f t="shared" si="52"/>
        <v>0</v>
      </c>
      <c r="AF228">
        <f t="shared" si="52"/>
        <v>0</v>
      </c>
      <c r="AG228">
        <f t="shared" si="52"/>
        <v>0</v>
      </c>
      <c r="AH228">
        <f t="shared" si="52"/>
        <v>0</v>
      </c>
      <c r="AI228">
        <f t="shared" si="52"/>
        <v>0</v>
      </c>
      <c r="AJ228">
        <f t="shared" si="52"/>
        <v>0</v>
      </c>
      <c r="AK228">
        <f t="shared" si="51"/>
        <v>0</v>
      </c>
      <c r="AL228">
        <f t="shared" si="51"/>
        <v>0</v>
      </c>
      <c r="AM228">
        <f t="shared" si="51"/>
        <v>0</v>
      </c>
      <c r="AN228">
        <f t="shared" si="51"/>
        <v>0</v>
      </c>
      <c r="AO228">
        <f t="shared" si="51"/>
        <v>0</v>
      </c>
      <c r="AP228">
        <f t="shared" si="51"/>
        <v>0</v>
      </c>
      <c r="AQ228">
        <f t="shared" si="51"/>
        <v>0</v>
      </c>
      <c r="AR228">
        <f t="shared" si="51"/>
        <v>0</v>
      </c>
    </row>
    <row r="229" spans="5:44" x14ac:dyDescent="0.2">
      <c r="E229" s="1">
        <f>moment_rate!$AC229</f>
        <v>7.4493433161470389E-3</v>
      </c>
      <c r="F229" s="1">
        <f t="shared" si="47"/>
        <v>0</v>
      </c>
      <c r="G229">
        <f>moment_rate!I229-0.005</f>
        <v>2.2199999999999966</v>
      </c>
      <c r="H229" s="1">
        <f t="shared" si="48"/>
        <v>0</v>
      </c>
      <c r="I229">
        <f t="shared" si="53"/>
        <v>0</v>
      </c>
      <c r="J229">
        <f t="shared" si="53"/>
        <v>0</v>
      </c>
      <c r="K229">
        <f t="shared" si="53"/>
        <v>0</v>
      </c>
      <c r="L229">
        <f t="shared" si="53"/>
        <v>0</v>
      </c>
      <c r="M229">
        <f t="shared" si="53"/>
        <v>0</v>
      </c>
      <c r="N229">
        <f t="shared" si="53"/>
        <v>0</v>
      </c>
      <c r="O229">
        <f t="shared" si="53"/>
        <v>0</v>
      </c>
      <c r="P229">
        <f t="shared" si="53"/>
        <v>0</v>
      </c>
      <c r="Q229">
        <f t="shared" si="53"/>
        <v>0</v>
      </c>
      <c r="R229">
        <f t="shared" si="53"/>
        <v>0</v>
      </c>
      <c r="S229">
        <f t="shared" si="53"/>
        <v>0</v>
      </c>
      <c r="T229">
        <f t="shared" si="53"/>
        <v>0</v>
      </c>
      <c r="U229">
        <f t="shared" si="53"/>
        <v>0</v>
      </c>
      <c r="V229">
        <f t="shared" si="53"/>
        <v>0</v>
      </c>
      <c r="W229">
        <f t="shared" si="53"/>
        <v>0</v>
      </c>
      <c r="X229">
        <f t="shared" si="53"/>
        <v>0</v>
      </c>
      <c r="Y229">
        <f t="shared" si="52"/>
        <v>0</v>
      </c>
      <c r="Z229">
        <f t="shared" si="52"/>
        <v>0</v>
      </c>
      <c r="AA229">
        <f t="shared" si="52"/>
        <v>0</v>
      </c>
      <c r="AB229">
        <f t="shared" si="52"/>
        <v>0</v>
      </c>
      <c r="AC229">
        <f t="shared" si="52"/>
        <v>0</v>
      </c>
      <c r="AD229">
        <f t="shared" si="52"/>
        <v>0</v>
      </c>
      <c r="AE229">
        <f t="shared" si="52"/>
        <v>0</v>
      </c>
      <c r="AF229">
        <f t="shared" si="52"/>
        <v>0</v>
      </c>
      <c r="AG229">
        <f t="shared" si="52"/>
        <v>0</v>
      </c>
      <c r="AH229">
        <f t="shared" si="52"/>
        <v>0</v>
      </c>
      <c r="AI229">
        <f t="shared" si="52"/>
        <v>0</v>
      </c>
      <c r="AJ229">
        <f t="shared" si="52"/>
        <v>0</v>
      </c>
      <c r="AK229">
        <f t="shared" si="51"/>
        <v>0</v>
      </c>
      <c r="AL229">
        <f t="shared" si="51"/>
        <v>0</v>
      </c>
      <c r="AM229">
        <f t="shared" si="51"/>
        <v>0</v>
      </c>
      <c r="AN229">
        <f t="shared" si="51"/>
        <v>0</v>
      </c>
      <c r="AO229">
        <f t="shared" si="51"/>
        <v>0</v>
      </c>
      <c r="AP229">
        <f t="shared" si="51"/>
        <v>0</v>
      </c>
      <c r="AQ229">
        <f t="shared" si="51"/>
        <v>0</v>
      </c>
      <c r="AR229">
        <f t="shared" si="51"/>
        <v>0</v>
      </c>
    </row>
    <row r="230" spans="5:44" x14ac:dyDescent="0.2">
      <c r="E230" s="1">
        <f>moment_rate!$AC230</f>
        <v>7.4493433161470389E-3</v>
      </c>
      <c r="F230" s="1">
        <f t="shared" si="47"/>
        <v>0</v>
      </c>
      <c r="G230">
        <f>moment_rate!I230-0.005</f>
        <v>2.2299999999999964</v>
      </c>
      <c r="H230" s="1">
        <f t="shared" si="48"/>
        <v>0</v>
      </c>
      <c r="I230">
        <f t="shared" si="53"/>
        <v>0</v>
      </c>
      <c r="J230">
        <f t="shared" si="53"/>
        <v>0</v>
      </c>
      <c r="K230">
        <f t="shared" si="53"/>
        <v>0</v>
      </c>
      <c r="L230">
        <f t="shared" si="53"/>
        <v>0</v>
      </c>
      <c r="M230">
        <f t="shared" si="53"/>
        <v>0</v>
      </c>
      <c r="N230">
        <f t="shared" si="53"/>
        <v>0</v>
      </c>
      <c r="O230">
        <f t="shared" si="53"/>
        <v>0</v>
      </c>
      <c r="P230">
        <f t="shared" si="53"/>
        <v>0</v>
      </c>
      <c r="Q230">
        <f t="shared" si="53"/>
        <v>0</v>
      </c>
      <c r="R230">
        <f t="shared" si="53"/>
        <v>0</v>
      </c>
      <c r="S230">
        <f t="shared" si="53"/>
        <v>0</v>
      </c>
      <c r="T230">
        <f t="shared" si="53"/>
        <v>0</v>
      </c>
      <c r="U230">
        <f t="shared" si="53"/>
        <v>0</v>
      </c>
      <c r="V230">
        <f t="shared" si="53"/>
        <v>0</v>
      </c>
      <c r="W230">
        <f t="shared" si="53"/>
        <v>0</v>
      </c>
      <c r="X230">
        <f t="shared" si="53"/>
        <v>0</v>
      </c>
      <c r="Y230">
        <f t="shared" si="52"/>
        <v>0</v>
      </c>
      <c r="Z230">
        <f t="shared" si="52"/>
        <v>0</v>
      </c>
      <c r="AA230">
        <f t="shared" si="52"/>
        <v>0</v>
      </c>
      <c r="AB230">
        <f t="shared" si="52"/>
        <v>0</v>
      </c>
      <c r="AC230">
        <f t="shared" si="52"/>
        <v>0</v>
      </c>
      <c r="AD230">
        <f t="shared" si="52"/>
        <v>0</v>
      </c>
      <c r="AE230">
        <f t="shared" si="52"/>
        <v>0</v>
      </c>
      <c r="AF230">
        <f t="shared" si="52"/>
        <v>0</v>
      </c>
      <c r="AG230">
        <f t="shared" si="52"/>
        <v>0</v>
      </c>
      <c r="AH230">
        <f t="shared" si="52"/>
        <v>0</v>
      </c>
      <c r="AI230">
        <f t="shared" si="52"/>
        <v>0</v>
      </c>
      <c r="AJ230">
        <f t="shared" si="52"/>
        <v>0</v>
      </c>
      <c r="AK230">
        <f t="shared" si="51"/>
        <v>0</v>
      </c>
      <c r="AL230">
        <f t="shared" si="51"/>
        <v>0</v>
      </c>
      <c r="AM230">
        <f t="shared" si="51"/>
        <v>0</v>
      </c>
      <c r="AN230">
        <f t="shared" si="51"/>
        <v>0</v>
      </c>
      <c r="AO230">
        <f t="shared" si="51"/>
        <v>0</v>
      </c>
      <c r="AP230">
        <f t="shared" si="51"/>
        <v>0</v>
      </c>
      <c r="AQ230">
        <f t="shared" si="51"/>
        <v>0</v>
      </c>
      <c r="AR230">
        <f t="shared" si="51"/>
        <v>0</v>
      </c>
    </row>
    <row r="231" spans="5:44" x14ac:dyDescent="0.2">
      <c r="E231" s="1">
        <f>moment_rate!$AC231</f>
        <v>7.4493433161470389E-3</v>
      </c>
      <c r="F231" s="1">
        <f t="shared" si="47"/>
        <v>0</v>
      </c>
      <c r="G231">
        <f>moment_rate!I231-0.005</f>
        <v>2.2399999999999962</v>
      </c>
      <c r="H231" s="1">
        <f t="shared" si="48"/>
        <v>0</v>
      </c>
      <c r="I231">
        <f t="shared" si="53"/>
        <v>0</v>
      </c>
      <c r="J231">
        <f t="shared" si="53"/>
        <v>0</v>
      </c>
      <c r="K231">
        <f t="shared" si="53"/>
        <v>0</v>
      </c>
      <c r="L231">
        <f t="shared" si="53"/>
        <v>0</v>
      </c>
      <c r="M231">
        <f t="shared" si="53"/>
        <v>0</v>
      </c>
      <c r="N231">
        <f t="shared" si="53"/>
        <v>0</v>
      </c>
      <c r="O231">
        <f t="shared" si="53"/>
        <v>0</v>
      </c>
      <c r="P231">
        <f t="shared" si="53"/>
        <v>0</v>
      </c>
      <c r="Q231">
        <f t="shared" si="53"/>
        <v>0</v>
      </c>
      <c r="R231">
        <f t="shared" si="53"/>
        <v>0</v>
      </c>
      <c r="S231">
        <f t="shared" si="53"/>
        <v>0</v>
      </c>
      <c r="T231">
        <f t="shared" si="53"/>
        <v>0</v>
      </c>
      <c r="U231">
        <f t="shared" si="53"/>
        <v>0</v>
      </c>
      <c r="V231">
        <f t="shared" si="53"/>
        <v>0</v>
      </c>
      <c r="W231">
        <f t="shared" si="53"/>
        <v>0</v>
      </c>
      <c r="X231">
        <f t="shared" si="53"/>
        <v>0</v>
      </c>
      <c r="Y231">
        <f t="shared" si="52"/>
        <v>0</v>
      </c>
      <c r="Z231">
        <f t="shared" si="52"/>
        <v>0</v>
      </c>
      <c r="AA231">
        <f t="shared" si="52"/>
        <v>0</v>
      </c>
      <c r="AB231">
        <f t="shared" si="52"/>
        <v>0</v>
      </c>
      <c r="AC231">
        <f t="shared" si="52"/>
        <v>0</v>
      </c>
      <c r="AD231">
        <f t="shared" si="52"/>
        <v>0</v>
      </c>
      <c r="AE231">
        <f t="shared" si="52"/>
        <v>0</v>
      </c>
      <c r="AF231">
        <f t="shared" si="52"/>
        <v>0</v>
      </c>
      <c r="AG231">
        <f t="shared" si="52"/>
        <v>0</v>
      </c>
      <c r="AH231">
        <f t="shared" si="52"/>
        <v>0</v>
      </c>
      <c r="AI231">
        <f t="shared" si="52"/>
        <v>0</v>
      </c>
      <c r="AJ231">
        <f t="shared" si="52"/>
        <v>0</v>
      </c>
      <c r="AK231">
        <f t="shared" si="51"/>
        <v>0</v>
      </c>
      <c r="AL231">
        <f t="shared" si="51"/>
        <v>0</v>
      </c>
      <c r="AM231">
        <f t="shared" si="51"/>
        <v>0</v>
      </c>
      <c r="AN231">
        <f t="shared" si="51"/>
        <v>0</v>
      </c>
      <c r="AO231">
        <f t="shared" si="51"/>
        <v>0</v>
      </c>
      <c r="AP231">
        <f t="shared" si="51"/>
        <v>0</v>
      </c>
      <c r="AQ231">
        <f t="shared" si="51"/>
        <v>0</v>
      </c>
      <c r="AR231">
        <f t="shared" si="51"/>
        <v>0</v>
      </c>
    </row>
    <row r="232" spans="5:44" x14ac:dyDescent="0.2">
      <c r="E232" s="1">
        <f>moment_rate!$AC232</f>
        <v>7.4493433161470389E-3</v>
      </c>
      <c r="F232" s="1">
        <f t="shared" si="47"/>
        <v>0</v>
      </c>
      <c r="G232">
        <f>moment_rate!I232-0.005</f>
        <v>2.249999999999996</v>
      </c>
      <c r="H232" s="1">
        <f t="shared" si="48"/>
        <v>0</v>
      </c>
      <c r="I232">
        <f t="shared" si="53"/>
        <v>0</v>
      </c>
      <c r="J232">
        <f t="shared" si="53"/>
        <v>0</v>
      </c>
      <c r="K232">
        <f t="shared" si="53"/>
        <v>0</v>
      </c>
      <c r="L232">
        <f t="shared" si="53"/>
        <v>0</v>
      </c>
      <c r="M232">
        <f t="shared" si="53"/>
        <v>0</v>
      </c>
      <c r="N232">
        <f t="shared" si="53"/>
        <v>0</v>
      </c>
      <c r="O232">
        <f t="shared" si="53"/>
        <v>0</v>
      </c>
      <c r="P232">
        <f t="shared" si="53"/>
        <v>0</v>
      </c>
      <c r="Q232">
        <f t="shared" si="53"/>
        <v>0</v>
      </c>
      <c r="R232">
        <f t="shared" si="53"/>
        <v>0</v>
      </c>
      <c r="S232">
        <f t="shared" si="53"/>
        <v>0</v>
      </c>
      <c r="T232">
        <f t="shared" si="53"/>
        <v>0</v>
      </c>
      <c r="U232">
        <f t="shared" si="53"/>
        <v>0</v>
      </c>
      <c r="V232">
        <f t="shared" si="53"/>
        <v>0</v>
      </c>
      <c r="W232">
        <f t="shared" si="53"/>
        <v>0</v>
      </c>
      <c r="X232">
        <f t="shared" si="53"/>
        <v>0</v>
      </c>
      <c r="Y232">
        <f t="shared" si="52"/>
        <v>0</v>
      </c>
      <c r="Z232">
        <f t="shared" si="52"/>
        <v>0</v>
      </c>
      <c r="AA232">
        <f t="shared" si="52"/>
        <v>0</v>
      </c>
      <c r="AB232">
        <f t="shared" si="52"/>
        <v>0</v>
      </c>
      <c r="AC232">
        <f t="shared" si="52"/>
        <v>0</v>
      </c>
      <c r="AD232">
        <f t="shared" si="52"/>
        <v>0</v>
      </c>
      <c r="AE232">
        <f t="shared" si="52"/>
        <v>0</v>
      </c>
      <c r="AF232">
        <f t="shared" si="52"/>
        <v>0</v>
      </c>
      <c r="AG232">
        <f t="shared" si="52"/>
        <v>0</v>
      </c>
      <c r="AH232">
        <f t="shared" si="52"/>
        <v>0</v>
      </c>
      <c r="AI232">
        <f t="shared" si="52"/>
        <v>0</v>
      </c>
      <c r="AJ232">
        <f t="shared" si="52"/>
        <v>0</v>
      </c>
      <c r="AK232">
        <f t="shared" si="51"/>
        <v>0</v>
      </c>
      <c r="AL232">
        <f t="shared" si="51"/>
        <v>0</v>
      </c>
      <c r="AM232">
        <f t="shared" si="51"/>
        <v>0</v>
      </c>
      <c r="AN232">
        <f t="shared" si="51"/>
        <v>0</v>
      </c>
      <c r="AO232">
        <f t="shared" si="51"/>
        <v>0</v>
      </c>
      <c r="AP232">
        <f t="shared" si="51"/>
        <v>0</v>
      </c>
      <c r="AQ232">
        <f t="shared" si="51"/>
        <v>0</v>
      </c>
      <c r="AR232">
        <f t="shared" si="51"/>
        <v>0</v>
      </c>
    </row>
    <row r="233" spans="5:44" x14ac:dyDescent="0.2">
      <c r="E233" s="1">
        <f>moment_rate!$AC233</f>
        <v>7.4493433161470389E-3</v>
      </c>
      <c r="F233" s="1">
        <f t="shared" si="47"/>
        <v>0</v>
      </c>
      <c r="G233">
        <f>moment_rate!I233-0.005</f>
        <v>2.2599999999999958</v>
      </c>
      <c r="H233" s="1">
        <f t="shared" si="48"/>
        <v>0</v>
      </c>
      <c r="I233">
        <f t="shared" si="53"/>
        <v>0</v>
      </c>
      <c r="J233">
        <f t="shared" si="53"/>
        <v>0</v>
      </c>
      <c r="K233">
        <f t="shared" si="53"/>
        <v>0</v>
      </c>
      <c r="L233">
        <f t="shared" si="53"/>
        <v>0</v>
      </c>
      <c r="M233">
        <f t="shared" si="53"/>
        <v>0</v>
      </c>
      <c r="N233">
        <f t="shared" si="53"/>
        <v>0</v>
      </c>
      <c r="O233">
        <f t="shared" si="53"/>
        <v>0</v>
      </c>
      <c r="P233">
        <f t="shared" si="53"/>
        <v>0</v>
      </c>
      <c r="Q233">
        <f t="shared" si="53"/>
        <v>0</v>
      </c>
      <c r="R233">
        <f t="shared" si="53"/>
        <v>0</v>
      </c>
      <c r="S233">
        <f t="shared" si="53"/>
        <v>0</v>
      </c>
      <c r="T233">
        <f t="shared" si="53"/>
        <v>0</v>
      </c>
      <c r="U233">
        <f t="shared" si="53"/>
        <v>0</v>
      </c>
      <c r="V233">
        <f t="shared" si="53"/>
        <v>0</v>
      </c>
      <c r="W233">
        <f t="shared" si="53"/>
        <v>0</v>
      </c>
      <c r="X233">
        <f t="shared" si="53"/>
        <v>0</v>
      </c>
      <c r="Y233">
        <f t="shared" si="52"/>
        <v>0</v>
      </c>
      <c r="Z233">
        <f t="shared" si="52"/>
        <v>0</v>
      </c>
      <c r="AA233">
        <f t="shared" si="52"/>
        <v>0</v>
      </c>
      <c r="AB233">
        <f t="shared" si="52"/>
        <v>0</v>
      </c>
      <c r="AC233">
        <f t="shared" si="52"/>
        <v>0</v>
      </c>
      <c r="AD233">
        <f t="shared" si="52"/>
        <v>0</v>
      </c>
      <c r="AE233">
        <f t="shared" si="52"/>
        <v>0</v>
      </c>
      <c r="AF233">
        <f t="shared" si="52"/>
        <v>0</v>
      </c>
      <c r="AG233">
        <f t="shared" si="52"/>
        <v>0</v>
      </c>
      <c r="AH233">
        <f t="shared" si="52"/>
        <v>0</v>
      </c>
      <c r="AI233">
        <f t="shared" si="52"/>
        <v>0</v>
      </c>
      <c r="AJ233">
        <f t="shared" si="52"/>
        <v>0</v>
      </c>
      <c r="AK233">
        <f t="shared" si="51"/>
        <v>0</v>
      </c>
      <c r="AL233">
        <f t="shared" si="51"/>
        <v>0</v>
      </c>
      <c r="AM233">
        <f t="shared" si="51"/>
        <v>0</v>
      </c>
      <c r="AN233">
        <f t="shared" si="51"/>
        <v>0</v>
      </c>
      <c r="AO233">
        <f t="shared" si="51"/>
        <v>0</v>
      </c>
      <c r="AP233">
        <f t="shared" si="51"/>
        <v>0</v>
      </c>
      <c r="AQ233">
        <f t="shared" si="51"/>
        <v>0</v>
      </c>
      <c r="AR233">
        <f t="shared" si="51"/>
        <v>0</v>
      </c>
    </row>
    <row r="234" spans="5:44" x14ac:dyDescent="0.2">
      <c r="E234" s="1">
        <f>moment_rate!$AC234</f>
        <v>7.4493433161470389E-3</v>
      </c>
      <c r="F234" s="1">
        <f t="shared" si="47"/>
        <v>0</v>
      </c>
      <c r="G234">
        <f>moment_rate!I234-0.005</f>
        <v>2.2699999999999956</v>
      </c>
      <c r="H234" s="1">
        <f t="shared" si="48"/>
        <v>0</v>
      </c>
      <c r="I234">
        <f t="shared" si="53"/>
        <v>0</v>
      </c>
      <c r="J234">
        <f t="shared" si="53"/>
        <v>0</v>
      </c>
      <c r="K234">
        <f t="shared" si="53"/>
        <v>0</v>
      </c>
      <c r="L234">
        <f t="shared" si="53"/>
        <v>0</v>
      </c>
      <c r="M234">
        <f t="shared" si="53"/>
        <v>0</v>
      </c>
      <c r="N234">
        <f t="shared" si="53"/>
        <v>0</v>
      </c>
      <c r="O234">
        <f t="shared" si="53"/>
        <v>0</v>
      </c>
      <c r="P234">
        <f t="shared" si="53"/>
        <v>0</v>
      </c>
      <c r="Q234">
        <f t="shared" si="53"/>
        <v>0</v>
      </c>
      <c r="R234">
        <f t="shared" si="53"/>
        <v>0</v>
      </c>
      <c r="S234">
        <f t="shared" si="53"/>
        <v>0</v>
      </c>
      <c r="T234">
        <f t="shared" si="53"/>
        <v>0</v>
      </c>
      <c r="U234">
        <f t="shared" si="53"/>
        <v>0</v>
      </c>
      <c r="V234">
        <f t="shared" si="53"/>
        <v>0</v>
      </c>
      <c r="W234">
        <f t="shared" si="53"/>
        <v>0</v>
      </c>
      <c r="X234">
        <f t="shared" si="53"/>
        <v>0</v>
      </c>
      <c r="Y234">
        <f t="shared" si="52"/>
        <v>0</v>
      </c>
      <c r="Z234">
        <f t="shared" si="52"/>
        <v>0</v>
      </c>
      <c r="AA234">
        <f t="shared" si="52"/>
        <v>0</v>
      </c>
      <c r="AB234">
        <f t="shared" si="52"/>
        <v>0</v>
      </c>
      <c r="AC234">
        <f t="shared" si="52"/>
        <v>0</v>
      </c>
      <c r="AD234">
        <f t="shared" si="52"/>
        <v>0</v>
      </c>
      <c r="AE234">
        <f t="shared" si="52"/>
        <v>0</v>
      </c>
      <c r="AF234">
        <f t="shared" si="52"/>
        <v>0</v>
      </c>
      <c r="AG234">
        <f t="shared" si="52"/>
        <v>0</v>
      </c>
      <c r="AH234">
        <f t="shared" si="52"/>
        <v>0</v>
      </c>
      <c r="AI234">
        <f t="shared" si="52"/>
        <v>0</v>
      </c>
      <c r="AJ234">
        <f t="shared" si="52"/>
        <v>0</v>
      </c>
      <c r="AK234">
        <f t="shared" si="51"/>
        <v>0</v>
      </c>
      <c r="AL234">
        <f t="shared" si="51"/>
        <v>0</v>
      </c>
      <c r="AM234">
        <f t="shared" si="51"/>
        <v>0</v>
      </c>
      <c r="AN234">
        <f t="shared" si="51"/>
        <v>0</v>
      </c>
      <c r="AO234">
        <f t="shared" si="51"/>
        <v>0</v>
      </c>
      <c r="AP234">
        <f t="shared" si="51"/>
        <v>0</v>
      </c>
      <c r="AQ234">
        <f t="shared" si="51"/>
        <v>0</v>
      </c>
      <c r="AR234">
        <f t="shared" si="51"/>
        <v>0</v>
      </c>
    </row>
    <row r="235" spans="5:44" x14ac:dyDescent="0.2">
      <c r="E235" s="1">
        <f>moment_rate!$AC235</f>
        <v>7.4493433161470389E-3</v>
      </c>
      <c r="F235" s="1">
        <f t="shared" si="47"/>
        <v>0</v>
      </c>
      <c r="G235">
        <f>moment_rate!I235-0.005</f>
        <v>2.2799999999999954</v>
      </c>
      <c r="H235" s="1">
        <f t="shared" si="48"/>
        <v>0</v>
      </c>
      <c r="I235">
        <f t="shared" si="53"/>
        <v>0</v>
      </c>
      <c r="J235">
        <f t="shared" si="53"/>
        <v>0</v>
      </c>
      <c r="K235">
        <f t="shared" si="53"/>
        <v>0</v>
      </c>
      <c r="L235">
        <f t="shared" si="53"/>
        <v>0</v>
      </c>
      <c r="M235">
        <f t="shared" si="53"/>
        <v>0</v>
      </c>
      <c r="N235">
        <f t="shared" si="53"/>
        <v>0</v>
      </c>
      <c r="O235">
        <f t="shared" si="53"/>
        <v>0</v>
      </c>
      <c r="P235">
        <f t="shared" si="53"/>
        <v>0</v>
      </c>
      <c r="Q235">
        <f t="shared" si="53"/>
        <v>0</v>
      </c>
      <c r="R235">
        <f t="shared" si="53"/>
        <v>0</v>
      </c>
      <c r="S235">
        <f t="shared" si="53"/>
        <v>0</v>
      </c>
      <c r="T235">
        <f t="shared" si="53"/>
        <v>0</v>
      </c>
      <c r="U235">
        <f t="shared" si="53"/>
        <v>0</v>
      </c>
      <c r="V235">
        <f t="shared" si="53"/>
        <v>0</v>
      </c>
      <c r="W235">
        <f t="shared" si="53"/>
        <v>0</v>
      </c>
      <c r="X235">
        <f t="shared" si="53"/>
        <v>0</v>
      </c>
      <c r="Y235">
        <f t="shared" si="52"/>
        <v>0</v>
      </c>
      <c r="Z235">
        <f t="shared" si="52"/>
        <v>0</v>
      </c>
      <c r="AA235">
        <f t="shared" si="52"/>
        <v>0</v>
      </c>
      <c r="AB235">
        <f t="shared" si="52"/>
        <v>0</v>
      </c>
      <c r="AC235">
        <f t="shared" si="52"/>
        <v>0</v>
      </c>
      <c r="AD235">
        <f t="shared" si="52"/>
        <v>0</v>
      </c>
      <c r="AE235">
        <f t="shared" si="52"/>
        <v>0</v>
      </c>
      <c r="AF235">
        <f t="shared" si="52"/>
        <v>0</v>
      </c>
      <c r="AG235">
        <f t="shared" si="52"/>
        <v>0</v>
      </c>
      <c r="AH235">
        <f t="shared" si="52"/>
        <v>0</v>
      </c>
      <c r="AI235">
        <f t="shared" si="52"/>
        <v>0</v>
      </c>
      <c r="AJ235">
        <f t="shared" si="52"/>
        <v>0</v>
      </c>
      <c r="AK235">
        <f t="shared" si="51"/>
        <v>0</v>
      </c>
      <c r="AL235">
        <f t="shared" si="51"/>
        <v>0</v>
      </c>
      <c r="AM235">
        <f t="shared" si="51"/>
        <v>0</v>
      </c>
      <c r="AN235">
        <f t="shared" si="51"/>
        <v>0</v>
      </c>
      <c r="AO235">
        <f t="shared" si="51"/>
        <v>0</v>
      </c>
      <c r="AP235">
        <f t="shared" si="51"/>
        <v>0</v>
      </c>
      <c r="AQ235">
        <f t="shared" si="51"/>
        <v>0</v>
      </c>
      <c r="AR235">
        <f t="shared" si="51"/>
        <v>0</v>
      </c>
    </row>
    <row r="236" spans="5:44" x14ac:dyDescent="0.2">
      <c r="E236" s="1">
        <f>moment_rate!$AC236</f>
        <v>7.4493433161470389E-3</v>
      </c>
      <c r="F236" s="1">
        <f t="shared" si="47"/>
        <v>0</v>
      </c>
      <c r="G236">
        <f>moment_rate!I236-0.005</f>
        <v>2.2899999999999952</v>
      </c>
      <c r="H236" s="1">
        <f t="shared" si="48"/>
        <v>0</v>
      </c>
      <c r="I236">
        <f t="shared" si="53"/>
        <v>0</v>
      </c>
      <c r="J236">
        <f t="shared" si="53"/>
        <v>0</v>
      </c>
      <c r="K236">
        <f t="shared" si="53"/>
        <v>0</v>
      </c>
      <c r="L236">
        <f t="shared" si="53"/>
        <v>0</v>
      </c>
      <c r="M236">
        <f t="shared" si="53"/>
        <v>0</v>
      </c>
      <c r="N236">
        <f t="shared" si="53"/>
        <v>0</v>
      </c>
      <c r="O236">
        <f t="shared" si="53"/>
        <v>0</v>
      </c>
      <c r="P236">
        <f t="shared" si="53"/>
        <v>0</v>
      </c>
      <c r="Q236">
        <f t="shared" si="53"/>
        <v>0</v>
      </c>
      <c r="R236">
        <f t="shared" si="53"/>
        <v>0</v>
      </c>
      <c r="S236">
        <f t="shared" si="53"/>
        <v>0</v>
      </c>
      <c r="T236">
        <f t="shared" si="53"/>
        <v>0</v>
      </c>
      <c r="U236">
        <f t="shared" si="53"/>
        <v>0</v>
      </c>
      <c r="V236">
        <f t="shared" si="53"/>
        <v>0</v>
      </c>
      <c r="W236">
        <f t="shared" si="53"/>
        <v>0</v>
      </c>
      <c r="X236">
        <f t="shared" si="53"/>
        <v>0</v>
      </c>
      <c r="Y236">
        <f t="shared" si="52"/>
        <v>0</v>
      </c>
      <c r="Z236">
        <f t="shared" si="52"/>
        <v>0</v>
      </c>
      <c r="AA236">
        <f t="shared" si="52"/>
        <v>0</v>
      </c>
      <c r="AB236">
        <f t="shared" si="52"/>
        <v>0</v>
      </c>
      <c r="AC236">
        <f t="shared" si="52"/>
        <v>0</v>
      </c>
      <c r="AD236">
        <f t="shared" si="52"/>
        <v>0</v>
      </c>
      <c r="AE236">
        <f t="shared" si="52"/>
        <v>0</v>
      </c>
      <c r="AF236">
        <f t="shared" si="52"/>
        <v>0</v>
      </c>
      <c r="AG236">
        <f t="shared" si="52"/>
        <v>0</v>
      </c>
      <c r="AH236">
        <f t="shared" si="52"/>
        <v>0</v>
      </c>
      <c r="AI236">
        <f t="shared" si="52"/>
        <v>0</v>
      </c>
      <c r="AJ236">
        <f t="shared" si="52"/>
        <v>0</v>
      </c>
      <c r="AK236">
        <f t="shared" si="52"/>
        <v>0</v>
      </c>
      <c r="AL236">
        <f t="shared" si="52"/>
        <v>0</v>
      </c>
      <c r="AM236">
        <f t="shared" si="52"/>
        <v>0</v>
      </c>
      <c r="AN236">
        <f t="shared" si="51"/>
        <v>0</v>
      </c>
      <c r="AO236">
        <f t="shared" si="51"/>
        <v>0</v>
      </c>
      <c r="AP236">
        <f t="shared" si="51"/>
        <v>0</v>
      </c>
      <c r="AQ236">
        <f t="shared" si="51"/>
        <v>0</v>
      </c>
      <c r="AR236">
        <f t="shared" si="51"/>
        <v>0</v>
      </c>
    </row>
    <row r="237" spans="5:44" x14ac:dyDescent="0.2">
      <c r="E237" s="1">
        <f>moment_rate!$AC237</f>
        <v>7.4493433161470389E-3</v>
      </c>
      <c r="F237" s="1">
        <f t="shared" si="47"/>
        <v>0</v>
      </c>
      <c r="G237">
        <f>moment_rate!I237-0.005</f>
        <v>2.2999999999999949</v>
      </c>
      <c r="H237" s="1">
        <f t="shared" si="48"/>
        <v>0</v>
      </c>
      <c r="I237">
        <f t="shared" si="53"/>
        <v>0</v>
      </c>
      <c r="J237">
        <f t="shared" si="53"/>
        <v>0</v>
      </c>
      <c r="K237">
        <f t="shared" si="53"/>
        <v>0</v>
      </c>
      <c r="L237">
        <f t="shared" si="53"/>
        <v>0</v>
      </c>
      <c r="M237">
        <f t="shared" si="53"/>
        <v>0</v>
      </c>
      <c r="N237">
        <f t="shared" si="53"/>
        <v>0</v>
      </c>
      <c r="O237">
        <f t="shared" si="53"/>
        <v>0</v>
      </c>
      <c r="P237">
        <f t="shared" si="53"/>
        <v>0</v>
      </c>
      <c r="Q237">
        <f t="shared" si="53"/>
        <v>0</v>
      </c>
      <c r="R237">
        <f t="shared" si="53"/>
        <v>0</v>
      </c>
      <c r="S237">
        <f t="shared" si="53"/>
        <v>0</v>
      </c>
      <c r="T237">
        <f t="shared" si="53"/>
        <v>0</v>
      </c>
      <c r="U237">
        <f t="shared" si="53"/>
        <v>0</v>
      </c>
      <c r="V237">
        <f t="shared" si="53"/>
        <v>0</v>
      </c>
      <c r="W237">
        <f t="shared" si="53"/>
        <v>0</v>
      </c>
      <c r="X237">
        <f t="shared" si="53"/>
        <v>0</v>
      </c>
      <c r="Y237">
        <f t="shared" si="52"/>
        <v>0</v>
      </c>
      <c r="Z237">
        <f t="shared" si="52"/>
        <v>0</v>
      </c>
      <c r="AA237">
        <f t="shared" si="52"/>
        <v>0</v>
      </c>
      <c r="AB237">
        <f t="shared" si="52"/>
        <v>0</v>
      </c>
      <c r="AC237">
        <f t="shared" si="52"/>
        <v>0</v>
      </c>
      <c r="AD237">
        <f t="shared" si="52"/>
        <v>0</v>
      </c>
      <c r="AE237">
        <f t="shared" si="52"/>
        <v>0</v>
      </c>
      <c r="AF237">
        <f t="shared" si="52"/>
        <v>0</v>
      </c>
      <c r="AG237">
        <f t="shared" si="52"/>
        <v>0</v>
      </c>
      <c r="AH237">
        <f t="shared" si="52"/>
        <v>0</v>
      </c>
      <c r="AI237">
        <f t="shared" si="52"/>
        <v>0</v>
      </c>
      <c r="AJ237">
        <f t="shared" si="52"/>
        <v>0</v>
      </c>
      <c r="AK237">
        <f t="shared" si="52"/>
        <v>0</v>
      </c>
      <c r="AL237">
        <f t="shared" si="52"/>
        <v>0</v>
      </c>
      <c r="AM237">
        <f t="shared" si="52"/>
        <v>0</v>
      </c>
      <c r="AN237">
        <f t="shared" si="51"/>
        <v>0</v>
      </c>
      <c r="AO237">
        <f t="shared" si="51"/>
        <v>0</v>
      </c>
      <c r="AP237">
        <f t="shared" si="51"/>
        <v>0</v>
      </c>
      <c r="AQ237">
        <f t="shared" si="51"/>
        <v>0</v>
      </c>
      <c r="AR237">
        <f t="shared" si="51"/>
        <v>0</v>
      </c>
    </row>
    <row r="238" spans="5:44" x14ac:dyDescent="0.2">
      <c r="E238" s="1">
        <f>moment_rate!$AC238</f>
        <v>7.4493433161470389E-3</v>
      </c>
      <c r="F238" s="1">
        <f t="shared" si="47"/>
        <v>0</v>
      </c>
      <c r="G238">
        <f>moment_rate!I238-0.005</f>
        <v>2.3099999999999947</v>
      </c>
      <c r="H238" s="1">
        <f t="shared" si="48"/>
        <v>0</v>
      </c>
      <c r="I238">
        <f t="shared" si="53"/>
        <v>0</v>
      </c>
      <c r="J238">
        <f t="shared" si="53"/>
        <v>0</v>
      </c>
      <c r="K238">
        <f t="shared" si="53"/>
        <v>0</v>
      </c>
      <c r="L238">
        <f t="shared" si="53"/>
        <v>0</v>
      </c>
      <c r="M238">
        <f t="shared" si="53"/>
        <v>0</v>
      </c>
      <c r="N238">
        <f t="shared" si="53"/>
        <v>0</v>
      </c>
      <c r="O238">
        <f t="shared" si="53"/>
        <v>0</v>
      </c>
      <c r="P238">
        <f t="shared" si="53"/>
        <v>0</v>
      </c>
      <c r="Q238">
        <f t="shared" si="53"/>
        <v>0</v>
      </c>
      <c r="R238">
        <f t="shared" si="53"/>
        <v>0</v>
      </c>
      <c r="S238">
        <f t="shared" si="53"/>
        <v>0</v>
      </c>
      <c r="T238">
        <f t="shared" si="53"/>
        <v>0</v>
      </c>
      <c r="U238">
        <f t="shared" si="53"/>
        <v>0</v>
      </c>
      <c r="V238">
        <f t="shared" si="53"/>
        <v>0</v>
      </c>
      <c r="W238">
        <f t="shared" si="53"/>
        <v>0</v>
      </c>
      <c r="X238">
        <f t="shared" ref="X238:AM253" si="54">IF(AND($G238&gt;=X$3,$G238&lt;X$4),$F238,0)</f>
        <v>0</v>
      </c>
      <c r="Y238">
        <f t="shared" si="54"/>
        <v>0</v>
      </c>
      <c r="Z238">
        <f t="shared" si="54"/>
        <v>0</v>
      </c>
      <c r="AA238">
        <f t="shared" si="54"/>
        <v>0</v>
      </c>
      <c r="AB238">
        <f t="shared" si="54"/>
        <v>0</v>
      </c>
      <c r="AC238">
        <f t="shared" si="54"/>
        <v>0</v>
      </c>
      <c r="AD238">
        <f t="shared" si="54"/>
        <v>0</v>
      </c>
      <c r="AE238">
        <f t="shared" si="54"/>
        <v>0</v>
      </c>
      <c r="AF238">
        <f t="shared" si="54"/>
        <v>0</v>
      </c>
      <c r="AG238">
        <f t="shared" si="54"/>
        <v>0</v>
      </c>
      <c r="AH238">
        <f t="shared" si="54"/>
        <v>0</v>
      </c>
      <c r="AI238">
        <f t="shared" si="54"/>
        <v>0</v>
      </c>
      <c r="AJ238">
        <f t="shared" si="54"/>
        <v>0</v>
      </c>
      <c r="AK238">
        <f t="shared" si="54"/>
        <v>0</v>
      </c>
      <c r="AL238">
        <f t="shared" si="54"/>
        <v>0</v>
      </c>
      <c r="AM238">
        <f t="shared" si="54"/>
        <v>0</v>
      </c>
      <c r="AN238">
        <f t="shared" si="51"/>
        <v>0</v>
      </c>
      <c r="AO238">
        <f t="shared" si="51"/>
        <v>0</v>
      </c>
      <c r="AP238">
        <f t="shared" si="51"/>
        <v>0</v>
      </c>
      <c r="AQ238">
        <f t="shared" si="51"/>
        <v>0</v>
      </c>
      <c r="AR238">
        <f t="shared" si="51"/>
        <v>0</v>
      </c>
    </row>
    <row r="239" spans="5:44" x14ac:dyDescent="0.2">
      <c r="E239" s="1">
        <f>moment_rate!$AC239</f>
        <v>7.4493433161470389E-3</v>
      </c>
      <c r="F239" s="1">
        <f t="shared" si="47"/>
        <v>0</v>
      </c>
      <c r="G239">
        <f>moment_rate!I239-0.005</f>
        <v>2.3199999999999945</v>
      </c>
      <c r="H239" s="1">
        <f t="shared" si="48"/>
        <v>0</v>
      </c>
      <c r="I239">
        <f t="shared" ref="I239:X254" si="55">IF(AND($G239&gt;=I$3,$G239&lt;I$4),$F239,0)</f>
        <v>0</v>
      </c>
      <c r="J239">
        <f t="shared" si="55"/>
        <v>0</v>
      </c>
      <c r="K239">
        <f t="shared" si="55"/>
        <v>0</v>
      </c>
      <c r="L239">
        <f t="shared" si="55"/>
        <v>0</v>
      </c>
      <c r="M239">
        <f t="shared" si="55"/>
        <v>0</v>
      </c>
      <c r="N239">
        <f t="shared" si="55"/>
        <v>0</v>
      </c>
      <c r="O239">
        <f t="shared" si="55"/>
        <v>0</v>
      </c>
      <c r="P239">
        <f t="shared" si="55"/>
        <v>0</v>
      </c>
      <c r="Q239">
        <f t="shared" si="55"/>
        <v>0</v>
      </c>
      <c r="R239">
        <f t="shared" si="55"/>
        <v>0</v>
      </c>
      <c r="S239">
        <f t="shared" si="55"/>
        <v>0</v>
      </c>
      <c r="T239">
        <f t="shared" si="55"/>
        <v>0</v>
      </c>
      <c r="U239">
        <f t="shared" si="55"/>
        <v>0</v>
      </c>
      <c r="V239">
        <f t="shared" si="55"/>
        <v>0</v>
      </c>
      <c r="W239">
        <f t="shared" si="55"/>
        <v>0</v>
      </c>
      <c r="X239">
        <f t="shared" si="55"/>
        <v>0</v>
      </c>
      <c r="Y239">
        <f t="shared" si="54"/>
        <v>0</v>
      </c>
      <c r="Z239">
        <f t="shared" si="54"/>
        <v>0</v>
      </c>
      <c r="AA239">
        <f t="shared" si="54"/>
        <v>0</v>
      </c>
      <c r="AB239">
        <f t="shared" si="54"/>
        <v>0</v>
      </c>
      <c r="AC239">
        <f t="shared" si="54"/>
        <v>0</v>
      </c>
      <c r="AD239">
        <f t="shared" si="54"/>
        <v>0</v>
      </c>
      <c r="AE239">
        <f t="shared" si="54"/>
        <v>0</v>
      </c>
      <c r="AF239">
        <f t="shared" si="54"/>
        <v>0</v>
      </c>
      <c r="AG239">
        <f t="shared" si="54"/>
        <v>0</v>
      </c>
      <c r="AH239">
        <f t="shared" si="54"/>
        <v>0</v>
      </c>
      <c r="AI239">
        <f t="shared" si="54"/>
        <v>0</v>
      </c>
      <c r="AJ239">
        <f t="shared" si="54"/>
        <v>0</v>
      </c>
      <c r="AK239">
        <f t="shared" si="54"/>
        <v>0</v>
      </c>
      <c r="AL239">
        <f t="shared" si="54"/>
        <v>0</v>
      </c>
      <c r="AM239">
        <f t="shared" si="54"/>
        <v>0</v>
      </c>
      <c r="AN239">
        <f t="shared" si="51"/>
        <v>0</v>
      </c>
      <c r="AO239">
        <f t="shared" si="51"/>
        <v>0</v>
      </c>
      <c r="AP239">
        <f t="shared" si="51"/>
        <v>0</v>
      </c>
      <c r="AQ239">
        <f t="shared" si="51"/>
        <v>0</v>
      </c>
      <c r="AR239">
        <f t="shared" si="51"/>
        <v>0</v>
      </c>
    </row>
    <row r="240" spans="5:44" x14ac:dyDescent="0.2">
      <c r="E240" s="1">
        <f>moment_rate!$AC240</f>
        <v>7.4493433161470389E-3</v>
      </c>
      <c r="F240" s="1">
        <f t="shared" si="47"/>
        <v>0</v>
      </c>
      <c r="G240">
        <f>moment_rate!I240-0.005</f>
        <v>2.3299999999999943</v>
      </c>
      <c r="H240" s="1">
        <f t="shared" si="48"/>
        <v>0</v>
      </c>
      <c r="I240">
        <f t="shared" si="55"/>
        <v>0</v>
      </c>
      <c r="J240">
        <f t="shared" si="55"/>
        <v>0</v>
      </c>
      <c r="K240">
        <f t="shared" si="55"/>
        <v>0</v>
      </c>
      <c r="L240">
        <f t="shared" si="55"/>
        <v>0</v>
      </c>
      <c r="M240">
        <f t="shared" si="55"/>
        <v>0</v>
      </c>
      <c r="N240">
        <f t="shared" si="55"/>
        <v>0</v>
      </c>
      <c r="O240">
        <f t="shared" si="55"/>
        <v>0</v>
      </c>
      <c r="P240">
        <f t="shared" si="55"/>
        <v>0</v>
      </c>
      <c r="Q240">
        <f t="shared" si="55"/>
        <v>0</v>
      </c>
      <c r="R240">
        <f t="shared" si="55"/>
        <v>0</v>
      </c>
      <c r="S240">
        <f t="shared" si="55"/>
        <v>0</v>
      </c>
      <c r="T240">
        <f t="shared" si="55"/>
        <v>0</v>
      </c>
      <c r="U240">
        <f t="shared" si="55"/>
        <v>0</v>
      </c>
      <c r="V240">
        <f t="shared" si="55"/>
        <v>0</v>
      </c>
      <c r="W240">
        <f t="shared" si="55"/>
        <v>0</v>
      </c>
      <c r="X240">
        <f t="shared" si="55"/>
        <v>0</v>
      </c>
      <c r="Y240">
        <f t="shared" si="54"/>
        <v>0</v>
      </c>
      <c r="Z240">
        <f t="shared" si="54"/>
        <v>0</v>
      </c>
      <c r="AA240">
        <f t="shared" si="54"/>
        <v>0</v>
      </c>
      <c r="AB240">
        <f t="shared" si="54"/>
        <v>0</v>
      </c>
      <c r="AC240">
        <f t="shared" si="54"/>
        <v>0</v>
      </c>
      <c r="AD240">
        <f t="shared" si="54"/>
        <v>0</v>
      </c>
      <c r="AE240">
        <f t="shared" si="54"/>
        <v>0</v>
      </c>
      <c r="AF240">
        <f t="shared" si="54"/>
        <v>0</v>
      </c>
      <c r="AG240">
        <f t="shared" si="54"/>
        <v>0</v>
      </c>
      <c r="AH240">
        <f t="shared" si="54"/>
        <v>0</v>
      </c>
      <c r="AI240">
        <f t="shared" si="54"/>
        <v>0</v>
      </c>
      <c r="AJ240">
        <f t="shared" si="54"/>
        <v>0</v>
      </c>
      <c r="AK240">
        <f t="shared" si="54"/>
        <v>0</v>
      </c>
      <c r="AL240">
        <f t="shared" si="54"/>
        <v>0</v>
      </c>
      <c r="AM240">
        <f t="shared" si="54"/>
        <v>0</v>
      </c>
      <c r="AN240">
        <f t="shared" si="51"/>
        <v>0</v>
      </c>
      <c r="AO240">
        <f t="shared" si="51"/>
        <v>0</v>
      </c>
      <c r="AP240">
        <f t="shared" si="51"/>
        <v>0</v>
      </c>
      <c r="AQ240">
        <f t="shared" si="51"/>
        <v>0</v>
      </c>
      <c r="AR240">
        <f t="shared" si="51"/>
        <v>0</v>
      </c>
    </row>
    <row r="241" spans="5:44" x14ac:dyDescent="0.2">
      <c r="E241" s="1">
        <f>moment_rate!$AC241</f>
        <v>7.4493433161470389E-3</v>
      </c>
      <c r="F241" s="1">
        <f t="shared" si="47"/>
        <v>0</v>
      </c>
      <c r="G241">
        <f>moment_rate!I241-0.005</f>
        <v>2.3399999999999941</v>
      </c>
      <c r="H241" s="1">
        <f t="shared" si="48"/>
        <v>0</v>
      </c>
      <c r="I241">
        <f t="shared" si="55"/>
        <v>0</v>
      </c>
      <c r="J241">
        <f t="shared" si="55"/>
        <v>0</v>
      </c>
      <c r="K241">
        <f t="shared" si="55"/>
        <v>0</v>
      </c>
      <c r="L241">
        <f t="shared" si="55"/>
        <v>0</v>
      </c>
      <c r="M241">
        <f t="shared" si="55"/>
        <v>0</v>
      </c>
      <c r="N241">
        <f t="shared" si="55"/>
        <v>0</v>
      </c>
      <c r="O241">
        <f t="shared" si="55"/>
        <v>0</v>
      </c>
      <c r="P241">
        <f t="shared" si="55"/>
        <v>0</v>
      </c>
      <c r="Q241">
        <f t="shared" si="55"/>
        <v>0</v>
      </c>
      <c r="R241">
        <f t="shared" si="55"/>
        <v>0</v>
      </c>
      <c r="S241">
        <f t="shared" si="55"/>
        <v>0</v>
      </c>
      <c r="T241">
        <f t="shared" si="55"/>
        <v>0</v>
      </c>
      <c r="U241">
        <f t="shared" si="55"/>
        <v>0</v>
      </c>
      <c r="V241">
        <f t="shared" si="55"/>
        <v>0</v>
      </c>
      <c r="W241">
        <f t="shared" si="55"/>
        <v>0</v>
      </c>
      <c r="X241">
        <f t="shared" si="55"/>
        <v>0</v>
      </c>
      <c r="Y241">
        <f t="shared" si="54"/>
        <v>0</v>
      </c>
      <c r="Z241">
        <f t="shared" si="54"/>
        <v>0</v>
      </c>
      <c r="AA241">
        <f t="shared" si="54"/>
        <v>0</v>
      </c>
      <c r="AB241">
        <f t="shared" si="54"/>
        <v>0</v>
      </c>
      <c r="AC241">
        <f t="shared" si="54"/>
        <v>0</v>
      </c>
      <c r="AD241">
        <f t="shared" si="54"/>
        <v>0</v>
      </c>
      <c r="AE241">
        <f t="shared" si="54"/>
        <v>0</v>
      </c>
      <c r="AF241">
        <f t="shared" si="54"/>
        <v>0</v>
      </c>
      <c r="AG241">
        <f t="shared" si="54"/>
        <v>0</v>
      </c>
      <c r="AH241">
        <f t="shared" si="54"/>
        <v>0</v>
      </c>
      <c r="AI241">
        <f t="shared" si="54"/>
        <v>0</v>
      </c>
      <c r="AJ241">
        <f t="shared" si="54"/>
        <v>0</v>
      </c>
      <c r="AK241">
        <f t="shared" si="54"/>
        <v>0</v>
      </c>
      <c r="AL241">
        <f t="shared" si="54"/>
        <v>0</v>
      </c>
      <c r="AM241">
        <f t="shared" si="54"/>
        <v>0</v>
      </c>
      <c r="AN241">
        <f t="shared" si="51"/>
        <v>0</v>
      </c>
      <c r="AO241">
        <f t="shared" si="51"/>
        <v>0</v>
      </c>
      <c r="AP241">
        <f t="shared" si="51"/>
        <v>0</v>
      </c>
      <c r="AQ241">
        <f t="shared" si="51"/>
        <v>0</v>
      </c>
      <c r="AR241">
        <f t="shared" si="51"/>
        <v>0</v>
      </c>
    </row>
    <row r="242" spans="5:44" x14ac:dyDescent="0.2">
      <c r="E242" s="1">
        <f>moment_rate!$AC242</f>
        <v>7.4493433161470389E-3</v>
      </c>
      <c r="F242" s="1">
        <f t="shared" si="47"/>
        <v>0</v>
      </c>
      <c r="G242">
        <f>moment_rate!I242-0.005</f>
        <v>2.3499999999999939</v>
      </c>
      <c r="H242" s="1">
        <f t="shared" si="48"/>
        <v>0</v>
      </c>
      <c r="I242">
        <f t="shared" si="55"/>
        <v>0</v>
      </c>
      <c r="J242">
        <f t="shared" si="55"/>
        <v>0</v>
      </c>
      <c r="K242">
        <f t="shared" si="55"/>
        <v>0</v>
      </c>
      <c r="L242">
        <f t="shared" si="55"/>
        <v>0</v>
      </c>
      <c r="M242">
        <f t="shared" si="55"/>
        <v>0</v>
      </c>
      <c r="N242">
        <f t="shared" si="55"/>
        <v>0</v>
      </c>
      <c r="O242">
        <f t="shared" si="55"/>
        <v>0</v>
      </c>
      <c r="P242">
        <f t="shared" si="55"/>
        <v>0</v>
      </c>
      <c r="Q242">
        <f t="shared" si="55"/>
        <v>0</v>
      </c>
      <c r="R242">
        <f t="shared" si="55"/>
        <v>0</v>
      </c>
      <c r="S242">
        <f t="shared" si="55"/>
        <v>0</v>
      </c>
      <c r="T242">
        <f t="shared" si="55"/>
        <v>0</v>
      </c>
      <c r="U242">
        <f t="shared" si="55"/>
        <v>0</v>
      </c>
      <c r="V242">
        <f t="shared" si="55"/>
        <v>0</v>
      </c>
      <c r="W242">
        <f t="shared" si="55"/>
        <v>0</v>
      </c>
      <c r="X242">
        <f t="shared" si="55"/>
        <v>0</v>
      </c>
      <c r="Y242">
        <f t="shared" si="54"/>
        <v>0</v>
      </c>
      <c r="Z242">
        <f t="shared" si="54"/>
        <v>0</v>
      </c>
      <c r="AA242">
        <f t="shared" si="54"/>
        <v>0</v>
      </c>
      <c r="AB242">
        <f t="shared" si="54"/>
        <v>0</v>
      </c>
      <c r="AC242">
        <f t="shared" si="54"/>
        <v>0</v>
      </c>
      <c r="AD242">
        <f t="shared" si="54"/>
        <v>0</v>
      </c>
      <c r="AE242">
        <f t="shared" si="54"/>
        <v>0</v>
      </c>
      <c r="AF242">
        <f t="shared" si="54"/>
        <v>0</v>
      </c>
      <c r="AG242">
        <f t="shared" si="54"/>
        <v>0</v>
      </c>
      <c r="AH242">
        <f t="shared" si="54"/>
        <v>0</v>
      </c>
      <c r="AI242">
        <f t="shared" si="54"/>
        <v>0</v>
      </c>
      <c r="AJ242">
        <f t="shared" si="54"/>
        <v>0</v>
      </c>
      <c r="AK242">
        <f t="shared" si="54"/>
        <v>0</v>
      </c>
      <c r="AL242">
        <f t="shared" si="54"/>
        <v>0</v>
      </c>
      <c r="AM242">
        <f t="shared" si="54"/>
        <v>0</v>
      </c>
      <c r="AN242">
        <f t="shared" si="51"/>
        <v>0</v>
      </c>
      <c r="AO242">
        <f t="shared" si="51"/>
        <v>0</v>
      </c>
      <c r="AP242">
        <f t="shared" si="51"/>
        <v>0</v>
      </c>
      <c r="AQ242">
        <f t="shared" si="51"/>
        <v>0</v>
      </c>
      <c r="AR242">
        <f t="shared" si="51"/>
        <v>0</v>
      </c>
    </row>
    <row r="243" spans="5:44" x14ac:dyDescent="0.2">
      <c r="E243" s="1">
        <f>moment_rate!$AC243</f>
        <v>7.4493433161470389E-3</v>
      </c>
      <c r="F243" s="1">
        <f t="shared" si="47"/>
        <v>0</v>
      </c>
      <c r="G243">
        <f>moment_rate!I243-0.005</f>
        <v>2.3599999999999937</v>
      </c>
      <c r="H243" s="1">
        <f t="shared" si="48"/>
        <v>0</v>
      </c>
      <c r="I243">
        <f t="shared" si="55"/>
        <v>0</v>
      </c>
      <c r="J243">
        <f t="shared" si="55"/>
        <v>0</v>
      </c>
      <c r="K243">
        <f t="shared" si="55"/>
        <v>0</v>
      </c>
      <c r="L243">
        <f t="shared" si="55"/>
        <v>0</v>
      </c>
      <c r="M243">
        <f t="shared" si="55"/>
        <v>0</v>
      </c>
      <c r="N243">
        <f t="shared" si="55"/>
        <v>0</v>
      </c>
      <c r="O243">
        <f t="shared" si="55"/>
        <v>0</v>
      </c>
      <c r="P243">
        <f t="shared" si="55"/>
        <v>0</v>
      </c>
      <c r="Q243">
        <f t="shared" si="55"/>
        <v>0</v>
      </c>
      <c r="R243">
        <f t="shared" si="55"/>
        <v>0</v>
      </c>
      <c r="S243">
        <f t="shared" si="55"/>
        <v>0</v>
      </c>
      <c r="T243">
        <f t="shared" si="55"/>
        <v>0</v>
      </c>
      <c r="U243">
        <f t="shared" si="55"/>
        <v>0</v>
      </c>
      <c r="V243">
        <f t="shared" si="55"/>
        <v>0</v>
      </c>
      <c r="W243">
        <f t="shared" si="55"/>
        <v>0</v>
      </c>
      <c r="X243">
        <f t="shared" si="55"/>
        <v>0</v>
      </c>
      <c r="Y243">
        <f t="shared" si="54"/>
        <v>0</v>
      </c>
      <c r="Z243">
        <f t="shared" si="54"/>
        <v>0</v>
      </c>
      <c r="AA243">
        <f t="shared" si="54"/>
        <v>0</v>
      </c>
      <c r="AB243">
        <f t="shared" si="54"/>
        <v>0</v>
      </c>
      <c r="AC243">
        <f t="shared" si="54"/>
        <v>0</v>
      </c>
      <c r="AD243">
        <f t="shared" si="54"/>
        <v>0</v>
      </c>
      <c r="AE243">
        <f t="shared" si="54"/>
        <v>0</v>
      </c>
      <c r="AF243">
        <f t="shared" si="54"/>
        <v>0</v>
      </c>
      <c r="AG243">
        <f t="shared" si="54"/>
        <v>0</v>
      </c>
      <c r="AH243">
        <f t="shared" si="54"/>
        <v>0</v>
      </c>
      <c r="AI243">
        <f t="shared" si="54"/>
        <v>0</v>
      </c>
      <c r="AJ243">
        <f t="shared" si="54"/>
        <v>0</v>
      </c>
      <c r="AK243">
        <f t="shared" si="54"/>
        <v>0</v>
      </c>
      <c r="AL243">
        <f t="shared" si="54"/>
        <v>0</v>
      </c>
      <c r="AM243">
        <f t="shared" si="54"/>
        <v>0</v>
      </c>
      <c r="AN243">
        <f t="shared" si="51"/>
        <v>0</v>
      </c>
      <c r="AO243">
        <f t="shared" si="51"/>
        <v>0</v>
      </c>
      <c r="AP243">
        <f t="shared" si="51"/>
        <v>0</v>
      </c>
      <c r="AQ243">
        <f t="shared" si="51"/>
        <v>0</v>
      </c>
      <c r="AR243">
        <f t="shared" si="51"/>
        <v>0</v>
      </c>
    </row>
    <row r="244" spans="5:44" x14ac:dyDescent="0.2">
      <c r="E244" s="1">
        <f>moment_rate!$AC244</f>
        <v>7.4493433161470389E-3</v>
      </c>
      <c r="F244" s="1">
        <f t="shared" si="47"/>
        <v>0</v>
      </c>
      <c r="G244">
        <f>moment_rate!I244-0.005</f>
        <v>2.3699999999999934</v>
      </c>
      <c r="H244" s="1">
        <f t="shared" si="48"/>
        <v>0</v>
      </c>
      <c r="I244">
        <f t="shared" si="55"/>
        <v>0</v>
      </c>
      <c r="J244">
        <f t="shared" si="55"/>
        <v>0</v>
      </c>
      <c r="K244">
        <f t="shared" si="55"/>
        <v>0</v>
      </c>
      <c r="L244">
        <f t="shared" si="55"/>
        <v>0</v>
      </c>
      <c r="M244">
        <f t="shared" si="55"/>
        <v>0</v>
      </c>
      <c r="N244">
        <f t="shared" si="55"/>
        <v>0</v>
      </c>
      <c r="O244">
        <f t="shared" si="55"/>
        <v>0</v>
      </c>
      <c r="P244">
        <f t="shared" si="55"/>
        <v>0</v>
      </c>
      <c r="Q244">
        <f t="shared" si="55"/>
        <v>0</v>
      </c>
      <c r="R244">
        <f t="shared" si="55"/>
        <v>0</v>
      </c>
      <c r="S244">
        <f t="shared" si="55"/>
        <v>0</v>
      </c>
      <c r="T244">
        <f t="shared" si="55"/>
        <v>0</v>
      </c>
      <c r="U244">
        <f t="shared" si="55"/>
        <v>0</v>
      </c>
      <c r="V244">
        <f t="shared" si="55"/>
        <v>0</v>
      </c>
      <c r="W244">
        <f t="shared" si="55"/>
        <v>0</v>
      </c>
      <c r="X244">
        <f t="shared" si="55"/>
        <v>0</v>
      </c>
      <c r="Y244">
        <f t="shared" si="54"/>
        <v>0</v>
      </c>
      <c r="Z244">
        <f t="shared" si="54"/>
        <v>0</v>
      </c>
      <c r="AA244">
        <f t="shared" si="54"/>
        <v>0</v>
      </c>
      <c r="AB244">
        <f t="shared" si="54"/>
        <v>0</v>
      </c>
      <c r="AC244">
        <f t="shared" si="54"/>
        <v>0</v>
      </c>
      <c r="AD244">
        <f t="shared" si="54"/>
        <v>0</v>
      </c>
      <c r="AE244">
        <f t="shared" si="54"/>
        <v>0</v>
      </c>
      <c r="AF244">
        <f t="shared" si="54"/>
        <v>0</v>
      </c>
      <c r="AG244">
        <f t="shared" si="54"/>
        <v>0</v>
      </c>
      <c r="AH244">
        <f t="shared" si="54"/>
        <v>0</v>
      </c>
      <c r="AI244">
        <f t="shared" si="54"/>
        <v>0</v>
      </c>
      <c r="AJ244">
        <f t="shared" si="54"/>
        <v>0</v>
      </c>
      <c r="AK244">
        <f t="shared" si="54"/>
        <v>0</v>
      </c>
      <c r="AL244">
        <f t="shared" si="54"/>
        <v>0</v>
      </c>
      <c r="AM244">
        <f t="shared" si="54"/>
        <v>0</v>
      </c>
      <c r="AN244">
        <f t="shared" si="51"/>
        <v>0</v>
      </c>
      <c r="AO244">
        <f t="shared" si="51"/>
        <v>0</v>
      </c>
      <c r="AP244">
        <f t="shared" si="51"/>
        <v>0</v>
      </c>
      <c r="AQ244">
        <f t="shared" si="51"/>
        <v>0</v>
      </c>
      <c r="AR244">
        <f t="shared" si="51"/>
        <v>0</v>
      </c>
    </row>
    <row r="245" spans="5:44" x14ac:dyDescent="0.2">
      <c r="E245" s="1">
        <f>moment_rate!$AC245</f>
        <v>7.4493433161470389E-3</v>
      </c>
      <c r="F245" s="1">
        <f t="shared" si="47"/>
        <v>0</v>
      </c>
      <c r="G245">
        <f>moment_rate!I245-0.005</f>
        <v>2.3799999999999932</v>
      </c>
      <c r="H245" s="1">
        <f t="shared" si="48"/>
        <v>0</v>
      </c>
      <c r="I245">
        <f t="shared" si="55"/>
        <v>0</v>
      </c>
      <c r="J245">
        <f t="shared" si="55"/>
        <v>0</v>
      </c>
      <c r="K245">
        <f t="shared" si="55"/>
        <v>0</v>
      </c>
      <c r="L245">
        <f t="shared" si="55"/>
        <v>0</v>
      </c>
      <c r="M245">
        <f t="shared" si="55"/>
        <v>0</v>
      </c>
      <c r="N245">
        <f t="shared" si="55"/>
        <v>0</v>
      </c>
      <c r="O245">
        <f t="shared" si="55"/>
        <v>0</v>
      </c>
      <c r="P245">
        <f t="shared" si="55"/>
        <v>0</v>
      </c>
      <c r="Q245">
        <f t="shared" si="55"/>
        <v>0</v>
      </c>
      <c r="R245">
        <f t="shared" si="55"/>
        <v>0</v>
      </c>
      <c r="S245">
        <f t="shared" si="55"/>
        <v>0</v>
      </c>
      <c r="T245">
        <f t="shared" si="55"/>
        <v>0</v>
      </c>
      <c r="U245">
        <f t="shared" si="55"/>
        <v>0</v>
      </c>
      <c r="V245">
        <f t="shared" si="55"/>
        <v>0</v>
      </c>
      <c r="W245">
        <f t="shared" si="55"/>
        <v>0</v>
      </c>
      <c r="X245">
        <f t="shared" si="55"/>
        <v>0</v>
      </c>
      <c r="Y245">
        <f t="shared" si="54"/>
        <v>0</v>
      </c>
      <c r="Z245">
        <f t="shared" si="54"/>
        <v>0</v>
      </c>
      <c r="AA245">
        <f t="shared" si="54"/>
        <v>0</v>
      </c>
      <c r="AB245">
        <f t="shared" si="54"/>
        <v>0</v>
      </c>
      <c r="AC245">
        <f t="shared" si="54"/>
        <v>0</v>
      </c>
      <c r="AD245">
        <f t="shared" si="54"/>
        <v>0</v>
      </c>
      <c r="AE245">
        <f t="shared" si="54"/>
        <v>0</v>
      </c>
      <c r="AF245">
        <f t="shared" si="54"/>
        <v>0</v>
      </c>
      <c r="AG245">
        <f t="shared" si="54"/>
        <v>0</v>
      </c>
      <c r="AH245">
        <f t="shared" si="54"/>
        <v>0</v>
      </c>
      <c r="AI245">
        <f t="shared" si="54"/>
        <v>0</v>
      </c>
      <c r="AJ245">
        <f t="shared" si="54"/>
        <v>0</v>
      </c>
      <c r="AK245">
        <f t="shared" si="54"/>
        <v>0</v>
      </c>
      <c r="AL245">
        <f t="shared" si="54"/>
        <v>0</v>
      </c>
      <c r="AM245">
        <f t="shared" si="54"/>
        <v>0</v>
      </c>
      <c r="AN245">
        <f t="shared" si="51"/>
        <v>0</v>
      </c>
      <c r="AO245">
        <f t="shared" si="51"/>
        <v>0</v>
      </c>
      <c r="AP245">
        <f t="shared" si="51"/>
        <v>0</v>
      </c>
      <c r="AQ245">
        <f t="shared" si="51"/>
        <v>0</v>
      </c>
      <c r="AR245">
        <f t="shared" si="51"/>
        <v>0</v>
      </c>
    </row>
    <row r="246" spans="5:44" x14ac:dyDescent="0.2">
      <c r="E246" s="1">
        <f>moment_rate!$AC246</f>
        <v>7.4493433161470389E-3</v>
      </c>
      <c r="F246" s="1">
        <f t="shared" si="47"/>
        <v>0</v>
      </c>
      <c r="G246">
        <f>moment_rate!I246-0.005</f>
        <v>2.389999999999993</v>
      </c>
      <c r="H246" s="1">
        <f t="shared" si="48"/>
        <v>0</v>
      </c>
      <c r="I246">
        <f t="shared" si="55"/>
        <v>0</v>
      </c>
      <c r="J246">
        <f t="shared" si="55"/>
        <v>0</v>
      </c>
      <c r="K246">
        <f t="shared" si="55"/>
        <v>0</v>
      </c>
      <c r="L246">
        <f t="shared" si="55"/>
        <v>0</v>
      </c>
      <c r="M246">
        <f t="shared" si="55"/>
        <v>0</v>
      </c>
      <c r="N246">
        <f t="shared" si="55"/>
        <v>0</v>
      </c>
      <c r="O246">
        <f t="shared" si="55"/>
        <v>0</v>
      </c>
      <c r="P246">
        <f t="shared" si="55"/>
        <v>0</v>
      </c>
      <c r="Q246">
        <f t="shared" si="55"/>
        <v>0</v>
      </c>
      <c r="R246">
        <f t="shared" si="55"/>
        <v>0</v>
      </c>
      <c r="S246">
        <f t="shared" si="55"/>
        <v>0</v>
      </c>
      <c r="T246">
        <f t="shared" si="55"/>
        <v>0</v>
      </c>
      <c r="U246">
        <f t="shared" si="55"/>
        <v>0</v>
      </c>
      <c r="V246">
        <f t="shared" si="55"/>
        <v>0</v>
      </c>
      <c r="W246">
        <f t="shared" si="55"/>
        <v>0</v>
      </c>
      <c r="X246">
        <f t="shared" si="55"/>
        <v>0</v>
      </c>
      <c r="Y246">
        <f t="shared" si="54"/>
        <v>0</v>
      </c>
      <c r="Z246">
        <f t="shared" si="54"/>
        <v>0</v>
      </c>
      <c r="AA246">
        <f t="shared" si="54"/>
        <v>0</v>
      </c>
      <c r="AB246">
        <f t="shared" si="54"/>
        <v>0</v>
      </c>
      <c r="AC246">
        <f t="shared" si="54"/>
        <v>0</v>
      </c>
      <c r="AD246">
        <f t="shared" si="54"/>
        <v>0</v>
      </c>
      <c r="AE246">
        <f t="shared" si="54"/>
        <v>0</v>
      </c>
      <c r="AF246">
        <f t="shared" si="54"/>
        <v>0</v>
      </c>
      <c r="AG246">
        <f t="shared" si="54"/>
        <v>0</v>
      </c>
      <c r="AH246">
        <f t="shared" si="54"/>
        <v>0</v>
      </c>
      <c r="AI246">
        <f t="shared" si="54"/>
        <v>0</v>
      </c>
      <c r="AJ246">
        <f t="shared" si="54"/>
        <v>0</v>
      </c>
      <c r="AK246">
        <f t="shared" si="54"/>
        <v>0</v>
      </c>
      <c r="AL246">
        <f t="shared" si="54"/>
        <v>0</v>
      </c>
      <c r="AM246">
        <f t="shared" si="54"/>
        <v>0</v>
      </c>
      <c r="AN246">
        <f t="shared" si="51"/>
        <v>0</v>
      </c>
      <c r="AO246">
        <f t="shared" si="51"/>
        <v>0</v>
      </c>
      <c r="AP246">
        <f t="shared" si="51"/>
        <v>0</v>
      </c>
      <c r="AQ246">
        <f t="shared" si="51"/>
        <v>0</v>
      </c>
      <c r="AR246">
        <f t="shared" si="51"/>
        <v>0</v>
      </c>
    </row>
    <row r="247" spans="5:44" x14ac:dyDescent="0.2">
      <c r="E247" s="1">
        <f>moment_rate!$AC247</f>
        <v>7.4493433161470389E-3</v>
      </c>
      <c r="F247" s="1">
        <f t="shared" si="47"/>
        <v>0</v>
      </c>
      <c r="G247">
        <f>moment_rate!I247-0.005</f>
        <v>2.3999999999999928</v>
      </c>
      <c r="H247" s="1">
        <f t="shared" si="48"/>
        <v>0</v>
      </c>
      <c r="I247">
        <f t="shared" si="55"/>
        <v>0</v>
      </c>
      <c r="J247">
        <f t="shared" si="55"/>
        <v>0</v>
      </c>
      <c r="K247">
        <f t="shared" si="55"/>
        <v>0</v>
      </c>
      <c r="L247">
        <f t="shared" si="55"/>
        <v>0</v>
      </c>
      <c r="M247">
        <f t="shared" si="55"/>
        <v>0</v>
      </c>
      <c r="N247">
        <f t="shared" si="55"/>
        <v>0</v>
      </c>
      <c r="O247">
        <f t="shared" si="55"/>
        <v>0</v>
      </c>
      <c r="P247">
        <f t="shared" si="55"/>
        <v>0</v>
      </c>
      <c r="Q247">
        <f t="shared" si="55"/>
        <v>0</v>
      </c>
      <c r="R247">
        <f t="shared" si="55"/>
        <v>0</v>
      </c>
      <c r="S247">
        <f t="shared" si="55"/>
        <v>0</v>
      </c>
      <c r="T247">
        <f t="shared" si="55"/>
        <v>0</v>
      </c>
      <c r="U247">
        <f t="shared" si="55"/>
        <v>0</v>
      </c>
      <c r="V247">
        <f t="shared" si="55"/>
        <v>0</v>
      </c>
      <c r="W247">
        <f t="shared" si="55"/>
        <v>0</v>
      </c>
      <c r="X247">
        <f t="shared" si="55"/>
        <v>0</v>
      </c>
      <c r="Y247">
        <f t="shared" si="54"/>
        <v>0</v>
      </c>
      <c r="Z247">
        <f t="shared" si="54"/>
        <v>0</v>
      </c>
      <c r="AA247">
        <f t="shared" si="54"/>
        <v>0</v>
      </c>
      <c r="AB247">
        <f t="shared" si="54"/>
        <v>0</v>
      </c>
      <c r="AC247">
        <f t="shared" si="54"/>
        <v>0</v>
      </c>
      <c r="AD247">
        <f t="shared" si="54"/>
        <v>0</v>
      </c>
      <c r="AE247">
        <f t="shared" si="54"/>
        <v>0</v>
      </c>
      <c r="AF247">
        <f t="shared" si="54"/>
        <v>0</v>
      </c>
      <c r="AG247">
        <f t="shared" si="54"/>
        <v>0</v>
      </c>
      <c r="AH247">
        <f t="shared" si="54"/>
        <v>0</v>
      </c>
      <c r="AI247">
        <f t="shared" si="54"/>
        <v>0</v>
      </c>
      <c r="AJ247">
        <f t="shared" si="54"/>
        <v>0</v>
      </c>
      <c r="AK247">
        <f t="shared" si="54"/>
        <v>0</v>
      </c>
      <c r="AL247">
        <f t="shared" si="54"/>
        <v>0</v>
      </c>
      <c r="AM247">
        <f t="shared" si="54"/>
        <v>0</v>
      </c>
      <c r="AN247">
        <f t="shared" si="51"/>
        <v>0</v>
      </c>
      <c r="AO247">
        <f t="shared" si="51"/>
        <v>0</v>
      </c>
      <c r="AP247">
        <f t="shared" si="51"/>
        <v>0</v>
      </c>
      <c r="AQ247">
        <f t="shared" si="51"/>
        <v>0</v>
      </c>
      <c r="AR247">
        <f t="shared" si="51"/>
        <v>0</v>
      </c>
    </row>
    <row r="248" spans="5:44" x14ac:dyDescent="0.2">
      <c r="E248" s="1">
        <f>moment_rate!$AC248</f>
        <v>7.4493433161470389E-3</v>
      </c>
      <c r="F248" s="1">
        <f t="shared" si="47"/>
        <v>0</v>
      </c>
      <c r="G248">
        <f>moment_rate!I248-0.005</f>
        <v>2.4099999999999926</v>
      </c>
      <c r="H248" s="1">
        <f t="shared" si="48"/>
        <v>0</v>
      </c>
      <c r="I248">
        <f t="shared" si="55"/>
        <v>0</v>
      </c>
      <c r="J248">
        <f t="shared" si="55"/>
        <v>0</v>
      </c>
      <c r="K248">
        <f t="shared" si="55"/>
        <v>0</v>
      </c>
      <c r="L248">
        <f t="shared" si="55"/>
        <v>0</v>
      </c>
      <c r="M248">
        <f t="shared" si="55"/>
        <v>0</v>
      </c>
      <c r="N248">
        <f t="shared" si="55"/>
        <v>0</v>
      </c>
      <c r="O248">
        <f t="shared" si="55"/>
        <v>0</v>
      </c>
      <c r="P248">
        <f t="shared" si="55"/>
        <v>0</v>
      </c>
      <c r="Q248">
        <f t="shared" si="55"/>
        <v>0</v>
      </c>
      <c r="R248">
        <f t="shared" si="55"/>
        <v>0</v>
      </c>
      <c r="S248">
        <f t="shared" si="55"/>
        <v>0</v>
      </c>
      <c r="T248">
        <f t="shared" si="55"/>
        <v>0</v>
      </c>
      <c r="U248">
        <f t="shared" si="55"/>
        <v>0</v>
      </c>
      <c r="V248">
        <f t="shared" si="55"/>
        <v>0</v>
      </c>
      <c r="W248">
        <f t="shared" si="55"/>
        <v>0</v>
      </c>
      <c r="X248">
        <f t="shared" si="55"/>
        <v>0</v>
      </c>
      <c r="Y248">
        <f t="shared" si="54"/>
        <v>0</v>
      </c>
      <c r="Z248">
        <f t="shared" si="54"/>
        <v>0</v>
      </c>
      <c r="AA248">
        <f t="shared" si="54"/>
        <v>0</v>
      </c>
      <c r="AB248">
        <f t="shared" si="54"/>
        <v>0</v>
      </c>
      <c r="AC248">
        <f t="shared" si="54"/>
        <v>0</v>
      </c>
      <c r="AD248">
        <f t="shared" si="54"/>
        <v>0</v>
      </c>
      <c r="AE248">
        <f t="shared" si="54"/>
        <v>0</v>
      </c>
      <c r="AF248">
        <f t="shared" si="54"/>
        <v>0</v>
      </c>
      <c r="AG248">
        <f t="shared" si="54"/>
        <v>0</v>
      </c>
      <c r="AH248">
        <f t="shared" si="54"/>
        <v>0</v>
      </c>
      <c r="AI248">
        <f t="shared" si="54"/>
        <v>0</v>
      </c>
      <c r="AJ248">
        <f t="shared" si="54"/>
        <v>0</v>
      </c>
      <c r="AK248">
        <f t="shared" si="54"/>
        <v>0</v>
      </c>
      <c r="AL248">
        <f t="shared" si="54"/>
        <v>0</v>
      </c>
      <c r="AM248">
        <f t="shared" si="54"/>
        <v>0</v>
      </c>
      <c r="AN248">
        <f t="shared" si="51"/>
        <v>0</v>
      </c>
      <c r="AO248">
        <f t="shared" si="51"/>
        <v>0</v>
      </c>
      <c r="AP248">
        <f t="shared" si="51"/>
        <v>0</v>
      </c>
      <c r="AQ248">
        <f t="shared" si="51"/>
        <v>0</v>
      </c>
      <c r="AR248">
        <f t="shared" si="51"/>
        <v>0</v>
      </c>
    </row>
    <row r="249" spans="5:44" x14ac:dyDescent="0.2">
      <c r="E249" s="1">
        <f>moment_rate!$AC249</f>
        <v>7.4493433161470389E-3</v>
      </c>
      <c r="F249" s="1">
        <f t="shared" si="47"/>
        <v>0</v>
      </c>
      <c r="G249">
        <f>moment_rate!I249-0.005</f>
        <v>2.4199999999999924</v>
      </c>
      <c r="H249" s="1">
        <f t="shared" si="48"/>
        <v>0</v>
      </c>
      <c r="I249">
        <f t="shared" si="55"/>
        <v>0</v>
      </c>
      <c r="J249">
        <f t="shared" si="55"/>
        <v>0</v>
      </c>
      <c r="K249">
        <f t="shared" si="55"/>
        <v>0</v>
      </c>
      <c r="L249">
        <f t="shared" si="55"/>
        <v>0</v>
      </c>
      <c r="M249">
        <f t="shared" si="55"/>
        <v>0</v>
      </c>
      <c r="N249">
        <f t="shared" si="55"/>
        <v>0</v>
      </c>
      <c r="O249">
        <f t="shared" si="55"/>
        <v>0</v>
      </c>
      <c r="P249">
        <f t="shared" si="55"/>
        <v>0</v>
      </c>
      <c r="Q249">
        <f t="shared" si="55"/>
        <v>0</v>
      </c>
      <c r="R249">
        <f t="shared" si="55"/>
        <v>0</v>
      </c>
      <c r="S249">
        <f t="shared" si="55"/>
        <v>0</v>
      </c>
      <c r="T249">
        <f t="shared" si="55"/>
        <v>0</v>
      </c>
      <c r="U249">
        <f t="shared" si="55"/>
        <v>0</v>
      </c>
      <c r="V249">
        <f t="shared" si="55"/>
        <v>0</v>
      </c>
      <c r="W249">
        <f t="shared" si="55"/>
        <v>0</v>
      </c>
      <c r="X249">
        <f t="shared" si="55"/>
        <v>0</v>
      </c>
      <c r="Y249">
        <f t="shared" si="54"/>
        <v>0</v>
      </c>
      <c r="Z249">
        <f t="shared" si="54"/>
        <v>0</v>
      </c>
      <c r="AA249">
        <f t="shared" si="54"/>
        <v>0</v>
      </c>
      <c r="AB249">
        <f t="shared" si="54"/>
        <v>0</v>
      </c>
      <c r="AC249">
        <f t="shared" si="54"/>
        <v>0</v>
      </c>
      <c r="AD249">
        <f t="shared" si="54"/>
        <v>0</v>
      </c>
      <c r="AE249">
        <f t="shared" si="54"/>
        <v>0</v>
      </c>
      <c r="AF249">
        <f t="shared" si="54"/>
        <v>0</v>
      </c>
      <c r="AG249">
        <f t="shared" si="54"/>
        <v>0</v>
      </c>
      <c r="AH249">
        <f t="shared" si="54"/>
        <v>0</v>
      </c>
      <c r="AI249">
        <f t="shared" si="54"/>
        <v>0</v>
      </c>
      <c r="AJ249">
        <f t="shared" si="54"/>
        <v>0</v>
      </c>
      <c r="AK249">
        <f t="shared" si="54"/>
        <v>0</v>
      </c>
      <c r="AL249">
        <f t="shared" si="54"/>
        <v>0</v>
      </c>
      <c r="AM249">
        <f t="shared" si="54"/>
        <v>0</v>
      </c>
      <c r="AN249">
        <f t="shared" si="51"/>
        <v>0</v>
      </c>
      <c r="AO249">
        <f t="shared" si="51"/>
        <v>0</v>
      </c>
      <c r="AP249">
        <f t="shared" si="51"/>
        <v>0</v>
      </c>
      <c r="AQ249">
        <f t="shared" si="51"/>
        <v>0</v>
      </c>
      <c r="AR249">
        <f t="shared" si="51"/>
        <v>0</v>
      </c>
    </row>
    <row r="250" spans="5:44" x14ac:dyDescent="0.2">
      <c r="E250" s="1">
        <f>moment_rate!$AC250</f>
        <v>7.4493433161470389E-3</v>
      </c>
      <c r="F250" s="1">
        <f t="shared" si="47"/>
        <v>0</v>
      </c>
      <c r="G250">
        <f>moment_rate!I250-0.005</f>
        <v>2.4299999999999922</v>
      </c>
      <c r="H250" s="1">
        <f t="shared" si="48"/>
        <v>0</v>
      </c>
      <c r="I250">
        <f t="shared" si="55"/>
        <v>0</v>
      </c>
      <c r="J250">
        <f t="shared" si="55"/>
        <v>0</v>
      </c>
      <c r="K250">
        <f t="shared" si="55"/>
        <v>0</v>
      </c>
      <c r="L250">
        <f t="shared" si="55"/>
        <v>0</v>
      </c>
      <c r="M250">
        <f t="shared" si="55"/>
        <v>0</v>
      </c>
      <c r="N250">
        <f t="shared" si="55"/>
        <v>0</v>
      </c>
      <c r="O250">
        <f t="shared" si="55"/>
        <v>0</v>
      </c>
      <c r="P250">
        <f t="shared" si="55"/>
        <v>0</v>
      </c>
      <c r="Q250">
        <f t="shared" si="55"/>
        <v>0</v>
      </c>
      <c r="R250">
        <f t="shared" si="55"/>
        <v>0</v>
      </c>
      <c r="S250">
        <f t="shared" si="55"/>
        <v>0</v>
      </c>
      <c r="T250">
        <f t="shared" si="55"/>
        <v>0</v>
      </c>
      <c r="U250">
        <f t="shared" si="55"/>
        <v>0</v>
      </c>
      <c r="V250">
        <f t="shared" si="55"/>
        <v>0</v>
      </c>
      <c r="W250">
        <f t="shared" si="55"/>
        <v>0</v>
      </c>
      <c r="X250">
        <f t="shared" si="55"/>
        <v>0</v>
      </c>
      <c r="Y250">
        <f t="shared" si="54"/>
        <v>0</v>
      </c>
      <c r="Z250">
        <f t="shared" si="54"/>
        <v>0</v>
      </c>
      <c r="AA250">
        <f t="shared" si="54"/>
        <v>0</v>
      </c>
      <c r="AB250">
        <f t="shared" si="54"/>
        <v>0</v>
      </c>
      <c r="AC250">
        <f t="shared" si="54"/>
        <v>0</v>
      </c>
      <c r="AD250">
        <f t="shared" si="54"/>
        <v>0</v>
      </c>
      <c r="AE250">
        <f t="shared" si="54"/>
        <v>0</v>
      </c>
      <c r="AF250">
        <f t="shared" si="54"/>
        <v>0</v>
      </c>
      <c r="AG250">
        <f t="shared" si="54"/>
        <v>0</v>
      </c>
      <c r="AH250">
        <f t="shared" si="54"/>
        <v>0</v>
      </c>
      <c r="AI250">
        <f t="shared" si="54"/>
        <v>0</v>
      </c>
      <c r="AJ250">
        <f t="shared" si="54"/>
        <v>0</v>
      </c>
      <c r="AK250">
        <f t="shared" si="54"/>
        <v>0</v>
      </c>
      <c r="AL250">
        <f t="shared" si="54"/>
        <v>0</v>
      </c>
      <c r="AM250">
        <f t="shared" si="54"/>
        <v>0</v>
      </c>
      <c r="AN250">
        <f t="shared" si="51"/>
        <v>0</v>
      </c>
      <c r="AO250">
        <f t="shared" si="51"/>
        <v>0</v>
      </c>
      <c r="AP250">
        <f t="shared" si="51"/>
        <v>0</v>
      </c>
      <c r="AQ250">
        <f t="shared" si="51"/>
        <v>0</v>
      </c>
      <c r="AR250">
        <f t="shared" si="51"/>
        <v>0</v>
      </c>
    </row>
    <row r="251" spans="5:44" x14ac:dyDescent="0.2">
      <c r="E251" s="1">
        <f>moment_rate!$AC251</f>
        <v>7.4493433161470389E-3</v>
      </c>
      <c r="F251" s="1">
        <f t="shared" si="47"/>
        <v>0</v>
      </c>
      <c r="G251">
        <f>moment_rate!I251-0.005</f>
        <v>2.439999999999992</v>
      </c>
      <c r="H251" s="1">
        <f t="shared" si="48"/>
        <v>0</v>
      </c>
      <c r="I251">
        <f t="shared" si="55"/>
        <v>0</v>
      </c>
      <c r="J251">
        <f t="shared" si="55"/>
        <v>0</v>
      </c>
      <c r="K251">
        <f t="shared" si="55"/>
        <v>0</v>
      </c>
      <c r="L251">
        <f t="shared" si="55"/>
        <v>0</v>
      </c>
      <c r="M251">
        <f t="shared" si="55"/>
        <v>0</v>
      </c>
      <c r="N251">
        <f t="shared" si="55"/>
        <v>0</v>
      </c>
      <c r="O251">
        <f t="shared" si="55"/>
        <v>0</v>
      </c>
      <c r="P251">
        <f t="shared" si="55"/>
        <v>0</v>
      </c>
      <c r="Q251">
        <f t="shared" si="55"/>
        <v>0</v>
      </c>
      <c r="R251">
        <f t="shared" si="55"/>
        <v>0</v>
      </c>
      <c r="S251">
        <f t="shared" si="55"/>
        <v>0</v>
      </c>
      <c r="T251">
        <f t="shared" si="55"/>
        <v>0</v>
      </c>
      <c r="U251">
        <f t="shared" si="55"/>
        <v>0</v>
      </c>
      <c r="V251">
        <f t="shared" si="55"/>
        <v>0</v>
      </c>
      <c r="W251">
        <f t="shared" si="55"/>
        <v>0</v>
      </c>
      <c r="X251">
        <f t="shared" si="55"/>
        <v>0</v>
      </c>
      <c r="Y251">
        <f t="shared" si="54"/>
        <v>0</v>
      </c>
      <c r="Z251">
        <f t="shared" si="54"/>
        <v>0</v>
      </c>
      <c r="AA251">
        <f t="shared" si="54"/>
        <v>0</v>
      </c>
      <c r="AB251">
        <f t="shared" si="54"/>
        <v>0</v>
      </c>
      <c r="AC251">
        <f t="shared" si="54"/>
        <v>0</v>
      </c>
      <c r="AD251">
        <f t="shared" si="54"/>
        <v>0</v>
      </c>
      <c r="AE251">
        <f t="shared" si="54"/>
        <v>0</v>
      </c>
      <c r="AF251">
        <f t="shared" si="54"/>
        <v>0</v>
      </c>
      <c r="AG251">
        <f t="shared" si="54"/>
        <v>0</v>
      </c>
      <c r="AH251">
        <f t="shared" si="54"/>
        <v>0</v>
      </c>
      <c r="AI251">
        <f t="shared" si="54"/>
        <v>0</v>
      </c>
      <c r="AJ251">
        <f t="shared" si="54"/>
        <v>0</v>
      </c>
      <c r="AK251">
        <f t="shared" si="54"/>
        <v>0</v>
      </c>
      <c r="AL251">
        <f t="shared" si="54"/>
        <v>0</v>
      </c>
      <c r="AM251">
        <f t="shared" si="54"/>
        <v>0</v>
      </c>
      <c r="AN251">
        <f t="shared" si="51"/>
        <v>0</v>
      </c>
      <c r="AO251">
        <f t="shared" si="51"/>
        <v>0</v>
      </c>
      <c r="AP251">
        <f t="shared" si="51"/>
        <v>0</v>
      </c>
      <c r="AQ251">
        <f t="shared" si="51"/>
        <v>0</v>
      </c>
      <c r="AR251">
        <f t="shared" si="51"/>
        <v>0</v>
      </c>
    </row>
    <row r="252" spans="5:44" x14ac:dyDescent="0.2">
      <c r="E252" s="1">
        <f>moment_rate!$AC252</f>
        <v>7.4493433161470389E-3</v>
      </c>
      <c r="F252" s="1">
        <f t="shared" si="47"/>
        <v>0</v>
      </c>
      <c r="G252">
        <f>moment_rate!I252-0.005</f>
        <v>2.4499999999999917</v>
      </c>
      <c r="H252" s="1">
        <f t="shared" si="48"/>
        <v>0</v>
      </c>
      <c r="I252">
        <f t="shared" si="55"/>
        <v>0</v>
      </c>
      <c r="J252">
        <f t="shared" si="55"/>
        <v>0</v>
      </c>
      <c r="K252">
        <f t="shared" si="55"/>
        <v>0</v>
      </c>
      <c r="L252">
        <f t="shared" si="55"/>
        <v>0</v>
      </c>
      <c r="M252">
        <f t="shared" si="55"/>
        <v>0</v>
      </c>
      <c r="N252">
        <f t="shared" si="55"/>
        <v>0</v>
      </c>
      <c r="O252">
        <f t="shared" si="55"/>
        <v>0</v>
      </c>
      <c r="P252">
        <f t="shared" si="55"/>
        <v>0</v>
      </c>
      <c r="Q252">
        <f t="shared" si="55"/>
        <v>0</v>
      </c>
      <c r="R252">
        <f t="shared" si="55"/>
        <v>0</v>
      </c>
      <c r="S252">
        <f t="shared" si="55"/>
        <v>0</v>
      </c>
      <c r="T252">
        <f t="shared" si="55"/>
        <v>0</v>
      </c>
      <c r="U252">
        <f t="shared" si="55"/>
        <v>0</v>
      </c>
      <c r="V252">
        <f t="shared" si="55"/>
        <v>0</v>
      </c>
      <c r="W252">
        <f t="shared" si="55"/>
        <v>0</v>
      </c>
      <c r="X252">
        <f t="shared" si="55"/>
        <v>0</v>
      </c>
      <c r="Y252">
        <f t="shared" si="54"/>
        <v>0</v>
      </c>
      <c r="Z252">
        <f t="shared" si="54"/>
        <v>0</v>
      </c>
      <c r="AA252">
        <f t="shared" si="54"/>
        <v>0</v>
      </c>
      <c r="AB252">
        <f t="shared" si="54"/>
        <v>0</v>
      </c>
      <c r="AC252">
        <f t="shared" si="54"/>
        <v>0</v>
      </c>
      <c r="AD252">
        <f t="shared" si="54"/>
        <v>0</v>
      </c>
      <c r="AE252">
        <f t="shared" si="54"/>
        <v>0</v>
      </c>
      <c r="AF252">
        <f t="shared" si="54"/>
        <v>0</v>
      </c>
      <c r="AG252">
        <f t="shared" si="54"/>
        <v>0</v>
      </c>
      <c r="AH252">
        <f t="shared" si="54"/>
        <v>0</v>
      </c>
      <c r="AI252">
        <f t="shared" si="54"/>
        <v>0</v>
      </c>
      <c r="AJ252">
        <f t="shared" si="54"/>
        <v>0</v>
      </c>
      <c r="AK252">
        <f t="shared" si="54"/>
        <v>0</v>
      </c>
      <c r="AL252">
        <f t="shared" si="54"/>
        <v>0</v>
      </c>
      <c r="AM252">
        <f t="shared" si="54"/>
        <v>0</v>
      </c>
      <c r="AN252">
        <f t="shared" si="51"/>
        <v>0</v>
      </c>
      <c r="AO252">
        <f t="shared" si="51"/>
        <v>0</v>
      </c>
      <c r="AP252">
        <f t="shared" ref="AP252:AR253" si="56">IF(AND($G252&gt;=AP$3,$G252&lt;AP$4),$F252,0)</f>
        <v>0</v>
      </c>
      <c r="AQ252">
        <f t="shared" si="56"/>
        <v>0</v>
      </c>
      <c r="AR252">
        <f t="shared" si="56"/>
        <v>0</v>
      </c>
    </row>
    <row r="253" spans="5:44" x14ac:dyDescent="0.2">
      <c r="E253" s="1">
        <f>moment_rate!$AC253</f>
        <v>7.4493433161470389E-3</v>
      </c>
      <c r="F253" s="1">
        <f t="shared" si="47"/>
        <v>0</v>
      </c>
      <c r="G253">
        <f>moment_rate!I253-0.005</f>
        <v>2.4599999999999915</v>
      </c>
      <c r="H253" s="1">
        <f t="shared" si="48"/>
        <v>0</v>
      </c>
      <c r="I253">
        <f t="shared" si="55"/>
        <v>0</v>
      </c>
      <c r="J253">
        <f t="shared" si="55"/>
        <v>0</v>
      </c>
      <c r="K253">
        <f t="shared" si="55"/>
        <v>0</v>
      </c>
      <c r="L253">
        <f t="shared" si="55"/>
        <v>0</v>
      </c>
      <c r="M253">
        <f t="shared" si="55"/>
        <v>0</v>
      </c>
      <c r="N253">
        <f t="shared" si="55"/>
        <v>0</v>
      </c>
      <c r="O253">
        <f t="shared" si="55"/>
        <v>0</v>
      </c>
      <c r="P253">
        <f t="shared" si="55"/>
        <v>0</v>
      </c>
      <c r="Q253">
        <f t="shared" si="55"/>
        <v>0</v>
      </c>
      <c r="R253">
        <f t="shared" si="55"/>
        <v>0</v>
      </c>
      <c r="S253">
        <f t="shared" si="55"/>
        <v>0</v>
      </c>
      <c r="T253">
        <f t="shared" si="55"/>
        <v>0</v>
      </c>
      <c r="U253">
        <f t="shared" si="55"/>
        <v>0</v>
      </c>
      <c r="V253">
        <f t="shared" si="55"/>
        <v>0</v>
      </c>
      <c r="W253">
        <f t="shared" si="55"/>
        <v>0</v>
      </c>
      <c r="X253">
        <f t="shared" si="55"/>
        <v>0</v>
      </c>
      <c r="Y253">
        <f t="shared" si="54"/>
        <v>0</v>
      </c>
      <c r="Z253">
        <f t="shared" si="54"/>
        <v>0</v>
      </c>
      <c r="AA253">
        <f t="shared" si="54"/>
        <v>0</v>
      </c>
      <c r="AB253">
        <f t="shared" si="54"/>
        <v>0</v>
      </c>
      <c r="AC253">
        <f t="shared" si="54"/>
        <v>0</v>
      </c>
      <c r="AD253">
        <f t="shared" si="54"/>
        <v>0</v>
      </c>
      <c r="AE253">
        <f t="shared" si="54"/>
        <v>0</v>
      </c>
      <c r="AF253">
        <f t="shared" si="54"/>
        <v>0</v>
      </c>
      <c r="AG253">
        <f t="shared" si="54"/>
        <v>0</v>
      </c>
      <c r="AH253">
        <f t="shared" si="54"/>
        <v>0</v>
      </c>
      <c r="AI253">
        <f t="shared" si="54"/>
        <v>0</v>
      </c>
      <c r="AJ253">
        <f t="shared" si="54"/>
        <v>0</v>
      </c>
      <c r="AK253">
        <f t="shared" si="54"/>
        <v>0</v>
      </c>
      <c r="AL253">
        <f t="shared" si="54"/>
        <v>0</v>
      </c>
      <c r="AM253">
        <f t="shared" si="54"/>
        <v>0</v>
      </c>
      <c r="AN253">
        <f>IF(AND($G253&gt;=AN$3,$G253&lt;AN$4),$F253,0)</f>
        <v>0</v>
      </c>
      <c r="AO253">
        <f>IF(AND($G253&gt;=AO$3,$G253&lt;AO$4),$F253,0)</f>
        <v>0</v>
      </c>
      <c r="AP253">
        <f t="shared" si="56"/>
        <v>0</v>
      </c>
      <c r="AQ253">
        <f t="shared" si="56"/>
        <v>0</v>
      </c>
      <c r="AR253">
        <f t="shared" si="56"/>
        <v>0</v>
      </c>
    </row>
    <row r="254" spans="5:44" x14ac:dyDescent="0.2">
      <c r="E254" s="1">
        <f>moment_rate!$AC254</f>
        <v>7.4493433161470389E-3</v>
      </c>
      <c r="F254" s="1">
        <f t="shared" si="47"/>
        <v>0</v>
      </c>
      <c r="G254">
        <f>moment_rate!I254-0.005</f>
        <v>2.4699999999999913</v>
      </c>
      <c r="H254" s="1">
        <f t="shared" si="48"/>
        <v>0</v>
      </c>
      <c r="I254">
        <f t="shared" si="55"/>
        <v>0</v>
      </c>
      <c r="J254">
        <f t="shared" si="55"/>
        <v>0</v>
      </c>
      <c r="K254">
        <f t="shared" si="55"/>
        <v>0</v>
      </c>
      <c r="L254">
        <f t="shared" si="55"/>
        <v>0</v>
      </c>
      <c r="M254">
        <f t="shared" si="55"/>
        <v>0</v>
      </c>
      <c r="N254">
        <f t="shared" si="55"/>
        <v>0</v>
      </c>
      <c r="O254">
        <f t="shared" si="55"/>
        <v>0</v>
      </c>
      <c r="P254">
        <f t="shared" si="55"/>
        <v>0</v>
      </c>
      <c r="Q254">
        <f t="shared" si="55"/>
        <v>0</v>
      </c>
      <c r="R254">
        <f t="shared" si="55"/>
        <v>0</v>
      </c>
      <c r="S254">
        <f t="shared" si="55"/>
        <v>0</v>
      </c>
      <c r="T254">
        <f t="shared" si="55"/>
        <v>0</v>
      </c>
      <c r="U254">
        <f t="shared" si="55"/>
        <v>0</v>
      </c>
      <c r="V254">
        <f t="shared" si="55"/>
        <v>0</v>
      </c>
      <c r="W254">
        <f t="shared" si="55"/>
        <v>0</v>
      </c>
      <c r="X254">
        <f t="shared" ref="X254:AR266" si="57">IF(AND($G254&gt;=X$3,$G254&lt;X$4),$F254,0)</f>
        <v>0</v>
      </c>
      <c r="Y254">
        <f t="shared" si="57"/>
        <v>0</v>
      </c>
      <c r="Z254">
        <f t="shared" si="57"/>
        <v>0</v>
      </c>
      <c r="AA254">
        <f t="shared" si="57"/>
        <v>0</v>
      </c>
      <c r="AB254">
        <f t="shared" si="57"/>
        <v>0</v>
      </c>
      <c r="AC254">
        <f t="shared" si="57"/>
        <v>0</v>
      </c>
      <c r="AD254">
        <f t="shared" si="57"/>
        <v>0</v>
      </c>
      <c r="AE254">
        <f t="shared" si="57"/>
        <v>0</v>
      </c>
      <c r="AF254">
        <f t="shared" si="57"/>
        <v>0</v>
      </c>
      <c r="AG254">
        <f t="shared" si="57"/>
        <v>0</v>
      </c>
      <c r="AH254">
        <f t="shared" si="57"/>
        <v>0</v>
      </c>
      <c r="AI254">
        <f t="shared" si="57"/>
        <v>0</v>
      </c>
      <c r="AJ254">
        <f t="shared" si="57"/>
        <v>0</v>
      </c>
      <c r="AK254">
        <f t="shared" si="57"/>
        <v>0</v>
      </c>
      <c r="AL254">
        <f t="shared" si="57"/>
        <v>0</v>
      </c>
      <c r="AM254">
        <f t="shared" si="57"/>
        <v>0</v>
      </c>
      <c r="AN254">
        <f t="shared" si="57"/>
        <v>0</v>
      </c>
      <c r="AO254">
        <f t="shared" si="57"/>
        <v>0</v>
      </c>
      <c r="AP254">
        <f t="shared" si="57"/>
        <v>0</v>
      </c>
      <c r="AQ254">
        <f t="shared" si="57"/>
        <v>0</v>
      </c>
      <c r="AR254">
        <f t="shared" si="57"/>
        <v>0</v>
      </c>
    </row>
    <row r="255" spans="5:44" x14ac:dyDescent="0.2">
      <c r="E255" s="1">
        <f>moment_rate!$AC255</f>
        <v>7.4493433161470389E-3</v>
      </c>
      <c r="F255" s="1">
        <f t="shared" si="47"/>
        <v>0</v>
      </c>
      <c r="G255">
        <f>moment_rate!I255-0.005</f>
        <v>2.4799999999999911</v>
      </c>
      <c r="H255" s="1">
        <f t="shared" si="48"/>
        <v>0</v>
      </c>
      <c r="I255">
        <f t="shared" ref="I255:X270" si="58">IF(AND($G255&gt;=I$3,$G255&lt;I$4),$F255,0)</f>
        <v>0</v>
      </c>
      <c r="J255">
        <f t="shared" si="58"/>
        <v>0</v>
      </c>
      <c r="K255">
        <f t="shared" si="58"/>
        <v>0</v>
      </c>
      <c r="L255">
        <f t="shared" si="58"/>
        <v>0</v>
      </c>
      <c r="M255">
        <f t="shared" si="58"/>
        <v>0</v>
      </c>
      <c r="N255">
        <f t="shared" si="58"/>
        <v>0</v>
      </c>
      <c r="O255">
        <f t="shared" si="58"/>
        <v>0</v>
      </c>
      <c r="P255">
        <f t="shared" si="58"/>
        <v>0</v>
      </c>
      <c r="Q255">
        <f t="shared" si="58"/>
        <v>0</v>
      </c>
      <c r="R255">
        <f t="shared" si="58"/>
        <v>0</v>
      </c>
      <c r="S255">
        <f t="shared" si="58"/>
        <v>0</v>
      </c>
      <c r="T255">
        <f t="shared" si="58"/>
        <v>0</v>
      </c>
      <c r="U255">
        <f t="shared" si="58"/>
        <v>0</v>
      </c>
      <c r="V255">
        <f t="shared" si="58"/>
        <v>0</v>
      </c>
      <c r="W255">
        <f t="shared" si="58"/>
        <v>0</v>
      </c>
      <c r="X255">
        <f t="shared" si="58"/>
        <v>0</v>
      </c>
      <c r="Y255">
        <f t="shared" si="57"/>
        <v>0</v>
      </c>
      <c r="Z255">
        <f t="shared" si="57"/>
        <v>0</v>
      </c>
      <c r="AA255">
        <f t="shared" si="57"/>
        <v>0</v>
      </c>
      <c r="AB255">
        <f t="shared" si="57"/>
        <v>0</v>
      </c>
      <c r="AC255">
        <f t="shared" si="57"/>
        <v>0</v>
      </c>
      <c r="AD255">
        <f t="shared" si="57"/>
        <v>0</v>
      </c>
      <c r="AE255">
        <f t="shared" si="57"/>
        <v>0</v>
      </c>
      <c r="AF255">
        <f t="shared" si="57"/>
        <v>0</v>
      </c>
      <c r="AG255">
        <f t="shared" si="57"/>
        <v>0</v>
      </c>
      <c r="AH255">
        <f t="shared" si="57"/>
        <v>0</v>
      </c>
      <c r="AI255">
        <f t="shared" si="57"/>
        <v>0</v>
      </c>
      <c r="AJ255">
        <f t="shared" si="57"/>
        <v>0</v>
      </c>
      <c r="AK255">
        <f t="shared" si="57"/>
        <v>0</v>
      </c>
      <c r="AL255">
        <f t="shared" si="57"/>
        <v>0</v>
      </c>
      <c r="AM255">
        <f t="shared" si="57"/>
        <v>0</v>
      </c>
      <c r="AN255">
        <f t="shared" si="57"/>
        <v>0</v>
      </c>
      <c r="AO255">
        <f t="shared" si="57"/>
        <v>0</v>
      </c>
      <c r="AP255">
        <f t="shared" si="57"/>
        <v>0</v>
      </c>
      <c r="AQ255">
        <f t="shared" si="57"/>
        <v>0</v>
      </c>
      <c r="AR255">
        <f t="shared" si="57"/>
        <v>0</v>
      </c>
    </row>
    <row r="256" spans="5:44" x14ac:dyDescent="0.2">
      <c r="E256" s="1">
        <f>moment_rate!$AC256</f>
        <v>7.4493433161470389E-3</v>
      </c>
      <c r="F256" s="1">
        <f t="shared" si="47"/>
        <v>0</v>
      </c>
      <c r="G256">
        <f>moment_rate!I256-0.005</f>
        <v>2.4899999999999909</v>
      </c>
      <c r="H256" s="1">
        <f t="shared" si="48"/>
        <v>0</v>
      </c>
      <c r="I256">
        <f t="shared" si="58"/>
        <v>0</v>
      </c>
      <c r="J256">
        <f t="shared" si="58"/>
        <v>0</v>
      </c>
      <c r="K256">
        <f t="shared" si="58"/>
        <v>0</v>
      </c>
      <c r="L256">
        <f t="shared" si="58"/>
        <v>0</v>
      </c>
      <c r="M256">
        <f t="shared" si="58"/>
        <v>0</v>
      </c>
      <c r="N256">
        <f t="shared" si="58"/>
        <v>0</v>
      </c>
      <c r="O256">
        <f t="shared" si="58"/>
        <v>0</v>
      </c>
      <c r="P256">
        <f t="shared" si="58"/>
        <v>0</v>
      </c>
      <c r="Q256">
        <f t="shared" si="58"/>
        <v>0</v>
      </c>
      <c r="R256">
        <f t="shared" si="58"/>
        <v>0</v>
      </c>
      <c r="S256">
        <f t="shared" si="58"/>
        <v>0</v>
      </c>
      <c r="T256">
        <f t="shared" si="58"/>
        <v>0</v>
      </c>
      <c r="U256">
        <f t="shared" si="58"/>
        <v>0</v>
      </c>
      <c r="V256">
        <f t="shared" si="58"/>
        <v>0</v>
      </c>
      <c r="W256">
        <f t="shared" si="58"/>
        <v>0</v>
      </c>
      <c r="X256">
        <f t="shared" si="58"/>
        <v>0</v>
      </c>
      <c r="Y256">
        <f t="shared" si="57"/>
        <v>0</v>
      </c>
      <c r="Z256">
        <f t="shared" si="57"/>
        <v>0</v>
      </c>
      <c r="AA256">
        <f t="shared" si="57"/>
        <v>0</v>
      </c>
      <c r="AB256">
        <f t="shared" si="57"/>
        <v>0</v>
      </c>
      <c r="AC256">
        <f t="shared" si="57"/>
        <v>0</v>
      </c>
      <c r="AD256">
        <f t="shared" si="57"/>
        <v>0</v>
      </c>
      <c r="AE256">
        <f t="shared" si="57"/>
        <v>0</v>
      </c>
      <c r="AF256">
        <f t="shared" si="57"/>
        <v>0</v>
      </c>
      <c r="AG256">
        <f t="shared" si="57"/>
        <v>0</v>
      </c>
      <c r="AH256">
        <f t="shared" si="57"/>
        <v>0</v>
      </c>
      <c r="AI256">
        <f t="shared" si="57"/>
        <v>0</v>
      </c>
      <c r="AJ256">
        <f t="shared" si="57"/>
        <v>0</v>
      </c>
      <c r="AK256">
        <f t="shared" si="57"/>
        <v>0</v>
      </c>
      <c r="AL256">
        <f t="shared" si="57"/>
        <v>0</v>
      </c>
      <c r="AM256">
        <f t="shared" si="57"/>
        <v>0</v>
      </c>
      <c r="AN256">
        <f t="shared" si="57"/>
        <v>0</v>
      </c>
      <c r="AO256">
        <f t="shared" si="57"/>
        <v>0</v>
      </c>
      <c r="AP256">
        <f t="shared" si="57"/>
        <v>0</v>
      </c>
      <c r="AQ256">
        <f t="shared" si="57"/>
        <v>0</v>
      </c>
      <c r="AR256">
        <f t="shared" si="57"/>
        <v>0</v>
      </c>
    </row>
    <row r="257" spans="5:44" x14ac:dyDescent="0.2">
      <c r="E257" s="1">
        <f>moment_rate!$AC257</f>
        <v>7.4493433161470389E-3</v>
      </c>
      <c r="F257" s="1">
        <f t="shared" si="47"/>
        <v>0</v>
      </c>
      <c r="G257">
        <f>moment_rate!I257-0.005</f>
        <v>2.4999999999999907</v>
      </c>
      <c r="H257" s="1">
        <f t="shared" si="48"/>
        <v>0</v>
      </c>
      <c r="I257">
        <f t="shared" si="58"/>
        <v>0</v>
      </c>
      <c r="J257">
        <f t="shared" si="58"/>
        <v>0</v>
      </c>
      <c r="K257">
        <f t="shared" si="58"/>
        <v>0</v>
      </c>
      <c r="L257">
        <f t="shared" si="58"/>
        <v>0</v>
      </c>
      <c r="M257">
        <f t="shared" si="58"/>
        <v>0</v>
      </c>
      <c r="N257">
        <f t="shared" si="58"/>
        <v>0</v>
      </c>
      <c r="O257">
        <f t="shared" si="58"/>
        <v>0</v>
      </c>
      <c r="P257">
        <f t="shared" si="58"/>
        <v>0</v>
      </c>
      <c r="Q257">
        <f t="shared" si="58"/>
        <v>0</v>
      </c>
      <c r="R257">
        <f t="shared" si="58"/>
        <v>0</v>
      </c>
      <c r="S257">
        <f t="shared" si="58"/>
        <v>0</v>
      </c>
      <c r="T257">
        <f t="shared" si="58"/>
        <v>0</v>
      </c>
      <c r="U257">
        <f t="shared" si="58"/>
        <v>0</v>
      </c>
      <c r="V257">
        <f t="shared" si="58"/>
        <v>0</v>
      </c>
      <c r="W257">
        <f t="shared" si="58"/>
        <v>0</v>
      </c>
      <c r="X257">
        <f t="shared" si="58"/>
        <v>0</v>
      </c>
      <c r="Y257">
        <f t="shared" si="57"/>
        <v>0</v>
      </c>
      <c r="Z257">
        <f t="shared" si="57"/>
        <v>0</v>
      </c>
      <c r="AA257">
        <f t="shared" si="57"/>
        <v>0</v>
      </c>
      <c r="AB257">
        <f t="shared" si="57"/>
        <v>0</v>
      </c>
      <c r="AC257">
        <f t="shared" si="57"/>
        <v>0</v>
      </c>
      <c r="AD257">
        <f t="shared" si="57"/>
        <v>0</v>
      </c>
      <c r="AE257">
        <f t="shared" si="57"/>
        <v>0</v>
      </c>
      <c r="AF257">
        <f t="shared" si="57"/>
        <v>0</v>
      </c>
      <c r="AG257">
        <f t="shared" si="57"/>
        <v>0</v>
      </c>
      <c r="AH257">
        <f t="shared" si="57"/>
        <v>0</v>
      </c>
      <c r="AI257">
        <f t="shared" si="57"/>
        <v>0</v>
      </c>
      <c r="AJ257">
        <f t="shared" si="57"/>
        <v>0</v>
      </c>
      <c r="AK257">
        <f t="shared" si="57"/>
        <v>0</v>
      </c>
      <c r="AL257">
        <f t="shared" si="57"/>
        <v>0</v>
      </c>
      <c r="AM257">
        <f t="shared" si="57"/>
        <v>0</v>
      </c>
      <c r="AN257">
        <f t="shared" si="57"/>
        <v>0</v>
      </c>
      <c r="AO257">
        <f t="shared" si="57"/>
        <v>0</v>
      </c>
      <c r="AP257">
        <f t="shared" si="57"/>
        <v>0</v>
      </c>
      <c r="AQ257">
        <f t="shared" si="57"/>
        <v>0</v>
      </c>
      <c r="AR257">
        <f t="shared" si="57"/>
        <v>0</v>
      </c>
    </row>
    <row r="258" spans="5:44" x14ac:dyDescent="0.2">
      <c r="E258" s="1">
        <f>moment_rate!$AC258</f>
        <v>7.4493433161470389E-3</v>
      </c>
      <c r="F258" s="1">
        <f t="shared" si="47"/>
        <v>0</v>
      </c>
      <c r="G258">
        <f>moment_rate!I258-0.005</f>
        <v>2.5099999999999905</v>
      </c>
      <c r="H258" s="1">
        <f t="shared" si="48"/>
        <v>0</v>
      </c>
      <c r="I258">
        <f t="shared" si="58"/>
        <v>0</v>
      </c>
      <c r="J258">
        <f t="shared" si="58"/>
        <v>0</v>
      </c>
      <c r="K258">
        <f t="shared" si="58"/>
        <v>0</v>
      </c>
      <c r="L258">
        <f t="shared" si="58"/>
        <v>0</v>
      </c>
      <c r="M258">
        <f t="shared" si="58"/>
        <v>0</v>
      </c>
      <c r="N258">
        <f t="shared" si="58"/>
        <v>0</v>
      </c>
      <c r="O258">
        <f t="shared" si="58"/>
        <v>0</v>
      </c>
      <c r="P258">
        <f t="shared" si="58"/>
        <v>0</v>
      </c>
      <c r="Q258">
        <f t="shared" si="58"/>
        <v>0</v>
      </c>
      <c r="R258">
        <f t="shared" si="58"/>
        <v>0</v>
      </c>
      <c r="S258">
        <f t="shared" si="58"/>
        <v>0</v>
      </c>
      <c r="T258">
        <f t="shared" si="58"/>
        <v>0</v>
      </c>
      <c r="U258">
        <f t="shared" si="58"/>
        <v>0</v>
      </c>
      <c r="V258">
        <f t="shared" si="58"/>
        <v>0</v>
      </c>
      <c r="W258">
        <f t="shared" si="58"/>
        <v>0</v>
      </c>
      <c r="X258">
        <f t="shared" si="58"/>
        <v>0</v>
      </c>
      <c r="Y258">
        <f t="shared" si="57"/>
        <v>0</v>
      </c>
      <c r="Z258">
        <f t="shared" si="57"/>
        <v>0</v>
      </c>
      <c r="AA258">
        <f t="shared" si="57"/>
        <v>0</v>
      </c>
      <c r="AB258">
        <f t="shared" si="57"/>
        <v>0</v>
      </c>
      <c r="AC258">
        <f t="shared" si="57"/>
        <v>0</v>
      </c>
      <c r="AD258">
        <f t="shared" si="57"/>
        <v>0</v>
      </c>
      <c r="AE258">
        <f t="shared" si="57"/>
        <v>0</v>
      </c>
      <c r="AF258">
        <f t="shared" si="57"/>
        <v>0</v>
      </c>
      <c r="AG258">
        <f t="shared" si="57"/>
        <v>0</v>
      </c>
      <c r="AH258">
        <f t="shared" si="57"/>
        <v>0</v>
      </c>
      <c r="AI258">
        <f t="shared" si="57"/>
        <v>0</v>
      </c>
      <c r="AJ258">
        <f t="shared" si="57"/>
        <v>0</v>
      </c>
      <c r="AK258">
        <f t="shared" si="57"/>
        <v>0</v>
      </c>
      <c r="AL258">
        <f t="shared" si="57"/>
        <v>0</v>
      </c>
      <c r="AM258">
        <f t="shared" si="57"/>
        <v>0</v>
      </c>
      <c r="AN258">
        <f t="shared" si="57"/>
        <v>0</v>
      </c>
      <c r="AO258">
        <f t="shared" si="57"/>
        <v>0</v>
      </c>
      <c r="AP258">
        <f t="shared" si="57"/>
        <v>0</v>
      </c>
      <c r="AQ258">
        <f t="shared" si="57"/>
        <v>0</v>
      </c>
      <c r="AR258">
        <f t="shared" si="57"/>
        <v>0</v>
      </c>
    </row>
    <row r="259" spans="5:44" x14ac:dyDescent="0.2">
      <c r="E259" s="1">
        <f>moment_rate!$AC259</f>
        <v>7.4493433161470389E-3</v>
      </c>
      <c r="F259" s="1">
        <f t="shared" si="47"/>
        <v>0</v>
      </c>
      <c r="G259">
        <f>moment_rate!I259-0.005</f>
        <v>2.5199999999999902</v>
      </c>
      <c r="H259" s="1">
        <f t="shared" si="48"/>
        <v>0</v>
      </c>
      <c r="I259">
        <f t="shared" si="58"/>
        <v>0</v>
      </c>
      <c r="J259">
        <f t="shared" si="58"/>
        <v>0</v>
      </c>
      <c r="K259">
        <f t="shared" si="58"/>
        <v>0</v>
      </c>
      <c r="L259">
        <f t="shared" si="58"/>
        <v>0</v>
      </c>
      <c r="M259">
        <f t="shared" si="58"/>
        <v>0</v>
      </c>
      <c r="N259">
        <f t="shared" si="58"/>
        <v>0</v>
      </c>
      <c r="O259">
        <f t="shared" si="58"/>
        <v>0</v>
      </c>
      <c r="P259">
        <f t="shared" si="58"/>
        <v>0</v>
      </c>
      <c r="Q259">
        <f t="shared" si="58"/>
        <v>0</v>
      </c>
      <c r="R259">
        <f t="shared" si="58"/>
        <v>0</v>
      </c>
      <c r="S259">
        <f t="shared" si="58"/>
        <v>0</v>
      </c>
      <c r="T259">
        <f t="shared" si="58"/>
        <v>0</v>
      </c>
      <c r="U259">
        <f t="shared" si="58"/>
        <v>0</v>
      </c>
      <c r="V259">
        <f t="shared" si="58"/>
        <v>0</v>
      </c>
      <c r="W259">
        <f t="shared" si="58"/>
        <v>0</v>
      </c>
      <c r="X259">
        <f t="shared" si="58"/>
        <v>0</v>
      </c>
      <c r="Y259">
        <f t="shared" si="57"/>
        <v>0</v>
      </c>
      <c r="Z259">
        <f t="shared" si="57"/>
        <v>0</v>
      </c>
      <c r="AA259">
        <f t="shared" si="57"/>
        <v>0</v>
      </c>
      <c r="AB259">
        <f t="shared" si="57"/>
        <v>0</v>
      </c>
      <c r="AC259">
        <f t="shared" si="57"/>
        <v>0</v>
      </c>
      <c r="AD259">
        <f t="shared" si="57"/>
        <v>0</v>
      </c>
      <c r="AE259">
        <f t="shared" si="57"/>
        <v>0</v>
      </c>
      <c r="AF259">
        <f t="shared" si="57"/>
        <v>0</v>
      </c>
      <c r="AG259">
        <f t="shared" si="57"/>
        <v>0</v>
      </c>
      <c r="AH259">
        <f t="shared" si="57"/>
        <v>0</v>
      </c>
      <c r="AI259">
        <f t="shared" si="57"/>
        <v>0</v>
      </c>
      <c r="AJ259">
        <f t="shared" si="57"/>
        <v>0</v>
      </c>
      <c r="AK259">
        <f t="shared" si="57"/>
        <v>0</v>
      </c>
      <c r="AL259">
        <f t="shared" si="57"/>
        <v>0</v>
      </c>
      <c r="AM259">
        <f t="shared" si="57"/>
        <v>0</v>
      </c>
      <c r="AN259">
        <f t="shared" si="57"/>
        <v>0</v>
      </c>
      <c r="AO259">
        <f t="shared" si="57"/>
        <v>0</v>
      </c>
      <c r="AP259">
        <f t="shared" si="57"/>
        <v>0</v>
      </c>
      <c r="AQ259">
        <f t="shared" si="57"/>
        <v>0</v>
      </c>
      <c r="AR259">
        <f t="shared" si="57"/>
        <v>0</v>
      </c>
    </row>
    <row r="260" spans="5:44" x14ac:dyDescent="0.2">
      <c r="E260" s="1">
        <f>moment_rate!$AC260</f>
        <v>7.4493433161470389E-3</v>
      </c>
      <c r="F260" s="1">
        <f t="shared" si="47"/>
        <v>0</v>
      </c>
      <c r="G260">
        <f>moment_rate!I260-0.005</f>
        <v>2.52999999999999</v>
      </c>
      <c r="H260" s="1">
        <f t="shared" si="48"/>
        <v>0</v>
      </c>
      <c r="I260">
        <f t="shared" si="58"/>
        <v>0</v>
      </c>
      <c r="J260">
        <f t="shared" si="58"/>
        <v>0</v>
      </c>
      <c r="K260">
        <f t="shared" si="58"/>
        <v>0</v>
      </c>
      <c r="L260">
        <f t="shared" si="58"/>
        <v>0</v>
      </c>
      <c r="M260">
        <f t="shared" si="58"/>
        <v>0</v>
      </c>
      <c r="N260">
        <f t="shared" si="58"/>
        <v>0</v>
      </c>
      <c r="O260">
        <f t="shared" si="58"/>
        <v>0</v>
      </c>
      <c r="P260">
        <f t="shared" si="58"/>
        <v>0</v>
      </c>
      <c r="Q260">
        <f t="shared" si="58"/>
        <v>0</v>
      </c>
      <c r="R260">
        <f t="shared" si="58"/>
        <v>0</v>
      </c>
      <c r="S260">
        <f t="shared" si="58"/>
        <v>0</v>
      </c>
      <c r="T260">
        <f t="shared" si="58"/>
        <v>0</v>
      </c>
      <c r="U260">
        <f t="shared" si="58"/>
        <v>0</v>
      </c>
      <c r="V260">
        <f t="shared" si="58"/>
        <v>0</v>
      </c>
      <c r="W260">
        <f t="shared" si="58"/>
        <v>0</v>
      </c>
      <c r="X260">
        <f t="shared" si="58"/>
        <v>0</v>
      </c>
      <c r="Y260">
        <f t="shared" si="57"/>
        <v>0</v>
      </c>
      <c r="Z260">
        <f t="shared" si="57"/>
        <v>0</v>
      </c>
      <c r="AA260">
        <f t="shared" si="57"/>
        <v>0</v>
      </c>
      <c r="AB260">
        <f t="shared" si="57"/>
        <v>0</v>
      </c>
      <c r="AC260">
        <f t="shared" si="57"/>
        <v>0</v>
      </c>
      <c r="AD260">
        <f t="shared" si="57"/>
        <v>0</v>
      </c>
      <c r="AE260">
        <f t="shared" si="57"/>
        <v>0</v>
      </c>
      <c r="AF260">
        <f t="shared" si="57"/>
        <v>0</v>
      </c>
      <c r="AG260">
        <f t="shared" si="57"/>
        <v>0</v>
      </c>
      <c r="AH260">
        <f t="shared" si="57"/>
        <v>0</v>
      </c>
      <c r="AI260">
        <f t="shared" si="57"/>
        <v>0</v>
      </c>
      <c r="AJ260">
        <f t="shared" si="57"/>
        <v>0</v>
      </c>
      <c r="AK260">
        <f t="shared" si="57"/>
        <v>0</v>
      </c>
      <c r="AL260">
        <f t="shared" si="57"/>
        <v>0</v>
      </c>
      <c r="AM260">
        <f t="shared" si="57"/>
        <v>0</v>
      </c>
      <c r="AN260">
        <f t="shared" si="57"/>
        <v>0</v>
      </c>
      <c r="AO260">
        <f t="shared" si="57"/>
        <v>0</v>
      </c>
      <c r="AP260">
        <f t="shared" si="57"/>
        <v>0</v>
      </c>
      <c r="AQ260">
        <f t="shared" si="57"/>
        <v>0</v>
      </c>
      <c r="AR260">
        <f t="shared" si="57"/>
        <v>0</v>
      </c>
    </row>
    <row r="261" spans="5:44" x14ac:dyDescent="0.2">
      <c r="E261" s="1">
        <f>moment_rate!$AC261</f>
        <v>7.4493433161470389E-3</v>
      </c>
      <c r="F261" s="1">
        <f t="shared" si="47"/>
        <v>0</v>
      </c>
      <c r="G261">
        <f>moment_rate!I261-0.005</f>
        <v>2.5399999999999898</v>
      </c>
      <c r="H261" s="1">
        <f t="shared" si="48"/>
        <v>0</v>
      </c>
      <c r="I261">
        <f t="shared" si="58"/>
        <v>0</v>
      </c>
      <c r="J261">
        <f t="shared" si="58"/>
        <v>0</v>
      </c>
      <c r="K261">
        <f t="shared" si="58"/>
        <v>0</v>
      </c>
      <c r="L261">
        <f t="shared" si="58"/>
        <v>0</v>
      </c>
      <c r="M261">
        <f t="shared" si="58"/>
        <v>0</v>
      </c>
      <c r="N261">
        <f t="shared" si="58"/>
        <v>0</v>
      </c>
      <c r="O261">
        <f t="shared" si="58"/>
        <v>0</v>
      </c>
      <c r="P261">
        <f t="shared" si="58"/>
        <v>0</v>
      </c>
      <c r="Q261">
        <f t="shared" si="58"/>
        <v>0</v>
      </c>
      <c r="R261">
        <f t="shared" si="58"/>
        <v>0</v>
      </c>
      <c r="S261">
        <f t="shared" si="58"/>
        <v>0</v>
      </c>
      <c r="T261">
        <f t="shared" si="58"/>
        <v>0</v>
      </c>
      <c r="U261">
        <f t="shared" si="58"/>
        <v>0</v>
      </c>
      <c r="V261">
        <f t="shared" si="58"/>
        <v>0</v>
      </c>
      <c r="W261">
        <f t="shared" si="58"/>
        <v>0</v>
      </c>
      <c r="X261">
        <f t="shared" si="58"/>
        <v>0</v>
      </c>
      <c r="Y261">
        <f t="shared" si="57"/>
        <v>0</v>
      </c>
      <c r="Z261">
        <f t="shared" si="57"/>
        <v>0</v>
      </c>
      <c r="AA261">
        <f t="shared" si="57"/>
        <v>0</v>
      </c>
      <c r="AB261">
        <f t="shared" si="57"/>
        <v>0</v>
      </c>
      <c r="AC261">
        <f t="shared" si="57"/>
        <v>0</v>
      </c>
      <c r="AD261">
        <f t="shared" si="57"/>
        <v>0</v>
      </c>
      <c r="AE261">
        <f t="shared" si="57"/>
        <v>0</v>
      </c>
      <c r="AF261">
        <f t="shared" si="57"/>
        <v>0</v>
      </c>
      <c r="AG261">
        <f t="shared" si="57"/>
        <v>0</v>
      </c>
      <c r="AH261">
        <f t="shared" si="57"/>
        <v>0</v>
      </c>
      <c r="AI261">
        <f t="shared" si="57"/>
        <v>0</v>
      </c>
      <c r="AJ261">
        <f t="shared" si="57"/>
        <v>0</v>
      </c>
      <c r="AK261">
        <f t="shared" si="57"/>
        <v>0</v>
      </c>
      <c r="AL261">
        <f t="shared" si="57"/>
        <v>0</v>
      </c>
      <c r="AM261">
        <f t="shared" si="57"/>
        <v>0</v>
      </c>
      <c r="AN261">
        <f t="shared" si="57"/>
        <v>0</v>
      </c>
      <c r="AO261">
        <f t="shared" si="57"/>
        <v>0</v>
      </c>
      <c r="AP261">
        <f t="shared" si="57"/>
        <v>0</v>
      </c>
      <c r="AQ261">
        <f t="shared" si="57"/>
        <v>0</v>
      </c>
      <c r="AR261">
        <f t="shared" si="57"/>
        <v>0</v>
      </c>
    </row>
    <row r="262" spans="5:44" x14ac:dyDescent="0.2">
      <c r="E262" s="1">
        <f>moment_rate!$AC262</f>
        <v>7.4493433161470389E-3</v>
      </c>
      <c r="F262" s="1">
        <f t="shared" si="47"/>
        <v>0</v>
      </c>
      <c r="G262">
        <f>moment_rate!I262-0.005</f>
        <v>2.5499999999999896</v>
      </c>
      <c r="H262" s="1">
        <f t="shared" si="48"/>
        <v>0</v>
      </c>
      <c r="I262">
        <f t="shared" si="58"/>
        <v>0</v>
      </c>
      <c r="J262">
        <f t="shared" si="58"/>
        <v>0</v>
      </c>
      <c r="K262">
        <f t="shared" si="58"/>
        <v>0</v>
      </c>
      <c r="L262">
        <f t="shared" si="58"/>
        <v>0</v>
      </c>
      <c r="M262">
        <f t="shared" si="58"/>
        <v>0</v>
      </c>
      <c r="N262">
        <f t="shared" si="58"/>
        <v>0</v>
      </c>
      <c r="O262">
        <f t="shared" si="58"/>
        <v>0</v>
      </c>
      <c r="P262">
        <f t="shared" si="58"/>
        <v>0</v>
      </c>
      <c r="Q262">
        <f t="shared" si="58"/>
        <v>0</v>
      </c>
      <c r="R262">
        <f t="shared" si="58"/>
        <v>0</v>
      </c>
      <c r="S262">
        <f t="shared" si="58"/>
        <v>0</v>
      </c>
      <c r="T262">
        <f t="shared" si="58"/>
        <v>0</v>
      </c>
      <c r="U262">
        <f t="shared" si="58"/>
        <v>0</v>
      </c>
      <c r="V262">
        <f t="shared" si="58"/>
        <v>0</v>
      </c>
      <c r="W262">
        <f t="shared" si="58"/>
        <v>0</v>
      </c>
      <c r="X262">
        <f t="shared" si="58"/>
        <v>0</v>
      </c>
      <c r="Y262">
        <f t="shared" si="57"/>
        <v>0</v>
      </c>
      <c r="Z262">
        <f t="shared" si="57"/>
        <v>0</v>
      </c>
      <c r="AA262">
        <f t="shared" si="57"/>
        <v>0</v>
      </c>
      <c r="AB262">
        <f t="shared" si="57"/>
        <v>0</v>
      </c>
      <c r="AC262">
        <f t="shared" si="57"/>
        <v>0</v>
      </c>
      <c r="AD262">
        <f t="shared" si="57"/>
        <v>0</v>
      </c>
      <c r="AE262">
        <f t="shared" si="57"/>
        <v>0</v>
      </c>
      <c r="AF262">
        <f t="shared" si="57"/>
        <v>0</v>
      </c>
      <c r="AG262">
        <f t="shared" si="57"/>
        <v>0</v>
      </c>
      <c r="AH262">
        <f t="shared" si="57"/>
        <v>0</v>
      </c>
      <c r="AI262">
        <f t="shared" si="57"/>
        <v>0</v>
      </c>
      <c r="AJ262">
        <f t="shared" si="57"/>
        <v>0</v>
      </c>
      <c r="AK262">
        <f t="shared" si="57"/>
        <v>0</v>
      </c>
      <c r="AL262">
        <f t="shared" si="57"/>
        <v>0</v>
      </c>
      <c r="AM262">
        <f t="shared" si="57"/>
        <v>0</v>
      </c>
      <c r="AN262">
        <f t="shared" si="57"/>
        <v>0</v>
      </c>
      <c r="AO262">
        <f t="shared" si="57"/>
        <v>0</v>
      </c>
      <c r="AP262">
        <f t="shared" si="57"/>
        <v>0</v>
      </c>
      <c r="AQ262">
        <f t="shared" si="57"/>
        <v>0</v>
      </c>
      <c r="AR262">
        <f t="shared" si="57"/>
        <v>0</v>
      </c>
    </row>
    <row r="263" spans="5:44" x14ac:dyDescent="0.2">
      <c r="E263" s="1">
        <f>moment_rate!$AC263</f>
        <v>7.4493433161470389E-3</v>
      </c>
      <c r="F263" s="1">
        <f t="shared" si="47"/>
        <v>0</v>
      </c>
      <c r="G263">
        <f>moment_rate!I263-0.005</f>
        <v>2.5599999999999894</v>
      </c>
      <c r="H263" s="1">
        <f t="shared" si="48"/>
        <v>0</v>
      </c>
      <c r="I263">
        <f t="shared" si="58"/>
        <v>0</v>
      </c>
      <c r="J263">
        <f t="shared" si="58"/>
        <v>0</v>
      </c>
      <c r="K263">
        <f t="shared" si="58"/>
        <v>0</v>
      </c>
      <c r="L263">
        <f t="shared" si="58"/>
        <v>0</v>
      </c>
      <c r="M263">
        <f t="shared" si="58"/>
        <v>0</v>
      </c>
      <c r="N263">
        <f t="shared" si="58"/>
        <v>0</v>
      </c>
      <c r="O263">
        <f t="shared" si="58"/>
        <v>0</v>
      </c>
      <c r="P263">
        <f t="shared" si="58"/>
        <v>0</v>
      </c>
      <c r="Q263">
        <f t="shared" si="58"/>
        <v>0</v>
      </c>
      <c r="R263">
        <f t="shared" si="58"/>
        <v>0</v>
      </c>
      <c r="S263">
        <f t="shared" si="58"/>
        <v>0</v>
      </c>
      <c r="T263">
        <f t="shared" si="58"/>
        <v>0</v>
      </c>
      <c r="U263">
        <f t="shared" si="58"/>
        <v>0</v>
      </c>
      <c r="V263">
        <f t="shared" si="58"/>
        <v>0</v>
      </c>
      <c r="W263">
        <f t="shared" si="58"/>
        <v>0</v>
      </c>
      <c r="X263">
        <f t="shared" si="58"/>
        <v>0</v>
      </c>
      <c r="Y263">
        <f t="shared" si="57"/>
        <v>0</v>
      </c>
      <c r="Z263">
        <f t="shared" si="57"/>
        <v>0</v>
      </c>
      <c r="AA263">
        <f t="shared" si="57"/>
        <v>0</v>
      </c>
      <c r="AB263">
        <f t="shared" si="57"/>
        <v>0</v>
      </c>
      <c r="AC263">
        <f t="shared" si="57"/>
        <v>0</v>
      </c>
      <c r="AD263">
        <f t="shared" si="57"/>
        <v>0</v>
      </c>
      <c r="AE263">
        <f t="shared" si="57"/>
        <v>0</v>
      </c>
      <c r="AF263">
        <f t="shared" si="57"/>
        <v>0</v>
      </c>
      <c r="AG263">
        <f t="shared" si="57"/>
        <v>0</v>
      </c>
      <c r="AH263">
        <f t="shared" si="57"/>
        <v>0</v>
      </c>
      <c r="AI263">
        <f t="shared" si="57"/>
        <v>0</v>
      </c>
      <c r="AJ263">
        <f t="shared" si="57"/>
        <v>0</v>
      </c>
      <c r="AK263">
        <f t="shared" si="57"/>
        <v>0</v>
      </c>
      <c r="AL263">
        <f t="shared" si="57"/>
        <v>0</v>
      </c>
      <c r="AM263">
        <f t="shared" si="57"/>
        <v>0</v>
      </c>
      <c r="AN263">
        <f t="shared" si="57"/>
        <v>0</v>
      </c>
      <c r="AO263">
        <f t="shared" si="57"/>
        <v>0</v>
      </c>
      <c r="AP263">
        <f t="shared" si="57"/>
        <v>0</v>
      </c>
      <c r="AQ263">
        <f t="shared" si="57"/>
        <v>0</v>
      </c>
      <c r="AR263">
        <f t="shared" si="57"/>
        <v>0</v>
      </c>
    </row>
    <row r="264" spans="5:44" x14ac:dyDescent="0.2">
      <c r="E264" s="1">
        <f>moment_rate!$AC264</f>
        <v>7.4493433161470389E-3</v>
      </c>
      <c r="F264" s="1">
        <f t="shared" ref="F264:F327" si="59">E264-E265</f>
        <v>0</v>
      </c>
      <c r="G264">
        <f>moment_rate!I264-0.005</f>
        <v>2.5699999999999892</v>
      </c>
      <c r="H264" s="1">
        <f t="shared" ref="H264:H327" si="60">IF($G264&gt;=4.999,(E264-E265),0)</f>
        <v>0</v>
      </c>
      <c r="I264">
        <f t="shared" si="58"/>
        <v>0</v>
      </c>
      <c r="J264">
        <f t="shared" si="58"/>
        <v>0</v>
      </c>
      <c r="K264">
        <f t="shared" si="58"/>
        <v>0</v>
      </c>
      <c r="L264">
        <f t="shared" si="58"/>
        <v>0</v>
      </c>
      <c r="M264">
        <f t="shared" si="58"/>
        <v>0</v>
      </c>
      <c r="N264">
        <f t="shared" si="58"/>
        <v>0</v>
      </c>
      <c r="O264">
        <f t="shared" si="58"/>
        <v>0</v>
      </c>
      <c r="P264">
        <f t="shared" si="58"/>
        <v>0</v>
      </c>
      <c r="Q264">
        <f t="shared" si="58"/>
        <v>0</v>
      </c>
      <c r="R264">
        <f t="shared" si="58"/>
        <v>0</v>
      </c>
      <c r="S264">
        <f t="shared" si="58"/>
        <v>0</v>
      </c>
      <c r="T264">
        <f t="shared" si="58"/>
        <v>0</v>
      </c>
      <c r="U264">
        <f t="shared" si="58"/>
        <v>0</v>
      </c>
      <c r="V264">
        <f t="shared" si="58"/>
        <v>0</v>
      </c>
      <c r="W264">
        <f t="shared" si="58"/>
        <v>0</v>
      </c>
      <c r="X264">
        <f t="shared" si="58"/>
        <v>0</v>
      </c>
      <c r="Y264">
        <f t="shared" si="57"/>
        <v>0</v>
      </c>
      <c r="Z264">
        <f t="shared" si="57"/>
        <v>0</v>
      </c>
      <c r="AA264">
        <f t="shared" si="57"/>
        <v>0</v>
      </c>
      <c r="AB264">
        <f t="shared" si="57"/>
        <v>0</v>
      </c>
      <c r="AC264">
        <f t="shared" si="57"/>
        <v>0</v>
      </c>
      <c r="AD264">
        <f t="shared" si="57"/>
        <v>0</v>
      </c>
      <c r="AE264">
        <f t="shared" si="57"/>
        <v>0</v>
      </c>
      <c r="AF264">
        <f t="shared" si="57"/>
        <v>0</v>
      </c>
      <c r="AG264">
        <f t="shared" si="57"/>
        <v>0</v>
      </c>
      <c r="AH264">
        <f t="shared" si="57"/>
        <v>0</v>
      </c>
      <c r="AI264">
        <f t="shared" si="57"/>
        <v>0</v>
      </c>
      <c r="AJ264">
        <f t="shared" si="57"/>
        <v>0</v>
      </c>
      <c r="AK264">
        <f t="shared" si="57"/>
        <v>0</v>
      </c>
      <c r="AL264">
        <f t="shared" si="57"/>
        <v>0</v>
      </c>
      <c r="AM264">
        <f t="shared" si="57"/>
        <v>0</v>
      </c>
      <c r="AN264">
        <f t="shared" si="57"/>
        <v>0</v>
      </c>
      <c r="AO264">
        <f t="shared" si="57"/>
        <v>0</v>
      </c>
      <c r="AP264">
        <f t="shared" si="57"/>
        <v>0</v>
      </c>
      <c r="AQ264">
        <f t="shared" si="57"/>
        <v>0</v>
      </c>
      <c r="AR264">
        <f t="shared" si="57"/>
        <v>0</v>
      </c>
    </row>
    <row r="265" spans="5:44" x14ac:dyDescent="0.2">
      <c r="E265" s="1">
        <f>moment_rate!$AC265</f>
        <v>7.4493433161470389E-3</v>
      </c>
      <c r="F265" s="1">
        <f t="shared" si="59"/>
        <v>0</v>
      </c>
      <c r="G265">
        <f>moment_rate!I265-0.005</f>
        <v>2.579999999999989</v>
      </c>
      <c r="H265" s="1">
        <f t="shared" si="60"/>
        <v>0</v>
      </c>
      <c r="I265">
        <f t="shared" si="58"/>
        <v>0</v>
      </c>
      <c r="J265">
        <f t="shared" si="58"/>
        <v>0</v>
      </c>
      <c r="K265">
        <f t="shared" si="58"/>
        <v>0</v>
      </c>
      <c r="L265">
        <f t="shared" si="58"/>
        <v>0</v>
      </c>
      <c r="M265">
        <f t="shared" si="58"/>
        <v>0</v>
      </c>
      <c r="N265">
        <f t="shared" si="58"/>
        <v>0</v>
      </c>
      <c r="O265">
        <f t="shared" si="58"/>
        <v>0</v>
      </c>
      <c r="P265">
        <f t="shared" si="58"/>
        <v>0</v>
      </c>
      <c r="Q265">
        <f t="shared" si="58"/>
        <v>0</v>
      </c>
      <c r="R265">
        <f t="shared" si="58"/>
        <v>0</v>
      </c>
      <c r="S265">
        <f t="shared" si="58"/>
        <v>0</v>
      </c>
      <c r="T265">
        <f t="shared" si="58"/>
        <v>0</v>
      </c>
      <c r="U265">
        <f t="shared" si="58"/>
        <v>0</v>
      </c>
      <c r="V265">
        <f t="shared" si="58"/>
        <v>0</v>
      </c>
      <c r="W265">
        <f t="shared" si="58"/>
        <v>0</v>
      </c>
      <c r="X265">
        <f t="shared" si="58"/>
        <v>0</v>
      </c>
      <c r="Y265">
        <f t="shared" si="57"/>
        <v>0</v>
      </c>
      <c r="Z265">
        <f t="shared" si="57"/>
        <v>0</v>
      </c>
      <c r="AA265">
        <f t="shared" si="57"/>
        <v>0</v>
      </c>
      <c r="AB265">
        <f t="shared" si="57"/>
        <v>0</v>
      </c>
      <c r="AC265">
        <f t="shared" si="57"/>
        <v>0</v>
      </c>
      <c r="AD265">
        <f t="shared" si="57"/>
        <v>0</v>
      </c>
      <c r="AE265">
        <f t="shared" si="57"/>
        <v>0</v>
      </c>
      <c r="AF265">
        <f t="shared" si="57"/>
        <v>0</v>
      </c>
      <c r="AG265">
        <f t="shared" si="57"/>
        <v>0</v>
      </c>
      <c r="AH265">
        <f t="shared" si="57"/>
        <v>0</v>
      </c>
      <c r="AI265">
        <f t="shared" si="57"/>
        <v>0</v>
      </c>
      <c r="AJ265">
        <f t="shared" si="57"/>
        <v>0</v>
      </c>
      <c r="AK265">
        <f t="shared" si="57"/>
        <v>0</v>
      </c>
      <c r="AL265">
        <f t="shared" si="57"/>
        <v>0</v>
      </c>
      <c r="AM265">
        <f t="shared" si="57"/>
        <v>0</v>
      </c>
      <c r="AN265">
        <f t="shared" si="57"/>
        <v>0</v>
      </c>
      <c r="AO265">
        <f t="shared" si="57"/>
        <v>0</v>
      </c>
      <c r="AP265">
        <f t="shared" si="57"/>
        <v>0</v>
      </c>
      <c r="AQ265">
        <f t="shared" si="57"/>
        <v>0</v>
      </c>
      <c r="AR265">
        <f t="shared" si="57"/>
        <v>0</v>
      </c>
    </row>
    <row r="266" spans="5:44" x14ac:dyDescent="0.2">
      <c r="E266" s="1">
        <f>moment_rate!$AC266</f>
        <v>7.4493433161470389E-3</v>
      </c>
      <c r="F266" s="1">
        <f t="shared" si="59"/>
        <v>0</v>
      </c>
      <c r="G266">
        <f>moment_rate!I266-0.005</f>
        <v>2.5899999999999888</v>
      </c>
      <c r="H266" s="1">
        <f t="shared" si="60"/>
        <v>0</v>
      </c>
      <c r="I266">
        <f t="shared" si="58"/>
        <v>0</v>
      </c>
      <c r="J266">
        <f t="shared" si="58"/>
        <v>0</v>
      </c>
      <c r="K266">
        <f t="shared" si="58"/>
        <v>0</v>
      </c>
      <c r="L266">
        <f t="shared" si="58"/>
        <v>0</v>
      </c>
      <c r="M266">
        <f t="shared" si="58"/>
        <v>0</v>
      </c>
      <c r="N266">
        <f t="shared" si="58"/>
        <v>0</v>
      </c>
      <c r="O266">
        <f t="shared" si="58"/>
        <v>0</v>
      </c>
      <c r="P266">
        <f t="shared" si="58"/>
        <v>0</v>
      </c>
      <c r="Q266">
        <f t="shared" si="58"/>
        <v>0</v>
      </c>
      <c r="R266">
        <f t="shared" si="58"/>
        <v>0</v>
      </c>
      <c r="S266">
        <f t="shared" si="58"/>
        <v>0</v>
      </c>
      <c r="T266">
        <f t="shared" si="58"/>
        <v>0</v>
      </c>
      <c r="U266">
        <f t="shared" si="58"/>
        <v>0</v>
      </c>
      <c r="V266">
        <f t="shared" si="58"/>
        <v>0</v>
      </c>
      <c r="W266">
        <f t="shared" si="58"/>
        <v>0</v>
      </c>
      <c r="X266">
        <f t="shared" si="58"/>
        <v>0</v>
      </c>
      <c r="Y266">
        <f t="shared" si="57"/>
        <v>0</v>
      </c>
      <c r="Z266">
        <f t="shared" si="57"/>
        <v>0</v>
      </c>
      <c r="AA266">
        <f t="shared" si="57"/>
        <v>0</v>
      </c>
      <c r="AB266">
        <f t="shared" si="57"/>
        <v>0</v>
      </c>
      <c r="AC266">
        <f t="shared" si="57"/>
        <v>0</v>
      </c>
      <c r="AD266">
        <f t="shared" si="57"/>
        <v>0</v>
      </c>
      <c r="AE266">
        <f t="shared" si="57"/>
        <v>0</v>
      </c>
      <c r="AF266">
        <f t="shared" si="57"/>
        <v>0</v>
      </c>
      <c r="AG266">
        <f t="shared" si="57"/>
        <v>0</v>
      </c>
      <c r="AH266">
        <f t="shared" si="57"/>
        <v>0</v>
      </c>
      <c r="AI266">
        <f t="shared" si="57"/>
        <v>0</v>
      </c>
      <c r="AJ266">
        <f t="shared" si="57"/>
        <v>0</v>
      </c>
      <c r="AK266">
        <f t="shared" si="57"/>
        <v>0</v>
      </c>
      <c r="AL266">
        <f t="shared" si="57"/>
        <v>0</v>
      </c>
      <c r="AM266">
        <f t="shared" ref="AI266:AR301" si="61">IF(AND($G266&gt;=AM$3,$G266&lt;AM$4),$F266,0)</f>
        <v>0</v>
      </c>
      <c r="AN266">
        <f t="shared" si="61"/>
        <v>0</v>
      </c>
      <c r="AO266">
        <f t="shared" si="61"/>
        <v>0</v>
      </c>
      <c r="AP266">
        <f t="shared" si="61"/>
        <v>0</v>
      </c>
      <c r="AQ266">
        <f t="shared" si="61"/>
        <v>0</v>
      </c>
      <c r="AR266">
        <f t="shared" si="61"/>
        <v>0</v>
      </c>
    </row>
    <row r="267" spans="5:44" x14ac:dyDescent="0.2">
      <c r="E267" s="1">
        <f>moment_rate!$AC267</f>
        <v>7.4493433161470389E-3</v>
      </c>
      <c r="F267" s="1">
        <f t="shared" si="59"/>
        <v>0</v>
      </c>
      <c r="G267">
        <f>moment_rate!I267-0.005</f>
        <v>2.5999999999999885</v>
      </c>
      <c r="H267" s="1">
        <f t="shared" si="60"/>
        <v>0</v>
      </c>
      <c r="I267">
        <f t="shared" si="58"/>
        <v>0</v>
      </c>
      <c r="J267">
        <f t="shared" si="58"/>
        <v>0</v>
      </c>
      <c r="K267">
        <f t="shared" si="58"/>
        <v>0</v>
      </c>
      <c r="L267">
        <f t="shared" si="58"/>
        <v>0</v>
      </c>
      <c r="M267">
        <f t="shared" si="58"/>
        <v>0</v>
      </c>
      <c r="N267">
        <f t="shared" si="58"/>
        <v>0</v>
      </c>
      <c r="O267">
        <f t="shared" si="58"/>
        <v>0</v>
      </c>
      <c r="P267">
        <f t="shared" si="58"/>
        <v>0</v>
      </c>
      <c r="Q267">
        <f t="shared" si="58"/>
        <v>0</v>
      </c>
      <c r="R267">
        <f t="shared" si="58"/>
        <v>0</v>
      </c>
      <c r="S267">
        <f t="shared" si="58"/>
        <v>0</v>
      </c>
      <c r="T267">
        <f t="shared" si="58"/>
        <v>0</v>
      </c>
      <c r="U267">
        <f t="shared" si="58"/>
        <v>0</v>
      </c>
      <c r="V267">
        <f t="shared" si="58"/>
        <v>0</v>
      </c>
      <c r="W267">
        <f t="shared" si="58"/>
        <v>0</v>
      </c>
      <c r="X267">
        <f t="shared" si="58"/>
        <v>0</v>
      </c>
      <c r="Y267">
        <f t="shared" ref="Y267:AH275" si="62">IF(AND($G267&gt;=Y$3,$G267&lt;Y$4),$F267,0)</f>
        <v>0</v>
      </c>
      <c r="Z267">
        <f t="shared" si="62"/>
        <v>0</v>
      </c>
      <c r="AA267">
        <f t="shared" si="62"/>
        <v>0</v>
      </c>
      <c r="AB267">
        <f t="shared" si="62"/>
        <v>0</v>
      </c>
      <c r="AC267">
        <f t="shared" si="62"/>
        <v>0</v>
      </c>
      <c r="AD267">
        <f t="shared" si="62"/>
        <v>0</v>
      </c>
      <c r="AE267">
        <f t="shared" si="62"/>
        <v>0</v>
      </c>
      <c r="AF267">
        <f t="shared" si="62"/>
        <v>0</v>
      </c>
      <c r="AG267">
        <f t="shared" si="62"/>
        <v>0</v>
      </c>
      <c r="AH267">
        <f t="shared" si="62"/>
        <v>0</v>
      </c>
      <c r="AI267">
        <f t="shared" si="61"/>
        <v>0</v>
      </c>
      <c r="AJ267">
        <f t="shared" si="61"/>
        <v>0</v>
      </c>
      <c r="AK267">
        <f t="shared" si="61"/>
        <v>0</v>
      </c>
      <c r="AL267">
        <f t="shared" si="61"/>
        <v>0</v>
      </c>
      <c r="AM267">
        <f t="shared" si="61"/>
        <v>0</v>
      </c>
      <c r="AN267">
        <f t="shared" si="61"/>
        <v>0</v>
      </c>
      <c r="AO267">
        <f t="shared" si="61"/>
        <v>0</v>
      </c>
      <c r="AP267">
        <f t="shared" si="61"/>
        <v>0</v>
      </c>
      <c r="AQ267">
        <f t="shared" si="61"/>
        <v>0</v>
      </c>
      <c r="AR267">
        <f t="shared" si="61"/>
        <v>0</v>
      </c>
    </row>
    <row r="268" spans="5:44" x14ac:dyDescent="0.2">
      <c r="E268" s="1">
        <f>moment_rate!$AC268</f>
        <v>7.4493433161470389E-3</v>
      </c>
      <c r="F268" s="1">
        <f t="shared" si="59"/>
        <v>0</v>
      </c>
      <c r="G268">
        <f>moment_rate!I268-0.005</f>
        <v>2.6099999999999883</v>
      </c>
      <c r="H268" s="1">
        <f t="shared" si="60"/>
        <v>0</v>
      </c>
      <c r="I268">
        <f t="shared" si="58"/>
        <v>0</v>
      </c>
      <c r="J268">
        <f t="shared" si="58"/>
        <v>0</v>
      </c>
      <c r="K268">
        <f t="shared" si="58"/>
        <v>0</v>
      </c>
      <c r="L268">
        <f t="shared" si="58"/>
        <v>0</v>
      </c>
      <c r="M268">
        <f t="shared" si="58"/>
        <v>0</v>
      </c>
      <c r="N268">
        <f t="shared" si="58"/>
        <v>0</v>
      </c>
      <c r="O268">
        <f t="shared" si="58"/>
        <v>0</v>
      </c>
      <c r="P268">
        <f t="shared" si="58"/>
        <v>0</v>
      </c>
      <c r="Q268">
        <f t="shared" si="58"/>
        <v>0</v>
      </c>
      <c r="R268">
        <f t="shared" si="58"/>
        <v>0</v>
      </c>
      <c r="S268">
        <f t="shared" si="58"/>
        <v>0</v>
      </c>
      <c r="T268">
        <f t="shared" si="58"/>
        <v>0</v>
      </c>
      <c r="U268">
        <f t="shared" si="58"/>
        <v>0</v>
      </c>
      <c r="V268">
        <f t="shared" si="58"/>
        <v>0</v>
      </c>
      <c r="W268">
        <f t="shared" si="58"/>
        <v>0</v>
      </c>
      <c r="X268">
        <f t="shared" si="58"/>
        <v>0</v>
      </c>
      <c r="Y268">
        <f t="shared" si="62"/>
        <v>0</v>
      </c>
      <c r="Z268">
        <f t="shared" si="62"/>
        <v>0</v>
      </c>
      <c r="AA268">
        <f t="shared" si="62"/>
        <v>0</v>
      </c>
      <c r="AB268">
        <f t="shared" si="62"/>
        <v>0</v>
      </c>
      <c r="AC268">
        <f t="shared" si="62"/>
        <v>0</v>
      </c>
      <c r="AD268">
        <f t="shared" si="62"/>
        <v>0</v>
      </c>
      <c r="AE268">
        <f t="shared" si="62"/>
        <v>0</v>
      </c>
      <c r="AF268">
        <f t="shared" si="62"/>
        <v>0</v>
      </c>
      <c r="AG268">
        <f t="shared" si="62"/>
        <v>0</v>
      </c>
      <c r="AH268">
        <f t="shared" si="62"/>
        <v>0</v>
      </c>
      <c r="AI268">
        <f t="shared" si="61"/>
        <v>0</v>
      </c>
      <c r="AJ268">
        <f t="shared" si="61"/>
        <v>0</v>
      </c>
      <c r="AK268">
        <f t="shared" si="61"/>
        <v>0</v>
      </c>
      <c r="AL268">
        <f t="shared" si="61"/>
        <v>0</v>
      </c>
      <c r="AM268">
        <f t="shared" si="61"/>
        <v>0</v>
      </c>
      <c r="AN268">
        <f t="shared" si="61"/>
        <v>0</v>
      </c>
      <c r="AO268">
        <f t="shared" si="61"/>
        <v>0</v>
      </c>
      <c r="AP268">
        <f t="shared" si="61"/>
        <v>0</v>
      </c>
      <c r="AQ268">
        <f t="shared" si="61"/>
        <v>0</v>
      </c>
      <c r="AR268">
        <f t="shared" si="61"/>
        <v>0</v>
      </c>
    </row>
    <row r="269" spans="5:44" x14ac:dyDescent="0.2">
      <c r="E269" s="1">
        <f>moment_rate!$AC269</f>
        <v>7.4493433161470389E-3</v>
      </c>
      <c r="F269" s="1">
        <f t="shared" si="59"/>
        <v>0</v>
      </c>
      <c r="G269">
        <f>moment_rate!I269-0.005</f>
        <v>2.6199999999999881</v>
      </c>
      <c r="H269" s="1">
        <f t="shared" si="60"/>
        <v>0</v>
      </c>
      <c r="I269">
        <f t="shared" si="58"/>
        <v>0</v>
      </c>
      <c r="J269">
        <f t="shared" si="58"/>
        <v>0</v>
      </c>
      <c r="K269">
        <f t="shared" si="58"/>
        <v>0</v>
      </c>
      <c r="L269">
        <f t="shared" si="58"/>
        <v>0</v>
      </c>
      <c r="M269">
        <f t="shared" si="58"/>
        <v>0</v>
      </c>
      <c r="N269">
        <f t="shared" si="58"/>
        <v>0</v>
      </c>
      <c r="O269">
        <f t="shared" si="58"/>
        <v>0</v>
      </c>
      <c r="P269">
        <f t="shared" si="58"/>
        <v>0</v>
      </c>
      <c r="Q269">
        <f t="shared" si="58"/>
        <v>0</v>
      </c>
      <c r="R269">
        <f t="shared" si="58"/>
        <v>0</v>
      </c>
      <c r="S269">
        <f t="shared" si="58"/>
        <v>0</v>
      </c>
      <c r="T269">
        <f t="shared" si="58"/>
        <v>0</v>
      </c>
      <c r="U269">
        <f t="shared" si="58"/>
        <v>0</v>
      </c>
      <c r="V269">
        <f t="shared" si="58"/>
        <v>0</v>
      </c>
      <c r="W269">
        <f t="shared" si="58"/>
        <v>0</v>
      </c>
      <c r="X269">
        <f t="shared" si="58"/>
        <v>0</v>
      </c>
      <c r="Y269">
        <f t="shared" si="62"/>
        <v>0</v>
      </c>
      <c r="Z269">
        <f t="shared" si="62"/>
        <v>0</v>
      </c>
      <c r="AA269">
        <f t="shared" si="62"/>
        <v>0</v>
      </c>
      <c r="AB269">
        <f t="shared" si="62"/>
        <v>0</v>
      </c>
      <c r="AC269">
        <f t="shared" si="62"/>
        <v>0</v>
      </c>
      <c r="AD269">
        <f t="shared" si="62"/>
        <v>0</v>
      </c>
      <c r="AE269">
        <f t="shared" si="62"/>
        <v>0</v>
      </c>
      <c r="AF269">
        <f t="shared" si="62"/>
        <v>0</v>
      </c>
      <c r="AG269">
        <f t="shared" si="62"/>
        <v>0</v>
      </c>
      <c r="AH269">
        <f t="shared" si="62"/>
        <v>0</v>
      </c>
      <c r="AI269">
        <f t="shared" si="61"/>
        <v>0</v>
      </c>
      <c r="AJ269">
        <f t="shared" si="61"/>
        <v>0</v>
      </c>
      <c r="AK269">
        <f t="shared" si="61"/>
        <v>0</v>
      </c>
      <c r="AL269">
        <f t="shared" si="61"/>
        <v>0</v>
      </c>
      <c r="AM269">
        <f t="shared" si="61"/>
        <v>0</v>
      </c>
      <c r="AN269">
        <f t="shared" si="61"/>
        <v>0</v>
      </c>
      <c r="AO269">
        <f t="shared" si="61"/>
        <v>0</v>
      </c>
      <c r="AP269">
        <f t="shared" si="61"/>
        <v>0</v>
      </c>
      <c r="AQ269">
        <f t="shared" si="61"/>
        <v>0</v>
      </c>
      <c r="AR269">
        <f t="shared" si="61"/>
        <v>0</v>
      </c>
    </row>
    <row r="270" spans="5:44" x14ac:dyDescent="0.2">
      <c r="E270" s="1">
        <f>moment_rate!$AC270</f>
        <v>7.4493433161470389E-3</v>
      </c>
      <c r="F270" s="1">
        <f t="shared" si="59"/>
        <v>0</v>
      </c>
      <c r="G270">
        <f>moment_rate!I270-0.005</f>
        <v>2.6299999999999879</v>
      </c>
      <c r="H270" s="1">
        <f t="shared" si="60"/>
        <v>0</v>
      </c>
      <c r="I270">
        <f t="shared" si="58"/>
        <v>0</v>
      </c>
      <c r="J270">
        <f t="shared" si="58"/>
        <v>0</v>
      </c>
      <c r="K270">
        <f t="shared" si="58"/>
        <v>0</v>
      </c>
      <c r="L270">
        <f t="shared" si="58"/>
        <v>0</v>
      </c>
      <c r="M270">
        <f t="shared" si="58"/>
        <v>0</v>
      </c>
      <c r="N270">
        <f t="shared" si="58"/>
        <v>0</v>
      </c>
      <c r="O270">
        <f t="shared" si="58"/>
        <v>0</v>
      </c>
      <c r="P270">
        <f t="shared" si="58"/>
        <v>0</v>
      </c>
      <c r="Q270">
        <f t="shared" si="58"/>
        <v>0</v>
      </c>
      <c r="R270">
        <f t="shared" si="58"/>
        <v>0</v>
      </c>
      <c r="S270">
        <f t="shared" si="58"/>
        <v>0</v>
      </c>
      <c r="T270">
        <f t="shared" si="58"/>
        <v>0</v>
      </c>
      <c r="U270">
        <f t="shared" si="58"/>
        <v>0</v>
      </c>
      <c r="V270">
        <f t="shared" si="58"/>
        <v>0</v>
      </c>
      <c r="W270">
        <f t="shared" si="58"/>
        <v>0</v>
      </c>
      <c r="X270">
        <f t="shared" ref="X270:AM285" si="63">IF(AND($G270&gt;=X$3,$G270&lt;X$4),$F270,0)</f>
        <v>0</v>
      </c>
      <c r="Y270">
        <f t="shared" si="63"/>
        <v>0</v>
      </c>
      <c r="Z270">
        <f t="shared" si="62"/>
        <v>0</v>
      </c>
      <c r="AA270">
        <f t="shared" si="62"/>
        <v>0</v>
      </c>
      <c r="AB270">
        <f t="shared" si="62"/>
        <v>0</v>
      </c>
      <c r="AC270">
        <f t="shared" si="62"/>
        <v>0</v>
      </c>
      <c r="AD270">
        <f t="shared" si="62"/>
        <v>0</v>
      </c>
      <c r="AE270">
        <f t="shared" si="62"/>
        <v>0</v>
      </c>
      <c r="AF270">
        <f t="shared" si="62"/>
        <v>0</v>
      </c>
      <c r="AG270">
        <f t="shared" si="62"/>
        <v>0</v>
      </c>
      <c r="AH270">
        <f t="shared" si="62"/>
        <v>0</v>
      </c>
      <c r="AI270">
        <f t="shared" si="61"/>
        <v>0</v>
      </c>
      <c r="AJ270">
        <f t="shared" si="61"/>
        <v>0</v>
      </c>
      <c r="AK270">
        <f t="shared" si="61"/>
        <v>0</v>
      </c>
      <c r="AL270">
        <f t="shared" si="61"/>
        <v>0</v>
      </c>
      <c r="AM270">
        <f t="shared" si="61"/>
        <v>0</v>
      </c>
      <c r="AN270">
        <f t="shared" si="61"/>
        <v>0</v>
      </c>
      <c r="AO270">
        <f t="shared" si="61"/>
        <v>0</v>
      </c>
      <c r="AP270">
        <f t="shared" si="61"/>
        <v>0</v>
      </c>
      <c r="AQ270">
        <f t="shared" si="61"/>
        <v>0</v>
      </c>
      <c r="AR270">
        <f t="shared" si="61"/>
        <v>0</v>
      </c>
    </row>
    <row r="271" spans="5:44" x14ac:dyDescent="0.2">
      <c r="E271" s="1">
        <f>moment_rate!$AC271</f>
        <v>7.4493433161470389E-3</v>
      </c>
      <c r="F271" s="1">
        <f t="shared" si="59"/>
        <v>0</v>
      </c>
      <c r="G271">
        <f>moment_rate!I271-0.005</f>
        <v>2.6399999999999877</v>
      </c>
      <c r="H271" s="1">
        <f t="shared" si="60"/>
        <v>0</v>
      </c>
      <c r="I271">
        <f t="shared" ref="I271:X286" si="64">IF(AND($G271&gt;=I$3,$G271&lt;I$4),$F271,0)</f>
        <v>0</v>
      </c>
      <c r="J271">
        <f t="shared" si="64"/>
        <v>0</v>
      </c>
      <c r="K271">
        <f t="shared" si="64"/>
        <v>0</v>
      </c>
      <c r="L271">
        <f t="shared" si="64"/>
        <v>0</v>
      </c>
      <c r="M271">
        <f t="shared" si="64"/>
        <v>0</v>
      </c>
      <c r="N271">
        <f t="shared" si="64"/>
        <v>0</v>
      </c>
      <c r="O271">
        <f t="shared" si="64"/>
        <v>0</v>
      </c>
      <c r="P271">
        <f t="shared" si="64"/>
        <v>0</v>
      </c>
      <c r="Q271">
        <f t="shared" si="64"/>
        <v>0</v>
      </c>
      <c r="R271">
        <f t="shared" si="64"/>
        <v>0</v>
      </c>
      <c r="S271">
        <f t="shared" si="64"/>
        <v>0</v>
      </c>
      <c r="T271">
        <f t="shared" si="64"/>
        <v>0</v>
      </c>
      <c r="U271">
        <f t="shared" si="64"/>
        <v>0</v>
      </c>
      <c r="V271">
        <f t="shared" si="64"/>
        <v>0</v>
      </c>
      <c r="W271">
        <f t="shared" si="64"/>
        <v>0</v>
      </c>
      <c r="X271">
        <f t="shared" si="64"/>
        <v>0</v>
      </c>
      <c r="Y271">
        <f t="shared" si="63"/>
        <v>0</v>
      </c>
      <c r="Z271">
        <f t="shared" si="62"/>
        <v>0</v>
      </c>
      <c r="AA271">
        <f t="shared" si="62"/>
        <v>0</v>
      </c>
      <c r="AB271">
        <f t="shared" si="62"/>
        <v>0</v>
      </c>
      <c r="AC271">
        <f t="shared" si="62"/>
        <v>0</v>
      </c>
      <c r="AD271">
        <f t="shared" si="62"/>
        <v>0</v>
      </c>
      <c r="AE271">
        <f t="shared" si="62"/>
        <v>0</v>
      </c>
      <c r="AF271">
        <f t="shared" si="62"/>
        <v>0</v>
      </c>
      <c r="AG271">
        <f t="shared" si="62"/>
        <v>0</v>
      </c>
      <c r="AH271">
        <f t="shared" si="62"/>
        <v>0</v>
      </c>
      <c r="AI271">
        <f t="shared" si="61"/>
        <v>0</v>
      </c>
      <c r="AJ271">
        <f t="shared" si="61"/>
        <v>0</v>
      </c>
      <c r="AK271">
        <f t="shared" si="61"/>
        <v>0</v>
      </c>
      <c r="AL271">
        <f t="shared" si="61"/>
        <v>0</v>
      </c>
      <c r="AM271">
        <f t="shared" si="61"/>
        <v>0</v>
      </c>
      <c r="AN271">
        <f t="shared" si="61"/>
        <v>0</v>
      </c>
      <c r="AO271">
        <f t="shared" si="61"/>
        <v>0</v>
      </c>
      <c r="AP271">
        <f t="shared" si="61"/>
        <v>0</v>
      </c>
      <c r="AQ271">
        <f t="shared" si="61"/>
        <v>0</v>
      </c>
      <c r="AR271">
        <f t="shared" si="61"/>
        <v>0</v>
      </c>
    </row>
    <row r="272" spans="5:44" x14ac:dyDescent="0.2">
      <c r="E272" s="1">
        <f>moment_rate!$AC272</f>
        <v>7.4493433161470389E-3</v>
      </c>
      <c r="F272" s="1">
        <f t="shared" si="59"/>
        <v>0</v>
      </c>
      <c r="G272">
        <f>moment_rate!I272-0.005</f>
        <v>2.6499999999999875</v>
      </c>
      <c r="H272" s="1">
        <f t="shared" si="60"/>
        <v>0</v>
      </c>
      <c r="I272">
        <f t="shared" si="64"/>
        <v>0</v>
      </c>
      <c r="J272">
        <f t="shared" si="64"/>
        <v>0</v>
      </c>
      <c r="K272">
        <f t="shared" si="64"/>
        <v>0</v>
      </c>
      <c r="L272">
        <f t="shared" si="64"/>
        <v>0</v>
      </c>
      <c r="M272">
        <f t="shared" si="64"/>
        <v>0</v>
      </c>
      <c r="N272">
        <f t="shared" si="64"/>
        <v>0</v>
      </c>
      <c r="O272">
        <f t="shared" si="64"/>
        <v>0</v>
      </c>
      <c r="P272">
        <f t="shared" si="64"/>
        <v>0</v>
      </c>
      <c r="Q272">
        <f t="shared" si="64"/>
        <v>0</v>
      </c>
      <c r="R272">
        <f t="shared" si="64"/>
        <v>0</v>
      </c>
      <c r="S272">
        <f t="shared" si="64"/>
        <v>0</v>
      </c>
      <c r="T272">
        <f t="shared" si="64"/>
        <v>0</v>
      </c>
      <c r="U272">
        <f t="shared" si="64"/>
        <v>0</v>
      </c>
      <c r="V272">
        <f t="shared" si="64"/>
        <v>0</v>
      </c>
      <c r="W272">
        <f t="shared" si="64"/>
        <v>0</v>
      </c>
      <c r="X272">
        <f t="shared" si="64"/>
        <v>0</v>
      </c>
      <c r="Y272">
        <f t="shared" si="63"/>
        <v>0</v>
      </c>
      <c r="Z272">
        <f t="shared" si="62"/>
        <v>0</v>
      </c>
      <c r="AA272">
        <f t="shared" si="62"/>
        <v>0</v>
      </c>
      <c r="AB272">
        <f t="shared" si="62"/>
        <v>0</v>
      </c>
      <c r="AC272">
        <f t="shared" si="62"/>
        <v>0</v>
      </c>
      <c r="AD272">
        <f t="shared" si="62"/>
        <v>0</v>
      </c>
      <c r="AE272">
        <f t="shared" si="62"/>
        <v>0</v>
      </c>
      <c r="AF272">
        <f t="shared" si="62"/>
        <v>0</v>
      </c>
      <c r="AG272">
        <f t="shared" si="62"/>
        <v>0</v>
      </c>
      <c r="AH272">
        <f t="shared" si="62"/>
        <v>0</v>
      </c>
      <c r="AI272">
        <f t="shared" si="61"/>
        <v>0</v>
      </c>
      <c r="AJ272">
        <f t="shared" si="61"/>
        <v>0</v>
      </c>
      <c r="AK272">
        <f t="shared" si="61"/>
        <v>0</v>
      </c>
      <c r="AL272">
        <f t="shared" si="61"/>
        <v>0</v>
      </c>
      <c r="AM272">
        <f t="shared" si="61"/>
        <v>0</v>
      </c>
      <c r="AN272">
        <f t="shared" si="61"/>
        <v>0</v>
      </c>
      <c r="AO272">
        <f t="shared" si="61"/>
        <v>0</v>
      </c>
      <c r="AP272">
        <f t="shared" si="61"/>
        <v>0</v>
      </c>
      <c r="AQ272">
        <f t="shared" si="61"/>
        <v>0</v>
      </c>
      <c r="AR272">
        <f t="shared" si="61"/>
        <v>0</v>
      </c>
    </row>
    <row r="273" spans="5:44" x14ac:dyDescent="0.2">
      <c r="E273" s="1">
        <f>moment_rate!$AC273</f>
        <v>7.4493433161470389E-3</v>
      </c>
      <c r="F273" s="1">
        <f t="shared" si="59"/>
        <v>0</v>
      </c>
      <c r="G273">
        <f>moment_rate!I273-0.005</f>
        <v>2.6599999999999873</v>
      </c>
      <c r="H273" s="1">
        <f t="shared" si="60"/>
        <v>0</v>
      </c>
      <c r="I273">
        <f t="shared" si="64"/>
        <v>0</v>
      </c>
      <c r="J273">
        <f t="shared" si="64"/>
        <v>0</v>
      </c>
      <c r="K273">
        <f t="shared" si="64"/>
        <v>0</v>
      </c>
      <c r="L273">
        <f t="shared" si="64"/>
        <v>0</v>
      </c>
      <c r="M273">
        <f t="shared" si="64"/>
        <v>0</v>
      </c>
      <c r="N273">
        <f t="shared" si="64"/>
        <v>0</v>
      </c>
      <c r="O273">
        <f t="shared" si="64"/>
        <v>0</v>
      </c>
      <c r="P273">
        <f t="shared" si="64"/>
        <v>0</v>
      </c>
      <c r="Q273">
        <f t="shared" si="64"/>
        <v>0</v>
      </c>
      <c r="R273">
        <f t="shared" si="64"/>
        <v>0</v>
      </c>
      <c r="S273">
        <f t="shared" si="64"/>
        <v>0</v>
      </c>
      <c r="T273">
        <f t="shared" si="64"/>
        <v>0</v>
      </c>
      <c r="U273">
        <f t="shared" si="64"/>
        <v>0</v>
      </c>
      <c r="V273">
        <f t="shared" si="64"/>
        <v>0</v>
      </c>
      <c r="W273">
        <f t="shared" si="64"/>
        <v>0</v>
      </c>
      <c r="X273">
        <f t="shared" si="64"/>
        <v>0</v>
      </c>
      <c r="Y273">
        <f t="shared" si="63"/>
        <v>0</v>
      </c>
      <c r="Z273">
        <f t="shared" si="62"/>
        <v>0</v>
      </c>
      <c r="AA273">
        <f t="shared" si="62"/>
        <v>0</v>
      </c>
      <c r="AB273">
        <f t="shared" si="62"/>
        <v>0</v>
      </c>
      <c r="AC273">
        <f t="shared" si="62"/>
        <v>0</v>
      </c>
      <c r="AD273">
        <f t="shared" si="62"/>
        <v>0</v>
      </c>
      <c r="AE273">
        <f t="shared" si="62"/>
        <v>0</v>
      </c>
      <c r="AF273">
        <f t="shared" si="62"/>
        <v>0</v>
      </c>
      <c r="AG273">
        <f t="shared" si="62"/>
        <v>0</v>
      </c>
      <c r="AH273">
        <f t="shared" si="62"/>
        <v>0</v>
      </c>
      <c r="AI273">
        <f t="shared" si="61"/>
        <v>0</v>
      </c>
      <c r="AJ273">
        <f t="shared" si="61"/>
        <v>0</v>
      </c>
      <c r="AK273">
        <f t="shared" si="61"/>
        <v>0</v>
      </c>
      <c r="AL273">
        <f t="shared" si="61"/>
        <v>0</v>
      </c>
      <c r="AM273">
        <f t="shared" si="61"/>
        <v>0</v>
      </c>
      <c r="AN273">
        <f t="shared" si="61"/>
        <v>0</v>
      </c>
      <c r="AO273">
        <f t="shared" si="61"/>
        <v>0</v>
      </c>
      <c r="AP273">
        <f t="shared" si="61"/>
        <v>0</v>
      </c>
      <c r="AQ273">
        <f t="shared" si="61"/>
        <v>0</v>
      </c>
      <c r="AR273">
        <f t="shared" si="61"/>
        <v>0</v>
      </c>
    </row>
    <row r="274" spans="5:44" x14ac:dyDescent="0.2">
      <c r="E274" s="1">
        <f>moment_rate!$AC274</f>
        <v>7.4493433161470389E-3</v>
      </c>
      <c r="F274" s="1">
        <f t="shared" si="59"/>
        <v>0</v>
      </c>
      <c r="G274">
        <f>moment_rate!I274-0.005</f>
        <v>2.6699999999999871</v>
      </c>
      <c r="H274" s="1">
        <f t="shared" si="60"/>
        <v>0</v>
      </c>
      <c r="I274">
        <f t="shared" si="64"/>
        <v>0</v>
      </c>
      <c r="J274">
        <f t="shared" si="64"/>
        <v>0</v>
      </c>
      <c r="K274">
        <f t="shared" si="64"/>
        <v>0</v>
      </c>
      <c r="L274">
        <f t="shared" si="64"/>
        <v>0</v>
      </c>
      <c r="M274">
        <f t="shared" si="64"/>
        <v>0</v>
      </c>
      <c r="N274">
        <f t="shared" si="64"/>
        <v>0</v>
      </c>
      <c r="O274">
        <f t="shared" si="64"/>
        <v>0</v>
      </c>
      <c r="P274">
        <f t="shared" si="64"/>
        <v>0</v>
      </c>
      <c r="Q274">
        <f t="shared" si="64"/>
        <v>0</v>
      </c>
      <c r="R274">
        <f t="shared" si="64"/>
        <v>0</v>
      </c>
      <c r="S274">
        <f t="shared" si="64"/>
        <v>0</v>
      </c>
      <c r="T274">
        <f t="shared" si="64"/>
        <v>0</v>
      </c>
      <c r="U274">
        <f t="shared" si="64"/>
        <v>0</v>
      </c>
      <c r="V274">
        <f t="shared" si="64"/>
        <v>0</v>
      </c>
      <c r="W274">
        <f t="shared" si="64"/>
        <v>0</v>
      </c>
      <c r="X274">
        <f t="shared" si="64"/>
        <v>0</v>
      </c>
      <c r="Y274">
        <f t="shared" si="63"/>
        <v>0</v>
      </c>
      <c r="Z274">
        <f t="shared" si="62"/>
        <v>0</v>
      </c>
      <c r="AA274">
        <f t="shared" si="62"/>
        <v>0</v>
      </c>
      <c r="AB274">
        <f t="shared" si="62"/>
        <v>0</v>
      </c>
      <c r="AC274">
        <f t="shared" si="62"/>
        <v>0</v>
      </c>
      <c r="AD274">
        <f t="shared" si="62"/>
        <v>0</v>
      </c>
      <c r="AE274">
        <f t="shared" si="62"/>
        <v>0</v>
      </c>
      <c r="AF274">
        <f t="shared" si="62"/>
        <v>0</v>
      </c>
      <c r="AG274">
        <f t="shared" si="62"/>
        <v>0</v>
      </c>
      <c r="AH274">
        <f t="shared" si="62"/>
        <v>0</v>
      </c>
      <c r="AI274">
        <f t="shared" si="61"/>
        <v>0</v>
      </c>
      <c r="AJ274">
        <f t="shared" si="61"/>
        <v>0</v>
      </c>
      <c r="AK274">
        <f t="shared" si="61"/>
        <v>0</v>
      </c>
      <c r="AL274">
        <f t="shared" si="61"/>
        <v>0</v>
      </c>
      <c r="AM274">
        <f t="shared" si="61"/>
        <v>0</v>
      </c>
      <c r="AN274">
        <f t="shared" si="61"/>
        <v>0</v>
      </c>
      <c r="AO274">
        <f t="shared" si="61"/>
        <v>0</v>
      </c>
      <c r="AP274">
        <f t="shared" si="61"/>
        <v>0</v>
      </c>
      <c r="AQ274">
        <f t="shared" si="61"/>
        <v>0</v>
      </c>
      <c r="AR274">
        <f t="shared" si="61"/>
        <v>0</v>
      </c>
    </row>
    <row r="275" spans="5:44" x14ac:dyDescent="0.2">
      <c r="E275" s="1">
        <f>moment_rate!$AC275</f>
        <v>7.4493433161470389E-3</v>
      </c>
      <c r="F275" s="1">
        <f t="shared" si="59"/>
        <v>0</v>
      </c>
      <c r="G275">
        <f>moment_rate!I275-0.005</f>
        <v>2.6799999999999868</v>
      </c>
      <c r="H275" s="1">
        <f t="shared" si="60"/>
        <v>0</v>
      </c>
      <c r="I275">
        <f t="shared" si="64"/>
        <v>0</v>
      </c>
      <c r="J275">
        <f t="shared" si="64"/>
        <v>0</v>
      </c>
      <c r="K275">
        <f t="shared" si="64"/>
        <v>0</v>
      </c>
      <c r="L275">
        <f t="shared" si="64"/>
        <v>0</v>
      </c>
      <c r="M275">
        <f t="shared" si="64"/>
        <v>0</v>
      </c>
      <c r="N275">
        <f t="shared" si="64"/>
        <v>0</v>
      </c>
      <c r="O275">
        <f t="shared" si="64"/>
        <v>0</v>
      </c>
      <c r="P275">
        <f t="shared" si="64"/>
        <v>0</v>
      </c>
      <c r="Q275">
        <f t="shared" si="64"/>
        <v>0</v>
      </c>
      <c r="R275">
        <f t="shared" si="64"/>
        <v>0</v>
      </c>
      <c r="S275">
        <f t="shared" si="64"/>
        <v>0</v>
      </c>
      <c r="T275">
        <f t="shared" si="64"/>
        <v>0</v>
      </c>
      <c r="U275">
        <f t="shared" si="64"/>
        <v>0</v>
      </c>
      <c r="V275">
        <f t="shared" si="64"/>
        <v>0</v>
      </c>
      <c r="W275">
        <f t="shared" si="64"/>
        <v>0</v>
      </c>
      <c r="X275">
        <f t="shared" si="64"/>
        <v>0</v>
      </c>
      <c r="Y275">
        <f t="shared" si="63"/>
        <v>0</v>
      </c>
      <c r="Z275">
        <f t="shared" si="62"/>
        <v>0</v>
      </c>
      <c r="AA275">
        <f t="shared" si="62"/>
        <v>0</v>
      </c>
      <c r="AB275">
        <f t="shared" si="62"/>
        <v>0</v>
      </c>
      <c r="AC275">
        <f t="shared" si="62"/>
        <v>0</v>
      </c>
      <c r="AD275">
        <f t="shared" si="62"/>
        <v>0</v>
      </c>
      <c r="AE275">
        <f t="shared" si="62"/>
        <v>0</v>
      </c>
      <c r="AF275">
        <f t="shared" si="62"/>
        <v>0</v>
      </c>
      <c r="AG275">
        <f t="shared" si="62"/>
        <v>0</v>
      </c>
      <c r="AH275">
        <f t="shared" si="62"/>
        <v>0</v>
      </c>
      <c r="AI275">
        <f t="shared" si="61"/>
        <v>0</v>
      </c>
      <c r="AJ275">
        <f t="shared" si="61"/>
        <v>0</v>
      </c>
      <c r="AK275">
        <f t="shared" si="61"/>
        <v>0</v>
      </c>
      <c r="AL275">
        <f t="shared" si="61"/>
        <v>0</v>
      </c>
      <c r="AM275">
        <f t="shared" si="61"/>
        <v>0</v>
      </c>
      <c r="AN275">
        <f t="shared" si="61"/>
        <v>0</v>
      </c>
      <c r="AO275">
        <f t="shared" si="61"/>
        <v>0</v>
      </c>
      <c r="AP275">
        <f t="shared" si="61"/>
        <v>0</v>
      </c>
      <c r="AQ275">
        <f t="shared" si="61"/>
        <v>0</v>
      </c>
      <c r="AR275">
        <f t="shared" si="61"/>
        <v>0</v>
      </c>
    </row>
    <row r="276" spans="5:44" x14ac:dyDescent="0.2">
      <c r="E276" s="1">
        <f>moment_rate!$AC276</f>
        <v>7.4493433161470389E-3</v>
      </c>
      <c r="F276" s="1">
        <f t="shared" si="59"/>
        <v>0</v>
      </c>
      <c r="G276">
        <f>moment_rate!I276-0.005</f>
        <v>2.6899999999999866</v>
      </c>
      <c r="H276" s="1">
        <f t="shared" si="60"/>
        <v>0</v>
      </c>
      <c r="I276">
        <f t="shared" si="64"/>
        <v>0</v>
      </c>
      <c r="J276">
        <f t="shared" si="64"/>
        <v>0</v>
      </c>
      <c r="K276">
        <f t="shared" si="64"/>
        <v>0</v>
      </c>
      <c r="L276">
        <f t="shared" si="64"/>
        <v>0</v>
      </c>
      <c r="M276">
        <f t="shared" si="64"/>
        <v>0</v>
      </c>
      <c r="N276">
        <f t="shared" si="64"/>
        <v>0</v>
      </c>
      <c r="O276">
        <f t="shared" si="64"/>
        <v>0</v>
      </c>
      <c r="P276">
        <f t="shared" si="64"/>
        <v>0</v>
      </c>
      <c r="Q276">
        <f t="shared" si="64"/>
        <v>0</v>
      </c>
      <c r="R276">
        <f t="shared" si="64"/>
        <v>0</v>
      </c>
      <c r="S276">
        <f t="shared" si="64"/>
        <v>0</v>
      </c>
      <c r="T276">
        <f t="shared" si="64"/>
        <v>0</v>
      </c>
      <c r="U276">
        <f t="shared" si="64"/>
        <v>0</v>
      </c>
      <c r="V276">
        <f t="shared" si="64"/>
        <v>0</v>
      </c>
      <c r="W276">
        <f t="shared" si="64"/>
        <v>0</v>
      </c>
      <c r="X276">
        <f t="shared" si="64"/>
        <v>0</v>
      </c>
      <c r="Y276">
        <f t="shared" si="63"/>
        <v>0</v>
      </c>
      <c r="Z276">
        <f t="shared" si="63"/>
        <v>0</v>
      </c>
      <c r="AA276">
        <f t="shared" si="63"/>
        <v>0</v>
      </c>
      <c r="AB276">
        <f t="shared" si="63"/>
        <v>0</v>
      </c>
      <c r="AC276">
        <f t="shared" si="63"/>
        <v>0</v>
      </c>
      <c r="AD276">
        <f t="shared" si="63"/>
        <v>0</v>
      </c>
      <c r="AE276">
        <f t="shared" si="63"/>
        <v>0</v>
      </c>
      <c r="AF276">
        <f t="shared" si="63"/>
        <v>0</v>
      </c>
      <c r="AG276">
        <f t="shared" si="63"/>
        <v>0</v>
      </c>
      <c r="AH276">
        <f t="shared" si="63"/>
        <v>0</v>
      </c>
      <c r="AI276">
        <f t="shared" si="63"/>
        <v>0</v>
      </c>
      <c r="AJ276">
        <f t="shared" si="63"/>
        <v>0</v>
      </c>
      <c r="AK276">
        <f t="shared" si="63"/>
        <v>0</v>
      </c>
      <c r="AL276">
        <f t="shared" si="63"/>
        <v>0</v>
      </c>
      <c r="AM276">
        <f t="shared" si="63"/>
        <v>0</v>
      </c>
      <c r="AN276">
        <f t="shared" si="61"/>
        <v>0</v>
      </c>
      <c r="AO276">
        <f t="shared" si="61"/>
        <v>0</v>
      </c>
      <c r="AP276">
        <f t="shared" si="61"/>
        <v>0</v>
      </c>
      <c r="AQ276">
        <f t="shared" si="61"/>
        <v>0</v>
      </c>
      <c r="AR276">
        <f t="shared" si="61"/>
        <v>0</v>
      </c>
    </row>
    <row r="277" spans="5:44" x14ac:dyDescent="0.2">
      <c r="E277" s="1">
        <f>moment_rate!$AC277</f>
        <v>7.4493433161470389E-3</v>
      </c>
      <c r="F277" s="1">
        <f t="shared" si="59"/>
        <v>0</v>
      </c>
      <c r="G277">
        <f>moment_rate!I277-0.005</f>
        <v>2.6999999999999864</v>
      </c>
      <c r="H277" s="1">
        <f t="shared" si="60"/>
        <v>0</v>
      </c>
      <c r="I277">
        <f t="shared" si="64"/>
        <v>0</v>
      </c>
      <c r="J277">
        <f t="shared" si="64"/>
        <v>0</v>
      </c>
      <c r="K277">
        <f t="shared" si="64"/>
        <v>0</v>
      </c>
      <c r="L277">
        <f t="shared" si="64"/>
        <v>0</v>
      </c>
      <c r="M277">
        <f t="shared" si="64"/>
        <v>0</v>
      </c>
      <c r="N277">
        <f t="shared" si="64"/>
        <v>0</v>
      </c>
      <c r="O277">
        <f t="shared" si="64"/>
        <v>0</v>
      </c>
      <c r="P277">
        <f t="shared" si="64"/>
        <v>0</v>
      </c>
      <c r="Q277">
        <f t="shared" si="64"/>
        <v>0</v>
      </c>
      <c r="R277">
        <f t="shared" si="64"/>
        <v>0</v>
      </c>
      <c r="S277">
        <f t="shared" si="64"/>
        <v>0</v>
      </c>
      <c r="T277">
        <f t="shared" si="64"/>
        <v>0</v>
      </c>
      <c r="U277">
        <f t="shared" si="64"/>
        <v>0</v>
      </c>
      <c r="V277">
        <f t="shared" si="64"/>
        <v>0</v>
      </c>
      <c r="W277">
        <f t="shared" si="64"/>
        <v>0</v>
      </c>
      <c r="X277">
        <f t="shared" si="64"/>
        <v>0</v>
      </c>
      <c r="Y277">
        <f t="shared" si="63"/>
        <v>0</v>
      </c>
      <c r="Z277">
        <f t="shared" si="63"/>
        <v>0</v>
      </c>
      <c r="AA277">
        <f t="shared" si="63"/>
        <v>0</v>
      </c>
      <c r="AB277">
        <f t="shared" si="63"/>
        <v>0</v>
      </c>
      <c r="AC277">
        <f t="shared" si="63"/>
        <v>0</v>
      </c>
      <c r="AD277">
        <f t="shared" si="63"/>
        <v>0</v>
      </c>
      <c r="AE277">
        <f t="shared" si="63"/>
        <v>0</v>
      </c>
      <c r="AF277">
        <f t="shared" si="63"/>
        <v>0</v>
      </c>
      <c r="AG277">
        <f t="shared" si="63"/>
        <v>0</v>
      </c>
      <c r="AH277">
        <f t="shared" si="63"/>
        <v>0</v>
      </c>
      <c r="AI277">
        <f t="shared" si="63"/>
        <v>0</v>
      </c>
      <c r="AJ277">
        <f t="shared" si="63"/>
        <v>0</v>
      </c>
      <c r="AK277">
        <f t="shared" si="63"/>
        <v>0</v>
      </c>
      <c r="AL277">
        <f t="shared" si="63"/>
        <v>0</v>
      </c>
      <c r="AM277">
        <f t="shared" si="63"/>
        <v>0</v>
      </c>
      <c r="AN277">
        <f t="shared" si="61"/>
        <v>0</v>
      </c>
      <c r="AO277">
        <f t="shared" si="61"/>
        <v>0</v>
      </c>
      <c r="AP277">
        <f t="shared" si="61"/>
        <v>0</v>
      </c>
      <c r="AQ277">
        <f t="shared" si="61"/>
        <v>0</v>
      </c>
      <c r="AR277">
        <f t="shared" si="61"/>
        <v>0</v>
      </c>
    </row>
    <row r="278" spans="5:44" x14ac:dyDescent="0.2">
      <c r="E278" s="1">
        <f>moment_rate!$AC278</f>
        <v>7.4493433161470389E-3</v>
      </c>
      <c r="F278" s="1">
        <f t="shared" si="59"/>
        <v>0</v>
      </c>
      <c r="G278">
        <f>moment_rate!I278-0.005</f>
        <v>2.7099999999999862</v>
      </c>
      <c r="H278" s="1">
        <f t="shared" si="60"/>
        <v>0</v>
      </c>
      <c r="I278">
        <f t="shared" si="64"/>
        <v>0</v>
      </c>
      <c r="J278">
        <f t="shared" si="64"/>
        <v>0</v>
      </c>
      <c r="K278">
        <f t="shared" si="64"/>
        <v>0</v>
      </c>
      <c r="L278">
        <f t="shared" si="64"/>
        <v>0</v>
      </c>
      <c r="M278">
        <f t="shared" si="64"/>
        <v>0</v>
      </c>
      <c r="N278">
        <f t="shared" si="64"/>
        <v>0</v>
      </c>
      <c r="O278">
        <f t="shared" si="64"/>
        <v>0</v>
      </c>
      <c r="P278">
        <f t="shared" si="64"/>
        <v>0</v>
      </c>
      <c r="Q278">
        <f t="shared" si="64"/>
        <v>0</v>
      </c>
      <c r="R278">
        <f t="shared" si="64"/>
        <v>0</v>
      </c>
      <c r="S278">
        <f t="shared" si="64"/>
        <v>0</v>
      </c>
      <c r="T278">
        <f t="shared" si="64"/>
        <v>0</v>
      </c>
      <c r="U278">
        <f t="shared" si="64"/>
        <v>0</v>
      </c>
      <c r="V278">
        <f t="shared" si="64"/>
        <v>0</v>
      </c>
      <c r="W278">
        <f t="shared" si="64"/>
        <v>0</v>
      </c>
      <c r="X278">
        <f t="shared" si="64"/>
        <v>0</v>
      </c>
      <c r="Y278">
        <f t="shared" si="63"/>
        <v>0</v>
      </c>
      <c r="Z278">
        <f t="shared" si="63"/>
        <v>0</v>
      </c>
      <c r="AA278">
        <f t="shared" si="63"/>
        <v>0</v>
      </c>
      <c r="AB278">
        <f t="shared" si="63"/>
        <v>0</v>
      </c>
      <c r="AC278">
        <f t="shared" si="63"/>
        <v>0</v>
      </c>
      <c r="AD278">
        <f t="shared" si="63"/>
        <v>0</v>
      </c>
      <c r="AE278">
        <f t="shared" si="63"/>
        <v>0</v>
      </c>
      <c r="AF278">
        <f t="shared" si="63"/>
        <v>0</v>
      </c>
      <c r="AG278">
        <f t="shared" si="63"/>
        <v>0</v>
      </c>
      <c r="AH278">
        <f t="shared" si="63"/>
        <v>0</v>
      </c>
      <c r="AI278">
        <f t="shared" si="63"/>
        <v>0</v>
      </c>
      <c r="AJ278">
        <f t="shared" si="63"/>
        <v>0</v>
      </c>
      <c r="AK278">
        <f t="shared" si="63"/>
        <v>0</v>
      </c>
      <c r="AL278">
        <f t="shared" si="63"/>
        <v>0</v>
      </c>
      <c r="AM278">
        <f t="shared" si="63"/>
        <v>0</v>
      </c>
      <c r="AN278">
        <f t="shared" si="61"/>
        <v>0</v>
      </c>
      <c r="AO278">
        <f t="shared" si="61"/>
        <v>0</v>
      </c>
      <c r="AP278">
        <f t="shared" si="61"/>
        <v>0</v>
      </c>
      <c r="AQ278">
        <f t="shared" si="61"/>
        <v>0</v>
      </c>
      <c r="AR278">
        <f t="shared" si="61"/>
        <v>0</v>
      </c>
    </row>
    <row r="279" spans="5:44" x14ac:dyDescent="0.2">
      <c r="E279" s="1">
        <f>moment_rate!$AC279</f>
        <v>7.4493433161470389E-3</v>
      </c>
      <c r="F279" s="1">
        <f t="shared" si="59"/>
        <v>0</v>
      </c>
      <c r="G279">
        <f>moment_rate!I279-0.005</f>
        <v>2.719999999999986</v>
      </c>
      <c r="H279" s="1">
        <f t="shared" si="60"/>
        <v>0</v>
      </c>
      <c r="I279">
        <f t="shared" si="64"/>
        <v>0</v>
      </c>
      <c r="J279">
        <f t="shared" si="64"/>
        <v>0</v>
      </c>
      <c r="K279">
        <f t="shared" si="64"/>
        <v>0</v>
      </c>
      <c r="L279">
        <f t="shared" si="64"/>
        <v>0</v>
      </c>
      <c r="M279">
        <f t="shared" si="64"/>
        <v>0</v>
      </c>
      <c r="N279">
        <f t="shared" si="64"/>
        <v>0</v>
      </c>
      <c r="O279">
        <f t="shared" si="64"/>
        <v>0</v>
      </c>
      <c r="P279">
        <f t="shared" si="64"/>
        <v>0</v>
      </c>
      <c r="Q279">
        <f t="shared" si="64"/>
        <v>0</v>
      </c>
      <c r="R279">
        <f t="shared" si="64"/>
        <v>0</v>
      </c>
      <c r="S279">
        <f t="shared" si="64"/>
        <v>0</v>
      </c>
      <c r="T279">
        <f t="shared" si="64"/>
        <v>0</v>
      </c>
      <c r="U279">
        <f t="shared" si="64"/>
        <v>0</v>
      </c>
      <c r="V279">
        <f t="shared" si="64"/>
        <v>0</v>
      </c>
      <c r="W279">
        <f t="shared" si="64"/>
        <v>0</v>
      </c>
      <c r="X279">
        <f t="shared" si="64"/>
        <v>0</v>
      </c>
      <c r="Y279">
        <f t="shared" si="63"/>
        <v>0</v>
      </c>
      <c r="Z279">
        <f t="shared" si="63"/>
        <v>0</v>
      </c>
      <c r="AA279">
        <f t="shared" si="63"/>
        <v>0</v>
      </c>
      <c r="AB279">
        <f t="shared" si="63"/>
        <v>0</v>
      </c>
      <c r="AC279">
        <f t="shared" si="63"/>
        <v>0</v>
      </c>
      <c r="AD279">
        <f t="shared" si="63"/>
        <v>0</v>
      </c>
      <c r="AE279">
        <f t="shared" si="63"/>
        <v>0</v>
      </c>
      <c r="AF279">
        <f t="shared" si="63"/>
        <v>0</v>
      </c>
      <c r="AG279">
        <f t="shared" si="63"/>
        <v>0</v>
      </c>
      <c r="AH279">
        <f t="shared" si="63"/>
        <v>0</v>
      </c>
      <c r="AI279">
        <f t="shared" si="63"/>
        <v>0</v>
      </c>
      <c r="AJ279">
        <f t="shared" si="63"/>
        <v>0</v>
      </c>
      <c r="AK279">
        <f t="shared" si="63"/>
        <v>0</v>
      </c>
      <c r="AL279">
        <f t="shared" si="63"/>
        <v>0</v>
      </c>
      <c r="AM279">
        <f t="shared" si="63"/>
        <v>0</v>
      </c>
      <c r="AN279">
        <f t="shared" si="61"/>
        <v>0</v>
      </c>
      <c r="AO279">
        <f t="shared" si="61"/>
        <v>0</v>
      </c>
      <c r="AP279">
        <f t="shared" si="61"/>
        <v>0</v>
      </c>
      <c r="AQ279">
        <f t="shared" si="61"/>
        <v>0</v>
      </c>
      <c r="AR279">
        <f t="shared" si="61"/>
        <v>0</v>
      </c>
    </row>
    <row r="280" spans="5:44" x14ac:dyDescent="0.2">
      <c r="E280" s="1">
        <f>moment_rate!$AC280</f>
        <v>7.4493433161470389E-3</v>
      </c>
      <c r="F280" s="1">
        <f t="shared" si="59"/>
        <v>0</v>
      </c>
      <c r="G280">
        <f>moment_rate!I280-0.005</f>
        <v>2.7299999999999858</v>
      </c>
      <c r="H280" s="1">
        <f t="shared" si="60"/>
        <v>0</v>
      </c>
      <c r="I280">
        <f t="shared" si="64"/>
        <v>0</v>
      </c>
      <c r="J280">
        <f t="shared" si="64"/>
        <v>0</v>
      </c>
      <c r="K280">
        <f t="shared" si="64"/>
        <v>0</v>
      </c>
      <c r="L280">
        <f t="shared" si="64"/>
        <v>0</v>
      </c>
      <c r="M280">
        <f t="shared" si="64"/>
        <v>0</v>
      </c>
      <c r="N280">
        <f t="shared" si="64"/>
        <v>0</v>
      </c>
      <c r="O280">
        <f t="shared" si="64"/>
        <v>0</v>
      </c>
      <c r="P280">
        <f t="shared" si="64"/>
        <v>0</v>
      </c>
      <c r="Q280">
        <f t="shared" si="64"/>
        <v>0</v>
      </c>
      <c r="R280">
        <f t="shared" si="64"/>
        <v>0</v>
      </c>
      <c r="S280">
        <f t="shared" si="64"/>
        <v>0</v>
      </c>
      <c r="T280">
        <f t="shared" si="64"/>
        <v>0</v>
      </c>
      <c r="U280">
        <f t="shared" si="64"/>
        <v>0</v>
      </c>
      <c r="V280">
        <f t="shared" si="64"/>
        <v>0</v>
      </c>
      <c r="W280">
        <f t="shared" si="64"/>
        <v>0</v>
      </c>
      <c r="X280">
        <f t="shared" si="64"/>
        <v>0</v>
      </c>
      <c r="Y280">
        <f t="shared" si="63"/>
        <v>0</v>
      </c>
      <c r="Z280">
        <f t="shared" si="63"/>
        <v>0</v>
      </c>
      <c r="AA280">
        <f t="shared" si="63"/>
        <v>0</v>
      </c>
      <c r="AB280">
        <f t="shared" si="63"/>
        <v>0</v>
      </c>
      <c r="AC280">
        <f t="shared" si="63"/>
        <v>0</v>
      </c>
      <c r="AD280">
        <f t="shared" si="63"/>
        <v>0</v>
      </c>
      <c r="AE280">
        <f t="shared" si="63"/>
        <v>0</v>
      </c>
      <c r="AF280">
        <f t="shared" si="63"/>
        <v>0</v>
      </c>
      <c r="AG280">
        <f t="shared" si="63"/>
        <v>0</v>
      </c>
      <c r="AH280">
        <f t="shared" si="63"/>
        <v>0</v>
      </c>
      <c r="AI280">
        <f t="shared" si="63"/>
        <v>0</v>
      </c>
      <c r="AJ280">
        <f t="shared" si="63"/>
        <v>0</v>
      </c>
      <c r="AK280">
        <f t="shared" si="63"/>
        <v>0</v>
      </c>
      <c r="AL280">
        <f t="shared" si="63"/>
        <v>0</v>
      </c>
      <c r="AM280">
        <f t="shared" si="63"/>
        <v>0</v>
      </c>
      <c r="AN280">
        <f t="shared" si="61"/>
        <v>0</v>
      </c>
      <c r="AO280">
        <f t="shared" si="61"/>
        <v>0</v>
      </c>
      <c r="AP280">
        <f t="shared" si="61"/>
        <v>0</v>
      </c>
      <c r="AQ280">
        <f t="shared" si="61"/>
        <v>0</v>
      </c>
      <c r="AR280">
        <f t="shared" si="61"/>
        <v>0</v>
      </c>
    </row>
    <row r="281" spans="5:44" x14ac:dyDescent="0.2">
      <c r="E281" s="1">
        <f>moment_rate!$AC281</f>
        <v>7.4493433161470389E-3</v>
      </c>
      <c r="F281" s="1">
        <f t="shared" si="59"/>
        <v>0</v>
      </c>
      <c r="G281">
        <f>moment_rate!I281-0.005</f>
        <v>2.7399999999999856</v>
      </c>
      <c r="H281" s="1">
        <f t="shared" si="60"/>
        <v>0</v>
      </c>
      <c r="I281">
        <f t="shared" si="64"/>
        <v>0</v>
      </c>
      <c r="J281">
        <f t="shared" si="64"/>
        <v>0</v>
      </c>
      <c r="K281">
        <f t="shared" si="64"/>
        <v>0</v>
      </c>
      <c r="L281">
        <f t="shared" si="64"/>
        <v>0</v>
      </c>
      <c r="M281">
        <f t="shared" si="64"/>
        <v>0</v>
      </c>
      <c r="N281">
        <f t="shared" si="64"/>
        <v>0</v>
      </c>
      <c r="O281">
        <f t="shared" si="64"/>
        <v>0</v>
      </c>
      <c r="P281">
        <f t="shared" si="64"/>
        <v>0</v>
      </c>
      <c r="Q281">
        <f t="shared" si="64"/>
        <v>0</v>
      </c>
      <c r="R281">
        <f t="shared" si="64"/>
        <v>0</v>
      </c>
      <c r="S281">
        <f t="shared" si="64"/>
        <v>0</v>
      </c>
      <c r="T281">
        <f t="shared" si="64"/>
        <v>0</v>
      </c>
      <c r="U281">
        <f t="shared" si="64"/>
        <v>0</v>
      </c>
      <c r="V281">
        <f t="shared" si="64"/>
        <v>0</v>
      </c>
      <c r="W281">
        <f t="shared" si="64"/>
        <v>0</v>
      </c>
      <c r="X281">
        <f t="shared" si="64"/>
        <v>0</v>
      </c>
      <c r="Y281">
        <f t="shared" si="63"/>
        <v>0</v>
      </c>
      <c r="Z281">
        <f t="shared" si="63"/>
        <v>0</v>
      </c>
      <c r="AA281">
        <f t="shared" si="63"/>
        <v>0</v>
      </c>
      <c r="AB281">
        <f t="shared" si="63"/>
        <v>0</v>
      </c>
      <c r="AC281">
        <f t="shared" si="63"/>
        <v>0</v>
      </c>
      <c r="AD281">
        <f t="shared" si="63"/>
        <v>0</v>
      </c>
      <c r="AE281">
        <f t="shared" si="63"/>
        <v>0</v>
      </c>
      <c r="AF281">
        <f t="shared" si="63"/>
        <v>0</v>
      </c>
      <c r="AG281">
        <f t="shared" si="63"/>
        <v>0</v>
      </c>
      <c r="AH281">
        <f t="shared" si="63"/>
        <v>0</v>
      </c>
      <c r="AI281">
        <f t="shared" si="63"/>
        <v>0</v>
      </c>
      <c r="AJ281">
        <f t="shared" si="63"/>
        <v>0</v>
      </c>
      <c r="AK281">
        <f t="shared" si="63"/>
        <v>0</v>
      </c>
      <c r="AL281">
        <f t="shared" si="63"/>
        <v>0</v>
      </c>
      <c r="AM281">
        <f t="shared" si="63"/>
        <v>0</v>
      </c>
      <c r="AN281">
        <f t="shared" si="61"/>
        <v>0</v>
      </c>
      <c r="AO281">
        <f t="shared" si="61"/>
        <v>0</v>
      </c>
      <c r="AP281">
        <f t="shared" si="61"/>
        <v>0</v>
      </c>
      <c r="AQ281">
        <f t="shared" si="61"/>
        <v>0</v>
      </c>
      <c r="AR281">
        <f t="shared" si="61"/>
        <v>0</v>
      </c>
    </row>
    <row r="282" spans="5:44" x14ac:dyDescent="0.2">
      <c r="E282" s="1">
        <f>moment_rate!$AC282</f>
        <v>7.4493433161470389E-3</v>
      </c>
      <c r="F282" s="1">
        <f t="shared" si="59"/>
        <v>0</v>
      </c>
      <c r="G282">
        <f>moment_rate!I282-0.005</f>
        <v>2.7499999999999853</v>
      </c>
      <c r="H282" s="1">
        <f t="shared" si="60"/>
        <v>0</v>
      </c>
      <c r="I282">
        <f t="shared" si="64"/>
        <v>0</v>
      </c>
      <c r="J282">
        <f t="shared" si="64"/>
        <v>0</v>
      </c>
      <c r="K282">
        <f t="shared" si="64"/>
        <v>0</v>
      </c>
      <c r="L282">
        <f t="shared" si="64"/>
        <v>0</v>
      </c>
      <c r="M282">
        <f t="shared" si="64"/>
        <v>0</v>
      </c>
      <c r="N282">
        <f t="shared" si="64"/>
        <v>0</v>
      </c>
      <c r="O282">
        <f t="shared" si="64"/>
        <v>0</v>
      </c>
      <c r="P282">
        <f t="shared" si="64"/>
        <v>0</v>
      </c>
      <c r="Q282">
        <f t="shared" si="64"/>
        <v>0</v>
      </c>
      <c r="R282">
        <f t="shared" si="64"/>
        <v>0</v>
      </c>
      <c r="S282">
        <f t="shared" si="64"/>
        <v>0</v>
      </c>
      <c r="T282">
        <f t="shared" si="64"/>
        <v>0</v>
      </c>
      <c r="U282">
        <f t="shared" si="64"/>
        <v>0</v>
      </c>
      <c r="V282">
        <f t="shared" si="64"/>
        <v>0</v>
      </c>
      <c r="W282">
        <f t="shared" si="64"/>
        <v>0</v>
      </c>
      <c r="X282">
        <f t="shared" si="64"/>
        <v>0</v>
      </c>
      <c r="Y282">
        <f t="shared" si="63"/>
        <v>0</v>
      </c>
      <c r="Z282">
        <f t="shared" si="63"/>
        <v>0</v>
      </c>
      <c r="AA282">
        <f t="shared" si="63"/>
        <v>0</v>
      </c>
      <c r="AB282">
        <f t="shared" si="63"/>
        <v>0</v>
      </c>
      <c r="AC282">
        <f t="shared" si="63"/>
        <v>0</v>
      </c>
      <c r="AD282">
        <f t="shared" si="63"/>
        <v>0</v>
      </c>
      <c r="AE282">
        <f t="shared" si="63"/>
        <v>0</v>
      </c>
      <c r="AF282">
        <f t="shared" si="63"/>
        <v>0</v>
      </c>
      <c r="AG282">
        <f t="shared" si="63"/>
        <v>0</v>
      </c>
      <c r="AH282">
        <f t="shared" si="63"/>
        <v>0</v>
      </c>
      <c r="AI282">
        <f t="shared" si="63"/>
        <v>0</v>
      </c>
      <c r="AJ282">
        <f t="shared" si="63"/>
        <v>0</v>
      </c>
      <c r="AK282">
        <f t="shared" si="63"/>
        <v>0</v>
      </c>
      <c r="AL282">
        <f t="shared" si="63"/>
        <v>0</v>
      </c>
      <c r="AM282">
        <f t="shared" si="63"/>
        <v>0</v>
      </c>
      <c r="AN282">
        <f t="shared" si="61"/>
        <v>0</v>
      </c>
      <c r="AO282">
        <f t="shared" si="61"/>
        <v>0</v>
      </c>
      <c r="AP282">
        <f t="shared" si="61"/>
        <v>0</v>
      </c>
      <c r="AQ282">
        <f t="shared" si="61"/>
        <v>0</v>
      </c>
      <c r="AR282">
        <f t="shared" si="61"/>
        <v>0</v>
      </c>
    </row>
    <row r="283" spans="5:44" x14ac:dyDescent="0.2">
      <c r="E283" s="1">
        <f>moment_rate!$AC283</f>
        <v>7.4493433161470389E-3</v>
      </c>
      <c r="F283" s="1">
        <f t="shared" si="59"/>
        <v>0</v>
      </c>
      <c r="G283">
        <f>moment_rate!I283-0.005</f>
        <v>2.7599999999999851</v>
      </c>
      <c r="H283" s="1">
        <f t="shared" si="60"/>
        <v>0</v>
      </c>
      <c r="I283">
        <f t="shared" si="64"/>
        <v>0</v>
      </c>
      <c r="J283">
        <f t="shared" si="64"/>
        <v>0</v>
      </c>
      <c r="K283">
        <f t="shared" si="64"/>
        <v>0</v>
      </c>
      <c r="L283">
        <f t="shared" si="64"/>
        <v>0</v>
      </c>
      <c r="M283">
        <f t="shared" si="64"/>
        <v>0</v>
      </c>
      <c r="N283">
        <f t="shared" si="64"/>
        <v>0</v>
      </c>
      <c r="O283">
        <f t="shared" si="64"/>
        <v>0</v>
      </c>
      <c r="P283">
        <f t="shared" si="64"/>
        <v>0</v>
      </c>
      <c r="Q283">
        <f t="shared" si="64"/>
        <v>0</v>
      </c>
      <c r="R283">
        <f t="shared" si="64"/>
        <v>0</v>
      </c>
      <c r="S283">
        <f t="shared" si="64"/>
        <v>0</v>
      </c>
      <c r="T283">
        <f t="shared" si="64"/>
        <v>0</v>
      </c>
      <c r="U283">
        <f t="shared" si="64"/>
        <v>0</v>
      </c>
      <c r="V283">
        <f t="shared" si="64"/>
        <v>0</v>
      </c>
      <c r="W283">
        <f t="shared" si="64"/>
        <v>0</v>
      </c>
      <c r="X283">
        <f t="shared" si="64"/>
        <v>0</v>
      </c>
      <c r="Y283">
        <f t="shared" si="63"/>
        <v>0</v>
      </c>
      <c r="Z283">
        <f t="shared" si="63"/>
        <v>0</v>
      </c>
      <c r="AA283">
        <f t="shared" si="63"/>
        <v>0</v>
      </c>
      <c r="AB283">
        <f t="shared" si="63"/>
        <v>0</v>
      </c>
      <c r="AC283">
        <f t="shared" si="63"/>
        <v>0</v>
      </c>
      <c r="AD283">
        <f t="shared" si="63"/>
        <v>0</v>
      </c>
      <c r="AE283">
        <f t="shared" si="63"/>
        <v>0</v>
      </c>
      <c r="AF283">
        <f t="shared" si="63"/>
        <v>0</v>
      </c>
      <c r="AG283">
        <f t="shared" si="63"/>
        <v>0</v>
      </c>
      <c r="AH283">
        <f t="shared" si="63"/>
        <v>0</v>
      </c>
      <c r="AI283">
        <f t="shared" si="63"/>
        <v>0</v>
      </c>
      <c r="AJ283">
        <f t="shared" si="63"/>
        <v>0</v>
      </c>
      <c r="AK283">
        <f t="shared" si="63"/>
        <v>0</v>
      </c>
      <c r="AL283">
        <f t="shared" si="63"/>
        <v>0</v>
      </c>
      <c r="AM283">
        <f t="shared" si="63"/>
        <v>0</v>
      </c>
      <c r="AN283">
        <f t="shared" si="61"/>
        <v>0</v>
      </c>
      <c r="AO283">
        <f t="shared" si="61"/>
        <v>0</v>
      </c>
      <c r="AP283">
        <f t="shared" si="61"/>
        <v>0</v>
      </c>
      <c r="AQ283">
        <f t="shared" si="61"/>
        <v>0</v>
      </c>
      <c r="AR283">
        <f t="shared" si="61"/>
        <v>0</v>
      </c>
    </row>
    <row r="284" spans="5:44" x14ac:dyDescent="0.2">
      <c r="E284" s="1">
        <f>moment_rate!$AC284</f>
        <v>7.4493433161470389E-3</v>
      </c>
      <c r="F284" s="1">
        <f t="shared" si="59"/>
        <v>0</v>
      </c>
      <c r="G284">
        <f>moment_rate!I284-0.005</f>
        <v>2.7699999999999849</v>
      </c>
      <c r="H284" s="1">
        <f t="shared" si="60"/>
        <v>0</v>
      </c>
      <c r="I284">
        <f t="shared" si="64"/>
        <v>0</v>
      </c>
      <c r="J284">
        <f t="shared" si="64"/>
        <v>0</v>
      </c>
      <c r="K284">
        <f t="shared" si="64"/>
        <v>0</v>
      </c>
      <c r="L284">
        <f t="shared" si="64"/>
        <v>0</v>
      </c>
      <c r="M284">
        <f t="shared" si="64"/>
        <v>0</v>
      </c>
      <c r="N284">
        <f t="shared" si="64"/>
        <v>0</v>
      </c>
      <c r="O284">
        <f t="shared" si="64"/>
        <v>0</v>
      </c>
      <c r="P284">
        <f t="shared" si="64"/>
        <v>0</v>
      </c>
      <c r="Q284">
        <f t="shared" si="64"/>
        <v>0</v>
      </c>
      <c r="R284">
        <f t="shared" si="64"/>
        <v>0</v>
      </c>
      <c r="S284">
        <f t="shared" si="64"/>
        <v>0</v>
      </c>
      <c r="T284">
        <f t="shared" si="64"/>
        <v>0</v>
      </c>
      <c r="U284">
        <f t="shared" si="64"/>
        <v>0</v>
      </c>
      <c r="V284">
        <f t="shared" si="64"/>
        <v>0</v>
      </c>
      <c r="W284">
        <f t="shared" si="64"/>
        <v>0</v>
      </c>
      <c r="X284">
        <f t="shared" si="64"/>
        <v>0</v>
      </c>
      <c r="Y284">
        <f t="shared" si="63"/>
        <v>0</v>
      </c>
      <c r="Z284">
        <f t="shared" si="63"/>
        <v>0</v>
      </c>
      <c r="AA284">
        <f t="shared" si="63"/>
        <v>0</v>
      </c>
      <c r="AB284">
        <f t="shared" si="63"/>
        <v>0</v>
      </c>
      <c r="AC284">
        <f t="shared" si="63"/>
        <v>0</v>
      </c>
      <c r="AD284">
        <f t="shared" si="63"/>
        <v>0</v>
      </c>
      <c r="AE284">
        <f t="shared" si="63"/>
        <v>0</v>
      </c>
      <c r="AF284">
        <f t="shared" si="63"/>
        <v>0</v>
      </c>
      <c r="AG284">
        <f t="shared" si="63"/>
        <v>0</v>
      </c>
      <c r="AH284">
        <f t="shared" si="63"/>
        <v>0</v>
      </c>
      <c r="AI284">
        <f t="shared" si="63"/>
        <v>0</v>
      </c>
      <c r="AJ284">
        <f t="shared" si="63"/>
        <v>0</v>
      </c>
      <c r="AK284">
        <f t="shared" si="63"/>
        <v>0</v>
      </c>
      <c r="AL284">
        <f t="shared" si="63"/>
        <v>0</v>
      </c>
      <c r="AM284">
        <f t="shared" si="63"/>
        <v>0</v>
      </c>
      <c r="AN284">
        <f t="shared" si="61"/>
        <v>0</v>
      </c>
      <c r="AO284">
        <f t="shared" si="61"/>
        <v>0</v>
      </c>
      <c r="AP284">
        <f t="shared" si="61"/>
        <v>0</v>
      </c>
      <c r="AQ284">
        <f t="shared" si="61"/>
        <v>0</v>
      </c>
      <c r="AR284">
        <f t="shared" si="61"/>
        <v>0</v>
      </c>
    </row>
    <row r="285" spans="5:44" x14ac:dyDescent="0.2">
      <c r="E285" s="1">
        <f>moment_rate!$AC285</f>
        <v>7.4493433161470389E-3</v>
      </c>
      <c r="F285" s="1">
        <f t="shared" si="59"/>
        <v>0</v>
      </c>
      <c r="G285">
        <f>moment_rate!I285-0.005</f>
        <v>2.7799999999999847</v>
      </c>
      <c r="H285" s="1">
        <f t="shared" si="60"/>
        <v>0</v>
      </c>
      <c r="I285">
        <f t="shared" si="64"/>
        <v>0</v>
      </c>
      <c r="J285">
        <f t="shared" si="64"/>
        <v>0</v>
      </c>
      <c r="K285">
        <f t="shared" si="64"/>
        <v>0</v>
      </c>
      <c r="L285">
        <f t="shared" si="64"/>
        <v>0</v>
      </c>
      <c r="M285">
        <f t="shared" si="64"/>
        <v>0</v>
      </c>
      <c r="N285">
        <f t="shared" si="64"/>
        <v>0</v>
      </c>
      <c r="O285">
        <f t="shared" si="64"/>
        <v>0</v>
      </c>
      <c r="P285">
        <f t="shared" si="64"/>
        <v>0</v>
      </c>
      <c r="Q285">
        <f t="shared" si="64"/>
        <v>0</v>
      </c>
      <c r="R285">
        <f t="shared" si="64"/>
        <v>0</v>
      </c>
      <c r="S285">
        <f t="shared" si="64"/>
        <v>0</v>
      </c>
      <c r="T285">
        <f t="shared" si="64"/>
        <v>0</v>
      </c>
      <c r="U285">
        <f t="shared" si="64"/>
        <v>0</v>
      </c>
      <c r="V285">
        <f t="shared" si="64"/>
        <v>0</v>
      </c>
      <c r="W285">
        <f t="shared" si="64"/>
        <v>0</v>
      </c>
      <c r="X285">
        <f t="shared" si="64"/>
        <v>0</v>
      </c>
      <c r="Y285">
        <f t="shared" si="63"/>
        <v>0</v>
      </c>
      <c r="Z285">
        <f t="shared" si="63"/>
        <v>0</v>
      </c>
      <c r="AA285">
        <f t="shared" si="63"/>
        <v>0</v>
      </c>
      <c r="AB285">
        <f t="shared" si="63"/>
        <v>0</v>
      </c>
      <c r="AC285">
        <f t="shared" si="63"/>
        <v>0</v>
      </c>
      <c r="AD285">
        <f t="shared" si="63"/>
        <v>0</v>
      </c>
      <c r="AE285">
        <f t="shared" si="63"/>
        <v>0</v>
      </c>
      <c r="AF285">
        <f t="shared" si="63"/>
        <v>0</v>
      </c>
      <c r="AG285">
        <f t="shared" si="63"/>
        <v>0</v>
      </c>
      <c r="AH285">
        <f t="shared" si="63"/>
        <v>0</v>
      </c>
      <c r="AI285">
        <f t="shared" si="63"/>
        <v>0</v>
      </c>
      <c r="AJ285">
        <f t="shared" si="63"/>
        <v>0</v>
      </c>
      <c r="AK285">
        <f t="shared" si="63"/>
        <v>0</v>
      </c>
      <c r="AL285">
        <f t="shared" si="63"/>
        <v>0</v>
      </c>
      <c r="AM285">
        <f t="shared" si="63"/>
        <v>0</v>
      </c>
      <c r="AN285">
        <f t="shared" si="61"/>
        <v>0</v>
      </c>
      <c r="AO285">
        <f t="shared" si="61"/>
        <v>0</v>
      </c>
      <c r="AP285">
        <f t="shared" si="61"/>
        <v>0</v>
      </c>
      <c r="AQ285">
        <f t="shared" si="61"/>
        <v>0</v>
      </c>
      <c r="AR285">
        <f t="shared" si="61"/>
        <v>0</v>
      </c>
    </row>
    <row r="286" spans="5:44" x14ac:dyDescent="0.2">
      <c r="E286" s="1">
        <f>moment_rate!$AC286</f>
        <v>7.4493433161470389E-3</v>
      </c>
      <c r="F286" s="1">
        <f t="shared" si="59"/>
        <v>0</v>
      </c>
      <c r="G286">
        <f>moment_rate!I286-0.005</f>
        <v>2.7899999999999845</v>
      </c>
      <c r="H286" s="1">
        <f t="shared" si="60"/>
        <v>0</v>
      </c>
      <c r="I286">
        <f t="shared" si="64"/>
        <v>0</v>
      </c>
      <c r="J286">
        <f t="shared" si="64"/>
        <v>0</v>
      </c>
      <c r="K286">
        <f t="shared" si="64"/>
        <v>0</v>
      </c>
      <c r="L286">
        <f t="shared" si="64"/>
        <v>0</v>
      </c>
      <c r="M286">
        <f t="shared" si="64"/>
        <v>0</v>
      </c>
      <c r="N286">
        <f t="shared" si="64"/>
        <v>0</v>
      </c>
      <c r="O286">
        <f t="shared" si="64"/>
        <v>0</v>
      </c>
      <c r="P286">
        <f t="shared" si="64"/>
        <v>0</v>
      </c>
      <c r="Q286">
        <f t="shared" si="64"/>
        <v>0</v>
      </c>
      <c r="R286">
        <f t="shared" si="64"/>
        <v>0</v>
      </c>
      <c r="S286">
        <f t="shared" si="64"/>
        <v>0</v>
      </c>
      <c r="T286">
        <f t="shared" si="64"/>
        <v>0</v>
      </c>
      <c r="U286">
        <f t="shared" si="64"/>
        <v>0</v>
      </c>
      <c r="V286">
        <f t="shared" si="64"/>
        <v>0</v>
      </c>
      <c r="W286">
        <f t="shared" si="64"/>
        <v>0</v>
      </c>
      <c r="X286">
        <f t="shared" ref="X286:AM301" si="65">IF(AND($G286&gt;=X$3,$G286&lt;X$4),$F286,0)</f>
        <v>0</v>
      </c>
      <c r="Y286">
        <f t="shared" si="65"/>
        <v>0</v>
      </c>
      <c r="Z286">
        <f t="shared" si="65"/>
        <v>0</v>
      </c>
      <c r="AA286">
        <f t="shared" si="65"/>
        <v>0</v>
      </c>
      <c r="AB286">
        <f t="shared" si="65"/>
        <v>0</v>
      </c>
      <c r="AC286">
        <f t="shared" si="65"/>
        <v>0</v>
      </c>
      <c r="AD286">
        <f t="shared" si="65"/>
        <v>0</v>
      </c>
      <c r="AE286">
        <f t="shared" si="65"/>
        <v>0</v>
      </c>
      <c r="AF286">
        <f t="shared" si="65"/>
        <v>0</v>
      </c>
      <c r="AG286">
        <f t="shared" si="65"/>
        <v>0</v>
      </c>
      <c r="AH286">
        <f t="shared" si="65"/>
        <v>0</v>
      </c>
      <c r="AI286">
        <f t="shared" si="65"/>
        <v>0</v>
      </c>
      <c r="AJ286">
        <f t="shared" si="65"/>
        <v>0</v>
      </c>
      <c r="AK286">
        <f t="shared" si="65"/>
        <v>0</v>
      </c>
      <c r="AL286">
        <f t="shared" si="65"/>
        <v>0</v>
      </c>
      <c r="AM286">
        <f t="shared" si="65"/>
        <v>0</v>
      </c>
      <c r="AN286">
        <f t="shared" si="61"/>
        <v>0</v>
      </c>
      <c r="AO286">
        <f t="shared" si="61"/>
        <v>0</v>
      </c>
      <c r="AP286">
        <f t="shared" si="61"/>
        <v>0</v>
      </c>
      <c r="AQ286">
        <f t="shared" si="61"/>
        <v>0</v>
      </c>
      <c r="AR286">
        <f t="shared" si="61"/>
        <v>0</v>
      </c>
    </row>
    <row r="287" spans="5:44" x14ac:dyDescent="0.2">
      <c r="E287" s="1">
        <f>moment_rate!$AC287</f>
        <v>7.4493433161470389E-3</v>
      </c>
      <c r="F287" s="1">
        <f t="shared" si="59"/>
        <v>0</v>
      </c>
      <c r="G287">
        <f>moment_rate!I287-0.005</f>
        <v>2.7999999999999843</v>
      </c>
      <c r="H287" s="1">
        <f t="shared" si="60"/>
        <v>0</v>
      </c>
      <c r="I287">
        <f t="shared" ref="I287:X302" si="66">IF(AND($G287&gt;=I$3,$G287&lt;I$4),$F287,0)</f>
        <v>0</v>
      </c>
      <c r="J287">
        <f t="shared" si="66"/>
        <v>0</v>
      </c>
      <c r="K287">
        <f t="shared" si="66"/>
        <v>0</v>
      </c>
      <c r="L287">
        <f t="shared" si="66"/>
        <v>0</v>
      </c>
      <c r="M287">
        <f t="shared" si="66"/>
        <v>0</v>
      </c>
      <c r="N287">
        <f t="shared" si="66"/>
        <v>0</v>
      </c>
      <c r="O287">
        <f t="shared" si="66"/>
        <v>0</v>
      </c>
      <c r="P287">
        <f t="shared" si="66"/>
        <v>0</v>
      </c>
      <c r="Q287">
        <f t="shared" si="66"/>
        <v>0</v>
      </c>
      <c r="R287">
        <f t="shared" si="66"/>
        <v>0</v>
      </c>
      <c r="S287">
        <f t="shared" si="66"/>
        <v>0</v>
      </c>
      <c r="T287">
        <f t="shared" si="66"/>
        <v>0</v>
      </c>
      <c r="U287">
        <f t="shared" si="66"/>
        <v>0</v>
      </c>
      <c r="V287">
        <f t="shared" si="66"/>
        <v>0</v>
      </c>
      <c r="W287">
        <f t="shared" si="66"/>
        <v>0</v>
      </c>
      <c r="X287">
        <f t="shared" si="66"/>
        <v>0</v>
      </c>
      <c r="Y287">
        <f t="shared" si="65"/>
        <v>0</v>
      </c>
      <c r="Z287">
        <f t="shared" si="65"/>
        <v>0</v>
      </c>
      <c r="AA287">
        <f t="shared" si="65"/>
        <v>0</v>
      </c>
      <c r="AB287">
        <f t="shared" si="65"/>
        <v>0</v>
      </c>
      <c r="AC287">
        <f t="shared" si="65"/>
        <v>0</v>
      </c>
      <c r="AD287">
        <f t="shared" si="65"/>
        <v>0</v>
      </c>
      <c r="AE287">
        <f t="shared" si="65"/>
        <v>0</v>
      </c>
      <c r="AF287">
        <f t="shared" si="65"/>
        <v>0</v>
      </c>
      <c r="AG287">
        <f t="shared" si="65"/>
        <v>0</v>
      </c>
      <c r="AH287">
        <f t="shared" si="65"/>
        <v>0</v>
      </c>
      <c r="AI287">
        <f t="shared" si="65"/>
        <v>0</v>
      </c>
      <c r="AJ287">
        <f t="shared" si="65"/>
        <v>0</v>
      </c>
      <c r="AK287">
        <f t="shared" si="65"/>
        <v>0</v>
      </c>
      <c r="AL287">
        <f t="shared" si="65"/>
        <v>0</v>
      </c>
      <c r="AM287">
        <f t="shared" si="65"/>
        <v>0</v>
      </c>
      <c r="AN287">
        <f t="shared" si="61"/>
        <v>0</v>
      </c>
      <c r="AO287">
        <f t="shared" si="61"/>
        <v>0</v>
      </c>
      <c r="AP287">
        <f t="shared" si="61"/>
        <v>0</v>
      </c>
      <c r="AQ287">
        <f t="shared" si="61"/>
        <v>0</v>
      </c>
      <c r="AR287">
        <f t="shared" si="61"/>
        <v>0</v>
      </c>
    </row>
    <row r="288" spans="5:44" x14ac:dyDescent="0.2">
      <c r="E288" s="1">
        <f>moment_rate!$AC288</f>
        <v>7.4493433161470389E-3</v>
      </c>
      <c r="F288" s="1">
        <f t="shared" si="59"/>
        <v>0</v>
      </c>
      <c r="G288">
        <f>moment_rate!I288-0.005</f>
        <v>2.8099999999999841</v>
      </c>
      <c r="H288" s="1">
        <f t="shared" si="60"/>
        <v>0</v>
      </c>
      <c r="I288">
        <f t="shared" si="66"/>
        <v>0</v>
      </c>
      <c r="J288">
        <f t="shared" si="66"/>
        <v>0</v>
      </c>
      <c r="K288">
        <f t="shared" si="66"/>
        <v>0</v>
      </c>
      <c r="L288">
        <f t="shared" si="66"/>
        <v>0</v>
      </c>
      <c r="M288">
        <f t="shared" si="66"/>
        <v>0</v>
      </c>
      <c r="N288">
        <f t="shared" si="66"/>
        <v>0</v>
      </c>
      <c r="O288">
        <f t="shared" si="66"/>
        <v>0</v>
      </c>
      <c r="P288">
        <f t="shared" si="66"/>
        <v>0</v>
      </c>
      <c r="Q288">
        <f t="shared" si="66"/>
        <v>0</v>
      </c>
      <c r="R288">
        <f t="shared" si="66"/>
        <v>0</v>
      </c>
      <c r="S288">
        <f t="shared" si="66"/>
        <v>0</v>
      </c>
      <c r="T288">
        <f t="shared" si="66"/>
        <v>0</v>
      </c>
      <c r="U288">
        <f t="shared" si="66"/>
        <v>0</v>
      </c>
      <c r="V288">
        <f t="shared" si="66"/>
        <v>0</v>
      </c>
      <c r="W288">
        <f t="shared" si="66"/>
        <v>0</v>
      </c>
      <c r="X288">
        <f t="shared" si="66"/>
        <v>0</v>
      </c>
      <c r="Y288">
        <f t="shared" si="65"/>
        <v>0</v>
      </c>
      <c r="Z288">
        <f t="shared" si="65"/>
        <v>0</v>
      </c>
      <c r="AA288">
        <f t="shared" si="65"/>
        <v>0</v>
      </c>
      <c r="AB288">
        <f t="shared" si="65"/>
        <v>0</v>
      </c>
      <c r="AC288">
        <f t="shared" si="65"/>
        <v>0</v>
      </c>
      <c r="AD288">
        <f t="shared" si="65"/>
        <v>0</v>
      </c>
      <c r="AE288">
        <f t="shared" si="65"/>
        <v>0</v>
      </c>
      <c r="AF288">
        <f t="shared" si="65"/>
        <v>0</v>
      </c>
      <c r="AG288">
        <f t="shared" si="65"/>
        <v>0</v>
      </c>
      <c r="AH288">
        <f t="shared" si="65"/>
        <v>0</v>
      </c>
      <c r="AI288">
        <f t="shared" si="65"/>
        <v>0</v>
      </c>
      <c r="AJ288">
        <f t="shared" si="65"/>
        <v>0</v>
      </c>
      <c r="AK288">
        <f t="shared" si="65"/>
        <v>0</v>
      </c>
      <c r="AL288">
        <f t="shared" si="65"/>
        <v>0</v>
      </c>
      <c r="AM288">
        <f t="shared" si="65"/>
        <v>0</v>
      </c>
      <c r="AN288">
        <f t="shared" si="61"/>
        <v>0</v>
      </c>
      <c r="AO288">
        <f t="shared" si="61"/>
        <v>0</v>
      </c>
      <c r="AP288">
        <f t="shared" si="61"/>
        <v>0</v>
      </c>
      <c r="AQ288">
        <f t="shared" si="61"/>
        <v>0</v>
      </c>
      <c r="AR288">
        <f t="shared" si="61"/>
        <v>0</v>
      </c>
    </row>
    <row r="289" spans="5:44" x14ac:dyDescent="0.2">
      <c r="E289" s="1">
        <f>moment_rate!$AC289</f>
        <v>7.4493433161470389E-3</v>
      </c>
      <c r="F289" s="1">
        <f t="shared" si="59"/>
        <v>0</v>
      </c>
      <c r="G289">
        <f>moment_rate!I289-0.005</f>
        <v>2.8199999999999839</v>
      </c>
      <c r="H289" s="1">
        <f t="shared" si="60"/>
        <v>0</v>
      </c>
      <c r="I289">
        <f t="shared" si="66"/>
        <v>0</v>
      </c>
      <c r="J289">
        <f t="shared" si="66"/>
        <v>0</v>
      </c>
      <c r="K289">
        <f t="shared" si="66"/>
        <v>0</v>
      </c>
      <c r="L289">
        <f t="shared" si="66"/>
        <v>0</v>
      </c>
      <c r="M289">
        <f t="shared" si="66"/>
        <v>0</v>
      </c>
      <c r="N289">
        <f t="shared" si="66"/>
        <v>0</v>
      </c>
      <c r="O289">
        <f t="shared" si="66"/>
        <v>0</v>
      </c>
      <c r="P289">
        <f t="shared" si="66"/>
        <v>0</v>
      </c>
      <c r="Q289">
        <f t="shared" si="66"/>
        <v>0</v>
      </c>
      <c r="R289">
        <f t="shared" si="66"/>
        <v>0</v>
      </c>
      <c r="S289">
        <f t="shared" si="66"/>
        <v>0</v>
      </c>
      <c r="T289">
        <f t="shared" si="66"/>
        <v>0</v>
      </c>
      <c r="U289">
        <f t="shared" si="66"/>
        <v>0</v>
      </c>
      <c r="V289">
        <f t="shared" si="66"/>
        <v>0</v>
      </c>
      <c r="W289">
        <f t="shared" si="66"/>
        <v>0</v>
      </c>
      <c r="X289">
        <f t="shared" si="66"/>
        <v>0</v>
      </c>
      <c r="Y289">
        <f t="shared" si="65"/>
        <v>0</v>
      </c>
      <c r="Z289">
        <f t="shared" si="65"/>
        <v>0</v>
      </c>
      <c r="AA289">
        <f t="shared" si="65"/>
        <v>0</v>
      </c>
      <c r="AB289">
        <f t="shared" si="65"/>
        <v>0</v>
      </c>
      <c r="AC289">
        <f t="shared" si="65"/>
        <v>0</v>
      </c>
      <c r="AD289">
        <f t="shared" si="65"/>
        <v>0</v>
      </c>
      <c r="AE289">
        <f t="shared" si="65"/>
        <v>0</v>
      </c>
      <c r="AF289">
        <f t="shared" si="65"/>
        <v>0</v>
      </c>
      <c r="AG289">
        <f t="shared" si="65"/>
        <v>0</v>
      </c>
      <c r="AH289">
        <f t="shared" si="65"/>
        <v>0</v>
      </c>
      <c r="AI289">
        <f t="shared" si="65"/>
        <v>0</v>
      </c>
      <c r="AJ289">
        <f t="shared" si="65"/>
        <v>0</v>
      </c>
      <c r="AK289">
        <f t="shared" si="61"/>
        <v>0</v>
      </c>
      <c r="AL289">
        <f t="shared" si="61"/>
        <v>0</v>
      </c>
      <c r="AM289">
        <f t="shared" si="61"/>
        <v>0</v>
      </c>
      <c r="AN289">
        <f t="shared" si="61"/>
        <v>0</v>
      </c>
      <c r="AO289">
        <f t="shared" si="61"/>
        <v>0</v>
      </c>
      <c r="AP289">
        <f t="shared" si="61"/>
        <v>0</v>
      </c>
      <c r="AQ289">
        <f t="shared" si="61"/>
        <v>0</v>
      </c>
      <c r="AR289">
        <f t="shared" si="61"/>
        <v>0</v>
      </c>
    </row>
    <row r="290" spans="5:44" x14ac:dyDescent="0.2">
      <c r="E290" s="1">
        <f>moment_rate!$AC290</f>
        <v>7.4493433161470389E-3</v>
      </c>
      <c r="F290" s="1">
        <f t="shared" si="59"/>
        <v>0</v>
      </c>
      <c r="G290">
        <f>moment_rate!I290-0.005</f>
        <v>2.8299999999999836</v>
      </c>
      <c r="H290" s="1">
        <f t="shared" si="60"/>
        <v>0</v>
      </c>
      <c r="I290">
        <f t="shared" si="66"/>
        <v>0</v>
      </c>
      <c r="J290">
        <f t="shared" si="66"/>
        <v>0</v>
      </c>
      <c r="K290">
        <f t="shared" si="66"/>
        <v>0</v>
      </c>
      <c r="L290">
        <f t="shared" si="66"/>
        <v>0</v>
      </c>
      <c r="M290">
        <f t="shared" si="66"/>
        <v>0</v>
      </c>
      <c r="N290">
        <f t="shared" si="66"/>
        <v>0</v>
      </c>
      <c r="O290">
        <f t="shared" si="66"/>
        <v>0</v>
      </c>
      <c r="P290">
        <f t="shared" si="66"/>
        <v>0</v>
      </c>
      <c r="Q290">
        <f t="shared" si="66"/>
        <v>0</v>
      </c>
      <c r="R290">
        <f t="shared" si="66"/>
        <v>0</v>
      </c>
      <c r="S290">
        <f t="shared" si="66"/>
        <v>0</v>
      </c>
      <c r="T290">
        <f t="shared" si="66"/>
        <v>0</v>
      </c>
      <c r="U290">
        <f t="shared" si="66"/>
        <v>0</v>
      </c>
      <c r="V290">
        <f t="shared" si="66"/>
        <v>0</v>
      </c>
      <c r="W290">
        <f t="shared" si="66"/>
        <v>0</v>
      </c>
      <c r="X290">
        <f t="shared" si="66"/>
        <v>0</v>
      </c>
      <c r="Y290">
        <f t="shared" si="65"/>
        <v>0</v>
      </c>
      <c r="Z290">
        <f t="shared" si="65"/>
        <v>0</v>
      </c>
      <c r="AA290">
        <f t="shared" si="65"/>
        <v>0</v>
      </c>
      <c r="AB290">
        <f t="shared" si="65"/>
        <v>0</v>
      </c>
      <c r="AC290">
        <f t="shared" si="65"/>
        <v>0</v>
      </c>
      <c r="AD290">
        <f t="shared" si="65"/>
        <v>0</v>
      </c>
      <c r="AE290">
        <f t="shared" si="65"/>
        <v>0</v>
      </c>
      <c r="AF290">
        <f t="shared" si="65"/>
        <v>0</v>
      </c>
      <c r="AG290">
        <f t="shared" si="65"/>
        <v>0</v>
      </c>
      <c r="AH290">
        <f t="shared" si="65"/>
        <v>0</v>
      </c>
      <c r="AI290">
        <f t="shared" si="65"/>
        <v>0</v>
      </c>
      <c r="AJ290">
        <f t="shared" si="65"/>
        <v>0</v>
      </c>
      <c r="AK290">
        <f t="shared" si="61"/>
        <v>0</v>
      </c>
      <c r="AL290">
        <f t="shared" si="61"/>
        <v>0</v>
      </c>
      <c r="AM290">
        <f t="shared" si="61"/>
        <v>0</v>
      </c>
      <c r="AN290">
        <f t="shared" si="61"/>
        <v>0</v>
      </c>
      <c r="AO290">
        <f t="shared" si="61"/>
        <v>0</v>
      </c>
      <c r="AP290">
        <f t="shared" si="61"/>
        <v>0</v>
      </c>
      <c r="AQ290">
        <f t="shared" si="61"/>
        <v>0</v>
      </c>
      <c r="AR290">
        <f t="shared" si="61"/>
        <v>0</v>
      </c>
    </row>
    <row r="291" spans="5:44" x14ac:dyDescent="0.2">
      <c r="E291" s="1">
        <f>moment_rate!$AC291</f>
        <v>7.4493433161470389E-3</v>
      </c>
      <c r="F291" s="1">
        <f t="shared" si="59"/>
        <v>0</v>
      </c>
      <c r="G291">
        <f>moment_rate!I291-0.005</f>
        <v>2.8399999999999834</v>
      </c>
      <c r="H291" s="1">
        <f t="shared" si="60"/>
        <v>0</v>
      </c>
      <c r="I291">
        <f t="shared" si="66"/>
        <v>0</v>
      </c>
      <c r="J291">
        <f t="shared" si="66"/>
        <v>0</v>
      </c>
      <c r="K291">
        <f t="shared" si="66"/>
        <v>0</v>
      </c>
      <c r="L291">
        <f t="shared" si="66"/>
        <v>0</v>
      </c>
      <c r="M291">
        <f t="shared" si="66"/>
        <v>0</v>
      </c>
      <c r="N291">
        <f t="shared" si="66"/>
        <v>0</v>
      </c>
      <c r="O291">
        <f t="shared" si="66"/>
        <v>0</v>
      </c>
      <c r="P291">
        <f t="shared" si="66"/>
        <v>0</v>
      </c>
      <c r="Q291">
        <f t="shared" si="66"/>
        <v>0</v>
      </c>
      <c r="R291">
        <f t="shared" si="66"/>
        <v>0</v>
      </c>
      <c r="S291">
        <f t="shared" si="66"/>
        <v>0</v>
      </c>
      <c r="T291">
        <f t="shared" si="66"/>
        <v>0</v>
      </c>
      <c r="U291">
        <f t="shared" si="66"/>
        <v>0</v>
      </c>
      <c r="V291">
        <f t="shared" si="66"/>
        <v>0</v>
      </c>
      <c r="W291">
        <f t="shared" si="66"/>
        <v>0</v>
      </c>
      <c r="X291">
        <f t="shared" si="66"/>
        <v>0</v>
      </c>
      <c r="Y291">
        <f t="shared" si="65"/>
        <v>0</v>
      </c>
      <c r="Z291">
        <f t="shared" si="65"/>
        <v>0</v>
      </c>
      <c r="AA291">
        <f t="shared" si="65"/>
        <v>0</v>
      </c>
      <c r="AB291">
        <f t="shared" si="65"/>
        <v>0</v>
      </c>
      <c r="AC291">
        <f t="shared" si="65"/>
        <v>0</v>
      </c>
      <c r="AD291">
        <f t="shared" si="65"/>
        <v>0</v>
      </c>
      <c r="AE291">
        <f t="shared" si="65"/>
        <v>0</v>
      </c>
      <c r="AF291">
        <f t="shared" si="65"/>
        <v>0</v>
      </c>
      <c r="AG291">
        <f t="shared" si="65"/>
        <v>0</v>
      </c>
      <c r="AH291">
        <f t="shared" si="65"/>
        <v>0</v>
      </c>
      <c r="AI291">
        <f t="shared" si="65"/>
        <v>0</v>
      </c>
      <c r="AJ291">
        <f t="shared" si="65"/>
        <v>0</v>
      </c>
      <c r="AK291">
        <f t="shared" si="61"/>
        <v>0</v>
      </c>
      <c r="AL291">
        <f t="shared" si="61"/>
        <v>0</v>
      </c>
      <c r="AM291">
        <f t="shared" si="61"/>
        <v>0</v>
      </c>
      <c r="AN291">
        <f t="shared" si="61"/>
        <v>0</v>
      </c>
      <c r="AO291">
        <f t="shared" si="61"/>
        <v>0</v>
      </c>
      <c r="AP291">
        <f t="shared" si="61"/>
        <v>0</v>
      </c>
      <c r="AQ291">
        <f t="shared" si="61"/>
        <v>0</v>
      </c>
      <c r="AR291">
        <f t="shared" si="61"/>
        <v>0</v>
      </c>
    </row>
    <row r="292" spans="5:44" x14ac:dyDescent="0.2">
      <c r="E292" s="1">
        <f>moment_rate!$AC292</f>
        <v>7.4493433161470389E-3</v>
      </c>
      <c r="F292" s="1">
        <f t="shared" si="59"/>
        <v>0</v>
      </c>
      <c r="G292">
        <f>moment_rate!I292-0.005</f>
        <v>2.8499999999999832</v>
      </c>
      <c r="H292" s="1">
        <f t="shared" si="60"/>
        <v>0</v>
      </c>
      <c r="I292">
        <f t="shared" si="66"/>
        <v>0</v>
      </c>
      <c r="J292">
        <f t="shared" si="66"/>
        <v>0</v>
      </c>
      <c r="K292">
        <f t="shared" si="66"/>
        <v>0</v>
      </c>
      <c r="L292">
        <f t="shared" si="66"/>
        <v>0</v>
      </c>
      <c r="M292">
        <f t="shared" si="66"/>
        <v>0</v>
      </c>
      <c r="N292">
        <f t="shared" si="66"/>
        <v>0</v>
      </c>
      <c r="O292">
        <f t="shared" si="66"/>
        <v>0</v>
      </c>
      <c r="P292">
        <f t="shared" si="66"/>
        <v>0</v>
      </c>
      <c r="Q292">
        <f t="shared" si="66"/>
        <v>0</v>
      </c>
      <c r="R292">
        <f t="shared" si="66"/>
        <v>0</v>
      </c>
      <c r="S292">
        <f t="shared" si="66"/>
        <v>0</v>
      </c>
      <c r="T292">
        <f t="shared" si="66"/>
        <v>0</v>
      </c>
      <c r="U292">
        <f t="shared" si="66"/>
        <v>0</v>
      </c>
      <c r="V292">
        <f t="shared" si="66"/>
        <v>0</v>
      </c>
      <c r="W292">
        <f t="shared" si="66"/>
        <v>0</v>
      </c>
      <c r="X292">
        <f t="shared" si="66"/>
        <v>0</v>
      </c>
      <c r="Y292">
        <f t="shared" si="65"/>
        <v>0</v>
      </c>
      <c r="Z292">
        <f t="shared" si="65"/>
        <v>0</v>
      </c>
      <c r="AA292">
        <f t="shared" si="65"/>
        <v>0</v>
      </c>
      <c r="AB292">
        <f t="shared" si="65"/>
        <v>0</v>
      </c>
      <c r="AC292">
        <f t="shared" si="65"/>
        <v>0</v>
      </c>
      <c r="AD292">
        <f t="shared" si="65"/>
        <v>0</v>
      </c>
      <c r="AE292">
        <f t="shared" si="65"/>
        <v>0</v>
      </c>
      <c r="AF292">
        <f t="shared" si="65"/>
        <v>0</v>
      </c>
      <c r="AG292">
        <f t="shared" si="65"/>
        <v>0</v>
      </c>
      <c r="AH292">
        <f t="shared" si="65"/>
        <v>0</v>
      </c>
      <c r="AI292">
        <f t="shared" si="65"/>
        <v>0</v>
      </c>
      <c r="AJ292">
        <f t="shared" si="65"/>
        <v>0</v>
      </c>
      <c r="AK292">
        <f t="shared" si="61"/>
        <v>0</v>
      </c>
      <c r="AL292">
        <f t="shared" si="61"/>
        <v>0</v>
      </c>
      <c r="AM292">
        <f t="shared" si="61"/>
        <v>0</v>
      </c>
      <c r="AN292">
        <f t="shared" si="61"/>
        <v>0</v>
      </c>
      <c r="AO292">
        <f t="shared" si="61"/>
        <v>0</v>
      </c>
      <c r="AP292">
        <f t="shared" si="61"/>
        <v>0</v>
      </c>
      <c r="AQ292">
        <f t="shared" si="61"/>
        <v>0</v>
      </c>
      <c r="AR292">
        <f t="shared" si="61"/>
        <v>0</v>
      </c>
    </row>
    <row r="293" spans="5:44" x14ac:dyDescent="0.2">
      <c r="E293" s="1">
        <f>moment_rate!$AC293</f>
        <v>7.4493433161470389E-3</v>
      </c>
      <c r="F293" s="1">
        <f t="shared" si="59"/>
        <v>0</v>
      </c>
      <c r="G293">
        <f>moment_rate!I293-0.005</f>
        <v>2.859999999999983</v>
      </c>
      <c r="H293" s="1">
        <f t="shared" si="60"/>
        <v>0</v>
      </c>
      <c r="I293">
        <f t="shared" si="66"/>
        <v>0</v>
      </c>
      <c r="J293">
        <f t="shared" si="66"/>
        <v>0</v>
      </c>
      <c r="K293">
        <f t="shared" si="66"/>
        <v>0</v>
      </c>
      <c r="L293">
        <f t="shared" si="66"/>
        <v>0</v>
      </c>
      <c r="M293">
        <f t="shared" si="66"/>
        <v>0</v>
      </c>
      <c r="N293">
        <f t="shared" si="66"/>
        <v>0</v>
      </c>
      <c r="O293">
        <f t="shared" si="66"/>
        <v>0</v>
      </c>
      <c r="P293">
        <f t="shared" si="66"/>
        <v>0</v>
      </c>
      <c r="Q293">
        <f t="shared" si="66"/>
        <v>0</v>
      </c>
      <c r="R293">
        <f t="shared" si="66"/>
        <v>0</v>
      </c>
      <c r="S293">
        <f t="shared" si="66"/>
        <v>0</v>
      </c>
      <c r="T293">
        <f t="shared" si="66"/>
        <v>0</v>
      </c>
      <c r="U293">
        <f t="shared" si="66"/>
        <v>0</v>
      </c>
      <c r="V293">
        <f t="shared" si="66"/>
        <v>0</v>
      </c>
      <c r="W293">
        <f t="shared" si="66"/>
        <v>0</v>
      </c>
      <c r="X293">
        <f t="shared" si="66"/>
        <v>0</v>
      </c>
      <c r="Y293">
        <f t="shared" si="65"/>
        <v>0</v>
      </c>
      <c r="Z293">
        <f t="shared" si="65"/>
        <v>0</v>
      </c>
      <c r="AA293">
        <f t="shared" si="65"/>
        <v>0</v>
      </c>
      <c r="AB293">
        <f t="shared" si="65"/>
        <v>0</v>
      </c>
      <c r="AC293">
        <f t="shared" si="65"/>
        <v>0</v>
      </c>
      <c r="AD293">
        <f t="shared" si="65"/>
        <v>0</v>
      </c>
      <c r="AE293">
        <f t="shared" si="65"/>
        <v>0</v>
      </c>
      <c r="AF293">
        <f t="shared" si="65"/>
        <v>0</v>
      </c>
      <c r="AG293">
        <f t="shared" si="65"/>
        <v>0</v>
      </c>
      <c r="AH293">
        <f t="shared" si="65"/>
        <v>0</v>
      </c>
      <c r="AI293">
        <f t="shared" si="65"/>
        <v>0</v>
      </c>
      <c r="AJ293">
        <f t="shared" si="65"/>
        <v>0</v>
      </c>
      <c r="AK293">
        <f t="shared" si="61"/>
        <v>0</v>
      </c>
      <c r="AL293">
        <f t="shared" si="61"/>
        <v>0</v>
      </c>
      <c r="AM293">
        <f t="shared" si="61"/>
        <v>0</v>
      </c>
      <c r="AN293">
        <f t="shared" si="61"/>
        <v>0</v>
      </c>
      <c r="AO293">
        <f t="shared" si="61"/>
        <v>0</v>
      </c>
      <c r="AP293">
        <f t="shared" si="61"/>
        <v>0</v>
      </c>
      <c r="AQ293">
        <f t="shared" si="61"/>
        <v>0</v>
      </c>
      <c r="AR293">
        <f t="shared" si="61"/>
        <v>0</v>
      </c>
    </row>
    <row r="294" spans="5:44" x14ac:dyDescent="0.2">
      <c r="E294" s="1">
        <f>moment_rate!$AC294</f>
        <v>7.4493433161470389E-3</v>
      </c>
      <c r="F294" s="1">
        <f t="shared" si="59"/>
        <v>0</v>
      </c>
      <c r="G294">
        <f>moment_rate!I294-0.005</f>
        <v>2.8699999999999828</v>
      </c>
      <c r="H294" s="1">
        <f t="shared" si="60"/>
        <v>0</v>
      </c>
      <c r="I294">
        <f t="shared" si="66"/>
        <v>0</v>
      </c>
      <c r="J294">
        <f t="shared" si="66"/>
        <v>0</v>
      </c>
      <c r="K294">
        <f t="shared" si="66"/>
        <v>0</v>
      </c>
      <c r="L294">
        <f t="shared" si="66"/>
        <v>0</v>
      </c>
      <c r="M294">
        <f t="shared" si="66"/>
        <v>0</v>
      </c>
      <c r="N294">
        <f t="shared" si="66"/>
        <v>0</v>
      </c>
      <c r="O294">
        <f t="shared" si="66"/>
        <v>0</v>
      </c>
      <c r="P294">
        <f t="shared" si="66"/>
        <v>0</v>
      </c>
      <c r="Q294">
        <f t="shared" si="66"/>
        <v>0</v>
      </c>
      <c r="R294">
        <f t="shared" si="66"/>
        <v>0</v>
      </c>
      <c r="S294">
        <f t="shared" si="66"/>
        <v>0</v>
      </c>
      <c r="T294">
        <f t="shared" si="66"/>
        <v>0</v>
      </c>
      <c r="U294">
        <f t="shared" si="66"/>
        <v>0</v>
      </c>
      <c r="V294">
        <f t="shared" si="66"/>
        <v>0</v>
      </c>
      <c r="W294">
        <f t="shared" si="66"/>
        <v>0</v>
      </c>
      <c r="X294">
        <f t="shared" si="66"/>
        <v>0</v>
      </c>
      <c r="Y294">
        <f t="shared" si="65"/>
        <v>0</v>
      </c>
      <c r="Z294">
        <f t="shared" si="65"/>
        <v>0</v>
      </c>
      <c r="AA294">
        <f t="shared" si="65"/>
        <v>0</v>
      </c>
      <c r="AB294">
        <f t="shared" si="65"/>
        <v>0</v>
      </c>
      <c r="AC294">
        <f t="shared" si="65"/>
        <v>0</v>
      </c>
      <c r="AD294">
        <f t="shared" si="65"/>
        <v>0</v>
      </c>
      <c r="AE294">
        <f t="shared" si="65"/>
        <v>0</v>
      </c>
      <c r="AF294">
        <f t="shared" si="65"/>
        <v>0</v>
      </c>
      <c r="AG294">
        <f t="shared" si="65"/>
        <v>0</v>
      </c>
      <c r="AH294">
        <f t="shared" si="65"/>
        <v>0</v>
      </c>
      <c r="AI294">
        <f t="shared" si="65"/>
        <v>0</v>
      </c>
      <c r="AJ294">
        <f t="shared" si="65"/>
        <v>0</v>
      </c>
      <c r="AK294">
        <f t="shared" si="61"/>
        <v>0</v>
      </c>
      <c r="AL294">
        <f t="shared" si="61"/>
        <v>0</v>
      </c>
      <c r="AM294">
        <f t="shared" si="61"/>
        <v>0</v>
      </c>
      <c r="AN294">
        <f t="shared" si="61"/>
        <v>0</v>
      </c>
      <c r="AO294">
        <f t="shared" si="61"/>
        <v>0</v>
      </c>
      <c r="AP294">
        <f t="shared" si="61"/>
        <v>0</v>
      </c>
      <c r="AQ294">
        <f t="shared" si="61"/>
        <v>0</v>
      </c>
      <c r="AR294">
        <f t="shared" si="61"/>
        <v>0</v>
      </c>
    </row>
    <row r="295" spans="5:44" x14ac:dyDescent="0.2">
      <c r="E295" s="1">
        <f>moment_rate!$AC295</f>
        <v>7.4493433161470389E-3</v>
      </c>
      <c r="F295" s="1">
        <f t="shared" si="59"/>
        <v>0</v>
      </c>
      <c r="G295">
        <f>moment_rate!I295-0.005</f>
        <v>2.8799999999999826</v>
      </c>
      <c r="H295" s="1">
        <f t="shared" si="60"/>
        <v>0</v>
      </c>
      <c r="I295">
        <f t="shared" si="66"/>
        <v>0</v>
      </c>
      <c r="J295">
        <f t="shared" si="66"/>
        <v>0</v>
      </c>
      <c r="K295">
        <f t="shared" si="66"/>
        <v>0</v>
      </c>
      <c r="L295">
        <f t="shared" si="66"/>
        <v>0</v>
      </c>
      <c r="M295">
        <f t="shared" si="66"/>
        <v>0</v>
      </c>
      <c r="N295">
        <f t="shared" si="66"/>
        <v>0</v>
      </c>
      <c r="O295">
        <f t="shared" si="66"/>
        <v>0</v>
      </c>
      <c r="P295">
        <f t="shared" si="66"/>
        <v>0</v>
      </c>
      <c r="Q295">
        <f t="shared" si="66"/>
        <v>0</v>
      </c>
      <c r="R295">
        <f t="shared" si="66"/>
        <v>0</v>
      </c>
      <c r="S295">
        <f t="shared" si="66"/>
        <v>0</v>
      </c>
      <c r="T295">
        <f t="shared" si="66"/>
        <v>0</v>
      </c>
      <c r="U295">
        <f t="shared" si="66"/>
        <v>0</v>
      </c>
      <c r="V295">
        <f t="shared" si="66"/>
        <v>0</v>
      </c>
      <c r="W295">
        <f t="shared" si="66"/>
        <v>0</v>
      </c>
      <c r="X295">
        <f t="shared" si="66"/>
        <v>0</v>
      </c>
      <c r="Y295">
        <f t="shared" si="65"/>
        <v>0</v>
      </c>
      <c r="Z295">
        <f t="shared" si="65"/>
        <v>0</v>
      </c>
      <c r="AA295">
        <f t="shared" si="65"/>
        <v>0</v>
      </c>
      <c r="AB295">
        <f t="shared" si="65"/>
        <v>0</v>
      </c>
      <c r="AC295">
        <f t="shared" si="65"/>
        <v>0</v>
      </c>
      <c r="AD295">
        <f t="shared" si="65"/>
        <v>0</v>
      </c>
      <c r="AE295">
        <f t="shared" si="65"/>
        <v>0</v>
      </c>
      <c r="AF295">
        <f t="shared" si="65"/>
        <v>0</v>
      </c>
      <c r="AG295">
        <f t="shared" si="65"/>
        <v>0</v>
      </c>
      <c r="AH295">
        <f t="shared" si="65"/>
        <v>0</v>
      </c>
      <c r="AI295">
        <f t="shared" si="65"/>
        <v>0</v>
      </c>
      <c r="AJ295">
        <f t="shared" si="65"/>
        <v>0</v>
      </c>
      <c r="AK295">
        <f t="shared" si="61"/>
        <v>0</v>
      </c>
      <c r="AL295">
        <f t="shared" si="61"/>
        <v>0</v>
      </c>
      <c r="AM295">
        <f t="shared" si="61"/>
        <v>0</v>
      </c>
      <c r="AN295">
        <f t="shared" si="61"/>
        <v>0</v>
      </c>
      <c r="AO295">
        <f t="shared" si="61"/>
        <v>0</v>
      </c>
      <c r="AP295">
        <f t="shared" si="61"/>
        <v>0</v>
      </c>
      <c r="AQ295">
        <f t="shared" si="61"/>
        <v>0</v>
      </c>
      <c r="AR295">
        <f t="shared" si="61"/>
        <v>0</v>
      </c>
    </row>
    <row r="296" spans="5:44" x14ac:dyDescent="0.2">
      <c r="E296" s="1">
        <f>moment_rate!$AC296</f>
        <v>7.4493433161470389E-3</v>
      </c>
      <c r="F296" s="1">
        <f t="shared" si="59"/>
        <v>0</v>
      </c>
      <c r="G296">
        <f>moment_rate!I296-0.005</f>
        <v>2.8899999999999824</v>
      </c>
      <c r="H296" s="1">
        <f t="shared" si="60"/>
        <v>0</v>
      </c>
      <c r="I296">
        <f t="shared" si="66"/>
        <v>0</v>
      </c>
      <c r="J296">
        <f t="shared" si="66"/>
        <v>0</v>
      </c>
      <c r="K296">
        <f t="shared" si="66"/>
        <v>0</v>
      </c>
      <c r="L296">
        <f t="shared" si="66"/>
        <v>0</v>
      </c>
      <c r="M296">
        <f t="shared" si="66"/>
        <v>0</v>
      </c>
      <c r="N296">
        <f t="shared" si="66"/>
        <v>0</v>
      </c>
      <c r="O296">
        <f t="shared" si="66"/>
        <v>0</v>
      </c>
      <c r="P296">
        <f t="shared" si="66"/>
        <v>0</v>
      </c>
      <c r="Q296">
        <f t="shared" si="66"/>
        <v>0</v>
      </c>
      <c r="R296">
        <f t="shared" si="66"/>
        <v>0</v>
      </c>
      <c r="S296">
        <f t="shared" si="66"/>
        <v>0</v>
      </c>
      <c r="T296">
        <f t="shared" si="66"/>
        <v>0</v>
      </c>
      <c r="U296">
        <f t="shared" si="66"/>
        <v>0</v>
      </c>
      <c r="V296">
        <f t="shared" si="66"/>
        <v>0</v>
      </c>
      <c r="W296">
        <f t="shared" si="66"/>
        <v>0</v>
      </c>
      <c r="X296">
        <f t="shared" si="66"/>
        <v>0</v>
      </c>
      <c r="Y296">
        <f t="shared" si="65"/>
        <v>0</v>
      </c>
      <c r="Z296">
        <f t="shared" si="65"/>
        <v>0</v>
      </c>
      <c r="AA296">
        <f t="shared" si="65"/>
        <v>0</v>
      </c>
      <c r="AB296">
        <f t="shared" si="65"/>
        <v>0</v>
      </c>
      <c r="AC296">
        <f t="shared" si="65"/>
        <v>0</v>
      </c>
      <c r="AD296">
        <f t="shared" si="65"/>
        <v>0</v>
      </c>
      <c r="AE296">
        <f t="shared" si="65"/>
        <v>0</v>
      </c>
      <c r="AF296">
        <f t="shared" si="65"/>
        <v>0</v>
      </c>
      <c r="AG296">
        <f t="shared" si="65"/>
        <v>0</v>
      </c>
      <c r="AH296">
        <f t="shared" si="65"/>
        <v>0</v>
      </c>
      <c r="AI296">
        <f t="shared" si="65"/>
        <v>0</v>
      </c>
      <c r="AJ296">
        <f t="shared" si="65"/>
        <v>0</v>
      </c>
      <c r="AK296">
        <f t="shared" si="61"/>
        <v>0</v>
      </c>
      <c r="AL296">
        <f t="shared" si="61"/>
        <v>0</v>
      </c>
      <c r="AM296">
        <f t="shared" si="61"/>
        <v>0</v>
      </c>
      <c r="AN296">
        <f t="shared" si="61"/>
        <v>0</v>
      </c>
      <c r="AO296">
        <f t="shared" si="61"/>
        <v>0</v>
      </c>
      <c r="AP296">
        <f t="shared" si="61"/>
        <v>0</v>
      </c>
      <c r="AQ296">
        <f t="shared" si="61"/>
        <v>0</v>
      </c>
      <c r="AR296">
        <f t="shared" si="61"/>
        <v>0</v>
      </c>
    </row>
    <row r="297" spans="5:44" x14ac:dyDescent="0.2">
      <c r="E297" s="1">
        <f>moment_rate!$AC297</f>
        <v>7.4493433161470389E-3</v>
      </c>
      <c r="F297" s="1">
        <f t="shared" si="59"/>
        <v>0</v>
      </c>
      <c r="G297">
        <f>moment_rate!I297-0.005</f>
        <v>2.8999999999999821</v>
      </c>
      <c r="H297" s="1">
        <f t="shared" si="60"/>
        <v>0</v>
      </c>
      <c r="I297">
        <f t="shared" si="66"/>
        <v>0</v>
      </c>
      <c r="J297">
        <f t="shared" si="66"/>
        <v>0</v>
      </c>
      <c r="K297">
        <f t="shared" si="66"/>
        <v>0</v>
      </c>
      <c r="L297">
        <f t="shared" si="66"/>
        <v>0</v>
      </c>
      <c r="M297">
        <f t="shared" si="66"/>
        <v>0</v>
      </c>
      <c r="N297">
        <f t="shared" si="66"/>
        <v>0</v>
      </c>
      <c r="O297">
        <f t="shared" si="66"/>
        <v>0</v>
      </c>
      <c r="P297">
        <f t="shared" si="66"/>
        <v>0</v>
      </c>
      <c r="Q297">
        <f t="shared" si="66"/>
        <v>0</v>
      </c>
      <c r="R297">
        <f t="shared" si="66"/>
        <v>0</v>
      </c>
      <c r="S297">
        <f t="shared" si="66"/>
        <v>0</v>
      </c>
      <c r="T297">
        <f t="shared" si="66"/>
        <v>0</v>
      </c>
      <c r="U297">
        <f t="shared" si="66"/>
        <v>0</v>
      </c>
      <c r="V297">
        <f t="shared" si="66"/>
        <v>0</v>
      </c>
      <c r="W297">
        <f t="shared" si="66"/>
        <v>0</v>
      </c>
      <c r="X297">
        <f t="shared" si="66"/>
        <v>0</v>
      </c>
      <c r="Y297">
        <f t="shared" si="65"/>
        <v>0</v>
      </c>
      <c r="Z297">
        <f t="shared" si="65"/>
        <v>0</v>
      </c>
      <c r="AA297">
        <f t="shared" si="65"/>
        <v>0</v>
      </c>
      <c r="AB297">
        <f t="shared" si="65"/>
        <v>0</v>
      </c>
      <c r="AC297">
        <f t="shared" si="65"/>
        <v>0</v>
      </c>
      <c r="AD297">
        <f t="shared" si="65"/>
        <v>0</v>
      </c>
      <c r="AE297">
        <f t="shared" si="65"/>
        <v>0</v>
      </c>
      <c r="AF297">
        <f t="shared" si="65"/>
        <v>0</v>
      </c>
      <c r="AG297">
        <f t="shared" si="65"/>
        <v>0</v>
      </c>
      <c r="AH297">
        <f t="shared" si="65"/>
        <v>0</v>
      </c>
      <c r="AI297">
        <f t="shared" si="65"/>
        <v>0</v>
      </c>
      <c r="AJ297">
        <f t="shared" si="65"/>
        <v>0</v>
      </c>
      <c r="AK297">
        <f t="shared" si="61"/>
        <v>0</v>
      </c>
      <c r="AL297">
        <f t="shared" si="61"/>
        <v>0</v>
      </c>
      <c r="AM297">
        <f t="shared" si="61"/>
        <v>0</v>
      </c>
      <c r="AN297">
        <f t="shared" si="61"/>
        <v>0</v>
      </c>
      <c r="AO297">
        <f t="shared" si="61"/>
        <v>0</v>
      </c>
      <c r="AP297">
        <f t="shared" si="61"/>
        <v>0</v>
      </c>
      <c r="AQ297">
        <f t="shared" si="61"/>
        <v>0</v>
      </c>
      <c r="AR297">
        <f t="shared" si="61"/>
        <v>0</v>
      </c>
    </row>
    <row r="298" spans="5:44" x14ac:dyDescent="0.2">
      <c r="E298" s="1">
        <f>moment_rate!$AC298</f>
        <v>7.4493433161470389E-3</v>
      </c>
      <c r="F298" s="1">
        <f t="shared" si="59"/>
        <v>0</v>
      </c>
      <c r="G298">
        <f>moment_rate!I298-0.005</f>
        <v>2.9099999999999819</v>
      </c>
      <c r="H298" s="1">
        <f t="shared" si="60"/>
        <v>0</v>
      </c>
      <c r="I298">
        <f t="shared" si="66"/>
        <v>0</v>
      </c>
      <c r="J298">
        <f t="shared" si="66"/>
        <v>0</v>
      </c>
      <c r="K298">
        <f t="shared" si="66"/>
        <v>0</v>
      </c>
      <c r="L298">
        <f t="shared" si="66"/>
        <v>0</v>
      </c>
      <c r="M298">
        <f t="shared" si="66"/>
        <v>0</v>
      </c>
      <c r="N298">
        <f t="shared" si="66"/>
        <v>0</v>
      </c>
      <c r="O298">
        <f t="shared" si="66"/>
        <v>0</v>
      </c>
      <c r="P298">
        <f t="shared" si="66"/>
        <v>0</v>
      </c>
      <c r="Q298">
        <f t="shared" si="66"/>
        <v>0</v>
      </c>
      <c r="R298">
        <f t="shared" si="66"/>
        <v>0</v>
      </c>
      <c r="S298">
        <f t="shared" si="66"/>
        <v>0</v>
      </c>
      <c r="T298">
        <f t="shared" si="66"/>
        <v>0</v>
      </c>
      <c r="U298">
        <f t="shared" si="66"/>
        <v>0</v>
      </c>
      <c r="V298">
        <f t="shared" si="66"/>
        <v>0</v>
      </c>
      <c r="W298">
        <f t="shared" si="66"/>
        <v>0</v>
      </c>
      <c r="X298">
        <f t="shared" si="66"/>
        <v>0</v>
      </c>
      <c r="Y298">
        <f t="shared" si="65"/>
        <v>0</v>
      </c>
      <c r="Z298">
        <f t="shared" si="65"/>
        <v>0</v>
      </c>
      <c r="AA298">
        <f t="shared" si="65"/>
        <v>0</v>
      </c>
      <c r="AB298">
        <f t="shared" si="65"/>
        <v>0</v>
      </c>
      <c r="AC298">
        <f t="shared" si="65"/>
        <v>0</v>
      </c>
      <c r="AD298">
        <f t="shared" si="65"/>
        <v>0</v>
      </c>
      <c r="AE298">
        <f t="shared" si="65"/>
        <v>0</v>
      </c>
      <c r="AF298">
        <f t="shared" si="65"/>
        <v>0</v>
      </c>
      <c r="AG298">
        <f t="shared" si="65"/>
        <v>0</v>
      </c>
      <c r="AH298">
        <f t="shared" si="65"/>
        <v>0</v>
      </c>
      <c r="AI298">
        <f t="shared" si="65"/>
        <v>0</v>
      </c>
      <c r="AJ298">
        <f t="shared" si="65"/>
        <v>0</v>
      </c>
      <c r="AK298">
        <f t="shared" si="61"/>
        <v>0</v>
      </c>
      <c r="AL298">
        <f t="shared" si="61"/>
        <v>0</v>
      </c>
      <c r="AM298">
        <f t="shared" si="61"/>
        <v>0</v>
      </c>
      <c r="AN298">
        <f t="shared" si="61"/>
        <v>0</v>
      </c>
      <c r="AO298">
        <f t="shared" si="61"/>
        <v>0</v>
      </c>
      <c r="AP298">
        <f t="shared" si="61"/>
        <v>0</v>
      </c>
      <c r="AQ298">
        <f t="shared" si="61"/>
        <v>0</v>
      </c>
      <c r="AR298">
        <f t="shared" si="61"/>
        <v>0</v>
      </c>
    </row>
    <row r="299" spans="5:44" x14ac:dyDescent="0.2">
      <c r="E299" s="1">
        <f>moment_rate!$AC299</f>
        <v>7.4493433161470389E-3</v>
      </c>
      <c r="F299" s="1">
        <f t="shared" si="59"/>
        <v>0</v>
      </c>
      <c r="G299">
        <f>moment_rate!I299-0.005</f>
        <v>2.9199999999999817</v>
      </c>
      <c r="H299" s="1">
        <f t="shared" si="60"/>
        <v>0</v>
      </c>
      <c r="I299">
        <f t="shared" si="66"/>
        <v>0</v>
      </c>
      <c r="J299">
        <f t="shared" si="66"/>
        <v>0</v>
      </c>
      <c r="K299">
        <f t="shared" si="66"/>
        <v>0</v>
      </c>
      <c r="L299">
        <f t="shared" si="66"/>
        <v>0</v>
      </c>
      <c r="M299">
        <f t="shared" si="66"/>
        <v>0</v>
      </c>
      <c r="N299">
        <f t="shared" si="66"/>
        <v>0</v>
      </c>
      <c r="O299">
        <f t="shared" si="66"/>
        <v>0</v>
      </c>
      <c r="P299">
        <f t="shared" si="66"/>
        <v>0</v>
      </c>
      <c r="Q299">
        <f t="shared" si="66"/>
        <v>0</v>
      </c>
      <c r="R299">
        <f t="shared" si="66"/>
        <v>0</v>
      </c>
      <c r="S299">
        <f t="shared" si="66"/>
        <v>0</v>
      </c>
      <c r="T299">
        <f t="shared" si="66"/>
        <v>0</v>
      </c>
      <c r="U299">
        <f t="shared" si="66"/>
        <v>0</v>
      </c>
      <c r="V299">
        <f t="shared" si="66"/>
        <v>0</v>
      </c>
      <c r="W299">
        <f t="shared" si="66"/>
        <v>0</v>
      </c>
      <c r="X299">
        <f t="shared" si="66"/>
        <v>0</v>
      </c>
      <c r="Y299">
        <f t="shared" si="65"/>
        <v>0</v>
      </c>
      <c r="Z299">
        <f t="shared" si="65"/>
        <v>0</v>
      </c>
      <c r="AA299">
        <f t="shared" si="65"/>
        <v>0</v>
      </c>
      <c r="AB299">
        <f t="shared" si="65"/>
        <v>0</v>
      </c>
      <c r="AC299">
        <f t="shared" si="65"/>
        <v>0</v>
      </c>
      <c r="AD299">
        <f t="shared" si="65"/>
        <v>0</v>
      </c>
      <c r="AE299">
        <f t="shared" si="65"/>
        <v>0</v>
      </c>
      <c r="AF299">
        <f t="shared" si="65"/>
        <v>0</v>
      </c>
      <c r="AG299">
        <f t="shared" si="65"/>
        <v>0</v>
      </c>
      <c r="AH299">
        <f t="shared" si="65"/>
        <v>0</v>
      </c>
      <c r="AI299">
        <f t="shared" si="65"/>
        <v>0</v>
      </c>
      <c r="AJ299">
        <f t="shared" si="65"/>
        <v>0</v>
      </c>
      <c r="AK299">
        <f t="shared" si="61"/>
        <v>0</v>
      </c>
      <c r="AL299">
        <f t="shared" si="61"/>
        <v>0</v>
      </c>
      <c r="AM299">
        <f t="shared" si="61"/>
        <v>0</v>
      </c>
      <c r="AN299">
        <f t="shared" si="61"/>
        <v>0</v>
      </c>
      <c r="AO299">
        <f t="shared" si="61"/>
        <v>0</v>
      </c>
      <c r="AP299">
        <f t="shared" si="61"/>
        <v>0</v>
      </c>
      <c r="AQ299">
        <f t="shared" si="61"/>
        <v>0</v>
      </c>
      <c r="AR299">
        <f t="shared" si="61"/>
        <v>0</v>
      </c>
    </row>
    <row r="300" spans="5:44" x14ac:dyDescent="0.2">
      <c r="E300" s="1">
        <f>moment_rate!$AC300</f>
        <v>7.4493433161470389E-3</v>
      </c>
      <c r="F300" s="1">
        <f t="shared" si="59"/>
        <v>0</v>
      </c>
      <c r="G300">
        <f>moment_rate!I300-0.005</f>
        <v>2.9299999999999815</v>
      </c>
      <c r="H300" s="1">
        <f t="shared" si="60"/>
        <v>0</v>
      </c>
      <c r="I300">
        <f t="shared" si="66"/>
        <v>0</v>
      </c>
      <c r="J300">
        <f t="shared" si="66"/>
        <v>0</v>
      </c>
      <c r="K300">
        <f t="shared" si="66"/>
        <v>0</v>
      </c>
      <c r="L300">
        <f t="shared" si="66"/>
        <v>0</v>
      </c>
      <c r="M300">
        <f t="shared" si="66"/>
        <v>0</v>
      </c>
      <c r="N300">
        <f t="shared" si="66"/>
        <v>0</v>
      </c>
      <c r="O300">
        <f t="shared" si="66"/>
        <v>0</v>
      </c>
      <c r="P300">
        <f t="shared" si="66"/>
        <v>0</v>
      </c>
      <c r="Q300">
        <f t="shared" si="66"/>
        <v>0</v>
      </c>
      <c r="R300">
        <f t="shared" si="66"/>
        <v>0</v>
      </c>
      <c r="S300">
        <f t="shared" si="66"/>
        <v>0</v>
      </c>
      <c r="T300">
        <f t="shared" si="66"/>
        <v>0</v>
      </c>
      <c r="U300">
        <f t="shared" si="66"/>
        <v>0</v>
      </c>
      <c r="V300">
        <f t="shared" si="66"/>
        <v>0</v>
      </c>
      <c r="W300">
        <f t="shared" si="66"/>
        <v>0</v>
      </c>
      <c r="X300">
        <f t="shared" si="66"/>
        <v>0</v>
      </c>
      <c r="Y300">
        <f t="shared" si="65"/>
        <v>0</v>
      </c>
      <c r="Z300">
        <f t="shared" si="65"/>
        <v>0</v>
      </c>
      <c r="AA300">
        <f t="shared" si="65"/>
        <v>0</v>
      </c>
      <c r="AB300">
        <f t="shared" si="65"/>
        <v>0</v>
      </c>
      <c r="AC300">
        <f t="shared" si="65"/>
        <v>0</v>
      </c>
      <c r="AD300">
        <f t="shared" si="65"/>
        <v>0</v>
      </c>
      <c r="AE300">
        <f t="shared" si="65"/>
        <v>0</v>
      </c>
      <c r="AF300">
        <f t="shared" si="65"/>
        <v>0</v>
      </c>
      <c r="AG300">
        <f t="shared" si="65"/>
        <v>0</v>
      </c>
      <c r="AH300">
        <f t="shared" si="65"/>
        <v>0</v>
      </c>
      <c r="AI300">
        <f t="shared" si="65"/>
        <v>0</v>
      </c>
      <c r="AJ300">
        <f t="shared" si="65"/>
        <v>0</v>
      </c>
      <c r="AK300">
        <f t="shared" si="65"/>
        <v>0</v>
      </c>
      <c r="AL300">
        <f t="shared" si="65"/>
        <v>0</v>
      </c>
      <c r="AM300">
        <f t="shared" si="65"/>
        <v>0</v>
      </c>
      <c r="AN300">
        <f t="shared" si="61"/>
        <v>0</v>
      </c>
      <c r="AO300">
        <f t="shared" si="61"/>
        <v>0</v>
      </c>
      <c r="AP300">
        <f t="shared" si="61"/>
        <v>0</v>
      </c>
      <c r="AQ300">
        <f t="shared" si="61"/>
        <v>0</v>
      </c>
      <c r="AR300">
        <f t="shared" si="61"/>
        <v>0</v>
      </c>
    </row>
    <row r="301" spans="5:44" x14ac:dyDescent="0.2">
      <c r="E301" s="1">
        <f>moment_rate!$AC301</f>
        <v>7.4493433161470389E-3</v>
      </c>
      <c r="F301" s="1">
        <f t="shared" si="59"/>
        <v>0</v>
      </c>
      <c r="G301">
        <f>moment_rate!I301-0.005</f>
        <v>2.9399999999999813</v>
      </c>
      <c r="H301" s="1">
        <f t="shared" si="60"/>
        <v>0</v>
      </c>
      <c r="I301">
        <f t="shared" si="66"/>
        <v>0</v>
      </c>
      <c r="J301">
        <f t="shared" si="66"/>
        <v>0</v>
      </c>
      <c r="K301">
        <f t="shared" si="66"/>
        <v>0</v>
      </c>
      <c r="L301">
        <f t="shared" si="66"/>
        <v>0</v>
      </c>
      <c r="M301">
        <f t="shared" si="66"/>
        <v>0</v>
      </c>
      <c r="N301">
        <f t="shared" si="66"/>
        <v>0</v>
      </c>
      <c r="O301">
        <f t="shared" si="66"/>
        <v>0</v>
      </c>
      <c r="P301">
        <f t="shared" si="66"/>
        <v>0</v>
      </c>
      <c r="Q301">
        <f t="shared" si="66"/>
        <v>0</v>
      </c>
      <c r="R301">
        <f t="shared" si="66"/>
        <v>0</v>
      </c>
      <c r="S301">
        <f t="shared" si="66"/>
        <v>0</v>
      </c>
      <c r="T301">
        <f t="shared" si="66"/>
        <v>0</v>
      </c>
      <c r="U301">
        <f t="shared" si="66"/>
        <v>0</v>
      </c>
      <c r="V301">
        <f t="shared" si="66"/>
        <v>0</v>
      </c>
      <c r="W301">
        <f t="shared" si="66"/>
        <v>0</v>
      </c>
      <c r="X301">
        <f t="shared" si="66"/>
        <v>0</v>
      </c>
      <c r="Y301">
        <f t="shared" si="65"/>
        <v>0</v>
      </c>
      <c r="Z301">
        <f t="shared" si="65"/>
        <v>0</v>
      </c>
      <c r="AA301">
        <f t="shared" si="65"/>
        <v>0</v>
      </c>
      <c r="AB301">
        <f t="shared" si="65"/>
        <v>0</v>
      </c>
      <c r="AC301">
        <f t="shared" si="65"/>
        <v>0</v>
      </c>
      <c r="AD301">
        <f t="shared" si="65"/>
        <v>0</v>
      </c>
      <c r="AE301">
        <f t="shared" si="65"/>
        <v>0</v>
      </c>
      <c r="AF301">
        <f t="shared" si="65"/>
        <v>0</v>
      </c>
      <c r="AG301">
        <f t="shared" si="65"/>
        <v>0</v>
      </c>
      <c r="AH301">
        <f t="shared" si="65"/>
        <v>0</v>
      </c>
      <c r="AI301">
        <f t="shared" si="65"/>
        <v>0</v>
      </c>
      <c r="AJ301">
        <f t="shared" si="65"/>
        <v>0</v>
      </c>
      <c r="AK301">
        <f t="shared" si="65"/>
        <v>0</v>
      </c>
      <c r="AL301">
        <f t="shared" si="65"/>
        <v>0</v>
      </c>
      <c r="AM301">
        <f t="shared" si="65"/>
        <v>0</v>
      </c>
      <c r="AN301">
        <f t="shared" si="61"/>
        <v>0</v>
      </c>
      <c r="AO301">
        <f>IF(AND($G301&gt;=AO$3,$G301&lt;AO$4),$F301,0)</f>
        <v>0</v>
      </c>
      <c r="AP301">
        <f>IF(AND($G301&gt;=AP$3,$G301&lt;AP$4),$F301,0)</f>
        <v>0</v>
      </c>
      <c r="AQ301">
        <f>IF(AND($G301&gt;=AQ$3,$G301&lt;AQ$4),$F301,0)</f>
        <v>0</v>
      </c>
      <c r="AR301">
        <f>IF(AND($G301&gt;=AR$3,$G301&lt;AR$4),$F301,0)</f>
        <v>0</v>
      </c>
    </row>
    <row r="302" spans="5:44" x14ac:dyDescent="0.2">
      <c r="E302" s="1">
        <f>moment_rate!$AC302</f>
        <v>7.4493433161470389E-3</v>
      </c>
      <c r="F302" s="1">
        <f t="shared" si="59"/>
        <v>0</v>
      </c>
      <c r="G302">
        <f>moment_rate!I302-0.005</f>
        <v>2.9499999999999811</v>
      </c>
      <c r="H302" s="1">
        <f t="shared" si="60"/>
        <v>0</v>
      </c>
      <c r="I302">
        <f t="shared" si="66"/>
        <v>0</v>
      </c>
      <c r="J302">
        <f t="shared" si="66"/>
        <v>0</v>
      </c>
      <c r="K302">
        <f t="shared" si="66"/>
        <v>0</v>
      </c>
      <c r="L302">
        <f t="shared" si="66"/>
        <v>0</v>
      </c>
      <c r="M302">
        <f t="shared" si="66"/>
        <v>0</v>
      </c>
      <c r="N302">
        <f t="shared" si="66"/>
        <v>0</v>
      </c>
      <c r="O302">
        <f t="shared" si="66"/>
        <v>0</v>
      </c>
      <c r="P302">
        <f t="shared" si="66"/>
        <v>0</v>
      </c>
      <c r="Q302">
        <f t="shared" si="66"/>
        <v>0</v>
      </c>
      <c r="R302">
        <f t="shared" si="66"/>
        <v>0</v>
      </c>
      <c r="S302">
        <f t="shared" si="66"/>
        <v>0</v>
      </c>
      <c r="T302">
        <f t="shared" si="66"/>
        <v>0</v>
      </c>
      <c r="U302">
        <f t="shared" si="66"/>
        <v>0</v>
      </c>
      <c r="V302">
        <f t="shared" si="66"/>
        <v>0</v>
      </c>
      <c r="W302">
        <f t="shared" si="66"/>
        <v>0</v>
      </c>
      <c r="X302">
        <f t="shared" ref="X302:AR314" si="67">IF(AND($G302&gt;=X$3,$G302&lt;X$4),$F302,0)</f>
        <v>0</v>
      </c>
      <c r="Y302">
        <f t="shared" si="67"/>
        <v>0</v>
      </c>
      <c r="Z302">
        <f t="shared" si="67"/>
        <v>0</v>
      </c>
      <c r="AA302">
        <f t="shared" si="67"/>
        <v>0</v>
      </c>
      <c r="AB302">
        <f t="shared" si="67"/>
        <v>0</v>
      </c>
      <c r="AC302">
        <f t="shared" si="67"/>
        <v>0</v>
      </c>
      <c r="AD302">
        <f t="shared" si="67"/>
        <v>0</v>
      </c>
      <c r="AE302">
        <f t="shared" si="67"/>
        <v>0</v>
      </c>
      <c r="AF302">
        <f t="shared" si="67"/>
        <v>0</v>
      </c>
      <c r="AG302">
        <f t="shared" si="67"/>
        <v>0</v>
      </c>
      <c r="AH302">
        <f t="shared" si="67"/>
        <v>0</v>
      </c>
      <c r="AI302">
        <f t="shared" si="67"/>
        <v>0</v>
      </c>
      <c r="AJ302">
        <f t="shared" si="67"/>
        <v>0</v>
      </c>
      <c r="AK302">
        <f t="shared" si="67"/>
        <v>0</v>
      </c>
      <c r="AL302">
        <f t="shared" si="67"/>
        <v>0</v>
      </c>
      <c r="AM302">
        <f t="shared" si="67"/>
        <v>0</v>
      </c>
      <c r="AN302">
        <f t="shared" si="67"/>
        <v>0</v>
      </c>
      <c r="AO302">
        <f t="shared" si="67"/>
        <v>0</v>
      </c>
      <c r="AP302">
        <f t="shared" si="67"/>
        <v>0</v>
      </c>
      <c r="AQ302">
        <f t="shared" si="67"/>
        <v>0</v>
      </c>
      <c r="AR302">
        <f t="shared" si="67"/>
        <v>0</v>
      </c>
    </row>
    <row r="303" spans="5:44" x14ac:dyDescent="0.2">
      <c r="E303" s="1">
        <f>moment_rate!$AC303</f>
        <v>7.4493433161470389E-3</v>
      </c>
      <c r="F303" s="1">
        <f t="shared" si="59"/>
        <v>0</v>
      </c>
      <c r="G303">
        <f>moment_rate!I303-0.005</f>
        <v>2.9599999999999809</v>
      </c>
      <c r="H303" s="1">
        <f t="shared" si="60"/>
        <v>0</v>
      </c>
      <c r="I303">
        <f t="shared" ref="I303:X318" si="68">IF(AND($G303&gt;=I$3,$G303&lt;I$4),$F303,0)</f>
        <v>0</v>
      </c>
      <c r="J303">
        <f t="shared" si="68"/>
        <v>0</v>
      </c>
      <c r="K303">
        <f t="shared" si="68"/>
        <v>0</v>
      </c>
      <c r="L303">
        <f t="shared" si="68"/>
        <v>0</v>
      </c>
      <c r="M303">
        <f t="shared" si="68"/>
        <v>0</v>
      </c>
      <c r="N303">
        <f t="shared" si="68"/>
        <v>0</v>
      </c>
      <c r="O303">
        <f t="shared" si="68"/>
        <v>0</v>
      </c>
      <c r="P303">
        <f t="shared" si="68"/>
        <v>0</v>
      </c>
      <c r="Q303">
        <f t="shared" si="68"/>
        <v>0</v>
      </c>
      <c r="R303">
        <f t="shared" si="68"/>
        <v>0</v>
      </c>
      <c r="S303">
        <f t="shared" si="68"/>
        <v>0</v>
      </c>
      <c r="T303">
        <f t="shared" si="68"/>
        <v>0</v>
      </c>
      <c r="U303">
        <f t="shared" si="68"/>
        <v>0</v>
      </c>
      <c r="V303">
        <f t="shared" si="68"/>
        <v>0</v>
      </c>
      <c r="W303">
        <f t="shared" si="68"/>
        <v>0</v>
      </c>
      <c r="X303">
        <f t="shared" si="68"/>
        <v>0</v>
      </c>
      <c r="Y303">
        <f t="shared" si="67"/>
        <v>0</v>
      </c>
      <c r="Z303">
        <f t="shared" si="67"/>
        <v>0</v>
      </c>
      <c r="AA303">
        <f t="shared" si="67"/>
        <v>0</v>
      </c>
      <c r="AB303">
        <f t="shared" si="67"/>
        <v>0</v>
      </c>
      <c r="AC303">
        <f t="shared" si="67"/>
        <v>0</v>
      </c>
      <c r="AD303">
        <f t="shared" si="67"/>
        <v>0</v>
      </c>
      <c r="AE303">
        <f t="shared" si="67"/>
        <v>0</v>
      </c>
      <c r="AF303">
        <f t="shared" si="67"/>
        <v>0</v>
      </c>
      <c r="AG303">
        <f t="shared" si="67"/>
        <v>0</v>
      </c>
      <c r="AH303">
        <f t="shared" si="67"/>
        <v>0</v>
      </c>
      <c r="AI303">
        <f t="shared" si="67"/>
        <v>0</v>
      </c>
      <c r="AJ303">
        <f t="shared" si="67"/>
        <v>0</v>
      </c>
      <c r="AK303">
        <f t="shared" si="67"/>
        <v>0</v>
      </c>
      <c r="AL303">
        <f t="shared" si="67"/>
        <v>0</v>
      </c>
      <c r="AM303">
        <f t="shared" si="67"/>
        <v>0</v>
      </c>
      <c r="AN303">
        <f t="shared" si="67"/>
        <v>0</v>
      </c>
      <c r="AO303">
        <f t="shared" si="67"/>
        <v>0</v>
      </c>
      <c r="AP303">
        <f t="shared" si="67"/>
        <v>0</v>
      </c>
      <c r="AQ303">
        <f t="shared" si="67"/>
        <v>0</v>
      </c>
      <c r="AR303">
        <f t="shared" si="67"/>
        <v>0</v>
      </c>
    </row>
    <row r="304" spans="5:44" x14ac:dyDescent="0.2">
      <c r="E304" s="1">
        <f>moment_rate!$AC304</f>
        <v>7.4493433161470389E-3</v>
      </c>
      <c r="F304" s="1">
        <f t="shared" si="59"/>
        <v>0</v>
      </c>
      <c r="G304">
        <f>moment_rate!I304-0.005</f>
        <v>2.9699999999999807</v>
      </c>
      <c r="H304" s="1">
        <f t="shared" si="60"/>
        <v>0</v>
      </c>
      <c r="I304">
        <f t="shared" si="68"/>
        <v>0</v>
      </c>
      <c r="J304">
        <f t="shared" si="68"/>
        <v>0</v>
      </c>
      <c r="K304">
        <f t="shared" si="68"/>
        <v>0</v>
      </c>
      <c r="L304">
        <f t="shared" si="68"/>
        <v>0</v>
      </c>
      <c r="M304">
        <f t="shared" si="68"/>
        <v>0</v>
      </c>
      <c r="N304">
        <f t="shared" si="68"/>
        <v>0</v>
      </c>
      <c r="O304">
        <f t="shared" si="68"/>
        <v>0</v>
      </c>
      <c r="P304">
        <f t="shared" si="68"/>
        <v>0</v>
      </c>
      <c r="Q304">
        <f t="shared" si="68"/>
        <v>0</v>
      </c>
      <c r="R304">
        <f t="shared" si="68"/>
        <v>0</v>
      </c>
      <c r="S304">
        <f t="shared" si="68"/>
        <v>0</v>
      </c>
      <c r="T304">
        <f t="shared" si="68"/>
        <v>0</v>
      </c>
      <c r="U304">
        <f t="shared" si="68"/>
        <v>0</v>
      </c>
      <c r="V304">
        <f t="shared" si="68"/>
        <v>0</v>
      </c>
      <c r="W304">
        <f t="shared" si="68"/>
        <v>0</v>
      </c>
      <c r="X304">
        <f t="shared" si="68"/>
        <v>0</v>
      </c>
      <c r="Y304">
        <f t="shared" si="67"/>
        <v>0</v>
      </c>
      <c r="Z304">
        <f t="shared" si="67"/>
        <v>0</v>
      </c>
      <c r="AA304">
        <f t="shared" si="67"/>
        <v>0</v>
      </c>
      <c r="AB304">
        <f t="shared" si="67"/>
        <v>0</v>
      </c>
      <c r="AC304">
        <f t="shared" si="67"/>
        <v>0</v>
      </c>
      <c r="AD304">
        <f t="shared" si="67"/>
        <v>0</v>
      </c>
      <c r="AE304">
        <f t="shared" si="67"/>
        <v>0</v>
      </c>
      <c r="AF304">
        <f t="shared" si="67"/>
        <v>0</v>
      </c>
      <c r="AG304">
        <f t="shared" si="67"/>
        <v>0</v>
      </c>
      <c r="AH304">
        <f t="shared" si="67"/>
        <v>0</v>
      </c>
      <c r="AI304">
        <f t="shared" si="67"/>
        <v>0</v>
      </c>
      <c r="AJ304">
        <f t="shared" si="67"/>
        <v>0</v>
      </c>
      <c r="AK304">
        <f t="shared" si="67"/>
        <v>0</v>
      </c>
      <c r="AL304">
        <f t="shared" si="67"/>
        <v>0</v>
      </c>
      <c r="AM304">
        <f t="shared" si="67"/>
        <v>0</v>
      </c>
      <c r="AN304">
        <f t="shared" si="67"/>
        <v>0</v>
      </c>
      <c r="AO304">
        <f t="shared" si="67"/>
        <v>0</v>
      </c>
      <c r="AP304">
        <f t="shared" si="67"/>
        <v>0</v>
      </c>
      <c r="AQ304">
        <f t="shared" si="67"/>
        <v>0</v>
      </c>
      <c r="AR304">
        <f t="shared" si="67"/>
        <v>0</v>
      </c>
    </row>
    <row r="305" spans="5:44" x14ac:dyDescent="0.2">
      <c r="E305" s="1">
        <f>moment_rate!$AC305</f>
        <v>7.4493433161470389E-3</v>
      </c>
      <c r="F305" s="1">
        <f t="shared" si="59"/>
        <v>0</v>
      </c>
      <c r="G305">
        <f>moment_rate!I305-0.005</f>
        <v>2.9799999999999804</v>
      </c>
      <c r="H305" s="1">
        <f t="shared" si="60"/>
        <v>0</v>
      </c>
      <c r="I305">
        <f t="shared" si="68"/>
        <v>0</v>
      </c>
      <c r="J305">
        <f t="shared" si="68"/>
        <v>0</v>
      </c>
      <c r="K305">
        <f t="shared" si="68"/>
        <v>0</v>
      </c>
      <c r="L305">
        <f t="shared" si="68"/>
        <v>0</v>
      </c>
      <c r="M305">
        <f t="shared" si="68"/>
        <v>0</v>
      </c>
      <c r="N305">
        <f t="shared" si="68"/>
        <v>0</v>
      </c>
      <c r="O305">
        <f t="shared" si="68"/>
        <v>0</v>
      </c>
      <c r="P305">
        <f t="shared" si="68"/>
        <v>0</v>
      </c>
      <c r="Q305">
        <f t="shared" si="68"/>
        <v>0</v>
      </c>
      <c r="R305">
        <f t="shared" si="68"/>
        <v>0</v>
      </c>
      <c r="S305">
        <f t="shared" si="68"/>
        <v>0</v>
      </c>
      <c r="T305">
        <f t="shared" si="68"/>
        <v>0</v>
      </c>
      <c r="U305">
        <f t="shared" si="68"/>
        <v>0</v>
      </c>
      <c r="V305">
        <f t="shared" si="68"/>
        <v>0</v>
      </c>
      <c r="W305">
        <f t="shared" si="68"/>
        <v>0</v>
      </c>
      <c r="X305">
        <f t="shared" si="68"/>
        <v>0</v>
      </c>
      <c r="Y305">
        <f t="shared" si="67"/>
        <v>0</v>
      </c>
      <c r="Z305">
        <f t="shared" si="67"/>
        <v>0</v>
      </c>
      <c r="AA305">
        <f t="shared" si="67"/>
        <v>0</v>
      </c>
      <c r="AB305">
        <f t="shared" si="67"/>
        <v>0</v>
      </c>
      <c r="AC305">
        <f t="shared" si="67"/>
        <v>0</v>
      </c>
      <c r="AD305">
        <f t="shared" si="67"/>
        <v>0</v>
      </c>
      <c r="AE305">
        <f t="shared" si="67"/>
        <v>0</v>
      </c>
      <c r="AF305">
        <f t="shared" si="67"/>
        <v>0</v>
      </c>
      <c r="AG305">
        <f t="shared" si="67"/>
        <v>0</v>
      </c>
      <c r="AH305">
        <f t="shared" si="67"/>
        <v>0</v>
      </c>
      <c r="AI305">
        <f t="shared" si="67"/>
        <v>0</v>
      </c>
      <c r="AJ305">
        <f t="shared" si="67"/>
        <v>0</v>
      </c>
      <c r="AK305">
        <f t="shared" si="67"/>
        <v>0</v>
      </c>
      <c r="AL305">
        <f t="shared" si="67"/>
        <v>0</v>
      </c>
      <c r="AM305">
        <f t="shared" si="67"/>
        <v>0</v>
      </c>
      <c r="AN305">
        <f t="shared" si="67"/>
        <v>0</v>
      </c>
      <c r="AO305">
        <f t="shared" si="67"/>
        <v>0</v>
      </c>
      <c r="AP305">
        <f t="shared" si="67"/>
        <v>0</v>
      </c>
      <c r="AQ305">
        <f t="shared" si="67"/>
        <v>0</v>
      </c>
      <c r="AR305">
        <f t="shared" si="67"/>
        <v>0</v>
      </c>
    </row>
    <row r="306" spans="5:44" x14ac:dyDescent="0.2">
      <c r="E306" s="1">
        <f>moment_rate!$AC306</f>
        <v>7.4493433161470389E-3</v>
      </c>
      <c r="F306" s="1">
        <f t="shared" si="59"/>
        <v>0</v>
      </c>
      <c r="G306">
        <f>moment_rate!I306-0.005</f>
        <v>2.9899999999999802</v>
      </c>
      <c r="H306" s="1">
        <f t="shared" si="60"/>
        <v>0</v>
      </c>
      <c r="I306">
        <f t="shared" si="68"/>
        <v>0</v>
      </c>
      <c r="J306">
        <f t="shared" si="68"/>
        <v>0</v>
      </c>
      <c r="K306">
        <f t="shared" si="68"/>
        <v>0</v>
      </c>
      <c r="L306">
        <f t="shared" si="68"/>
        <v>0</v>
      </c>
      <c r="M306">
        <f t="shared" si="68"/>
        <v>0</v>
      </c>
      <c r="N306">
        <f t="shared" si="68"/>
        <v>0</v>
      </c>
      <c r="O306">
        <f t="shared" si="68"/>
        <v>0</v>
      </c>
      <c r="P306">
        <f t="shared" si="68"/>
        <v>0</v>
      </c>
      <c r="Q306">
        <f t="shared" si="68"/>
        <v>0</v>
      </c>
      <c r="R306">
        <f t="shared" si="68"/>
        <v>0</v>
      </c>
      <c r="S306">
        <f t="shared" si="68"/>
        <v>0</v>
      </c>
      <c r="T306">
        <f t="shared" si="68"/>
        <v>0</v>
      </c>
      <c r="U306">
        <f t="shared" si="68"/>
        <v>0</v>
      </c>
      <c r="V306">
        <f t="shared" si="68"/>
        <v>0</v>
      </c>
      <c r="W306">
        <f t="shared" si="68"/>
        <v>0</v>
      </c>
      <c r="X306">
        <f t="shared" si="68"/>
        <v>0</v>
      </c>
      <c r="Y306">
        <f t="shared" si="67"/>
        <v>0</v>
      </c>
      <c r="Z306">
        <f t="shared" si="67"/>
        <v>0</v>
      </c>
      <c r="AA306">
        <f t="shared" si="67"/>
        <v>0</v>
      </c>
      <c r="AB306">
        <f t="shared" si="67"/>
        <v>0</v>
      </c>
      <c r="AC306">
        <f t="shared" si="67"/>
        <v>0</v>
      </c>
      <c r="AD306">
        <f t="shared" si="67"/>
        <v>0</v>
      </c>
      <c r="AE306">
        <f t="shared" si="67"/>
        <v>0</v>
      </c>
      <c r="AF306">
        <f t="shared" si="67"/>
        <v>0</v>
      </c>
      <c r="AG306">
        <f t="shared" si="67"/>
        <v>0</v>
      </c>
      <c r="AH306">
        <f t="shared" si="67"/>
        <v>0</v>
      </c>
      <c r="AI306">
        <f t="shared" si="67"/>
        <v>0</v>
      </c>
      <c r="AJ306">
        <f t="shared" si="67"/>
        <v>0</v>
      </c>
      <c r="AK306">
        <f t="shared" si="67"/>
        <v>0</v>
      </c>
      <c r="AL306">
        <f t="shared" si="67"/>
        <v>0</v>
      </c>
      <c r="AM306">
        <f t="shared" si="67"/>
        <v>0</v>
      </c>
      <c r="AN306">
        <f t="shared" si="67"/>
        <v>0</v>
      </c>
      <c r="AO306">
        <f t="shared" si="67"/>
        <v>0</v>
      </c>
      <c r="AP306">
        <f t="shared" si="67"/>
        <v>0</v>
      </c>
      <c r="AQ306">
        <f t="shared" si="67"/>
        <v>0</v>
      </c>
      <c r="AR306">
        <f t="shared" si="67"/>
        <v>0</v>
      </c>
    </row>
    <row r="307" spans="5:44" x14ac:dyDescent="0.2">
      <c r="E307" s="1">
        <f>moment_rate!$AC307</f>
        <v>7.4493433161470389E-3</v>
      </c>
      <c r="F307" s="1">
        <f t="shared" si="59"/>
        <v>0</v>
      </c>
      <c r="G307">
        <f>moment_rate!I307-0.005</f>
        <v>2.99999999999998</v>
      </c>
      <c r="H307" s="1">
        <f t="shared" si="60"/>
        <v>0</v>
      </c>
      <c r="I307">
        <f t="shared" si="68"/>
        <v>0</v>
      </c>
      <c r="J307">
        <f t="shared" si="68"/>
        <v>0</v>
      </c>
      <c r="K307">
        <f t="shared" si="68"/>
        <v>0</v>
      </c>
      <c r="L307">
        <f t="shared" si="68"/>
        <v>0</v>
      </c>
      <c r="M307">
        <f t="shared" si="68"/>
        <v>0</v>
      </c>
      <c r="N307">
        <f t="shared" si="68"/>
        <v>0</v>
      </c>
      <c r="O307">
        <f t="shared" si="68"/>
        <v>0</v>
      </c>
      <c r="P307">
        <f t="shared" si="68"/>
        <v>0</v>
      </c>
      <c r="Q307">
        <f t="shared" si="68"/>
        <v>0</v>
      </c>
      <c r="R307">
        <f t="shared" si="68"/>
        <v>0</v>
      </c>
      <c r="S307">
        <f t="shared" si="68"/>
        <v>0</v>
      </c>
      <c r="T307">
        <f t="shared" si="68"/>
        <v>0</v>
      </c>
      <c r="U307">
        <f t="shared" si="68"/>
        <v>0</v>
      </c>
      <c r="V307">
        <f t="shared" si="68"/>
        <v>0</v>
      </c>
      <c r="W307">
        <f t="shared" si="68"/>
        <v>0</v>
      </c>
      <c r="X307">
        <f t="shared" si="68"/>
        <v>0</v>
      </c>
      <c r="Y307">
        <f t="shared" si="67"/>
        <v>0</v>
      </c>
      <c r="Z307">
        <f t="shared" si="67"/>
        <v>0</v>
      </c>
      <c r="AA307">
        <f t="shared" si="67"/>
        <v>0</v>
      </c>
      <c r="AB307">
        <f t="shared" si="67"/>
        <v>0</v>
      </c>
      <c r="AC307">
        <f t="shared" si="67"/>
        <v>0</v>
      </c>
      <c r="AD307">
        <f t="shared" si="67"/>
        <v>0</v>
      </c>
      <c r="AE307">
        <f t="shared" si="67"/>
        <v>0</v>
      </c>
      <c r="AF307">
        <f t="shared" si="67"/>
        <v>0</v>
      </c>
      <c r="AG307">
        <f t="shared" si="67"/>
        <v>0</v>
      </c>
      <c r="AH307">
        <f t="shared" si="67"/>
        <v>0</v>
      </c>
      <c r="AI307">
        <f t="shared" si="67"/>
        <v>0</v>
      </c>
      <c r="AJ307">
        <f t="shared" si="67"/>
        <v>0</v>
      </c>
      <c r="AK307">
        <f t="shared" si="67"/>
        <v>0</v>
      </c>
      <c r="AL307">
        <f t="shared" si="67"/>
        <v>0</v>
      </c>
      <c r="AM307">
        <f t="shared" si="67"/>
        <v>0</v>
      </c>
      <c r="AN307">
        <f t="shared" si="67"/>
        <v>0</v>
      </c>
      <c r="AO307">
        <f t="shared" si="67"/>
        <v>0</v>
      </c>
      <c r="AP307">
        <f t="shared" si="67"/>
        <v>0</v>
      </c>
      <c r="AQ307">
        <f t="shared" si="67"/>
        <v>0</v>
      </c>
      <c r="AR307">
        <f t="shared" si="67"/>
        <v>0</v>
      </c>
    </row>
    <row r="308" spans="5:44" x14ac:dyDescent="0.2">
      <c r="E308" s="1">
        <f>moment_rate!$AC308</f>
        <v>7.4493433161470389E-3</v>
      </c>
      <c r="F308" s="1">
        <f t="shared" si="59"/>
        <v>0</v>
      </c>
      <c r="G308">
        <f>moment_rate!I308-0.005</f>
        <v>3.0099999999999798</v>
      </c>
      <c r="H308" s="1">
        <f t="shared" si="60"/>
        <v>0</v>
      </c>
      <c r="I308">
        <f t="shared" si="68"/>
        <v>0</v>
      </c>
      <c r="J308">
        <f t="shared" si="68"/>
        <v>0</v>
      </c>
      <c r="K308">
        <f t="shared" si="68"/>
        <v>0</v>
      </c>
      <c r="L308">
        <f t="shared" si="68"/>
        <v>0</v>
      </c>
      <c r="M308">
        <f t="shared" si="68"/>
        <v>0</v>
      </c>
      <c r="N308">
        <f t="shared" si="68"/>
        <v>0</v>
      </c>
      <c r="O308">
        <f t="shared" si="68"/>
        <v>0</v>
      </c>
      <c r="P308">
        <f t="shared" si="68"/>
        <v>0</v>
      </c>
      <c r="Q308">
        <f t="shared" si="68"/>
        <v>0</v>
      </c>
      <c r="R308">
        <f t="shared" si="68"/>
        <v>0</v>
      </c>
      <c r="S308">
        <f t="shared" si="68"/>
        <v>0</v>
      </c>
      <c r="T308">
        <f t="shared" si="68"/>
        <v>0</v>
      </c>
      <c r="U308">
        <f t="shared" si="68"/>
        <v>0</v>
      </c>
      <c r="V308">
        <f t="shared" si="68"/>
        <v>0</v>
      </c>
      <c r="W308">
        <f t="shared" si="68"/>
        <v>0</v>
      </c>
      <c r="X308">
        <f t="shared" si="68"/>
        <v>0</v>
      </c>
      <c r="Y308">
        <f t="shared" si="67"/>
        <v>0</v>
      </c>
      <c r="Z308">
        <f t="shared" si="67"/>
        <v>0</v>
      </c>
      <c r="AA308">
        <f t="shared" si="67"/>
        <v>0</v>
      </c>
      <c r="AB308">
        <f t="shared" si="67"/>
        <v>0</v>
      </c>
      <c r="AC308">
        <f t="shared" si="67"/>
        <v>0</v>
      </c>
      <c r="AD308">
        <f t="shared" si="67"/>
        <v>0</v>
      </c>
      <c r="AE308">
        <f t="shared" si="67"/>
        <v>0</v>
      </c>
      <c r="AF308">
        <f t="shared" si="67"/>
        <v>0</v>
      </c>
      <c r="AG308">
        <f t="shared" si="67"/>
        <v>0</v>
      </c>
      <c r="AH308">
        <f t="shared" si="67"/>
        <v>0</v>
      </c>
      <c r="AI308">
        <f t="shared" si="67"/>
        <v>0</v>
      </c>
      <c r="AJ308">
        <f t="shared" si="67"/>
        <v>0</v>
      </c>
      <c r="AK308">
        <f t="shared" si="67"/>
        <v>0</v>
      </c>
      <c r="AL308">
        <f t="shared" si="67"/>
        <v>0</v>
      </c>
      <c r="AM308">
        <f t="shared" si="67"/>
        <v>0</v>
      </c>
      <c r="AN308">
        <f t="shared" si="67"/>
        <v>0</v>
      </c>
      <c r="AO308">
        <f t="shared" si="67"/>
        <v>0</v>
      </c>
      <c r="AP308">
        <f t="shared" si="67"/>
        <v>0</v>
      </c>
      <c r="AQ308">
        <f t="shared" si="67"/>
        <v>0</v>
      </c>
      <c r="AR308">
        <f t="shared" si="67"/>
        <v>0</v>
      </c>
    </row>
    <row r="309" spans="5:44" x14ac:dyDescent="0.2">
      <c r="E309" s="1">
        <f>moment_rate!$AC309</f>
        <v>7.4493433161470389E-3</v>
      </c>
      <c r="F309" s="1">
        <f t="shared" si="59"/>
        <v>0</v>
      </c>
      <c r="G309">
        <f>moment_rate!I309-0.005</f>
        <v>3.0199999999999796</v>
      </c>
      <c r="H309" s="1">
        <f t="shared" si="60"/>
        <v>0</v>
      </c>
      <c r="I309">
        <f t="shared" si="68"/>
        <v>0</v>
      </c>
      <c r="J309">
        <f t="shared" si="68"/>
        <v>0</v>
      </c>
      <c r="K309">
        <f t="shared" si="68"/>
        <v>0</v>
      </c>
      <c r="L309">
        <f t="shared" si="68"/>
        <v>0</v>
      </c>
      <c r="M309">
        <f t="shared" si="68"/>
        <v>0</v>
      </c>
      <c r="N309">
        <f t="shared" si="68"/>
        <v>0</v>
      </c>
      <c r="O309">
        <f t="shared" si="68"/>
        <v>0</v>
      </c>
      <c r="P309">
        <f t="shared" si="68"/>
        <v>0</v>
      </c>
      <c r="Q309">
        <f t="shared" si="68"/>
        <v>0</v>
      </c>
      <c r="R309">
        <f t="shared" si="68"/>
        <v>0</v>
      </c>
      <c r="S309">
        <f t="shared" si="68"/>
        <v>0</v>
      </c>
      <c r="T309">
        <f t="shared" si="68"/>
        <v>0</v>
      </c>
      <c r="U309">
        <f t="shared" si="68"/>
        <v>0</v>
      </c>
      <c r="V309">
        <f t="shared" si="68"/>
        <v>0</v>
      </c>
      <c r="W309">
        <f t="shared" si="68"/>
        <v>0</v>
      </c>
      <c r="X309">
        <f t="shared" si="68"/>
        <v>0</v>
      </c>
      <c r="Y309">
        <f t="shared" si="67"/>
        <v>0</v>
      </c>
      <c r="Z309">
        <f t="shared" si="67"/>
        <v>0</v>
      </c>
      <c r="AA309">
        <f t="shared" si="67"/>
        <v>0</v>
      </c>
      <c r="AB309">
        <f t="shared" si="67"/>
        <v>0</v>
      </c>
      <c r="AC309">
        <f t="shared" si="67"/>
        <v>0</v>
      </c>
      <c r="AD309">
        <f t="shared" si="67"/>
        <v>0</v>
      </c>
      <c r="AE309">
        <f t="shared" si="67"/>
        <v>0</v>
      </c>
      <c r="AF309">
        <f t="shared" si="67"/>
        <v>0</v>
      </c>
      <c r="AG309">
        <f t="shared" si="67"/>
        <v>0</v>
      </c>
      <c r="AH309">
        <f t="shared" si="67"/>
        <v>0</v>
      </c>
      <c r="AI309">
        <f t="shared" si="67"/>
        <v>0</v>
      </c>
      <c r="AJ309">
        <f t="shared" si="67"/>
        <v>0</v>
      </c>
      <c r="AK309">
        <f t="shared" si="67"/>
        <v>0</v>
      </c>
      <c r="AL309">
        <f t="shared" si="67"/>
        <v>0</v>
      </c>
      <c r="AM309">
        <f t="shared" si="67"/>
        <v>0</v>
      </c>
      <c r="AN309">
        <f t="shared" si="67"/>
        <v>0</v>
      </c>
      <c r="AO309">
        <f t="shared" si="67"/>
        <v>0</v>
      </c>
      <c r="AP309">
        <f t="shared" si="67"/>
        <v>0</v>
      </c>
      <c r="AQ309">
        <f t="shared" si="67"/>
        <v>0</v>
      </c>
      <c r="AR309">
        <f t="shared" si="67"/>
        <v>0</v>
      </c>
    </row>
    <row r="310" spans="5:44" x14ac:dyDescent="0.2">
      <c r="E310" s="1">
        <f>moment_rate!$AC310</f>
        <v>7.4493433161470389E-3</v>
      </c>
      <c r="F310" s="1">
        <f t="shared" si="59"/>
        <v>0</v>
      </c>
      <c r="G310">
        <f>moment_rate!I310-0.005</f>
        <v>3.0299999999999794</v>
      </c>
      <c r="H310" s="1">
        <f t="shared" si="60"/>
        <v>0</v>
      </c>
      <c r="I310">
        <f t="shared" si="68"/>
        <v>0</v>
      </c>
      <c r="J310">
        <f t="shared" si="68"/>
        <v>0</v>
      </c>
      <c r="K310">
        <f t="shared" si="68"/>
        <v>0</v>
      </c>
      <c r="L310">
        <f t="shared" si="68"/>
        <v>0</v>
      </c>
      <c r="M310">
        <f t="shared" si="68"/>
        <v>0</v>
      </c>
      <c r="N310">
        <f t="shared" si="68"/>
        <v>0</v>
      </c>
      <c r="O310">
        <f t="shared" si="68"/>
        <v>0</v>
      </c>
      <c r="P310">
        <f t="shared" si="68"/>
        <v>0</v>
      </c>
      <c r="Q310">
        <f t="shared" si="68"/>
        <v>0</v>
      </c>
      <c r="R310">
        <f t="shared" si="68"/>
        <v>0</v>
      </c>
      <c r="S310">
        <f t="shared" si="68"/>
        <v>0</v>
      </c>
      <c r="T310">
        <f t="shared" si="68"/>
        <v>0</v>
      </c>
      <c r="U310">
        <f t="shared" si="68"/>
        <v>0</v>
      </c>
      <c r="V310">
        <f t="shared" si="68"/>
        <v>0</v>
      </c>
      <c r="W310">
        <f t="shared" si="68"/>
        <v>0</v>
      </c>
      <c r="X310">
        <f t="shared" si="68"/>
        <v>0</v>
      </c>
      <c r="Y310">
        <f t="shared" si="67"/>
        <v>0</v>
      </c>
      <c r="Z310">
        <f t="shared" si="67"/>
        <v>0</v>
      </c>
      <c r="AA310">
        <f t="shared" si="67"/>
        <v>0</v>
      </c>
      <c r="AB310">
        <f t="shared" si="67"/>
        <v>0</v>
      </c>
      <c r="AC310">
        <f t="shared" si="67"/>
        <v>0</v>
      </c>
      <c r="AD310">
        <f t="shared" si="67"/>
        <v>0</v>
      </c>
      <c r="AE310">
        <f t="shared" si="67"/>
        <v>0</v>
      </c>
      <c r="AF310">
        <f t="shared" si="67"/>
        <v>0</v>
      </c>
      <c r="AG310">
        <f t="shared" si="67"/>
        <v>0</v>
      </c>
      <c r="AH310">
        <f t="shared" si="67"/>
        <v>0</v>
      </c>
      <c r="AI310">
        <f t="shared" si="67"/>
        <v>0</v>
      </c>
      <c r="AJ310">
        <f t="shared" si="67"/>
        <v>0</v>
      </c>
      <c r="AK310">
        <f t="shared" si="67"/>
        <v>0</v>
      </c>
      <c r="AL310">
        <f t="shared" si="67"/>
        <v>0</v>
      </c>
      <c r="AM310">
        <f t="shared" si="67"/>
        <v>0</v>
      </c>
      <c r="AN310">
        <f t="shared" si="67"/>
        <v>0</v>
      </c>
      <c r="AO310">
        <f t="shared" si="67"/>
        <v>0</v>
      </c>
      <c r="AP310">
        <f t="shared" si="67"/>
        <v>0</v>
      </c>
      <c r="AQ310">
        <f t="shared" si="67"/>
        <v>0</v>
      </c>
      <c r="AR310">
        <f t="shared" si="67"/>
        <v>0</v>
      </c>
    </row>
    <row r="311" spans="5:44" x14ac:dyDescent="0.2">
      <c r="E311" s="1">
        <f>moment_rate!$AC311</f>
        <v>7.4493433161470389E-3</v>
      </c>
      <c r="F311" s="1">
        <f t="shared" si="59"/>
        <v>0</v>
      </c>
      <c r="G311">
        <f>moment_rate!I311-0.005</f>
        <v>3.0399999999999792</v>
      </c>
      <c r="H311" s="1">
        <f t="shared" si="60"/>
        <v>0</v>
      </c>
      <c r="I311">
        <f t="shared" si="68"/>
        <v>0</v>
      </c>
      <c r="J311">
        <f t="shared" si="68"/>
        <v>0</v>
      </c>
      <c r="K311">
        <f t="shared" si="68"/>
        <v>0</v>
      </c>
      <c r="L311">
        <f t="shared" si="68"/>
        <v>0</v>
      </c>
      <c r="M311">
        <f t="shared" si="68"/>
        <v>0</v>
      </c>
      <c r="N311">
        <f t="shared" si="68"/>
        <v>0</v>
      </c>
      <c r="O311">
        <f t="shared" si="68"/>
        <v>0</v>
      </c>
      <c r="P311">
        <f t="shared" si="68"/>
        <v>0</v>
      </c>
      <c r="Q311">
        <f t="shared" si="68"/>
        <v>0</v>
      </c>
      <c r="R311">
        <f t="shared" si="68"/>
        <v>0</v>
      </c>
      <c r="S311">
        <f t="shared" si="68"/>
        <v>0</v>
      </c>
      <c r="T311">
        <f t="shared" si="68"/>
        <v>0</v>
      </c>
      <c r="U311">
        <f t="shared" si="68"/>
        <v>0</v>
      </c>
      <c r="V311">
        <f t="shared" si="68"/>
        <v>0</v>
      </c>
      <c r="W311">
        <f t="shared" si="68"/>
        <v>0</v>
      </c>
      <c r="X311">
        <f t="shared" si="68"/>
        <v>0</v>
      </c>
      <c r="Y311">
        <f t="shared" si="67"/>
        <v>0</v>
      </c>
      <c r="Z311">
        <f t="shared" si="67"/>
        <v>0</v>
      </c>
      <c r="AA311">
        <f t="shared" si="67"/>
        <v>0</v>
      </c>
      <c r="AB311">
        <f t="shared" si="67"/>
        <v>0</v>
      </c>
      <c r="AC311">
        <f t="shared" si="67"/>
        <v>0</v>
      </c>
      <c r="AD311">
        <f t="shared" si="67"/>
        <v>0</v>
      </c>
      <c r="AE311">
        <f t="shared" si="67"/>
        <v>0</v>
      </c>
      <c r="AF311">
        <f t="shared" si="67"/>
        <v>0</v>
      </c>
      <c r="AG311">
        <f t="shared" si="67"/>
        <v>0</v>
      </c>
      <c r="AH311">
        <f t="shared" si="67"/>
        <v>0</v>
      </c>
      <c r="AI311">
        <f t="shared" si="67"/>
        <v>0</v>
      </c>
      <c r="AJ311">
        <f t="shared" si="67"/>
        <v>0</v>
      </c>
      <c r="AK311">
        <f t="shared" si="67"/>
        <v>0</v>
      </c>
      <c r="AL311">
        <f t="shared" si="67"/>
        <v>0</v>
      </c>
      <c r="AM311">
        <f t="shared" si="67"/>
        <v>0</v>
      </c>
      <c r="AN311">
        <f t="shared" si="67"/>
        <v>0</v>
      </c>
      <c r="AO311">
        <f t="shared" si="67"/>
        <v>0</v>
      </c>
      <c r="AP311">
        <f t="shared" si="67"/>
        <v>0</v>
      </c>
      <c r="AQ311">
        <f t="shared" si="67"/>
        <v>0</v>
      </c>
      <c r="AR311">
        <f t="shared" si="67"/>
        <v>0</v>
      </c>
    </row>
    <row r="312" spans="5:44" x14ac:dyDescent="0.2">
      <c r="E312" s="1">
        <f>moment_rate!$AC312</f>
        <v>7.4493433161470389E-3</v>
      </c>
      <c r="F312" s="1">
        <f t="shared" si="59"/>
        <v>0</v>
      </c>
      <c r="G312">
        <f>moment_rate!I312-0.005</f>
        <v>3.049999999999979</v>
      </c>
      <c r="H312" s="1">
        <f t="shared" si="60"/>
        <v>0</v>
      </c>
      <c r="I312">
        <f t="shared" si="68"/>
        <v>0</v>
      </c>
      <c r="J312">
        <f t="shared" si="68"/>
        <v>0</v>
      </c>
      <c r="K312">
        <f t="shared" si="68"/>
        <v>0</v>
      </c>
      <c r="L312">
        <f t="shared" si="68"/>
        <v>0</v>
      </c>
      <c r="M312">
        <f t="shared" si="68"/>
        <v>0</v>
      </c>
      <c r="N312">
        <f t="shared" si="68"/>
        <v>0</v>
      </c>
      <c r="O312">
        <f t="shared" si="68"/>
        <v>0</v>
      </c>
      <c r="P312">
        <f t="shared" si="68"/>
        <v>0</v>
      </c>
      <c r="Q312">
        <f t="shared" si="68"/>
        <v>0</v>
      </c>
      <c r="R312">
        <f t="shared" si="68"/>
        <v>0</v>
      </c>
      <c r="S312">
        <f t="shared" si="68"/>
        <v>0</v>
      </c>
      <c r="T312">
        <f t="shared" si="68"/>
        <v>0</v>
      </c>
      <c r="U312">
        <f t="shared" si="68"/>
        <v>0</v>
      </c>
      <c r="V312">
        <f t="shared" si="68"/>
        <v>0</v>
      </c>
      <c r="W312">
        <f t="shared" si="68"/>
        <v>0</v>
      </c>
      <c r="X312">
        <f t="shared" si="68"/>
        <v>0</v>
      </c>
      <c r="Y312">
        <f t="shared" si="67"/>
        <v>0</v>
      </c>
      <c r="Z312">
        <f t="shared" si="67"/>
        <v>0</v>
      </c>
      <c r="AA312">
        <f t="shared" si="67"/>
        <v>0</v>
      </c>
      <c r="AB312">
        <f t="shared" si="67"/>
        <v>0</v>
      </c>
      <c r="AC312">
        <f t="shared" si="67"/>
        <v>0</v>
      </c>
      <c r="AD312">
        <f t="shared" si="67"/>
        <v>0</v>
      </c>
      <c r="AE312">
        <f t="shared" si="67"/>
        <v>0</v>
      </c>
      <c r="AF312">
        <f t="shared" si="67"/>
        <v>0</v>
      </c>
      <c r="AG312">
        <f t="shared" si="67"/>
        <v>0</v>
      </c>
      <c r="AH312">
        <f t="shared" si="67"/>
        <v>0</v>
      </c>
      <c r="AI312">
        <f t="shared" si="67"/>
        <v>0</v>
      </c>
      <c r="AJ312">
        <f t="shared" si="67"/>
        <v>0</v>
      </c>
      <c r="AK312">
        <f t="shared" si="67"/>
        <v>0</v>
      </c>
      <c r="AL312">
        <f t="shared" si="67"/>
        <v>0</v>
      </c>
      <c r="AM312">
        <f t="shared" si="67"/>
        <v>0</v>
      </c>
      <c r="AN312">
        <f t="shared" si="67"/>
        <v>0</v>
      </c>
      <c r="AO312">
        <f t="shared" si="67"/>
        <v>0</v>
      </c>
      <c r="AP312">
        <f t="shared" si="67"/>
        <v>0</v>
      </c>
      <c r="AQ312">
        <f t="shared" si="67"/>
        <v>0</v>
      </c>
      <c r="AR312">
        <f t="shared" si="67"/>
        <v>0</v>
      </c>
    </row>
    <row r="313" spans="5:44" x14ac:dyDescent="0.2">
      <c r="E313" s="1">
        <f>moment_rate!$AC313</f>
        <v>7.4493433161470389E-3</v>
      </c>
      <c r="F313" s="1">
        <f t="shared" si="59"/>
        <v>0</v>
      </c>
      <c r="G313">
        <f>moment_rate!I313-0.005</f>
        <v>3.0599999999999787</v>
      </c>
      <c r="H313" s="1">
        <f t="shared" si="60"/>
        <v>0</v>
      </c>
      <c r="I313">
        <f t="shared" si="68"/>
        <v>0</v>
      </c>
      <c r="J313">
        <f t="shared" si="68"/>
        <v>0</v>
      </c>
      <c r="K313">
        <f t="shared" si="68"/>
        <v>0</v>
      </c>
      <c r="L313">
        <f t="shared" si="68"/>
        <v>0</v>
      </c>
      <c r="M313">
        <f t="shared" si="68"/>
        <v>0</v>
      </c>
      <c r="N313">
        <f t="shared" si="68"/>
        <v>0</v>
      </c>
      <c r="O313">
        <f t="shared" si="68"/>
        <v>0</v>
      </c>
      <c r="P313">
        <f t="shared" si="68"/>
        <v>0</v>
      </c>
      <c r="Q313">
        <f t="shared" si="68"/>
        <v>0</v>
      </c>
      <c r="R313">
        <f t="shared" si="68"/>
        <v>0</v>
      </c>
      <c r="S313">
        <f t="shared" si="68"/>
        <v>0</v>
      </c>
      <c r="T313">
        <f t="shared" si="68"/>
        <v>0</v>
      </c>
      <c r="U313">
        <f t="shared" si="68"/>
        <v>0</v>
      </c>
      <c r="V313">
        <f t="shared" si="68"/>
        <v>0</v>
      </c>
      <c r="W313">
        <f t="shared" si="68"/>
        <v>0</v>
      </c>
      <c r="X313">
        <f t="shared" si="68"/>
        <v>0</v>
      </c>
      <c r="Y313">
        <f t="shared" si="67"/>
        <v>0</v>
      </c>
      <c r="Z313">
        <f t="shared" si="67"/>
        <v>0</v>
      </c>
      <c r="AA313">
        <f t="shared" si="67"/>
        <v>0</v>
      </c>
      <c r="AB313">
        <f t="shared" si="67"/>
        <v>0</v>
      </c>
      <c r="AC313">
        <f t="shared" si="67"/>
        <v>0</v>
      </c>
      <c r="AD313">
        <f t="shared" si="67"/>
        <v>0</v>
      </c>
      <c r="AE313">
        <f t="shared" si="67"/>
        <v>0</v>
      </c>
      <c r="AF313">
        <f t="shared" si="67"/>
        <v>0</v>
      </c>
      <c r="AG313">
        <f t="shared" si="67"/>
        <v>0</v>
      </c>
      <c r="AH313">
        <f t="shared" si="67"/>
        <v>0</v>
      </c>
      <c r="AI313">
        <f t="shared" si="67"/>
        <v>0</v>
      </c>
      <c r="AJ313">
        <f t="shared" si="67"/>
        <v>0</v>
      </c>
      <c r="AK313">
        <f t="shared" si="67"/>
        <v>0</v>
      </c>
      <c r="AL313">
        <f t="shared" si="67"/>
        <v>0</v>
      </c>
      <c r="AM313">
        <f t="shared" si="67"/>
        <v>0</v>
      </c>
      <c r="AN313">
        <f t="shared" si="67"/>
        <v>0</v>
      </c>
      <c r="AO313">
        <f t="shared" si="67"/>
        <v>0</v>
      </c>
      <c r="AP313">
        <f t="shared" si="67"/>
        <v>0</v>
      </c>
      <c r="AQ313">
        <f t="shared" si="67"/>
        <v>0</v>
      </c>
      <c r="AR313">
        <f t="shared" si="67"/>
        <v>0</v>
      </c>
    </row>
    <row r="314" spans="5:44" x14ac:dyDescent="0.2">
      <c r="E314" s="1">
        <f>moment_rate!$AC314</f>
        <v>7.4493433161470389E-3</v>
      </c>
      <c r="F314" s="1">
        <f t="shared" si="59"/>
        <v>0</v>
      </c>
      <c r="G314">
        <f>moment_rate!I314-0.005</f>
        <v>3.0699999999999785</v>
      </c>
      <c r="H314" s="1">
        <f t="shared" si="60"/>
        <v>0</v>
      </c>
      <c r="I314">
        <f t="shared" si="68"/>
        <v>0</v>
      </c>
      <c r="J314">
        <f t="shared" si="68"/>
        <v>0</v>
      </c>
      <c r="K314">
        <f t="shared" si="68"/>
        <v>0</v>
      </c>
      <c r="L314">
        <f t="shared" si="68"/>
        <v>0</v>
      </c>
      <c r="M314">
        <f t="shared" si="68"/>
        <v>0</v>
      </c>
      <c r="N314">
        <f t="shared" si="68"/>
        <v>0</v>
      </c>
      <c r="O314">
        <f t="shared" si="68"/>
        <v>0</v>
      </c>
      <c r="P314">
        <f t="shared" si="68"/>
        <v>0</v>
      </c>
      <c r="Q314">
        <f t="shared" si="68"/>
        <v>0</v>
      </c>
      <c r="R314">
        <f t="shared" si="68"/>
        <v>0</v>
      </c>
      <c r="S314">
        <f t="shared" si="68"/>
        <v>0</v>
      </c>
      <c r="T314">
        <f t="shared" si="68"/>
        <v>0</v>
      </c>
      <c r="U314">
        <f t="shared" si="68"/>
        <v>0</v>
      </c>
      <c r="V314">
        <f t="shared" si="68"/>
        <v>0</v>
      </c>
      <c r="W314">
        <f t="shared" si="68"/>
        <v>0</v>
      </c>
      <c r="X314">
        <f t="shared" si="68"/>
        <v>0</v>
      </c>
      <c r="Y314">
        <f t="shared" si="67"/>
        <v>0</v>
      </c>
      <c r="Z314">
        <f t="shared" si="67"/>
        <v>0</v>
      </c>
      <c r="AA314">
        <f t="shared" si="67"/>
        <v>0</v>
      </c>
      <c r="AB314">
        <f t="shared" si="67"/>
        <v>0</v>
      </c>
      <c r="AC314">
        <f t="shared" si="67"/>
        <v>0</v>
      </c>
      <c r="AD314">
        <f t="shared" si="67"/>
        <v>0</v>
      </c>
      <c r="AE314">
        <f t="shared" si="67"/>
        <v>0</v>
      </c>
      <c r="AF314">
        <f t="shared" si="67"/>
        <v>0</v>
      </c>
      <c r="AG314">
        <f t="shared" si="67"/>
        <v>0</v>
      </c>
      <c r="AH314">
        <f t="shared" si="67"/>
        <v>0</v>
      </c>
      <c r="AI314">
        <f t="shared" si="67"/>
        <v>0</v>
      </c>
      <c r="AJ314">
        <f t="shared" si="67"/>
        <v>0</v>
      </c>
      <c r="AK314">
        <f t="shared" si="67"/>
        <v>0</v>
      </c>
      <c r="AL314">
        <f t="shared" si="67"/>
        <v>0</v>
      </c>
      <c r="AM314">
        <f t="shared" ref="AI314:AR349" si="69">IF(AND($G314&gt;=AM$3,$G314&lt;AM$4),$F314,0)</f>
        <v>0</v>
      </c>
      <c r="AN314">
        <f t="shared" si="69"/>
        <v>0</v>
      </c>
      <c r="AO314">
        <f t="shared" si="69"/>
        <v>0</v>
      </c>
      <c r="AP314">
        <f t="shared" si="69"/>
        <v>0</v>
      </c>
      <c r="AQ314">
        <f t="shared" si="69"/>
        <v>0</v>
      </c>
      <c r="AR314">
        <f t="shared" si="69"/>
        <v>0</v>
      </c>
    </row>
    <row r="315" spans="5:44" x14ac:dyDescent="0.2">
      <c r="E315" s="1">
        <f>moment_rate!$AC315</f>
        <v>7.4493433161470389E-3</v>
      </c>
      <c r="F315" s="1">
        <f t="shared" si="59"/>
        <v>0</v>
      </c>
      <c r="G315">
        <f>moment_rate!I315-0.005</f>
        <v>3.0799999999999783</v>
      </c>
      <c r="H315" s="1">
        <f t="shared" si="60"/>
        <v>0</v>
      </c>
      <c r="I315">
        <f t="shared" si="68"/>
        <v>0</v>
      </c>
      <c r="J315">
        <f t="shared" si="68"/>
        <v>0</v>
      </c>
      <c r="K315">
        <f t="shared" si="68"/>
        <v>0</v>
      </c>
      <c r="L315">
        <f t="shared" si="68"/>
        <v>0</v>
      </c>
      <c r="M315">
        <f t="shared" si="68"/>
        <v>0</v>
      </c>
      <c r="N315">
        <f t="shared" si="68"/>
        <v>0</v>
      </c>
      <c r="O315">
        <f t="shared" si="68"/>
        <v>0</v>
      </c>
      <c r="P315">
        <f t="shared" si="68"/>
        <v>0</v>
      </c>
      <c r="Q315">
        <f t="shared" si="68"/>
        <v>0</v>
      </c>
      <c r="R315">
        <f t="shared" si="68"/>
        <v>0</v>
      </c>
      <c r="S315">
        <f t="shared" si="68"/>
        <v>0</v>
      </c>
      <c r="T315">
        <f t="shared" si="68"/>
        <v>0</v>
      </c>
      <c r="U315">
        <f t="shared" si="68"/>
        <v>0</v>
      </c>
      <c r="V315">
        <f t="shared" si="68"/>
        <v>0</v>
      </c>
      <c r="W315">
        <f t="shared" si="68"/>
        <v>0</v>
      </c>
      <c r="X315">
        <f t="shared" si="68"/>
        <v>0</v>
      </c>
      <c r="Y315">
        <f t="shared" ref="Y315:AH322" si="70">IF(AND($G315&gt;=Y$3,$G315&lt;Y$4),$F315,0)</f>
        <v>0</v>
      </c>
      <c r="Z315">
        <f t="shared" si="70"/>
        <v>0</v>
      </c>
      <c r="AA315">
        <f t="shared" si="70"/>
        <v>0</v>
      </c>
      <c r="AB315">
        <f t="shared" si="70"/>
        <v>0</v>
      </c>
      <c r="AC315">
        <f t="shared" si="70"/>
        <v>0</v>
      </c>
      <c r="AD315">
        <f t="shared" si="70"/>
        <v>0</v>
      </c>
      <c r="AE315">
        <f t="shared" si="70"/>
        <v>0</v>
      </c>
      <c r="AF315">
        <f t="shared" si="70"/>
        <v>0</v>
      </c>
      <c r="AG315">
        <f t="shared" si="70"/>
        <v>0</v>
      </c>
      <c r="AH315">
        <f t="shared" si="70"/>
        <v>0</v>
      </c>
      <c r="AI315">
        <f t="shared" si="69"/>
        <v>0</v>
      </c>
      <c r="AJ315">
        <f t="shared" si="69"/>
        <v>0</v>
      </c>
      <c r="AK315">
        <f t="shared" si="69"/>
        <v>0</v>
      </c>
      <c r="AL315">
        <f t="shared" si="69"/>
        <v>0</v>
      </c>
      <c r="AM315">
        <f t="shared" si="69"/>
        <v>0</v>
      </c>
      <c r="AN315">
        <f t="shared" si="69"/>
        <v>0</v>
      </c>
      <c r="AO315">
        <f t="shared" si="69"/>
        <v>0</v>
      </c>
      <c r="AP315">
        <f t="shared" si="69"/>
        <v>0</v>
      </c>
      <c r="AQ315">
        <f t="shared" si="69"/>
        <v>0</v>
      </c>
      <c r="AR315">
        <f t="shared" si="69"/>
        <v>0</v>
      </c>
    </row>
    <row r="316" spans="5:44" x14ac:dyDescent="0.2">
      <c r="E316" s="1">
        <f>moment_rate!$AC316</f>
        <v>7.4493433161470389E-3</v>
      </c>
      <c r="F316" s="1">
        <f t="shared" si="59"/>
        <v>0</v>
      </c>
      <c r="G316">
        <f>moment_rate!I316-0.005</f>
        <v>3.0899999999999781</v>
      </c>
      <c r="H316" s="1">
        <f t="shared" si="60"/>
        <v>0</v>
      </c>
      <c r="I316">
        <f t="shared" si="68"/>
        <v>0</v>
      </c>
      <c r="J316">
        <f t="shared" si="68"/>
        <v>0</v>
      </c>
      <c r="K316">
        <f t="shared" si="68"/>
        <v>0</v>
      </c>
      <c r="L316">
        <f t="shared" si="68"/>
        <v>0</v>
      </c>
      <c r="M316">
        <f t="shared" si="68"/>
        <v>0</v>
      </c>
      <c r="N316">
        <f t="shared" si="68"/>
        <v>0</v>
      </c>
      <c r="O316">
        <f t="shared" si="68"/>
        <v>0</v>
      </c>
      <c r="P316">
        <f t="shared" si="68"/>
        <v>0</v>
      </c>
      <c r="Q316">
        <f t="shared" si="68"/>
        <v>0</v>
      </c>
      <c r="R316">
        <f t="shared" si="68"/>
        <v>0</v>
      </c>
      <c r="S316">
        <f t="shared" si="68"/>
        <v>0</v>
      </c>
      <c r="T316">
        <f t="shared" si="68"/>
        <v>0</v>
      </c>
      <c r="U316">
        <f t="shared" si="68"/>
        <v>0</v>
      </c>
      <c r="V316">
        <f t="shared" si="68"/>
        <v>0</v>
      </c>
      <c r="W316">
        <f t="shared" si="68"/>
        <v>0</v>
      </c>
      <c r="X316">
        <f t="shared" si="68"/>
        <v>0</v>
      </c>
      <c r="Y316">
        <f t="shared" si="70"/>
        <v>0</v>
      </c>
      <c r="Z316">
        <f t="shared" si="70"/>
        <v>0</v>
      </c>
      <c r="AA316">
        <f t="shared" si="70"/>
        <v>0</v>
      </c>
      <c r="AB316">
        <f t="shared" si="70"/>
        <v>0</v>
      </c>
      <c r="AC316">
        <f t="shared" si="70"/>
        <v>0</v>
      </c>
      <c r="AD316">
        <f t="shared" si="70"/>
        <v>0</v>
      </c>
      <c r="AE316">
        <f t="shared" si="70"/>
        <v>0</v>
      </c>
      <c r="AF316">
        <f t="shared" si="70"/>
        <v>0</v>
      </c>
      <c r="AG316">
        <f t="shared" si="70"/>
        <v>0</v>
      </c>
      <c r="AH316">
        <f t="shared" si="70"/>
        <v>0</v>
      </c>
      <c r="AI316">
        <f t="shared" si="69"/>
        <v>0</v>
      </c>
      <c r="AJ316">
        <f t="shared" si="69"/>
        <v>0</v>
      </c>
      <c r="AK316">
        <f t="shared" si="69"/>
        <v>0</v>
      </c>
      <c r="AL316">
        <f t="shared" si="69"/>
        <v>0</v>
      </c>
      <c r="AM316">
        <f t="shared" si="69"/>
        <v>0</v>
      </c>
      <c r="AN316">
        <f t="shared" si="69"/>
        <v>0</v>
      </c>
      <c r="AO316">
        <f t="shared" si="69"/>
        <v>0</v>
      </c>
      <c r="AP316">
        <f t="shared" si="69"/>
        <v>0</v>
      </c>
      <c r="AQ316">
        <f t="shared" si="69"/>
        <v>0</v>
      </c>
      <c r="AR316">
        <f t="shared" si="69"/>
        <v>0</v>
      </c>
    </row>
    <row r="317" spans="5:44" x14ac:dyDescent="0.2">
      <c r="E317" s="1">
        <f>moment_rate!$AC317</f>
        <v>7.4493433161470389E-3</v>
      </c>
      <c r="F317" s="1">
        <f t="shared" si="59"/>
        <v>0</v>
      </c>
      <c r="G317">
        <f>moment_rate!I317-0.005</f>
        <v>3.0999999999999779</v>
      </c>
      <c r="H317" s="1">
        <f t="shared" si="60"/>
        <v>0</v>
      </c>
      <c r="I317">
        <f t="shared" si="68"/>
        <v>0</v>
      </c>
      <c r="J317">
        <f t="shared" si="68"/>
        <v>0</v>
      </c>
      <c r="K317">
        <f t="shared" si="68"/>
        <v>0</v>
      </c>
      <c r="L317">
        <f t="shared" si="68"/>
        <v>0</v>
      </c>
      <c r="M317">
        <f t="shared" si="68"/>
        <v>0</v>
      </c>
      <c r="N317">
        <f t="shared" si="68"/>
        <v>0</v>
      </c>
      <c r="O317">
        <f t="shared" si="68"/>
        <v>0</v>
      </c>
      <c r="P317">
        <f t="shared" si="68"/>
        <v>0</v>
      </c>
      <c r="Q317">
        <f t="shared" si="68"/>
        <v>0</v>
      </c>
      <c r="R317">
        <f t="shared" si="68"/>
        <v>0</v>
      </c>
      <c r="S317">
        <f t="shared" si="68"/>
        <v>0</v>
      </c>
      <c r="T317">
        <f t="shared" si="68"/>
        <v>0</v>
      </c>
      <c r="U317">
        <f t="shared" si="68"/>
        <v>0</v>
      </c>
      <c r="V317">
        <f t="shared" si="68"/>
        <v>0</v>
      </c>
      <c r="W317">
        <f t="shared" si="68"/>
        <v>0</v>
      </c>
      <c r="X317">
        <f t="shared" si="68"/>
        <v>0</v>
      </c>
      <c r="Y317">
        <f t="shared" si="70"/>
        <v>0</v>
      </c>
      <c r="Z317">
        <f t="shared" si="70"/>
        <v>0</v>
      </c>
      <c r="AA317">
        <f t="shared" si="70"/>
        <v>0</v>
      </c>
      <c r="AB317">
        <f t="shared" si="70"/>
        <v>0</v>
      </c>
      <c r="AC317">
        <f t="shared" si="70"/>
        <v>0</v>
      </c>
      <c r="AD317">
        <f t="shared" si="70"/>
        <v>0</v>
      </c>
      <c r="AE317">
        <f t="shared" si="70"/>
        <v>0</v>
      </c>
      <c r="AF317">
        <f t="shared" si="70"/>
        <v>0</v>
      </c>
      <c r="AG317">
        <f t="shared" si="70"/>
        <v>0</v>
      </c>
      <c r="AH317">
        <f t="shared" si="70"/>
        <v>0</v>
      </c>
      <c r="AI317">
        <f t="shared" si="69"/>
        <v>0</v>
      </c>
      <c r="AJ317">
        <f t="shared" si="69"/>
        <v>0</v>
      </c>
      <c r="AK317">
        <f t="shared" si="69"/>
        <v>0</v>
      </c>
      <c r="AL317">
        <f t="shared" si="69"/>
        <v>0</v>
      </c>
      <c r="AM317">
        <f t="shared" si="69"/>
        <v>0</v>
      </c>
      <c r="AN317">
        <f t="shared" si="69"/>
        <v>0</v>
      </c>
      <c r="AO317">
        <f t="shared" si="69"/>
        <v>0</v>
      </c>
      <c r="AP317">
        <f t="shared" si="69"/>
        <v>0</v>
      </c>
      <c r="AQ317">
        <f t="shared" si="69"/>
        <v>0</v>
      </c>
      <c r="AR317">
        <f t="shared" si="69"/>
        <v>0</v>
      </c>
    </row>
    <row r="318" spans="5:44" x14ac:dyDescent="0.2">
      <c r="E318" s="1">
        <f>moment_rate!$AC318</f>
        <v>7.4493433161470389E-3</v>
      </c>
      <c r="F318" s="1">
        <f t="shared" si="59"/>
        <v>0</v>
      </c>
      <c r="G318">
        <f>moment_rate!I318-0.005</f>
        <v>3.1099999999999777</v>
      </c>
      <c r="H318" s="1">
        <f t="shared" si="60"/>
        <v>0</v>
      </c>
      <c r="I318">
        <f t="shared" si="68"/>
        <v>0</v>
      </c>
      <c r="J318">
        <f t="shared" si="68"/>
        <v>0</v>
      </c>
      <c r="K318">
        <f t="shared" si="68"/>
        <v>0</v>
      </c>
      <c r="L318">
        <f t="shared" si="68"/>
        <v>0</v>
      </c>
      <c r="M318">
        <f t="shared" si="68"/>
        <v>0</v>
      </c>
      <c r="N318">
        <f t="shared" si="68"/>
        <v>0</v>
      </c>
      <c r="O318">
        <f t="shared" si="68"/>
        <v>0</v>
      </c>
      <c r="P318">
        <f t="shared" si="68"/>
        <v>0</v>
      </c>
      <c r="Q318">
        <f t="shared" si="68"/>
        <v>0</v>
      </c>
      <c r="R318">
        <f t="shared" si="68"/>
        <v>0</v>
      </c>
      <c r="S318">
        <f t="shared" si="68"/>
        <v>0</v>
      </c>
      <c r="T318">
        <f t="shared" si="68"/>
        <v>0</v>
      </c>
      <c r="U318">
        <f t="shared" si="68"/>
        <v>0</v>
      </c>
      <c r="V318">
        <f t="shared" si="68"/>
        <v>0</v>
      </c>
      <c r="W318">
        <f t="shared" si="68"/>
        <v>0</v>
      </c>
      <c r="X318">
        <f t="shared" ref="X318:AM333" si="71">IF(AND($G318&gt;=X$3,$G318&lt;X$4),$F318,0)</f>
        <v>0</v>
      </c>
      <c r="Y318">
        <f t="shared" si="71"/>
        <v>0</v>
      </c>
      <c r="Z318">
        <f t="shared" si="70"/>
        <v>0</v>
      </c>
      <c r="AA318">
        <f t="shared" si="70"/>
        <v>0</v>
      </c>
      <c r="AB318">
        <f t="shared" si="70"/>
        <v>0</v>
      </c>
      <c r="AC318">
        <f t="shared" si="70"/>
        <v>0</v>
      </c>
      <c r="AD318">
        <f t="shared" si="70"/>
        <v>0</v>
      </c>
      <c r="AE318">
        <f t="shared" si="70"/>
        <v>0</v>
      </c>
      <c r="AF318">
        <f t="shared" si="70"/>
        <v>0</v>
      </c>
      <c r="AG318">
        <f t="shared" si="70"/>
        <v>0</v>
      </c>
      <c r="AH318">
        <f t="shared" si="70"/>
        <v>0</v>
      </c>
      <c r="AI318">
        <f t="shared" si="69"/>
        <v>0</v>
      </c>
      <c r="AJ318">
        <f t="shared" si="69"/>
        <v>0</v>
      </c>
      <c r="AK318">
        <f t="shared" si="69"/>
        <v>0</v>
      </c>
      <c r="AL318">
        <f t="shared" si="69"/>
        <v>0</v>
      </c>
      <c r="AM318">
        <f t="shared" si="69"/>
        <v>0</v>
      </c>
      <c r="AN318">
        <f t="shared" si="69"/>
        <v>0</v>
      </c>
      <c r="AO318">
        <f t="shared" si="69"/>
        <v>0</v>
      </c>
      <c r="AP318">
        <f t="shared" si="69"/>
        <v>0</v>
      </c>
      <c r="AQ318">
        <f t="shared" si="69"/>
        <v>0</v>
      </c>
      <c r="AR318">
        <f t="shared" si="69"/>
        <v>0</v>
      </c>
    </row>
    <row r="319" spans="5:44" x14ac:dyDescent="0.2">
      <c r="E319" s="1">
        <f>moment_rate!$AC319</f>
        <v>7.4493433161470389E-3</v>
      </c>
      <c r="F319" s="1">
        <f t="shared" si="59"/>
        <v>0</v>
      </c>
      <c r="G319">
        <f>moment_rate!I319-0.005</f>
        <v>3.1199999999999775</v>
      </c>
      <c r="H319" s="1">
        <f t="shared" si="60"/>
        <v>0</v>
      </c>
      <c r="I319">
        <f t="shared" ref="I319:X334" si="72">IF(AND($G319&gt;=I$3,$G319&lt;I$4),$F319,0)</f>
        <v>0</v>
      </c>
      <c r="J319">
        <f t="shared" si="72"/>
        <v>0</v>
      </c>
      <c r="K319">
        <f t="shared" si="72"/>
        <v>0</v>
      </c>
      <c r="L319">
        <f t="shared" si="72"/>
        <v>0</v>
      </c>
      <c r="M319">
        <f t="shared" si="72"/>
        <v>0</v>
      </c>
      <c r="N319">
        <f t="shared" si="72"/>
        <v>0</v>
      </c>
      <c r="O319">
        <f t="shared" si="72"/>
        <v>0</v>
      </c>
      <c r="P319">
        <f t="shared" si="72"/>
        <v>0</v>
      </c>
      <c r="Q319">
        <f t="shared" si="72"/>
        <v>0</v>
      </c>
      <c r="R319">
        <f t="shared" si="72"/>
        <v>0</v>
      </c>
      <c r="S319">
        <f t="shared" si="72"/>
        <v>0</v>
      </c>
      <c r="T319">
        <f t="shared" si="72"/>
        <v>0</v>
      </c>
      <c r="U319">
        <f t="shared" si="72"/>
        <v>0</v>
      </c>
      <c r="V319">
        <f t="shared" si="72"/>
        <v>0</v>
      </c>
      <c r="W319">
        <f t="shared" si="72"/>
        <v>0</v>
      </c>
      <c r="X319">
        <f t="shared" si="72"/>
        <v>0</v>
      </c>
      <c r="Y319">
        <f t="shared" si="71"/>
        <v>0</v>
      </c>
      <c r="Z319">
        <f t="shared" si="70"/>
        <v>0</v>
      </c>
      <c r="AA319">
        <f t="shared" si="70"/>
        <v>0</v>
      </c>
      <c r="AB319">
        <f t="shared" si="70"/>
        <v>0</v>
      </c>
      <c r="AC319">
        <f t="shared" si="70"/>
        <v>0</v>
      </c>
      <c r="AD319">
        <f t="shared" si="70"/>
        <v>0</v>
      </c>
      <c r="AE319">
        <f t="shared" si="70"/>
        <v>0</v>
      </c>
      <c r="AF319">
        <f t="shared" si="70"/>
        <v>0</v>
      </c>
      <c r="AG319">
        <f t="shared" si="70"/>
        <v>0</v>
      </c>
      <c r="AH319">
        <f t="shared" si="70"/>
        <v>0</v>
      </c>
      <c r="AI319">
        <f t="shared" si="69"/>
        <v>0</v>
      </c>
      <c r="AJ319">
        <f t="shared" si="69"/>
        <v>0</v>
      </c>
      <c r="AK319">
        <f t="shared" si="69"/>
        <v>0</v>
      </c>
      <c r="AL319">
        <f t="shared" si="69"/>
        <v>0</v>
      </c>
      <c r="AM319">
        <f t="shared" si="69"/>
        <v>0</v>
      </c>
      <c r="AN319">
        <f t="shared" si="69"/>
        <v>0</v>
      </c>
      <c r="AO319">
        <f t="shared" si="69"/>
        <v>0</v>
      </c>
      <c r="AP319">
        <f t="shared" si="69"/>
        <v>0</v>
      </c>
      <c r="AQ319">
        <f t="shared" si="69"/>
        <v>0</v>
      </c>
      <c r="AR319">
        <f t="shared" si="69"/>
        <v>0</v>
      </c>
    </row>
    <row r="320" spans="5:44" x14ac:dyDescent="0.2">
      <c r="E320" s="1">
        <f>moment_rate!$AC320</f>
        <v>7.4493433161470389E-3</v>
      </c>
      <c r="F320" s="1">
        <f t="shared" si="59"/>
        <v>0</v>
      </c>
      <c r="G320">
        <f>moment_rate!I320-0.005</f>
        <v>3.1299999999999772</v>
      </c>
      <c r="H320" s="1">
        <f t="shared" si="60"/>
        <v>0</v>
      </c>
      <c r="I320">
        <f t="shared" si="72"/>
        <v>0</v>
      </c>
      <c r="J320">
        <f t="shared" si="72"/>
        <v>0</v>
      </c>
      <c r="K320">
        <f t="shared" si="72"/>
        <v>0</v>
      </c>
      <c r="L320">
        <f t="shared" si="72"/>
        <v>0</v>
      </c>
      <c r="M320">
        <f t="shared" si="72"/>
        <v>0</v>
      </c>
      <c r="N320">
        <f t="shared" si="72"/>
        <v>0</v>
      </c>
      <c r="O320">
        <f t="shared" si="72"/>
        <v>0</v>
      </c>
      <c r="P320">
        <f t="shared" si="72"/>
        <v>0</v>
      </c>
      <c r="Q320">
        <f t="shared" si="72"/>
        <v>0</v>
      </c>
      <c r="R320">
        <f t="shared" si="72"/>
        <v>0</v>
      </c>
      <c r="S320">
        <f t="shared" si="72"/>
        <v>0</v>
      </c>
      <c r="T320">
        <f t="shared" si="72"/>
        <v>0</v>
      </c>
      <c r="U320">
        <f t="shared" si="72"/>
        <v>0</v>
      </c>
      <c r="V320">
        <f t="shared" si="72"/>
        <v>0</v>
      </c>
      <c r="W320">
        <f t="shared" si="72"/>
        <v>0</v>
      </c>
      <c r="X320">
        <f t="shared" si="72"/>
        <v>0</v>
      </c>
      <c r="Y320">
        <f t="shared" si="71"/>
        <v>0</v>
      </c>
      <c r="Z320">
        <f t="shared" si="70"/>
        <v>0</v>
      </c>
      <c r="AA320">
        <f t="shared" si="70"/>
        <v>0</v>
      </c>
      <c r="AB320">
        <f t="shared" si="70"/>
        <v>0</v>
      </c>
      <c r="AC320">
        <f t="shared" si="70"/>
        <v>0</v>
      </c>
      <c r="AD320">
        <f t="shared" si="70"/>
        <v>0</v>
      </c>
      <c r="AE320">
        <f t="shared" si="70"/>
        <v>0</v>
      </c>
      <c r="AF320">
        <f t="shared" si="70"/>
        <v>0</v>
      </c>
      <c r="AG320">
        <f t="shared" si="70"/>
        <v>0</v>
      </c>
      <c r="AH320">
        <f t="shared" si="70"/>
        <v>0</v>
      </c>
      <c r="AI320">
        <f t="shared" si="69"/>
        <v>0</v>
      </c>
      <c r="AJ320">
        <f t="shared" si="69"/>
        <v>0</v>
      </c>
      <c r="AK320">
        <f t="shared" si="69"/>
        <v>0</v>
      </c>
      <c r="AL320">
        <f t="shared" si="69"/>
        <v>0</v>
      </c>
      <c r="AM320">
        <f t="shared" si="69"/>
        <v>0</v>
      </c>
      <c r="AN320">
        <f t="shared" si="69"/>
        <v>0</v>
      </c>
      <c r="AO320">
        <f t="shared" si="69"/>
        <v>0</v>
      </c>
      <c r="AP320">
        <f t="shared" si="69"/>
        <v>0</v>
      </c>
      <c r="AQ320">
        <f t="shared" si="69"/>
        <v>0</v>
      </c>
      <c r="AR320">
        <f t="shared" si="69"/>
        <v>0</v>
      </c>
    </row>
    <row r="321" spans="5:44" x14ac:dyDescent="0.2">
      <c r="E321" s="1">
        <f>moment_rate!$AC321</f>
        <v>7.4493433161470389E-3</v>
      </c>
      <c r="F321" s="1">
        <f t="shared" si="59"/>
        <v>0</v>
      </c>
      <c r="G321">
        <f>moment_rate!I321-0.005</f>
        <v>3.139999999999977</v>
      </c>
      <c r="H321" s="1">
        <f t="shared" si="60"/>
        <v>0</v>
      </c>
      <c r="I321">
        <f t="shared" si="72"/>
        <v>0</v>
      </c>
      <c r="J321">
        <f t="shared" si="72"/>
        <v>0</v>
      </c>
      <c r="K321">
        <f t="shared" si="72"/>
        <v>0</v>
      </c>
      <c r="L321">
        <f t="shared" si="72"/>
        <v>0</v>
      </c>
      <c r="M321">
        <f t="shared" si="72"/>
        <v>0</v>
      </c>
      <c r="N321">
        <f t="shared" si="72"/>
        <v>0</v>
      </c>
      <c r="O321">
        <f t="shared" si="72"/>
        <v>0</v>
      </c>
      <c r="P321">
        <f t="shared" si="72"/>
        <v>0</v>
      </c>
      <c r="Q321">
        <f t="shared" si="72"/>
        <v>0</v>
      </c>
      <c r="R321">
        <f t="shared" si="72"/>
        <v>0</v>
      </c>
      <c r="S321">
        <f t="shared" si="72"/>
        <v>0</v>
      </c>
      <c r="T321">
        <f t="shared" si="72"/>
        <v>0</v>
      </c>
      <c r="U321">
        <f t="shared" si="72"/>
        <v>0</v>
      </c>
      <c r="V321">
        <f t="shared" si="72"/>
        <v>0</v>
      </c>
      <c r="W321">
        <f t="shared" si="72"/>
        <v>0</v>
      </c>
      <c r="X321">
        <f t="shared" si="72"/>
        <v>0</v>
      </c>
      <c r="Y321">
        <f t="shared" si="71"/>
        <v>0</v>
      </c>
      <c r="Z321">
        <f t="shared" si="70"/>
        <v>0</v>
      </c>
      <c r="AA321">
        <f t="shared" si="70"/>
        <v>0</v>
      </c>
      <c r="AB321">
        <f t="shared" si="70"/>
        <v>0</v>
      </c>
      <c r="AC321">
        <f t="shared" si="70"/>
        <v>0</v>
      </c>
      <c r="AD321">
        <f t="shared" si="70"/>
        <v>0</v>
      </c>
      <c r="AE321">
        <f t="shared" si="70"/>
        <v>0</v>
      </c>
      <c r="AF321">
        <f t="shared" si="70"/>
        <v>0</v>
      </c>
      <c r="AG321">
        <f t="shared" si="70"/>
        <v>0</v>
      </c>
      <c r="AH321">
        <f t="shared" si="70"/>
        <v>0</v>
      </c>
      <c r="AI321">
        <f t="shared" si="69"/>
        <v>0</v>
      </c>
      <c r="AJ321">
        <f t="shared" si="69"/>
        <v>0</v>
      </c>
      <c r="AK321">
        <f t="shared" si="69"/>
        <v>0</v>
      </c>
      <c r="AL321">
        <f t="shared" si="69"/>
        <v>0</v>
      </c>
      <c r="AM321">
        <f t="shared" si="69"/>
        <v>0</v>
      </c>
      <c r="AN321">
        <f t="shared" si="69"/>
        <v>0</v>
      </c>
      <c r="AO321">
        <f t="shared" si="69"/>
        <v>0</v>
      </c>
      <c r="AP321">
        <f t="shared" si="69"/>
        <v>0</v>
      </c>
      <c r="AQ321">
        <f t="shared" si="69"/>
        <v>0</v>
      </c>
      <c r="AR321">
        <f t="shared" si="69"/>
        <v>0</v>
      </c>
    </row>
    <row r="322" spans="5:44" x14ac:dyDescent="0.2">
      <c r="E322" s="1">
        <f>moment_rate!$AC322</f>
        <v>7.4493433161470389E-3</v>
      </c>
      <c r="F322" s="1">
        <f t="shared" si="59"/>
        <v>0</v>
      </c>
      <c r="G322">
        <f>moment_rate!I322-0.005</f>
        <v>3.1499999999999768</v>
      </c>
      <c r="H322" s="1">
        <f t="shared" si="60"/>
        <v>0</v>
      </c>
      <c r="I322">
        <f t="shared" si="72"/>
        <v>0</v>
      </c>
      <c r="J322">
        <f t="shared" si="72"/>
        <v>0</v>
      </c>
      <c r="K322">
        <f t="shared" si="72"/>
        <v>0</v>
      </c>
      <c r="L322">
        <f t="shared" si="72"/>
        <v>0</v>
      </c>
      <c r="M322">
        <f t="shared" si="72"/>
        <v>0</v>
      </c>
      <c r="N322">
        <f t="shared" si="72"/>
        <v>0</v>
      </c>
      <c r="O322">
        <f t="shared" si="72"/>
        <v>0</v>
      </c>
      <c r="P322">
        <f t="shared" si="72"/>
        <v>0</v>
      </c>
      <c r="Q322">
        <f t="shared" si="72"/>
        <v>0</v>
      </c>
      <c r="R322">
        <f t="shared" si="72"/>
        <v>0</v>
      </c>
      <c r="S322">
        <f t="shared" si="72"/>
        <v>0</v>
      </c>
      <c r="T322">
        <f t="shared" si="72"/>
        <v>0</v>
      </c>
      <c r="U322">
        <f t="shared" si="72"/>
        <v>0</v>
      </c>
      <c r="V322">
        <f t="shared" si="72"/>
        <v>0</v>
      </c>
      <c r="W322">
        <f t="shared" si="72"/>
        <v>0</v>
      </c>
      <c r="X322">
        <f t="shared" si="72"/>
        <v>0</v>
      </c>
      <c r="Y322">
        <f t="shared" si="71"/>
        <v>0</v>
      </c>
      <c r="Z322">
        <f t="shared" si="70"/>
        <v>0</v>
      </c>
      <c r="AA322">
        <f t="shared" si="70"/>
        <v>0</v>
      </c>
      <c r="AB322">
        <f t="shared" si="70"/>
        <v>0</v>
      </c>
      <c r="AC322">
        <f t="shared" si="70"/>
        <v>0</v>
      </c>
      <c r="AD322">
        <f t="shared" si="70"/>
        <v>0</v>
      </c>
      <c r="AE322">
        <f t="shared" si="70"/>
        <v>0</v>
      </c>
      <c r="AF322">
        <f t="shared" si="70"/>
        <v>0</v>
      </c>
      <c r="AG322">
        <f t="shared" si="70"/>
        <v>0</v>
      </c>
      <c r="AH322">
        <f t="shared" si="70"/>
        <v>0</v>
      </c>
      <c r="AI322">
        <f t="shared" si="69"/>
        <v>0</v>
      </c>
      <c r="AJ322">
        <f t="shared" si="69"/>
        <v>0</v>
      </c>
      <c r="AK322">
        <f t="shared" si="69"/>
        <v>0</v>
      </c>
      <c r="AL322">
        <f t="shared" si="69"/>
        <v>0</v>
      </c>
      <c r="AM322">
        <f t="shared" si="69"/>
        <v>0</v>
      </c>
      <c r="AN322">
        <f t="shared" si="69"/>
        <v>0</v>
      </c>
      <c r="AO322">
        <f t="shared" si="69"/>
        <v>0</v>
      </c>
      <c r="AP322">
        <f t="shared" si="69"/>
        <v>0</v>
      </c>
      <c r="AQ322">
        <f t="shared" si="69"/>
        <v>0</v>
      </c>
      <c r="AR322">
        <f t="shared" si="69"/>
        <v>0</v>
      </c>
    </row>
    <row r="323" spans="5:44" x14ac:dyDescent="0.2">
      <c r="E323" s="1">
        <f>moment_rate!$AC323</f>
        <v>7.4493433161470389E-3</v>
      </c>
      <c r="F323" s="1">
        <f t="shared" si="59"/>
        <v>0</v>
      </c>
      <c r="G323">
        <f>moment_rate!I323-0.005</f>
        <v>3.1599999999999766</v>
      </c>
      <c r="H323" s="1">
        <f t="shared" si="60"/>
        <v>0</v>
      </c>
      <c r="I323">
        <f t="shared" si="72"/>
        <v>0</v>
      </c>
      <c r="J323">
        <f t="shared" si="72"/>
        <v>0</v>
      </c>
      <c r="K323">
        <f t="shared" si="72"/>
        <v>0</v>
      </c>
      <c r="L323">
        <f t="shared" si="72"/>
        <v>0</v>
      </c>
      <c r="M323">
        <f t="shared" si="72"/>
        <v>0</v>
      </c>
      <c r="N323">
        <f t="shared" si="72"/>
        <v>0</v>
      </c>
      <c r="O323">
        <f t="shared" si="72"/>
        <v>0</v>
      </c>
      <c r="P323">
        <f t="shared" si="72"/>
        <v>0</v>
      </c>
      <c r="Q323">
        <f t="shared" si="72"/>
        <v>0</v>
      </c>
      <c r="R323">
        <f t="shared" si="72"/>
        <v>0</v>
      </c>
      <c r="S323">
        <f t="shared" si="72"/>
        <v>0</v>
      </c>
      <c r="T323">
        <f t="shared" si="72"/>
        <v>0</v>
      </c>
      <c r="U323">
        <f t="shared" si="72"/>
        <v>0</v>
      </c>
      <c r="V323">
        <f t="shared" si="72"/>
        <v>0</v>
      </c>
      <c r="W323">
        <f t="shared" si="72"/>
        <v>0</v>
      </c>
      <c r="X323">
        <f t="shared" si="72"/>
        <v>0</v>
      </c>
      <c r="Y323">
        <f t="shared" si="71"/>
        <v>0</v>
      </c>
      <c r="Z323">
        <f t="shared" si="71"/>
        <v>0</v>
      </c>
      <c r="AA323">
        <f t="shared" si="71"/>
        <v>0</v>
      </c>
      <c r="AB323">
        <f t="shared" si="71"/>
        <v>0</v>
      </c>
      <c r="AC323">
        <f t="shared" si="71"/>
        <v>0</v>
      </c>
      <c r="AD323">
        <f t="shared" si="71"/>
        <v>0</v>
      </c>
      <c r="AE323">
        <f t="shared" si="71"/>
        <v>0</v>
      </c>
      <c r="AF323">
        <f t="shared" si="71"/>
        <v>0</v>
      </c>
      <c r="AG323">
        <f t="shared" si="71"/>
        <v>0</v>
      </c>
      <c r="AH323">
        <f t="shared" si="71"/>
        <v>0</v>
      </c>
      <c r="AI323">
        <f t="shared" si="71"/>
        <v>0</v>
      </c>
      <c r="AJ323">
        <f t="shared" si="71"/>
        <v>0</v>
      </c>
      <c r="AK323">
        <f t="shared" si="71"/>
        <v>0</v>
      </c>
      <c r="AL323">
        <f t="shared" si="71"/>
        <v>0</v>
      </c>
      <c r="AM323">
        <f t="shared" si="71"/>
        <v>0</v>
      </c>
      <c r="AN323">
        <f t="shared" si="69"/>
        <v>0</v>
      </c>
      <c r="AO323">
        <f t="shared" si="69"/>
        <v>0</v>
      </c>
      <c r="AP323">
        <f t="shared" si="69"/>
        <v>0</v>
      </c>
      <c r="AQ323">
        <f t="shared" si="69"/>
        <v>0</v>
      </c>
      <c r="AR323">
        <f t="shared" si="69"/>
        <v>0</v>
      </c>
    </row>
    <row r="324" spans="5:44" x14ac:dyDescent="0.2">
      <c r="E324" s="1">
        <f>moment_rate!$AC324</f>
        <v>7.4493433161470389E-3</v>
      </c>
      <c r="F324" s="1">
        <f t="shared" si="59"/>
        <v>0</v>
      </c>
      <c r="G324">
        <f>moment_rate!I324-0.005</f>
        <v>3.1699999999999764</v>
      </c>
      <c r="H324" s="1">
        <f t="shared" si="60"/>
        <v>0</v>
      </c>
      <c r="I324">
        <f t="shared" si="72"/>
        <v>0</v>
      </c>
      <c r="J324">
        <f t="shared" si="72"/>
        <v>0</v>
      </c>
      <c r="K324">
        <f t="shared" si="72"/>
        <v>0</v>
      </c>
      <c r="L324">
        <f t="shared" si="72"/>
        <v>0</v>
      </c>
      <c r="M324">
        <f t="shared" si="72"/>
        <v>0</v>
      </c>
      <c r="N324">
        <f t="shared" si="72"/>
        <v>0</v>
      </c>
      <c r="O324">
        <f t="shared" si="72"/>
        <v>0</v>
      </c>
      <c r="P324">
        <f t="shared" si="72"/>
        <v>0</v>
      </c>
      <c r="Q324">
        <f t="shared" si="72"/>
        <v>0</v>
      </c>
      <c r="R324">
        <f t="shared" si="72"/>
        <v>0</v>
      </c>
      <c r="S324">
        <f t="shared" si="72"/>
        <v>0</v>
      </c>
      <c r="T324">
        <f t="shared" si="72"/>
        <v>0</v>
      </c>
      <c r="U324">
        <f t="shared" si="72"/>
        <v>0</v>
      </c>
      <c r="V324">
        <f t="shared" si="72"/>
        <v>0</v>
      </c>
      <c r="W324">
        <f t="shared" si="72"/>
        <v>0</v>
      </c>
      <c r="X324">
        <f t="shared" si="72"/>
        <v>0</v>
      </c>
      <c r="Y324">
        <f t="shared" si="71"/>
        <v>0</v>
      </c>
      <c r="Z324">
        <f t="shared" si="71"/>
        <v>0</v>
      </c>
      <c r="AA324">
        <f t="shared" si="71"/>
        <v>0</v>
      </c>
      <c r="AB324">
        <f t="shared" si="71"/>
        <v>0</v>
      </c>
      <c r="AC324">
        <f t="shared" si="71"/>
        <v>0</v>
      </c>
      <c r="AD324">
        <f t="shared" si="71"/>
        <v>0</v>
      </c>
      <c r="AE324">
        <f t="shared" si="71"/>
        <v>0</v>
      </c>
      <c r="AF324">
        <f t="shared" si="71"/>
        <v>0</v>
      </c>
      <c r="AG324">
        <f t="shared" si="71"/>
        <v>0</v>
      </c>
      <c r="AH324">
        <f t="shared" si="71"/>
        <v>0</v>
      </c>
      <c r="AI324">
        <f t="shared" si="71"/>
        <v>0</v>
      </c>
      <c r="AJ324">
        <f t="shared" si="71"/>
        <v>0</v>
      </c>
      <c r="AK324">
        <f t="shared" si="71"/>
        <v>0</v>
      </c>
      <c r="AL324">
        <f t="shared" si="71"/>
        <v>0</v>
      </c>
      <c r="AM324">
        <f t="shared" si="71"/>
        <v>0</v>
      </c>
      <c r="AN324">
        <f t="shared" si="69"/>
        <v>0</v>
      </c>
      <c r="AO324">
        <f t="shared" si="69"/>
        <v>0</v>
      </c>
      <c r="AP324">
        <f t="shared" si="69"/>
        <v>0</v>
      </c>
      <c r="AQ324">
        <f t="shared" si="69"/>
        <v>0</v>
      </c>
      <c r="AR324">
        <f t="shared" si="69"/>
        <v>0</v>
      </c>
    </row>
    <row r="325" spans="5:44" x14ac:dyDescent="0.2">
      <c r="E325" s="1">
        <f>moment_rate!$AC325</f>
        <v>7.4493433161470389E-3</v>
      </c>
      <c r="F325" s="1">
        <f t="shared" si="59"/>
        <v>0</v>
      </c>
      <c r="G325">
        <f>moment_rate!I325-0.005</f>
        <v>3.1799999999999762</v>
      </c>
      <c r="H325" s="1">
        <f t="shared" si="60"/>
        <v>0</v>
      </c>
      <c r="I325">
        <f t="shared" si="72"/>
        <v>0</v>
      </c>
      <c r="J325">
        <f t="shared" si="72"/>
        <v>0</v>
      </c>
      <c r="K325">
        <f t="shared" si="72"/>
        <v>0</v>
      </c>
      <c r="L325">
        <f t="shared" si="72"/>
        <v>0</v>
      </c>
      <c r="M325">
        <f t="shared" si="72"/>
        <v>0</v>
      </c>
      <c r="N325">
        <f t="shared" si="72"/>
        <v>0</v>
      </c>
      <c r="O325">
        <f t="shared" si="72"/>
        <v>0</v>
      </c>
      <c r="P325">
        <f t="shared" si="72"/>
        <v>0</v>
      </c>
      <c r="Q325">
        <f t="shared" si="72"/>
        <v>0</v>
      </c>
      <c r="R325">
        <f t="shared" si="72"/>
        <v>0</v>
      </c>
      <c r="S325">
        <f t="shared" si="72"/>
        <v>0</v>
      </c>
      <c r="T325">
        <f t="shared" si="72"/>
        <v>0</v>
      </c>
      <c r="U325">
        <f t="shared" si="72"/>
        <v>0</v>
      </c>
      <c r="V325">
        <f t="shared" si="72"/>
        <v>0</v>
      </c>
      <c r="W325">
        <f t="shared" si="72"/>
        <v>0</v>
      </c>
      <c r="X325">
        <f t="shared" si="72"/>
        <v>0</v>
      </c>
      <c r="Y325">
        <f t="shared" si="71"/>
        <v>0</v>
      </c>
      <c r="Z325">
        <f t="shared" si="71"/>
        <v>0</v>
      </c>
      <c r="AA325">
        <f t="shared" si="71"/>
        <v>0</v>
      </c>
      <c r="AB325">
        <f t="shared" si="71"/>
        <v>0</v>
      </c>
      <c r="AC325">
        <f t="shared" si="71"/>
        <v>0</v>
      </c>
      <c r="AD325">
        <f t="shared" si="71"/>
        <v>0</v>
      </c>
      <c r="AE325">
        <f t="shared" si="71"/>
        <v>0</v>
      </c>
      <c r="AF325">
        <f t="shared" si="71"/>
        <v>0</v>
      </c>
      <c r="AG325">
        <f t="shared" si="71"/>
        <v>0</v>
      </c>
      <c r="AH325">
        <f t="shared" si="71"/>
        <v>0</v>
      </c>
      <c r="AI325">
        <f t="shared" si="71"/>
        <v>0</v>
      </c>
      <c r="AJ325">
        <f t="shared" si="71"/>
        <v>0</v>
      </c>
      <c r="AK325">
        <f t="shared" si="71"/>
        <v>0</v>
      </c>
      <c r="AL325">
        <f t="shared" si="71"/>
        <v>0</v>
      </c>
      <c r="AM325">
        <f t="shared" si="71"/>
        <v>0</v>
      </c>
      <c r="AN325">
        <f t="shared" si="69"/>
        <v>0</v>
      </c>
      <c r="AO325">
        <f t="shared" si="69"/>
        <v>0</v>
      </c>
      <c r="AP325">
        <f t="shared" si="69"/>
        <v>0</v>
      </c>
      <c r="AQ325">
        <f t="shared" si="69"/>
        <v>0</v>
      </c>
      <c r="AR325">
        <f t="shared" si="69"/>
        <v>0</v>
      </c>
    </row>
    <row r="326" spans="5:44" x14ac:dyDescent="0.2">
      <c r="E326" s="1">
        <f>moment_rate!$AC326</f>
        <v>7.4493433161470389E-3</v>
      </c>
      <c r="F326" s="1">
        <f t="shared" si="59"/>
        <v>0</v>
      </c>
      <c r="G326">
        <f>moment_rate!I326-0.005</f>
        <v>3.189999999999976</v>
      </c>
      <c r="H326" s="1">
        <f t="shared" si="60"/>
        <v>0</v>
      </c>
      <c r="I326">
        <f t="shared" si="72"/>
        <v>0</v>
      </c>
      <c r="J326">
        <f t="shared" si="72"/>
        <v>0</v>
      </c>
      <c r="K326">
        <f t="shared" si="72"/>
        <v>0</v>
      </c>
      <c r="L326">
        <f t="shared" si="72"/>
        <v>0</v>
      </c>
      <c r="M326">
        <f t="shared" si="72"/>
        <v>0</v>
      </c>
      <c r="N326">
        <f t="shared" si="72"/>
        <v>0</v>
      </c>
      <c r="O326">
        <f t="shared" si="72"/>
        <v>0</v>
      </c>
      <c r="P326">
        <f t="shared" si="72"/>
        <v>0</v>
      </c>
      <c r="Q326">
        <f t="shared" si="72"/>
        <v>0</v>
      </c>
      <c r="R326">
        <f t="shared" si="72"/>
        <v>0</v>
      </c>
      <c r="S326">
        <f t="shared" si="72"/>
        <v>0</v>
      </c>
      <c r="T326">
        <f t="shared" si="72"/>
        <v>0</v>
      </c>
      <c r="U326">
        <f t="shared" si="72"/>
        <v>0</v>
      </c>
      <c r="V326">
        <f t="shared" si="72"/>
        <v>0</v>
      </c>
      <c r="W326">
        <f t="shared" si="72"/>
        <v>0</v>
      </c>
      <c r="X326">
        <f t="shared" si="72"/>
        <v>0</v>
      </c>
      <c r="Y326">
        <f t="shared" si="71"/>
        <v>0</v>
      </c>
      <c r="Z326">
        <f t="shared" si="71"/>
        <v>0</v>
      </c>
      <c r="AA326">
        <f t="shared" si="71"/>
        <v>0</v>
      </c>
      <c r="AB326">
        <f t="shared" si="71"/>
        <v>0</v>
      </c>
      <c r="AC326">
        <f t="shared" si="71"/>
        <v>0</v>
      </c>
      <c r="AD326">
        <f t="shared" si="71"/>
        <v>0</v>
      </c>
      <c r="AE326">
        <f t="shared" si="71"/>
        <v>0</v>
      </c>
      <c r="AF326">
        <f t="shared" si="71"/>
        <v>0</v>
      </c>
      <c r="AG326">
        <f t="shared" si="71"/>
        <v>0</v>
      </c>
      <c r="AH326">
        <f t="shared" si="71"/>
        <v>0</v>
      </c>
      <c r="AI326">
        <f t="shared" si="71"/>
        <v>0</v>
      </c>
      <c r="AJ326">
        <f t="shared" si="71"/>
        <v>0</v>
      </c>
      <c r="AK326">
        <f t="shared" si="71"/>
        <v>0</v>
      </c>
      <c r="AL326">
        <f t="shared" si="71"/>
        <v>0</v>
      </c>
      <c r="AM326">
        <f t="shared" si="71"/>
        <v>0</v>
      </c>
      <c r="AN326">
        <f t="shared" si="69"/>
        <v>0</v>
      </c>
      <c r="AO326">
        <f t="shared" si="69"/>
        <v>0</v>
      </c>
      <c r="AP326">
        <f t="shared" si="69"/>
        <v>0</v>
      </c>
      <c r="AQ326">
        <f t="shared" si="69"/>
        <v>0</v>
      </c>
      <c r="AR326">
        <f t="shared" si="69"/>
        <v>0</v>
      </c>
    </row>
    <row r="327" spans="5:44" x14ac:dyDescent="0.2">
      <c r="E327" s="1">
        <f>moment_rate!$AC327</f>
        <v>7.4493433161470389E-3</v>
      </c>
      <c r="F327" s="1">
        <f t="shared" si="59"/>
        <v>0</v>
      </c>
      <c r="G327">
        <f>moment_rate!I327-0.005</f>
        <v>3.1999999999999758</v>
      </c>
      <c r="H327" s="1">
        <f t="shared" si="60"/>
        <v>0</v>
      </c>
      <c r="I327">
        <f t="shared" si="72"/>
        <v>0</v>
      </c>
      <c r="J327">
        <f t="shared" si="72"/>
        <v>0</v>
      </c>
      <c r="K327">
        <f t="shared" si="72"/>
        <v>0</v>
      </c>
      <c r="L327">
        <f t="shared" si="72"/>
        <v>0</v>
      </c>
      <c r="M327">
        <f t="shared" si="72"/>
        <v>0</v>
      </c>
      <c r="N327">
        <f t="shared" si="72"/>
        <v>0</v>
      </c>
      <c r="O327">
        <f t="shared" si="72"/>
        <v>0</v>
      </c>
      <c r="P327">
        <f t="shared" si="72"/>
        <v>0</v>
      </c>
      <c r="Q327">
        <f t="shared" si="72"/>
        <v>0</v>
      </c>
      <c r="R327">
        <f t="shared" si="72"/>
        <v>0</v>
      </c>
      <c r="S327">
        <f t="shared" si="72"/>
        <v>0</v>
      </c>
      <c r="T327">
        <f t="shared" si="72"/>
        <v>0</v>
      </c>
      <c r="U327">
        <f t="shared" si="72"/>
        <v>0</v>
      </c>
      <c r="V327">
        <f t="shared" si="72"/>
        <v>0</v>
      </c>
      <c r="W327">
        <f t="shared" si="72"/>
        <v>0</v>
      </c>
      <c r="X327">
        <f t="shared" si="72"/>
        <v>0</v>
      </c>
      <c r="Y327">
        <f t="shared" si="71"/>
        <v>0</v>
      </c>
      <c r="Z327">
        <f t="shared" si="71"/>
        <v>0</v>
      </c>
      <c r="AA327">
        <f t="shared" si="71"/>
        <v>0</v>
      </c>
      <c r="AB327">
        <f t="shared" si="71"/>
        <v>0</v>
      </c>
      <c r="AC327">
        <f t="shared" si="71"/>
        <v>0</v>
      </c>
      <c r="AD327">
        <f t="shared" si="71"/>
        <v>0</v>
      </c>
      <c r="AE327">
        <f t="shared" si="71"/>
        <v>0</v>
      </c>
      <c r="AF327">
        <f t="shared" si="71"/>
        <v>0</v>
      </c>
      <c r="AG327">
        <f t="shared" si="71"/>
        <v>0</v>
      </c>
      <c r="AH327">
        <f t="shared" si="71"/>
        <v>0</v>
      </c>
      <c r="AI327">
        <f t="shared" si="71"/>
        <v>0</v>
      </c>
      <c r="AJ327">
        <f t="shared" si="71"/>
        <v>0</v>
      </c>
      <c r="AK327">
        <f t="shared" si="71"/>
        <v>0</v>
      </c>
      <c r="AL327">
        <f t="shared" si="71"/>
        <v>0</v>
      </c>
      <c r="AM327">
        <f t="shared" si="71"/>
        <v>0</v>
      </c>
      <c r="AN327">
        <f t="shared" si="69"/>
        <v>0</v>
      </c>
      <c r="AO327">
        <f t="shared" si="69"/>
        <v>0</v>
      </c>
      <c r="AP327">
        <f t="shared" si="69"/>
        <v>0</v>
      </c>
      <c r="AQ327">
        <f t="shared" si="69"/>
        <v>0</v>
      </c>
      <c r="AR327">
        <f t="shared" si="69"/>
        <v>0</v>
      </c>
    </row>
    <row r="328" spans="5:44" x14ac:dyDescent="0.2">
      <c r="E328" s="1">
        <f>moment_rate!$AC328</f>
        <v>7.4493433161470389E-3</v>
      </c>
      <c r="F328" s="1">
        <f t="shared" ref="F328:F391" si="73">E328-E329</f>
        <v>0</v>
      </c>
      <c r="G328">
        <f>moment_rate!I328-0.005</f>
        <v>3.2099999999999755</v>
      </c>
      <c r="H328" s="1">
        <f t="shared" ref="H328:H391" si="74">IF($G328&gt;=4.999,(E328-E329),0)</f>
        <v>0</v>
      </c>
      <c r="I328">
        <f t="shared" si="72"/>
        <v>0</v>
      </c>
      <c r="J328">
        <f t="shared" si="72"/>
        <v>0</v>
      </c>
      <c r="K328">
        <f t="shared" si="72"/>
        <v>0</v>
      </c>
      <c r="L328">
        <f t="shared" si="72"/>
        <v>0</v>
      </c>
      <c r="M328">
        <f t="shared" si="72"/>
        <v>0</v>
      </c>
      <c r="N328">
        <f t="shared" si="72"/>
        <v>0</v>
      </c>
      <c r="O328">
        <f t="shared" si="72"/>
        <v>0</v>
      </c>
      <c r="P328">
        <f t="shared" si="72"/>
        <v>0</v>
      </c>
      <c r="Q328">
        <f t="shared" si="72"/>
        <v>0</v>
      </c>
      <c r="R328">
        <f t="shared" si="72"/>
        <v>0</v>
      </c>
      <c r="S328">
        <f t="shared" si="72"/>
        <v>0</v>
      </c>
      <c r="T328">
        <f t="shared" si="72"/>
        <v>0</v>
      </c>
      <c r="U328">
        <f t="shared" si="72"/>
        <v>0</v>
      </c>
      <c r="V328">
        <f t="shared" si="72"/>
        <v>0</v>
      </c>
      <c r="W328">
        <f t="shared" si="72"/>
        <v>0</v>
      </c>
      <c r="X328">
        <f t="shared" si="72"/>
        <v>0</v>
      </c>
      <c r="Y328">
        <f t="shared" si="71"/>
        <v>0</v>
      </c>
      <c r="Z328">
        <f t="shared" si="71"/>
        <v>0</v>
      </c>
      <c r="AA328">
        <f t="shared" si="71"/>
        <v>0</v>
      </c>
      <c r="AB328">
        <f t="shared" si="71"/>
        <v>0</v>
      </c>
      <c r="AC328">
        <f t="shared" si="71"/>
        <v>0</v>
      </c>
      <c r="AD328">
        <f t="shared" si="71"/>
        <v>0</v>
      </c>
      <c r="AE328">
        <f t="shared" si="71"/>
        <v>0</v>
      </c>
      <c r="AF328">
        <f t="shared" si="71"/>
        <v>0</v>
      </c>
      <c r="AG328">
        <f t="shared" si="71"/>
        <v>0</v>
      </c>
      <c r="AH328">
        <f t="shared" si="71"/>
        <v>0</v>
      </c>
      <c r="AI328">
        <f t="shared" si="71"/>
        <v>0</v>
      </c>
      <c r="AJ328">
        <f t="shared" si="71"/>
        <v>0</v>
      </c>
      <c r="AK328">
        <f t="shared" si="71"/>
        <v>0</v>
      </c>
      <c r="AL328">
        <f t="shared" si="71"/>
        <v>0</v>
      </c>
      <c r="AM328">
        <f t="shared" si="71"/>
        <v>0</v>
      </c>
      <c r="AN328">
        <f t="shared" si="69"/>
        <v>0</v>
      </c>
      <c r="AO328">
        <f t="shared" si="69"/>
        <v>0</v>
      </c>
      <c r="AP328">
        <f t="shared" si="69"/>
        <v>0</v>
      </c>
      <c r="AQ328">
        <f t="shared" si="69"/>
        <v>0</v>
      </c>
      <c r="AR328">
        <f t="shared" si="69"/>
        <v>0</v>
      </c>
    </row>
    <row r="329" spans="5:44" x14ac:dyDescent="0.2">
      <c r="E329" s="1">
        <f>moment_rate!$AC329</f>
        <v>7.4493433161470389E-3</v>
      </c>
      <c r="F329" s="1">
        <f t="shared" si="73"/>
        <v>0</v>
      </c>
      <c r="G329">
        <f>moment_rate!I329-0.005</f>
        <v>3.2199999999999753</v>
      </c>
      <c r="H329" s="1">
        <f t="shared" si="74"/>
        <v>0</v>
      </c>
      <c r="I329">
        <f t="shared" si="72"/>
        <v>0</v>
      </c>
      <c r="J329">
        <f t="shared" si="72"/>
        <v>0</v>
      </c>
      <c r="K329">
        <f t="shared" si="72"/>
        <v>0</v>
      </c>
      <c r="L329">
        <f t="shared" si="72"/>
        <v>0</v>
      </c>
      <c r="M329">
        <f t="shared" si="72"/>
        <v>0</v>
      </c>
      <c r="N329">
        <f t="shared" si="72"/>
        <v>0</v>
      </c>
      <c r="O329">
        <f t="shared" si="72"/>
        <v>0</v>
      </c>
      <c r="P329">
        <f t="shared" si="72"/>
        <v>0</v>
      </c>
      <c r="Q329">
        <f t="shared" si="72"/>
        <v>0</v>
      </c>
      <c r="R329">
        <f t="shared" si="72"/>
        <v>0</v>
      </c>
      <c r="S329">
        <f t="shared" si="72"/>
        <v>0</v>
      </c>
      <c r="T329">
        <f t="shared" si="72"/>
        <v>0</v>
      </c>
      <c r="U329">
        <f t="shared" si="72"/>
        <v>0</v>
      </c>
      <c r="V329">
        <f t="shared" si="72"/>
        <v>0</v>
      </c>
      <c r="W329">
        <f t="shared" si="72"/>
        <v>0</v>
      </c>
      <c r="X329">
        <f t="shared" si="72"/>
        <v>0</v>
      </c>
      <c r="Y329">
        <f t="shared" si="71"/>
        <v>0</v>
      </c>
      <c r="Z329">
        <f t="shared" si="71"/>
        <v>0</v>
      </c>
      <c r="AA329">
        <f t="shared" si="71"/>
        <v>0</v>
      </c>
      <c r="AB329">
        <f t="shared" si="71"/>
        <v>0</v>
      </c>
      <c r="AC329">
        <f t="shared" si="71"/>
        <v>0</v>
      </c>
      <c r="AD329">
        <f t="shared" si="71"/>
        <v>0</v>
      </c>
      <c r="AE329">
        <f t="shared" si="71"/>
        <v>0</v>
      </c>
      <c r="AF329">
        <f t="shared" si="71"/>
        <v>0</v>
      </c>
      <c r="AG329">
        <f t="shared" si="71"/>
        <v>0</v>
      </c>
      <c r="AH329">
        <f t="shared" si="71"/>
        <v>0</v>
      </c>
      <c r="AI329">
        <f t="shared" si="71"/>
        <v>0</v>
      </c>
      <c r="AJ329">
        <f t="shared" si="71"/>
        <v>0</v>
      </c>
      <c r="AK329">
        <f t="shared" si="71"/>
        <v>0</v>
      </c>
      <c r="AL329">
        <f t="shared" si="71"/>
        <v>0</v>
      </c>
      <c r="AM329">
        <f t="shared" si="71"/>
        <v>0</v>
      </c>
      <c r="AN329">
        <f t="shared" si="69"/>
        <v>0</v>
      </c>
      <c r="AO329">
        <f t="shared" si="69"/>
        <v>0</v>
      </c>
      <c r="AP329">
        <f t="shared" si="69"/>
        <v>0</v>
      </c>
      <c r="AQ329">
        <f t="shared" si="69"/>
        <v>0</v>
      </c>
      <c r="AR329">
        <f t="shared" si="69"/>
        <v>0</v>
      </c>
    </row>
    <row r="330" spans="5:44" x14ac:dyDescent="0.2">
      <c r="E330" s="1">
        <f>moment_rate!$AC330</f>
        <v>7.4493433161470389E-3</v>
      </c>
      <c r="F330" s="1">
        <f t="shared" si="73"/>
        <v>0</v>
      </c>
      <c r="G330">
        <f>moment_rate!I330-0.005</f>
        <v>3.2299999999999751</v>
      </c>
      <c r="H330" s="1">
        <f t="shared" si="74"/>
        <v>0</v>
      </c>
      <c r="I330">
        <f t="shared" si="72"/>
        <v>0</v>
      </c>
      <c r="J330">
        <f t="shared" si="72"/>
        <v>0</v>
      </c>
      <c r="K330">
        <f t="shared" si="72"/>
        <v>0</v>
      </c>
      <c r="L330">
        <f t="shared" si="72"/>
        <v>0</v>
      </c>
      <c r="M330">
        <f t="shared" si="72"/>
        <v>0</v>
      </c>
      <c r="N330">
        <f t="shared" si="72"/>
        <v>0</v>
      </c>
      <c r="O330">
        <f t="shared" si="72"/>
        <v>0</v>
      </c>
      <c r="P330">
        <f t="shared" si="72"/>
        <v>0</v>
      </c>
      <c r="Q330">
        <f t="shared" si="72"/>
        <v>0</v>
      </c>
      <c r="R330">
        <f t="shared" si="72"/>
        <v>0</v>
      </c>
      <c r="S330">
        <f t="shared" si="72"/>
        <v>0</v>
      </c>
      <c r="T330">
        <f t="shared" si="72"/>
        <v>0</v>
      </c>
      <c r="U330">
        <f t="shared" si="72"/>
        <v>0</v>
      </c>
      <c r="V330">
        <f t="shared" si="72"/>
        <v>0</v>
      </c>
      <c r="W330">
        <f t="shared" si="72"/>
        <v>0</v>
      </c>
      <c r="X330">
        <f t="shared" si="72"/>
        <v>0</v>
      </c>
      <c r="Y330">
        <f t="shared" si="71"/>
        <v>0</v>
      </c>
      <c r="Z330">
        <f t="shared" si="71"/>
        <v>0</v>
      </c>
      <c r="AA330">
        <f t="shared" si="71"/>
        <v>0</v>
      </c>
      <c r="AB330">
        <f t="shared" si="71"/>
        <v>0</v>
      </c>
      <c r="AC330">
        <f t="shared" si="71"/>
        <v>0</v>
      </c>
      <c r="AD330">
        <f t="shared" si="71"/>
        <v>0</v>
      </c>
      <c r="AE330">
        <f t="shared" si="71"/>
        <v>0</v>
      </c>
      <c r="AF330">
        <f t="shared" si="71"/>
        <v>0</v>
      </c>
      <c r="AG330">
        <f t="shared" si="71"/>
        <v>0</v>
      </c>
      <c r="AH330">
        <f t="shared" si="71"/>
        <v>0</v>
      </c>
      <c r="AI330">
        <f t="shared" si="71"/>
        <v>0</v>
      </c>
      <c r="AJ330">
        <f t="shared" si="71"/>
        <v>0</v>
      </c>
      <c r="AK330">
        <f t="shared" si="71"/>
        <v>0</v>
      </c>
      <c r="AL330">
        <f t="shared" si="71"/>
        <v>0</v>
      </c>
      <c r="AM330">
        <f t="shared" si="71"/>
        <v>0</v>
      </c>
      <c r="AN330">
        <f t="shared" si="69"/>
        <v>0</v>
      </c>
      <c r="AO330">
        <f t="shared" si="69"/>
        <v>0</v>
      </c>
      <c r="AP330">
        <f t="shared" si="69"/>
        <v>0</v>
      </c>
      <c r="AQ330">
        <f t="shared" si="69"/>
        <v>0</v>
      </c>
      <c r="AR330">
        <f t="shared" si="69"/>
        <v>0</v>
      </c>
    </row>
    <row r="331" spans="5:44" x14ac:dyDescent="0.2">
      <c r="E331" s="1">
        <f>moment_rate!$AC331</f>
        <v>7.4493433161470389E-3</v>
      </c>
      <c r="F331" s="1">
        <f t="shared" si="73"/>
        <v>0</v>
      </c>
      <c r="G331">
        <f>moment_rate!I331-0.005</f>
        <v>3.2399999999999749</v>
      </c>
      <c r="H331" s="1">
        <f t="shared" si="74"/>
        <v>0</v>
      </c>
      <c r="I331">
        <f t="shared" si="72"/>
        <v>0</v>
      </c>
      <c r="J331">
        <f t="shared" si="72"/>
        <v>0</v>
      </c>
      <c r="K331">
        <f t="shared" si="72"/>
        <v>0</v>
      </c>
      <c r="L331">
        <f t="shared" si="72"/>
        <v>0</v>
      </c>
      <c r="M331">
        <f t="shared" si="72"/>
        <v>0</v>
      </c>
      <c r="N331">
        <f t="shared" si="72"/>
        <v>0</v>
      </c>
      <c r="O331">
        <f t="shared" si="72"/>
        <v>0</v>
      </c>
      <c r="P331">
        <f t="shared" si="72"/>
        <v>0</v>
      </c>
      <c r="Q331">
        <f t="shared" si="72"/>
        <v>0</v>
      </c>
      <c r="R331">
        <f t="shared" si="72"/>
        <v>0</v>
      </c>
      <c r="S331">
        <f t="shared" si="72"/>
        <v>0</v>
      </c>
      <c r="T331">
        <f t="shared" si="72"/>
        <v>0</v>
      </c>
      <c r="U331">
        <f t="shared" si="72"/>
        <v>0</v>
      </c>
      <c r="V331">
        <f t="shared" si="72"/>
        <v>0</v>
      </c>
      <c r="W331">
        <f t="shared" si="72"/>
        <v>0</v>
      </c>
      <c r="X331">
        <f t="shared" si="72"/>
        <v>0</v>
      </c>
      <c r="Y331">
        <f t="shared" si="71"/>
        <v>0</v>
      </c>
      <c r="Z331">
        <f t="shared" si="71"/>
        <v>0</v>
      </c>
      <c r="AA331">
        <f t="shared" si="71"/>
        <v>0</v>
      </c>
      <c r="AB331">
        <f t="shared" si="71"/>
        <v>0</v>
      </c>
      <c r="AC331">
        <f t="shared" si="71"/>
        <v>0</v>
      </c>
      <c r="AD331">
        <f t="shared" si="71"/>
        <v>0</v>
      </c>
      <c r="AE331">
        <f t="shared" si="71"/>
        <v>0</v>
      </c>
      <c r="AF331">
        <f t="shared" si="71"/>
        <v>0</v>
      </c>
      <c r="AG331">
        <f t="shared" si="71"/>
        <v>0</v>
      </c>
      <c r="AH331">
        <f t="shared" si="71"/>
        <v>0</v>
      </c>
      <c r="AI331">
        <f t="shared" si="71"/>
        <v>0</v>
      </c>
      <c r="AJ331">
        <f t="shared" si="71"/>
        <v>0</v>
      </c>
      <c r="AK331">
        <f t="shared" si="71"/>
        <v>0</v>
      </c>
      <c r="AL331">
        <f t="shared" si="71"/>
        <v>0</v>
      </c>
      <c r="AM331">
        <f t="shared" si="71"/>
        <v>0</v>
      </c>
      <c r="AN331">
        <f t="shared" si="69"/>
        <v>0</v>
      </c>
      <c r="AO331">
        <f t="shared" si="69"/>
        <v>0</v>
      </c>
      <c r="AP331">
        <f t="shared" si="69"/>
        <v>0</v>
      </c>
      <c r="AQ331">
        <f t="shared" si="69"/>
        <v>0</v>
      </c>
      <c r="AR331">
        <f t="shared" si="69"/>
        <v>0</v>
      </c>
    </row>
    <row r="332" spans="5:44" x14ac:dyDescent="0.2">
      <c r="E332" s="1">
        <f>moment_rate!$AC332</f>
        <v>7.4493433161470389E-3</v>
      </c>
      <c r="F332" s="1">
        <f t="shared" si="73"/>
        <v>0</v>
      </c>
      <c r="G332">
        <f>moment_rate!I332-0.005</f>
        <v>3.2499999999999747</v>
      </c>
      <c r="H332" s="1">
        <f t="shared" si="74"/>
        <v>0</v>
      </c>
      <c r="I332">
        <f t="shared" si="72"/>
        <v>0</v>
      </c>
      <c r="J332">
        <f t="shared" si="72"/>
        <v>0</v>
      </c>
      <c r="K332">
        <f t="shared" si="72"/>
        <v>0</v>
      </c>
      <c r="L332">
        <f t="shared" si="72"/>
        <v>0</v>
      </c>
      <c r="M332">
        <f t="shared" si="72"/>
        <v>0</v>
      </c>
      <c r="N332">
        <f t="shared" si="72"/>
        <v>0</v>
      </c>
      <c r="O332">
        <f t="shared" si="72"/>
        <v>0</v>
      </c>
      <c r="P332">
        <f t="shared" si="72"/>
        <v>0</v>
      </c>
      <c r="Q332">
        <f t="shared" si="72"/>
        <v>0</v>
      </c>
      <c r="R332">
        <f t="shared" si="72"/>
        <v>0</v>
      </c>
      <c r="S332">
        <f t="shared" si="72"/>
        <v>0</v>
      </c>
      <c r="T332">
        <f t="shared" si="72"/>
        <v>0</v>
      </c>
      <c r="U332">
        <f t="shared" si="72"/>
        <v>0</v>
      </c>
      <c r="V332">
        <f t="shared" si="72"/>
        <v>0</v>
      </c>
      <c r="W332">
        <f t="shared" si="72"/>
        <v>0</v>
      </c>
      <c r="X332">
        <f t="shared" si="72"/>
        <v>0</v>
      </c>
      <c r="Y332">
        <f t="shared" si="71"/>
        <v>0</v>
      </c>
      <c r="Z332">
        <f t="shared" si="71"/>
        <v>0</v>
      </c>
      <c r="AA332">
        <f t="shared" si="71"/>
        <v>0</v>
      </c>
      <c r="AB332">
        <f t="shared" si="71"/>
        <v>0</v>
      </c>
      <c r="AC332">
        <f t="shared" si="71"/>
        <v>0</v>
      </c>
      <c r="AD332">
        <f t="shared" si="71"/>
        <v>0</v>
      </c>
      <c r="AE332">
        <f t="shared" si="71"/>
        <v>0</v>
      </c>
      <c r="AF332">
        <f t="shared" si="71"/>
        <v>0</v>
      </c>
      <c r="AG332">
        <f t="shared" si="71"/>
        <v>0</v>
      </c>
      <c r="AH332">
        <f t="shared" si="71"/>
        <v>0</v>
      </c>
      <c r="AI332">
        <f t="shared" si="71"/>
        <v>0</v>
      </c>
      <c r="AJ332">
        <f t="shared" si="71"/>
        <v>0</v>
      </c>
      <c r="AK332">
        <f t="shared" si="71"/>
        <v>0</v>
      </c>
      <c r="AL332">
        <f t="shared" si="71"/>
        <v>0</v>
      </c>
      <c r="AM332">
        <f t="shared" si="71"/>
        <v>0</v>
      </c>
      <c r="AN332">
        <f t="shared" si="69"/>
        <v>0</v>
      </c>
      <c r="AO332">
        <f t="shared" si="69"/>
        <v>0</v>
      </c>
      <c r="AP332">
        <f t="shared" si="69"/>
        <v>0</v>
      </c>
      <c r="AQ332">
        <f t="shared" si="69"/>
        <v>0</v>
      </c>
      <c r="AR332">
        <f t="shared" si="69"/>
        <v>0</v>
      </c>
    </row>
    <row r="333" spans="5:44" x14ac:dyDescent="0.2">
      <c r="E333" s="1">
        <f>moment_rate!$AC333</f>
        <v>7.4493433161470389E-3</v>
      </c>
      <c r="F333" s="1">
        <f t="shared" si="73"/>
        <v>0</v>
      </c>
      <c r="G333">
        <f>moment_rate!I333-0.005</f>
        <v>3.2599999999999745</v>
      </c>
      <c r="H333" s="1">
        <f t="shared" si="74"/>
        <v>0</v>
      </c>
      <c r="I333">
        <f t="shared" si="72"/>
        <v>0</v>
      </c>
      <c r="J333">
        <f t="shared" si="72"/>
        <v>0</v>
      </c>
      <c r="K333">
        <f t="shared" si="72"/>
        <v>0</v>
      </c>
      <c r="L333">
        <f t="shared" si="72"/>
        <v>0</v>
      </c>
      <c r="M333">
        <f t="shared" si="72"/>
        <v>0</v>
      </c>
      <c r="N333">
        <f t="shared" si="72"/>
        <v>0</v>
      </c>
      <c r="O333">
        <f t="shared" si="72"/>
        <v>0</v>
      </c>
      <c r="P333">
        <f t="shared" si="72"/>
        <v>0</v>
      </c>
      <c r="Q333">
        <f t="shared" si="72"/>
        <v>0</v>
      </c>
      <c r="R333">
        <f t="shared" si="72"/>
        <v>0</v>
      </c>
      <c r="S333">
        <f t="shared" si="72"/>
        <v>0</v>
      </c>
      <c r="T333">
        <f t="shared" si="72"/>
        <v>0</v>
      </c>
      <c r="U333">
        <f t="shared" si="72"/>
        <v>0</v>
      </c>
      <c r="V333">
        <f t="shared" si="72"/>
        <v>0</v>
      </c>
      <c r="W333">
        <f t="shared" si="72"/>
        <v>0</v>
      </c>
      <c r="X333">
        <f t="shared" si="72"/>
        <v>0</v>
      </c>
      <c r="Y333">
        <f t="shared" si="71"/>
        <v>0</v>
      </c>
      <c r="Z333">
        <f t="shared" si="71"/>
        <v>0</v>
      </c>
      <c r="AA333">
        <f t="shared" si="71"/>
        <v>0</v>
      </c>
      <c r="AB333">
        <f t="shared" si="71"/>
        <v>0</v>
      </c>
      <c r="AC333">
        <f t="shared" si="71"/>
        <v>0</v>
      </c>
      <c r="AD333">
        <f t="shared" si="71"/>
        <v>0</v>
      </c>
      <c r="AE333">
        <f t="shared" si="71"/>
        <v>0</v>
      </c>
      <c r="AF333">
        <f t="shared" si="71"/>
        <v>0</v>
      </c>
      <c r="AG333">
        <f t="shared" si="71"/>
        <v>0</v>
      </c>
      <c r="AH333">
        <f t="shared" si="71"/>
        <v>0</v>
      </c>
      <c r="AI333">
        <f t="shared" si="71"/>
        <v>0</v>
      </c>
      <c r="AJ333">
        <f t="shared" si="71"/>
        <v>0</v>
      </c>
      <c r="AK333">
        <f t="shared" si="71"/>
        <v>0</v>
      </c>
      <c r="AL333">
        <f t="shared" si="71"/>
        <v>0</v>
      </c>
      <c r="AM333">
        <f t="shared" si="71"/>
        <v>0</v>
      </c>
      <c r="AN333">
        <f t="shared" si="69"/>
        <v>0</v>
      </c>
      <c r="AO333">
        <f t="shared" si="69"/>
        <v>0</v>
      </c>
      <c r="AP333">
        <f t="shared" si="69"/>
        <v>0</v>
      </c>
      <c r="AQ333">
        <f t="shared" si="69"/>
        <v>0</v>
      </c>
      <c r="AR333">
        <f t="shared" si="69"/>
        <v>0</v>
      </c>
    </row>
    <row r="334" spans="5:44" x14ac:dyDescent="0.2">
      <c r="E334" s="1">
        <f>moment_rate!$AC334</f>
        <v>7.4493433161470389E-3</v>
      </c>
      <c r="F334" s="1">
        <f t="shared" si="73"/>
        <v>0</v>
      </c>
      <c r="G334">
        <f>moment_rate!I334-0.005</f>
        <v>3.2699999999999743</v>
      </c>
      <c r="H334" s="1">
        <f t="shared" si="74"/>
        <v>0</v>
      </c>
      <c r="I334">
        <f t="shared" si="72"/>
        <v>0</v>
      </c>
      <c r="J334">
        <f t="shared" si="72"/>
        <v>0</v>
      </c>
      <c r="K334">
        <f t="shared" si="72"/>
        <v>0</v>
      </c>
      <c r="L334">
        <f t="shared" si="72"/>
        <v>0</v>
      </c>
      <c r="M334">
        <f t="shared" si="72"/>
        <v>0</v>
      </c>
      <c r="N334">
        <f t="shared" si="72"/>
        <v>0</v>
      </c>
      <c r="O334">
        <f t="shared" si="72"/>
        <v>0</v>
      </c>
      <c r="P334">
        <f t="shared" si="72"/>
        <v>0</v>
      </c>
      <c r="Q334">
        <f t="shared" si="72"/>
        <v>0</v>
      </c>
      <c r="R334">
        <f t="shared" si="72"/>
        <v>0</v>
      </c>
      <c r="S334">
        <f t="shared" si="72"/>
        <v>0</v>
      </c>
      <c r="T334">
        <f t="shared" si="72"/>
        <v>0</v>
      </c>
      <c r="U334">
        <f t="shared" si="72"/>
        <v>0</v>
      </c>
      <c r="V334">
        <f t="shared" si="72"/>
        <v>0</v>
      </c>
      <c r="W334">
        <f t="shared" si="72"/>
        <v>0</v>
      </c>
      <c r="X334">
        <f t="shared" ref="X334:AM349" si="75">IF(AND($G334&gt;=X$3,$G334&lt;X$4),$F334,0)</f>
        <v>0</v>
      </c>
      <c r="Y334">
        <f t="shared" si="75"/>
        <v>0</v>
      </c>
      <c r="Z334">
        <f t="shared" si="75"/>
        <v>0</v>
      </c>
      <c r="AA334">
        <f t="shared" si="75"/>
        <v>0</v>
      </c>
      <c r="AB334">
        <f t="shared" si="75"/>
        <v>0</v>
      </c>
      <c r="AC334">
        <f t="shared" si="75"/>
        <v>0</v>
      </c>
      <c r="AD334">
        <f t="shared" si="75"/>
        <v>0</v>
      </c>
      <c r="AE334">
        <f t="shared" si="75"/>
        <v>0</v>
      </c>
      <c r="AF334">
        <f t="shared" si="75"/>
        <v>0</v>
      </c>
      <c r="AG334">
        <f t="shared" si="75"/>
        <v>0</v>
      </c>
      <c r="AH334">
        <f t="shared" si="75"/>
        <v>0</v>
      </c>
      <c r="AI334">
        <f t="shared" si="75"/>
        <v>0</v>
      </c>
      <c r="AJ334">
        <f t="shared" si="75"/>
        <v>0</v>
      </c>
      <c r="AK334">
        <f t="shared" si="75"/>
        <v>0</v>
      </c>
      <c r="AL334">
        <f t="shared" si="75"/>
        <v>0</v>
      </c>
      <c r="AM334">
        <f t="shared" si="75"/>
        <v>0</v>
      </c>
      <c r="AN334">
        <f t="shared" si="69"/>
        <v>0</v>
      </c>
      <c r="AO334">
        <f t="shared" si="69"/>
        <v>0</v>
      </c>
      <c r="AP334">
        <f t="shared" si="69"/>
        <v>0</v>
      </c>
      <c r="AQ334">
        <f t="shared" si="69"/>
        <v>0</v>
      </c>
      <c r="AR334">
        <f t="shared" si="69"/>
        <v>0</v>
      </c>
    </row>
    <row r="335" spans="5:44" x14ac:dyDescent="0.2">
      <c r="E335" s="1">
        <f>moment_rate!$AC335</f>
        <v>7.4493433161470389E-3</v>
      </c>
      <c r="F335" s="1">
        <f t="shared" si="73"/>
        <v>0</v>
      </c>
      <c r="G335">
        <f>moment_rate!I335-0.005</f>
        <v>3.279999999999974</v>
      </c>
      <c r="H335" s="1">
        <f t="shared" si="74"/>
        <v>0</v>
      </c>
      <c r="I335">
        <f t="shared" ref="I335:X350" si="76">IF(AND($G335&gt;=I$3,$G335&lt;I$4),$F335,0)</f>
        <v>0</v>
      </c>
      <c r="J335">
        <f t="shared" si="76"/>
        <v>0</v>
      </c>
      <c r="K335">
        <f t="shared" si="76"/>
        <v>0</v>
      </c>
      <c r="L335">
        <f t="shared" si="76"/>
        <v>0</v>
      </c>
      <c r="M335">
        <f t="shared" si="76"/>
        <v>0</v>
      </c>
      <c r="N335">
        <f t="shared" si="76"/>
        <v>0</v>
      </c>
      <c r="O335">
        <f t="shared" si="76"/>
        <v>0</v>
      </c>
      <c r="P335">
        <f t="shared" si="76"/>
        <v>0</v>
      </c>
      <c r="Q335">
        <f t="shared" si="76"/>
        <v>0</v>
      </c>
      <c r="R335">
        <f t="shared" si="76"/>
        <v>0</v>
      </c>
      <c r="S335">
        <f t="shared" si="76"/>
        <v>0</v>
      </c>
      <c r="T335">
        <f t="shared" si="76"/>
        <v>0</v>
      </c>
      <c r="U335">
        <f t="shared" si="76"/>
        <v>0</v>
      </c>
      <c r="V335">
        <f t="shared" si="76"/>
        <v>0</v>
      </c>
      <c r="W335">
        <f t="shared" si="76"/>
        <v>0</v>
      </c>
      <c r="X335">
        <f t="shared" si="76"/>
        <v>0</v>
      </c>
      <c r="Y335">
        <f t="shared" si="75"/>
        <v>0</v>
      </c>
      <c r="Z335">
        <f t="shared" si="75"/>
        <v>0</v>
      </c>
      <c r="AA335">
        <f t="shared" si="75"/>
        <v>0</v>
      </c>
      <c r="AB335">
        <f t="shared" si="75"/>
        <v>0</v>
      </c>
      <c r="AC335">
        <f t="shared" si="75"/>
        <v>0</v>
      </c>
      <c r="AD335">
        <f t="shared" si="75"/>
        <v>0</v>
      </c>
      <c r="AE335">
        <f t="shared" si="75"/>
        <v>0</v>
      </c>
      <c r="AF335">
        <f t="shared" si="75"/>
        <v>0</v>
      </c>
      <c r="AG335">
        <f t="shared" si="75"/>
        <v>0</v>
      </c>
      <c r="AH335">
        <f t="shared" si="75"/>
        <v>0</v>
      </c>
      <c r="AI335">
        <f t="shared" si="75"/>
        <v>0</v>
      </c>
      <c r="AJ335">
        <f t="shared" si="75"/>
        <v>0</v>
      </c>
      <c r="AK335">
        <f t="shared" si="75"/>
        <v>0</v>
      </c>
      <c r="AL335">
        <f t="shared" si="75"/>
        <v>0</v>
      </c>
      <c r="AM335">
        <f t="shared" si="75"/>
        <v>0</v>
      </c>
      <c r="AN335">
        <f t="shared" si="69"/>
        <v>0</v>
      </c>
      <c r="AO335">
        <f t="shared" si="69"/>
        <v>0</v>
      </c>
      <c r="AP335">
        <f t="shared" si="69"/>
        <v>0</v>
      </c>
      <c r="AQ335">
        <f t="shared" si="69"/>
        <v>0</v>
      </c>
      <c r="AR335">
        <f t="shared" si="69"/>
        <v>0</v>
      </c>
    </row>
    <row r="336" spans="5:44" x14ac:dyDescent="0.2">
      <c r="E336" s="1">
        <f>moment_rate!$AC336</f>
        <v>7.4493433161470389E-3</v>
      </c>
      <c r="F336" s="1">
        <f t="shared" si="73"/>
        <v>0</v>
      </c>
      <c r="G336">
        <f>moment_rate!I336-0.005</f>
        <v>3.2899999999999738</v>
      </c>
      <c r="H336" s="1">
        <f t="shared" si="74"/>
        <v>0</v>
      </c>
      <c r="I336">
        <f t="shared" si="76"/>
        <v>0</v>
      </c>
      <c r="J336">
        <f t="shared" si="76"/>
        <v>0</v>
      </c>
      <c r="K336">
        <f t="shared" si="76"/>
        <v>0</v>
      </c>
      <c r="L336">
        <f t="shared" si="76"/>
        <v>0</v>
      </c>
      <c r="M336">
        <f t="shared" si="76"/>
        <v>0</v>
      </c>
      <c r="N336">
        <f t="shared" si="76"/>
        <v>0</v>
      </c>
      <c r="O336">
        <f t="shared" si="76"/>
        <v>0</v>
      </c>
      <c r="P336">
        <f t="shared" si="76"/>
        <v>0</v>
      </c>
      <c r="Q336">
        <f t="shared" si="76"/>
        <v>0</v>
      </c>
      <c r="R336">
        <f t="shared" si="76"/>
        <v>0</v>
      </c>
      <c r="S336">
        <f t="shared" si="76"/>
        <v>0</v>
      </c>
      <c r="T336">
        <f t="shared" si="76"/>
        <v>0</v>
      </c>
      <c r="U336">
        <f t="shared" si="76"/>
        <v>0</v>
      </c>
      <c r="V336">
        <f t="shared" si="76"/>
        <v>0</v>
      </c>
      <c r="W336">
        <f t="shared" si="76"/>
        <v>0</v>
      </c>
      <c r="X336">
        <f t="shared" si="76"/>
        <v>0</v>
      </c>
      <c r="Y336">
        <f t="shared" si="75"/>
        <v>0</v>
      </c>
      <c r="Z336">
        <f t="shared" si="75"/>
        <v>0</v>
      </c>
      <c r="AA336">
        <f t="shared" si="75"/>
        <v>0</v>
      </c>
      <c r="AB336">
        <f t="shared" si="75"/>
        <v>0</v>
      </c>
      <c r="AC336">
        <f t="shared" si="75"/>
        <v>0</v>
      </c>
      <c r="AD336">
        <f t="shared" si="75"/>
        <v>0</v>
      </c>
      <c r="AE336">
        <f t="shared" si="75"/>
        <v>0</v>
      </c>
      <c r="AF336">
        <f t="shared" si="75"/>
        <v>0</v>
      </c>
      <c r="AG336">
        <f t="shared" si="75"/>
        <v>0</v>
      </c>
      <c r="AH336">
        <f t="shared" si="75"/>
        <v>0</v>
      </c>
      <c r="AI336">
        <f t="shared" si="75"/>
        <v>0</v>
      </c>
      <c r="AJ336">
        <f t="shared" si="75"/>
        <v>0</v>
      </c>
      <c r="AK336">
        <f t="shared" si="75"/>
        <v>0</v>
      </c>
      <c r="AL336">
        <f t="shared" si="75"/>
        <v>0</v>
      </c>
      <c r="AM336">
        <f t="shared" si="75"/>
        <v>0</v>
      </c>
      <c r="AN336">
        <f t="shared" si="69"/>
        <v>0</v>
      </c>
      <c r="AO336">
        <f t="shared" si="69"/>
        <v>0</v>
      </c>
      <c r="AP336">
        <f t="shared" si="69"/>
        <v>0</v>
      </c>
      <c r="AQ336">
        <f t="shared" si="69"/>
        <v>0</v>
      </c>
      <c r="AR336">
        <f t="shared" si="69"/>
        <v>0</v>
      </c>
    </row>
    <row r="337" spans="5:44" x14ac:dyDescent="0.2">
      <c r="E337" s="1">
        <f>moment_rate!$AC337</f>
        <v>7.4493433161470389E-3</v>
      </c>
      <c r="F337" s="1">
        <f t="shared" si="73"/>
        <v>0</v>
      </c>
      <c r="G337">
        <f>moment_rate!I337-0.005</f>
        <v>3.2999999999999736</v>
      </c>
      <c r="H337" s="1">
        <f t="shared" si="74"/>
        <v>0</v>
      </c>
      <c r="I337">
        <f t="shared" si="76"/>
        <v>0</v>
      </c>
      <c r="J337">
        <f t="shared" si="76"/>
        <v>0</v>
      </c>
      <c r="K337">
        <f t="shared" si="76"/>
        <v>0</v>
      </c>
      <c r="L337">
        <f t="shared" si="76"/>
        <v>0</v>
      </c>
      <c r="M337">
        <f t="shared" si="76"/>
        <v>0</v>
      </c>
      <c r="N337">
        <f t="shared" si="76"/>
        <v>0</v>
      </c>
      <c r="O337">
        <f t="shared" si="76"/>
        <v>0</v>
      </c>
      <c r="P337">
        <f t="shared" si="76"/>
        <v>0</v>
      </c>
      <c r="Q337">
        <f t="shared" si="76"/>
        <v>0</v>
      </c>
      <c r="R337">
        <f t="shared" si="76"/>
        <v>0</v>
      </c>
      <c r="S337">
        <f t="shared" si="76"/>
        <v>0</v>
      </c>
      <c r="T337">
        <f t="shared" si="76"/>
        <v>0</v>
      </c>
      <c r="U337">
        <f t="shared" si="76"/>
        <v>0</v>
      </c>
      <c r="V337">
        <f t="shared" si="76"/>
        <v>0</v>
      </c>
      <c r="W337">
        <f t="shared" si="76"/>
        <v>0</v>
      </c>
      <c r="X337">
        <f t="shared" si="76"/>
        <v>0</v>
      </c>
      <c r="Y337">
        <f t="shared" si="75"/>
        <v>0</v>
      </c>
      <c r="Z337">
        <f t="shared" si="75"/>
        <v>0</v>
      </c>
      <c r="AA337">
        <f t="shared" si="75"/>
        <v>0</v>
      </c>
      <c r="AB337">
        <f t="shared" si="75"/>
        <v>0</v>
      </c>
      <c r="AC337">
        <f t="shared" si="75"/>
        <v>0</v>
      </c>
      <c r="AD337">
        <f t="shared" si="75"/>
        <v>0</v>
      </c>
      <c r="AE337">
        <f t="shared" si="75"/>
        <v>0</v>
      </c>
      <c r="AF337">
        <f t="shared" si="75"/>
        <v>0</v>
      </c>
      <c r="AG337">
        <f t="shared" si="75"/>
        <v>0</v>
      </c>
      <c r="AH337">
        <f t="shared" si="75"/>
        <v>0</v>
      </c>
      <c r="AI337">
        <f t="shared" si="75"/>
        <v>0</v>
      </c>
      <c r="AJ337">
        <f t="shared" si="75"/>
        <v>0</v>
      </c>
      <c r="AK337">
        <f t="shared" si="75"/>
        <v>0</v>
      </c>
      <c r="AL337">
        <f t="shared" si="75"/>
        <v>0</v>
      </c>
      <c r="AM337">
        <f t="shared" si="75"/>
        <v>0</v>
      </c>
      <c r="AN337">
        <f t="shared" si="69"/>
        <v>0</v>
      </c>
      <c r="AO337">
        <f t="shared" si="69"/>
        <v>0</v>
      </c>
      <c r="AP337">
        <f t="shared" si="69"/>
        <v>0</v>
      </c>
      <c r="AQ337">
        <f t="shared" si="69"/>
        <v>0</v>
      </c>
      <c r="AR337">
        <f t="shared" si="69"/>
        <v>0</v>
      </c>
    </row>
    <row r="338" spans="5:44" x14ac:dyDescent="0.2">
      <c r="E338" s="1">
        <f>moment_rate!$AC338</f>
        <v>7.4493433161470389E-3</v>
      </c>
      <c r="F338" s="1">
        <f t="shared" si="73"/>
        <v>0</v>
      </c>
      <c r="G338">
        <f>moment_rate!I338-0.005</f>
        <v>3.3099999999999734</v>
      </c>
      <c r="H338" s="1">
        <f t="shared" si="74"/>
        <v>0</v>
      </c>
      <c r="I338">
        <f t="shared" si="76"/>
        <v>0</v>
      </c>
      <c r="J338">
        <f t="shared" si="76"/>
        <v>0</v>
      </c>
      <c r="K338">
        <f t="shared" si="76"/>
        <v>0</v>
      </c>
      <c r="L338">
        <f t="shared" si="76"/>
        <v>0</v>
      </c>
      <c r="M338">
        <f t="shared" si="76"/>
        <v>0</v>
      </c>
      <c r="N338">
        <f t="shared" si="76"/>
        <v>0</v>
      </c>
      <c r="O338">
        <f t="shared" si="76"/>
        <v>0</v>
      </c>
      <c r="P338">
        <f t="shared" si="76"/>
        <v>0</v>
      </c>
      <c r="Q338">
        <f t="shared" si="76"/>
        <v>0</v>
      </c>
      <c r="R338">
        <f t="shared" si="76"/>
        <v>0</v>
      </c>
      <c r="S338">
        <f t="shared" si="76"/>
        <v>0</v>
      </c>
      <c r="T338">
        <f t="shared" si="76"/>
        <v>0</v>
      </c>
      <c r="U338">
        <f t="shared" si="76"/>
        <v>0</v>
      </c>
      <c r="V338">
        <f t="shared" si="76"/>
        <v>0</v>
      </c>
      <c r="W338">
        <f t="shared" si="76"/>
        <v>0</v>
      </c>
      <c r="X338">
        <f t="shared" si="76"/>
        <v>0</v>
      </c>
      <c r="Y338">
        <f t="shared" si="75"/>
        <v>0</v>
      </c>
      <c r="Z338">
        <f t="shared" si="75"/>
        <v>0</v>
      </c>
      <c r="AA338">
        <f t="shared" si="75"/>
        <v>0</v>
      </c>
      <c r="AB338">
        <f t="shared" si="75"/>
        <v>0</v>
      </c>
      <c r="AC338">
        <f t="shared" si="75"/>
        <v>0</v>
      </c>
      <c r="AD338">
        <f t="shared" si="75"/>
        <v>0</v>
      </c>
      <c r="AE338">
        <f t="shared" si="75"/>
        <v>0</v>
      </c>
      <c r="AF338">
        <f t="shared" si="75"/>
        <v>0</v>
      </c>
      <c r="AG338">
        <f t="shared" si="75"/>
        <v>0</v>
      </c>
      <c r="AH338">
        <f t="shared" si="75"/>
        <v>0</v>
      </c>
      <c r="AI338">
        <f t="shared" si="75"/>
        <v>0</v>
      </c>
      <c r="AJ338">
        <f t="shared" si="75"/>
        <v>0</v>
      </c>
      <c r="AK338">
        <f t="shared" si="75"/>
        <v>0</v>
      </c>
      <c r="AL338">
        <f t="shared" si="75"/>
        <v>0</v>
      </c>
      <c r="AM338">
        <f t="shared" si="75"/>
        <v>0</v>
      </c>
      <c r="AN338">
        <f t="shared" si="69"/>
        <v>0</v>
      </c>
      <c r="AO338">
        <f t="shared" si="69"/>
        <v>0</v>
      </c>
      <c r="AP338">
        <f t="shared" si="69"/>
        <v>0</v>
      </c>
      <c r="AQ338">
        <f t="shared" si="69"/>
        <v>0</v>
      </c>
      <c r="AR338">
        <f t="shared" si="69"/>
        <v>0</v>
      </c>
    </row>
    <row r="339" spans="5:44" x14ac:dyDescent="0.2">
      <c r="E339" s="1">
        <f>moment_rate!$AC339</f>
        <v>7.4493433161470389E-3</v>
      </c>
      <c r="F339" s="1">
        <f t="shared" si="73"/>
        <v>0</v>
      </c>
      <c r="G339">
        <f>moment_rate!I339-0.005</f>
        <v>3.3199999999999732</v>
      </c>
      <c r="H339" s="1">
        <f t="shared" si="74"/>
        <v>0</v>
      </c>
      <c r="I339">
        <f t="shared" si="76"/>
        <v>0</v>
      </c>
      <c r="J339">
        <f t="shared" si="76"/>
        <v>0</v>
      </c>
      <c r="K339">
        <f t="shared" si="76"/>
        <v>0</v>
      </c>
      <c r="L339">
        <f t="shared" si="76"/>
        <v>0</v>
      </c>
      <c r="M339">
        <f t="shared" si="76"/>
        <v>0</v>
      </c>
      <c r="N339">
        <f t="shared" si="76"/>
        <v>0</v>
      </c>
      <c r="O339">
        <f t="shared" si="76"/>
        <v>0</v>
      </c>
      <c r="P339">
        <f t="shared" si="76"/>
        <v>0</v>
      </c>
      <c r="Q339">
        <f t="shared" si="76"/>
        <v>0</v>
      </c>
      <c r="R339">
        <f t="shared" si="76"/>
        <v>0</v>
      </c>
      <c r="S339">
        <f t="shared" si="76"/>
        <v>0</v>
      </c>
      <c r="T339">
        <f t="shared" si="76"/>
        <v>0</v>
      </c>
      <c r="U339">
        <f t="shared" si="76"/>
        <v>0</v>
      </c>
      <c r="V339">
        <f t="shared" si="76"/>
        <v>0</v>
      </c>
      <c r="W339">
        <f t="shared" si="76"/>
        <v>0</v>
      </c>
      <c r="X339">
        <f t="shared" si="76"/>
        <v>0</v>
      </c>
      <c r="Y339">
        <f t="shared" si="75"/>
        <v>0</v>
      </c>
      <c r="Z339">
        <f t="shared" si="75"/>
        <v>0</v>
      </c>
      <c r="AA339">
        <f t="shared" si="75"/>
        <v>0</v>
      </c>
      <c r="AB339">
        <f t="shared" si="75"/>
        <v>0</v>
      </c>
      <c r="AC339">
        <f t="shared" si="75"/>
        <v>0</v>
      </c>
      <c r="AD339">
        <f t="shared" si="75"/>
        <v>0</v>
      </c>
      <c r="AE339">
        <f t="shared" si="75"/>
        <v>0</v>
      </c>
      <c r="AF339">
        <f t="shared" si="75"/>
        <v>0</v>
      </c>
      <c r="AG339">
        <f t="shared" si="75"/>
        <v>0</v>
      </c>
      <c r="AH339">
        <f t="shared" si="75"/>
        <v>0</v>
      </c>
      <c r="AI339">
        <f t="shared" si="75"/>
        <v>0</v>
      </c>
      <c r="AJ339">
        <f t="shared" si="75"/>
        <v>0</v>
      </c>
      <c r="AK339">
        <f t="shared" si="75"/>
        <v>0</v>
      </c>
      <c r="AL339">
        <f t="shared" si="75"/>
        <v>0</v>
      </c>
      <c r="AM339">
        <f t="shared" si="75"/>
        <v>0</v>
      </c>
      <c r="AN339">
        <f t="shared" si="69"/>
        <v>0</v>
      </c>
      <c r="AO339">
        <f t="shared" si="69"/>
        <v>0</v>
      </c>
      <c r="AP339">
        <f t="shared" si="69"/>
        <v>0</v>
      </c>
      <c r="AQ339">
        <f t="shared" si="69"/>
        <v>0</v>
      </c>
      <c r="AR339">
        <f t="shared" si="69"/>
        <v>0</v>
      </c>
    </row>
    <row r="340" spans="5:44" x14ac:dyDescent="0.2">
      <c r="E340" s="1">
        <f>moment_rate!$AC340</f>
        <v>7.4493433161470389E-3</v>
      </c>
      <c r="F340" s="1">
        <f t="shared" si="73"/>
        <v>0</v>
      </c>
      <c r="G340">
        <f>moment_rate!I340-0.005</f>
        <v>3.329999999999973</v>
      </c>
      <c r="H340" s="1">
        <f t="shared" si="74"/>
        <v>0</v>
      </c>
      <c r="I340">
        <f t="shared" si="76"/>
        <v>0</v>
      </c>
      <c r="J340">
        <f t="shared" si="76"/>
        <v>0</v>
      </c>
      <c r="K340">
        <f t="shared" si="76"/>
        <v>0</v>
      </c>
      <c r="L340">
        <f t="shared" si="76"/>
        <v>0</v>
      </c>
      <c r="M340">
        <f t="shared" si="76"/>
        <v>0</v>
      </c>
      <c r="N340">
        <f t="shared" si="76"/>
        <v>0</v>
      </c>
      <c r="O340">
        <f t="shared" si="76"/>
        <v>0</v>
      </c>
      <c r="P340">
        <f t="shared" si="76"/>
        <v>0</v>
      </c>
      <c r="Q340">
        <f t="shared" si="76"/>
        <v>0</v>
      </c>
      <c r="R340">
        <f t="shared" si="76"/>
        <v>0</v>
      </c>
      <c r="S340">
        <f t="shared" si="76"/>
        <v>0</v>
      </c>
      <c r="T340">
        <f t="shared" si="76"/>
        <v>0</v>
      </c>
      <c r="U340">
        <f t="shared" si="76"/>
        <v>0</v>
      </c>
      <c r="V340">
        <f t="shared" si="76"/>
        <v>0</v>
      </c>
      <c r="W340">
        <f t="shared" si="76"/>
        <v>0</v>
      </c>
      <c r="X340">
        <f t="shared" si="76"/>
        <v>0</v>
      </c>
      <c r="Y340">
        <f t="shared" si="75"/>
        <v>0</v>
      </c>
      <c r="Z340">
        <f t="shared" si="75"/>
        <v>0</v>
      </c>
      <c r="AA340">
        <f t="shared" si="75"/>
        <v>0</v>
      </c>
      <c r="AB340">
        <f t="shared" si="75"/>
        <v>0</v>
      </c>
      <c r="AC340">
        <f t="shared" si="75"/>
        <v>0</v>
      </c>
      <c r="AD340">
        <f t="shared" si="75"/>
        <v>0</v>
      </c>
      <c r="AE340">
        <f t="shared" si="75"/>
        <v>0</v>
      </c>
      <c r="AF340">
        <f t="shared" si="75"/>
        <v>0</v>
      </c>
      <c r="AG340">
        <f t="shared" si="75"/>
        <v>0</v>
      </c>
      <c r="AH340">
        <f t="shared" si="75"/>
        <v>0</v>
      </c>
      <c r="AI340">
        <f t="shared" si="75"/>
        <v>0</v>
      </c>
      <c r="AJ340">
        <f t="shared" si="75"/>
        <v>0</v>
      </c>
      <c r="AK340">
        <f t="shared" si="75"/>
        <v>0</v>
      </c>
      <c r="AL340">
        <f t="shared" si="75"/>
        <v>0</v>
      </c>
      <c r="AM340">
        <f t="shared" si="75"/>
        <v>0</v>
      </c>
      <c r="AN340">
        <f t="shared" si="69"/>
        <v>0</v>
      </c>
      <c r="AO340">
        <f t="shared" si="69"/>
        <v>0</v>
      </c>
      <c r="AP340">
        <f t="shared" si="69"/>
        <v>0</v>
      </c>
      <c r="AQ340">
        <f t="shared" si="69"/>
        <v>0</v>
      </c>
      <c r="AR340">
        <f t="shared" si="69"/>
        <v>0</v>
      </c>
    </row>
    <row r="341" spans="5:44" x14ac:dyDescent="0.2">
      <c r="E341" s="1">
        <f>moment_rate!$AC341</f>
        <v>7.4493433161470389E-3</v>
      </c>
      <c r="F341" s="1">
        <f t="shared" si="73"/>
        <v>0</v>
      </c>
      <c r="G341">
        <f>moment_rate!I341-0.005</f>
        <v>3.3399999999999728</v>
      </c>
      <c r="H341" s="1">
        <f t="shared" si="74"/>
        <v>0</v>
      </c>
      <c r="I341">
        <f t="shared" si="76"/>
        <v>0</v>
      </c>
      <c r="J341">
        <f t="shared" si="76"/>
        <v>0</v>
      </c>
      <c r="K341">
        <f t="shared" si="76"/>
        <v>0</v>
      </c>
      <c r="L341">
        <f t="shared" si="76"/>
        <v>0</v>
      </c>
      <c r="M341">
        <f t="shared" si="76"/>
        <v>0</v>
      </c>
      <c r="N341">
        <f t="shared" si="76"/>
        <v>0</v>
      </c>
      <c r="O341">
        <f t="shared" si="76"/>
        <v>0</v>
      </c>
      <c r="P341">
        <f t="shared" si="76"/>
        <v>0</v>
      </c>
      <c r="Q341">
        <f t="shared" si="76"/>
        <v>0</v>
      </c>
      <c r="R341">
        <f t="shared" si="76"/>
        <v>0</v>
      </c>
      <c r="S341">
        <f t="shared" si="76"/>
        <v>0</v>
      </c>
      <c r="T341">
        <f t="shared" si="76"/>
        <v>0</v>
      </c>
      <c r="U341">
        <f t="shared" si="76"/>
        <v>0</v>
      </c>
      <c r="V341">
        <f t="shared" si="76"/>
        <v>0</v>
      </c>
      <c r="W341">
        <f t="shared" si="76"/>
        <v>0</v>
      </c>
      <c r="X341">
        <f t="shared" si="76"/>
        <v>0</v>
      </c>
      <c r="Y341">
        <f t="shared" si="75"/>
        <v>0</v>
      </c>
      <c r="Z341">
        <f t="shared" si="75"/>
        <v>0</v>
      </c>
      <c r="AA341">
        <f t="shared" si="75"/>
        <v>0</v>
      </c>
      <c r="AB341">
        <f t="shared" si="75"/>
        <v>0</v>
      </c>
      <c r="AC341">
        <f t="shared" si="75"/>
        <v>0</v>
      </c>
      <c r="AD341">
        <f t="shared" si="75"/>
        <v>0</v>
      </c>
      <c r="AE341">
        <f t="shared" si="75"/>
        <v>0</v>
      </c>
      <c r="AF341">
        <f t="shared" si="75"/>
        <v>0</v>
      </c>
      <c r="AG341">
        <f t="shared" si="75"/>
        <v>0</v>
      </c>
      <c r="AH341">
        <f t="shared" si="75"/>
        <v>0</v>
      </c>
      <c r="AI341">
        <f t="shared" si="75"/>
        <v>0</v>
      </c>
      <c r="AJ341">
        <f t="shared" si="75"/>
        <v>0</v>
      </c>
      <c r="AK341">
        <f t="shared" si="75"/>
        <v>0</v>
      </c>
      <c r="AL341">
        <f t="shared" si="75"/>
        <v>0</v>
      </c>
      <c r="AM341">
        <f t="shared" si="75"/>
        <v>0</v>
      </c>
      <c r="AN341">
        <f t="shared" si="69"/>
        <v>0</v>
      </c>
      <c r="AO341">
        <f t="shared" si="69"/>
        <v>0</v>
      </c>
      <c r="AP341">
        <f t="shared" si="69"/>
        <v>0</v>
      </c>
      <c r="AQ341">
        <f t="shared" si="69"/>
        <v>0</v>
      </c>
      <c r="AR341">
        <f t="shared" si="69"/>
        <v>0</v>
      </c>
    </row>
    <row r="342" spans="5:44" x14ac:dyDescent="0.2">
      <c r="E342" s="1">
        <f>moment_rate!$AC342</f>
        <v>7.4493433161470389E-3</v>
      </c>
      <c r="F342" s="1">
        <f t="shared" si="73"/>
        <v>0</v>
      </c>
      <c r="G342">
        <f>moment_rate!I342-0.005</f>
        <v>3.3499999999999726</v>
      </c>
      <c r="H342" s="1">
        <f t="shared" si="74"/>
        <v>0</v>
      </c>
      <c r="I342">
        <f t="shared" si="76"/>
        <v>0</v>
      </c>
      <c r="J342">
        <f t="shared" si="76"/>
        <v>0</v>
      </c>
      <c r="K342">
        <f t="shared" si="76"/>
        <v>0</v>
      </c>
      <c r="L342">
        <f t="shared" si="76"/>
        <v>0</v>
      </c>
      <c r="M342">
        <f t="shared" si="76"/>
        <v>0</v>
      </c>
      <c r="N342">
        <f t="shared" si="76"/>
        <v>0</v>
      </c>
      <c r="O342">
        <f t="shared" si="76"/>
        <v>0</v>
      </c>
      <c r="P342">
        <f t="shared" si="76"/>
        <v>0</v>
      </c>
      <c r="Q342">
        <f t="shared" si="76"/>
        <v>0</v>
      </c>
      <c r="R342">
        <f t="shared" si="76"/>
        <v>0</v>
      </c>
      <c r="S342">
        <f t="shared" si="76"/>
        <v>0</v>
      </c>
      <c r="T342">
        <f t="shared" si="76"/>
        <v>0</v>
      </c>
      <c r="U342">
        <f t="shared" si="76"/>
        <v>0</v>
      </c>
      <c r="V342">
        <f t="shared" si="76"/>
        <v>0</v>
      </c>
      <c r="W342">
        <f t="shared" si="76"/>
        <v>0</v>
      </c>
      <c r="X342">
        <f t="shared" si="76"/>
        <v>0</v>
      </c>
      <c r="Y342">
        <f t="shared" si="75"/>
        <v>0</v>
      </c>
      <c r="Z342">
        <f t="shared" si="75"/>
        <v>0</v>
      </c>
      <c r="AA342">
        <f t="shared" si="75"/>
        <v>0</v>
      </c>
      <c r="AB342">
        <f t="shared" si="75"/>
        <v>0</v>
      </c>
      <c r="AC342">
        <f t="shared" si="75"/>
        <v>0</v>
      </c>
      <c r="AD342">
        <f t="shared" si="75"/>
        <v>0</v>
      </c>
      <c r="AE342">
        <f t="shared" si="75"/>
        <v>0</v>
      </c>
      <c r="AF342">
        <f t="shared" si="75"/>
        <v>0</v>
      </c>
      <c r="AG342">
        <f t="shared" si="75"/>
        <v>0</v>
      </c>
      <c r="AH342">
        <f t="shared" si="75"/>
        <v>0</v>
      </c>
      <c r="AI342">
        <f t="shared" si="75"/>
        <v>0</v>
      </c>
      <c r="AJ342">
        <f t="shared" si="75"/>
        <v>0</v>
      </c>
      <c r="AK342">
        <f t="shared" si="75"/>
        <v>0</v>
      </c>
      <c r="AL342">
        <f t="shared" si="75"/>
        <v>0</v>
      </c>
      <c r="AM342">
        <f t="shared" si="75"/>
        <v>0</v>
      </c>
      <c r="AN342">
        <f t="shared" si="69"/>
        <v>0</v>
      </c>
      <c r="AO342">
        <f t="shared" si="69"/>
        <v>0</v>
      </c>
      <c r="AP342">
        <f t="shared" si="69"/>
        <v>0</v>
      </c>
      <c r="AQ342">
        <f t="shared" si="69"/>
        <v>0</v>
      </c>
      <c r="AR342">
        <f t="shared" si="69"/>
        <v>0</v>
      </c>
    </row>
    <row r="343" spans="5:44" x14ac:dyDescent="0.2">
      <c r="E343" s="1">
        <f>moment_rate!$AC343</f>
        <v>7.4493433161470389E-3</v>
      </c>
      <c r="F343" s="1">
        <f t="shared" si="73"/>
        <v>0</v>
      </c>
      <c r="G343">
        <f>moment_rate!I343-0.005</f>
        <v>3.3599999999999723</v>
      </c>
      <c r="H343" s="1">
        <f t="shared" si="74"/>
        <v>0</v>
      </c>
      <c r="I343">
        <f t="shared" si="76"/>
        <v>0</v>
      </c>
      <c r="J343">
        <f t="shared" si="76"/>
        <v>0</v>
      </c>
      <c r="K343">
        <f t="shared" si="76"/>
        <v>0</v>
      </c>
      <c r="L343">
        <f t="shared" si="76"/>
        <v>0</v>
      </c>
      <c r="M343">
        <f t="shared" si="76"/>
        <v>0</v>
      </c>
      <c r="N343">
        <f t="shared" si="76"/>
        <v>0</v>
      </c>
      <c r="O343">
        <f t="shared" si="76"/>
        <v>0</v>
      </c>
      <c r="P343">
        <f t="shared" si="76"/>
        <v>0</v>
      </c>
      <c r="Q343">
        <f t="shared" si="76"/>
        <v>0</v>
      </c>
      <c r="R343">
        <f t="shared" si="76"/>
        <v>0</v>
      </c>
      <c r="S343">
        <f t="shared" si="76"/>
        <v>0</v>
      </c>
      <c r="T343">
        <f t="shared" si="76"/>
        <v>0</v>
      </c>
      <c r="U343">
        <f t="shared" si="76"/>
        <v>0</v>
      </c>
      <c r="V343">
        <f t="shared" si="76"/>
        <v>0</v>
      </c>
      <c r="W343">
        <f t="shared" si="76"/>
        <v>0</v>
      </c>
      <c r="X343">
        <f t="shared" si="76"/>
        <v>0</v>
      </c>
      <c r="Y343">
        <f t="shared" si="75"/>
        <v>0</v>
      </c>
      <c r="Z343">
        <f t="shared" si="75"/>
        <v>0</v>
      </c>
      <c r="AA343">
        <f t="shared" si="75"/>
        <v>0</v>
      </c>
      <c r="AB343">
        <f t="shared" si="75"/>
        <v>0</v>
      </c>
      <c r="AC343">
        <f t="shared" si="75"/>
        <v>0</v>
      </c>
      <c r="AD343">
        <f t="shared" si="75"/>
        <v>0</v>
      </c>
      <c r="AE343">
        <f t="shared" si="75"/>
        <v>0</v>
      </c>
      <c r="AF343">
        <f t="shared" si="75"/>
        <v>0</v>
      </c>
      <c r="AG343">
        <f t="shared" si="75"/>
        <v>0</v>
      </c>
      <c r="AH343">
        <f t="shared" si="75"/>
        <v>0</v>
      </c>
      <c r="AI343">
        <f t="shared" si="75"/>
        <v>0</v>
      </c>
      <c r="AJ343">
        <f t="shared" si="75"/>
        <v>0</v>
      </c>
      <c r="AK343">
        <f t="shared" si="75"/>
        <v>0</v>
      </c>
      <c r="AL343">
        <f t="shared" si="75"/>
        <v>0</v>
      </c>
      <c r="AM343">
        <f t="shared" si="75"/>
        <v>0</v>
      </c>
      <c r="AN343">
        <f t="shared" si="69"/>
        <v>0</v>
      </c>
      <c r="AO343">
        <f t="shared" si="69"/>
        <v>0</v>
      </c>
      <c r="AP343">
        <f t="shared" si="69"/>
        <v>0</v>
      </c>
      <c r="AQ343">
        <f t="shared" si="69"/>
        <v>0</v>
      </c>
      <c r="AR343">
        <f t="shared" si="69"/>
        <v>0</v>
      </c>
    </row>
    <row r="344" spans="5:44" x14ac:dyDescent="0.2">
      <c r="E344" s="1">
        <f>moment_rate!$AC344</f>
        <v>7.4493433161470389E-3</v>
      </c>
      <c r="F344" s="1">
        <f t="shared" si="73"/>
        <v>0</v>
      </c>
      <c r="G344">
        <f>moment_rate!I344-0.005</f>
        <v>3.3699999999999721</v>
      </c>
      <c r="H344" s="1">
        <f t="shared" si="74"/>
        <v>0</v>
      </c>
      <c r="I344">
        <f t="shared" si="76"/>
        <v>0</v>
      </c>
      <c r="J344">
        <f t="shared" si="76"/>
        <v>0</v>
      </c>
      <c r="K344">
        <f t="shared" si="76"/>
        <v>0</v>
      </c>
      <c r="L344">
        <f t="shared" si="76"/>
        <v>0</v>
      </c>
      <c r="M344">
        <f t="shared" si="76"/>
        <v>0</v>
      </c>
      <c r="N344">
        <f t="shared" si="76"/>
        <v>0</v>
      </c>
      <c r="O344">
        <f t="shared" si="76"/>
        <v>0</v>
      </c>
      <c r="P344">
        <f t="shared" si="76"/>
        <v>0</v>
      </c>
      <c r="Q344">
        <f t="shared" si="76"/>
        <v>0</v>
      </c>
      <c r="R344">
        <f t="shared" si="76"/>
        <v>0</v>
      </c>
      <c r="S344">
        <f t="shared" si="76"/>
        <v>0</v>
      </c>
      <c r="T344">
        <f t="shared" si="76"/>
        <v>0</v>
      </c>
      <c r="U344">
        <f t="shared" si="76"/>
        <v>0</v>
      </c>
      <c r="V344">
        <f t="shared" si="76"/>
        <v>0</v>
      </c>
      <c r="W344">
        <f t="shared" si="76"/>
        <v>0</v>
      </c>
      <c r="X344">
        <f t="shared" si="76"/>
        <v>0</v>
      </c>
      <c r="Y344">
        <f t="shared" si="75"/>
        <v>0</v>
      </c>
      <c r="Z344">
        <f t="shared" si="75"/>
        <v>0</v>
      </c>
      <c r="AA344">
        <f t="shared" si="75"/>
        <v>0</v>
      </c>
      <c r="AB344">
        <f t="shared" si="75"/>
        <v>0</v>
      </c>
      <c r="AC344">
        <f t="shared" si="75"/>
        <v>0</v>
      </c>
      <c r="AD344">
        <f t="shared" si="75"/>
        <v>0</v>
      </c>
      <c r="AE344">
        <f t="shared" si="75"/>
        <v>0</v>
      </c>
      <c r="AF344">
        <f t="shared" si="75"/>
        <v>0</v>
      </c>
      <c r="AG344">
        <f t="shared" si="75"/>
        <v>0</v>
      </c>
      <c r="AH344">
        <f t="shared" si="75"/>
        <v>0</v>
      </c>
      <c r="AI344">
        <f t="shared" si="75"/>
        <v>0</v>
      </c>
      <c r="AJ344">
        <f t="shared" si="75"/>
        <v>0</v>
      </c>
      <c r="AK344">
        <f t="shared" si="75"/>
        <v>0</v>
      </c>
      <c r="AL344">
        <f t="shared" si="75"/>
        <v>0</v>
      </c>
      <c r="AM344">
        <f t="shared" si="75"/>
        <v>0</v>
      </c>
      <c r="AN344">
        <f t="shared" si="69"/>
        <v>0</v>
      </c>
      <c r="AO344">
        <f t="shared" si="69"/>
        <v>0</v>
      </c>
      <c r="AP344">
        <f t="shared" si="69"/>
        <v>0</v>
      </c>
      <c r="AQ344">
        <f t="shared" si="69"/>
        <v>0</v>
      </c>
      <c r="AR344">
        <f t="shared" si="69"/>
        <v>0</v>
      </c>
    </row>
    <row r="345" spans="5:44" x14ac:dyDescent="0.2">
      <c r="E345" s="1">
        <f>moment_rate!$AC345</f>
        <v>7.4493433161470389E-3</v>
      </c>
      <c r="F345" s="1">
        <f t="shared" si="73"/>
        <v>0</v>
      </c>
      <c r="G345">
        <f>moment_rate!I345-0.005</f>
        <v>3.3799999999999719</v>
      </c>
      <c r="H345" s="1">
        <f t="shared" si="74"/>
        <v>0</v>
      </c>
      <c r="I345">
        <f t="shared" si="76"/>
        <v>0</v>
      </c>
      <c r="J345">
        <f t="shared" si="76"/>
        <v>0</v>
      </c>
      <c r="K345">
        <f t="shared" si="76"/>
        <v>0</v>
      </c>
      <c r="L345">
        <f t="shared" si="76"/>
        <v>0</v>
      </c>
      <c r="M345">
        <f t="shared" si="76"/>
        <v>0</v>
      </c>
      <c r="N345">
        <f t="shared" si="76"/>
        <v>0</v>
      </c>
      <c r="O345">
        <f t="shared" si="76"/>
        <v>0</v>
      </c>
      <c r="P345">
        <f t="shared" si="76"/>
        <v>0</v>
      </c>
      <c r="Q345">
        <f t="shared" si="76"/>
        <v>0</v>
      </c>
      <c r="R345">
        <f t="shared" si="76"/>
        <v>0</v>
      </c>
      <c r="S345">
        <f t="shared" si="76"/>
        <v>0</v>
      </c>
      <c r="T345">
        <f t="shared" si="76"/>
        <v>0</v>
      </c>
      <c r="U345">
        <f t="shared" si="76"/>
        <v>0</v>
      </c>
      <c r="V345">
        <f t="shared" si="76"/>
        <v>0</v>
      </c>
      <c r="W345">
        <f t="shared" si="76"/>
        <v>0</v>
      </c>
      <c r="X345">
        <f t="shared" si="76"/>
        <v>0</v>
      </c>
      <c r="Y345">
        <f t="shared" si="75"/>
        <v>0</v>
      </c>
      <c r="Z345">
        <f t="shared" si="75"/>
        <v>0</v>
      </c>
      <c r="AA345">
        <f t="shared" si="75"/>
        <v>0</v>
      </c>
      <c r="AB345">
        <f t="shared" si="75"/>
        <v>0</v>
      </c>
      <c r="AC345">
        <f t="shared" si="75"/>
        <v>0</v>
      </c>
      <c r="AD345">
        <f t="shared" si="75"/>
        <v>0</v>
      </c>
      <c r="AE345">
        <f t="shared" si="75"/>
        <v>0</v>
      </c>
      <c r="AF345">
        <f t="shared" si="75"/>
        <v>0</v>
      </c>
      <c r="AG345">
        <f t="shared" si="75"/>
        <v>0</v>
      </c>
      <c r="AH345">
        <f t="shared" si="75"/>
        <v>0</v>
      </c>
      <c r="AI345">
        <f t="shared" si="75"/>
        <v>0</v>
      </c>
      <c r="AJ345">
        <f t="shared" si="75"/>
        <v>0</v>
      </c>
      <c r="AK345">
        <f t="shared" si="75"/>
        <v>0</v>
      </c>
      <c r="AL345">
        <f t="shared" si="75"/>
        <v>0</v>
      </c>
      <c r="AM345">
        <f t="shared" si="75"/>
        <v>0</v>
      </c>
      <c r="AN345">
        <f t="shared" si="69"/>
        <v>0</v>
      </c>
      <c r="AO345">
        <f t="shared" si="69"/>
        <v>0</v>
      </c>
      <c r="AP345">
        <f t="shared" si="69"/>
        <v>0</v>
      </c>
      <c r="AQ345">
        <f t="shared" si="69"/>
        <v>0</v>
      </c>
      <c r="AR345">
        <f t="shared" si="69"/>
        <v>0</v>
      </c>
    </row>
    <row r="346" spans="5:44" x14ac:dyDescent="0.2">
      <c r="E346" s="1">
        <f>moment_rate!$AC346</f>
        <v>7.4493433161470389E-3</v>
      </c>
      <c r="F346" s="1">
        <f t="shared" si="73"/>
        <v>0</v>
      </c>
      <c r="G346">
        <f>moment_rate!I346-0.005</f>
        <v>3.3899999999999717</v>
      </c>
      <c r="H346" s="1">
        <f t="shared" si="74"/>
        <v>0</v>
      </c>
      <c r="I346">
        <f t="shared" si="76"/>
        <v>0</v>
      </c>
      <c r="J346">
        <f t="shared" si="76"/>
        <v>0</v>
      </c>
      <c r="K346">
        <f t="shared" si="76"/>
        <v>0</v>
      </c>
      <c r="L346">
        <f t="shared" si="76"/>
        <v>0</v>
      </c>
      <c r="M346">
        <f t="shared" si="76"/>
        <v>0</v>
      </c>
      <c r="N346">
        <f t="shared" si="76"/>
        <v>0</v>
      </c>
      <c r="O346">
        <f t="shared" si="76"/>
        <v>0</v>
      </c>
      <c r="P346">
        <f t="shared" si="76"/>
        <v>0</v>
      </c>
      <c r="Q346">
        <f t="shared" si="76"/>
        <v>0</v>
      </c>
      <c r="R346">
        <f t="shared" si="76"/>
        <v>0</v>
      </c>
      <c r="S346">
        <f t="shared" si="76"/>
        <v>0</v>
      </c>
      <c r="T346">
        <f t="shared" si="76"/>
        <v>0</v>
      </c>
      <c r="U346">
        <f t="shared" si="76"/>
        <v>0</v>
      </c>
      <c r="V346">
        <f t="shared" si="76"/>
        <v>0</v>
      </c>
      <c r="W346">
        <f t="shared" si="76"/>
        <v>0</v>
      </c>
      <c r="X346">
        <f t="shared" si="76"/>
        <v>0</v>
      </c>
      <c r="Y346">
        <f t="shared" si="75"/>
        <v>0</v>
      </c>
      <c r="Z346">
        <f t="shared" si="75"/>
        <v>0</v>
      </c>
      <c r="AA346">
        <f t="shared" si="75"/>
        <v>0</v>
      </c>
      <c r="AB346">
        <f t="shared" si="75"/>
        <v>0</v>
      </c>
      <c r="AC346">
        <f t="shared" si="75"/>
        <v>0</v>
      </c>
      <c r="AD346">
        <f t="shared" si="75"/>
        <v>0</v>
      </c>
      <c r="AE346">
        <f t="shared" si="75"/>
        <v>0</v>
      </c>
      <c r="AF346">
        <f t="shared" si="75"/>
        <v>0</v>
      </c>
      <c r="AG346">
        <f t="shared" si="75"/>
        <v>0</v>
      </c>
      <c r="AH346">
        <f t="shared" si="75"/>
        <v>0</v>
      </c>
      <c r="AI346">
        <f t="shared" si="75"/>
        <v>0</v>
      </c>
      <c r="AJ346">
        <f t="shared" si="75"/>
        <v>0</v>
      </c>
      <c r="AK346">
        <f t="shared" si="75"/>
        <v>0</v>
      </c>
      <c r="AL346">
        <f t="shared" si="75"/>
        <v>0</v>
      </c>
      <c r="AM346">
        <f t="shared" si="75"/>
        <v>0</v>
      </c>
      <c r="AN346">
        <f t="shared" si="69"/>
        <v>0</v>
      </c>
      <c r="AO346">
        <f t="shared" si="69"/>
        <v>0</v>
      </c>
      <c r="AP346">
        <f t="shared" si="69"/>
        <v>0</v>
      </c>
      <c r="AQ346">
        <f t="shared" si="69"/>
        <v>0</v>
      </c>
      <c r="AR346">
        <f t="shared" si="69"/>
        <v>0</v>
      </c>
    </row>
    <row r="347" spans="5:44" x14ac:dyDescent="0.2">
      <c r="E347" s="1">
        <f>moment_rate!$AC347</f>
        <v>7.4493433161470389E-3</v>
      </c>
      <c r="F347" s="1">
        <f t="shared" si="73"/>
        <v>0</v>
      </c>
      <c r="G347">
        <f>moment_rate!I347-0.005</f>
        <v>3.3999999999999715</v>
      </c>
      <c r="H347" s="1">
        <f t="shared" si="74"/>
        <v>0</v>
      </c>
      <c r="I347">
        <f t="shared" si="76"/>
        <v>0</v>
      </c>
      <c r="J347">
        <f t="shared" si="76"/>
        <v>0</v>
      </c>
      <c r="K347">
        <f t="shared" si="76"/>
        <v>0</v>
      </c>
      <c r="L347">
        <f t="shared" si="76"/>
        <v>0</v>
      </c>
      <c r="M347">
        <f t="shared" si="76"/>
        <v>0</v>
      </c>
      <c r="N347">
        <f t="shared" si="76"/>
        <v>0</v>
      </c>
      <c r="O347">
        <f t="shared" si="76"/>
        <v>0</v>
      </c>
      <c r="P347">
        <f t="shared" si="76"/>
        <v>0</v>
      </c>
      <c r="Q347">
        <f t="shared" si="76"/>
        <v>0</v>
      </c>
      <c r="R347">
        <f t="shared" si="76"/>
        <v>0</v>
      </c>
      <c r="S347">
        <f t="shared" si="76"/>
        <v>0</v>
      </c>
      <c r="T347">
        <f t="shared" si="76"/>
        <v>0</v>
      </c>
      <c r="U347">
        <f t="shared" si="76"/>
        <v>0</v>
      </c>
      <c r="V347">
        <f t="shared" si="76"/>
        <v>0</v>
      </c>
      <c r="W347">
        <f t="shared" si="76"/>
        <v>0</v>
      </c>
      <c r="X347">
        <f t="shared" si="76"/>
        <v>0</v>
      </c>
      <c r="Y347">
        <f t="shared" si="75"/>
        <v>0</v>
      </c>
      <c r="Z347">
        <f t="shared" si="75"/>
        <v>0</v>
      </c>
      <c r="AA347">
        <f t="shared" si="75"/>
        <v>0</v>
      </c>
      <c r="AB347">
        <f t="shared" si="75"/>
        <v>0</v>
      </c>
      <c r="AC347">
        <f t="shared" si="75"/>
        <v>0</v>
      </c>
      <c r="AD347">
        <f t="shared" si="75"/>
        <v>0</v>
      </c>
      <c r="AE347">
        <f t="shared" si="75"/>
        <v>0</v>
      </c>
      <c r="AF347">
        <f t="shared" si="75"/>
        <v>0</v>
      </c>
      <c r="AG347">
        <f t="shared" si="75"/>
        <v>0</v>
      </c>
      <c r="AH347">
        <f t="shared" si="75"/>
        <v>0</v>
      </c>
      <c r="AI347">
        <f t="shared" si="75"/>
        <v>0</v>
      </c>
      <c r="AJ347">
        <f t="shared" si="75"/>
        <v>0</v>
      </c>
      <c r="AK347">
        <f t="shared" si="75"/>
        <v>0</v>
      </c>
      <c r="AL347">
        <f t="shared" si="75"/>
        <v>0</v>
      </c>
      <c r="AM347">
        <f t="shared" si="75"/>
        <v>0</v>
      </c>
      <c r="AN347">
        <f t="shared" si="69"/>
        <v>0</v>
      </c>
      <c r="AO347">
        <f t="shared" si="69"/>
        <v>0</v>
      </c>
      <c r="AP347">
        <f t="shared" si="69"/>
        <v>0</v>
      </c>
      <c r="AQ347">
        <f t="shared" si="69"/>
        <v>0</v>
      </c>
      <c r="AR347">
        <f t="shared" si="69"/>
        <v>0</v>
      </c>
    </row>
    <row r="348" spans="5:44" x14ac:dyDescent="0.2">
      <c r="E348" s="1">
        <f>moment_rate!$AC348</f>
        <v>7.4493433161470389E-3</v>
      </c>
      <c r="F348" s="1">
        <f t="shared" si="73"/>
        <v>0</v>
      </c>
      <c r="G348">
        <f>moment_rate!I348-0.005</f>
        <v>3.4099999999999713</v>
      </c>
      <c r="H348" s="1">
        <f t="shared" si="74"/>
        <v>0</v>
      </c>
      <c r="I348">
        <f t="shared" si="76"/>
        <v>0</v>
      </c>
      <c r="J348">
        <f t="shared" si="76"/>
        <v>0</v>
      </c>
      <c r="K348">
        <f t="shared" si="76"/>
        <v>0</v>
      </c>
      <c r="L348">
        <f t="shared" si="76"/>
        <v>0</v>
      </c>
      <c r="M348">
        <f t="shared" si="76"/>
        <v>0</v>
      </c>
      <c r="N348">
        <f t="shared" si="76"/>
        <v>0</v>
      </c>
      <c r="O348">
        <f t="shared" si="76"/>
        <v>0</v>
      </c>
      <c r="P348">
        <f t="shared" si="76"/>
        <v>0</v>
      </c>
      <c r="Q348">
        <f t="shared" si="76"/>
        <v>0</v>
      </c>
      <c r="R348">
        <f t="shared" si="76"/>
        <v>0</v>
      </c>
      <c r="S348">
        <f t="shared" si="76"/>
        <v>0</v>
      </c>
      <c r="T348">
        <f t="shared" si="76"/>
        <v>0</v>
      </c>
      <c r="U348">
        <f t="shared" si="76"/>
        <v>0</v>
      </c>
      <c r="V348">
        <f t="shared" si="76"/>
        <v>0</v>
      </c>
      <c r="W348">
        <f t="shared" si="76"/>
        <v>0</v>
      </c>
      <c r="X348">
        <f t="shared" si="76"/>
        <v>0</v>
      </c>
      <c r="Y348">
        <f t="shared" si="75"/>
        <v>0</v>
      </c>
      <c r="Z348">
        <f t="shared" si="75"/>
        <v>0</v>
      </c>
      <c r="AA348">
        <f t="shared" si="75"/>
        <v>0</v>
      </c>
      <c r="AB348">
        <f t="shared" si="75"/>
        <v>0</v>
      </c>
      <c r="AC348">
        <f t="shared" si="75"/>
        <v>0</v>
      </c>
      <c r="AD348">
        <f t="shared" si="75"/>
        <v>0</v>
      </c>
      <c r="AE348">
        <f t="shared" si="75"/>
        <v>0</v>
      </c>
      <c r="AF348">
        <f t="shared" si="75"/>
        <v>0</v>
      </c>
      <c r="AG348">
        <f t="shared" si="75"/>
        <v>0</v>
      </c>
      <c r="AH348">
        <f t="shared" si="75"/>
        <v>0</v>
      </c>
      <c r="AI348">
        <f t="shared" si="75"/>
        <v>0</v>
      </c>
      <c r="AJ348">
        <f t="shared" si="75"/>
        <v>0</v>
      </c>
      <c r="AK348">
        <f t="shared" si="75"/>
        <v>0</v>
      </c>
      <c r="AL348">
        <f t="shared" si="75"/>
        <v>0</v>
      </c>
      <c r="AM348">
        <f t="shared" si="75"/>
        <v>0</v>
      </c>
      <c r="AN348">
        <f t="shared" si="69"/>
        <v>0</v>
      </c>
      <c r="AO348">
        <f t="shared" si="69"/>
        <v>0</v>
      </c>
      <c r="AP348">
        <f t="shared" si="69"/>
        <v>0</v>
      </c>
      <c r="AQ348">
        <f t="shared" si="69"/>
        <v>0</v>
      </c>
      <c r="AR348">
        <f t="shared" si="69"/>
        <v>0</v>
      </c>
    </row>
    <row r="349" spans="5:44" x14ac:dyDescent="0.2">
      <c r="E349" s="1">
        <f>moment_rate!$AC349</f>
        <v>7.4493433161470389E-3</v>
      </c>
      <c r="F349" s="1">
        <f t="shared" si="73"/>
        <v>0</v>
      </c>
      <c r="G349">
        <f>moment_rate!I349-0.005</f>
        <v>3.4199999999999711</v>
      </c>
      <c r="H349" s="1">
        <f t="shared" si="74"/>
        <v>0</v>
      </c>
      <c r="I349">
        <f t="shared" si="76"/>
        <v>0</v>
      </c>
      <c r="J349">
        <f t="shared" si="76"/>
        <v>0</v>
      </c>
      <c r="K349">
        <f t="shared" si="76"/>
        <v>0</v>
      </c>
      <c r="L349">
        <f t="shared" si="76"/>
        <v>0</v>
      </c>
      <c r="M349">
        <f t="shared" si="76"/>
        <v>0</v>
      </c>
      <c r="N349">
        <f t="shared" si="76"/>
        <v>0</v>
      </c>
      <c r="O349">
        <f t="shared" si="76"/>
        <v>0</v>
      </c>
      <c r="P349">
        <f t="shared" si="76"/>
        <v>0</v>
      </c>
      <c r="Q349">
        <f t="shared" si="76"/>
        <v>0</v>
      </c>
      <c r="R349">
        <f t="shared" si="76"/>
        <v>0</v>
      </c>
      <c r="S349">
        <f t="shared" si="76"/>
        <v>0</v>
      </c>
      <c r="T349">
        <f t="shared" si="76"/>
        <v>0</v>
      </c>
      <c r="U349">
        <f t="shared" si="76"/>
        <v>0</v>
      </c>
      <c r="V349">
        <f t="shared" si="76"/>
        <v>0</v>
      </c>
      <c r="W349">
        <f t="shared" si="76"/>
        <v>0</v>
      </c>
      <c r="X349">
        <f t="shared" si="76"/>
        <v>0</v>
      </c>
      <c r="Y349">
        <f t="shared" si="75"/>
        <v>0</v>
      </c>
      <c r="Z349">
        <f t="shared" si="75"/>
        <v>0</v>
      </c>
      <c r="AA349">
        <f t="shared" si="75"/>
        <v>0</v>
      </c>
      <c r="AB349">
        <f t="shared" si="75"/>
        <v>0</v>
      </c>
      <c r="AC349">
        <f t="shared" si="75"/>
        <v>0</v>
      </c>
      <c r="AD349">
        <f t="shared" si="75"/>
        <v>0</v>
      </c>
      <c r="AE349">
        <f t="shared" si="75"/>
        <v>0</v>
      </c>
      <c r="AF349">
        <f t="shared" si="75"/>
        <v>0</v>
      </c>
      <c r="AG349">
        <f t="shared" si="75"/>
        <v>0</v>
      </c>
      <c r="AH349">
        <f t="shared" si="75"/>
        <v>0</v>
      </c>
      <c r="AI349">
        <f t="shared" si="75"/>
        <v>0</v>
      </c>
      <c r="AJ349">
        <f t="shared" si="75"/>
        <v>0</v>
      </c>
      <c r="AK349">
        <f t="shared" si="75"/>
        <v>0</v>
      </c>
      <c r="AL349">
        <f t="shared" si="75"/>
        <v>0</v>
      </c>
      <c r="AM349">
        <f t="shared" si="75"/>
        <v>0</v>
      </c>
      <c r="AN349">
        <f t="shared" si="69"/>
        <v>0</v>
      </c>
      <c r="AO349">
        <f t="shared" si="69"/>
        <v>0</v>
      </c>
      <c r="AP349">
        <f t="shared" si="69"/>
        <v>0</v>
      </c>
      <c r="AQ349">
        <f t="shared" si="69"/>
        <v>0</v>
      </c>
      <c r="AR349">
        <f t="shared" si="69"/>
        <v>0</v>
      </c>
    </row>
    <row r="350" spans="5:44" x14ac:dyDescent="0.2">
      <c r="E350" s="1">
        <f>moment_rate!$AC350</f>
        <v>7.4493433161470389E-3</v>
      </c>
      <c r="F350" s="1">
        <f t="shared" si="73"/>
        <v>0</v>
      </c>
      <c r="G350">
        <f>moment_rate!I350-0.005</f>
        <v>3.4299999999999708</v>
      </c>
      <c r="H350" s="1">
        <f t="shared" si="74"/>
        <v>0</v>
      </c>
      <c r="I350">
        <f t="shared" si="76"/>
        <v>0</v>
      </c>
      <c r="J350">
        <f t="shared" si="76"/>
        <v>0</v>
      </c>
      <c r="K350">
        <f t="shared" si="76"/>
        <v>0</v>
      </c>
      <c r="L350">
        <f t="shared" si="76"/>
        <v>0</v>
      </c>
      <c r="M350">
        <f t="shared" si="76"/>
        <v>0</v>
      </c>
      <c r="N350">
        <f t="shared" si="76"/>
        <v>0</v>
      </c>
      <c r="O350">
        <f t="shared" si="76"/>
        <v>0</v>
      </c>
      <c r="P350">
        <f t="shared" si="76"/>
        <v>0</v>
      </c>
      <c r="Q350">
        <f t="shared" si="76"/>
        <v>0</v>
      </c>
      <c r="R350">
        <f t="shared" si="76"/>
        <v>0</v>
      </c>
      <c r="S350">
        <f t="shared" si="76"/>
        <v>0</v>
      </c>
      <c r="T350">
        <f t="shared" si="76"/>
        <v>0</v>
      </c>
      <c r="U350">
        <f t="shared" si="76"/>
        <v>0</v>
      </c>
      <c r="V350">
        <f t="shared" si="76"/>
        <v>0</v>
      </c>
      <c r="W350">
        <f t="shared" si="76"/>
        <v>0</v>
      </c>
      <c r="X350">
        <f t="shared" ref="X350:AR362" si="77">IF(AND($G350&gt;=X$3,$G350&lt;X$4),$F350,0)</f>
        <v>0</v>
      </c>
      <c r="Y350">
        <f t="shared" si="77"/>
        <v>0</v>
      </c>
      <c r="Z350">
        <f t="shared" si="77"/>
        <v>0</v>
      </c>
      <c r="AA350">
        <f t="shared" si="77"/>
        <v>0</v>
      </c>
      <c r="AB350">
        <f t="shared" si="77"/>
        <v>0</v>
      </c>
      <c r="AC350">
        <f t="shared" si="77"/>
        <v>0</v>
      </c>
      <c r="AD350">
        <f t="shared" si="77"/>
        <v>0</v>
      </c>
      <c r="AE350">
        <f t="shared" si="77"/>
        <v>0</v>
      </c>
      <c r="AF350">
        <f t="shared" si="77"/>
        <v>0</v>
      </c>
      <c r="AG350">
        <f t="shared" si="77"/>
        <v>0</v>
      </c>
      <c r="AH350">
        <f t="shared" si="77"/>
        <v>0</v>
      </c>
      <c r="AI350">
        <f t="shared" si="77"/>
        <v>0</v>
      </c>
      <c r="AJ350">
        <f t="shared" si="77"/>
        <v>0</v>
      </c>
      <c r="AK350">
        <f t="shared" si="77"/>
        <v>0</v>
      </c>
      <c r="AL350">
        <f t="shared" si="77"/>
        <v>0</v>
      </c>
      <c r="AM350">
        <f t="shared" si="77"/>
        <v>0</v>
      </c>
      <c r="AN350">
        <f t="shared" si="77"/>
        <v>0</v>
      </c>
      <c r="AO350">
        <f t="shared" si="77"/>
        <v>0</v>
      </c>
      <c r="AP350">
        <f t="shared" si="77"/>
        <v>0</v>
      </c>
      <c r="AQ350">
        <f t="shared" si="77"/>
        <v>0</v>
      </c>
      <c r="AR350">
        <f t="shared" si="77"/>
        <v>0</v>
      </c>
    </row>
    <row r="351" spans="5:44" x14ac:dyDescent="0.2">
      <c r="E351" s="1">
        <f>moment_rate!$AC351</f>
        <v>7.4493433161470389E-3</v>
      </c>
      <c r="F351" s="1">
        <f t="shared" si="73"/>
        <v>0</v>
      </c>
      <c r="G351">
        <f>moment_rate!I351-0.005</f>
        <v>3.4399999999999706</v>
      </c>
      <c r="H351" s="1">
        <f t="shared" si="74"/>
        <v>0</v>
      </c>
      <c r="I351">
        <f t="shared" ref="I351:X366" si="78">IF(AND($G351&gt;=I$3,$G351&lt;I$4),$F351,0)</f>
        <v>0</v>
      </c>
      <c r="J351">
        <f t="shared" si="78"/>
        <v>0</v>
      </c>
      <c r="K351">
        <f t="shared" si="78"/>
        <v>0</v>
      </c>
      <c r="L351">
        <f t="shared" si="78"/>
        <v>0</v>
      </c>
      <c r="M351">
        <f t="shared" si="78"/>
        <v>0</v>
      </c>
      <c r="N351">
        <f t="shared" si="78"/>
        <v>0</v>
      </c>
      <c r="O351">
        <f t="shared" si="78"/>
        <v>0</v>
      </c>
      <c r="P351">
        <f t="shared" si="78"/>
        <v>0</v>
      </c>
      <c r="Q351">
        <f t="shared" si="78"/>
        <v>0</v>
      </c>
      <c r="R351">
        <f t="shared" si="78"/>
        <v>0</v>
      </c>
      <c r="S351">
        <f t="shared" si="78"/>
        <v>0</v>
      </c>
      <c r="T351">
        <f t="shared" si="78"/>
        <v>0</v>
      </c>
      <c r="U351">
        <f t="shared" si="78"/>
        <v>0</v>
      </c>
      <c r="V351">
        <f t="shared" si="78"/>
        <v>0</v>
      </c>
      <c r="W351">
        <f t="shared" si="78"/>
        <v>0</v>
      </c>
      <c r="X351">
        <f t="shared" si="78"/>
        <v>0</v>
      </c>
      <c r="Y351">
        <f t="shared" si="77"/>
        <v>0</v>
      </c>
      <c r="Z351">
        <f t="shared" si="77"/>
        <v>0</v>
      </c>
      <c r="AA351">
        <f t="shared" si="77"/>
        <v>0</v>
      </c>
      <c r="AB351">
        <f t="shared" si="77"/>
        <v>0</v>
      </c>
      <c r="AC351">
        <f t="shared" si="77"/>
        <v>0</v>
      </c>
      <c r="AD351">
        <f t="shared" si="77"/>
        <v>0</v>
      </c>
      <c r="AE351">
        <f t="shared" si="77"/>
        <v>0</v>
      </c>
      <c r="AF351">
        <f t="shared" si="77"/>
        <v>0</v>
      </c>
      <c r="AG351">
        <f t="shared" si="77"/>
        <v>0</v>
      </c>
      <c r="AH351">
        <f t="shared" si="77"/>
        <v>0</v>
      </c>
      <c r="AI351">
        <f t="shared" si="77"/>
        <v>0</v>
      </c>
      <c r="AJ351">
        <f t="shared" si="77"/>
        <v>0</v>
      </c>
      <c r="AK351">
        <f t="shared" si="77"/>
        <v>0</v>
      </c>
      <c r="AL351">
        <f t="shared" si="77"/>
        <v>0</v>
      </c>
      <c r="AM351">
        <f t="shared" si="77"/>
        <v>0</v>
      </c>
      <c r="AN351">
        <f t="shared" si="77"/>
        <v>0</v>
      </c>
      <c r="AO351">
        <f t="shared" si="77"/>
        <v>0</v>
      </c>
      <c r="AP351">
        <f t="shared" si="77"/>
        <v>0</v>
      </c>
      <c r="AQ351">
        <f t="shared" si="77"/>
        <v>0</v>
      </c>
      <c r="AR351">
        <f t="shared" si="77"/>
        <v>0</v>
      </c>
    </row>
    <row r="352" spans="5:44" x14ac:dyDescent="0.2">
      <c r="E352" s="1">
        <f>moment_rate!$AC352</f>
        <v>7.4493433161470389E-3</v>
      </c>
      <c r="F352" s="1">
        <f t="shared" si="73"/>
        <v>0</v>
      </c>
      <c r="G352">
        <f>moment_rate!I352-0.005</f>
        <v>3.4499999999999704</v>
      </c>
      <c r="H352" s="1">
        <f t="shared" si="74"/>
        <v>0</v>
      </c>
      <c r="I352">
        <f t="shared" si="78"/>
        <v>0</v>
      </c>
      <c r="J352">
        <f t="shared" si="78"/>
        <v>0</v>
      </c>
      <c r="K352">
        <f t="shared" si="78"/>
        <v>0</v>
      </c>
      <c r="L352">
        <f t="shared" si="78"/>
        <v>0</v>
      </c>
      <c r="M352">
        <f t="shared" si="78"/>
        <v>0</v>
      </c>
      <c r="N352">
        <f t="shared" si="78"/>
        <v>0</v>
      </c>
      <c r="O352">
        <f t="shared" si="78"/>
        <v>0</v>
      </c>
      <c r="P352">
        <f t="shared" si="78"/>
        <v>0</v>
      </c>
      <c r="Q352">
        <f t="shared" si="78"/>
        <v>0</v>
      </c>
      <c r="R352">
        <f t="shared" si="78"/>
        <v>0</v>
      </c>
      <c r="S352">
        <f t="shared" si="78"/>
        <v>0</v>
      </c>
      <c r="T352">
        <f t="shared" si="78"/>
        <v>0</v>
      </c>
      <c r="U352">
        <f t="shared" si="78"/>
        <v>0</v>
      </c>
      <c r="V352">
        <f t="shared" si="78"/>
        <v>0</v>
      </c>
      <c r="W352">
        <f t="shared" si="78"/>
        <v>0</v>
      </c>
      <c r="X352">
        <f t="shared" si="78"/>
        <v>0</v>
      </c>
      <c r="Y352">
        <f t="shared" si="77"/>
        <v>0</v>
      </c>
      <c r="Z352">
        <f t="shared" si="77"/>
        <v>0</v>
      </c>
      <c r="AA352">
        <f t="shared" si="77"/>
        <v>0</v>
      </c>
      <c r="AB352">
        <f t="shared" si="77"/>
        <v>0</v>
      </c>
      <c r="AC352">
        <f t="shared" si="77"/>
        <v>0</v>
      </c>
      <c r="AD352">
        <f t="shared" si="77"/>
        <v>0</v>
      </c>
      <c r="AE352">
        <f t="shared" si="77"/>
        <v>0</v>
      </c>
      <c r="AF352">
        <f t="shared" si="77"/>
        <v>0</v>
      </c>
      <c r="AG352">
        <f t="shared" si="77"/>
        <v>0</v>
      </c>
      <c r="AH352">
        <f t="shared" si="77"/>
        <v>0</v>
      </c>
      <c r="AI352">
        <f t="shared" si="77"/>
        <v>0</v>
      </c>
      <c r="AJ352">
        <f t="shared" si="77"/>
        <v>0</v>
      </c>
      <c r="AK352">
        <f t="shared" si="77"/>
        <v>0</v>
      </c>
      <c r="AL352">
        <f t="shared" si="77"/>
        <v>0</v>
      </c>
      <c r="AM352">
        <f t="shared" si="77"/>
        <v>0</v>
      </c>
      <c r="AN352">
        <f t="shared" si="77"/>
        <v>0</v>
      </c>
      <c r="AO352">
        <f t="shared" si="77"/>
        <v>0</v>
      </c>
      <c r="AP352">
        <f t="shared" si="77"/>
        <v>0</v>
      </c>
      <c r="AQ352">
        <f t="shared" si="77"/>
        <v>0</v>
      </c>
      <c r="AR352">
        <f t="shared" si="77"/>
        <v>0</v>
      </c>
    </row>
    <row r="353" spans="5:44" x14ac:dyDescent="0.2">
      <c r="E353" s="1">
        <f>moment_rate!$AC353</f>
        <v>7.4493433161470389E-3</v>
      </c>
      <c r="F353" s="1">
        <f t="shared" si="73"/>
        <v>0</v>
      </c>
      <c r="G353">
        <f>moment_rate!I353-0.005</f>
        <v>3.4599999999999702</v>
      </c>
      <c r="H353" s="1">
        <f t="shared" si="74"/>
        <v>0</v>
      </c>
      <c r="I353">
        <f t="shared" si="78"/>
        <v>0</v>
      </c>
      <c r="J353">
        <f t="shared" si="78"/>
        <v>0</v>
      </c>
      <c r="K353">
        <f t="shared" si="78"/>
        <v>0</v>
      </c>
      <c r="L353">
        <f t="shared" si="78"/>
        <v>0</v>
      </c>
      <c r="M353">
        <f t="shared" si="78"/>
        <v>0</v>
      </c>
      <c r="N353">
        <f t="shared" si="78"/>
        <v>0</v>
      </c>
      <c r="O353">
        <f t="shared" si="78"/>
        <v>0</v>
      </c>
      <c r="P353">
        <f t="shared" si="78"/>
        <v>0</v>
      </c>
      <c r="Q353">
        <f t="shared" si="78"/>
        <v>0</v>
      </c>
      <c r="R353">
        <f t="shared" si="78"/>
        <v>0</v>
      </c>
      <c r="S353">
        <f t="shared" si="78"/>
        <v>0</v>
      </c>
      <c r="T353">
        <f t="shared" si="78"/>
        <v>0</v>
      </c>
      <c r="U353">
        <f t="shared" si="78"/>
        <v>0</v>
      </c>
      <c r="V353">
        <f t="shared" si="78"/>
        <v>0</v>
      </c>
      <c r="W353">
        <f t="shared" si="78"/>
        <v>0</v>
      </c>
      <c r="X353">
        <f t="shared" si="78"/>
        <v>0</v>
      </c>
      <c r="Y353">
        <f t="shared" si="77"/>
        <v>0</v>
      </c>
      <c r="Z353">
        <f t="shared" si="77"/>
        <v>0</v>
      </c>
      <c r="AA353">
        <f t="shared" si="77"/>
        <v>0</v>
      </c>
      <c r="AB353">
        <f t="shared" si="77"/>
        <v>0</v>
      </c>
      <c r="AC353">
        <f t="shared" si="77"/>
        <v>0</v>
      </c>
      <c r="AD353">
        <f t="shared" si="77"/>
        <v>0</v>
      </c>
      <c r="AE353">
        <f t="shared" si="77"/>
        <v>0</v>
      </c>
      <c r="AF353">
        <f t="shared" si="77"/>
        <v>0</v>
      </c>
      <c r="AG353">
        <f t="shared" si="77"/>
        <v>0</v>
      </c>
      <c r="AH353">
        <f t="shared" si="77"/>
        <v>0</v>
      </c>
      <c r="AI353">
        <f t="shared" si="77"/>
        <v>0</v>
      </c>
      <c r="AJ353">
        <f t="shared" si="77"/>
        <v>0</v>
      </c>
      <c r="AK353">
        <f t="shared" si="77"/>
        <v>0</v>
      </c>
      <c r="AL353">
        <f t="shared" si="77"/>
        <v>0</v>
      </c>
      <c r="AM353">
        <f t="shared" si="77"/>
        <v>0</v>
      </c>
      <c r="AN353">
        <f t="shared" si="77"/>
        <v>0</v>
      </c>
      <c r="AO353">
        <f t="shared" si="77"/>
        <v>0</v>
      </c>
      <c r="AP353">
        <f t="shared" si="77"/>
        <v>0</v>
      </c>
      <c r="AQ353">
        <f t="shared" si="77"/>
        <v>0</v>
      </c>
      <c r="AR353">
        <f t="shared" si="77"/>
        <v>0</v>
      </c>
    </row>
    <row r="354" spans="5:44" x14ac:dyDescent="0.2">
      <c r="E354" s="1">
        <f>moment_rate!$AC354</f>
        <v>7.4493433161470389E-3</v>
      </c>
      <c r="F354" s="1">
        <f t="shared" si="73"/>
        <v>0</v>
      </c>
      <c r="G354">
        <f>moment_rate!I354-0.005</f>
        <v>3.46999999999997</v>
      </c>
      <c r="H354" s="1">
        <f t="shared" si="74"/>
        <v>0</v>
      </c>
      <c r="I354">
        <f t="shared" si="78"/>
        <v>0</v>
      </c>
      <c r="J354">
        <f t="shared" si="78"/>
        <v>0</v>
      </c>
      <c r="K354">
        <f t="shared" si="78"/>
        <v>0</v>
      </c>
      <c r="L354">
        <f t="shared" si="78"/>
        <v>0</v>
      </c>
      <c r="M354">
        <f t="shared" si="78"/>
        <v>0</v>
      </c>
      <c r="N354">
        <f t="shared" si="78"/>
        <v>0</v>
      </c>
      <c r="O354">
        <f t="shared" si="78"/>
        <v>0</v>
      </c>
      <c r="P354">
        <f t="shared" si="78"/>
        <v>0</v>
      </c>
      <c r="Q354">
        <f t="shared" si="78"/>
        <v>0</v>
      </c>
      <c r="R354">
        <f t="shared" si="78"/>
        <v>0</v>
      </c>
      <c r="S354">
        <f t="shared" si="78"/>
        <v>0</v>
      </c>
      <c r="T354">
        <f t="shared" si="78"/>
        <v>0</v>
      </c>
      <c r="U354">
        <f t="shared" si="78"/>
        <v>0</v>
      </c>
      <c r="V354">
        <f t="shared" si="78"/>
        <v>0</v>
      </c>
      <c r="W354">
        <f t="shared" si="78"/>
        <v>0</v>
      </c>
      <c r="X354">
        <f t="shared" si="78"/>
        <v>0</v>
      </c>
      <c r="Y354">
        <f t="shared" si="77"/>
        <v>0</v>
      </c>
      <c r="Z354">
        <f t="shared" si="77"/>
        <v>0</v>
      </c>
      <c r="AA354">
        <f t="shared" si="77"/>
        <v>0</v>
      </c>
      <c r="AB354">
        <f t="shared" si="77"/>
        <v>0</v>
      </c>
      <c r="AC354">
        <f t="shared" si="77"/>
        <v>0</v>
      </c>
      <c r="AD354">
        <f t="shared" si="77"/>
        <v>0</v>
      </c>
      <c r="AE354">
        <f t="shared" si="77"/>
        <v>0</v>
      </c>
      <c r="AF354">
        <f t="shared" si="77"/>
        <v>0</v>
      </c>
      <c r="AG354">
        <f t="shared" si="77"/>
        <v>0</v>
      </c>
      <c r="AH354">
        <f t="shared" si="77"/>
        <v>0</v>
      </c>
      <c r="AI354">
        <f t="shared" si="77"/>
        <v>0</v>
      </c>
      <c r="AJ354">
        <f t="shared" si="77"/>
        <v>0</v>
      </c>
      <c r="AK354">
        <f t="shared" si="77"/>
        <v>0</v>
      </c>
      <c r="AL354">
        <f t="shared" si="77"/>
        <v>0</v>
      </c>
      <c r="AM354">
        <f t="shared" si="77"/>
        <v>0</v>
      </c>
      <c r="AN354">
        <f t="shared" si="77"/>
        <v>0</v>
      </c>
      <c r="AO354">
        <f t="shared" si="77"/>
        <v>0</v>
      </c>
      <c r="AP354">
        <f t="shared" si="77"/>
        <v>0</v>
      </c>
      <c r="AQ354">
        <f t="shared" si="77"/>
        <v>0</v>
      </c>
      <c r="AR354">
        <f t="shared" si="77"/>
        <v>0</v>
      </c>
    </row>
    <row r="355" spans="5:44" x14ac:dyDescent="0.2">
      <c r="E355" s="1">
        <f>moment_rate!$AC355</f>
        <v>7.4493433161470389E-3</v>
      </c>
      <c r="F355" s="1">
        <f t="shared" si="73"/>
        <v>0</v>
      </c>
      <c r="G355">
        <f>moment_rate!I355-0.005</f>
        <v>3.4799999999999698</v>
      </c>
      <c r="H355" s="1">
        <f t="shared" si="74"/>
        <v>0</v>
      </c>
      <c r="I355">
        <f t="shared" si="78"/>
        <v>0</v>
      </c>
      <c r="J355">
        <f t="shared" si="78"/>
        <v>0</v>
      </c>
      <c r="K355">
        <f t="shared" si="78"/>
        <v>0</v>
      </c>
      <c r="L355">
        <f t="shared" si="78"/>
        <v>0</v>
      </c>
      <c r="M355">
        <f t="shared" si="78"/>
        <v>0</v>
      </c>
      <c r="N355">
        <f t="shared" si="78"/>
        <v>0</v>
      </c>
      <c r="O355">
        <f t="shared" si="78"/>
        <v>0</v>
      </c>
      <c r="P355">
        <f t="shared" si="78"/>
        <v>0</v>
      </c>
      <c r="Q355">
        <f t="shared" si="78"/>
        <v>0</v>
      </c>
      <c r="R355">
        <f t="shared" si="78"/>
        <v>0</v>
      </c>
      <c r="S355">
        <f t="shared" si="78"/>
        <v>0</v>
      </c>
      <c r="T355">
        <f t="shared" si="78"/>
        <v>0</v>
      </c>
      <c r="U355">
        <f t="shared" si="78"/>
        <v>0</v>
      </c>
      <c r="V355">
        <f t="shared" si="78"/>
        <v>0</v>
      </c>
      <c r="W355">
        <f t="shared" si="78"/>
        <v>0</v>
      </c>
      <c r="X355">
        <f t="shared" si="78"/>
        <v>0</v>
      </c>
      <c r="Y355">
        <f t="shared" si="77"/>
        <v>0</v>
      </c>
      <c r="Z355">
        <f t="shared" si="77"/>
        <v>0</v>
      </c>
      <c r="AA355">
        <f t="shared" si="77"/>
        <v>0</v>
      </c>
      <c r="AB355">
        <f t="shared" si="77"/>
        <v>0</v>
      </c>
      <c r="AC355">
        <f t="shared" si="77"/>
        <v>0</v>
      </c>
      <c r="AD355">
        <f t="shared" si="77"/>
        <v>0</v>
      </c>
      <c r="AE355">
        <f t="shared" si="77"/>
        <v>0</v>
      </c>
      <c r="AF355">
        <f t="shared" si="77"/>
        <v>0</v>
      </c>
      <c r="AG355">
        <f t="shared" si="77"/>
        <v>0</v>
      </c>
      <c r="AH355">
        <f t="shared" si="77"/>
        <v>0</v>
      </c>
      <c r="AI355">
        <f t="shared" si="77"/>
        <v>0</v>
      </c>
      <c r="AJ355">
        <f t="shared" si="77"/>
        <v>0</v>
      </c>
      <c r="AK355">
        <f t="shared" si="77"/>
        <v>0</v>
      </c>
      <c r="AL355">
        <f t="shared" si="77"/>
        <v>0</v>
      </c>
      <c r="AM355">
        <f t="shared" si="77"/>
        <v>0</v>
      </c>
      <c r="AN355">
        <f t="shared" si="77"/>
        <v>0</v>
      </c>
      <c r="AO355">
        <f t="shared" si="77"/>
        <v>0</v>
      </c>
      <c r="AP355">
        <f t="shared" si="77"/>
        <v>0</v>
      </c>
      <c r="AQ355">
        <f t="shared" si="77"/>
        <v>0</v>
      </c>
      <c r="AR355">
        <f t="shared" si="77"/>
        <v>0</v>
      </c>
    </row>
    <row r="356" spans="5:44" x14ac:dyDescent="0.2">
      <c r="E356" s="1">
        <f>moment_rate!$AC356</f>
        <v>7.4493433161470389E-3</v>
      </c>
      <c r="F356" s="1">
        <f t="shared" si="73"/>
        <v>0</v>
      </c>
      <c r="G356">
        <f>moment_rate!I356-0.005</f>
        <v>3.4899999999999696</v>
      </c>
      <c r="H356" s="1">
        <f t="shared" si="74"/>
        <v>0</v>
      </c>
      <c r="I356">
        <f t="shared" si="78"/>
        <v>0</v>
      </c>
      <c r="J356">
        <f t="shared" si="78"/>
        <v>0</v>
      </c>
      <c r="K356">
        <f t="shared" si="78"/>
        <v>0</v>
      </c>
      <c r="L356">
        <f t="shared" si="78"/>
        <v>0</v>
      </c>
      <c r="M356">
        <f t="shared" si="78"/>
        <v>0</v>
      </c>
      <c r="N356">
        <f t="shared" si="78"/>
        <v>0</v>
      </c>
      <c r="O356">
        <f t="shared" si="78"/>
        <v>0</v>
      </c>
      <c r="P356">
        <f t="shared" si="78"/>
        <v>0</v>
      </c>
      <c r="Q356">
        <f t="shared" si="78"/>
        <v>0</v>
      </c>
      <c r="R356">
        <f t="shared" si="78"/>
        <v>0</v>
      </c>
      <c r="S356">
        <f t="shared" si="78"/>
        <v>0</v>
      </c>
      <c r="T356">
        <f t="shared" si="78"/>
        <v>0</v>
      </c>
      <c r="U356">
        <f t="shared" si="78"/>
        <v>0</v>
      </c>
      <c r="V356">
        <f t="shared" si="78"/>
        <v>0</v>
      </c>
      <c r="W356">
        <f t="shared" si="78"/>
        <v>0</v>
      </c>
      <c r="X356">
        <f t="shared" si="78"/>
        <v>0</v>
      </c>
      <c r="Y356">
        <f t="shared" si="77"/>
        <v>0</v>
      </c>
      <c r="Z356">
        <f t="shared" si="77"/>
        <v>0</v>
      </c>
      <c r="AA356">
        <f t="shared" si="77"/>
        <v>0</v>
      </c>
      <c r="AB356">
        <f t="shared" si="77"/>
        <v>0</v>
      </c>
      <c r="AC356">
        <f t="shared" si="77"/>
        <v>0</v>
      </c>
      <c r="AD356">
        <f t="shared" si="77"/>
        <v>0</v>
      </c>
      <c r="AE356">
        <f t="shared" si="77"/>
        <v>0</v>
      </c>
      <c r="AF356">
        <f t="shared" si="77"/>
        <v>0</v>
      </c>
      <c r="AG356">
        <f t="shared" si="77"/>
        <v>0</v>
      </c>
      <c r="AH356">
        <f t="shared" si="77"/>
        <v>0</v>
      </c>
      <c r="AI356">
        <f t="shared" si="77"/>
        <v>0</v>
      </c>
      <c r="AJ356">
        <f t="shared" si="77"/>
        <v>0</v>
      </c>
      <c r="AK356">
        <f t="shared" si="77"/>
        <v>0</v>
      </c>
      <c r="AL356">
        <f t="shared" si="77"/>
        <v>0</v>
      </c>
      <c r="AM356">
        <f t="shared" si="77"/>
        <v>0</v>
      </c>
      <c r="AN356">
        <f t="shared" si="77"/>
        <v>0</v>
      </c>
      <c r="AO356">
        <f t="shared" si="77"/>
        <v>0</v>
      </c>
      <c r="AP356">
        <f t="shared" si="77"/>
        <v>0</v>
      </c>
      <c r="AQ356">
        <f t="shared" si="77"/>
        <v>0</v>
      </c>
      <c r="AR356">
        <f t="shared" si="77"/>
        <v>0</v>
      </c>
    </row>
    <row r="357" spans="5:44" x14ac:dyDescent="0.2">
      <c r="E357" s="1">
        <f>moment_rate!$AC357</f>
        <v>7.4493433161470389E-3</v>
      </c>
      <c r="F357" s="1">
        <f t="shared" si="73"/>
        <v>0</v>
      </c>
      <c r="G357">
        <f>moment_rate!I357-0.005</f>
        <v>3.4999999999999694</v>
      </c>
      <c r="H357" s="1">
        <f t="shared" si="74"/>
        <v>0</v>
      </c>
      <c r="I357">
        <f t="shared" si="78"/>
        <v>0</v>
      </c>
      <c r="J357">
        <f t="shared" si="78"/>
        <v>0</v>
      </c>
      <c r="K357">
        <f t="shared" si="78"/>
        <v>0</v>
      </c>
      <c r="L357">
        <f t="shared" si="78"/>
        <v>0</v>
      </c>
      <c r="M357">
        <f t="shared" si="78"/>
        <v>0</v>
      </c>
      <c r="N357">
        <f t="shared" si="78"/>
        <v>0</v>
      </c>
      <c r="O357">
        <f t="shared" si="78"/>
        <v>0</v>
      </c>
      <c r="P357">
        <f t="shared" si="78"/>
        <v>0</v>
      </c>
      <c r="Q357">
        <f t="shared" si="78"/>
        <v>0</v>
      </c>
      <c r="R357">
        <f t="shared" si="78"/>
        <v>0</v>
      </c>
      <c r="S357">
        <f t="shared" si="78"/>
        <v>0</v>
      </c>
      <c r="T357">
        <f t="shared" si="78"/>
        <v>0</v>
      </c>
      <c r="U357">
        <f t="shared" si="78"/>
        <v>0</v>
      </c>
      <c r="V357">
        <f t="shared" si="78"/>
        <v>0</v>
      </c>
      <c r="W357">
        <f t="shared" si="78"/>
        <v>0</v>
      </c>
      <c r="X357">
        <f t="shared" si="78"/>
        <v>0</v>
      </c>
      <c r="Y357">
        <f t="shared" si="77"/>
        <v>0</v>
      </c>
      <c r="Z357">
        <f t="shared" si="77"/>
        <v>0</v>
      </c>
      <c r="AA357">
        <f t="shared" si="77"/>
        <v>0</v>
      </c>
      <c r="AB357">
        <f t="shared" si="77"/>
        <v>0</v>
      </c>
      <c r="AC357">
        <f t="shared" si="77"/>
        <v>0</v>
      </c>
      <c r="AD357">
        <f t="shared" si="77"/>
        <v>0</v>
      </c>
      <c r="AE357">
        <f t="shared" si="77"/>
        <v>0</v>
      </c>
      <c r="AF357">
        <f t="shared" si="77"/>
        <v>0</v>
      </c>
      <c r="AG357">
        <f t="shared" si="77"/>
        <v>0</v>
      </c>
      <c r="AH357">
        <f t="shared" si="77"/>
        <v>0</v>
      </c>
      <c r="AI357">
        <f t="shared" si="77"/>
        <v>0</v>
      </c>
      <c r="AJ357">
        <f t="shared" si="77"/>
        <v>0</v>
      </c>
      <c r="AK357">
        <f t="shared" si="77"/>
        <v>0</v>
      </c>
      <c r="AL357">
        <f t="shared" si="77"/>
        <v>0</v>
      </c>
      <c r="AM357">
        <f t="shared" si="77"/>
        <v>0</v>
      </c>
      <c r="AN357">
        <f t="shared" si="77"/>
        <v>0</v>
      </c>
      <c r="AO357">
        <f t="shared" si="77"/>
        <v>0</v>
      </c>
      <c r="AP357">
        <f t="shared" si="77"/>
        <v>0</v>
      </c>
      <c r="AQ357">
        <f t="shared" si="77"/>
        <v>0</v>
      </c>
      <c r="AR357">
        <f t="shared" si="77"/>
        <v>0</v>
      </c>
    </row>
    <row r="358" spans="5:44" x14ac:dyDescent="0.2">
      <c r="E358" s="1">
        <f>moment_rate!$AC358</f>
        <v>7.4493433161470389E-3</v>
      </c>
      <c r="F358" s="1">
        <f t="shared" si="73"/>
        <v>0</v>
      </c>
      <c r="G358">
        <f>moment_rate!I358-0.005</f>
        <v>3.5099999999999691</v>
      </c>
      <c r="H358" s="1">
        <f t="shared" si="74"/>
        <v>0</v>
      </c>
      <c r="I358">
        <f t="shared" si="78"/>
        <v>0</v>
      </c>
      <c r="J358">
        <f t="shared" si="78"/>
        <v>0</v>
      </c>
      <c r="K358">
        <f t="shared" si="78"/>
        <v>0</v>
      </c>
      <c r="L358">
        <f t="shared" si="78"/>
        <v>0</v>
      </c>
      <c r="M358">
        <f t="shared" si="78"/>
        <v>0</v>
      </c>
      <c r="N358">
        <f t="shared" si="78"/>
        <v>0</v>
      </c>
      <c r="O358">
        <f t="shared" si="78"/>
        <v>0</v>
      </c>
      <c r="P358">
        <f t="shared" si="78"/>
        <v>0</v>
      </c>
      <c r="Q358">
        <f t="shared" si="78"/>
        <v>0</v>
      </c>
      <c r="R358">
        <f t="shared" si="78"/>
        <v>0</v>
      </c>
      <c r="S358">
        <f t="shared" si="78"/>
        <v>0</v>
      </c>
      <c r="T358">
        <f t="shared" si="78"/>
        <v>0</v>
      </c>
      <c r="U358">
        <f t="shared" si="78"/>
        <v>0</v>
      </c>
      <c r="V358">
        <f t="shared" si="78"/>
        <v>0</v>
      </c>
      <c r="W358">
        <f t="shared" si="78"/>
        <v>0</v>
      </c>
      <c r="X358">
        <f t="shared" si="78"/>
        <v>0</v>
      </c>
      <c r="Y358">
        <f t="shared" si="77"/>
        <v>0</v>
      </c>
      <c r="Z358">
        <f t="shared" si="77"/>
        <v>0</v>
      </c>
      <c r="AA358">
        <f t="shared" si="77"/>
        <v>0</v>
      </c>
      <c r="AB358">
        <f t="shared" si="77"/>
        <v>0</v>
      </c>
      <c r="AC358">
        <f t="shared" si="77"/>
        <v>0</v>
      </c>
      <c r="AD358">
        <f t="shared" si="77"/>
        <v>0</v>
      </c>
      <c r="AE358">
        <f t="shared" si="77"/>
        <v>0</v>
      </c>
      <c r="AF358">
        <f t="shared" si="77"/>
        <v>0</v>
      </c>
      <c r="AG358">
        <f t="shared" si="77"/>
        <v>0</v>
      </c>
      <c r="AH358">
        <f t="shared" si="77"/>
        <v>0</v>
      </c>
      <c r="AI358">
        <f t="shared" si="77"/>
        <v>0</v>
      </c>
      <c r="AJ358">
        <f t="shared" si="77"/>
        <v>0</v>
      </c>
      <c r="AK358">
        <f t="shared" si="77"/>
        <v>0</v>
      </c>
      <c r="AL358">
        <f t="shared" si="77"/>
        <v>0</v>
      </c>
      <c r="AM358">
        <f t="shared" si="77"/>
        <v>0</v>
      </c>
      <c r="AN358">
        <f t="shared" si="77"/>
        <v>0</v>
      </c>
      <c r="AO358">
        <f t="shared" si="77"/>
        <v>0</v>
      </c>
      <c r="AP358">
        <f t="shared" si="77"/>
        <v>0</v>
      </c>
      <c r="AQ358">
        <f t="shared" si="77"/>
        <v>0</v>
      </c>
      <c r="AR358">
        <f t="shared" si="77"/>
        <v>0</v>
      </c>
    </row>
    <row r="359" spans="5:44" x14ac:dyDescent="0.2">
      <c r="E359" s="1">
        <f>moment_rate!$AC359</f>
        <v>7.4493433161470389E-3</v>
      </c>
      <c r="F359" s="1">
        <f t="shared" si="73"/>
        <v>0</v>
      </c>
      <c r="G359">
        <f>moment_rate!I359-0.005</f>
        <v>3.5199999999999689</v>
      </c>
      <c r="H359" s="1">
        <f t="shared" si="74"/>
        <v>0</v>
      </c>
      <c r="I359">
        <f t="shared" si="78"/>
        <v>0</v>
      </c>
      <c r="J359">
        <f t="shared" si="78"/>
        <v>0</v>
      </c>
      <c r="K359">
        <f t="shared" si="78"/>
        <v>0</v>
      </c>
      <c r="L359">
        <f t="shared" si="78"/>
        <v>0</v>
      </c>
      <c r="M359">
        <f t="shared" si="78"/>
        <v>0</v>
      </c>
      <c r="N359">
        <f t="shared" si="78"/>
        <v>0</v>
      </c>
      <c r="O359">
        <f t="shared" si="78"/>
        <v>0</v>
      </c>
      <c r="P359">
        <f t="shared" si="78"/>
        <v>0</v>
      </c>
      <c r="Q359">
        <f t="shared" si="78"/>
        <v>0</v>
      </c>
      <c r="R359">
        <f t="shared" si="78"/>
        <v>0</v>
      </c>
      <c r="S359">
        <f t="shared" si="78"/>
        <v>0</v>
      </c>
      <c r="T359">
        <f t="shared" si="78"/>
        <v>0</v>
      </c>
      <c r="U359">
        <f t="shared" si="78"/>
        <v>0</v>
      </c>
      <c r="V359">
        <f t="shared" si="78"/>
        <v>0</v>
      </c>
      <c r="W359">
        <f t="shared" si="78"/>
        <v>0</v>
      </c>
      <c r="X359">
        <f t="shared" si="78"/>
        <v>0</v>
      </c>
      <c r="Y359">
        <f t="shared" si="77"/>
        <v>0</v>
      </c>
      <c r="Z359">
        <f t="shared" si="77"/>
        <v>0</v>
      </c>
      <c r="AA359">
        <f t="shared" si="77"/>
        <v>0</v>
      </c>
      <c r="AB359">
        <f t="shared" si="77"/>
        <v>0</v>
      </c>
      <c r="AC359">
        <f t="shared" si="77"/>
        <v>0</v>
      </c>
      <c r="AD359">
        <f t="shared" si="77"/>
        <v>0</v>
      </c>
      <c r="AE359">
        <f t="shared" si="77"/>
        <v>0</v>
      </c>
      <c r="AF359">
        <f t="shared" si="77"/>
        <v>0</v>
      </c>
      <c r="AG359">
        <f t="shared" si="77"/>
        <v>0</v>
      </c>
      <c r="AH359">
        <f t="shared" si="77"/>
        <v>0</v>
      </c>
      <c r="AI359">
        <f t="shared" si="77"/>
        <v>0</v>
      </c>
      <c r="AJ359">
        <f t="shared" si="77"/>
        <v>0</v>
      </c>
      <c r="AK359">
        <f t="shared" si="77"/>
        <v>0</v>
      </c>
      <c r="AL359">
        <f t="shared" si="77"/>
        <v>0</v>
      </c>
      <c r="AM359">
        <f t="shared" si="77"/>
        <v>0</v>
      </c>
      <c r="AN359">
        <f t="shared" si="77"/>
        <v>0</v>
      </c>
      <c r="AO359">
        <f t="shared" si="77"/>
        <v>0</v>
      </c>
      <c r="AP359">
        <f t="shared" si="77"/>
        <v>0</v>
      </c>
      <c r="AQ359">
        <f t="shared" si="77"/>
        <v>0</v>
      </c>
      <c r="AR359">
        <f t="shared" si="77"/>
        <v>0</v>
      </c>
    </row>
    <row r="360" spans="5:44" x14ac:dyDescent="0.2">
      <c r="E360" s="1">
        <f>moment_rate!$AC360</f>
        <v>7.4493433161470389E-3</v>
      </c>
      <c r="F360" s="1">
        <f t="shared" si="73"/>
        <v>0</v>
      </c>
      <c r="G360">
        <f>moment_rate!I360-0.005</f>
        <v>3.5299999999999687</v>
      </c>
      <c r="H360" s="1">
        <f t="shared" si="74"/>
        <v>0</v>
      </c>
      <c r="I360">
        <f t="shared" si="78"/>
        <v>0</v>
      </c>
      <c r="J360">
        <f t="shared" si="78"/>
        <v>0</v>
      </c>
      <c r="K360">
        <f t="shared" si="78"/>
        <v>0</v>
      </c>
      <c r="L360">
        <f t="shared" si="78"/>
        <v>0</v>
      </c>
      <c r="M360">
        <f t="shared" si="78"/>
        <v>0</v>
      </c>
      <c r="N360">
        <f t="shared" si="78"/>
        <v>0</v>
      </c>
      <c r="O360">
        <f t="shared" si="78"/>
        <v>0</v>
      </c>
      <c r="P360">
        <f t="shared" si="78"/>
        <v>0</v>
      </c>
      <c r="Q360">
        <f t="shared" si="78"/>
        <v>0</v>
      </c>
      <c r="R360">
        <f t="shared" si="78"/>
        <v>0</v>
      </c>
      <c r="S360">
        <f t="shared" si="78"/>
        <v>0</v>
      </c>
      <c r="T360">
        <f t="shared" si="78"/>
        <v>0</v>
      </c>
      <c r="U360">
        <f t="shared" si="78"/>
        <v>0</v>
      </c>
      <c r="V360">
        <f t="shared" si="78"/>
        <v>0</v>
      </c>
      <c r="W360">
        <f t="shared" si="78"/>
        <v>0</v>
      </c>
      <c r="X360">
        <f t="shared" si="78"/>
        <v>0</v>
      </c>
      <c r="Y360">
        <f t="shared" si="77"/>
        <v>0</v>
      </c>
      <c r="Z360">
        <f t="shared" si="77"/>
        <v>0</v>
      </c>
      <c r="AA360">
        <f t="shared" si="77"/>
        <v>0</v>
      </c>
      <c r="AB360">
        <f t="shared" si="77"/>
        <v>0</v>
      </c>
      <c r="AC360">
        <f t="shared" si="77"/>
        <v>0</v>
      </c>
      <c r="AD360">
        <f t="shared" si="77"/>
        <v>0</v>
      </c>
      <c r="AE360">
        <f t="shared" si="77"/>
        <v>0</v>
      </c>
      <c r="AF360">
        <f t="shared" si="77"/>
        <v>0</v>
      </c>
      <c r="AG360">
        <f t="shared" si="77"/>
        <v>0</v>
      </c>
      <c r="AH360">
        <f t="shared" si="77"/>
        <v>0</v>
      </c>
      <c r="AI360">
        <f t="shared" si="77"/>
        <v>0</v>
      </c>
      <c r="AJ360">
        <f t="shared" si="77"/>
        <v>0</v>
      </c>
      <c r="AK360">
        <f t="shared" si="77"/>
        <v>0</v>
      </c>
      <c r="AL360">
        <f t="shared" si="77"/>
        <v>0</v>
      </c>
      <c r="AM360">
        <f t="shared" si="77"/>
        <v>0</v>
      </c>
      <c r="AN360">
        <f t="shared" si="77"/>
        <v>0</v>
      </c>
      <c r="AO360">
        <f t="shared" si="77"/>
        <v>0</v>
      </c>
      <c r="AP360">
        <f t="shared" si="77"/>
        <v>0</v>
      </c>
      <c r="AQ360">
        <f t="shared" si="77"/>
        <v>0</v>
      </c>
      <c r="AR360">
        <f t="shared" si="77"/>
        <v>0</v>
      </c>
    </row>
    <row r="361" spans="5:44" x14ac:dyDescent="0.2">
      <c r="E361" s="1">
        <f>moment_rate!$AC361</f>
        <v>7.4493433161470389E-3</v>
      </c>
      <c r="F361" s="1">
        <f t="shared" si="73"/>
        <v>0</v>
      </c>
      <c r="G361">
        <f>moment_rate!I361-0.005</f>
        <v>3.5399999999999685</v>
      </c>
      <c r="H361" s="1">
        <f t="shared" si="74"/>
        <v>0</v>
      </c>
      <c r="I361">
        <f t="shared" si="78"/>
        <v>0</v>
      </c>
      <c r="J361">
        <f t="shared" si="78"/>
        <v>0</v>
      </c>
      <c r="K361">
        <f t="shared" si="78"/>
        <v>0</v>
      </c>
      <c r="L361">
        <f t="shared" si="78"/>
        <v>0</v>
      </c>
      <c r="M361">
        <f t="shared" si="78"/>
        <v>0</v>
      </c>
      <c r="N361">
        <f t="shared" si="78"/>
        <v>0</v>
      </c>
      <c r="O361">
        <f t="shared" si="78"/>
        <v>0</v>
      </c>
      <c r="P361">
        <f t="shared" si="78"/>
        <v>0</v>
      </c>
      <c r="Q361">
        <f t="shared" si="78"/>
        <v>0</v>
      </c>
      <c r="R361">
        <f t="shared" si="78"/>
        <v>0</v>
      </c>
      <c r="S361">
        <f t="shared" si="78"/>
        <v>0</v>
      </c>
      <c r="T361">
        <f t="shared" si="78"/>
        <v>0</v>
      </c>
      <c r="U361">
        <f t="shared" si="78"/>
        <v>0</v>
      </c>
      <c r="V361">
        <f t="shared" si="78"/>
        <v>0</v>
      </c>
      <c r="W361">
        <f t="shared" si="78"/>
        <v>0</v>
      </c>
      <c r="X361">
        <f t="shared" si="78"/>
        <v>0</v>
      </c>
      <c r="Y361">
        <f t="shared" si="77"/>
        <v>0</v>
      </c>
      <c r="Z361">
        <f t="shared" si="77"/>
        <v>0</v>
      </c>
      <c r="AA361">
        <f t="shared" si="77"/>
        <v>0</v>
      </c>
      <c r="AB361">
        <f t="shared" si="77"/>
        <v>0</v>
      </c>
      <c r="AC361">
        <f t="shared" si="77"/>
        <v>0</v>
      </c>
      <c r="AD361">
        <f t="shared" si="77"/>
        <v>0</v>
      </c>
      <c r="AE361">
        <f t="shared" si="77"/>
        <v>0</v>
      </c>
      <c r="AF361">
        <f t="shared" si="77"/>
        <v>0</v>
      </c>
      <c r="AG361">
        <f t="shared" si="77"/>
        <v>0</v>
      </c>
      <c r="AH361">
        <f t="shared" si="77"/>
        <v>0</v>
      </c>
      <c r="AI361">
        <f t="shared" si="77"/>
        <v>0</v>
      </c>
      <c r="AJ361">
        <f t="shared" si="77"/>
        <v>0</v>
      </c>
      <c r="AK361">
        <f t="shared" si="77"/>
        <v>0</v>
      </c>
      <c r="AL361">
        <f t="shared" si="77"/>
        <v>0</v>
      </c>
      <c r="AM361">
        <f t="shared" si="77"/>
        <v>0</v>
      </c>
      <c r="AN361">
        <f t="shared" si="77"/>
        <v>0</v>
      </c>
      <c r="AO361">
        <f t="shared" si="77"/>
        <v>0</v>
      </c>
      <c r="AP361">
        <f t="shared" si="77"/>
        <v>0</v>
      </c>
      <c r="AQ361">
        <f t="shared" si="77"/>
        <v>0</v>
      </c>
      <c r="AR361">
        <f t="shared" si="77"/>
        <v>0</v>
      </c>
    </row>
    <row r="362" spans="5:44" x14ac:dyDescent="0.2">
      <c r="E362" s="1">
        <f>moment_rate!$AC362</f>
        <v>7.4493433161470389E-3</v>
      </c>
      <c r="F362" s="1">
        <f t="shared" si="73"/>
        <v>0</v>
      </c>
      <c r="G362">
        <f>moment_rate!I362-0.005</f>
        <v>3.5499999999999683</v>
      </c>
      <c r="H362" s="1">
        <f t="shared" si="74"/>
        <v>0</v>
      </c>
      <c r="I362">
        <f t="shared" si="78"/>
        <v>0</v>
      </c>
      <c r="J362">
        <f t="shared" si="78"/>
        <v>0</v>
      </c>
      <c r="K362">
        <f t="shared" si="78"/>
        <v>0</v>
      </c>
      <c r="L362">
        <f t="shared" si="78"/>
        <v>0</v>
      </c>
      <c r="M362">
        <f t="shared" si="78"/>
        <v>0</v>
      </c>
      <c r="N362">
        <f t="shared" si="78"/>
        <v>0</v>
      </c>
      <c r="O362">
        <f t="shared" si="78"/>
        <v>0</v>
      </c>
      <c r="P362">
        <f t="shared" si="78"/>
        <v>0</v>
      </c>
      <c r="Q362">
        <f t="shared" si="78"/>
        <v>0</v>
      </c>
      <c r="R362">
        <f t="shared" si="78"/>
        <v>0</v>
      </c>
      <c r="S362">
        <f t="shared" si="78"/>
        <v>0</v>
      </c>
      <c r="T362">
        <f t="shared" si="78"/>
        <v>0</v>
      </c>
      <c r="U362">
        <f t="shared" si="78"/>
        <v>0</v>
      </c>
      <c r="V362">
        <f t="shared" si="78"/>
        <v>0</v>
      </c>
      <c r="W362">
        <f t="shared" si="78"/>
        <v>0</v>
      </c>
      <c r="X362">
        <f t="shared" si="78"/>
        <v>0</v>
      </c>
      <c r="Y362">
        <f t="shared" si="77"/>
        <v>0</v>
      </c>
      <c r="Z362">
        <f t="shared" si="77"/>
        <v>0</v>
      </c>
      <c r="AA362">
        <f t="shared" si="77"/>
        <v>0</v>
      </c>
      <c r="AB362">
        <f t="shared" si="77"/>
        <v>0</v>
      </c>
      <c r="AC362">
        <f t="shared" si="77"/>
        <v>0</v>
      </c>
      <c r="AD362">
        <f t="shared" si="77"/>
        <v>0</v>
      </c>
      <c r="AE362">
        <f t="shared" si="77"/>
        <v>0</v>
      </c>
      <c r="AF362">
        <f t="shared" si="77"/>
        <v>0</v>
      </c>
      <c r="AG362">
        <f t="shared" si="77"/>
        <v>0</v>
      </c>
      <c r="AH362">
        <f t="shared" si="77"/>
        <v>0</v>
      </c>
      <c r="AI362">
        <f t="shared" si="77"/>
        <v>0</v>
      </c>
      <c r="AJ362">
        <f t="shared" si="77"/>
        <v>0</v>
      </c>
      <c r="AK362">
        <f t="shared" si="77"/>
        <v>0</v>
      </c>
      <c r="AL362">
        <f t="shared" si="77"/>
        <v>0</v>
      </c>
      <c r="AM362">
        <f t="shared" ref="AK362:AR397" si="79">IF(AND($G362&gt;=AM$3,$G362&lt;AM$4),$F362,0)</f>
        <v>0</v>
      </c>
      <c r="AN362">
        <f t="shared" si="79"/>
        <v>0</v>
      </c>
      <c r="AO362">
        <f t="shared" si="79"/>
        <v>0</v>
      </c>
      <c r="AP362">
        <f t="shared" si="79"/>
        <v>0</v>
      </c>
      <c r="AQ362">
        <f t="shared" si="79"/>
        <v>0</v>
      </c>
      <c r="AR362">
        <f t="shared" si="79"/>
        <v>0</v>
      </c>
    </row>
    <row r="363" spans="5:44" x14ac:dyDescent="0.2">
      <c r="E363" s="1">
        <f>moment_rate!$AC363</f>
        <v>7.4493433161470389E-3</v>
      </c>
      <c r="F363" s="1">
        <f t="shared" si="73"/>
        <v>0</v>
      </c>
      <c r="G363">
        <f>moment_rate!I363-0.005</f>
        <v>3.5599999999999681</v>
      </c>
      <c r="H363" s="1">
        <f t="shared" si="74"/>
        <v>0</v>
      </c>
      <c r="I363">
        <f t="shared" si="78"/>
        <v>0</v>
      </c>
      <c r="J363">
        <f t="shared" si="78"/>
        <v>0</v>
      </c>
      <c r="K363">
        <f t="shared" si="78"/>
        <v>0</v>
      </c>
      <c r="L363">
        <f t="shared" si="78"/>
        <v>0</v>
      </c>
      <c r="M363">
        <f t="shared" si="78"/>
        <v>0</v>
      </c>
      <c r="N363">
        <f t="shared" si="78"/>
        <v>0</v>
      </c>
      <c r="O363">
        <f t="shared" si="78"/>
        <v>0</v>
      </c>
      <c r="P363">
        <f t="shared" si="78"/>
        <v>0</v>
      </c>
      <c r="Q363">
        <f t="shared" si="78"/>
        <v>0</v>
      </c>
      <c r="R363">
        <f t="shared" si="78"/>
        <v>0</v>
      </c>
      <c r="S363">
        <f t="shared" si="78"/>
        <v>0</v>
      </c>
      <c r="T363">
        <f t="shared" si="78"/>
        <v>0</v>
      </c>
      <c r="U363">
        <f t="shared" si="78"/>
        <v>0</v>
      </c>
      <c r="V363">
        <f t="shared" si="78"/>
        <v>0</v>
      </c>
      <c r="W363">
        <f t="shared" si="78"/>
        <v>0</v>
      </c>
      <c r="X363">
        <f t="shared" si="78"/>
        <v>0</v>
      </c>
      <c r="Y363">
        <f t="shared" ref="Y363:AJ375" si="80">IF(AND($G363&gt;=Y$3,$G363&lt;Y$4),$F363,0)</f>
        <v>0</v>
      </c>
      <c r="Z363">
        <f t="shared" si="80"/>
        <v>0</v>
      </c>
      <c r="AA363">
        <f t="shared" si="80"/>
        <v>0</v>
      </c>
      <c r="AB363">
        <f t="shared" si="80"/>
        <v>0</v>
      </c>
      <c r="AC363">
        <f t="shared" si="80"/>
        <v>0</v>
      </c>
      <c r="AD363">
        <f t="shared" si="80"/>
        <v>0</v>
      </c>
      <c r="AE363">
        <f t="shared" si="80"/>
        <v>0</v>
      </c>
      <c r="AF363">
        <f t="shared" si="80"/>
        <v>0</v>
      </c>
      <c r="AG363">
        <f t="shared" si="80"/>
        <v>0</v>
      </c>
      <c r="AH363">
        <f t="shared" si="80"/>
        <v>0</v>
      </c>
      <c r="AI363">
        <f t="shared" si="80"/>
        <v>0</v>
      </c>
      <c r="AJ363">
        <f t="shared" si="80"/>
        <v>0</v>
      </c>
      <c r="AK363">
        <f t="shared" si="79"/>
        <v>0</v>
      </c>
      <c r="AL363">
        <f t="shared" si="79"/>
        <v>0</v>
      </c>
      <c r="AM363">
        <f t="shared" si="79"/>
        <v>0</v>
      </c>
      <c r="AN363">
        <f t="shared" si="79"/>
        <v>0</v>
      </c>
      <c r="AO363">
        <f t="shared" si="79"/>
        <v>0</v>
      </c>
      <c r="AP363">
        <f t="shared" si="79"/>
        <v>0</v>
      </c>
      <c r="AQ363">
        <f t="shared" si="79"/>
        <v>0</v>
      </c>
      <c r="AR363">
        <f t="shared" si="79"/>
        <v>0</v>
      </c>
    </row>
    <row r="364" spans="5:44" x14ac:dyDescent="0.2">
      <c r="E364" s="1">
        <f>moment_rate!$AC364</f>
        <v>7.4493433161470389E-3</v>
      </c>
      <c r="F364" s="1">
        <f t="shared" si="73"/>
        <v>0</v>
      </c>
      <c r="G364">
        <f>moment_rate!I364-0.005</f>
        <v>3.5699999999999679</v>
      </c>
      <c r="H364" s="1">
        <f t="shared" si="74"/>
        <v>0</v>
      </c>
      <c r="I364">
        <f t="shared" si="78"/>
        <v>0</v>
      </c>
      <c r="J364">
        <f t="shared" si="78"/>
        <v>0</v>
      </c>
      <c r="K364">
        <f t="shared" si="78"/>
        <v>0</v>
      </c>
      <c r="L364">
        <f t="shared" si="78"/>
        <v>0</v>
      </c>
      <c r="M364">
        <f t="shared" si="78"/>
        <v>0</v>
      </c>
      <c r="N364">
        <f t="shared" si="78"/>
        <v>0</v>
      </c>
      <c r="O364">
        <f t="shared" si="78"/>
        <v>0</v>
      </c>
      <c r="P364">
        <f t="shared" si="78"/>
        <v>0</v>
      </c>
      <c r="Q364">
        <f t="shared" si="78"/>
        <v>0</v>
      </c>
      <c r="R364">
        <f t="shared" si="78"/>
        <v>0</v>
      </c>
      <c r="S364">
        <f t="shared" si="78"/>
        <v>0</v>
      </c>
      <c r="T364">
        <f t="shared" si="78"/>
        <v>0</v>
      </c>
      <c r="U364">
        <f t="shared" si="78"/>
        <v>0</v>
      </c>
      <c r="V364">
        <f t="shared" si="78"/>
        <v>0</v>
      </c>
      <c r="W364">
        <f t="shared" si="78"/>
        <v>0</v>
      </c>
      <c r="X364">
        <f t="shared" si="78"/>
        <v>0</v>
      </c>
      <c r="Y364">
        <f t="shared" si="80"/>
        <v>0</v>
      </c>
      <c r="Z364">
        <f t="shared" si="80"/>
        <v>0</v>
      </c>
      <c r="AA364">
        <f t="shared" si="80"/>
        <v>0</v>
      </c>
      <c r="AB364">
        <f t="shared" si="80"/>
        <v>0</v>
      </c>
      <c r="AC364">
        <f t="shared" si="80"/>
        <v>0</v>
      </c>
      <c r="AD364">
        <f t="shared" si="80"/>
        <v>0</v>
      </c>
      <c r="AE364">
        <f t="shared" si="80"/>
        <v>0</v>
      </c>
      <c r="AF364">
        <f t="shared" si="80"/>
        <v>0</v>
      </c>
      <c r="AG364">
        <f t="shared" si="80"/>
        <v>0</v>
      </c>
      <c r="AH364">
        <f t="shared" si="80"/>
        <v>0</v>
      </c>
      <c r="AI364">
        <f t="shared" si="80"/>
        <v>0</v>
      </c>
      <c r="AJ364">
        <f t="shared" si="80"/>
        <v>0</v>
      </c>
      <c r="AK364">
        <f t="shared" si="79"/>
        <v>0</v>
      </c>
      <c r="AL364">
        <f t="shared" si="79"/>
        <v>0</v>
      </c>
      <c r="AM364">
        <f t="shared" si="79"/>
        <v>0</v>
      </c>
      <c r="AN364">
        <f t="shared" si="79"/>
        <v>0</v>
      </c>
      <c r="AO364">
        <f t="shared" si="79"/>
        <v>0</v>
      </c>
      <c r="AP364">
        <f t="shared" si="79"/>
        <v>0</v>
      </c>
      <c r="AQ364">
        <f t="shared" si="79"/>
        <v>0</v>
      </c>
      <c r="AR364">
        <f t="shared" si="79"/>
        <v>0</v>
      </c>
    </row>
    <row r="365" spans="5:44" x14ac:dyDescent="0.2">
      <c r="E365" s="1">
        <f>moment_rate!$AC365</f>
        <v>7.4493433161470389E-3</v>
      </c>
      <c r="F365" s="1">
        <f t="shared" si="73"/>
        <v>0</v>
      </c>
      <c r="G365">
        <f>moment_rate!I365-0.005</f>
        <v>3.5799999999999677</v>
      </c>
      <c r="H365" s="1">
        <f t="shared" si="74"/>
        <v>0</v>
      </c>
      <c r="I365">
        <f t="shared" si="78"/>
        <v>0</v>
      </c>
      <c r="J365">
        <f t="shared" si="78"/>
        <v>0</v>
      </c>
      <c r="K365">
        <f t="shared" si="78"/>
        <v>0</v>
      </c>
      <c r="L365">
        <f t="shared" si="78"/>
        <v>0</v>
      </c>
      <c r="M365">
        <f t="shared" si="78"/>
        <v>0</v>
      </c>
      <c r="N365">
        <f t="shared" si="78"/>
        <v>0</v>
      </c>
      <c r="O365">
        <f t="shared" si="78"/>
        <v>0</v>
      </c>
      <c r="P365">
        <f t="shared" si="78"/>
        <v>0</v>
      </c>
      <c r="Q365">
        <f t="shared" si="78"/>
        <v>0</v>
      </c>
      <c r="R365">
        <f t="shared" si="78"/>
        <v>0</v>
      </c>
      <c r="S365">
        <f t="shared" si="78"/>
        <v>0</v>
      </c>
      <c r="T365">
        <f t="shared" si="78"/>
        <v>0</v>
      </c>
      <c r="U365">
        <f t="shared" si="78"/>
        <v>0</v>
      </c>
      <c r="V365">
        <f t="shared" si="78"/>
        <v>0</v>
      </c>
      <c r="W365">
        <f t="shared" si="78"/>
        <v>0</v>
      </c>
      <c r="X365">
        <f t="shared" si="78"/>
        <v>0</v>
      </c>
      <c r="Y365">
        <f t="shared" si="80"/>
        <v>0</v>
      </c>
      <c r="Z365">
        <f t="shared" si="80"/>
        <v>0</v>
      </c>
      <c r="AA365">
        <f t="shared" si="80"/>
        <v>0</v>
      </c>
      <c r="AB365">
        <f t="shared" si="80"/>
        <v>0</v>
      </c>
      <c r="AC365">
        <f t="shared" si="80"/>
        <v>0</v>
      </c>
      <c r="AD365">
        <f t="shared" si="80"/>
        <v>0</v>
      </c>
      <c r="AE365">
        <f t="shared" si="80"/>
        <v>0</v>
      </c>
      <c r="AF365">
        <f t="shared" si="80"/>
        <v>0</v>
      </c>
      <c r="AG365">
        <f t="shared" si="80"/>
        <v>0</v>
      </c>
      <c r="AH365">
        <f t="shared" si="80"/>
        <v>0</v>
      </c>
      <c r="AI365">
        <f t="shared" si="80"/>
        <v>0</v>
      </c>
      <c r="AJ365">
        <f t="shared" si="80"/>
        <v>0</v>
      </c>
      <c r="AK365">
        <f t="shared" si="79"/>
        <v>0</v>
      </c>
      <c r="AL365">
        <f t="shared" si="79"/>
        <v>0</v>
      </c>
      <c r="AM365">
        <f t="shared" si="79"/>
        <v>0</v>
      </c>
      <c r="AN365">
        <f t="shared" si="79"/>
        <v>0</v>
      </c>
      <c r="AO365">
        <f t="shared" si="79"/>
        <v>0</v>
      </c>
      <c r="AP365">
        <f t="shared" si="79"/>
        <v>0</v>
      </c>
      <c r="AQ365">
        <f t="shared" si="79"/>
        <v>0</v>
      </c>
      <c r="AR365">
        <f t="shared" si="79"/>
        <v>0</v>
      </c>
    </row>
    <row r="366" spans="5:44" x14ac:dyDescent="0.2">
      <c r="E366" s="1">
        <f>moment_rate!$AC366</f>
        <v>7.4493433161470389E-3</v>
      </c>
      <c r="F366" s="1">
        <f t="shared" si="73"/>
        <v>0</v>
      </c>
      <c r="G366">
        <f>moment_rate!I366-0.005</f>
        <v>3.5899999999999674</v>
      </c>
      <c r="H366" s="1">
        <f t="shared" si="74"/>
        <v>0</v>
      </c>
      <c r="I366">
        <f t="shared" si="78"/>
        <v>0</v>
      </c>
      <c r="J366">
        <f t="shared" si="78"/>
        <v>0</v>
      </c>
      <c r="K366">
        <f t="shared" si="78"/>
        <v>0</v>
      </c>
      <c r="L366">
        <f t="shared" si="78"/>
        <v>0</v>
      </c>
      <c r="M366">
        <f t="shared" si="78"/>
        <v>0</v>
      </c>
      <c r="N366">
        <f t="shared" si="78"/>
        <v>0</v>
      </c>
      <c r="O366">
        <f t="shared" si="78"/>
        <v>0</v>
      </c>
      <c r="P366">
        <f t="shared" si="78"/>
        <v>0</v>
      </c>
      <c r="Q366">
        <f t="shared" si="78"/>
        <v>0</v>
      </c>
      <c r="R366">
        <f t="shared" si="78"/>
        <v>0</v>
      </c>
      <c r="S366">
        <f t="shared" si="78"/>
        <v>0</v>
      </c>
      <c r="T366">
        <f t="shared" si="78"/>
        <v>0</v>
      </c>
      <c r="U366">
        <f t="shared" si="78"/>
        <v>0</v>
      </c>
      <c r="V366">
        <f t="shared" si="78"/>
        <v>0</v>
      </c>
      <c r="W366">
        <f t="shared" si="78"/>
        <v>0</v>
      </c>
      <c r="X366">
        <f>IF(AND($G366&gt;=X$3,$G366&lt;X$4),$F366,0)</f>
        <v>0</v>
      </c>
      <c r="Y366">
        <f>IF(AND($G366&gt;=Y$3,$G366&lt;Y$4),$F366,0)</f>
        <v>0</v>
      </c>
      <c r="Z366">
        <f t="shared" si="80"/>
        <v>0</v>
      </c>
      <c r="AA366">
        <f t="shared" si="80"/>
        <v>0</v>
      </c>
      <c r="AB366">
        <f t="shared" si="80"/>
        <v>0</v>
      </c>
      <c r="AC366">
        <f t="shared" si="80"/>
        <v>0</v>
      </c>
      <c r="AD366">
        <f t="shared" si="80"/>
        <v>0</v>
      </c>
      <c r="AE366">
        <f t="shared" si="80"/>
        <v>0</v>
      </c>
      <c r="AF366">
        <f t="shared" si="80"/>
        <v>0</v>
      </c>
      <c r="AG366">
        <f t="shared" si="80"/>
        <v>0</v>
      </c>
      <c r="AH366">
        <f t="shared" si="80"/>
        <v>0</v>
      </c>
      <c r="AI366">
        <f t="shared" si="80"/>
        <v>0</v>
      </c>
      <c r="AJ366">
        <f t="shared" si="80"/>
        <v>0</v>
      </c>
      <c r="AK366">
        <f t="shared" si="79"/>
        <v>0</v>
      </c>
      <c r="AL366">
        <f t="shared" si="79"/>
        <v>0</v>
      </c>
      <c r="AM366">
        <f t="shared" si="79"/>
        <v>0</v>
      </c>
      <c r="AN366">
        <f t="shared" si="79"/>
        <v>0</v>
      </c>
      <c r="AO366">
        <f t="shared" si="79"/>
        <v>0</v>
      </c>
      <c r="AP366">
        <f t="shared" si="79"/>
        <v>0</v>
      </c>
      <c r="AQ366">
        <f t="shared" si="79"/>
        <v>0</v>
      </c>
      <c r="AR366">
        <f t="shared" si="79"/>
        <v>0</v>
      </c>
    </row>
    <row r="367" spans="5:44" x14ac:dyDescent="0.2">
      <c r="E367" s="1">
        <f>moment_rate!$AC367</f>
        <v>7.4493433161470389E-3</v>
      </c>
      <c r="F367" s="1">
        <f t="shared" si="73"/>
        <v>0</v>
      </c>
      <c r="G367">
        <f>moment_rate!I367-0.005</f>
        <v>3.5999999999999672</v>
      </c>
      <c r="H367" s="1">
        <f t="shared" si="74"/>
        <v>0</v>
      </c>
      <c r="I367">
        <f t="shared" ref="I367:X382" si="81">IF(AND($G367&gt;=I$3,$G367&lt;I$4),$F367,0)</f>
        <v>0</v>
      </c>
      <c r="J367">
        <f t="shared" si="81"/>
        <v>0</v>
      </c>
      <c r="K367">
        <f t="shared" si="81"/>
        <v>0</v>
      </c>
      <c r="L367">
        <f t="shared" si="81"/>
        <v>0</v>
      </c>
      <c r="M367">
        <f t="shared" si="81"/>
        <v>0</v>
      </c>
      <c r="N367">
        <f t="shared" si="81"/>
        <v>0</v>
      </c>
      <c r="O367">
        <f t="shared" si="81"/>
        <v>0</v>
      </c>
      <c r="P367">
        <f t="shared" si="81"/>
        <v>0</v>
      </c>
      <c r="Q367">
        <f t="shared" si="81"/>
        <v>0</v>
      </c>
      <c r="R367">
        <f t="shared" si="81"/>
        <v>0</v>
      </c>
      <c r="S367">
        <f t="shared" si="81"/>
        <v>0</v>
      </c>
      <c r="T367">
        <f t="shared" si="81"/>
        <v>0</v>
      </c>
      <c r="U367">
        <f t="shared" si="81"/>
        <v>0</v>
      </c>
      <c r="V367">
        <f t="shared" si="81"/>
        <v>0</v>
      </c>
      <c r="W367">
        <f t="shared" si="81"/>
        <v>0</v>
      </c>
      <c r="X367">
        <f t="shared" si="81"/>
        <v>0</v>
      </c>
      <c r="Y367">
        <f t="shared" ref="Y367:Y381" si="82">IF(AND($G367&gt;=Y$3,$G367&lt;Y$4),$F367,0)</f>
        <v>0</v>
      </c>
      <c r="Z367">
        <f t="shared" si="80"/>
        <v>0</v>
      </c>
      <c r="AA367">
        <f t="shared" si="80"/>
        <v>0</v>
      </c>
      <c r="AB367">
        <f t="shared" si="80"/>
        <v>0</v>
      </c>
      <c r="AC367">
        <f t="shared" si="80"/>
        <v>0</v>
      </c>
      <c r="AD367">
        <f t="shared" si="80"/>
        <v>0</v>
      </c>
      <c r="AE367">
        <f t="shared" si="80"/>
        <v>0</v>
      </c>
      <c r="AF367">
        <f t="shared" si="80"/>
        <v>0</v>
      </c>
      <c r="AG367">
        <f t="shared" si="80"/>
        <v>0</v>
      </c>
      <c r="AH367">
        <f t="shared" si="80"/>
        <v>0</v>
      </c>
      <c r="AI367">
        <f t="shared" si="80"/>
        <v>0</v>
      </c>
      <c r="AJ367">
        <f t="shared" si="80"/>
        <v>0</v>
      </c>
      <c r="AK367">
        <f t="shared" si="79"/>
        <v>0</v>
      </c>
      <c r="AL367">
        <f t="shared" si="79"/>
        <v>0</v>
      </c>
      <c r="AM367">
        <f t="shared" si="79"/>
        <v>0</v>
      </c>
      <c r="AN367">
        <f t="shared" si="79"/>
        <v>0</v>
      </c>
      <c r="AO367">
        <f t="shared" si="79"/>
        <v>0</v>
      </c>
      <c r="AP367">
        <f t="shared" si="79"/>
        <v>0</v>
      </c>
      <c r="AQ367">
        <f t="shared" si="79"/>
        <v>0</v>
      </c>
      <c r="AR367">
        <f t="shared" si="79"/>
        <v>0</v>
      </c>
    </row>
    <row r="368" spans="5:44" x14ac:dyDescent="0.2">
      <c r="E368" s="1">
        <f>moment_rate!$AC368</f>
        <v>7.4493433161470389E-3</v>
      </c>
      <c r="F368" s="1">
        <f t="shared" si="73"/>
        <v>0</v>
      </c>
      <c r="G368">
        <f>moment_rate!I368-0.005</f>
        <v>3.609999999999967</v>
      </c>
      <c r="H368" s="1">
        <f t="shared" si="74"/>
        <v>0</v>
      </c>
      <c r="I368">
        <f t="shared" si="81"/>
        <v>0</v>
      </c>
      <c r="J368">
        <f t="shared" si="81"/>
        <v>0</v>
      </c>
      <c r="K368">
        <f t="shared" si="81"/>
        <v>0</v>
      </c>
      <c r="L368">
        <f t="shared" si="81"/>
        <v>0</v>
      </c>
      <c r="M368">
        <f t="shared" si="81"/>
        <v>0</v>
      </c>
      <c r="N368">
        <f t="shared" si="81"/>
        <v>0</v>
      </c>
      <c r="O368">
        <f t="shared" si="81"/>
        <v>0</v>
      </c>
      <c r="P368">
        <f t="shared" si="81"/>
        <v>0</v>
      </c>
      <c r="Q368">
        <f t="shared" si="81"/>
        <v>0</v>
      </c>
      <c r="R368">
        <f t="shared" si="81"/>
        <v>0</v>
      </c>
      <c r="S368">
        <f t="shared" si="81"/>
        <v>0</v>
      </c>
      <c r="T368">
        <f t="shared" si="81"/>
        <v>0</v>
      </c>
      <c r="U368">
        <f t="shared" si="81"/>
        <v>0</v>
      </c>
      <c r="V368">
        <f t="shared" si="81"/>
        <v>0</v>
      </c>
      <c r="W368">
        <f t="shared" si="81"/>
        <v>0</v>
      </c>
      <c r="X368">
        <f t="shared" si="81"/>
        <v>0</v>
      </c>
      <c r="Y368">
        <f t="shared" si="82"/>
        <v>0</v>
      </c>
      <c r="Z368">
        <f t="shared" si="80"/>
        <v>0</v>
      </c>
      <c r="AA368">
        <f t="shared" si="80"/>
        <v>0</v>
      </c>
      <c r="AB368">
        <f t="shared" si="80"/>
        <v>0</v>
      </c>
      <c r="AC368">
        <f t="shared" si="80"/>
        <v>0</v>
      </c>
      <c r="AD368">
        <f t="shared" si="80"/>
        <v>0</v>
      </c>
      <c r="AE368">
        <f t="shared" si="80"/>
        <v>0</v>
      </c>
      <c r="AF368">
        <f t="shared" si="80"/>
        <v>0</v>
      </c>
      <c r="AG368">
        <f t="shared" si="80"/>
        <v>0</v>
      </c>
      <c r="AH368">
        <f t="shared" si="80"/>
        <v>0</v>
      </c>
      <c r="AI368">
        <f t="shared" si="80"/>
        <v>0</v>
      </c>
      <c r="AJ368">
        <f t="shared" si="80"/>
        <v>0</v>
      </c>
      <c r="AK368">
        <f t="shared" si="79"/>
        <v>0</v>
      </c>
      <c r="AL368">
        <f t="shared" si="79"/>
        <v>0</v>
      </c>
      <c r="AM368">
        <f t="shared" si="79"/>
        <v>0</v>
      </c>
      <c r="AN368">
        <f t="shared" si="79"/>
        <v>0</v>
      </c>
      <c r="AO368">
        <f t="shared" si="79"/>
        <v>0</v>
      </c>
      <c r="AP368">
        <f t="shared" si="79"/>
        <v>0</v>
      </c>
      <c r="AQ368">
        <f t="shared" si="79"/>
        <v>0</v>
      </c>
      <c r="AR368">
        <f t="shared" si="79"/>
        <v>0</v>
      </c>
    </row>
    <row r="369" spans="5:44" x14ac:dyDescent="0.2">
      <c r="E369" s="1">
        <f>moment_rate!$AC369</f>
        <v>7.4493433161470389E-3</v>
      </c>
      <c r="F369" s="1">
        <f t="shared" si="73"/>
        <v>0</v>
      </c>
      <c r="G369">
        <f>moment_rate!I369-0.005</f>
        <v>3.6199999999999668</v>
      </c>
      <c r="H369" s="1">
        <f t="shared" si="74"/>
        <v>0</v>
      </c>
      <c r="I369">
        <f t="shared" si="81"/>
        <v>0</v>
      </c>
      <c r="J369">
        <f t="shared" si="81"/>
        <v>0</v>
      </c>
      <c r="K369">
        <f t="shared" si="81"/>
        <v>0</v>
      </c>
      <c r="L369">
        <f t="shared" si="81"/>
        <v>0</v>
      </c>
      <c r="M369">
        <f t="shared" si="81"/>
        <v>0</v>
      </c>
      <c r="N369">
        <f t="shared" si="81"/>
        <v>0</v>
      </c>
      <c r="O369">
        <f t="shared" si="81"/>
        <v>0</v>
      </c>
      <c r="P369">
        <f t="shared" si="81"/>
        <v>0</v>
      </c>
      <c r="Q369">
        <f t="shared" si="81"/>
        <v>0</v>
      </c>
      <c r="R369">
        <f t="shared" si="81"/>
        <v>0</v>
      </c>
      <c r="S369">
        <f t="shared" si="81"/>
        <v>0</v>
      </c>
      <c r="T369">
        <f t="shared" si="81"/>
        <v>0</v>
      </c>
      <c r="U369">
        <f t="shared" si="81"/>
        <v>0</v>
      </c>
      <c r="V369">
        <f t="shared" si="81"/>
        <v>0</v>
      </c>
      <c r="W369">
        <f t="shared" si="81"/>
        <v>0</v>
      </c>
      <c r="X369">
        <f t="shared" si="81"/>
        <v>0</v>
      </c>
      <c r="Y369">
        <f t="shared" si="82"/>
        <v>0</v>
      </c>
      <c r="Z369">
        <f t="shared" si="80"/>
        <v>0</v>
      </c>
      <c r="AA369">
        <f t="shared" si="80"/>
        <v>0</v>
      </c>
      <c r="AB369">
        <f t="shared" si="80"/>
        <v>0</v>
      </c>
      <c r="AC369">
        <f t="shared" si="80"/>
        <v>0</v>
      </c>
      <c r="AD369">
        <f t="shared" si="80"/>
        <v>0</v>
      </c>
      <c r="AE369">
        <f t="shared" si="80"/>
        <v>0</v>
      </c>
      <c r="AF369">
        <f t="shared" si="80"/>
        <v>0</v>
      </c>
      <c r="AG369">
        <f t="shared" si="80"/>
        <v>0</v>
      </c>
      <c r="AH369">
        <f t="shared" si="80"/>
        <v>0</v>
      </c>
      <c r="AI369">
        <f t="shared" si="80"/>
        <v>0</v>
      </c>
      <c r="AJ369">
        <f t="shared" si="80"/>
        <v>0</v>
      </c>
      <c r="AK369">
        <f t="shared" si="79"/>
        <v>0</v>
      </c>
      <c r="AL369">
        <f t="shared" si="79"/>
        <v>0</v>
      </c>
      <c r="AM369">
        <f t="shared" si="79"/>
        <v>0</v>
      </c>
      <c r="AN369">
        <f t="shared" si="79"/>
        <v>0</v>
      </c>
      <c r="AO369">
        <f t="shared" si="79"/>
        <v>0</v>
      </c>
      <c r="AP369">
        <f t="shared" si="79"/>
        <v>0</v>
      </c>
      <c r="AQ369">
        <f t="shared" si="79"/>
        <v>0</v>
      </c>
      <c r="AR369">
        <f t="shared" si="79"/>
        <v>0</v>
      </c>
    </row>
    <row r="370" spans="5:44" x14ac:dyDescent="0.2">
      <c r="E370" s="1">
        <f>moment_rate!$AC370</f>
        <v>7.4493433161470389E-3</v>
      </c>
      <c r="F370" s="1">
        <f t="shared" si="73"/>
        <v>0</v>
      </c>
      <c r="G370">
        <f>moment_rate!I370-0.005</f>
        <v>3.6299999999999666</v>
      </c>
      <c r="H370" s="1">
        <f t="shared" si="74"/>
        <v>0</v>
      </c>
      <c r="I370">
        <f t="shared" si="81"/>
        <v>0</v>
      </c>
      <c r="J370">
        <f t="shared" si="81"/>
        <v>0</v>
      </c>
      <c r="K370">
        <f t="shared" si="81"/>
        <v>0</v>
      </c>
      <c r="L370">
        <f t="shared" si="81"/>
        <v>0</v>
      </c>
      <c r="M370">
        <f t="shared" si="81"/>
        <v>0</v>
      </c>
      <c r="N370">
        <f t="shared" si="81"/>
        <v>0</v>
      </c>
      <c r="O370">
        <f t="shared" si="81"/>
        <v>0</v>
      </c>
      <c r="P370">
        <f t="shared" si="81"/>
        <v>0</v>
      </c>
      <c r="Q370">
        <f t="shared" si="81"/>
        <v>0</v>
      </c>
      <c r="R370">
        <f t="shared" si="81"/>
        <v>0</v>
      </c>
      <c r="S370">
        <f t="shared" si="81"/>
        <v>0</v>
      </c>
      <c r="T370">
        <f t="shared" si="81"/>
        <v>0</v>
      </c>
      <c r="U370">
        <f t="shared" si="81"/>
        <v>0</v>
      </c>
      <c r="V370">
        <f t="shared" si="81"/>
        <v>0</v>
      </c>
      <c r="W370">
        <f t="shared" si="81"/>
        <v>0</v>
      </c>
      <c r="X370">
        <f t="shared" si="81"/>
        <v>0</v>
      </c>
      <c r="Y370">
        <f t="shared" si="82"/>
        <v>0</v>
      </c>
      <c r="Z370">
        <f t="shared" si="80"/>
        <v>0</v>
      </c>
      <c r="AA370">
        <f t="shared" si="80"/>
        <v>0</v>
      </c>
      <c r="AB370">
        <f t="shared" si="80"/>
        <v>0</v>
      </c>
      <c r="AC370">
        <f t="shared" si="80"/>
        <v>0</v>
      </c>
      <c r="AD370">
        <f t="shared" si="80"/>
        <v>0</v>
      </c>
      <c r="AE370">
        <f t="shared" si="80"/>
        <v>0</v>
      </c>
      <c r="AF370">
        <f t="shared" si="80"/>
        <v>0</v>
      </c>
      <c r="AG370">
        <f t="shared" si="80"/>
        <v>0</v>
      </c>
      <c r="AH370">
        <f t="shared" si="80"/>
        <v>0</v>
      </c>
      <c r="AI370">
        <f t="shared" si="80"/>
        <v>0</v>
      </c>
      <c r="AJ370">
        <f t="shared" si="80"/>
        <v>0</v>
      </c>
      <c r="AK370">
        <f t="shared" si="79"/>
        <v>0</v>
      </c>
      <c r="AL370">
        <f t="shared" si="79"/>
        <v>0</v>
      </c>
      <c r="AM370">
        <f t="shared" si="79"/>
        <v>0</v>
      </c>
      <c r="AN370">
        <f t="shared" si="79"/>
        <v>0</v>
      </c>
      <c r="AO370">
        <f t="shared" si="79"/>
        <v>0</v>
      </c>
      <c r="AP370">
        <f t="shared" si="79"/>
        <v>0</v>
      </c>
      <c r="AQ370">
        <f t="shared" si="79"/>
        <v>0</v>
      </c>
      <c r="AR370">
        <f t="shared" si="79"/>
        <v>0</v>
      </c>
    </row>
    <row r="371" spans="5:44" x14ac:dyDescent="0.2">
      <c r="E371" s="1">
        <f>moment_rate!$AC371</f>
        <v>7.4493433161470389E-3</v>
      </c>
      <c r="F371" s="1">
        <f t="shared" si="73"/>
        <v>0</v>
      </c>
      <c r="G371">
        <f>moment_rate!I371-0.005</f>
        <v>3.6399999999999664</v>
      </c>
      <c r="H371" s="1">
        <f t="shared" si="74"/>
        <v>0</v>
      </c>
      <c r="I371">
        <f t="shared" si="81"/>
        <v>0</v>
      </c>
      <c r="J371">
        <f t="shared" si="81"/>
        <v>0</v>
      </c>
      <c r="K371">
        <f t="shared" si="81"/>
        <v>0</v>
      </c>
      <c r="L371">
        <f t="shared" si="81"/>
        <v>0</v>
      </c>
      <c r="M371">
        <f t="shared" si="81"/>
        <v>0</v>
      </c>
      <c r="N371">
        <f t="shared" si="81"/>
        <v>0</v>
      </c>
      <c r="O371">
        <f t="shared" si="81"/>
        <v>0</v>
      </c>
      <c r="P371">
        <f t="shared" si="81"/>
        <v>0</v>
      </c>
      <c r="Q371">
        <f t="shared" si="81"/>
        <v>0</v>
      </c>
      <c r="R371">
        <f t="shared" si="81"/>
        <v>0</v>
      </c>
      <c r="S371">
        <f t="shared" si="81"/>
        <v>0</v>
      </c>
      <c r="T371">
        <f t="shared" si="81"/>
        <v>0</v>
      </c>
      <c r="U371">
        <f t="shared" si="81"/>
        <v>0</v>
      </c>
      <c r="V371">
        <f t="shared" si="81"/>
        <v>0</v>
      </c>
      <c r="W371">
        <f t="shared" si="81"/>
        <v>0</v>
      </c>
      <c r="X371">
        <f t="shared" si="81"/>
        <v>0</v>
      </c>
      <c r="Y371">
        <f t="shared" si="82"/>
        <v>0</v>
      </c>
      <c r="Z371">
        <f t="shared" si="80"/>
        <v>0</v>
      </c>
      <c r="AA371">
        <f t="shared" si="80"/>
        <v>0</v>
      </c>
      <c r="AB371">
        <f t="shared" si="80"/>
        <v>0</v>
      </c>
      <c r="AC371">
        <f t="shared" si="80"/>
        <v>0</v>
      </c>
      <c r="AD371">
        <f t="shared" si="80"/>
        <v>0</v>
      </c>
      <c r="AE371">
        <f t="shared" si="80"/>
        <v>0</v>
      </c>
      <c r="AF371">
        <f t="shared" si="80"/>
        <v>0</v>
      </c>
      <c r="AG371">
        <f t="shared" si="80"/>
        <v>0</v>
      </c>
      <c r="AH371">
        <f t="shared" si="80"/>
        <v>0</v>
      </c>
      <c r="AI371">
        <f t="shared" si="80"/>
        <v>0</v>
      </c>
      <c r="AJ371">
        <f t="shared" si="80"/>
        <v>0</v>
      </c>
      <c r="AK371">
        <f t="shared" si="79"/>
        <v>0</v>
      </c>
      <c r="AL371">
        <f t="shared" si="79"/>
        <v>0</v>
      </c>
      <c r="AM371">
        <f t="shared" si="79"/>
        <v>0</v>
      </c>
      <c r="AN371">
        <f t="shared" si="79"/>
        <v>0</v>
      </c>
      <c r="AO371">
        <f t="shared" si="79"/>
        <v>0</v>
      </c>
      <c r="AP371">
        <f t="shared" si="79"/>
        <v>0</v>
      </c>
      <c r="AQ371">
        <f t="shared" si="79"/>
        <v>0</v>
      </c>
      <c r="AR371">
        <f t="shared" si="79"/>
        <v>0</v>
      </c>
    </row>
    <row r="372" spans="5:44" x14ac:dyDescent="0.2">
      <c r="E372" s="1">
        <f>moment_rate!$AC372</f>
        <v>7.4493433161470389E-3</v>
      </c>
      <c r="F372" s="1">
        <f t="shared" si="73"/>
        <v>0</v>
      </c>
      <c r="G372">
        <f>moment_rate!I372-0.005</f>
        <v>3.6499999999999662</v>
      </c>
      <c r="H372" s="1">
        <f t="shared" si="74"/>
        <v>0</v>
      </c>
      <c r="I372">
        <f t="shared" si="81"/>
        <v>0</v>
      </c>
      <c r="J372">
        <f t="shared" si="81"/>
        <v>0</v>
      </c>
      <c r="K372">
        <f t="shared" si="81"/>
        <v>0</v>
      </c>
      <c r="L372">
        <f t="shared" si="81"/>
        <v>0</v>
      </c>
      <c r="M372">
        <f t="shared" si="81"/>
        <v>0</v>
      </c>
      <c r="N372">
        <f t="shared" si="81"/>
        <v>0</v>
      </c>
      <c r="O372">
        <f t="shared" si="81"/>
        <v>0</v>
      </c>
      <c r="P372">
        <f t="shared" si="81"/>
        <v>0</v>
      </c>
      <c r="Q372">
        <f t="shared" si="81"/>
        <v>0</v>
      </c>
      <c r="R372">
        <f t="shared" si="81"/>
        <v>0</v>
      </c>
      <c r="S372">
        <f t="shared" si="81"/>
        <v>0</v>
      </c>
      <c r="T372">
        <f t="shared" si="81"/>
        <v>0</v>
      </c>
      <c r="U372">
        <f t="shared" si="81"/>
        <v>0</v>
      </c>
      <c r="V372">
        <f t="shared" si="81"/>
        <v>0</v>
      </c>
      <c r="W372">
        <f t="shared" si="81"/>
        <v>0</v>
      </c>
      <c r="X372">
        <f t="shared" si="81"/>
        <v>0</v>
      </c>
      <c r="Y372">
        <f t="shared" si="82"/>
        <v>0</v>
      </c>
      <c r="Z372">
        <f t="shared" si="80"/>
        <v>0</v>
      </c>
      <c r="AA372">
        <f t="shared" si="80"/>
        <v>0</v>
      </c>
      <c r="AB372">
        <f t="shared" si="80"/>
        <v>0</v>
      </c>
      <c r="AC372">
        <f t="shared" si="80"/>
        <v>0</v>
      </c>
      <c r="AD372">
        <f t="shared" si="80"/>
        <v>0</v>
      </c>
      <c r="AE372">
        <f t="shared" si="80"/>
        <v>0</v>
      </c>
      <c r="AF372">
        <f t="shared" si="80"/>
        <v>0</v>
      </c>
      <c r="AG372">
        <f t="shared" si="80"/>
        <v>0</v>
      </c>
      <c r="AH372">
        <f t="shared" si="80"/>
        <v>0</v>
      </c>
      <c r="AI372">
        <f t="shared" si="80"/>
        <v>0</v>
      </c>
      <c r="AJ372">
        <f t="shared" si="80"/>
        <v>0</v>
      </c>
      <c r="AK372">
        <f t="shared" si="79"/>
        <v>0</v>
      </c>
      <c r="AL372">
        <f t="shared" si="79"/>
        <v>0</v>
      </c>
      <c r="AM372">
        <f t="shared" si="79"/>
        <v>0</v>
      </c>
      <c r="AN372">
        <f t="shared" si="79"/>
        <v>0</v>
      </c>
      <c r="AO372">
        <f t="shared" si="79"/>
        <v>0</v>
      </c>
      <c r="AP372">
        <f t="shared" si="79"/>
        <v>0</v>
      </c>
      <c r="AQ372">
        <f t="shared" si="79"/>
        <v>0</v>
      </c>
      <c r="AR372">
        <f t="shared" si="79"/>
        <v>0</v>
      </c>
    </row>
    <row r="373" spans="5:44" x14ac:dyDescent="0.2">
      <c r="E373" s="1">
        <f>moment_rate!$AC373</f>
        <v>7.4493433161470389E-3</v>
      </c>
      <c r="F373" s="1">
        <f t="shared" si="73"/>
        <v>0</v>
      </c>
      <c r="G373">
        <f>moment_rate!I373-0.005</f>
        <v>3.6599999999999659</v>
      </c>
      <c r="H373" s="1">
        <f t="shared" si="74"/>
        <v>0</v>
      </c>
      <c r="I373">
        <f t="shared" si="81"/>
        <v>0</v>
      </c>
      <c r="J373">
        <f t="shared" si="81"/>
        <v>0</v>
      </c>
      <c r="K373">
        <f t="shared" si="81"/>
        <v>0</v>
      </c>
      <c r="L373">
        <f t="shared" si="81"/>
        <v>0</v>
      </c>
      <c r="M373">
        <f t="shared" si="81"/>
        <v>0</v>
      </c>
      <c r="N373">
        <f t="shared" si="81"/>
        <v>0</v>
      </c>
      <c r="O373">
        <f t="shared" si="81"/>
        <v>0</v>
      </c>
      <c r="P373">
        <f t="shared" si="81"/>
        <v>0</v>
      </c>
      <c r="Q373">
        <f t="shared" si="81"/>
        <v>0</v>
      </c>
      <c r="R373">
        <f t="shared" si="81"/>
        <v>0</v>
      </c>
      <c r="S373">
        <f t="shared" si="81"/>
        <v>0</v>
      </c>
      <c r="T373">
        <f t="shared" si="81"/>
        <v>0</v>
      </c>
      <c r="U373">
        <f t="shared" si="81"/>
        <v>0</v>
      </c>
      <c r="V373">
        <f t="shared" si="81"/>
        <v>0</v>
      </c>
      <c r="W373">
        <f t="shared" si="81"/>
        <v>0</v>
      </c>
      <c r="X373">
        <f t="shared" si="81"/>
        <v>0</v>
      </c>
      <c r="Y373">
        <f t="shared" si="82"/>
        <v>0</v>
      </c>
      <c r="Z373">
        <f t="shared" si="80"/>
        <v>0</v>
      </c>
      <c r="AA373">
        <f t="shared" si="80"/>
        <v>0</v>
      </c>
      <c r="AB373">
        <f t="shared" si="80"/>
        <v>0</v>
      </c>
      <c r="AC373">
        <f t="shared" si="80"/>
        <v>0</v>
      </c>
      <c r="AD373">
        <f t="shared" si="80"/>
        <v>0</v>
      </c>
      <c r="AE373">
        <f t="shared" si="80"/>
        <v>0</v>
      </c>
      <c r="AF373">
        <f t="shared" si="80"/>
        <v>0</v>
      </c>
      <c r="AG373">
        <f t="shared" si="80"/>
        <v>0</v>
      </c>
      <c r="AH373">
        <f t="shared" si="80"/>
        <v>0</v>
      </c>
      <c r="AI373">
        <f t="shared" si="80"/>
        <v>0</v>
      </c>
      <c r="AJ373">
        <f t="shared" si="80"/>
        <v>0</v>
      </c>
      <c r="AK373">
        <f t="shared" si="79"/>
        <v>0</v>
      </c>
      <c r="AL373">
        <f t="shared" si="79"/>
        <v>0</v>
      </c>
      <c r="AM373">
        <f t="shared" si="79"/>
        <v>0</v>
      </c>
      <c r="AN373">
        <f t="shared" si="79"/>
        <v>0</v>
      </c>
      <c r="AO373">
        <f t="shared" si="79"/>
        <v>0</v>
      </c>
      <c r="AP373">
        <f t="shared" si="79"/>
        <v>0</v>
      </c>
      <c r="AQ373">
        <f t="shared" si="79"/>
        <v>0</v>
      </c>
      <c r="AR373">
        <f t="shared" si="79"/>
        <v>0</v>
      </c>
    </row>
    <row r="374" spans="5:44" x14ac:dyDescent="0.2">
      <c r="E374" s="1">
        <f>moment_rate!$AC374</f>
        <v>7.4493433161470389E-3</v>
      </c>
      <c r="F374" s="1">
        <f t="shared" si="73"/>
        <v>0</v>
      </c>
      <c r="G374">
        <f>moment_rate!I374-0.005</f>
        <v>3.6699999999999657</v>
      </c>
      <c r="H374" s="1">
        <f t="shared" si="74"/>
        <v>0</v>
      </c>
      <c r="I374">
        <f t="shared" si="81"/>
        <v>0</v>
      </c>
      <c r="J374">
        <f t="shared" si="81"/>
        <v>0</v>
      </c>
      <c r="K374">
        <f t="shared" si="81"/>
        <v>0</v>
      </c>
      <c r="L374">
        <f t="shared" si="81"/>
        <v>0</v>
      </c>
      <c r="M374">
        <f t="shared" si="81"/>
        <v>0</v>
      </c>
      <c r="N374">
        <f t="shared" si="81"/>
        <v>0</v>
      </c>
      <c r="O374">
        <f t="shared" si="81"/>
        <v>0</v>
      </c>
      <c r="P374">
        <f t="shared" si="81"/>
        <v>0</v>
      </c>
      <c r="Q374">
        <f t="shared" si="81"/>
        <v>0</v>
      </c>
      <c r="R374">
        <f t="shared" si="81"/>
        <v>0</v>
      </c>
      <c r="S374">
        <f t="shared" si="81"/>
        <v>0</v>
      </c>
      <c r="T374">
        <f t="shared" si="81"/>
        <v>0</v>
      </c>
      <c r="U374">
        <f t="shared" si="81"/>
        <v>0</v>
      </c>
      <c r="V374">
        <f t="shared" si="81"/>
        <v>0</v>
      </c>
      <c r="W374">
        <f t="shared" si="81"/>
        <v>0</v>
      </c>
      <c r="X374">
        <f t="shared" si="81"/>
        <v>0</v>
      </c>
      <c r="Y374">
        <f t="shared" si="82"/>
        <v>0</v>
      </c>
      <c r="Z374">
        <f t="shared" si="80"/>
        <v>0</v>
      </c>
      <c r="AA374">
        <f t="shared" si="80"/>
        <v>0</v>
      </c>
      <c r="AB374">
        <f t="shared" si="80"/>
        <v>0</v>
      </c>
      <c r="AC374">
        <f t="shared" si="80"/>
        <v>0</v>
      </c>
      <c r="AD374">
        <f t="shared" si="80"/>
        <v>0</v>
      </c>
      <c r="AE374">
        <f t="shared" si="80"/>
        <v>0</v>
      </c>
      <c r="AF374">
        <f t="shared" si="80"/>
        <v>0</v>
      </c>
      <c r="AG374">
        <f t="shared" si="80"/>
        <v>0</v>
      </c>
      <c r="AH374">
        <f t="shared" si="80"/>
        <v>0</v>
      </c>
      <c r="AI374">
        <f t="shared" si="80"/>
        <v>0</v>
      </c>
      <c r="AJ374">
        <f t="shared" si="80"/>
        <v>0</v>
      </c>
      <c r="AK374">
        <f t="shared" si="79"/>
        <v>0</v>
      </c>
      <c r="AL374">
        <f t="shared" si="79"/>
        <v>0</v>
      </c>
      <c r="AM374">
        <f t="shared" si="79"/>
        <v>0</v>
      </c>
      <c r="AN374">
        <f t="shared" si="79"/>
        <v>0</v>
      </c>
      <c r="AO374">
        <f t="shared" si="79"/>
        <v>0</v>
      </c>
      <c r="AP374">
        <f t="shared" si="79"/>
        <v>0</v>
      </c>
      <c r="AQ374">
        <f t="shared" si="79"/>
        <v>0</v>
      </c>
      <c r="AR374">
        <f t="shared" si="79"/>
        <v>0</v>
      </c>
    </row>
    <row r="375" spans="5:44" x14ac:dyDescent="0.2">
      <c r="E375" s="1">
        <f>moment_rate!$AC375</f>
        <v>7.4493433161470389E-3</v>
      </c>
      <c r="F375" s="1">
        <f t="shared" si="73"/>
        <v>0</v>
      </c>
      <c r="G375">
        <f>moment_rate!I375-0.005</f>
        <v>3.6799999999999655</v>
      </c>
      <c r="H375" s="1">
        <f t="shared" si="74"/>
        <v>0</v>
      </c>
      <c r="I375">
        <f t="shared" si="81"/>
        <v>0</v>
      </c>
      <c r="J375">
        <f t="shared" si="81"/>
        <v>0</v>
      </c>
      <c r="K375">
        <f t="shared" si="81"/>
        <v>0</v>
      </c>
      <c r="L375">
        <f t="shared" si="81"/>
        <v>0</v>
      </c>
      <c r="M375">
        <f t="shared" si="81"/>
        <v>0</v>
      </c>
      <c r="N375">
        <f t="shared" si="81"/>
        <v>0</v>
      </c>
      <c r="O375">
        <f t="shared" si="81"/>
        <v>0</v>
      </c>
      <c r="P375">
        <f t="shared" si="81"/>
        <v>0</v>
      </c>
      <c r="Q375">
        <f t="shared" si="81"/>
        <v>0</v>
      </c>
      <c r="R375">
        <f t="shared" si="81"/>
        <v>0</v>
      </c>
      <c r="S375">
        <f t="shared" si="81"/>
        <v>0</v>
      </c>
      <c r="T375">
        <f t="shared" si="81"/>
        <v>0</v>
      </c>
      <c r="U375">
        <f t="shared" si="81"/>
        <v>0</v>
      </c>
      <c r="V375">
        <f t="shared" si="81"/>
        <v>0</v>
      </c>
      <c r="W375">
        <f t="shared" si="81"/>
        <v>0</v>
      </c>
      <c r="X375">
        <f t="shared" si="81"/>
        <v>0</v>
      </c>
      <c r="Y375">
        <f t="shared" si="82"/>
        <v>0</v>
      </c>
      <c r="Z375">
        <f t="shared" si="80"/>
        <v>0</v>
      </c>
      <c r="AA375">
        <f t="shared" si="80"/>
        <v>0</v>
      </c>
      <c r="AB375">
        <f t="shared" si="80"/>
        <v>0</v>
      </c>
      <c r="AC375">
        <f t="shared" si="80"/>
        <v>0</v>
      </c>
      <c r="AD375">
        <f t="shared" si="80"/>
        <v>0</v>
      </c>
      <c r="AE375">
        <f t="shared" si="80"/>
        <v>0</v>
      </c>
      <c r="AF375">
        <f t="shared" si="80"/>
        <v>0</v>
      </c>
      <c r="AG375">
        <f t="shared" si="80"/>
        <v>0</v>
      </c>
      <c r="AH375">
        <f t="shared" si="80"/>
        <v>0</v>
      </c>
      <c r="AI375">
        <f t="shared" si="80"/>
        <v>0</v>
      </c>
      <c r="AJ375">
        <f t="shared" si="80"/>
        <v>0</v>
      </c>
      <c r="AK375">
        <f t="shared" si="79"/>
        <v>0</v>
      </c>
      <c r="AL375">
        <f t="shared" si="79"/>
        <v>0</v>
      </c>
      <c r="AM375">
        <f t="shared" si="79"/>
        <v>0</v>
      </c>
      <c r="AN375">
        <f t="shared" si="79"/>
        <v>0</v>
      </c>
      <c r="AO375">
        <f t="shared" si="79"/>
        <v>0</v>
      </c>
      <c r="AP375">
        <f t="shared" si="79"/>
        <v>0</v>
      </c>
      <c r="AQ375">
        <f t="shared" si="79"/>
        <v>0</v>
      </c>
      <c r="AR375">
        <f t="shared" si="79"/>
        <v>0</v>
      </c>
    </row>
    <row r="376" spans="5:44" x14ac:dyDescent="0.2">
      <c r="E376" s="1">
        <f>moment_rate!$AC376</f>
        <v>7.4493433161470389E-3</v>
      </c>
      <c r="F376" s="1">
        <f t="shared" si="73"/>
        <v>0</v>
      </c>
      <c r="G376">
        <f>moment_rate!I376-0.005</f>
        <v>3.6899999999999653</v>
      </c>
      <c r="H376" s="1">
        <f t="shared" si="74"/>
        <v>0</v>
      </c>
      <c r="I376">
        <f t="shared" si="81"/>
        <v>0</v>
      </c>
      <c r="J376">
        <f t="shared" si="81"/>
        <v>0</v>
      </c>
      <c r="K376">
        <f t="shared" si="81"/>
        <v>0</v>
      </c>
      <c r="L376">
        <f t="shared" si="81"/>
        <v>0</v>
      </c>
      <c r="M376">
        <f t="shared" si="81"/>
        <v>0</v>
      </c>
      <c r="N376">
        <f t="shared" si="81"/>
        <v>0</v>
      </c>
      <c r="O376">
        <f t="shared" si="81"/>
        <v>0</v>
      </c>
      <c r="P376">
        <f t="shared" si="81"/>
        <v>0</v>
      </c>
      <c r="Q376">
        <f t="shared" si="81"/>
        <v>0</v>
      </c>
      <c r="R376">
        <f t="shared" si="81"/>
        <v>0</v>
      </c>
      <c r="S376">
        <f t="shared" si="81"/>
        <v>0</v>
      </c>
      <c r="T376">
        <f t="shared" si="81"/>
        <v>0</v>
      </c>
      <c r="U376">
        <f t="shared" si="81"/>
        <v>0</v>
      </c>
      <c r="V376">
        <f t="shared" si="81"/>
        <v>0</v>
      </c>
      <c r="W376">
        <f t="shared" si="81"/>
        <v>0</v>
      </c>
      <c r="X376">
        <f t="shared" si="81"/>
        <v>0</v>
      </c>
      <c r="Y376">
        <f t="shared" si="82"/>
        <v>0</v>
      </c>
      <c r="Z376">
        <f t="shared" ref="Z376:AM381" si="83">IF(AND($G376&gt;=Z$3,$G376&lt;Z$4),$F376,0)</f>
        <v>0</v>
      </c>
      <c r="AA376">
        <f t="shared" si="83"/>
        <v>0</v>
      </c>
      <c r="AB376">
        <f t="shared" si="83"/>
        <v>0</v>
      </c>
      <c r="AC376">
        <f t="shared" si="83"/>
        <v>0</v>
      </c>
      <c r="AD376">
        <f t="shared" si="83"/>
        <v>0</v>
      </c>
      <c r="AE376">
        <f t="shared" si="83"/>
        <v>0</v>
      </c>
      <c r="AF376">
        <f t="shared" si="83"/>
        <v>0</v>
      </c>
      <c r="AG376">
        <f t="shared" si="83"/>
        <v>0</v>
      </c>
      <c r="AH376">
        <f t="shared" si="83"/>
        <v>0</v>
      </c>
      <c r="AI376">
        <f t="shared" si="83"/>
        <v>0</v>
      </c>
      <c r="AJ376">
        <f t="shared" si="83"/>
        <v>0</v>
      </c>
      <c r="AK376">
        <f t="shared" si="83"/>
        <v>0</v>
      </c>
      <c r="AL376">
        <f t="shared" si="83"/>
        <v>0</v>
      </c>
      <c r="AM376">
        <f t="shared" si="83"/>
        <v>0</v>
      </c>
      <c r="AN376">
        <f t="shared" si="79"/>
        <v>0</v>
      </c>
      <c r="AO376">
        <f t="shared" si="79"/>
        <v>0</v>
      </c>
      <c r="AP376">
        <f t="shared" si="79"/>
        <v>0</v>
      </c>
      <c r="AQ376">
        <f t="shared" si="79"/>
        <v>0</v>
      </c>
      <c r="AR376">
        <f t="shared" si="79"/>
        <v>0</v>
      </c>
    </row>
    <row r="377" spans="5:44" x14ac:dyDescent="0.2">
      <c r="E377" s="1">
        <f>moment_rate!$AC377</f>
        <v>7.4493433161470389E-3</v>
      </c>
      <c r="F377" s="1">
        <f t="shared" si="73"/>
        <v>0</v>
      </c>
      <c r="G377">
        <f>moment_rate!I377-0.005</f>
        <v>3.6999999999999651</v>
      </c>
      <c r="H377" s="1">
        <f t="shared" si="74"/>
        <v>0</v>
      </c>
      <c r="I377">
        <f t="shared" si="81"/>
        <v>0</v>
      </c>
      <c r="J377">
        <f t="shared" si="81"/>
        <v>0</v>
      </c>
      <c r="K377">
        <f t="shared" si="81"/>
        <v>0</v>
      </c>
      <c r="L377">
        <f t="shared" si="81"/>
        <v>0</v>
      </c>
      <c r="M377">
        <f t="shared" si="81"/>
        <v>0</v>
      </c>
      <c r="N377">
        <f t="shared" si="81"/>
        <v>0</v>
      </c>
      <c r="O377">
        <f t="shared" si="81"/>
        <v>0</v>
      </c>
      <c r="P377">
        <f t="shared" si="81"/>
        <v>0</v>
      </c>
      <c r="Q377">
        <f t="shared" si="81"/>
        <v>0</v>
      </c>
      <c r="R377">
        <f t="shared" si="81"/>
        <v>0</v>
      </c>
      <c r="S377">
        <f t="shared" si="81"/>
        <v>0</v>
      </c>
      <c r="T377">
        <f t="shared" si="81"/>
        <v>0</v>
      </c>
      <c r="U377">
        <f t="shared" si="81"/>
        <v>0</v>
      </c>
      <c r="V377">
        <f t="shared" si="81"/>
        <v>0</v>
      </c>
      <c r="W377">
        <f t="shared" si="81"/>
        <v>0</v>
      </c>
      <c r="X377">
        <f t="shared" si="81"/>
        <v>0</v>
      </c>
      <c r="Y377">
        <f t="shared" si="82"/>
        <v>0</v>
      </c>
      <c r="Z377">
        <f t="shared" si="83"/>
        <v>0</v>
      </c>
      <c r="AA377">
        <f t="shared" si="83"/>
        <v>0</v>
      </c>
      <c r="AB377">
        <f t="shared" si="83"/>
        <v>0</v>
      </c>
      <c r="AC377">
        <f t="shared" si="83"/>
        <v>0</v>
      </c>
      <c r="AD377">
        <f t="shared" si="83"/>
        <v>0</v>
      </c>
      <c r="AE377">
        <f t="shared" si="83"/>
        <v>0</v>
      </c>
      <c r="AF377">
        <f t="shared" si="83"/>
        <v>0</v>
      </c>
      <c r="AG377">
        <f t="shared" si="83"/>
        <v>0</v>
      </c>
      <c r="AH377">
        <f t="shared" si="83"/>
        <v>0</v>
      </c>
      <c r="AI377">
        <f t="shared" si="83"/>
        <v>0</v>
      </c>
      <c r="AJ377">
        <f t="shared" si="83"/>
        <v>0</v>
      </c>
      <c r="AK377">
        <f t="shared" si="83"/>
        <v>0</v>
      </c>
      <c r="AL377">
        <f t="shared" si="83"/>
        <v>0</v>
      </c>
      <c r="AM377">
        <f t="shared" si="83"/>
        <v>0</v>
      </c>
      <c r="AN377">
        <f t="shared" si="79"/>
        <v>0</v>
      </c>
      <c r="AO377">
        <f t="shared" si="79"/>
        <v>0</v>
      </c>
      <c r="AP377">
        <f t="shared" si="79"/>
        <v>0</v>
      </c>
      <c r="AQ377">
        <f t="shared" si="79"/>
        <v>0</v>
      </c>
      <c r="AR377">
        <f t="shared" si="79"/>
        <v>0</v>
      </c>
    </row>
    <row r="378" spans="5:44" x14ac:dyDescent="0.2">
      <c r="E378" s="1">
        <f>moment_rate!$AC378</f>
        <v>7.4493433161470389E-3</v>
      </c>
      <c r="F378" s="1">
        <f t="shared" si="73"/>
        <v>0</v>
      </c>
      <c r="G378">
        <f>moment_rate!I378-0.005</f>
        <v>3.7099999999999649</v>
      </c>
      <c r="H378" s="1">
        <f t="shared" si="74"/>
        <v>0</v>
      </c>
      <c r="I378">
        <f t="shared" si="81"/>
        <v>0</v>
      </c>
      <c r="J378">
        <f t="shared" si="81"/>
        <v>0</v>
      </c>
      <c r="K378">
        <f t="shared" si="81"/>
        <v>0</v>
      </c>
      <c r="L378">
        <f t="shared" si="81"/>
        <v>0</v>
      </c>
      <c r="M378">
        <f t="shared" si="81"/>
        <v>0</v>
      </c>
      <c r="N378">
        <f t="shared" si="81"/>
        <v>0</v>
      </c>
      <c r="O378">
        <f t="shared" si="81"/>
        <v>0</v>
      </c>
      <c r="P378">
        <f t="shared" si="81"/>
        <v>0</v>
      </c>
      <c r="Q378">
        <f t="shared" si="81"/>
        <v>0</v>
      </c>
      <c r="R378">
        <f t="shared" si="81"/>
        <v>0</v>
      </c>
      <c r="S378">
        <f t="shared" si="81"/>
        <v>0</v>
      </c>
      <c r="T378">
        <f t="shared" si="81"/>
        <v>0</v>
      </c>
      <c r="U378">
        <f t="shared" si="81"/>
        <v>0</v>
      </c>
      <c r="V378">
        <f t="shared" si="81"/>
        <v>0</v>
      </c>
      <c r="W378">
        <f t="shared" si="81"/>
        <v>0</v>
      </c>
      <c r="X378">
        <f t="shared" si="81"/>
        <v>0</v>
      </c>
      <c r="Y378">
        <f t="shared" si="82"/>
        <v>0</v>
      </c>
      <c r="Z378">
        <f t="shared" si="83"/>
        <v>0</v>
      </c>
      <c r="AA378">
        <f t="shared" si="83"/>
        <v>0</v>
      </c>
      <c r="AB378">
        <f t="shared" si="83"/>
        <v>0</v>
      </c>
      <c r="AC378">
        <f t="shared" si="83"/>
        <v>0</v>
      </c>
      <c r="AD378">
        <f t="shared" si="83"/>
        <v>0</v>
      </c>
      <c r="AE378">
        <f t="shared" si="83"/>
        <v>0</v>
      </c>
      <c r="AF378">
        <f t="shared" si="83"/>
        <v>0</v>
      </c>
      <c r="AG378">
        <f t="shared" si="83"/>
        <v>0</v>
      </c>
      <c r="AH378">
        <f t="shared" si="83"/>
        <v>0</v>
      </c>
      <c r="AI378">
        <f t="shared" si="83"/>
        <v>0</v>
      </c>
      <c r="AJ378">
        <f t="shared" si="83"/>
        <v>0</v>
      </c>
      <c r="AK378">
        <f t="shared" si="83"/>
        <v>0</v>
      </c>
      <c r="AL378">
        <f t="shared" si="83"/>
        <v>0</v>
      </c>
      <c r="AM378">
        <f t="shared" si="83"/>
        <v>0</v>
      </c>
      <c r="AN378">
        <f t="shared" si="79"/>
        <v>0</v>
      </c>
      <c r="AO378">
        <f t="shared" si="79"/>
        <v>0</v>
      </c>
      <c r="AP378">
        <f t="shared" si="79"/>
        <v>0</v>
      </c>
      <c r="AQ378">
        <f t="shared" si="79"/>
        <v>0</v>
      </c>
      <c r="AR378">
        <f t="shared" si="79"/>
        <v>0</v>
      </c>
    </row>
    <row r="379" spans="5:44" x14ac:dyDescent="0.2">
      <c r="E379" s="1">
        <f>moment_rate!$AC379</f>
        <v>7.4493433161470389E-3</v>
      </c>
      <c r="F379" s="1">
        <f t="shared" si="73"/>
        <v>0</v>
      </c>
      <c r="G379">
        <f>moment_rate!I379-0.005</f>
        <v>3.7199999999999647</v>
      </c>
      <c r="H379" s="1">
        <f t="shared" si="74"/>
        <v>0</v>
      </c>
      <c r="I379">
        <f t="shared" si="81"/>
        <v>0</v>
      </c>
      <c r="J379">
        <f t="shared" si="81"/>
        <v>0</v>
      </c>
      <c r="K379">
        <f t="shared" si="81"/>
        <v>0</v>
      </c>
      <c r="L379">
        <f t="shared" si="81"/>
        <v>0</v>
      </c>
      <c r="M379">
        <f t="shared" si="81"/>
        <v>0</v>
      </c>
      <c r="N379">
        <f t="shared" si="81"/>
        <v>0</v>
      </c>
      <c r="O379">
        <f t="shared" si="81"/>
        <v>0</v>
      </c>
      <c r="P379">
        <f t="shared" si="81"/>
        <v>0</v>
      </c>
      <c r="Q379">
        <f t="shared" si="81"/>
        <v>0</v>
      </c>
      <c r="R379">
        <f t="shared" si="81"/>
        <v>0</v>
      </c>
      <c r="S379">
        <f t="shared" si="81"/>
        <v>0</v>
      </c>
      <c r="T379">
        <f t="shared" si="81"/>
        <v>0</v>
      </c>
      <c r="U379">
        <f t="shared" si="81"/>
        <v>0</v>
      </c>
      <c r="V379">
        <f t="shared" si="81"/>
        <v>0</v>
      </c>
      <c r="W379">
        <f t="shared" si="81"/>
        <v>0</v>
      </c>
      <c r="X379">
        <f t="shared" si="81"/>
        <v>0</v>
      </c>
      <c r="Y379">
        <f t="shared" si="82"/>
        <v>0</v>
      </c>
      <c r="Z379">
        <f t="shared" si="83"/>
        <v>0</v>
      </c>
      <c r="AA379">
        <f t="shared" si="83"/>
        <v>0</v>
      </c>
      <c r="AB379">
        <f t="shared" si="83"/>
        <v>0</v>
      </c>
      <c r="AC379">
        <f t="shared" si="83"/>
        <v>0</v>
      </c>
      <c r="AD379">
        <f t="shared" si="83"/>
        <v>0</v>
      </c>
      <c r="AE379">
        <f t="shared" si="83"/>
        <v>0</v>
      </c>
      <c r="AF379">
        <f t="shared" si="83"/>
        <v>0</v>
      </c>
      <c r="AG379">
        <f t="shared" si="83"/>
        <v>0</v>
      </c>
      <c r="AH379">
        <f t="shared" si="83"/>
        <v>0</v>
      </c>
      <c r="AI379">
        <f t="shared" si="83"/>
        <v>0</v>
      </c>
      <c r="AJ379">
        <f t="shared" si="83"/>
        <v>0</v>
      </c>
      <c r="AK379">
        <f t="shared" si="83"/>
        <v>0</v>
      </c>
      <c r="AL379">
        <f t="shared" si="83"/>
        <v>0</v>
      </c>
      <c r="AM379">
        <f t="shared" si="83"/>
        <v>0</v>
      </c>
      <c r="AN379">
        <f t="shared" si="79"/>
        <v>0</v>
      </c>
      <c r="AO379">
        <f t="shared" si="79"/>
        <v>0</v>
      </c>
      <c r="AP379">
        <f t="shared" si="79"/>
        <v>0</v>
      </c>
      <c r="AQ379">
        <f t="shared" si="79"/>
        <v>0</v>
      </c>
      <c r="AR379">
        <f t="shared" si="79"/>
        <v>0</v>
      </c>
    </row>
    <row r="380" spans="5:44" x14ac:dyDescent="0.2">
      <c r="E380" s="1">
        <f>moment_rate!$AC380</f>
        <v>7.4493433161470389E-3</v>
      </c>
      <c r="F380" s="1">
        <f t="shared" si="73"/>
        <v>0</v>
      </c>
      <c r="G380">
        <f>moment_rate!I380-0.005</f>
        <v>3.7299999999999645</v>
      </c>
      <c r="H380" s="1">
        <f t="shared" si="74"/>
        <v>0</v>
      </c>
      <c r="I380">
        <f t="shared" si="81"/>
        <v>0</v>
      </c>
      <c r="J380">
        <f t="shared" si="81"/>
        <v>0</v>
      </c>
      <c r="K380">
        <f t="shared" si="81"/>
        <v>0</v>
      </c>
      <c r="L380">
        <f t="shared" si="81"/>
        <v>0</v>
      </c>
      <c r="M380">
        <f t="shared" si="81"/>
        <v>0</v>
      </c>
      <c r="N380">
        <f t="shared" si="81"/>
        <v>0</v>
      </c>
      <c r="O380">
        <f t="shared" si="81"/>
        <v>0</v>
      </c>
      <c r="P380">
        <f t="shared" si="81"/>
        <v>0</v>
      </c>
      <c r="Q380">
        <f t="shared" si="81"/>
        <v>0</v>
      </c>
      <c r="R380">
        <f t="shared" si="81"/>
        <v>0</v>
      </c>
      <c r="S380">
        <f t="shared" si="81"/>
        <v>0</v>
      </c>
      <c r="T380">
        <f t="shared" si="81"/>
        <v>0</v>
      </c>
      <c r="U380">
        <f t="shared" si="81"/>
        <v>0</v>
      </c>
      <c r="V380">
        <f t="shared" si="81"/>
        <v>0</v>
      </c>
      <c r="W380">
        <f t="shared" si="81"/>
        <v>0</v>
      </c>
      <c r="X380">
        <f t="shared" si="81"/>
        <v>0</v>
      </c>
      <c r="Y380">
        <f t="shared" si="82"/>
        <v>0</v>
      </c>
      <c r="Z380">
        <f t="shared" si="83"/>
        <v>0</v>
      </c>
      <c r="AA380">
        <f t="shared" si="83"/>
        <v>0</v>
      </c>
      <c r="AB380">
        <f t="shared" si="83"/>
        <v>0</v>
      </c>
      <c r="AC380">
        <f t="shared" si="83"/>
        <v>0</v>
      </c>
      <c r="AD380">
        <f t="shared" si="83"/>
        <v>0</v>
      </c>
      <c r="AE380">
        <f t="shared" si="83"/>
        <v>0</v>
      </c>
      <c r="AF380">
        <f t="shared" si="83"/>
        <v>0</v>
      </c>
      <c r="AG380">
        <f t="shared" si="83"/>
        <v>0</v>
      </c>
      <c r="AH380">
        <f t="shared" si="83"/>
        <v>0</v>
      </c>
      <c r="AI380">
        <f t="shared" si="83"/>
        <v>0</v>
      </c>
      <c r="AJ380">
        <f t="shared" si="83"/>
        <v>0</v>
      </c>
      <c r="AK380">
        <f t="shared" si="83"/>
        <v>0</v>
      </c>
      <c r="AL380">
        <f t="shared" si="83"/>
        <v>0</v>
      </c>
      <c r="AM380">
        <f t="shared" si="83"/>
        <v>0</v>
      </c>
      <c r="AN380">
        <f t="shared" si="79"/>
        <v>0</v>
      </c>
      <c r="AO380">
        <f t="shared" si="79"/>
        <v>0</v>
      </c>
      <c r="AP380">
        <f t="shared" si="79"/>
        <v>0</v>
      </c>
      <c r="AQ380">
        <f t="shared" si="79"/>
        <v>0</v>
      </c>
      <c r="AR380">
        <f t="shared" si="79"/>
        <v>0</v>
      </c>
    </row>
    <row r="381" spans="5:44" x14ac:dyDescent="0.2">
      <c r="E381" s="1">
        <f>moment_rate!$AC381</f>
        <v>7.4493433161470389E-3</v>
      </c>
      <c r="F381" s="1">
        <f t="shared" si="73"/>
        <v>0</v>
      </c>
      <c r="G381">
        <f>moment_rate!I381-0.005</f>
        <v>3.7399999999999642</v>
      </c>
      <c r="H381" s="1">
        <f t="shared" si="74"/>
        <v>0</v>
      </c>
      <c r="I381">
        <f t="shared" si="81"/>
        <v>0</v>
      </c>
      <c r="J381">
        <f t="shared" si="81"/>
        <v>0</v>
      </c>
      <c r="K381">
        <f t="shared" si="81"/>
        <v>0</v>
      </c>
      <c r="L381">
        <f t="shared" si="81"/>
        <v>0</v>
      </c>
      <c r="M381">
        <f t="shared" si="81"/>
        <v>0</v>
      </c>
      <c r="N381">
        <f t="shared" si="81"/>
        <v>0</v>
      </c>
      <c r="O381">
        <f t="shared" si="81"/>
        <v>0</v>
      </c>
      <c r="P381">
        <f t="shared" si="81"/>
        <v>0</v>
      </c>
      <c r="Q381">
        <f t="shared" si="81"/>
        <v>0</v>
      </c>
      <c r="R381">
        <f t="shared" si="81"/>
        <v>0</v>
      </c>
      <c r="S381">
        <f t="shared" si="81"/>
        <v>0</v>
      </c>
      <c r="T381">
        <f t="shared" si="81"/>
        <v>0</v>
      </c>
      <c r="U381">
        <f t="shared" si="81"/>
        <v>0</v>
      </c>
      <c r="V381">
        <f t="shared" si="81"/>
        <v>0</v>
      </c>
      <c r="W381">
        <f t="shared" si="81"/>
        <v>0</v>
      </c>
      <c r="X381">
        <f t="shared" si="81"/>
        <v>0</v>
      </c>
      <c r="Y381">
        <f t="shared" si="82"/>
        <v>0</v>
      </c>
      <c r="Z381">
        <f t="shared" si="83"/>
        <v>0</v>
      </c>
      <c r="AA381">
        <f t="shared" si="83"/>
        <v>0</v>
      </c>
      <c r="AB381">
        <f t="shared" si="83"/>
        <v>0</v>
      </c>
      <c r="AC381">
        <f t="shared" si="83"/>
        <v>0</v>
      </c>
      <c r="AD381">
        <f t="shared" si="83"/>
        <v>0</v>
      </c>
      <c r="AE381">
        <f t="shared" si="83"/>
        <v>0</v>
      </c>
      <c r="AF381">
        <f t="shared" si="83"/>
        <v>0</v>
      </c>
      <c r="AG381">
        <f t="shared" si="83"/>
        <v>0</v>
      </c>
      <c r="AH381">
        <f t="shared" si="83"/>
        <v>0</v>
      </c>
      <c r="AI381">
        <f t="shared" si="83"/>
        <v>0</v>
      </c>
      <c r="AJ381">
        <f t="shared" si="83"/>
        <v>0</v>
      </c>
      <c r="AK381">
        <f t="shared" si="83"/>
        <v>0</v>
      </c>
      <c r="AL381">
        <f t="shared" si="83"/>
        <v>0</v>
      </c>
      <c r="AM381">
        <f t="shared" si="83"/>
        <v>0</v>
      </c>
      <c r="AN381">
        <f t="shared" si="79"/>
        <v>0</v>
      </c>
      <c r="AO381">
        <f t="shared" si="79"/>
        <v>0</v>
      </c>
      <c r="AP381">
        <f t="shared" si="79"/>
        <v>0</v>
      </c>
      <c r="AQ381">
        <f t="shared" si="79"/>
        <v>0</v>
      </c>
      <c r="AR381">
        <f t="shared" si="79"/>
        <v>0</v>
      </c>
    </row>
    <row r="382" spans="5:44" x14ac:dyDescent="0.2">
      <c r="E382" s="1">
        <f>moment_rate!$AC382</f>
        <v>7.4493433161470389E-3</v>
      </c>
      <c r="F382" s="1">
        <f t="shared" si="73"/>
        <v>0</v>
      </c>
      <c r="G382">
        <f>moment_rate!I382-0.005</f>
        <v>3.749999999999964</v>
      </c>
      <c r="H382" s="1">
        <f t="shared" si="74"/>
        <v>0</v>
      </c>
      <c r="I382">
        <f t="shared" si="81"/>
        <v>0</v>
      </c>
      <c r="J382">
        <f t="shared" si="81"/>
        <v>0</v>
      </c>
      <c r="K382">
        <f t="shared" si="81"/>
        <v>0</v>
      </c>
      <c r="L382">
        <f t="shared" si="81"/>
        <v>0</v>
      </c>
      <c r="M382">
        <f t="shared" si="81"/>
        <v>0</v>
      </c>
      <c r="N382">
        <f t="shared" si="81"/>
        <v>0</v>
      </c>
      <c r="O382">
        <f t="shared" si="81"/>
        <v>0</v>
      </c>
      <c r="P382">
        <f t="shared" si="81"/>
        <v>0</v>
      </c>
      <c r="Q382">
        <f t="shared" si="81"/>
        <v>0</v>
      </c>
      <c r="R382">
        <f t="shared" si="81"/>
        <v>0</v>
      </c>
      <c r="S382">
        <f t="shared" si="81"/>
        <v>0</v>
      </c>
      <c r="T382">
        <f t="shared" si="81"/>
        <v>0</v>
      </c>
      <c r="U382">
        <f t="shared" si="81"/>
        <v>0</v>
      </c>
      <c r="V382">
        <f t="shared" si="81"/>
        <v>0</v>
      </c>
      <c r="W382">
        <f t="shared" si="81"/>
        <v>0</v>
      </c>
      <c r="X382">
        <f t="shared" ref="X382:AM397" si="84">IF(AND($G382&gt;=X$3,$G382&lt;X$4),$F382,0)</f>
        <v>0</v>
      </c>
      <c r="Y382">
        <f t="shared" si="84"/>
        <v>0</v>
      </c>
      <c r="Z382">
        <f t="shared" si="84"/>
        <v>0</v>
      </c>
      <c r="AA382">
        <f t="shared" si="84"/>
        <v>0</v>
      </c>
      <c r="AB382">
        <f t="shared" si="84"/>
        <v>0</v>
      </c>
      <c r="AC382">
        <f t="shared" si="84"/>
        <v>0</v>
      </c>
      <c r="AD382">
        <f t="shared" si="84"/>
        <v>0</v>
      </c>
      <c r="AE382">
        <f t="shared" si="84"/>
        <v>0</v>
      </c>
      <c r="AF382">
        <f t="shared" si="84"/>
        <v>0</v>
      </c>
      <c r="AG382">
        <f t="shared" si="84"/>
        <v>0</v>
      </c>
      <c r="AH382">
        <f t="shared" si="84"/>
        <v>0</v>
      </c>
      <c r="AI382">
        <f t="shared" si="84"/>
        <v>0</v>
      </c>
      <c r="AJ382">
        <f t="shared" si="84"/>
        <v>0</v>
      </c>
      <c r="AK382">
        <f t="shared" si="84"/>
        <v>0</v>
      </c>
      <c r="AL382">
        <f t="shared" si="84"/>
        <v>0</v>
      </c>
      <c r="AM382">
        <f t="shared" si="84"/>
        <v>0</v>
      </c>
      <c r="AN382">
        <f t="shared" si="79"/>
        <v>0</v>
      </c>
      <c r="AO382">
        <f t="shared" si="79"/>
        <v>0</v>
      </c>
      <c r="AP382">
        <f t="shared" si="79"/>
        <v>0</v>
      </c>
      <c r="AQ382">
        <f t="shared" si="79"/>
        <v>0</v>
      </c>
      <c r="AR382">
        <f t="shared" si="79"/>
        <v>0</v>
      </c>
    </row>
    <row r="383" spans="5:44" x14ac:dyDescent="0.2">
      <c r="E383" s="1">
        <f>moment_rate!$AC383</f>
        <v>7.4493433161470389E-3</v>
      </c>
      <c r="F383" s="1">
        <f t="shared" si="73"/>
        <v>0</v>
      </c>
      <c r="G383">
        <f>moment_rate!I383-0.005</f>
        <v>3.7599999999999638</v>
      </c>
      <c r="H383" s="1">
        <f t="shared" si="74"/>
        <v>0</v>
      </c>
      <c r="I383">
        <f t="shared" ref="I383:X398" si="85">IF(AND($G383&gt;=I$3,$G383&lt;I$4),$F383,0)</f>
        <v>0</v>
      </c>
      <c r="J383">
        <f t="shared" si="85"/>
        <v>0</v>
      </c>
      <c r="K383">
        <f t="shared" si="85"/>
        <v>0</v>
      </c>
      <c r="L383">
        <f t="shared" si="85"/>
        <v>0</v>
      </c>
      <c r="M383">
        <f t="shared" si="85"/>
        <v>0</v>
      </c>
      <c r="N383">
        <f t="shared" si="85"/>
        <v>0</v>
      </c>
      <c r="O383">
        <f t="shared" si="85"/>
        <v>0</v>
      </c>
      <c r="P383">
        <f t="shared" si="85"/>
        <v>0</v>
      </c>
      <c r="Q383">
        <f t="shared" si="85"/>
        <v>0</v>
      </c>
      <c r="R383">
        <f t="shared" si="85"/>
        <v>0</v>
      </c>
      <c r="S383">
        <f t="shared" si="85"/>
        <v>0</v>
      </c>
      <c r="T383">
        <f t="shared" si="85"/>
        <v>0</v>
      </c>
      <c r="U383">
        <f t="shared" si="85"/>
        <v>0</v>
      </c>
      <c r="V383">
        <f t="shared" si="85"/>
        <v>0</v>
      </c>
      <c r="W383">
        <f t="shared" si="85"/>
        <v>0</v>
      </c>
      <c r="X383">
        <f t="shared" si="85"/>
        <v>0</v>
      </c>
      <c r="Y383">
        <f t="shared" si="84"/>
        <v>0</v>
      </c>
      <c r="Z383">
        <f t="shared" si="84"/>
        <v>0</v>
      </c>
      <c r="AA383">
        <f t="shared" si="84"/>
        <v>0</v>
      </c>
      <c r="AB383">
        <f t="shared" si="84"/>
        <v>0</v>
      </c>
      <c r="AC383">
        <f t="shared" si="84"/>
        <v>0</v>
      </c>
      <c r="AD383">
        <f t="shared" si="84"/>
        <v>0</v>
      </c>
      <c r="AE383">
        <f t="shared" si="84"/>
        <v>0</v>
      </c>
      <c r="AF383">
        <f t="shared" si="84"/>
        <v>0</v>
      </c>
      <c r="AG383">
        <f t="shared" si="84"/>
        <v>0</v>
      </c>
      <c r="AH383">
        <f t="shared" si="84"/>
        <v>0</v>
      </c>
      <c r="AI383">
        <f t="shared" si="84"/>
        <v>0</v>
      </c>
      <c r="AJ383">
        <f t="shared" si="84"/>
        <v>0</v>
      </c>
      <c r="AK383">
        <f t="shared" si="84"/>
        <v>0</v>
      </c>
      <c r="AL383">
        <f t="shared" si="84"/>
        <v>0</v>
      </c>
      <c r="AM383">
        <f t="shared" si="84"/>
        <v>0</v>
      </c>
      <c r="AN383">
        <f t="shared" si="79"/>
        <v>0</v>
      </c>
      <c r="AO383">
        <f t="shared" si="79"/>
        <v>0</v>
      </c>
      <c r="AP383">
        <f t="shared" si="79"/>
        <v>0</v>
      </c>
      <c r="AQ383">
        <f t="shared" si="79"/>
        <v>0</v>
      </c>
      <c r="AR383">
        <f t="shared" si="79"/>
        <v>0</v>
      </c>
    </row>
    <row r="384" spans="5:44" x14ac:dyDescent="0.2">
      <c r="E384" s="1">
        <f>moment_rate!$AC384</f>
        <v>7.4493433161470389E-3</v>
      </c>
      <c r="F384" s="1">
        <f t="shared" si="73"/>
        <v>0</v>
      </c>
      <c r="G384">
        <f>moment_rate!I384-0.005</f>
        <v>3.7699999999999636</v>
      </c>
      <c r="H384" s="1">
        <f t="shared" si="74"/>
        <v>0</v>
      </c>
      <c r="I384">
        <f t="shared" si="85"/>
        <v>0</v>
      </c>
      <c r="J384">
        <f t="shared" si="85"/>
        <v>0</v>
      </c>
      <c r="K384">
        <f t="shared" si="85"/>
        <v>0</v>
      </c>
      <c r="L384">
        <f t="shared" si="85"/>
        <v>0</v>
      </c>
      <c r="M384">
        <f t="shared" si="85"/>
        <v>0</v>
      </c>
      <c r="N384">
        <f t="shared" si="85"/>
        <v>0</v>
      </c>
      <c r="O384">
        <f t="shared" si="85"/>
        <v>0</v>
      </c>
      <c r="P384">
        <f t="shared" si="85"/>
        <v>0</v>
      </c>
      <c r="Q384">
        <f t="shared" si="85"/>
        <v>0</v>
      </c>
      <c r="R384">
        <f t="shared" si="85"/>
        <v>0</v>
      </c>
      <c r="S384">
        <f t="shared" si="85"/>
        <v>0</v>
      </c>
      <c r="T384">
        <f t="shared" si="85"/>
        <v>0</v>
      </c>
      <c r="U384">
        <f t="shared" si="85"/>
        <v>0</v>
      </c>
      <c r="V384">
        <f t="shared" si="85"/>
        <v>0</v>
      </c>
      <c r="W384">
        <f t="shared" si="85"/>
        <v>0</v>
      </c>
      <c r="X384">
        <f t="shared" si="85"/>
        <v>0</v>
      </c>
      <c r="Y384">
        <f t="shared" si="84"/>
        <v>0</v>
      </c>
      <c r="Z384">
        <f t="shared" si="84"/>
        <v>0</v>
      </c>
      <c r="AA384">
        <f t="shared" si="84"/>
        <v>0</v>
      </c>
      <c r="AB384">
        <f t="shared" si="84"/>
        <v>0</v>
      </c>
      <c r="AC384">
        <f t="shared" si="84"/>
        <v>0</v>
      </c>
      <c r="AD384">
        <f t="shared" si="84"/>
        <v>0</v>
      </c>
      <c r="AE384">
        <f t="shared" si="84"/>
        <v>0</v>
      </c>
      <c r="AF384">
        <f t="shared" si="84"/>
        <v>0</v>
      </c>
      <c r="AG384">
        <f t="shared" si="84"/>
        <v>0</v>
      </c>
      <c r="AH384">
        <f t="shared" si="84"/>
        <v>0</v>
      </c>
      <c r="AI384">
        <f t="shared" si="84"/>
        <v>0</v>
      </c>
      <c r="AJ384">
        <f t="shared" si="84"/>
        <v>0</v>
      </c>
      <c r="AK384">
        <f t="shared" si="84"/>
        <v>0</v>
      </c>
      <c r="AL384">
        <f t="shared" si="84"/>
        <v>0</v>
      </c>
      <c r="AM384">
        <f t="shared" si="84"/>
        <v>0</v>
      </c>
      <c r="AN384">
        <f t="shared" si="79"/>
        <v>0</v>
      </c>
      <c r="AO384">
        <f t="shared" si="79"/>
        <v>0</v>
      </c>
      <c r="AP384">
        <f t="shared" si="79"/>
        <v>0</v>
      </c>
      <c r="AQ384">
        <f t="shared" si="79"/>
        <v>0</v>
      </c>
      <c r="AR384">
        <f t="shared" si="79"/>
        <v>0</v>
      </c>
    </row>
    <row r="385" spans="5:44" x14ac:dyDescent="0.2">
      <c r="E385" s="1">
        <f>moment_rate!$AC385</f>
        <v>7.4493433161470389E-3</v>
      </c>
      <c r="F385" s="1">
        <f t="shared" si="73"/>
        <v>0</v>
      </c>
      <c r="G385">
        <f>moment_rate!I385-0.005</f>
        <v>3.7799999999999634</v>
      </c>
      <c r="H385" s="1">
        <f t="shared" si="74"/>
        <v>0</v>
      </c>
      <c r="I385">
        <f t="shared" si="85"/>
        <v>0</v>
      </c>
      <c r="J385">
        <f t="shared" si="85"/>
        <v>0</v>
      </c>
      <c r="K385">
        <f t="shared" si="85"/>
        <v>0</v>
      </c>
      <c r="L385">
        <f t="shared" si="85"/>
        <v>0</v>
      </c>
      <c r="M385">
        <f t="shared" si="85"/>
        <v>0</v>
      </c>
      <c r="N385">
        <f t="shared" si="85"/>
        <v>0</v>
      </c>
      <c r="O385">
        <f t="shared" si="85"/>
        <v>0</v>
      </c>
      <c r="P385">
        <f t="shared" si="85"/>
        <v>0</v>
      </c>
      <c r="Q385">
        <f t="shared" si="85"/>
        <v>0</v>
      </c>
      <c r="R385">
        <f t="shared" si="85"/>
        <v>0</v>
      </c>
      <c r="S385">
        <f t="shared" si="85"/>
        <v>0</v>
      </c>
      <c r="T385">
        <f t="shared" si="85"/>
        <v>0</v>
      </c>
      <c r="U385">
        <f t="shared" si="85"/>
        <v>0</v>
      </c>
      <c r="V385">
        <f t="shared" si="85"/>
        <v>0</v>
      </c>
      <c r="W385">
        <f t="shared" si="85"/>
        <v>0</v>
      </c>
      <c r="X385">
        <f t="shared" si="85"/>
        <v>0</v>
      </c>
      <c r="Y385">
        <f t="shared" si="84"/>
        <v>0</v>
      </c>
      <c r="Z385">
        <f t="shared" si="84"/>
        <v>0</v>
      </c>
      <c r="AA385">
        <f t="shared" si="84"/>
        <v>0</v>
      </c>
      <c r="AB385">
        <f t="shared" si="84"/>
        <v>0</v>
      </c>
      <c r="AC385">
        <f t="shared" si="84"/>
        <v>0</v>
      </c>
      <c r="AD385">
        <f t="shared" si="84"/>
        <v>0</v>
      </c>
      <c r="AE385">
        <f t="shared" si="84"/>
        <v>0</v>
      </c>
      <c r="AF385">
        <f t="shared" si="84"/>
        <v>0</v>
      </c>
      <c r="AG385">
        <f t="shared" si="84"/>
        <v>0</v>
      </c>
      <c r="AH385">
        <f t="shared" si="84"/>
        <v>0</v>
      </c>
      <c r="AI385">
        <f t="shared" si="84"/>
        <v>0</v>
      </c>
      <c r="AJ385">
        <f t="shared" si="84"/>
        <v>0</v>
      </c>
      <c r="AK385">
        <f t="shared" si="84"/>
        <v>0</v>
      </c>
      <c r="AL385">
        <f t="shared" si="84"/>
        <v>0</v>
      </c>
      <c r="AM385">
        <f t="shared" si="84"/>
        <v>0</v>
      </c>
      <c r="AN385">
        <f t="shared" si="79"/>
        <v>0</v>
      </c>
      <c r="AO385">
        <f t="shared" si="79"/>
        <v>0</v>
      </c>
      <c r="AP385">
        <f t="shared" si="79"/>
        <v>0</v>
      </c>
      <c r="AQ385">
        <f t="shared" si="79"/>
        <v>0</v>
      </c>
      <c r="AR385">
        <f t="shared" si="79"/>
        <v>0</v>
      </c>
    </row>
    <row r="386" spans="5:44" x14ac:dyDescent="0.2">
      <c r="E386" s="1">
        <f>moment_rate!$AC386</f>
        <v>7.4493433161470389E-3</v>
      </c>
      <c r="F386" s="1">
        <f t="shared" si="73"/>
        <v>0</v>
      </c>
      <c r="G386">
        <f>moment_rate!I386-0.005</f>
        <v>3.7899999999999632</v>
      </c>
      <c r="H386" s="1">
        <f t="shared" si="74"/>
        <v>0</v>
      </c>
      <c r="I386">
        <f t="shared" si="85"/>
        <v>0</v>
      </c>
      <c r="J386">
        <f t="shared" si="85"/>
        <v>0</v>
      </c>
      <c r="K386">
        <f t="shared" si="85"/>
        <v>0</v>
      </c>
      <c r="L386">
        <f t="shared" si="85"/>
        <v>0</v>
      </c>
      <c r="M386">
        <f t="shared" si="85"/>
        <v>0</v>
      </c>
      <c r="N386">
        <f t="shared" si="85"/>
        <v>0</v>
      </c>
      <c r="O386">
        <f t="shared" si="85"/>
        <v>0</v>
      </c>
      <c r="P386">
        <f t="shared" si="85"/>
        <v>0</v>
      </c>
      <c r="Q386">
        <f t="shared" si="85"/>
        <v>0</v>
      </c>
      <c r="R386">
        <f t="shared" si="85"/>
        <v>0</v>
      </c>
      <c r="S386">
        <f t="shared" si="85"/>
        <v>0</v>
      </c>
      <c r="T386">
        <f t="shared" si="85"/>
        <v>0</v>
      </c>
      <c r="U386">
        <f t="shared" si="85"/>
        <v>0</v>
      </c>
      <c r="V386">
        <f t="shared" si="85"/>
        <v>0</v>
      </c>
      <c r="W386">
        <f t="shared" si="85"/>
        <v>0</v>
      </c>
      <c r="X386">
        <f t="shared" si="85"/>
        <v>0</v>
      </c>
      <c r="Y386">
        <f t="shared" si="84"/>
        <v>0</v>
      </c>
      <c r="Z386">
        <f t="shared" si="84"/>
        <v>0</v>
      </c>
      <c r="AA386">
        <f t="shared" si="84"/>
        <v>0</v>
      </c>
      <c r="AB386">
        <f t="shared" si="84"/>
        <v>0</v>
      </c>
      <c r="AC386">
        <f t="shared" si="84"/>
        <v>0</v>
      </c>
      <c r="AD386">
        <f t="shared" si="84"/>
        <v>0</v>
      </c>
      <c r="AE386">
        <f t="shared" si="84"/>
        <v>0</v>
      </c>
      <c r="AF386">
        <f t="shared" si="84"/>
        <v>0</v>
      </c>
      <c r="AG386">
        <f t="shared" si="84"/>
        <v>0</v>
      </c>
      <c r="AH386">
        <f t="shared" si="84"/>
        <v>0</v>
      </c>
      <c r="AI386">
        <f t="shared" si="84"/>
        <v>0</v>
      </c>
      <c r="AJ386">
        <f t="shared" si="84"/>
        <v>0</v>
      </c>
      <c r="AK386">
        <f t="shared" si="84"/>
        <v>0</v>
      </c>
      <c r="AL386">
        <f t="shared" si="84"/>
        <v>0</v>
      </c>
      <c r="AM386">
        <f t="shared" si="84"/>
        <v>0</v>
      </c>
      <c r="AN386">
        <f t="shared" si="79"/>
        <v>0</v>
      </c>
      <c r="AO386">
        <f t="shared" si="79"/>
        <v>0</v>
      </c>
      <c r="AP386">
        <f t="shared" si="79"/>
        <v>0</v>
      </c>
      <c r="AQ386">
        <f t="shared" si="79"/>
        <v>0</v>
      </c>
      <c r="AR386">
        <f t="shared" si="79"/>
        <v>0</v>
      </c>
    </row>
    <row r="387" spans="5:44" x14ac:dyDescent="0.2">
      <c r="E387" s="1">
        <f>moment_rate!$AC387</f>
        <v>7.4493433161470389E-3</v>
      </c>
      <c r="F387" s="1">
        <f t="shared" si="73"/>
        <v>0</v>
      </c>
      <c r="G387">
        <f>moment_rate!I387-0.005</f>
        <v>3.799999999999963</v>
      </c>
      <c r="H387" s="1">
        <f t="shared" si="74"/>
        <v>0</v>
      </c>
      <c r="I387">
        <f t="shared" si="85"/>
        <v>0</v>
      </c>
      <c r="J387">
        <f t="shared" si="85"/>
        <v>0</v>
      </c>
      <c r="K387">
        <f t="shared" si="85"/>
        <v>0</v>
      </c>
      <c r="L387">
        <f t="shared" si="85"/>
        <v>0</v>
      </c>
      <c r="M387">
        <f t="shared" si="85"/>
        <v>0</v>
      </c>
      <c r="N387">
        <f t="shared" si="85"/>
        <v>0</v>
      </c>
      <c r="O387">
        <f t="shared" si="85"/>
        <v>0</v>
      </c>
      <c r="P387">
        <f t="shared" si="85"/>
        <v>0</v>
      </c>
      <c r="Q387">
        <f t="shared" si="85"/>
        <v>0</v>
      </c>
      <c r="R387">
        <f t="shared" si="85"/>
        <v>0</v>
      </c>
      <c r="S387">
        <f t="shared" si="85"/>
        <v>0</v>
      </c>
      <c r="T387">
        <f t="shared" si="85"/>
        <v>0</v>
      </c>
      <c r="U387">
        <f t="shared" si="85"/>
        <v>0</v>
      </c>
      <c r="V387">
        <f t="shared" si="85"/>
        <v>0</v>
      </c>
      <c r="W387">
        <f t="shared" si="85"/>
        <v>0</v>
      </c>
      <c r="X387">
        <f t="shared" si="85"/>
        <v>0</v>
      </c>
      <c r="Y387">
        <f t="shared" si="84"/>
        <v>0</v>
      </c>
      <c r="Z387">
        <f t="shared" si="84"/>
        <v>0</v>
      </c>
      <c r="AA387">
        <f t="shared" si="84"/>
        <v>0</v>
      </c>
      <c r="AB387">
        <f t="shared" si="84"/>
        <v>0</v>
      </c>
      <c r="AC387">
        <f t="shared" si="84"/>
        <v>0</v>
      </c>
      <c r="AD387">
        <f t="shared" si="84"/>
        <v>0</v>
      </c>
      <c r="AE387">
        <f t="shared" si="84"/>
        <v>0</v>
      </c>
      <c r="AF387">
        <f t="shared" si="84"/>
        <v>0</v>
      </c>
      <c r="AG387">
        <f t="shared" si="84"/>
        <v>0</v>
      </c>
      <c r="AH387">
        <f t="shared" si="84"/>
        <v>0</v>
      </c>
      <c r="AI387">
        <f t="shared" si="84"/>
        <v>0</v>
      </c>
      <c r="AJ387">
        <f t="shared" si="84"/>
        <v>0</v>
      </c>
      <c r="AK387">
        <f t="shared" si="84"/>
        <v>0</v>
      </c>
      <c r="AL387">
        <f t="shared" si="84"/>
        <v>0</v>
      </c>
      <c r="AM387">
        <f t="shared" si="84"/>
        <v>0</v>
      </c>
      <c r="AN387">
        <f t="shared" si="79"/>
        <v>0</v>
      </c>
      <c r="AO387">
        <f t="shared" si="79"/>
        <v>0</v>
      </c>
      <c r="AP387">
        <f t="shared" si="79"/>
        <v>0</v>
      </c>
      <c r="AQ387">
        <f t="shared" si="79"/>
        <v>0</v>
      </c>
      <c r="AR387">
        <f t="shared" si="79"/>
        <v>0</v>
      </c>
    </row>
    <row r="388" spans="5:44" x14ac:dyDescent="0.2">
      <c r="E388" s="1">
        <f>moment_rate!$AC388</f>
        <v>7.4493433161470389E-3</v>
      </c>
      <c r="F388" s="1">
        <f t="shared" si="73"/>
        <v>0</v>
      </c>
      <c r="G388">
        <f>moment_rate!I388-0.005</f>
        <v>3.8099999999999627</v>
      </c>
      <c r="H388" s="1">
        <f t="shared" si="74"/>
        <v>0</v>
      </c>
      <c r="I388">
        <f t="shared" si="85"/>
        <v>0</v>
      </c>
      <c r="J388">
        <f t="shared" si="85"/>
        <v>0</v>
      </c>
      <c r="K388">
        <f t="shared" si="85"/>
        <v>0</v>
      </c>
      <c r="L388">
        <f t="shared" si="85"/>
        <v>0</v>
      </c>
      <c r="M388">
        <f t="shared" si="85"/>
        <v>0</v>
      </c>
      <c r="N388">
        <f t="shared" si="85"/>
        <v>0</v>
      </c>
      <c r="O388">
        <f t="shared" si="85"/>
        <v>0</v>
      </c>
      <c r="P388">
        <f t="shared" si="85"/>
        <v>0</v>
      </c>
      <c r="Q388">
        <f t="shared" si="85"/>
        <v>0</v>
      </c>
      <c r="R388">
        <f t="shared" si="85"/>
        <v>0</v>
      </c>
      <c r="S388">
        <f t="shared" si="85"/>
        <v>0</v>
      </c>
      <c r="T388">
        <f t="shared" si="85"/>
        <v>0</v>
      </c>
      <c r="U388">
        <f t="shared" si="85"/>
        <v>0</v>
      </c>
      <c r="V388">
        <f t="shared" si="85"/>
        <v>0</v>
      </c>
      <c r="W388">
        <f t="shared" si="85"/>
        <v>0</v>
      </c>
      <c r="X388">
        <f t="shared" si="85"/>
        <v>0</v>
      </c>
      <c r="Y388">
        <f t="shared" si="84"/>
        <v>0</v>
      </c>
      <c r="Z388">
        <f t="shared" si="84"/>
        <v>0</v>
      </c>
      <c r="AA388">
        <f t="shared" si="84"/>
        <v>0</v>
      </c>
      <c r="AB388">
        <f t="shared" si="84"/>
        <v>0</v>
      </c>
      <c r="AC388">
        <f t="shared" si="84"/>
        <v>0</v>
      </c>
      <c r="AD388">
        <f t="shared" si="84"/>
        <v>0</v>
      </c>
      <c r="AE388">
        <f t="shared" si="84"/>
        <v>0</v>
      </c>
      <c r="AF388">
        <f t="shared" si="84"/>
        <v>0</v>
      </c>
      <c r="AG388">
        <f t="shared" si="84"/>
        <v>0</v>
      </c>
      <c r="AH388">
        <f t="shared" si="84"/>
        <v>0</v>
      </c>
      <c r="AI388">
        <f t="shared" si="84"/>
        <v>0</v>
      </c>
      <c r="AJ388">
        <f t="shared" si="84"/>
        <v>0</v>
      </c>
      <c r="AK388">
        <f t="shared" si="84"/>
        <v>0</v>
      </c>
      <c r="AL388">
        <f t="shared" si="84"/>
        <v>0</v>
      </c>
      <c r="AM388">
        <f t="shared" si="84"/>
        <v>0</v>
      </c>
      <c r="AN388">
        <f t="shared" si="79"/>
        <v>0</v>
      </c>
      <c r="AO388">
        <f t="shared" si="79"/>
        <v>0</v>
      </c>
      <c r="AP388">
        <f t="shared" si="79"/>
        <v>0</v>
      </c>
      <c r="AQ388">
        <f t="shared" si="79"/>
        <v>0</v>
      </c>
      <c r="AR388">
        <f t="shared" si="79"/>
        <v>0</v>
      </c>
    </row>
    <row r="389" spans="5:44" x14ac:dyDescent="0.2">
      <c r="E389" s="1">
        <f>moment_rate!$AC389</f>
        <v>7.4493433161470389E-3</v>
      </c>
      <c r="F389" s="1">
        <f t="shared" si="73"/>
        <v>0</v>
      </c>
      <c r="G389">
        <f>moment_rate!I389-0.005</f>
        <v>3.8199999999999625</v>
      </c>
      <c r="H389" s="1">
        <f t="shared" si="74"/>
        <v>0</v>
      </c>
      <c r="I389">
        <f t="shared" si="85"/>
        <v>0</v>
      </c>
      <c r="J389">
        <f t="shared" si="85"/>
        <v>0</v>
      </c>
      <c r="K389">
        <f t="shared" si="85"/>
        <v>0</v>
      </c>
      <c r="L389">
        <f t="shared" si="85"/>
        <v>0</v>
      </c>
      <c r="M389">
        <f t="shared" si="85"/>
        <v>0</v>
      </c>
      <c r="N389">
        <f t="shared" si="85"/>
        <v>0</v>
      </c>
      <c r="O389">
        <f t="shared" si="85"/>
        <v>0</v>
      </c>
      <c r="P389">
        <f t="shared" si="85"/>
        <v>0</v>
      </c>
      <c r="Q389">
        <f t="shared" si="85"/>
        <v>0</v>
      </c>
      <c r="R389">
        <f t="shared" si="85"/>
        <v>0</v>
      </c>
      <c r="S389">
        <f t="shared" si="85"/>
        <v>0</v>
      </c>
      <c r="T389">
        <f t="shared" si="85"/>
        <v>0</v>
      </c>
      <c r="U389">
        <f t="shared" si="85"/>
        <v>0</v>
      </c>
      <c r="V389">
        <f t="shared" si="85"/>
        <v>0</v>
      </c>
      <c r="W389">
        <f t="shared" si="85"/>
        <v>0</v>
      </c>
      <c r="X389">
        <f t="shared" si="85"/>
        <v>0</v>
      </c>
      <c r="Y389">
        <f t="shared" si="84"/>
        <v>0</v>
      </c>
      <c r="Z389">
        <f t="shared" si="84"/>
        <v>0</v>
      </c>
      <c r="AA389">
        <f t="shared" si="84"/>
        <v>0</v>
      </c>
      <c r="AB389">
        <f t="shared" si="84"/>
        <v>0</v>
      </c>
      <c r="AC389">
        <f t="shared" si="84"/>
        <v>0</v>
      </c>
      <c r="AD389">
        <f t="shared" si="84"/>
        <v>0</v>
      </c>
      <c r="AE389">
        <f t="shared" si="84"/>
        <v>0</v>
      </c>
      <c r="AF389">
        <f t="shared" si="84"/>
        <v>0</v>
      </c>
      <c r="AG389">
        <f t="shared" si="84"/>
        <v>0</v>
      </c>
      <c r="AH389">
        <f t="shared" si="84"/>
        <v>0</v>
      </c>
      <c r="AI389">
        <f t="shared" si="84"/>
        <v>0</v>
      </c>
      <c r="AJ389">
        <f t="shared" si="84"/>
        <v>0</v>
      </c>
      <c r="AK389">
        <f t="shared" si="84"/>
        <v>0</v>
      </c>
      <c r="AL389">
        <f t="shared" si="84"/>
        <v>0</v>
      </c>
      <c r="AM389">
        <f t="shared" si="84"/>
        <v>0</v>
      </c>
      <c r="AN389">
        <f t="shared" si="79"/>
        <v>0</v>
      </c>
      <c r="AO389">
        <f t="shared" si="79"/>
        <v>0</v>
      </c>
      <c r="AP389">
        <f t="shared" si="79"/>
        <v>0</v>
      </c>
      <c r="AQ389">
        <f t="shared" si="79"/>
        <v>0</v>
      </c>
      <c r="AR389">
        <f t="shared" si="79"/>
        <v>0</v>
      </c>
    </row>
    <row r="390" spans="5:44" x14ac:dyDescent="0.2">
      <c r="E390" s="1">
        <f>moment_rate!$AC390</f>
        <v>7.4493433161470389E-3</v>
      </c>
      <c r="F390" s="1">
        <f t="shared" si="73"/>
        <v>0</v>
      </c>
      <c r="G390">
        <f>moment_rate!I390-0.005</f>
        <v>3.8299999999999623</v>
      </c>
      <c r="H390" s="1">
        <f t="shared" si="74"/>
        <v>0</v>
      </c>
      <c r="I390">
        <f t="shared" si="85"/>
        <v>0</v>
      </c>
      <c r="J390">
        <f t="shared" si="85"/>
        <v>0</v>
      </c>
      <c r="K390">
        <f t="shared" si="85"/>
        <v>0</v>
      </c>
      <c r="L390">
        <f t="shared" si="85"/>
        <v>0</v>
      </c>
      <c r="M390">
        <f t="shared" si="85"/>
        <v>0</v>
      </c>
      <c r="N390">
        <f t="shared" si="85"/>
        <v>0</v>
      </c>
      <c r="O390">
        <f t="shared" si="85"/>
        <v>0</v>
      </c>
      <c r="P390">
        <f t="shared" si="85"/>
        <v>0</v>
      </c>
      <c r="Q390">
        <f t="shared" si="85"/>
        <v>0</v>
      </c>
      <c r="R390">
        <f t="shared" si="85"/>
        <v>0</v>
      </c>
      <c r="S390">
        <f t="shared" si="85"/>
        <v>0</v>
      </c>
      <c r="T390">
        <f t="shared" si="85"/>
        <v>0</v>
      </c>
      <c r="U390">
        <f t="shared" si="85"/>
        <v>0</v>
      </c>
      <c r="V390">
        <f t="shared" si="85"/>
        <v>0</v>
      </c>
      <c r="W390">
        <f t="shared" si="85"/>
        <v>0</v>
      </c>
      <c r="X390">
        <f t="shared" si="85"/>
        <v>0</v>
      </c>
      <c r="Y390">
        <f t="shared" si="84"/>
        <v>0</v>
      </c>
      <c r="Z390">
        <f t="shared" si="84"/>
        <v>0</v>
      </c>
      <c r="AA390">
        <f t="shared" si="84"/>
        <v>0</v>
      </c>
      <c r="AB390">
        <f t="shared" si="84"/>
        <v>0</v>
      </c>
      <c r="AC390">
        <f t="shared" si="84"/>
        <v>0</v>
      </c>
      <c r="AD390">
        <f t="shared" si="84"/>
        <v>0</v>
      </c>
      <c r="AE390">
        <f t="shared" si="84"/>
        <v>0</v>
      </c>
      <c r="AF390">
        <f t="shared" si="84"/>
        <v>0</v>
      </c>
      <c r="AG390">
        <f t="shared" si="84"/>
        <v>0</v>
      </c>
      <c r="AH390">
        <f t="shared" si="84"/>
        <v>0</v>
      </c>
      <c r="AI390">
        <f t="shared" si="84"/>
        <v>0</v>
      </c>
      <c r="AJ390">
        <f t="shared" si="84"/>
        <v>0</v>
      </c>
      <c r="AK390">
        <f t="shared" si="84"/>
        <v>0</v>
      </c>
      <c r="AL390">
        <f t="shared" si="84"/>
        <v>0</v>
      </c>
      <c r="AM390">
        <f t="shared" si="84"/>
        <v>0</v>
      </c>
      <c r="AN390">
        <f t="shared" si="79"/>
        <v>0</v>
      </c>
      <c r="AO390">
        <f t="shared" si="79"/>
        <v>0</v>
      </c>
      <c r="AP390">
        <f t="shared" si="79"/>
        <v>0</v>
      </c>
      <c r="AQ390">
        <f t="shared" si="79"/>
        <v>0</v>
      </c>
      <c r="AR390">
        <f t="shared" si="79"/>
        <v>0</v>
      </c>
    </row>
    <row r="391" spans="5:44" x14ac:dyDescent="0.2">
      <c r="E391" s="1">
        <f>moment_rate!$AC391</f>
        <v>7.4493433161470389E-3</v>
      </c>
      <c r="F391" s="1">
        <f t="shared" si="73"/>
        <v>0</v>
      </c>
      <c r="G391">
        <f>moment_rate!I391-0.005</f>
        <v>3.8399999999999621</v>
      </c>
      <c r="H391" s="1">
        <f t="shared" si="74"/>
        <v>0</v>
      </c>
      <c r="I391">
        <f t="shared" si="85"/>
        <v>0</v>
      </c>
      <c r="J391">
        <f t="shared" si="85"/>
        <v>0</v>
      </c>
      <c r="K391">
        <f t="shared" si="85"/>
        <v>0</v>
      </c>
      <c r="L391">
        <f t="shared" si="85"/>
        <v>0</v>
      </c>
      <c r="M391">
        <f t="shared" si="85"/>
        <v>0</v>
      </c>
      <c r="N391">
        <f t="shared" si="85"/>
        <v>0</v>
      </c>
      <c r="O391">
        <f t="shared" si="85"/>
        <v>0</v>
      </c>
      <c r="P391">
        <f t="shared" si="85"/>
        <v>0</v>
      </c>
      <c r="Q391">
        <f t="shared" si="85"/>
        <v>0</v>
      </c>
      <c r="R391">
        <f t="shared" si="85"/>
        <v>0</v>
      </c>
      <c r="S391">
        <f t="shared" si="85"/>
        <v>0</v>
      </c>
      <c r="T391">
        <f t="shared" si="85"/>
        <v>0</v>
      </c>
      <c r="U391">
        <f t="shared" si="85"/>
        <v>0</v>
      </c>
      <c r="V391">
        <f t="shared" si="85"/>
        <v>0</v>
      </c>
      <c r="W391">
        <f t="shared" si="85"/>
        <v>0</v>
      </c>
      <c r="X391">
        <f t="shared" si="85"/>
        <v>0</v>
      </c>
      <c r="Y391">
        <f t="shared" si="84"/>
        <v>0</v>
      </c>
      <c r="Z391">
        <f t="shared" si="84"/>
        <v>0</v>
      </c>
      <c r="AA391">
        <f t="shared" si="84"/>
        <v>0</v>
      </c>
      <c r="AB391">
        <f t="shared" si="84"/>
        <v>0</v>
      </c>
      <c r="AC391">
        <f t="shared" si="84"/>
        <v>0</v>
      </c>
      <c r="AD391">
        <f t="shared" si="84"/>
        <v>0</v>
      </c>
      <c r="AE391">
        <f t="shared" si="84"/>
        <v>0</v>
      </c>
      <c r="AF391">
        <f t="shared" si="84"/>
        <v>0</v>
      </c>
      <c r="AG391">
        <f t="shared" si="84"/>
        <v>0</v>
      </c>
      <c r="AH391">
        <f t="shared" si="84"/>
        <v>0</v>
      </c>
      <c r="AI391">
        <f t="shared" si="84"/>
        <v>0</v>
      </c>
      <c r="AJ391">
        <f t="shared" si="84"/>
        <v>0</v>
      </c>
      <c r="AK391">
        <f t="shared" si="84"/>
        <v>0</v>
      </c>
      <c r="AL391">
        <f t="shared" si="84"/>
        <v>0</v>
      </c>
      <c r="AM391">
        <f t="shared" si="84"/>
        <v>0</v>
      </c>
      <c r="AN391">
        <f t="shared" si="79"/>
        <v>0</v>
      </c>
      <c r="AO391">
        <f t="shared" si="79"/>
        <v>0</v>
      </c>
      <c r="AP391">
        <f t="shared" si="79"/>
        <v>0</v>
      </c>
      <c r="AQ391">
        <f t="shared" si="79"/>
        <v>0</v>
      </c>
      <c r="AR391">
        <f t="shared" si="79"/>
        <v>0</v>
      </c>
    </row>
    <row r="392" spans="5:44" x14ac:dyDescent="0.2">
      <c r="E392" s="1">
        <f>moment_rate!$AC392</f>
        <v>7.4493433161470389E-3</v>
      </c>
      <c r="F392" s="1">
        <f t="shared" ref="F392:F455" si="86">E392-E393</f>
        <v>0</v>
      </c>
      <c r="G392">
        <f>moment_rate!I392-0.005</f>
        <v>3.8499999999999619</v>
      </c>
      <c r="H392" s="1">
        <f t="shared" ref="H392:H455" si="87">IF($G392&gt;=4.999,(E392-E393),0)</f>
        <v>0</v>
      </c>
      <c r="I392">
        <f t="shared" si="85"/>
        <v>0</v>
      </c>
      <c r="J392">
        <f t="shared" si="85"/>
        <v>0</v>
      </c>
      <c r="K392">
        <f t="shared" si="85"/>
        <v>0</v>
      </c>
      <c r="L392">
        <f t="shared" si="85"/>
        <v>0</v>
      </c>
      <c r="M392">
        <f t="shared" si="85"/>
        <v>0</v>
      </c>
      <c r="N392">
        <f t="shared" si="85"/>
        <v>0</v>
      </c>
      <c r="O392">
        <f t="shared" si="85"/>
        <v>0</v>
      </c>
      <c r="P392">
        <f t="shared" si="85"/>
        <v>0</v>
      </c>
      <c r="Q392">
        <f t="shared" si="85"/>
        <v>0</v>
      </c>
      <c r="R392">
        <f t="shared" si="85"/>
        <v>0</v>
      </c>
      <c r="S392">
        <f t="shared" si="85"/>
        <v>0</v>
      </c>
      <c r="T392">
        <f t="shared" si="85"/>
        <v>0</v>
      </c>
      <c r="U392">
        <f t="shared" si="85"/>
        <v>0</v>
      </c>
      <c r="V392">
        <f t="shared" si="85"/>
        <v>0</v>
      </c>
      <c r="W392">
        <f t="shared" si="85"/>
        <v>0</v>
      </c>
      <c r="X392">
        <f t="shared" si="85"/>
        <v>0</v>
      </c>
      <c r="Y392">
        <f t="shared" si="84"/>
        <v>0</v>
      </c>
      <c r="Z392">
        <f t="shared" si="84"/>
        <v>0</v>
      </c>
      <c r="AA392">
        <f t="shared" si="84"/>
        <v>0</v>
      </c>
      <c r="AB392">
        <f t="shared" si="84"/>
        <v>0</v>
      </c>
      <c r="AC392">
        <f t="shared" si="84"/>
        <v>0</v>
      </c>
      <c r="AD392">
        <f t="shared" si="84"/>
        <v>0</v>
      </c>
      <c r="AE392">
        <f t="shared" si="84"/>
        <v>0</v>
      </c>
      <c r="AF392">
        <f t="shared" si="84"/>
        <v>0</v>
      </c>
      <c r="AG392">
        <f t="shared" si="84"/>
        <v>0</v>
      </c>
      <c r="AH392">
        <f t="shared" si="84"/>
        <v>0</v>
      </c>
      <c r="AI392">
        <f t="shared" si="84"/>
        <v>0</v>
      </c>
      <c r="AJ392">
        <f t="shared" si="84"/>
        <v>0</v>
      </c>
      <c r="AK392">
        <f t="shared" si="84"/>
        <v>0</v>
      </c>
      <c r="AL392">
        <f t="shared" si="84"/>
        <v>0</v>
      </c>
      <c r="AM392">
        <f t="shared" si="84"/>
        <v>0</v>
      </c>
      <c r="AN392">
        <f t="shared" si="79"/>
        <v>0</v>
      </c>
      <c r="AO392">
        <f t="shared" si="79"/>
        <v>0</v>
      </c>
      <c r="AP392">
        <f t="shared" si="79"/>
        <v>0</v>
      </c>
      <c r="AQ392">
        <f t="shared" si="79"/>
        <v>0</v>
      </c>
      <c r="AR392">
        <f t="shared" si="79"/>
        <v>0</v>
      </c>
    </row>
    <row r="393" spans="5:44" x14ac:dyDescent="0.2">
      <c r="E393" s="1">
        <f>moment_rate!$AC393</f>
        <v>7.4493433161470389E-3</v>
      </c>
      <c r="F393" s="1">
        <f t="shared" si="86"/>
        <v>0</v>
      </c>
      <c r="G393">
        <f>moment_rate!I393-0.005</f>
        <v>3.8599999999999617</v>
      </c>
      <c r="H393" s="1">
        <f t="shared" si="87"/>
        <v>0</v>
      </c>
      <c r="I393">
        <f t="shared" si="85"/>
        <v>0</v>
      </c>
      <c r="J393">
        <f t="shared" si="85"/>
        <v>0</v>
      </c>
      <c r="K393">
        <f t="shared" si="85"/>
        <v>0</v>
      </c>
      <c r="L393">
        <f t="shared" si="85"/>
        <v>0</v>
      </c>
      <c r="M393">
        <f t="shared" si="85"/>
        <v>0</v>
      </c>
      <c r="N393">
        <f t="shared" si="85"/>
        <v>0</v>
      </c>
      <c r="O393">
        <f t="shared" si="85"/>
        <v>0</v>
      </c>
      <c r="P393">
        <f t="shared" si="85"/>
        <v>0</v>
      </c>
      <c r="Q393">
        <f t="shared" si="85"/>
        <v>0</v>
      </c>
      <c r="R393">
        <f t="shared" si="85"/>
        <v>0</v>
      </c>
      <c r="S393">
        <f t="shared" si="85"/>
        <v>0</v>
      </c>
      <c r="T393">
        <f t="shared" si="85"/>
        <v>0</v>
      </c>
      <c r="U393">
        <f t="shared" si="85"/>
        <v>0</v>
      </c>
      <c r="V393">
        <f t="shared" si="85"/>
        <v>0</v>
      </c>
      <c r="W393">
        <f t="shared" si="85"/>
        <v>0</v>
      </c>
      <c r="X393">
        <f t="shared" si="85"/>
        <v>0</v>
      </c>
      <c r="Y393">
        <f t="shared" si="84"/>
        <v>0</v>
      </c>
      <c r="Z393">
        <f t="shared" si="84"/>
        <v>0</v>
      </c>
      <c r="AA393">
        <f t="shared" si="84"/>
        <v>0</v>
      </c>
      <c r="AB393">
        <f t="shared" si="84"/>
        <v>0</v>
      </c>
      <c r="AC393">
        <f t="shared" si="84"/>
        <v>0</v>
      </c>
      <c r="AD393">
        <f t="shared" si="84"/>
        <v>0</v>
      </c>
      <c r="AE393">
        <f t="shared" si="84"/>
        <v>0</v>
      </c>
      <c r="AF393">
        <f t="shared" si="84"/>
        <v>0</v>
      </c>
      <c r="AG393">
        <f t="shared" si="84"/>
        <v>0</v>
      </c>
      <c r="AH393">
        <f t="shared" si="84"/>
        <v>0</v>
      </c>
      <c r="AI393">
        <f t="shared" si="84"/>
        <v>0</v>
      </c>
      <c r="AJ393">
        <f t="shared" si="84"/>
        <v>0</v>
      </c>
      <c r="AK393">
        <f t="shared" si="84"/>
        <v>0</v>
      </c>
      <c r="AL393">
        <f t="shared" si="84"/>
        <v>0</v>
      </c>
      <c r="AM393">
        <f t="shared" si="84"/>
        <v>0</v>
      </c>
      <c r="AN393">
        <f t="shared" si="79"/>
        <v>0</v>
      </c>
      <c r="AO393">
        <f t="shared" si="79"/>
        <v>0</v>
      </c>
      <c r="AP393">
        <f t="shared" si="79"/>
        <v>0</v>
      </c>
      <c r="AQ393">
        <f t="shared" si="79"/>
        <v>0</v>
      </c>
      <c r="AR393">
        <f t="shared" si="79"/>
        <v>0</v>
      </c>
    </row>
    <row r="394" spans="5:44" x14ac:dyDescent="0.2">
      <c r="E394" s="1">
        <f>moment_rate!$AC394</f>
        <v>7.4493433161470389E-3</v>
      </c>
      <c r="F394" s="1">
        <f t="shared" si="86"/>
        <v>0</v>
      </c>
      <c r="G394">
        <f>moment_rate!I394-0.005</f>
        <v>3.8699999999999615</v>
      </c>
      <c r="H394" s="1">
        <f t="shared" si="87"/>
        <v>0</v>
      </c>
      <c r="I394">
        <f t="shared" si="85"/>
        <v>0</v>
      </c>
      <c r="J394">
        <f t="shared" si="85"/>
        <v>0</v>
      </c>
      <c r="K394">
        <f t="shared" si="85"/>
        <v>0</v>
      </c>
      <c r="L394">
        <f t="shared" si="85"/>
        <v>0</v>
      </c>
      <c r="M394">
        <f t="shared" si="85"/>
        <v>0</v>
      </c>
      <c r="N394">
        <f t="shared" si="85"/>
        <v>0</v>
      </c>
      <c r="O394">
        <f t="shared" si="85"/>
        <v>0</v>
      </c>
      <c r="P394">
        <f t="shared" si="85"/>
        <v>0</v>
      </c>
      <c r="Q394">
        <f t="shared" si="85"/>
        <v>0</v>
      </c>
      <c r="R394">
        <f t="shared" si="85"/>
        <v>0</v>
      </c>
      <c r="S394">
        <f t="shared" si="85"/>
        <v>0</v>
      </c>
      <c r="T394">
        <f t="shared" si="85"/>
        <v>0</v>
      </c>
      <c r="U394">
        <f t="shared" si="85"/>
        <v>0</v>
      </c>
      <c r="V394">
        <f t="shared" si="85"/>
        <v>0</v>
      </c>
      <c r="W394">
        <f t="shared" si="85"/>
        <v>0</v>
      </c>
      <c r="X394">
        <f t="shared" si="85"/>
        <v>0</v>
      </c>
      <c r="Y394">
        <f t="shared" si="84"/>
        <v>0</v>
      </c>
      <c r="Z394">
        <f t="shared" si="84"/>
        <v>0</v>
      </c>
      <c r="AA394">
        <f t="shared" si="84"/>
        <v>0</v>
      </c>
      <c r="AB394">
        <f t="shared" si="84"/>
        <v>0</v>
      </c>
      <c r="AC394">
        <f t="shared" si="84"/>
        <v>0</v>
      </c>
      <c r="AD394">
        <f t="shared" si="84"/>
        <v>0</v>
      </c>
      <c r="AE394">
        <f t="shared" si="84"/>
        <v>0</v>
      </c>
      <c r="AF394">
        <f t="shared" si="84"/>
        <v>0</v>
      </c>
      <c r="AG394">
        <f t="shared" si="84"/>
        <v>0</v>
      </c>
      <c r="AH394">
        <f t="shared" si="84"/>
        <v>0</v>
      </c>
      <c r="AI394">
        <f t="shared" si="84"/>
        <v>0</v>
      </c>
      <c r="AJ394">
        <f t="shared" si="84"/>
        <v>0</v>
      </c>
      <c r="AK394">
        <f t="shared" si="84"/>
        <v>0</v>
      </c>
      <c r="AL394">
        <f t="shared" si="84"/>
        <v>0</v>
      </c>
      <c r="AM394">
        <f t="shared" si="84"/>
        <v>0</v>
      </c>
      <c r="AN394">
        <f t="shared" si="79"/>
        <v>0</v>
      </c>
      <c r="AO394">
        <f t="shared" si="79"/>
        <v>0</v>
      </c>
      <c r="AP394">
        <f t="shared" si="79"/>
        <v>0</v>
      </c>
      <c r="AQ394">
        <f t="shared" si="79"/>
        <v>0</v>
      </c>
      <c r="AR394">
        <f t="shared" si="79"/>
        <v>0</v>
      </c>
    </row>
    <row r="395" spans="5:44" x14ac:dyDescent="0.2">
      <c r="E395" s="1">
        <f>moment_rate!$AC395</f>
        <v>7.4493433161470389E-3</v>
      </c>
      <c r="F395" s="1">
        <f t="shared" si="86"/>
        <v>0</v>
      </c>
      <c r="G395">
        <f>moment_rate!I395-0.005</f>
        <v>3.8799999999999613</v>
      </c>
      <c r="H395" s="1">
        <f t="shared" si="87"/>
        <v>0</v>
      </c>
      <c r="I395">
        <f t="shared" si="85"/>
        <v>0</v>
      </c>
      <c r="J395">
        <f t="shared" si="85"/>
        <v>0</v>
      </c>
      <c r="K395">
        <f t="shared" si="85"/>
        <v>0</v>
      </c>
      <c r="L395">
        <f t="shared" si="85"/>
        <v>0</v>
      </c>
      <c r="M395">
        <f t="shared" si="85"/>
        <v>0</v>
      </c>
      <c r="N395">
        <f t="shared" si="85"/>
        <v>0</v>
      </c>
      <c r="O395">
        <f t="shared" si="85"/>
        <v>0</v>
      </c>
      <c r="P395">
        <f t="shared" si="85"/>
        <v>0</v>
      </c>
      <c r="Q395">
        <f t="shared" si="85"/>
        <v>0</v>
      </c>
      <c r="R395">
        <f t="shared" si="85"/>
        <v>0</v>
      </c>
      <c r="S395">
        <f t="shared" si="85"/>
        <v>0</v>
      </c>
      <c r="T395">
        <f t="shared" si="85"/>
        <v>0</v>
      </c>
      <c r="U395">
        <f t="shared" si="85"/>
        <v>0</v>
      </c>
      <c r="V395">
        <f t="shared" si="85"/>
        <v>0</v>
      </c>
      <c r="W395">
        <f t="shared" si="85"/>
        <v>0</v>
      </c>
      <c r="X395">
        <f t="shared" si="85"/>
        <v>0</v>
      </c>
      <c r="Y395">
        <f t="shared" si="84"/>
        <v>0</v>
      </c>
      <c r="Z395">
        <f t="shared" si="84"/>
        <v>0</v>
      </c>
      <c r="AA395">
        <f t="shared" si="84"/>
        <v>0</v>
      </c>
      <c r="AB395">
        <f t="shared" si="84"/>
        <v>0</v>
      </c>
      <c r="AC395">
        <f t="shared" si="84"/>
        <v>0</v>
      </c>
      <c r="AD395">
        <f t="shared" si="84"/>
        <v>0</v>
      </c>
      <c r="AE395">
        <f t="shared" si="84"/>
        <v>0</v>
      </c>
      <c r="AF395">
        <f t="shared" si="84"/>
        <v>0</v>
      </c>
      <c r="AG395">
        <f t="shared" si="84"/>
        <v>0</v>
      </c>
      <c r="AH395">
        <f t="shared" si="84"/>
        <v>0</v>
      </c>
      <c r="AI395">
        <f t="shared" si="84"/>
        <v>0</v>
      </c>
      <c r="AJ395">
        <f t="shared" si="84"/>
        <v>0</v>
      </c>
      <c r="AK395">
        <f t="shared" si="84"/>
        <v>0</v>
      </c>
      <c r="AL395">
        <f t="shared" si="84"/>
        <v>0</v>
      </c>
      <c r="AM395">
        <f t="shared" si="84"/>
        <v>0</v>
      </c>
      <c r="AN395">
        <f t="shared" si="79"/>
        <v>0</v>
      </c>
      <c r="AO395">
        <f t="shared" si="79"/>
        <v>0</v>
      </c>
      <c r="AP395">
        <f t="shared" si="79"/>
        <v>0</v>
      </c>
      <c r="AQ395">
        <f t="shared" si="79"/>
        <v>0</v>
      </c>
      <c r="AR395">
        <f t="shared" si="79"/>
        <v>0</v>
      </c>
    </row>
    <row r="396" spans="5:44" x14ac:dyDescent="0.2">
      <c r="E396" s="1">
        <f>moment_rate!$AC396</f>
        <v>7.4493433161470389E-3</v>
      </c>
      <c r="F396" s="1">
        <f t="shared" si="86"/>
        <v>0</v>
      </c>
      <c r="G396">
        <f>moment_rate!I396-0.005</f>
        <v>3.889999999999961</v>
      </c>
      <c r="H396" s="1">
        <f t="shared" si="87"/>
        <v>0</v>
      </c>
      <c r="I396">
        <f t="shared" si="85"/>
        <v>0</v>
      </c>
      <c r="J396">
        <f t="shared" si="85"/>
        <v>0</v>
      </c>
      <c r="K396">
        <f t="shared" si="85"/>
        <v>0</v>
      </c>
      <c r="L396">
        <f t="shared" si="85"/>
        <v>0</v>
      </c>
      <c r="M396">
        <f t="shared" si="85"/>
        <v>0</v>
      </c>
      <c r="N396">
        <f t="shared" si="85"/>
        <v>0</v>
      </c>
      <c r="O396">
        <f t="shared" si="85"/>
        <v>0</v>
      </c>
      <c r="P396">
        <f t="shared" si="85"/>
        <v>0</v>
      </c>
      <c r="Q396">
        <f t="shared" si="85"/>
        <v>0</v>
      </c>
      <c r="R396">
        <f t="shared" si="85"/>
        <v>0</v>
      </c>
      <c r="S396">
        <f t="shared" si="85"/>
        <v>0</v>
      </c>
      <c r="T396">
        <f t="shared" si="85"/>
        <v>0</v>
      </c>
      <c r="U396">
        <f t="shared" si="85"/>
        <v>0</v>
      </c>
      <c r="V396">
        <f t="shared" si="85"/>
        <v>0</v>
      </c>
      <c r="W396">
        <f t="shared" si="85"/>
        <v>0</v>
      </c>
      <c r="X396">
        <f t="shared" si="85"/>
        <v>0</v>
      </c>
      <c r="Y396">
        <f t="shared" si="84"/>
        <v>0</v>
      </c>
      <c r="Z396">
        <f t="shared" si="84"/>
        <v>0</v>
      </c>
      <c r="AA396">
        <f t="shared" si="84"/>
        <v>0</v>
      </c>
      <c r="AB396">
        <f t="shared" si="84"/>
        <v>0</v>
      </c>
      <c r="AC396">
        <f t="shared" si="84"/>
        <v>0</v>
      </c>
      <c r="AD396">
        <f t="shared" si="84"/>
        <v>0</v>
      </c>
      <c r="AE396">
        <f t="shared" si="84"/>
        <v>0</v>
      </c>
      <c r="AF396">
        <f t="shared" si="84"/>
        <v>0</v>
      </c>
      <c r="AG396">
        <f t="shared" si="84"/>
        <v>0</v>
      </c>
      <c r="AH396">
        <f t="shared" si="84"/>
        <v>0</v>
      </c>
      <c r="AI396">
        <f t="shared" si="84"/>
        <v>0</v>
      </c>
      <c r="AJ396">
        <f t="shared" si="84"/>
        <v>0</v>
      </c>
      <c r="AK396">
        <f t="shared" si="84"/>
        <v>0</v>
      </c>
      <c r="AL396">
        <f t="shared" si="84"/>
        <v>0</v>
      </c>
      <c r="AM396">
        <f t="shared" si="84"/>
        <v>0</v>
      </c>
      <c r="AN396">
        <f t="shared" si="79"/>
        <v>0</v>
      </c>
      <c r="AO396">
        <f t="shared" si="79"/>
        <v>0</v>
      </c>
      <c r="AP396">
        <f t="shared" si="79"/>
        <v>0</v>
      </c>
      <c r="AQ396">
        <f t="shared" si="79"/>
        <v>0</v>
      </c>
      <c r="AR396">
        <f t="shared" si="79"/>
        <v>0</v>
      </c>
    </row>
    <row r="397" spans="5:44" x14ac:dyDescent="0.2">
      <c r="E397" s="1">
        <f>moment_rate!$AC397</f>
        <v>7.4493433161470389E-3</v>
      </c>
      <c r="F397" s="1">
        <f t="shared" si="86"/>
        <v>0</v>
      </c>
      <c r="G397">
        <f>moment_rate!I397-0.005</f>
        <v>3.8999999999999608</v>
      </c>
      <c r="H397" s="1">
        <f t="shared" si="87"/>
        <v>0</v>
      </c>
      <c r="I397">
        <f t="shared" si="85"/>
        <v>0</v>
      </c>
      <c r="J397">
        <f t="shared" si="85"/>
        <v>0</v>
      </c>
      <c r="K397">
        <f t="shared" si="85"/>
        <v>0</v>
      </c>
      <c r="L397">
        <f t="shared" si="85"/>
        <v>0</v>
      </c>
      <c r="M397">
        <f t="shared" si="85"/>
        <v>0</v>
      </c>
      <c r="N397">
        <f t="shared" si="85"/>
        <v>0</v>
      </c>
      <c r="O397">
        <f t="shared" si="85"/>
        <v>0</v>
      </c>
      <c r="P397">
        <f t="shared" si="85"/>
        <v>0</v>
      </c>
      <c r="Q397">
        <f t="shared" si="85"/>
        <v>0</v>
      </c>
      <c r="R397">
        <f t="shared" si="85"/>
        <v>0</v>
      </c>
      <c r="S397">
        <f t="shared" si="85"/>
        <v>0</v>
      </c>
      <c r="T397">
        <f t="shared" si="85"/>
        <v>0</v>
      </c>
      <c r="U397">
        <f t="shared" si="85"/>
        <v>0</v>
      </c>
      <c r="V397">
        <f t="shared" si="85"/>
        <v>0</v>
      </c>
      <c r="W397">
        <f t="shared" si="85"/>
        <v>0</v>
      </c>
      <c r="X397">
        <f t="shared" si="85"/>
        <v>0</v>
      </c>
      <c r="Y397">
        <f t="shared" si="84"/>
        <v>0</v>
      </c>
      <c r="Z397">
        <f t="shared" si="84"/>
        <v>0</v>
      </c>
      <c r="AA397">
        <f t="shared" si="84"/>
        <v>0</v>
      </c>
      <c r="AB397">
        <f t="shared" si="84"/>
        <v>0</v>
      </c>
      <c r="AC397">
        <f t="shared" si="84"/>
        <v>0</v>
      </c>
      <c r="AD397">
        <f t="shared" si="84"/>
        <v>0</v>
      </c>
      <c r="AE397">
        <f t="shared" si="84"/>
        <v>0</v>
      </c>
      <c r="AF397">
        <f t="shared" si="84"/>
        <v>0</v>
      </c>
      <c r="AG397">
        <f t="shared" si="84"/>
        <v>0</v>
      </c>
      <c r="AH397">
        <f t="shared" si="84"/>
        <v>0</v>
      </c>
      <c r="AI397">
        <f t="shared" si="84"/>
        <v>0</v>
      </c>
      <c r="AJ397">
        <f t="shared" si="84"/>
        <v>0</v>
      </c>
      <c r="AK397">
        <f t="shared" si="84"/>
        <v>0</v>
      </c>
      <c r="AL397">
        <f t="shared" si="84"/>
        <v>0</v>
      </c>
      <c r="AM397">
        <f t="shared" si="84"/>
        <v>0</v>
      </c>
      <c r="AN397">
        <f t="shared" si="79"/>
        <v>0</v>
      </c>
      <c r="AO397">
        <f t="shared" si="79"/>
        <v>0</v>
      </c>
      <c r="AP397">
        <f t="shared" si="79"/>
        <v>0</v>
      </c>
      <c r="AQ397">
        <f t="shared" si="79"/>
        <v>0</v>
      </c>
      <c r="AR397">
        <f t="shared" si="79"/>
        <v>0</v>
      </c>
    </row>
    <row r="398" spans="5:44" x14ac:dyDescent="0.2">
      <c r="E398" s="1">
        <f>moment_rate!$AC398</f>
        <v>7.4493433161470389E-3</v>
      </c>
      <c r="F398" s="1">
        <f t="shared" si="86"/>
        <v>0</v>
      </c>
      <c r="G398">
        <f>moment_rate!I398-0.005</f>
        <v>3.9099999999999606</v>
      </c>
      <c r="H398" s="1">
        <f t="shared" si="87"/>
        <v>0</v>
      </c>
      <c r="I398">
        <f t="shared" si="85"/>
        <v>0</v>
      </c>
      <c r="J398">
        <f t="shared" si="85"/>
        <v>0</v>
      </c>
      <c r="K398">
        <f t="shared" si="85"/>
        <v>0</v>
      </c>
      <c r="L398">
        <f t="shared" si="85"/>
        <v>0</v>
      </c>
      <c r="M398">
        <f t="shared" si="85"/>
        <v>0</v>
      </c>
      <c r="N398">
        <f t="shared" si="85"/>
        <v>0</v>
      </c>
      <c r="O398">
        <f t="shared" si="85"/>
        <v>0</v>
      </c>
      <c r="P398">
        <f t="shared" si="85"/>
        <v>0</v>
      </c>
      <c r="Q398">
        <f t="shared" si="85"/>
        <v>0</v>
      </c>
      <c r="R398">
        <f t="shared" si="85"/>
        <v>0</v>
      </c>
      <c r="S398">
        <f t="shared" si="85"/>
        <v>0</v>
      </c>
      <c r="T398">
        <f t="shared" si="85"/>
        <v>0</v>
      </c>
      <c r="U398">
        <f t="shared" si="85"/>
        <v>0</v>
      </c>
      <c r="V398">
        <f t="shared" si="85"/>
        <v>0</v>
      </c>
      <c r="W398">
        <f t="shared" si="85"/>
        <v>0</v>
      </c>
      <c r="X398">
        <f t="shared" ref="X398:AR410" si="88">IF(AND($G398&gt;=X$3,$G398&lt;X$4),$F398,0)</f>
        <v>0</v>
      </c>
      <c r="Y398">
        <f t="shared" si="88"/>
        <v>0</v>
      </c>
      <c r="Z398">
        <f t="shared" si="88"/>
        <v>0</v>
      </c>
      <c r="AA398">
        <f t="shared" si="88"/>
        <v>0</v>
      </c>
      <c r="AB398">
        <f t="shared" si="88"/>
        <v>0</v>
      </c>
      <c r="AC398">
        <f t="shared" si="88"/>
        <v>0</v>
      </c>
      <c r="AD398">
        <f t="shared" si="88"/>
        <v>0</v>
      </c>
      <c r="AE398">
        <f t="shared" si="88"/>
        <v>0</v>
      </c>
      <c r="AF398">
        <f t="shared" si="88"/>
        <v>0</v>
      </c>
      <c r="AG398">
        <f t="shared" si="88"/>
        <v>0</v>
      </c>
      <c r="AH398">
        <f t="shared" si="88"/>
        <v>0</v>
      </c>
      <c r="AI398">
        <f t="shared" si="88"/>
        <v>0</v>
      </c>
      <c r="AJ398">
        <f t="shared" si="88"/>
        <v>0</v>
      </c>
      <c r="AK398">
        <f t="shared" si="88"/>
        <v>0</v>
      </c>
      <c r="AL398">
        <f t="shared" si="88"/>
        <v>0</v>
      </c>
      <c r="AM398">
        <f t="shared" si="88"/>
        <v>0</v>
      </c>
      <c r="AN398">
        <f t="shared" si="88"/>
        <v>0</v>
      </c>
      <c r="AO398">
        <f t="shared" si="88"/>
        <v>0</v>
      </c>
      <c r="AP398">
        <f t="shared" si="88"/>
        <v>0</v>
      </c>
      <c r="AQ398">
        <f t="shared" si="88"/>
        <v>0</v>
      </c>
      <c r="AR398">
        <f t="shared" si="88"/>
        <v>0</v>
      </c>
    </row>
    <row r="399" spans="5:44" x14ac:dyDescent="0.2">
      <c r="E399" s="1">
        <f>moment_rate!$AC399</f>
        <v>7.4493433161470389E-3</v>
      </c>
      <c r="F399" s="1">
        <f t="shared" si="86"/>
        <v>0</v>
      </c>
      <c r="G399">
        <f>moment_rate!I399-0.005</f>
        <v>3.9199999999999604</v>
      </c>
      <c r="H399" s="1">
        <f t="shared" si="87"/>
        <v>0</v>
      </c>
      <c r="I399">
        <f t="shared" ref="I399:X414" si="89">IF(AND($G399&gt;=I$3,$G399&lt;I$4),$F399,0)</f>
        <v>0</v>
      </c>
      <c r="J399">
        <f t="shared" si="89"/>
        <v>0</v>
      </c>
      <c r="K399">
        <f t="shared" si="89"/>
        <v>0</v>
      </c>
      <c r="L399">
        <f t="shared" si="89"/>
        <v>0</v>
      </c>
      <c r="M399">
        <f t="shared" si="89"/>
        <v>0</v>
      </c>
      <c r="N399">
        <f t="shared" si="89"/>
        <v>0</v>
      </c>
      <c r="O399">
        <f t="shared" si="89"/>
        <v>0</v>
      </c>
      <c r="P399">
        <f t="shared" si="89"/>
        <v>0</v>
      </c>
      <c r="Q399">
        <f t="shared" si="89"/>
        <v>0</v>
      </c>
      <c r="R399">
        <f t="shared" si="89"/>
        <v>0</v>
      </c>
      <c r="S399">
        <f t="shared" si="89"/>
        <v>0</v>
      </c>
      <c r="T399">
        <f t="shared" si="89"/>
        <v>0</v>
      </c>
      <c r="U399">
        <f t="shared" si="89"/>
        <v>0</v>
      </c>
      <c r="V399">
        <f t="shared" si="89"/>
        <v>0</v>
      </c>
      <c r="W399">
        <f t="shared" si="89"/>
        <v>0</v>
      </c>
      <c r="X399">
        <f t="shared" si="89"/>
        <v>0</v>
      </c>
      <c r="Y399">
        <f t="shared" si="88"/>
        <v>0</v>
      </c>
      <c r="Z399">
        <f t="shared" si="88"/>
        <v>0</v>
      </c>
      <c r="AA399">
        <f t="shared" si="88"/>
        <v>0</v>
      </c>
      <c r="AB399">
        <f t="shared" si="88"/>
        <v>0</v>
      </c>
      <c r="AC399">
        <f t="shared" si="88"/>
        <v>0</v>
      </c>
      <c r="AD399">
        <f t="shared" si="88"/>
        <v>0</v>
      </c>
      <c r="AE399">
        <f t="shared" si="88"/>
        <v>0</v>
      </c>
      <c r="AF399">
        <f t="shared" si="88"/>
        <v>0</v>
      </c>
      <c r="AG399">
        <f t="shared" si="88"/>
        <v>0</v>
      </c>
      <c r="AH399">
        <f t="shared" si="88"/>
        <v>0</v>
      </c>
      <c r="AI399">
        <f t="shared" si="88"/>
        <v>0</v>
      </c>
      <c r="AJ399">
        <f t="shared" si="88"/>
        <v>0</v>
      </c>
      <c r="AK399">
        <f t="shared" si="88"/>
        <v>0</v>
      </c>
      <c r="AL399">
        <f t="shared" si="88"/>
        <v>0</v>
      </c>
      <c r="AM399">
        <f t="shared" si="88"/>
        <v>0</v>
      </c>
      <c r="AN399">
        <f t="shared" si="88"/>
        <v>0</v>
      </c>
      <c r="AO399">
        <f t="shared" si="88"/>
        <v>0</v>
      </c>
      <c r="AP399">
        <f t="shared" si="88"/>
        <v>0</v>
      </c>
      <c r="AQ399">
        <f t="shared" si="88"/>
        <v>0</v>
      </c>
      <c r="AR399">
        <f t="shared" si="88"/>
        <v>0</v>
      </c>
    </row>
    <row r="400" spans="5:44" x14ac:dyDescent="0.2">
      <c r="E400" s="1">
        <f>moment_rate!$AC400</f>
        <v>7.4493433161470389E-3</v>
      </c>
      <c r="F400" s="1">
        <f t="shared" si="86"/>
        <v>0</v>
      </c>
      <c r="G400">
        <f>moment_rate!I400-0.005</f>
        <v>3.9299999999999602</v>
      </c>
      <c r="H400" s="1">
        <f t="shared" si="87"/>
        <v>0</v>
      </c>
      <c r="I400">
        <f t="shared" si="89"/>
        <v>0</v>
      </c>
      <c r="J400">
        <f t="shared" si="89"/>
        <v>0</v>
      </c>
      <c r="K400">
        <f t="shared" si="89"/>
        <v>0</v>
      </c>
      <c r="L400">
        <f t="shared" si="89"/>
        <v>0</v>
      </c>
      <c r="M400">
        <f t="shared" si="89"/>
        <v>0</v>
      </c>
      <c r="N400">
        <f t="shared" si="89"/>
        <v>0</v>
      </c>
      <c r="O400">
        <f t="shared" si="89"/>
        <v>0</v>
      </c>
      <c r="P400">
        <f t="shared" si="89"/>
        <v>0</v>
      </c>
      <c r="Q400">
        <f t="shared" si="89"/>
        <v>0</v>
      </c>
      <c r="R400">
        <f t="shared" si="89"/>
        <v>0</v>
      </c>
      <c r="S400">
        <f t="shared" si="89"/>
        <v>0</v>
      </c>
      <c r="T400">
        <f t="shared" si="89"/>
        <v>0</v>
      </c>
      <c r="U400">
        <f t="shared" si="89"/>
        <v>0</v>
      </c>
      <c r="V400">
        <f t="shared" si="89"/>
        <v>0</v>
      </c>
      <c r="W400">
        <f t="shared" si="89"/>
        <v>0</v>
      </c>
      <c r="X400">
        <f t="shared" si="89"/>
        <v>0</v>
      </c>
      <c r="Y400">
        <f t="shared" si="88"/>
        <v>0</v>
      </c>
      <c r="Z400">
        <f t="shared" si="88"/>
        <v>0</v>
      </c>
      <c r="AA400">
        <f t="shared" si="88"/>
        <v>0</v>
      </c>
      <c r="AB400">
        <f t="shared" si="88"/>
        <v>0</v>
      </c>
      <c r="AC400">
        <f t="shared" si="88"/>
        <v>0</v>
      </c>
      <c r="AD400">
        <f t="shared" si="88"/>
        <v>0</v>
      </c>
      <c r="AE400">
        <f t="shared" si="88"/>
        <v>0</v>
      </c>
      <c r="AF400">
        <f t="shared" si="88"/>
        <v>0</v>
      </c>
      <c r="AG400">
        <f t="shared" si="88"/>
        <v>0</v>
      </c>
      <c r="AH400">
        <f t="shared" si="88"/>
        <v>0</v>
      </c>
      <c r="AI400">
        <f t="shared" si="88"/>
        <v>0</v>
      </c>
      <c r="AJ400">
        <f t="shared" si="88"/>
        <v>0</v>
      </c>
      <c r="AK400">
        <f t="shared" si="88"/>
        <v>0</v>
      </c>
      <c r="AL400">
        <f t="shared" si="88"/>
        <v>0</v>
      </c>
      <c r="AM400">
        <f t="shared" si="88"/>
        <v>0</v>
      </c>
      <c r="AN400">
        <f t="shared" si="88"/>
        <v>0</v>
      </c>
      <c r="AO400">
        <f t="shared" si="88"/>
        <v>0</v>
      </c>
      <c r="AP400">
        <f t="shared" si="88"/>
        <v>0</v>
      </c>
      <c r="AQ400">
        <f t="shared" si="88"/>
        <v>0</v>
      </c>
      <c r="AR400">
        <f t="shared" si="88"/>
        <v>0</v>
      </c>
    </row>
    <row r="401" spans="5:44" x14ac:dyDescent="0.2">
      <c r="E401" s="1">
        <f>moment_rate!$AC401</f>
        <v>7.4493433161470389E-3</v>
      </c>
      <c r="F401" s="1">
        <f t="shared" si="86"/>
        <v>0</v>
      </c>
      <c r="G401">
        <f>moment_rate!I401-0.005</f>
        <v>3.93999999999996</v>
      </c>
      <c r="H401" s="1">
        <f t="shared" si="87"/>
        <v>0</v>
      </c>
      <c r="I401">
        <f t="shared" si="89"/>
        <v>0</v>
      </c>
      <c r="J401">
        <f t="shared" si="89"/>
        <v>0</v>
      </c>
      <c r="K401">
        <f t="shared" si="89"/>
        <v>0</v>
      </c>
      <c r="L401">
        <f t="shared" si="89"/>
        <v>0</v>
      </c>
      <c r="M401">
        <f t="shared" si="89"/>
        <v>0</v>
      </c>
      <c r="N401">
        <f t="shared" si="89"/>
        <v>0</v>
      </c>
      <c r="O401">
        <f t="shared" si="89"/>
        <v>0</v>
      </c>
      <c r="P401">
        <f t="shared" si="89"/>
        <v>0</v>
      </c>
      <c r="Q401">
        <f t="shared" si="89"/>
        <v>0</v>
      </c>
      <c r="R401">
        <f t="shared" si="89"/>
        <v>0</v>
      </c>
      <c r="S401">
        <f t="shared" si="89"/>
        <v>0</v>
      </c>
      <c r="T401">
        <f t="shared" si="89"/>
        <v>0</v>
      </c>
      <c r="U401">
        <f t="shared" si="89"/>
        <v>0</v>
      </c>
      <c r="V401">
        <f t="shared" si="89"/>
        <v>0</v>
      </c>
      <c r="W401">
        <f t="shared" si="89"/>
        <v>0</v>
      </c>
      <c r="X401">
        <f t="shared" si="89"/>
        <v>0</v>
      </c>
      <c r="Y401">
        <f t="shared" si="88"/>
        <v>0</v>
      </c>
      <c r="Z401">
        <f t="shared" si="88"/>
        <v>0</v>
      </c>
      <c r="AA401">
        <f t="shared" si="88"/>
        <v>0</v>
      </c>
      <c r="AB401">
        <f t="shared" si="88"/>
        <v>0</v>
      </c>
      <c r="AC401">
        <f t="shared" si="88"/>
        <v>0</v>
      </c>
      <c r="AD401">
        <f t="shared" si="88"/>
        <v>0</v>
      </c>
      <c r="AE401">
        <f t="shared" si="88"/>
        <v>0</v>
      </c>
      <c r="AF401">
        <f t="shared" si="88"/>
        <v>0</v>
      </c>
      <c r="AG401">
        <f t="shared" si="88"/>
        <v>0</v>
      </c>
      <c r="AH401">
        <f t="shared" si="88"/>
        <v>0</v>
      </c>
      <c r="AI401">
        <f t="shared" si="88"/>
        <v>0</v>
      </c>
      <c r="AJ401">
        <f t="shared" si="88"/>
        <v>0</v>
      </c>
      <c r="AK401">
        <f t="shared" si="88"/>
        <v>0</v>
      </c>
      <c r="AL401">
        <f t="shared" si="88"/>
        <v>0</v>
      </c>
      <c r="AM401">
        <f t="shared" si="88"/>
        <v>0</v>
      </c>
      <c r="AN401">
        <f t="shared" si="88"/>
        <v>0</v>
      </c>
      <c r="AO401">
        <f t="shared" si="88"/>
        <v>0</v>
      </c>
      <c r="AP401">
        <f t="shared" si="88"/>
        <v>0</v>
      </c>
      <c r="AQ401">
        <f t="shared" si="88"/>
        <v>0</v>
      </c>
      <c r="AR401">
        <f t="shared" si="88"/>
        <v>0</v>
      </c>
    </row>
    <row r="402" spans="5:44" x14ac:dyDescent="0.2">
      <c r="E402" s="1">
        <f>moment_rate!$AC402</f>
        <v>7.4493433161470389E-3</v>
      </c>
      <c r="F402" s="1">
        <f t="shared" si="86"/>
        <v>0</v>
      </c>
      <c r="G402">
        <f>moment_rate!I402-0.005</f>
        <v>3.9499999999999598</v>
      </c>
      <c r="H402" s="1">
        <f t="shared" si="87"/>
        <v>0</v>
      </c>
      <c r="I402">
        <f t="shared" si="89"/>
        <v>0</v>
      </c>
      <c r="J402">
        <f t="shared" si="89"/>
        <v>0</v>
      </c>
      <c r="K402">
        <f t="shared" si="89"/>
        <v>0</v>
      </c>
      <c r="L402">
        <f t="shared" si="89"/>
        <v>0</v>
      </c>
      <c r="M402">
        <f t="shared" si="89"/>
        <v>0</v>
      </c>
      <c r="N402">
        <f t="shared" si="89"/>
        <v>0</v>
      </c>
      <c r="O402">
        <f t="shared" si="89"/>
        <v>0</v>
      </c>
      <c r="P402">
        <f t="shared" si="89"/>
        <v>0</v>
      </c>
      <c r="Q402">
        <f t="shared" si="89"/>
        <v>0</v>
      </c>
      <c r="R402">
        <f t="shared" si="89"/>
        <v>0</v>
      </c>
      <c r="S402">
        <f t="shared" si="89"/>
        <v>0</v>
      </c>
      <c r="T402">
        <f t="shared" si="89"/>
        <v>0</v>
      </c>
      <c r="U402">
        <f t="shared" si="89"/>
        <v>0</v>
      </c>
      <c r="V402">
        <f t="shared" si="89"/>
        <v>0</v>
      </c>
      <c r="W402">
        <f t="shared" si="89"/>
        <v>0</v>
      </c>
      <c r="X402">
        <f t="shared" si="89"/>
        <v>0</v>
      </c>
      <c r="Y402">
        <f t="shared" si="88"/>
        <v>0</v>
      </c>
      <c r="Z402">
        <f t="shared" si="88"/>
        <v>0</v>
      </c>
      <c r="AA402">
        <f t="shared" si="88"/>
        <v>0</v>
      </c>
      <c r="AB402">
        <f t="shared" si="88"/>
        <v>0</v>
      </c>
      <c r="AC402">
        <f t="shared" si="88"/>
        <v>0</v>
      </c>
      <c r="AD402">
        <f t="shared" si="88"/>
        <v>0</v>
      </c>
      <c r="AE402">
        <f t="shared" si="88"/>
        <v>0</v>
      </c>
      <c r="AF402">
        <f t="shared" si="88"/>
        <v>0</v>
      </c>
      <c r="AG402">
        <f t="shared" si="88"/>
        <v>0</v>
      </c>
      <c r="AH402">
        <f t="shared" si="88"/>
        <v>0</v>
      </c>
      <c r="AI402">
        <f t="shared" si="88"/>
        <v>0</v>
      </c>
      <c r="AJ402">
        <f t="shared" si="88"/>
        <v>0</v>
      </c>
      <c r="AK402">
        <f t="shared" si="88"/>
        <v>0</v>
      </c>
      <c r="AL402">
        <f t="shared" si="88"/>
        <v>0</v>
      </c>
      <c r="AM402">
        <f t="shared" si="88"/>
        <v>0</v>
      </c>
      <c r="AN402">
        <f t="shared" si="88"/>
        <v>0</v>
      </c>
      <c r="AO402">
        <f t="shared" si="88"/>
        <v>0</v>
      </c>
      <c r="AP402">
        <f t="shared" si="88"/>
        <v>0</v>
      </c>
      <c r="AQ402">
        <f t="shared" si="88"/>
        <v>0</v>
      </c>
      <c r="AR402">
        <f t="shared" si="88"/>
        <v>0</v>
      </c>
    </row>
    <row r="403" spans="5:44" x14ac:dyDescent="0.2">
      <c r="E403" s="1">
        <f>moment_rate!$AC403</f>
        <v>7.4493433161470389E-3</v>
      </c>
      <c r="F403" s="1">
        <f t="shared" si="86"/>
        <v>0</v>
      </c>
      <c r="G403">
        <f>moment_rate!I403-0.005</f>
        <v>3.9599999999999596</v>
      </c>
      <c r="H403" s="1">
        <f t="shared" si="87"/>
        <v>0</v>
      </c>
      <c r="I403">
        <f t="shared" si="89"/>
        <v>0</v>
      </c>
      <c r="J403">
        <f t="shared" si="89"/>
        <v>0</v>
      </c>
      <c r="K403">
        <f t="shared" si="89"/>
        <v>0</v>
      </c>
      <c r="L403">
        <f t="shared" si="89"/>
        <v>0</v>
      </c>
      <c r="M403">
        <f t="shared" si="89"/>
        <v>0</v>
      </c>
      <c r="N403">
        <f t="shared" si="89"/>
        <v>0</v>
      </c>
      <c r="O403">
        <f t="shared" si="89"/>
        <v>0</v>
      </c>
      <c r="P403">
        <f t="shared" si="89"/>
        <v>0</v>
      </c>
      <c r="Q403">
        <f t="shared" si="89"/>
        <v>0</v>
      </c>
      <c r="R403">
        <f t="shared" si="89"/>
        <v>0</v>
      </c>
      <c r="S403">
        <f t="shared" si="89"/>
        <v>0</v>
      </c>
      <c r="T403">
        <f t="shared" si="89"/>
        <v>0</v>
      </c>
      <c r="U403">
        <f t="shared" si="89"/>
        <v>0</v>
      </c>
      <c r="V403">
        <f t="shared" si="89"/>
        <v>0</v>
      </c>
      <c r="W403">
        <f t="shared" si="89"/>
        <v>0</v>
      </c>
      <c r="X403">
        <f t="shared" si="89"/>
        <v>0</v>
      </c>
      <c r="Y403">
        <f t="shared" si="88"/>
        <v>0</v>
      </c>
      <c r="Z403">
        <f t="shared" si="88"/>
        <v>0</v>
      </c>
      <c r="AA403">
        <f t="shared" si="88"/>
        <v>0</v>
      </c>
      <c r="AB403">
        <f t="shared" si="88"/>
        <v>0</v>
      </c>
      <c r="AC403">
        <f t="shared" si="88"/>
        <v>0</v>
      </c>
      <c r="AD403">
        <f t="shared" si="88"/>
        <v>0</v>
      </c>
      <c r="AE403">
        <f t="shared" si="88"/>
        <v>0</v>
      </c>
      <c r="AF403">
        <f t="shared" si="88"/>
        <v>0</v>
      </c>
      <c r="AG403">
        <f t="shared" si="88"/>
        <v>0</v>
      </c>
      <c r="AH403">
        <f t="shared" si="88"/>
        <v>0</v>
      </c>
      <c r="AI403">
        <f t="shared" si="88"/>
        <v>0</v>
      </c>
      <c r="AJ403">
        <f t="shared" si="88"/>
        <v>0</v>
      </c>
      <c r="AK403">
        <f t="shared" si="88"/>
        <v>0</v>
      </c>
      <c r="AL403">
        <f t="shared" si="88"/>
        <v>0</v>
      </c>
      <c r="AM403">
        <f t="shared" si="88"/>
        <v>0</v>
      </c>
      <c r="AN403">
        <f t="shared" si="88"/>
        <v>0</v>
      </c>
      <c r="AO403">
        <f t="shared" si="88"/>
        <v>0</v>
      </c>
      <c r="AP403">
        <f t="shared" si="88"/>
        <v>0</v>
      </c>
      <c r="AQ403">
        <f t="shared" si="88"/>
        <v>0</v>
      </c>
      <c r="AR403">
        <f t="shared" si="88"/>
        <v>0</v>
      </c>
    </row>
    <row r="404" spans="5:44" x14ac:dyDescent="0.2">
      <c r="E404" s="1">
        <f>moment_rate!$AC404</f>
        <v>7.4493433161470389E-3</v>
      </c>
      <c r="F404" s="1">
        <f t="shared" si="86"/>
        <v>0</v>
      </c>
      <c r="G404">
        <f>moment_rate!I404-0.005</f>
        <v>3.9699999999999593</v>
      </c>
      <c r="H404" s="1">
        <f t="shared" si="87"/>
        <v>0</v>
      </c>
      <c r="I404">
        <f t="shared" si="89"/>
        <v>0</v>
      </c>
      <c r="J404">
        <f t="shared" si="89"/>
        <v>0</v>
      </c>
      <c r="K404">
        <f t="shared" si="89"/>
        <v>0</v>
      </c>
      <c r="L404">
        <f t="shared" si="89"/>
        <v>0</v>
      </c>
      <c r="M404">
        <f t="shared" si="89"/>
        <v>0</v>
      </c>
      <c r="N404">
        <f t="shared" si="89"/>
        <v>0</v>
      </c>
      <c r="O404">
        <f t="shared" si="89"/>
        <v>0</v>
      </c>
      <c r="P404">
        <f t="shared" si="89"/>
        <v>0</v>
      </c>
      <c r="Q404">
        <f t="shared" si="89"/>
        <v>0</v>
      </c>
      <c r="R404">
        <f t="shared" si="89"/>
        <v>0</v>
      </c>
      <c r="S404">
        <f t="shared" si="89"/>
        <v>0</v>
      </c>
      <c r="T404">
        <f t="shared" si="89"/>
        <v>0</v>
      </c>
      <c r="U404">
        <f t="shared" si="89"/>
        <v>0</v>
      </c>
      <c r="V404">
        <f t="shared" si="89"/>
        <v>0</v>
      </c>
      <c r="W404">
        <f t="shared" si="89"/>
        <v>0</v>
      </c>
      <c r="X404">
        <f t="shared" si="89"/>
        <v>0</v>
      </c>
      <c r="Y404">
        <f t="shared" si="88"/>
        <v>0</v>
      </c>
      <c r="Z404">
        <f t="shared" si="88"/>
        <v>0</v>
      </c>
      <c r="AA404">
        <f t="shared" si="88"/>
        <v>0</v>
      </c>
      <c r="AB404">
        <f t="shared" si="88"/>
        <v>0</v>
      </c>
      <c r="AC404">
        <f t="shared" si="88"/>
        <v>0</v>
      </c>
      <c r="AD404">
        <f t="shared" si="88"/>
        <v>0</v>
      </c>
      <c r="AE404">
        <f t="shared" si="88"/>
        <v>0</v>
      </c>
      <c r="AF404">
        <f t="shared" si="88"/>
        <v>0</v>
      </c>
      <c r="AG404">
        <f t="shared" si="88"/>
        <v>0</v>
      </c>
      <c r="AH404">
        <f t="shared" si="88"/>
        <v>0</v>
      </c>
      <c r="AI404">
        <f t="shared" si="88"/>
        <v>0</v>
      </c>
      <c r="AJ404">
        <f t="shared" si="88"/>
        <v>0</v>
      </c>
      <c r="AK404">
        <f t="shared" si="88"/>
        <v>0</v>
      </c>
      <c r="AL404">
        <f t="shared" si="88"/>
        <v>0</v>
      </c>
      <c r="AM404">
        <f t="shared" si="88"/>
        <v>0</v>
      </c>
      <c r="AN404">
        <f t="shared" si="88"/>
        <v>0</v>
      </c>
      <c r="AO404">
        <f t="shared" si="88"/>
        <v>0</v>
      </c>
      <c r="AP404">
        <f t="shared" si="88"/>
        <v>0</v>
      </c>
      <c r="AQ404">
        <f t="shared" si="88"/>
        <v>0</v>
      </c>
      <c r="AR404">
        <f t="shared" si="88"/>
        <v>0</v>
      </c>
    </row>
    <row r="405" spans="5:44" x14ac:dyDescent="0.2">
      <c r="E405" s="1">
        <f>moment_rate!$AC405</f>
        <v>7.4493433161470389E-3</v>
      </c>
      <c r="F405" s="1">
        <f t="shared" si="86"/>
        <v>0</v>
      </c>
      <c r="G405">
        <f>moment_rate!I405-0.005</f>
        <v>3.9799999999999591</v>
      </c>
      <c r="H405" s="1">
        <f t="shared" si="87"/>
        <v>0</v>
      </c>
      <c r="I405">
        <f t="shared" si="89"/>
        <v>0</v>
      </c>
      <c r="J405">
        <f t="shared" si="89"/>
        <v>0</v>
      </c>
      <c r="K405">
        <f t="shared" si="89"/>
        <v>0</v>
      </c>
      <c r="L405">
        <f t="shared" si="89"/>
        <v>0</v>
      </c>
      <c r="M405">
        <f t="shared" si="89"/>
        <v>0</v>
      </c>
      <c r="N405">
        <f t="shared" si="89"/>
        <v>0</v>
      </c>
      <c r="O405">
        <f t="shared" si="89"/>
        <v>0</v>
      </c>
      <c r="P405">
        <f t="shared" si="89"/>
        <v>0</v>
      </c>
      <c r="Q405">
        <f t="shared" si="89"/>
        <v>0</v>
      </c>
      <c r="R405">
        <f t="shared" si="89"/>
        <v>0</v>
      </c>
      <c r="S405">
        <f t="shared" si="89"/>
        <v>0</v>
      </c>
      <c r="T405">
        <f t="shared" si="89"/>
        <v>0</v>
      </c>
      <c r="U405">
        <f t="shared" si="89"/>
        <v>0</v>
      </c>
      <c r="V405">
        <f t="shared" si="89"/>
        <v>0</v>
      </c>
      <c r="W405">
        <f t="shared" si="89"/>
        <v>0</v>
      </c>
      <c r="X405">
        <f t="shared" si="89"/>
        <v>0</v>
      </c>
      <c r="Y405">
        <f t="shared" si="88"/>
        <v>0</v>
      </c>
      <c r="Z405">
        <f t="shared" si="88"/>
        <v>0</v>
      </c>
      <c r="AA405">
        <f t="shared" si="88"/>
        <v>0</v>
      </c>
      <c r="AB405">
        <f t="shared" si="88"/>
        <v>0</v>
      </c>
      <c r="AC405">
        <f t="shared" si="88"/>
        <v>0</v>
      </c>
      <c r="AD405">
        <f t="shared" si="88"/>
        <v>0</v>
      </c>
      <c r="AE405">
        <f t="shared" si="88"/>
        <v>0</v>
      </c>
      <c r="AF405">
        <f t="shared" si="88"/>
        <v>0</v>
      </c>
      <c r="AG405">
        <f t="shared" si="88"/>
        <v>0</v>
      </c>
      <c r="AH405">
        <f t="shared" si="88"/>
        <v>0</v>
      </c>
      <c r="AI405">
        <f t="shared" si="88"/>
        <v>0</v>
      </c>
      <c r="AJ405">
        <f t="shared" si="88"/>
        <v>0</v>
      </c>
      <c r="AK405">
        <f t="shared" si="88"/>
        <v>0</v>
      </c>
      <c r="AL405">
        <f t="shared" si="88"/>
        <v>0</v>
      </c>
      <c r="AM405">
        <f t="shared" si="88"/>
        <v>0</v>
      </c>
      <c r="AN405">
        <f t="shared" si="88"/>
        <v>0</v>
      </c>
      <c r="AO405">
        <f t="shared" si="88"/>
        <v>0</v>
      </c>
      <c r="AP405">
        <f t="shared" si="88"/>
        <v>0</v>
      </c>
      <c r="AQ405">
        <f t="shared" si="88"/>
        <v>0</v>
      </c>
      <c r="AR405">
        <f t="shared" si="88"/>
        <v>0</v>
      </c>
    </row>
    <row r="406" spans="5:44" x14ac:dyDescent="0.2">
      <c r="E406" s="1">
        <f>moment_rate!$AC406</f>
        <v>7.4493433161470389E-3</v>
      </c>
      <c r="F406" s="1">
        <f t="shared" si="86"/>
        <v>0</v>
      </c>
      <c r="G406">
        <f>moment_rate!I406-0.005</f>
        <v>3.9899999999999589</v>
      </c>
      <c r="H406" s="1">
        <f t="shared" si="87"/>
        <v>0</v>
      </c>
      <c r="I406">
        <f t="shared" si="89"/>
        <v>0</v>
      </c>
      <c r="J406">
        <f t="shared" si="89"/>
        <v>0</v>
      </c>
      <c r="K406">
        <f t="shared" si="89"/>
        <v>0</v>
      </c>
      <c r="L406">
        <f t="shared" si="89"/>
        <v>0</v>
      </c>
      <c r="M406">
        <f t="shared" si="89"/>
        <v>0</v>
      </c>
      <c r="N406">
        <f t="shared" si="89"/>
        <v>0</v>
      </c>
      <c r="O406">
        <f t="shared" si="89"/>
        <v>0</v>
      </c>
      <c r="P406">
        <f t="shared" si="89"/>
        <v>0</v>
      </c>
      <c r="Q406">
        <f t="shared" si="89"/>
        <v>0</v>
      </c>
      <c r="R406">
        <f t="shared" si="89"/>
        <v>0</v>
      </c>
      <c r="S406">
        <f t="shared" si="89"/>
        <v>0</v>
      </c>
      <c r="T406">
        <f t="shared" si="89"/>
        <v>0</v>
      </c>
      <c r="U406">
        <f t="shared" si="89"/>
        <v>0</v>
      </c>
      <c r="V406">
        <f t="shared" si="89"/>
        <v>0</v>
      </c>
      <c r="W406">
        <f t="shared" si="89"/>
        <v>0</v>
      </c>
      <c r="X406">
        <f t="shared" si="89"/>
        <v>0</v>
      </c>
      <c r="Y406">
        <f t="shared" si="88"/>
        <v>0</v>
      </c>
      <c r="Z406">
        <f t="shared" si="88"/>
        <v>0</v>
      </c>
      <c r="AA406">
        <f t="shared" si="88"/>
        <v>0</v>
      </c>
      <c r="AB406">
        <f t="shared" si="88"/>
        <v>0</v>
      </c>
      <c r="AC406">
        <f t="shared" si="88"/>
        <v>0</v>
      </c>
      <c r="AD406">
        <f t="shared" si="88"/>
        <v>0</v>
      </c>
      <c r="AE406">
        <f t="shared" si="88"/>
        <v>0</v>
      </c>
      <c r="AF406">
        <f t="shared" si="88"/>
        <v>0</v>
      </c>
      <c r="AG406">
        <f t="shared" si="88"/>
        <v>0</v>
      </c>
      <c r="AH406">
        <f t="shared" si="88"/>
        <v>0</v>
      </c>
      <c r="AI406">
        <f t="shared" si="88"/>
        <v>0</v>
      </c>
      <c r="AJ406">
        <f t="shared" si="88"/>
        <v>0</v>
      </c>
      <c r="AK406">
        <f t="shared" si="88"/>
        <v>0</v>
      </c>
      <c r="AL406">
        <f t="shared" si="88"/>
        <v>0</v>
      </c>
      <c r="AM406">
        <f t="shared" si="88"/>
        <v>0</v>
      </c>
      <c r="AN406">
        <f t="shared" si="88"/>
        <v>0</v>
      </c>
      <c r="AO406">
        <f t="shared" si="88"/>
        <v>0</v>
      </c>
      <c r="AP406">
        <f t="shared" si="88"/>
        <v>0</v>
      </c>
      <c r="AQ406">
        <f t="shared" si="88"/>
        <v>0</v>
      </c>
      <c r="AR406">
        <f t="shared" si="88"/>
        <v>0</v>
      </c>
    </row>
    <row r="407" spans="5:44" x14ac:dyDescent="0.2">
      <c r="E407" s="1">
        <f>moment_rate!$AC407</f>
        <v>7.4493433161470389E-3</v>
      </c>
      <c r="F407" s="1">
        <f t="shared" si="86"/>
        <v>0</v>
      </c>
      <c r="G407">
        <f>moment_rate!I407-0.005</f>
        <v>3.9999999999999591</v>
      </c>
      <c r="H407" s="1">
        <f t="shared" si="87"/>
        <v>0</v>
      </c>
      <c r="I407">
        <f t="shared" si="89"/>
        <v>0</v>
      </c>
      <c r="J407">
        <f t="shared" si="89"/>
        <v>0</v>
      </c>
      <c r="K407">
        <f t="shared" si="89"/>
        <v>0</v>
      </c>
      <c r="L407">
        <f t="shared" si="89"/>
        <v>0</v>
      </c>
      <c r="M407">
        <f t="shared" si="89"/>
        <v>0</v>
      </c>
      <c r="N407">
        <f t="shared" si="89"/>
        <v>0</v>
      </c>
      <c r="O407">
        <f t="shared" si="89"/>
        <v>0</v>
      </c>
      <c r="P407">
        <f t="shared" si="89"/>
        <v>0</v>
      </c>
      <c r="Q407">
        <f t="shared" si="89"/>
        <v>0</v>
      </c>
      <c r="R407">
        <f t="shared" si="89"/>
        <v>0</v>
      </c>
      <c r="S407">
        <f t="shared" si="89"/>
        <v>0</v>
      </c>
      <c r="T407">
        <f t="shared" si="89"/>
        <v>0</v>
      </c>
      <c r="U407">
        <f t="shared" si="89"/>
        <v>0</v>
      </c>
      <c r="V407">
        <f t="shared" si="89"/>
        <v>0</v>
      </c>
      <c r="W407">
        <f t="shared" si="89"/>
        <v>0</v>
      </c>
      <c r="X407">
        <f t="shared" si="89"/>
        <v>0</v>
      </c>
      <c r="Y407">
        <f t="shared" si="88"/>
        <v>0</v>
      </c>
      <c r="Z407">
        <f t="shared" si="88"/>
        <v>0</v>
      </c>
      <c r="AA407">
        <f t="shared" si="88"/>
        <v>0</v>
      </c>
      <c r="AB407">
        <f t="shared" si="88"/>
        <v>0</v>
      </c>
      <c r="AC407">
        <f t="shared" si="88"/>
        <v>0</v>
      </c>
      <c r="AD407">
        <f t="shared" si="88"/>
        <v>0</v>
      </c>
      <c r="AE407">
        <f t="shared" si="88"/>
        <v>0</v>
      </c>
      <c r="AF407">
        <f t="shared" si="88"/>
        <v>0</v>
      </c>
      <c r="AG407">
        <f t="shared" si="88"/>
        <v>0</v>
      </c>
      <c r="AH407">
        <f t="shared" si="88"/>
        <v>0</v>
      </c>
      <c r="AI407">
        <f t="shared" si="88"/>
        <v>0</v>
      </c>
      <c r="AJ407">
        <f t="shared" si="88"/>
        <v>0</v>
      </c>
      <c r="AK407">
        <f t="shared" si="88"/>
        <v>0</v>
      </c>
      <c r="AL407">
        <f t="shared" si="88"/>
        <v>0</v>
      </c>
      <c r="AM407">
        <f t="shared" si="88"/>
        <v>0</v>
      </c>
      <c r="AN407">
        <f t="shared" si="88"/>
        <v>0</v>
      </c>
      <c r="AO407">
        <f t="shared" si="88"/>
        <v>0</v>
      </c>
      <c r="AP407">
        <f t="shared" si="88"/>
        <v>0</v>
      </c>
      <c r="AQ407">
        <f t="shared" si="88"/>
        <v>0</v>
      </c>
      <c r="AR407">
        <f t="shared" si="88"/>
        <v>0</v>
      </c>
    </row>
    <row r="408" spans="5:44" x14ac:dyDescent="0.2">
      <c r="E408" s="1">
        <f>moment_rate!$AC408</f>
        <v>7.4493433161470389E-3</v>
      </c>
      <c r="F408" s="1">
        <f t="shared" si="86"/>
        <v>0</v>
      </c>
      <c r="G408">
        <f>moment_rate!I408-0.005</f>
        <v>4.0099999999999589</v>
      </c>
      <c r="H408" s="1">
        <f t="shared" si="87"/>
        <v>0</v>
      </c>
      <c r="I408">
        <f t="shared" si="89"/>
        <v>0</v>
      </c>
      <c r="J408">
        <f t="shared" si="89"/>
        <v>0</v>
      </c>
      <c r="K408">
        <f t="shared" si="89"/>
        <v>0</v>
      </c>
      <c r="L408">
        <f t="shared" si="89"/>
        <v>0</v>
      </c>
      <c r="M408">
        <f t="shared" si="89"/>
        <v>0</v>
      </c>
      <c r="N408">
        <f t="shared" si="89"/>
        <v>0</v>
      </c>
      <c r="O408">
        <f t="shared" si="89"/>
        <v>0</v>
      </c>
      <c r="P408">
        <f t="shared" si="89"/>
        <v>0</v>
      </c>
      <c r="Q408">
        <f t="shared" si="89"/>
        <v>0</v>
      </c>
      <c r="R408">
        <f t="shared" si="89"/>
        <v>0</v>
      </c>
      <c r="S408">
        <f t="shared" si="89"/>
        <v>0</v>
      </c>
      <c r="T408">
        <f t="shared" si="89"/>
        <v>0</v>
      </c>
      <c r="U408">
        <f t="shared" si="89"/>
        <v>0</v>
      </c>
      <c r="V408">
        <f t="shared" si="89"/>
        <v>0</v>
      </c>
      <c r="W408">
        <f t="shared" si="89"/>
        <v>0</v>
      </c>
      <c r="X408">
        <f t="shared" si="89"/>
        <v>0</v>
      </c>
      <c r="Y408">
        <f t="shared" si="88"/>
        <v>0</v>
      </c>
      <c r="Z408">
        <f t="shared" si="88"/>
        <v>0</v>
      </c>
      <c r="AA408">
        <f t="shared" si="88"/>
        <v>0</v>
      </c>
      <c r="AB408">
        <f t="shared" si="88"/>
        <v>0</v>
      </c>
      <c r="AC408">
        <f t="shared" si="88"/>
        <v>0</v>
      </c>
      <c r="AD408">
        <f t="shared" si="88"/>
        <v>0</v>
      </c>
      <c r="AE408">
        <f t="shared" si="88"/>
        <v>0</v>
      </c>
      <c r="AF408">
        <f t="shared" si="88"/>
        <v>0</v>
      </c>
      <c r="AG408">
        <f t="shared" si="88"/>
        <v>0</v>
      </c>
      <c r="AH408">
        <f t="shared" si="88"/>
        <v>0</v>
      </c>
      <c r="AI408">
        <f t="shared" si="88"/>
        <v>0</v>
      </c>
      <c r="AJ408">
        <f t="shared" si="88"/>
        <v>0</v>
      </c>
      <c r="AK408">
        <f t="shared" si="88"/>
        <v>0</v>
      </c>
      <c r="AL408">
        <f t="shared" si="88"/>
        <v>0</v>
      </c>
      <c r="AM408">
        <f t="shared" si="88"/>
        <v>0</v>
      </c>
      <c r="AN408">
        <f t="shared" si="88"/>
        <v>0</v>
      </c>
      <c r="AO408">
        <f t="shared" si="88"/>
        <v>0</v>
      </c>
      <c r="AP408">
        <f t="shared" si="88"/>
        <v>0</v>
      </c>
      <c r="AQ408">
        <f t="shared" si="88"/>
        <v>0</v>
      </c>
      <c r="AR408">
        <f t="shared" si="88"/>
        <v>0</v>
      </c>
    </row>
    <row r="409" spans="5:44" x14ac:dyDescent="0.2">
      <c r="E409" s="1">
        <f>moment_rate!$AC409</f>
        <v>7.4493433161470389E-3</v>
      </c>
      <c r="F409" s="1">
        <f t="shared" si="86"/>
        <v>0</v>
      </c>
      <c r="G409">
        <f>moment_rate!I409-0.005</f>
        <v>4.0199999999999587</v>
      </c>
      <c r="H409" s="1">
        <f t="shared" si="87"/>
        <v>0</v>
      </c>
      <c r="I409">
        <f t="shared" si="89"/>
        <v>0</v>
      </c>
      <c r="J409">
        <f t="shared" si="89"/>
        <v>0</v>
      </c>
      <c r="K409">
        <f t="shared" si="89"/>
        <v>0</v>
      </c>
      <c r="L409">
        <f t="shared" si="89"/>
        <v>0</v>
      </c>
      <c r="M409">
        <f t="shared" si="89"/>
        <v>0</v>
      </c>
      <c r="N409">
        <f t="shared" si="89"/>
        <v>0</v>
      </c>
      <c r="O409">
        <f t="shared" si="89"/>
        <v>0</v>
      </c>
      <c r="P409">
        <f t="shared" si="89"/>
        <v>0</v>
      </c>
      <c r="Q409">
        <f t="shared" si="89"/>
        <v>0</v>
      </c>
      <c r="R409">
        <f t="shared" si="89"/>
        <v>0</v>
      </c>
      <c r="S409">
        <f t="shared" si="89"/>
        <v>0</v>
      </c>
      <c r="T409">
        <f t="shared" si="89"/>
        <v>0</v>
      </c>
      <c r="U409">
        <f t="shared" si="89"/>
        <v>0</v>
      </c>
      <c r="V409">
        <f t="shared" si="89"/>
        <v>0</v>
      </c>
      <c r="W409">
        <f t="shared" si="89"/>
        <v>0</v>
      </c>
      <c r="X409">
        <f t="shared" si="89"/>
        <v>0</v>
      </c>
      <c r="Y409">
        <f t="shared" si="88"/>
        <v>0</v>
      </c>
      <c r="Z409">
        <f t="shared" si="88"/>
        <v>0</v>
      </c>
      <c r="AA409">
        <f t="shared" si="88"/>
        <v>0</v>
      </c>
      <c r="AB409">
        <f t="shared" si="88"/>
        <v>0</v>
      </c>
      <c r="AC409">
        <f t="shared" si="88"/>
        <v>0</v>
      </c>
      <c r="AD409">
        <f t="shared" si="88"/>
        <v>0</v>
      </c>
      <c r="AE409">
        <f t="shared" si="88"/>
        <v>0</v>
      </c>
      <c r="AF409">
        <f t="shared" si="88"/>
        <v>0</v>
      </c>
      <c r="AG409">
        <f t="shared" si="88"/>
        <v>0</v>
      </c>
      <c r="AH409">
        <f t="shared" si="88"/>
        <v>0</v>
      </c>
      <c r="AI409">
        <f t="shared" si="88"/>
        <v>0</v>
      </c>
      <c r="AJ409">
        <f t="shared" si="88"/>
        <v>0</v>
      </c>
      <c r="AK409">
        <f t="shared" si="88"/>
        <v>0</v>
      </c>
      <c r="AL409">
        <f t="shared" si="88"/>
        <v>0</v>
      </c>
      <c r="AM409">
        <f t="shared" si="88"/>
        <v>0</v>
      </c>
      <c r="AN409">
        <f t="shared" si="88"/>
        <v>0</v>
      </c>
      <c r="AO409">
        <f t="shared" si="88"/>
        <v>0</v>
      </c>
      <c r="AP409">
        <f t="shared" si="88"/>
        <v>0</v>
      </c>
      <c r="AQ409">
        <f t="shared" si="88"/>
        <v>0</v>
      </c>
      <c r="AR409">
        <f t="shared" si="88"/>
        <v>0</v>
      </c>
    </row>
    <row r="410" spans="5:44" x14ac:dyDescent="0.2">
      <c r="E410" s="1">
        <f>moment_rate!$AC410</f>
        <v>7.4493433161470389E-3</v>
      </c>
      <c r="F410" s="1">
        <f t="shared" si="86"/>
        <v>0</v>
      </c>
      <c r="G410">
        <f>moment_rate!I410-0.005</f>
        <v>4.0299999999999585</v>
      </c>
      <c r="H410" s="1">
        <f t="shared" si="87"/>
        <v>0</v>
      </c>
      <c r="I410">
        <f t="shared" si="89"/>
        <v>0</v>
      </c>
      <c r="J410">
        <f t="shared" si="89"/>
        <v>0</v>
      </c>
      <c r="K410">
        <f t="shared" si="89"/>
        <v>0</v>
      </c>
      <c r="L410">
        <f t="shared" si="89"/>
        <v>0</v>
      </c>
      <c r="M410">
        <f t="shared" si="89"/>
        <v>0</v>
      </c>
      <c r="N410">
        <f t="shared" si="89"/>
        <v>0</v>
      </c>
      <c r="O410">
        <f t="shared" si="89"/>
        <v>0</v>
      </c>
      <c r="P410">
        <f t="shared" si="89"/>
        <v>0</v>
      </c>
      <c r="Q410">
        <f t="shared" si="89"/>
        <v>0</v>
      </c>
      <c r="R410">
        <f t="shared" si="89"/>
        <v>0</v>
      </c>
      <c r="S410">
        <f t="shared" si="89"/>
        <v>0</v>
      </c>
      <c r="T410">
        <f t="shared" si="89"/>
        <v>0</v>
      </c>
      <c r="U410">
        <f t="shared" si="89"/>
        <v>0</v>
      </c>
      <c r="V410">
        <f t="shared" si="89"/>
        <v>0</v>
      </c>
      <c r="W410">
        <f t="shared" si="89"/>
        <v>0</v>
      </c>
      <c r="X410">
        <f t="shared" si="89"/>
        <v>0</v>
      </c>
      <c r="Y410">
        <f t="shared" si="88"/>
        <v>0</v>
      </c>
      <c r="Z410">
        <f t="shared" si="88"/>
        <v>0</v>
      </c>
      <c r="AA410">
        <f t="shared" si="88"/>
        <v>0</v>
      </c>
      <c r="AB410">
        <f t="shared" si="88"/>
        <v>0</v>
      </c>
      <c r="AC410">
        <f t="shared" si="88"/>
        <v>0</v>
      </c>
      <c r="AD410">
        <f t="shared" si="88"/>
        <v>0</v>
      </c>
      <c r="AE410">
        <f t="shared" si="88"/>
        <v>0</v>
      </c>
      <c r="AF410">
        <f t="shared" si="88"/>
        <v>0</v>
      </c>
      <c r="AG410">
        <f t="shared" si="88"/>
        <v>0</v>
      </c>
      <c r="AH410">
        <f t="shared" si="88"/>
        <v>0</v>
      </c>
      <c r="AI410">
        <f t="shared" si="88"/>
        <v>0</v>
      </c>
      <c r="AJ410">
        <f t="shared" si="88"/>
        <v>0</v>
      </c>
      <c r="AK410">
        <f t="shared" si="88"/>
        <v>0</v>
      </c>
      <c r="AL410">
        <f t="shared" si="88"/>
        <v>0</v>
      </c>
      <c r="AM410">
        <f t="shared" ref="AI410:AR438" si="90">IF(AND($G410&gt;=AM$3,$G410&lt;AM$4),$F410,0)</f>
        <v>0</v>
      </c>
      <c r="AN410">
        <f t="shared" si="90"/>
        <v>0</v>
      </c>
      <c r="AO410">
        <f t="shared" si="90"/>
        <v>0</v>
      </c>
      <c r="AP410">
        <f t="shared" si="90"/>
        <v>0</v>
      </c>
      <c r="AQ410">
        <f t="shared" si="90"/>
        <v>0</v>
      </c>
      <c r="AR410">
        <f t="shared" si="90"/>
        <v>0</v>
      </c>
    </row>
    <row r="411" spans="5:44" x14ac:dyDescent="0.2">
      <c r="E411" s="1">
        <f>moment_rate!$AC411</f>
        <v>7.4493433161470389E-3</v>
      </c>
      <c r="F411" s="1">
        <f t="shared" si="86"/>
        <v>0</v>
      </c>
      <c r="G411">
        <f>moment_rate!I411-0.005</f>
        <v>4.0399999999999583</v>
      </c>
      <c r="H411" s="1">
        <f t="shared" si="87"/>
        <v>0</v>
      </c>
      <c r="I411">
        <f t="shared" si="89"/>
        <v>0</v>
      </c>
      <c r="J411">
        <f t="shared" si="89"/>
        <v>0</v>
      </c>
      <c r="K411">
        <f t="shared" si="89"/>
        <v>0</v>
      </c>
      <c r="L411">
        <f t="shared" si="89"/>
        <v>0</v>
      </c>
      <c r="M411">
        <f t="shared" si="89"/>
        <v>0</v>
      </c>
      <c r="N411">
        <f t="shared" si="89"/>
        <v>0</v>
      </c>
      <c r="O411">
        <f t="shared" si="89"/>
        <v>0</v>
      </c>
      <c r="P411">
        <f t="shared" si="89"/>
        <v>0</v>
      </c>
      <c r="Q411">
        <f t="shared" si="89"/>
        <v>0</v>
      </c>
      <c r="R411">
        <f t="shared" si="89"/>
        <v>0</v>
      </c>
      <c r="S411">
        <f t="shared" si="89"/>
        <v>0</v>
      </c>
      <c r="T411">
        <f t="shared" si="89"/>
        <v>0</v>
      </c>
      <c r="U411">
        <f t="shared" si="89"/>
        <v>0</v>
      </c>
      <c r="V411">
        <f t="shared" si="89"/>
        <v>0</v>
      </c>
      <c r="W411">
        <f t="shared" si="89"/>
        <v>0</v>
      </c>
      <c r="X411">
        <f t="shared" si="89"/>
        <v>0</v>
      </c>
      <c r="Y411">
        <f t="shared" ref="Y411:AJ426" si="91">IF(AND($G411&gt;=Y$3,$G411&lt;Y$4),$F411,0)</f>
        <v>0</v>
      </c>
      <c r="Z411">
        <f t="shared" si="91"/>
        <v>0</v>
      </c>
      <c r="AA411">
        <f t="shared" si="91"/>
        <v>0</v>
      </c>
      <c r="AB411">
        <f t="shared" si="91"/>
        <v>0</v>
      </c>
      <c r="AC411">
        <f t="shared" si="91"/>
        <v>0</v>
      </c>
      <c r="AD411">
        <f t="shared" si="91"/>
        <v>0</v>
      </c>
      <c r="AE411">
        <f t="shared" si="91"/>
        <v>0</v>
      </c>
      <c r="AF411">
        <f t="shared" si="91"/>
        <v>0</v>
      </c>
      <c r="AG411">
        <f t="shared" si="91"/>
        <v>0</v>
      </c>
      <c r="AH411">
        <f t="shared" si="91"/>
        <v>0</v>
      </c>
      <c r="AI411">
        <f t="shared" si="90"/>
        <v>0</v>
      </c>
      <c r="AJ411">
        <f t="shared" si="90"/>
        <v>0</v>
      </c>
      <c r="AK411">
        <f t="shared" si="90"/>
        <v>0</v>
      </c>
      <c r="AL411">
        <f t="shared" si="90"/>
        <v>0</v>
      </c>
      <c r="AM411">
        <f t="shared" si="90"/>
        <v>0</v>
      </c>
      <c r="AN411">
        <f t="shared" si="90"/>
        <v>0</v>
      </c>
      <c r="AO411">
        <f t="shared" si="90"/>
        <v>0</v>
      </c>
      <c r="AP411">
        <f t="shared" si="90"/>
        <v>0</v>
      </c>
      <c r="AQ411">
        <f t="shared" si="90"/>
        <v>0</v>
      </c>
      <c r="AR411">
        <f t="shared" si="90"/>
        <v>0</v>
      </c>
    </row>
    <row r="412" spans="5:44" x14ac:dyDescent="0.2">
      <c r="E412" s="1">
        <f>moment_rate!$AC412</f>
        <v>7.4493433161470389E-3</v>
      </c>
      <c r="F412" s="1">
        <f t="shared" si="86"/>
        <v>0</v>
      </c>
      <c r="G412">
        <f>moment_rate!I412-0.005</f>
        <v>4.0499999999999581</v>
      </c>
      <c r="H412" s="1">
        <f t="shared" si="87"/>
        <v>0</v>
      </c>
      <c r="I412">
        <f t="shared" si="89"/>
        <v>0</v>
      </c>
      <c r="J412">
        <f t="shared" si="89"/>
        <v>0</v>
      </c>
      <c r="K412">
        <f t="shared" si="89"/>
        <v>0</v>
      </c>
      <c r="L412">
        <f t="shared" si="89"/>
        <v>0</v>
      </c>
      <c r="M412">
        <f t="shared" si="89"/>
        <v>0</v>
      </c>
      <c r="N412">
        <f t="shared" si="89"/>
        <v>0</v>
      </c>
      <c r="O412">
        <f t="shared" si="89"/>
        <v>0</v>
      </c>
      <c r="P412">
        <f t="shared" si="89"/>
        <v>0</v>
      </c>
      <c r="Q412">
        <f t="shared" si="89"/>
        <v>0</v>
      </c>
      <c r="R412">
        <f t="shared" si="89"/>
        <v>0</v>
      </c>
      <c r="S412">
        <f t="shared" si="89"/>
        <v>0</v>
      </c>
      <c r="T412">
        <f t="shared" si="89"/>
        <v>0</v>
      </c>
      <c r="U412">
        <f t="shared" si="89"/>
        <v>0</v>
      </c>
      <c r="V412">
        <f t="shared" si="89"/>
        <v>0</v>
      </c>
      <c r="W412">
        <f t="shared" si="89"/>
        <v>0</v>
      </c>
      <c r="X412">
        <f t="shared" si="89"/>
        <v>0</v>
      </c>
      <c r="Y412">
        <f t="shared" si="91"/>
        <v>0</v>
      </c>
      <c r="Z412">
        <f t="shared" si="91"/>
        <v>0</v>
      </c>
      <c r="AA412">
        <f t="shared" si="91"/>
        <v>0</v>
      </c>
      <c r="AB412">
        <f t="shared" si="91"/>
        <v>0</v>
      </c>
      <c r="AC412">
        <f t="shared" si="91"/>
        <v>0</v>
      </c>
      <c r="AD412">
        <f t="shared" si="91"/>
        <v>0</v>
      </c>
      <c r="AE412">
        <f t="shared" si="91"/>
        <v>0</v>
      </c>
      <c r="AF412">
        <f t="shared" si="91"/>
        <v>0</v>
      </c>
      <c r="AG412">
        <f t="shared" si="91"/>
        <v>0</v>
      </c>
      <c r="AH412">
        <f t="shared" si="91"/>
        <v>0</v>
      </c>
      <c r="AI412">
        <f t="shared" si="90"/>
        <v>0</v>
      </c>
      <c r="AJ412">
        <f t="shared" si="90"/>
        <v>0</v>
      </c>
      <c r="AK412">
        <f t="shared" si="90"/>
        <v>0</v>
      </c>
      <c r="AL412">
        <f t="shared" si="90"/>
        <v>0</v>
      </c>
      <c r="AM412">
        <f t="shared" si="90"/>
        <v>0</v>
      </c>
      <c r="AN412">
        <f t="shared" si="90"/>
        <v>0</v>
      </c>
      <c r="AO412">
        <f t="shared" si="90"/>
        <v>0</v>
      </c>
      <c r="AP412">
        <f t="shared" si="90"/>
        <v>0</v>
      </c>
      <c r="AQ412">
        <f t="shared" si="90"/>
        <v>0</v>
      </c>
      <c r="AR412">
        <f t="shared" si="90"/>
        <v>0</v>
      </c>
    </row>
    <row r="413" spans="5:44" x14ac:dyDescent="0.2">
      <c r="E413" s="1">
        <f>moment_rate!$AC413</f>
        <v>7.4493433161470389E-3</v>
      </c>
      <c r="F413" s="1">
        <f t="shared" si="86"/>
        <v>0</v>
      </c>
      <c r="G413">
        <f>moment_rate!I413-0.005</f>
        <v>4.0599999999999579</v>
      </c>
      <c r="H413" s="1">
        <f t="shared" si="87"/>
        <v>0</v>
      </c>
      <c r="I413">
        <f t="shared" si="89"/>
        <v>0</v>
      </c>
      <c r="J413">
        <f t="shared" si="89"/>
        <v>0</v>
      </c>
      <c r="K413">
        <f t="shared" si="89"/>
        <v>0</v>
      </c>
      <c r="L413">
        <f t="shared" si="89"/>
        <v>0</v>
      </c>
      <c r="M413">
        <f t="shared" si="89"/>
        <v>0</v>
      </c>
      <c r="N413">
        <f t="shared" si="89"/>
        <v>0</v>
      </c>
      <c r="O413">
        <f t="shared" si="89"/>
        <v>0</v>
      </c>
      <c r="P413">
        <f t="shared" si="89"/>
        <v>0</v>
      </c>
      <c r="Q413">
        <f t="shared" si="89"/>
        <v>0</v>
      </c>
      <c r="R413">
        <f t="shared" si="89"/>
        <v>0</v>
      </c>
      <c r="S413">
        <f t="shared" si="89"/>
        <v>0</v>
      </c>
      <c r="T413">
        <f t="shared" si="89"/>
        <v>0</v>
      </c>
      <c r="U413">
        <f t="shared" si="89"/>
        <v>0</v>
      </c>
      <c r="V413">
        <f t="shared" si="89"/>
        <v>0</v>
      </c>
      <c r="W413">
        <f t="shared" si="89"/>
        <v>0</v>
      </c>
      <c r="X413">
        <f t="shared" si="89"/>
        <v>0</v>
      </c>
      <c r="Y413">
        <f t="shared" si="91"/>
        <v>0</v>
      </c>
      <c r="Z413">
        <f t="shared" si="91"/>
        <v>0</v>
      </c>
      <c r="AA413">
        <f t="shared" si="91"/>
        <v>0</v>
      </c>
      <c r="AB413">
        <f t="shared" si="91"/>
        <v>0</v>
      </c>
      <c r="AC413">
        <f t="shared" si="91"/>
        <v>0</v>
      </c>
      <c r="AD413">
        <f t="shared" si="91"/>
        <v>0</v>
      </c>
      <c r="AE413">
        <f t="shared" si="91"/>
        <v>0</v>
      </c>
      <c r="AF413">
        <f t="shared" si="91"/>
        <v>0</v>
      </c>
      <c r="AG413">
        <f t="shared" si="91"/>
        <v>0</v>
      </c>
      <c r="AH413">
        <f t="shared" si="91"/>
        <v>0</v>
      </c>
      <c r="AI413">
        <f t="shared" si="91"/>
        <v>0</v>
      </c>
      <c r="AJ413">
        <f t="shared" si="91"/>
        <v>0</v>
      </c>
      <c r="AK413">
        <f t="shared" si="90"/>
        <v>0</v>
      </c>
      <c r="AL413">
        <f t="shared" si="90"/>
        <v>0</v>
      </c>
      <c r="AM413">
        <f t="shared" si="90"/>
        <v>0</v>
      </c>
      <c r="AN413">
        <f t="shared" si="90"/>
        <v>0</v>
      </c>
      <c r="AO413">
        <f t="shared" si="90"/>
        <v>0</v>
      </c>
      <c r="AP413">
        <f t="shared" si="90"/>
        <v>0</v>
      </c>
      <c r="AQ413">
        <f t="shared" si="90"/>
        <v>0</v>
      </c>
      <c r="AR413">
        <f t="shared" si="90"/>
        <v>0</v>
      </c>
    </row>
    <row r="414" spans="5:44" x14ac:dyDescent="0.2">
      <c r="E414" s="1">
        <f>moment_rate!$AC414</f>
        <v>7.4493433161470389E-3</v>
      </c>
      <c r="F414" s="1">
        <f t="shared" si="86"/>
        <v>0</v>
      </c>
      <c r="G414">
        <f>moment_rate!I414-0.005</f>
        <v>4.0699999999999577</v>
      </c>
      <c r="H414" s="1">
        <f t="shared" si="87"/>
        <v>0</v>
      </c>
      <c r="I414">
        <f t="shared" si="89"/>
        <v>0</v>
      </c>
      <c r="J414">
        <f t="shared" si="89"/>
        <v>0</v>
      </c>
      <c r="K414">
        <f t="shared" si="89"/>
        <v>0</v>
      </c>
      <c r="L414">
        <f t="shared" si="89"/>
        <v>0</v>
      </c>
      <c r="M414">
        <f t="shared" si="89"/>
        <v>0</v>
      </c>
      <c r="N414">
        <f t="shared" si="89"/>
        <v>0</v>
      </c>
      <c r="O414">
        <f t="shared" si="89"/>
        <v>0</v>
      </c>
      <c r="P414">
        <f t="shared" si="89"/>
        <v>0</v>
      </c>
      <c r="Q414">
        <f t="shared" si="89"/>
        <v>0</v>
      </c>
      <c r="R414">
        <f t="shared" si="89"/>
        <v>0</v>
      </c>
      <c r="S414">
        <f t="shared" si="89"/>
        <v>0</v>
      </c>
      <c r="T414">
        <f t="shared" si="89"/>
        <v>0</v>
      </c>
      <c r="U414">
        <f t="shared" si="89"/>
        <v>0</v>
      </c>
      <c r="V414">
        <f t="shared" si="89"/>
        <v>0</v>
      </c>
      <c r="W414">
        <f t="shared" si="89"/>
        <v>0</v>
      </c>
      <c r="X414">
        <f>IF(AND($G414&gt;=X$3,$G414&lt;X$4),$F414,0)</f>
        <v>0</v>
      </c>
      <c r="Y414">
        <f>IF(AND($G414&gt;=Y$3,$G414&lt;Y$4),$F414,0)</f>
        <v>0</v>
      </c>
      <c r="Z414">
        <f t="shared" si="91"/>
        <v>0</v>
      </c>
      <c r="AA414">
        <f t="shared" si="91"/>
        <v>0</v>
      </c>
      <c r="AB414">
        <f t="shared" si="91"/>
        <v>0</v>
      </c>
      <c r="AC414">
        <f t="shared" si="91"/>
        <v>0</v>
      </c>
      <c r="AD414">
        <f t="shared" si="91"/>
        <v>0</v>
      </c>
      <c r="AE414">
        <f t="shared" si="91"/>
        <v>0</v>
      </c>
      <c r="AF414">
        <f t="shared" si="91"/>
        <v>0</v>
      </c>
      <c r="AG414">
        <f t="shared" si="91"/>
        <v>0</v>
      </c>
      <c r="AH414">
        <f t="shared" si="91"/>
        <v>0</v>
      </c>
      <c r="AI414">
        <f t="shared" si="91"/>
        <v>0</v>
      </c>
      <c r="AJ414">
        <f t="shared" si="91"/>
        <v>0</v>
      </c>
      <c r="AK414">
        <f t="shared" si="90"/>
        <v>0</v>
      </c>
      <c r="AL414">
        <f t="shared" si="90"/>
        <v>0</v>
      </c>
      <c r="AM414">
        <f t="shared" si="90"/>
        <v>0</v>
      </c>
      <c r="AN414">
        <f t="shared" si="90"/>
        <v>0</v>
      </c>
      <c r="AO414">
        <f t="shared" si="90"/>
        <v>0</v>
      </c>
      <c r="AP414">
        <f t="shared" si="90"/>
        <v>0</v>
      </c>
      <c r="AQ414">
        <f t="shared" si="90"/>
        <v>0</v>
      </c>
      <c r="AR414">
        <f t="shared" si="90"/>
        <v>0</v>
      </c>
    </row>
    <row r="415" spans="5:44" x14ac:dyDescent="0.2">
      <c r="E415" s="1">
        <f>moment_rate!$AC415</f>
        <v>7.4493433161470389E-3</v>
      </c>
      <c r="F415" s="1">
        <f t="shared" si="86"/>
        <v>0</v>
      </c>
      <c r="G415">
        <f>moment_rate!I415-0.005</f>
        <v>4.0799999999999574</v>
      </c>
      <c r="H415" s="1">
        <f t="shared" si="87"/>
        <v>0</v>
      </c>
      <c r="I415">
        <f t="shared" ref="I415:X430" si="92">IF(AND($G415&gt;=I$3,$G415&lt;I$4),$F415,0)</f>
        <v>0</v>
      </c>
      <c r="J415">
        <f t="shared" si="92"/>
        <v>0</v>
      </c>
      <c r="K415">
        <f t="shared" si="92"/>
        <v>0</v>
      </c>
      <c r="L415">
        <f t="shared" si="92"/>
        <v>0</v>
      </c>
      <c r="M415">
        <f t="shared" si="92"/>
        <v>0</v>
      </c>
      <c r="N415">
        <f t="shared" si="92"/>
        <v>0</v>
      </c>
      <c r="O415">
        <f t="shared" si="92"/>
        <v>0</v>
      </c>
      <c r="P415">
        <f t="shared" si="92"/>
        <v>0</v>
      </c>
      <c r="Q415">
        <f t="shared" si="92"/>
        <v>0</v>
      </c>
      <c r="R415">
        <f t="shared" si="92"/>
        <v>0</v>
      </c>
      <c r="S415">
        <f t="shared" si="92"/>
        <v>0</v>
      </c>
      <c r="T415">
        <f t="shared" si="92"/>
        <v>0</v>
      </c>
      <c r="U415">
        <f t="shared" si="92"/>
        <v>0</v>
      </c>
      <c r="V415">
        <f t="shared" si="92"/>
        <v>0</v>
      </c>
      <c r="W415">
        <f t="shared" si="92"/>
        <v>0</v>
      </c>
      <c r="X415">
        <f t="shared" si="92"/>
        <v>0</v>
      </c>
      <c r="Y415">
        <f t="shared" ref="Y415:Y429" si="93">IF(AND($G415&gt;=Y$3,$G415&lt;Y$4),$F415,0)</f>
        <v>0</v>
      </c>
      <c r="Z415">
        <f t="shared" si="91"/>
        <v>0</v>
      </c>
      <c r="AA415">
        <f t="shared" si="91"/>
        <v>0</v>
      </c>
      <c r="AB415">
        <f t="shared" si="91"/>
        <v>0</v>
      </c>
      <c r="AC415">
        <f t="shared" si="91"/>
        <v>0</v>
      </c>
      <c r="AD415">
        <f t="shared" si="91"/>
        <v>0</v>
      </c>
      <c r="AE415">
        <f t="shared" si="91"/>
        <v>0</v>
      </c>
      <c r="AF415">
        <f t="shared" si="91"/>
        <v>0</v>
      </c>
      <c r="AG415">
        <f t="shared" si="91"/>
        <v>0</v>
      </c>
      <c r="AH415">
        <f t="shared" si="91"/>
        <v>0</v>
      </c>
      <c r="AI415">
        <f t="shared" si="91"/>
        <v>0</v>
      </c>
      <c r="AJ415">
        <f t="shared" si="91"/>
        <v>0</v>
      </c>
      <c r="AK415">
        <f t="shared" si="90"/>
        <v>0</v>
      </c>
      <c r="AL415">
        <f t="shared" si="90"/>
        <v>0</v>
      </c>
      <c r="AM415">
        <f t="shared" si="90"/>
        <v>0</v>
      </c>
      <c r="AN415">
        <f t="shared" si="90"/>
        <v>0</v>
      </c>
      <c r="AO415">
        <f t="shared" si="90"/>
        <v>0</v>
      </c>
      <c r="AP415">
        <f t="shared" si="90"/>
        <v>0</v>
      </c>
      <c r="AQ415">
        <f t="shared" si="90"/>
        <v>0</v>
      </c>
      <c r="AR415">
        <f t="shared" si="90"/>
        <v>0</v>
      </c>
    </row>
    <row r="416" spans="5:44" x14ac:dyDescent="0.2">
      <c r="E416" s="1">
        <f>moment_rate!$AC416</f>
        <v>7.4493433161470389E-3</v>
      </c>
      <c r="F416" s="1">
        <f t="shared" si="86"/>
        <v>0</v>
      </c>
      <c r="G416">
        <f>moment_rate!I416-0.005</f>
        <v>4.0899999999999572</v>
      </c>
      <c r="H416" s="1">
        <f t="shared" si="87"/>
        <v>0</v>
      </c>
      <c r="I416">
        <f t="shared" si="92"/>
        <v>0</v>
      </c>
      <c r="J416">
        <f t="shared" si="92"/>
        <v>0</v>
      </c>
      <c r="K416">
        <f t="shared" si="92"/>
        <v>0</v>
      </c>
      <c r="L416">
        <f t="shared" si="92"/>
        <v>0</v>
      </c>
      <c r="M416">
        <f t="shared" si="92"/>
        <v>0</v>
      </c>
      <c r="N416">
        <f t="shared" si="92"/>
        <v>0</v>
      </c>
      <c r="O416">
        <f t="shared" si="92"/>
        <v>0</v>
      </c>
      <c r="P416">
        <f t="shared" si="92"/>
        <v>0</v>
      </c>
      <c r="Q416">
        <f t="shared" si="92"/>
        <v>0</v>
      </c>
      <c r="R416">
        <f t="shared" si="92"/>
        <v>0</v>
      </c>
      <c r="S416">
        <f t="shared" si="92"/>
        <v>0</v>
      </c>
      <c r="T416">
        <f t="shared" si="92"/>
        <v>0</v>
      </c>
      <c r="U416">
        <f t="shared" si="92"/>
        <v>0</v>
      </c>
      <c r="V416">
        <f t="shared" si="92"/>
        <v>0</v>
      </c>
      <c r="W416">
        <f t="shared" si="92"/>
        <v>0</v>
      </c>
      <c r="X416">
        <f t="shared" si="92"/>
        <v>0</v>
      </c>
      <c r="Y416">
        <f t="shared" si="93"/>
        <v>0</v>
      </c>
      <c r="Z416">
        <f t="shared" si="91"/>
        <v>0</v>
      </c>
      <c r="AA416">
        <f t="shared" si="91"/>
        <v>0</v>
      </c>
      <c r="AB416">
        <f t="shared" si="91"/>
        <v>0</v>
      </c>
      <c r="AC416">
        <f t="shared" si="91"/>
        <v>0</v>
      </c>
      <c r="AD416">
        <f t="shared" si="91"/>
        <v>0</v>
      </c>
      <c r="AE416">
        <f t="shared" si="91"/>
        <v>0</v>
      </c>
      <c r="AF416">
        <f t="shared" si="91"/>
        <v>0</v>
      </c>
      <c r="AG416">
        <f t="shared" si="91"/>
        <v>0</v>
      </c>
      <c r="AH416">
        <f t="shared" si="91"/>
        <v>0</v>
      </c>
      <c r="AI416">
        <f t="shared" si="91"/>
        <v>0</v>
      </c>
      <c r="AJ416">
        <f t="shared" si="91"/>
        <v>0</v>
      </c>
      <c r="AK416">
        <f t="shared" si="90"/>
        <v>0</v>
      </c>
      <c r="AL416">
        <f t="shared" si="90"/>
        <v>0</v>
      </c>
      <c r="AM416">
        <f t="shared" si="90"/>
        <v>0</v>
      </c>
      <c r="AN416">
        <f t="shared" si="90"/>
        <v>0</v>
      </c>
      <c r="AO416">
        <f t="shared" si="90"/>
        <v>0</v>
      </c>
      <c r="AP416">
        <f t="shared" si="90"/>
        <v>0</v>
      </c>
      <c r="AQ416">
        <f t="shared" si="90"/>
        <v>0</v>
      </c>
      <c r="AR416">
        <f t="shared" si="90"/>
        <v>0</v>
      </c>
    </row>
    <row r="417" spans="5:44" x14ac:dyDescent="0.2">
      <c r="E417" s="1">
        <f>moment_rate!$AC417</f>
        <v>7.4493433161470389E-3</v>
      </c>
      <c r="F417" s="1">
        <f t="shared" si="86"/>
        <v>0</v>
      </c>
      <c r="G417">
        <f>moment_rate!I417-0.005</f>
        <v>4.099999999999957</v>
      </c>
      <c r="H417" s="1">
        <f t="shared" si="87"/>
        <v>0</v>
      </c>
      <c r="I417">
        <f t="shared" si="92"/>
        <v>0</v>
      </c>
      <c r="J417">
        <f t="shared" si="92"/>
        <v>0</v>
      </c>
      <c r="K417">
        <f t="shared" si="92"/>
        <v>0</v>
      </c>
      <c r="L417">
        <f t="shared" si="92"/>
        <v>0</v>
      </c>
      <c r="M417">
        <f t="shared" si="92"/>
        <v>0</v>
      </c>
      <c r="N417">
        <f t="shared" si="92"/>
        <v>0</v>
      </c>
      <c r="O417">
        <f t="shared" si="92"/>
        <v>0</v>
      </c>
      <c r="P417">
        <f t="shared" si="92"/>
        <v>0</v>
      </c>
      <c r="Q417">
        <f t="shared" si="92"/>
        <v>0</v>
      </c>
      <c r="R417">
        <f t="shared" si="92"/>
        <v>0</v>
      </c>
      <c r="S417">
        <f t="shared" si="92"/>
        <v>0</v>
      </c>
      <c r="T417">
        <f t="shared" si="92"/>
        <v>0</v>
      </c>
      <c r="U417">
        <f t="shared" si="92"/>
        <v>0</v>
      </c>
      <c r="V417">
        <f t="shared" si="92"/>
        <v>0</v>
      </c>
      <c r="W417">
        <f t="shared" si="92"/>
        <v>0</v>
      </c>
      <c r="X417">
        <f t="shared" si="92"/>
        <v>0</v>
      </c>
      <c r="Y417">
        <f t="shared" si="93"/>
        <v>0</v>
      </c>
      <c r="Z417">
        <f t="shared" si="91"/>
        <v>0</v>
      </c>
      <c r="AA417">
        <f t="shared" si="91"/>
        <v>0</v>
      </c>
      <c r="AB417">
        <f t="shared" si="91"/>
        <v>0</v>
      </c>
      <c r="AC417">
        <f t="shared" si="91"/>
        <v>0</v>
      </c>
      <c r="AD417">
        <f t="shared" si="91"/>
        <v>0</v>
      </c>
      <c r="AE417">
        <f t="shared" si="91"/>
        <v>0</v>
      </c>
      <c r="AF417">
        <f t="shared" si="91"/>
        <v>0</v>
      </c>
      <c r="AG417">
        <f t="shared" si="91"/>
        <v>0</v>
      </c>
      <c r="AH417">
        <f t="shared" si="91"/>
        <v>0</v>
      </c>
      <c r="AI417">
        <f t="shared" si="91"/>
        <v>0</v>
      </c>
      <c r="AJ417">
        <f t="shared" si="91"/>
        <v>0</v>
      </c>
      <c r="AK417">
        <f t="shared" si="90"/>
        <v>0</v>
      </c>
      <c r="AL417">
        <f t="shared" si="90"/>
        <v>0</v>
      </c>
      <c r="AM417">
        <f t="shared" si="90"/>
        <v>0</v>
      </c>
      <c r="AN417">
        <f t="shared" si="90"/>
        <v>0</v>
      </c>
      <c r="AO417">
        <f t="shared" si="90"/>
        <v>0</v>
      </c>
      <c r="AP417">
        <f t="shared" si="90"/>
        <v>0</v>
      </c>
      <c r="AQ417">
        <f t="shared" si="90"/>
        <v>0</v>
      </c>
      <c r="AR417">
        <f t="shared" si="90"/>
        <v>0</v>
      </c>
    </row>
    <row r="418" spans="5:44" x14ac:dyDescent="0.2">
      <c r="E418" s="1">
        <f>moment_rate!$AC418</f>
        <v>7.4493433161470389E-3</v>
      </c>
      <c r="F418" s="1">
        <f t="shared" si="86"/>
        <v>0</v>
      </c>
      <c r="G418">
        <f>moment_rate!I418-0.005</f>
        <v>4.1099999999999568</v>
      </c>
      <c r="H418" s="1">
        <f t="shared" si="87"/>
        <v>0</v>
      </c>
      <c r="I418">
        <f t="shared" si="92"/>
        <v>0</v>
      </c>
      <c r="J418">
        <f t="shared" si="92"/>
        <v>0</v>
      </c>
      <c r="K418">
        <f t="shared" si="92"/>
        <v>0</v>
      </c>
      <c r="L418">
        <f t="shared" si="92"/>
        <v>0</v>
      </c>
      <c r="M418">
        <f t="shared" si="92"/>
        <v>0</v>
      </c>
      <c r="N418">
        <f t="shared" si="92"/>
        <v>0</v>
      </c>
      <c r="O418">
        <f t="shared" si="92"/>
        <v>0</v>
      </c>
      <c r="P418">
        <f t="shared" si="92"/>
        <v>0</v>
      </c>
      <c r="Q418">
        <f t="shared" si="92"/>
        <v>0</v>
      </c>
      <c r="R418">
        <f t="shared" si="92"/>
        <v>0</v>
      </c>
      <c r="S418">
        <f t="shared" si="92"/>
        <v>0</v>
      </c>
      <c r="T418">
        <f t="shared" si="92"/>
        <v>0</v>
      </c>
      <c r="U418">
        <f t="shared" si="92"/>
        <v>0</v>
      </c>
      <c r="V418">
        <f t="shared" si="92"/>
        <v>0</v>
      </c>
      <c r="W418">
        <f t="shared" si="92"/>
        <v>0</v>
      </c>
      <c r="X418">
        <f t="shared" si="92"/>
        <v>0</v>
      </c>
      <c r="Y418">
        <f t="shared" si="93"/>
        <v>0</v>
      </c>
      <c r="Z418">
        <f t="shared" si="91"/>
        <v>0</v>
      </c>
      <c r="AA418">
        <f t="shared" si="91"/>
        <v>0</v>
      </c>
      <c r="AB418">
        <f t="shared" si="91"/>
        <v>0</v>
      </c>
      <c r="AC418">
        <f t="shared" si="91"/>
        <v>0</v>
      </c>
      <c r="AD418">
        <f t="shared" si="91"/>
        <v>0</v>
      </c>
      <c r="AE418">
        <f t="shared" si="91"/>
        <v>0</v>
      </c>
      <c r="AF418">
        <f t="shared" si="91"/>
        <v>0</v>
      </c>
      <c r="AG418">
        <f t="shared" si="91"/>
        <v>0</v>
      </c>
      <c r="AH418">
        <f t="shared" si="91"/>
        <v>0</v>
      </c>
      <c r="AI418">
        <f t="shared" si="91"/>
        <v>0</v>
      </c>
      <c r="AJ418">
        <f t="shared" si="91"/>
        <v>0</v>
      </c>
      <c r="AK418">
        <f t="shared" si="90"/>
        <v>0</v>
      </c>
      <c r="AL418">
        <f t="shared" si="90"/>
        <v>0</v>
      </c>
      <c r="AM418">
        <f t="shared" si="90"/>
        <v>0</v>
      </c>
      <c r="AN418">
        <f t="shared" si="90"/>
        <v>0</v>
      </c>
      <c r="AO418">
        <f t="shared" si="90"/>
        <v>0</v>
      </c>
      <c r="AP418">
        <f t="shared" si="90"/>
        <v>0</v>
      </c>
      <c r="AQ418">
        <f t="shared" si="90"/>
        <v>0</v>
      </c>
      <c r="AR418">
        <f t="shared" si="90"/>
        <v>0</v>
      </c>
    </row>
    <row r="419" spans="5:44" x14ac:dyDescent="0.2">
      <c r="E419" s="1">
        <f>moment_rate!$AC419</f>
        <v>7.4493433161470389E-3</v>
      </c>
      <c r="F419" s="1">
        <f t="shared" si="86"/>
        <v>0</v>
      </c>
      <c r="G419">
        <f>moment_rate!I419-0.005</f>
        <v>4.1199999999999566</v>
      </c>
      <c r="H419" s="1">
        <f t="shared" si="87"/>
        <v>0</v>
      </c>
      <c r="I419">
        <f t="shared" si="92"/>
        <v>0</v>
      </c>
      <c r="J419">
        <f t="shared" si="92"/>
        <v>0</v>
      </c>
      <c r="K419">
        <f t="shared" si="92"/>
        <v>0</v>
      </c>
      <c r="L419">
        <f t="shared" si="92"/>
        <v>0</v>
      </c>
      <c r="M419">
        <f t="shared" si="92"/>
        <v>0</v>
      </c>
      <c r="N419">
        <f t="shared" si="92"/>
        <v>0</v>
      </c>
      <c r="O419">
        <f t="shared" si="92"/>
        <v>0</v>
      </c>
      <c r="P419">
        <f t="shared" si="92"/>
        <v>0</v>
      </c>
      <c r="Q419">
        <f t="shared" si="92"/>
        <v>0</v>
      </c>
      <c r="R419">
        <f t="shared" si="92"/>
        <v>0</v>
      </c>
      <c r="S419">
        <f t="shared" si="92"/>
        <v>0</v>
      </c>
      <c r="T419">
        <f t="shared" si="92"/>
        <v>0</v>
      </c>
      <c r="U419">
        <f t="shared" si="92"/>
        <v>0</v>
      </c>
      <c r="V419">
        <f t="shared" si="92"/>
        <v>0</v>
      </c>
      <c r="W419">
        <f t="shared" si="92"/>
        <v>0</v>
      </c>
      <c r="X419">
        <f t="shared" si="92"/>
        <v>0</v>
      </c>
      <c r="Y419">
        <f t="shared" si="93"/>
        <v>0</v>
      </c>
      <c r="Z419">
        <f t="shared" si="91"/>
        <v>0</v>
      </c>
      <c r="AA419">
        <f t="shared" si="91"/>
        <v>0</v>
      </c>
      <c r="AB419">
        <f t="shared" si="91"/>
        <v>0</v>
      </c>
      <c r="AC419">
        <f t="shared" si="91"/>
        <v>0</v>
      </c>
      <c r="AD419">
        <f t="shared" si="91"/>
        <v>0</v>
      </c>
      <c r="AE419">
        <f t="shared" si="91"/>
        <v>0</v>
      </c>
      <c r="AF419">
        <f t="shared" si="91"/>
        <v>0</v>
      </c>
      <c r="AG419">
        <f t="shared" si="91"/>
        <v>0</v>
      </c>
      <c r="AH419">
        <f t="shared" si="91"/>
        <v>0</v>
      </c>
      <c r="AI419">
        <f t="shared" si="91"/>
        <v>0</v>
      </c>
      <c r="AJ419">
        <f t="shared" si="91"/>
        <v>0</v>
      </c>
      <c r="AK419">
        <f t="shared" si="90"/>
        <v>0</v>
      </c>
      <c r="AL419">
        <f t="shared" si="90"/>
        <v>0</v>
      </c>
      <c r="AM419">
        <f t="shared" si="90"/>
        <v>0</v>
      </c>
      <c r="AN419">
        <f t="shared" si="90"/>
        <v>0</v>
      </c>
      <c r="AO419">
        <f t="shared" si="90"/>
        <v>0</v>
      </c>
      <c r="AP419">
        <f t="shared" si="90"/>
        <v>0</v>
      </c>
      <c r="AQ419">
        <f t="shared" si="90"/>
        <v>0</v>
      </c>
      <c r="AR419">
        <f t="shared" si="90"/>
        <v>0</v>
      </c>
    </row>
    <row r="420" spans="5:44" x14ac:dyDescent="0.2">
      <c r="E420" s="1">
        <f>moment_rate!$AC420</f>
        <v>7.4493433161470389E-3</v>
      </c>
      <c r="F420" s="1">
        <f t="shared" si="86"/>
        <v>0</v>
      </c>
      <c r="G420">
        <f>moment_rate!I420-0.005</f>
        <v>4.1299999999999564</v>
      </c>
      <c r="H420" s="1">
        <f t="shared" si="87"/>
        <v>0</v>
      </c>
      <c r="I420">
        <f t="shared" si="92"/>
        <v>0</v>
      </c>
      <c r="J420">
        <f t="shared" si="92"/>
        <v>0</v>
      </c>
      <c r="K420">
        <f t="shared" si="92"/>
        <v>0</v>
      </c>
      <c r="L420">
        <f t="shared" si="92"/>
        <v>0</v>
      </c>
      <c r="M420">
        <f t="shared" si="92"/>
        <v>0</v>
      </c>
      <c r="N420">
        <f t="shared" si="92"/>
        <v>0</v>
      </c>
      <c r="O420">
        <f t="shared" si="92"/>
        <v>0</v>
      </c>
      <c r="P420">
        <f t="shared" si="92"/>
        <v>0</v>
      </c>
      <c r="Q420">
        <f t="shared" si="92"/>
        <v>0</v>
      </c>
      <c r="R420">
        <f t="shared" si="92"/>
        <v>0</v>
      </c>
      <c r="S420">
        <f t="shared" si="92"/>
        <v>0</v>
      </c>
      <c r="T420">
        <f t="shared" si="92"/>
        <v>0</v>
      </c>
      <c r="U420">
        <f t="shared" si="92"/>
        <v>0</v>
      </c>
      <c r="V420">
        <f t="shared" si="92"/>
        <v>0</v>
      </c>
      <c r="W420">
        <f t="shared" si="92"/>
        <v>0</v>
      </c>
      <c r="X420">
        <f t="shared" si="92"/>
        <v>0</v>
      </c>
      <c r="Y420">
        <f t="shared" si="93"/>
        <v>0</v>
      </c>
      <c r="Z420">
        <f t="shared" si="91"/>
        <v>0</v>
      </c>
      <c r="AA420">
        <f t="shared" si="91"/>
        <v>0</v>
      </c>
      <c r="AB420">
        <f t="shared" si="91"/>
        <v>0</v>
      </c>
      <c r="AC420">
        <f t="shared" si="91"/>
        <v>0</v>
      </c>
      <c r="AD420">
        <f t="shared" si="91"/>
        <v>0</v>
      </c>
      <c r="AE420">
        <f t="shared" si="91"/>
        <v>0</v>
      </c>
      <c r="AF420">
        <f t="shared" si="91"/>
        <v>0</v>
      </c>
      <c r="AG420">
        <f t="shared" si="91"/>
        <v>0</v>
      </c>
      <c r="AH420">
        <f t="shared" si="91"/>
        <v>0</v>
      </c>
      <c r="AI420">
        <f t="shared" si="91"/>
        <v>0</v>
      </c>
      <c r="AJ420">
        <f t="shared" si="91"/>
        <v>0</v>
      </c>
      <c r="AK420">
        <f t="shared" si="90"/>
        <v>0</v>
      </c>
      <c r="AL420">
        <f t="shared" si="90"/>
        <v>0</v>
      </c>
      <c r="AM420">
        <f t="shared" si="90"/>
        <v>0</v>
      </c>
      <c r="AN420">
        <f t="shared" si="90"/>
        <v>0</v>
      </c>
      <c r="AO420">
        <f t="shared" si="90"/>
        <v>0</v>
      </c>
      <c r="AP420">
        <f t="shared" si="90"/>
        <v>0</v>
      </c>
      <c r="AQ420">
        <f t="shared" si="90"/>
        <v>0</v>
      </c>
      <c r="AR420">
        <f t="shared" si="90"/>
        <v>0</v>
      </c>
    </row>
    <row r="421" spans="5:44" x14ac:dyDescent="0.2">
      <c r="E421" s="1">
        <f>moment_rate!$AC421</f>
        <v>7.4493433161470389E-3</v>
      </c>
      <c r="F421" s="1">
        <f t="shared" si="86"/>
        <v>0</v>
      </c>
      <c r="G421">
        <f>moment_rate!I421-0.005</f>
        <v>4.1399999999999562</v>
      </c>
      <c r="H421" s="1">
        <f t="shared" si="87"/>
        <v>0</v>
      </c>
      <c r="I421">
        <f t="shared" si="92"/>
        <v>0</v>
      </c>
      <c r="J421">
        <f t="shared" si="92"/>
        <v>0</v>
      </c>
      <c r="K421">
        <f t="shared" si="92"/>
        <v>0</v>
      </c>
      <c r="L421">
        <f t="shared" si="92"/>
        <v>0</v>
      </c>
      <c r="M421">
        <f t="shared" si="92"/>
        <v>0</v>
      </c>
      <c r="N421">
        <f t="shared" si="92"/>
        <v>0</v>
      </c>
      <c r="O421">
        <f t="shared" si="92"/>
        <v>0</v>
      </c>
      <c r="P421">
        <f t="shared" si="92"/>
        <v>0</v>
      </c>
      <c r="Q421">
        <f t="shared" si="92"/>
        <v>0</v>
      </c>
      <c r="R421">
        <f t="shared" si="92"/>
        <v>0</v>
      </c>
      <c r="S421">
        <f t="shared" si="92"/>
        <v>0</v>
      </c>
      <c r="T421">
        <f t="shared" si="92"/>
        <v>0</v>
      </c>
      <c r="U421">
        <f t="shared" si="92"/>
        <v>0</v>
      </c>
      <c r="V421">
        <f t="shared" si="92"/>
        <v>0</v>
      </c>
      <c r="W421">
        <f t="shared" si="92"/>
        <v>0</v>
      </c>
      <c r="X421">
        <f t="shared" si="92"/>
        <v>0</v>
      </c>
      <c r="Y421">
        <f t="shared" si="93"/>
        <v>0</v>
      </c>
      <c r="Z421">
        <f t="shared" si="91"/>
        <v>0</v>
      </c>
      <c r="AA421">
        <f t="shared" si="91"/>
        <v>0</v>
      </c>
      <c r="AB421">
        <f t="shared" si="91"/>
        <v>0</v>
      </c>
      <c r="AC421">
        <f t="shared" si="91"/>
        <v>0</v>
      </c>
      <c r="AD421">
        <f t="shared" si="91"/>
        <v>0</v>
      </c>
      <c r="AE421">
        <f t="shared" si="91"/>
        <v>0</v>
      </c>
      <c r="AF421">
        <f t="shared" si="91"/>
        <v>0</v>
      </c>
      <c r="AG421">
        <f t="shared" si="91"/>
        <v>0</v>
      </c>
      <c r="AH421">
        <f t="shared" si="91"/>
        <v>0</v>
      </c>
      <c r="AI421">
        <f t="shared" si="91"/>
        <v>0</v>
      </c>
      <c r="AJ421">
        <f t="shared" si="91"/>
        <v>0</v>
      </c>
      <c r="AK421">
        <f t="shared" si="90"/>
        <v>0</v>
      </c>
      <c r="AL421">
        <f t="shared" si="90"/>
        <v>0</v>
      </c>
      <c r="AM421">
        <f t="shared" si="90"/>
        <v>0</v>
      </c>
      <c r="AN421">
        <f t="shared" si="90"/>
        <v>0</v>
      </c>
      <c r="AO421">
        <f t="shared" si="90"/>
        <v>0</v>
      </c>
      <c r="AP421">
        <f t="shared" si="90"/>
        <v>0</v>
      </c>
      <c r="AQ421">
        <f t="shared" si="90"/>
        <v>0</v>
      </c>
      <c r="AR421">
        <f t="shared" si="90"/>
        <v>0</v>
      </c>
    </row>
    <row r="422" spans="5:44" x14ac:dyDescent="0.2">
      <c r="E422" s="1">
        <f>moment_rate!$AC422</f>
        <v>7.4493433161470389E-3</v>
      </c>
      <c r="F422" s="1">
        <f t="shared" si="86"/>
        <v>0</v>
      </c>
      <c r="G422">
        <f>moment_rate!I422-0.005</f>
        <v>4.1499999999999559</v>
      </c>
      <c r="H422" s="1">
        <f t="shared" si="87"/>
        <v>0</v>
      </c>
      <c r="I422">
        <f t="shared" si="92"/>
        <v>0</v>
      </c>
      <c r="J422">
        <f t="shared" si="92"/>
        <v>0</v>
      </c>
      <c r="K422">
        <f t="shared" si="92"/>
        <v>0</v>
      </c>
      <c r="L422">
        <f t="shared" si="92"/>
        <v>0</v>
      </c>
      <c r="M422">
        <f t="shared" si="92"/>
        <v>0</v>
      </c>
      <c r="N422">
        <f t="shared" si="92"/>
        <v>0</v>
      </c>
      <c r="O422">
        <f t="shared" si="92"/>
        <v>0</v>
      </c>
      <c r="P422">
        <f t="shared" si="92"/>
        <v>0</v>
      </c>
      <c r="Q422">
        <f t="shared" si="92"/>
        <v>0</v>
      </c>
      <c r="R422">
        <f t="shared" si="92"/>
        <v>0</v>
      </c>
      <c r="S422">
        <f t="shared" si="92"/>
        <v>0</v>
      </c>
      <c r="T422">
        <f t="shared" si="92"/>
        <v>0</v>
      </c>
      <c r="U422">
        <f t="shared" si="92"/>
        <v>0</v>
      </c>
      <c r="V422">
        <f t="shared" si="92"/>
        <v>0</v>
      </c>
      <c r="W422">
        <f t="shared" si="92"/>
        <v>0</v>
      </c>
      <c r="X422">
        <f t="shared" si="92"/>
        <v>0</v>
      </c>
      <c r="Y422">
        <f t="shared" si="93"/>
        <v>0</v>
      </c>
      <c r="Z422">
        <f t="shared" si="91"/>
        <v>0</v>
      </c>
      <c r="AA422">
        <f t="shared" si="91"/>
        <v>0</v>
      </c>
      <c r="AB422">
        <f t="shared" si="91"/>
        <v>0</v>
      </c>
      <c r="AC422">
        <f t="shared" si="91"/>
        <v>0</v>
      </c>
      <c r="AD422">
        <f t="shared" si="91"/>
        <v>0</v>
      </c>
      <c r="AE422">
        <f t="shared" si="91"/>
        <v>0</v>
      </c>
      <c r="AF422">
        <f t="shared" si="91"/>
        <v>0</v>
      </c>
      <c r="AG422">
        <f t="shared" si="91"/>
        <v>0</v>
      </c>
      <c r="AH422">
        <f t="shared" si="91"/>
        <v>0</v>
      </c>
      <c r="AI422">
        <f t="shared" si="91"/>
        <v>0</v>
      </c>
      <c r="AJ422">
        <f t="shared" si="91"/>
        <v>0</v>
      </c>
      <c r="AK422">
        <f t="shared" si="90"/>
        <v>0</v>
      </c>
      <c r="AL422">
        <f t="shared" si="90"/>
        <v>0</v>
      </c>
      <c r="AM422">
        <f t="shared" si="90"/>
        <v>0</v>
      </c>
      <c r="AN422">
        <f t="shared" si="90"/>
        <v>0</v>
      </c>
      <c r="AO422">
        <f t="shared" si="90"/>
        <v>0</v>
      </c>
      <c r="AP422">
        <f t="shared" si="90"/>
        <v>0</v>
      </c>
      <c r="AQ422">
        <f t="shared" si="90"/>
        <v>0</v>
      </c>
      <c r="AR422">
        <f t="shared" si="90"/>
        <v>0</v>
      </c>
    </row>
    <row r="423" spans="5:44" x14ac:dyDescent="0.2">
      <c r="E423" s="1">
        <f>moment_rate!$AC423</f>
        <v>7.4493433161470389E-3</v>
      </c>
      <c r="F423" s="1">
        <f t="shared" si="86"/>
        <v>0</v>
      </c>
      <c r="G423">
        <f>moment_rate!I423-0.005</f>
        <v>4.1599999999999557</v>
      </c>
      <c r="H423" s="1">
        <f t="shared" si="87"/>
        <v>0</v>
      </c>
      <c r="I423">
        <f t="shared" si="92"/>
        <v>0</v>
      </c>
      <c r="J423">
        <f t="shared" si="92"/>
        <v>0</v>
      </c>
      <c r="K423">
        <f t="shared" si="92"/>
        <v>0</v>
      </c>
      <c r="L423">
        <f t="shared" si="92"/>
        <v>0</v>
      </c>
      <c r="M423">
        <f t="shared" si="92"/>
        <v>0</v>
      </c>
      <c r="N423">
        <f t="shared" si="92"/>
        <v>0</v>
      </c>
      <c r="O423">
        <f t="shared" si="92"/>
        <v>0</v>
      </c>
      <c r="P423">
        <f t="shared" si="92"/>
        <v>0</v>
      </c>
      <c r="Q423">
        <f t="shared" si="92"/>
        <v>0</v>
      </c>
      <c r="R423">
        <f t="shared" si="92"/>
        <v>0</v>
      </c>
      <c r="S423">
        <f t="shared" si="92"/>
        <v>0</v>
      </c>
      <c r="T423">
        <f t="shared" si="92"/>
        <v>0</v>
      </c>
      <c r="U423">
        <f t="shared" si="92"/>
        <v>0</v>
      </c>
      <c r="V423">
        <f t="shared" si="92"/>
        <v>0</v>
      </c>
      <c r="W423">
        <f t="shared" si="92"/>
        <v>0</v>
      </c>
      <c r="X423">
        <f t="shared" si="92"/>
        <v>0</v>
      </c>
      <c r="Y423">
        <f t="shared" si="93"/>
        <v>0</v>
      </c>
      <c r="Z423">
        <f t="shared" si="91"/>
        <v>0</v>
      </c>
      <c r="AA423">
        <f t="shared" si="91"/>
        <v>0</v>
      </c>
      <c r="AB423">
        <f t="shared" si="91"/>
        <v>0</v>
      </c>
      <c r="AC423">
        <f t="shared" si="91"/>
        <v>0</v>
      </c>
      <c r="AD423">
        <f t="shared" si="91"/>
        <v>0</v>
      </c>
      <c r="AE423">
        <f t="shared" si="91"/>
        <v>0</v>
      </c>
      <c r="AF423">
        <f t="shared" si="91"/>
        <v>0</v>
      </c>
      <c r="AG423">
        <f t="shared" si="91"/>
        <v>0</v>
      </c>
      <c r="AH423">
        <f t="shared" si="91"/>
        <v>0</v>
      </c>
      <c r="AI423">
        <f t="shared" si="91"/>
        <v>0</v>
      </c>
      <c r="AJ423">
        <f t="shared" si="91"/>
        <v>0</v>
      </c>
      <c r="AK423">
        <f t="shared" si="90"/>
        <v>0</v>
      </c>
      <c r="AL423">
        <f t="shared" si="90"/>
        <v>0</v>
      </c>
      <c r="AM423">
        <f t="shared" si="90"/>
        <v>0</v>
      </c>
      <c r="AN423">
        <f t="shared" si="90"/>
        <v>0</v>
      </c>
      <c r="AO423">
        <f t="shared" si="90"/>
        <v>0</v>
      </c>
      <c r="AP423">
        <f t="shared" si="90"/>
        <v>0</v>
      </c>
      <c r="AQ423">
        <f t="shared" si="90"/>
        <v>0</v>
      </c>
      <c r="AR423">
        <f t="shared" si="90"/>
        <v>0</v>
      </c>
    </row>
    <row r="424" spans="5:44" x14ac:dyDescent="0.2">
      <c r="E424" s="1">
        <f>moment_rate!$AC424</f>
        <v>7.4493433161470389E-3</v>
      </c>
      <c r="F424" s="1">
        <f t="shared" si="86"/>
        <v>0</v>
      </c>
      <c r="G424">
        <f>moment_rate!I424-0.005</f>
        <v>4.1699999999999555</v>
      </c>
      <c r="H424" s="1">
        <f t="shared" si="87"/>
        <v>0</v>
      </c>
      <c r="I424">
        <f t="shared" si="92"/>
        <v>0</v>
      </c>
      <c r="J424">
        <f t="shared" si="92"/>
        <v>0</v>
      </c>
      <c r="K424">
        <f t="shared" si="92"/>
        <v>0</v>
      </c>
      <c r="L424">
        <f t="shared" si="92"/>
        <v>0</v>
      </c>
      <c r="M424">
        <f t="shared" si="92"/>
        <v>0</v>
      </c>
      <c r="N424">
        <f t="shared" si="92"/>
        <v>0</v>
      </c>
      <c r="O424">
        <f t="shared" si="92"/>
        <v>0</v>
      </c>
      <c r="P424">
        <f t="shared" si="92"/>
        <v>0</v>
      </c>
      <c r="Q424">
        <f t="shared" si="92"/>
        <v>0</v>
      </c>
      <c r="R424">
        <f t="shared" si="92"/>
        <v>0</v>
      </c>
      <c r="S424">
        <f t="shared" si="92"/>
        <v>0</v>
      </c>
      <c r="T424">
        <f t="shared" si="92"/>
        <v>0</v>
      </c>
      <c r="U424">
        <f t="shared" si="92"/>
        <v>0</v>
      </c>
      <c r="V424">
        <f t="shared" si="92"/>
        <v>0</v>
      </c>
      <c r="W424">
        <f t="shared" si="92"/>
        <v>0</v>
      </c>
      <c r="X424">
        <f t="shared" si="92"/>
        <v>0</v>
      </c>
      <c r="Y424">
        <f t="shared" si="93"/>
        <v>0</v>
      </c>
      <c r="Z424">
        <f t="shared" si="91"/>
        <v>0</v>
      </c>
      <c r="AA424">
        <f t="shared" si="91"/>
        <v>0</v>
      </c>
      <c r="AB424">
        <f t="shared" si="91"/>
        <v>0</v>
      </c>
      <c r="AC424">
        <f t="shared" si="91"/>
        <v>0</v>
      </c>
      <c r="AD424">
        <f t="shared" si="91"/>
        <v>0</v>
      </c>
      <c r="AE424">
        <f t="shared" si="91"/>
        <v>0</v>
      </c>
      <c r="AF424">
        <f t="shared" si="91"/>
        <v>0</v>
      </c>
      <c r="AG424">
        <f t="shared" si="91"/>
        <v>0</v>
      </c>
      <c r="AH424">
        <f t="shared" si="91"/>
        <v>0</v>
      </c>
      <c r="AI424">
        <f t="shared" si="91"/>
        <v>0</v>
      </c>
      <c r="AJ424">
        <f t="shared" si="91"/>
        <v>0</v>
      </c>
      <c r="AK424">
        <f t="shared" si="90"/>
        <v>0</v>
      </c>
      <c r="AL424">
        <f t="shared" si="90"/>
        <v>0</v>
      </c>
      <c r="AM424">
        <f t="shared" si="90"/>
        <v>0</v>
      </c>
      <c r="AN424">
        <f t="shared" si="90"/>
        <v>0</v>
      </c>
      <c r="AO424">
        <f t="shared" si="90"/>
        <v>0</v>
      </c>
      <c r="AP424">
        <f t="shared" si="90"/>
        <v>0</v>
      </c>
      <c r="AQ424">
        <f t="shared" si="90"/>
        <v>0</v>
      </c>
      <c r="AR424">
        <f t="shared" si="90"/>
        <v>0</v>
      </c>
    </row>
    <row r="425" spans="5:44" x14ac:dyDescent="0.2">
      <c r="E425" s="1">
        <f>moment_rate!$AC425</f>
        <v>7.4493433161470389E-3</v>
      </c>
      <c r="F425" s="1">
        <f t="shared" si="86"/>
        <v>0</v>
      </c>
      <c r="G425">
        <f>moment_rate!I425-0.005</f>
        <v>4.1799999999999553</v>
      </c>
      <c r="H425" s="1">
        <f t="shared" si="87"/>
        <v>0</v>
      </c>
      <c r="I425">
        <f t="shared" si="92"/>
        <v>0</v>
      </c>
      <c r="J425">
        <f t="shared" si="92"/>
        <v>0</v>
      </c>
      <c r="K425">
        <f t="shared" si="92"/>
        <v>0</v>
      </c>
      <c r="L425">
        <f t="shared" si="92"/>
        <v>0</v>
      </c>
      <c r="M425">
        <f t="shared" si="92"/>
        <v>0</v>
      </c>
      <c r="N425">
        <f t="shared" si="92"/>
        <v>0</v>
      </c>
      <c r="O425">
        <f t="shared" si="92"/>
        <v>0</v>
      </c>
      <c r="P425">
        <f t="shared" si="92"/>
        <v>0</v>
      </c>
      <c r="Q425">
        <f t="shared" si="92"/>
        <v>0</v>
      </c>
      <c r="R425">
        <f t="shared" si="92"/>
        <v>0</v>
      </c>
      <c r="S425">
        <f t="shared" si="92"/>
        <v>0</v>
      </c>
      <c r="T425">
        <f t="shared" si="92"/>
        <v>0</v>
      </c>
      <c r="U425">
        <f t="shared" si="92"/>
        <v>0</v>
      </c>
      <c r="V425">
        <f t="shared" si="92"/>
        <v>0</v>
      </c>
      <c r="W425">
        <f t="shared" si="92"/>
        <v>0</v>
      </c>
      <c r="X425">
        <f t="shared" si="92"/>
        <v>0</v>
      </c>
      <c r="Y425">
        <f t="shared" si="93"/>
        <v>0</v>
      </c>
      <c r="Z425">
        <f t="shared" si="91"/>
        <v>0</v>
      </c>
      <c r="AA425">
        <f t="shared" si="91"/>
        <v>0</v>
      </c>
      <c r="AB425">
        <f t="shared" si="91"/>
        <v>0</v>
      </c>
      <c r="AC425">
        <f t="shared" si="91"/>
        <v>0</v>
      </c>
      <c r="AD425">
        <f t="shared" si="91"/>
        <v>0</v>
      </c>
      <c r="AE425">
        <f t="shared" si="91"/>
        <v>0</v>
      </c>
      <c r="AF425">
        <f t="shared" si="91"/>
        <v>0</v>
      </c>
      <c r="AG425">
        <f t="shared" si="91"/>
        <v>0</v>
      </c>
      <c r="AH425">
        <f t="shared" si="91"/>
        <v>0</v>
      </c>
      <c r="AI425">
        <f t="shared" si="91"/>
        <v>0</v>
      </c>
      <c r="AJ425">
        <f t="shared" si="91"/>
        <v>0</v>
      </c>
      <c r="AK425">
        <f t="shared" si="90"/>
        <v>0</v>
      </c>
      <c r="AL425">
        <f t="shared" si="90"/>
        <v>0</v>
      </c>
      <c r="AM425">
        <f t="shared" si="90"/>
        <v>0</v>
      </c>
      <c r="AN425">
        <f t="shared" si="90"/>
        <v>0</v>
      </c>
      <c r="AO425">
        <f t="shared" si="90"/>
        <v>0</v>
      </c>
      <c r="AP425">
        <f t="shared" si="90"/>
        <v>0</v>
      </c>
      <c r="AQ425">
        <f t="shared" si="90"/>
        <v>0</v>
      </c>
      <c r="AR425">
        <f t="shared" si="90"/>
        <v>0</v>
      </c>
    </row>
    <row r="426" spans="5:44" x14ac:dyDescent="0.2">
      <c r="E426" s="1">
        <f>moment_rate!$AC426</f>
        <v>7.4493433161470389E-3</v>
      </c>
      <c r="F426" s="1">
        <f t="shared" si="86"/>
        <v>0</v>
      </c>
      <c r="G426">
        <f>moment_rate!I426-0.005</f>
        <v>4.1899999999999551</v>
      </c>
      <c r="H426" s="1">
        <f t="shared" si="87"/>
        <v>0</v>
      </c>
      <c r="I426">
        <f t="shared" si="92"/>
        <v>0</v>
      </c>
      <c r="J426">
        <f t="shared" si="92"/>
        <v>0</v>
      </c>
      <c r="K426">
        <f t="shared" si="92"/>
        <v>0</v>
      </c>
      <c r="L426">
        <f t="shared" si="92"/>
        <v>0</v>
      </c>
      <c r="M426">
        <f t="shared" si="92"/>
        <v>0</v>
      </c>
      <c r="N426">
        <f t="shared" si="92"/>
        <v>0</v>
      </c>
      <c r="O426">
        <f t="shared" si="92"/>
        <v>0</v>
      </c>
      <c r="P426">
        <f t="shared" si="92"/>
        <v>0</v>
      </c>
      <c r="Q426">
        <f t="shared" si="92"/>
        <v>0</v>
      </c>
      <c r="R426">
        <f t="shared" si="92"/>
        <v>0</v>
      </c>
      <c r="S426">
        <f t="shared" si="92"/>
        <v>0</v>
      </c>
      <c r="T426">
        <f t="shared" si="92"/>
        <v>0</v>
      </c>
      <c r="U426">
        <f t="shared" si="92"/>
        <v>0</v>
      </c>
      <c r="V426">
        <f t="shared" si="92"/>
        <v>0</v>
      </c>
      <c r="W426">
        <f t="shared" si="92"/>
        <v>0</v>
      </c>
      <c r="X426">
        <f t="shared" si="92"/>
        <v>0</v>
      </c>
      <c r="Y426">
        <f t="shared" si="93"/>
        <v>0</v>
      </c>
      <c r="Z426">
        <f t="shared" si="91"/>
        <v>0</v>
      </c>
      <c r="AA426">
        <f t="shared" si="91"/>
        <v>0</v>
      </c>
      <c r="AB426">
        <f t="shared" si="91"/>
        <v>0</v>
      </c>
      <c r="AC426">
        <f t="shared" si="91"/>
        <v>0</v>
      </c>
      <c r="AD426">
        <f t="shared" si="91"/>
        <v>0</v>
      </c>
      <c r="AE426">
        <f t="shared" si="91"/>
        <v>0</v>
      </c>
      <c r="AF426">
        <f t="shared" si="91"/>
        <v>0</v>
      </c>
      <c r="AG426">
        <f t="shared" si="91"/>
        <v>0</v>
      </c>
      <c r="AH426">
        <f t="shared" si="91"/>
        <v>0</v>
      </c>
      <c r="AI426">
        <f t="shared" si="91"/>
        <v>0</v>
      </c>
      <c r="AJ426">
        <f t="shared" si="91"/>
        <v>0</v>
      </c>
      <c r="AK426">
        <f t="shared" si="90"/>
        <v>0</v>
      </c>
      <c r="AL426">
        <f t="shared" si="90"/>
        <v>0</v>
      </c>
      <c r="AM426">
        <f t="shared" si="90"/>
        <v>0</v>
      </c>
      <c r="AN426">
        <f t="shared" si="90"/>
        <v>0</v>
      </c>
      <c r="AO426">
        <f t="shared" si="90"/>
        <v>0</v>
      </c>
      <c r="AP426">
        <f t="shared" si="90"/>
        <v>0</v>
      </c>
      <c r="AQ426">
        <f t="shared" si="90"/>
        <v>0</v>
      </c>
      <c r="AR426">
        <f t="shared" si="90"/>
        <v>0</v>
      </c>
    </row>
    <row r="427" spans="5:44" x14ac:dyDescent="0.2">
      <c r="E427" s="1">
        <f>moment_rate!$AC427</f>
        <v>7.4493433161470389E-3</v>
      </c>
      <c r="F427" s="1">
        <f t="shared" si="86"/>
        <v>0</v>
      </c>
      <c r="G427">
        <f>moment_rate!I427-0.005</f>
        <v>4.1999999999999549</v>
      </c>
      <c r="H427" s="1">
        <f t="shared" si="87"/>
        <v>0</v>
      </c>
      <c r="I427">
        <f t="shared" si="92"/>
        <v>0</v>
      </c>
      <c r="J427">
        <f t="shared" si="92"/>
        <v>0</v>
      </c>
      <c r="K427">
        <f t="shared" si="92"/>
        <v>0</v>
      </c>
      <c r="L427">
        <f t="shared" si="92"/>
        <v>0</v>
      </c>
      <c r="M427">
        <f t="shared" si="92"/>
        <v>0</v>
      </c>
      <c r="N427">
        <f t="shared" si="92"/>
        <v>0</v>
      </c>
      <c r="O427">
        <f t="shared" si="92"/>
        <v>0</v>
      </c>
      <c r="P427">
        <f t="shared" si="92"/>
        <v>0</v>
      </c>
      <c r="Q427">
        <f t="shared" si="92"/>
        <v>0</v>
      </c>
      <c r="R427">
        <f t="shared" si="92"/>
        <v>0</v>
      </c>
      <c r="S427">
        <f t="shared" si="92"/>
        <v>0</v>
      </c>
      <c r="T427">
        <f t="shared" si="92"/>
        <v>0</v>
      </c>
      <c r="U427">
        <f t="shared" si="92"/>
        <v>0</v>
      </c>
      <c r="V427">
        <f t="shared" si="92"/>
        <v>0</v>
      </c>
      <c r="W427">
        <f t="shared" si="92"/>
        <v>0</v>
      </c>
      <c r="X427">
        <f t="shared" si="92"/>
        <v>0</v>
      </c>
      <c r="Y427">
        <f t="shared" si="93"/>
        <v>0</v>
      </c>
      <c r="Z427">
        <f t="shared" ref="Z427:AJ429" si="94">IF(AND($G427&gt;=Z$3,$G427&lt;Z$4),$F427,0)</f>
        <v>0</v>
      </c>
      <c r="AA427">
        <f t="shared" si="94"/>
        <v>0</v>
      </c>
      <c r="AB427">
        <f t="shared" si="94"/>
        <v>0</v>
      </c>
      <c r="AC427">
        <f t="shared" si="94"/>
        <v>0</v>
      </c>
      <c r="AD427">
        <f t="shared" si="94"/>
        <v>0</v>
      </c>
      <c r="AE427">
        <f t="shared" si="94"/>
        <v>0</v>
      </c>
      <c r="AF427">
        <f t="shared" si="94"/>
        <v>0</v>
      </c>
      <c r="AG427">
        <f t="shared" si="94"/>
        <v>0</v>
      </c>
      <c r="AH427">
        <f t="shared" si="94"/>
        <v>0</v>
      </c>
      <c r="AI427">
        <f t="shared" si="94"/>
        <v>0</v>
      </c>
      <c r="AJ427">
        <f t="shared" si="94"/>
        <v>0</v>
      </c>
      <c r="AK427">
        <f t="shared" si="90"/>
        <v>0</v>
      </c>
      <c r="AL427">
        <f t="shared" si="90"/>
        <v>0</v>
      </c>
      <c r="AM427">
        <f t="shared" si="90"/>
        <v>0</v>
      </c>
      <c r="AN427">
        <f t="shared" si="90"/>
        <v>0</v>
      </c>
      <c r="AO427">
        <f t="shared" si="90"/>
        <v>0</v>
      </c>
      <c r="AP427">
        <f t="shared" si="90"/>
        <v>0</v>
      </c>
      <c r="AQ427">
        <f t="shared" si="90"/>
        <v>0</v>
      </c>
      <c r="AR427">
        <f t="shared" si="90"/>
        <v>0</v>
      </c>
    </row>
    <row r="428" spans="5:44" x14ac:dyDescent="0.2">
      <c r="E428" s="1">
        <f>moment_rate!$AC428</f>
        <v>7.4493433161470389E-3</v>
      </c>
      <c r="F428" s="1">
        <f t="shared" si="86"/>
        <v>0</v>
      </c>
      <c r="G428">
        <f>moment_rate!I428-0.005</f>
        <v>4.2099999999999547</v>
      </c>
      <c r="H428" s="1">
        <f t="shared" si="87"/>
        <v>0</v>
      </c>
      <c r="I428">
        <f t="shared" si="92"/>
        <v>0</v>
      </c>
      <c r="J428">
        <f t="shared" si="92"/>
        <v>0</v>
      </c>
      <c r="K428">
        <f t="shared" si="92"/>
        <v>0</v>
      </c>
      <c r="L428">
        <f t="shared" si="92"/>
        <v>0</v>
      </c>
      <c r="M428">
        <f t="shared" si="92"/>
        <v>0</v>
      </c>
      <c r="N428">
        <f t="shared" si="92"/>
        <v>0</v>
      </c>
      <c r="O428">
        <f t="shared" si="92"/>
        <v>0</v>
      </c>
      <c r="P428">
        <f t="shared" si="92"/>
        <v>0</v>
      </c>
      <c r="Q428">
        <f t="shared" si="92"/>
        <v>0</v>
      </c>
      <c r="R428">
        <f t="shared" si="92"/>
        <v>0</v>
      </c>
      <c r="S428">
        <f t="shared" si="92"/>
        <v>0</v>
      </c>
      <c r="T428">
        <f t="shared" si="92"/>
        <v>0</v>
      </c>
      <c r="U428">
        <f t="shared" si="92"/>
        <v>0</v>
      </c>
      <c r="V428">
        <f t="shared" si="92"/>
        <v>0</v>
      </c>
      <c r="W428">
        <f t="shared" si="92"/>
        <v>0</v>
      </c>
      <c r="X428">
        <f t="shared" si="92"/>
        <v>0</v>
      </c>
      <c r="Y428">
        <f t="shared" si="93"/>
        <v>0</v>
      </c>
      <c r="Z428">
        <f t="shared" si="94"/>
        <v>0</v>
      </c>
      <c r="AA428">
        <f t="shared" si="94"/>
        <v>0</v>
      </c>
      <c r="AB428">
        <f t="shared" si="94"/>
        <v>0</v>
      </c>
      <c r="AC428">
        <f t="shared" si="94"/>
        <v>0</v>
      </c>
      <c r="AD428">
        <f t="shared" si="94"/>
        <v>0</v>
      </c>
      <c r="AE428">
        <f t="shared" si="94"/>
        <v>0</v>
      </c>
      <c r="AF428">
        <f t="shared" si="94"/>
        <v>0</v>
      </c>
      <c r="AG428">
        <f t="shared" si="94"/>
        <v>0</v>
      </c>
      <c r="AH428">
        <f t="shared" si="94"/>
        <v>0</v>
      </c>
      <c r="AI428">
        <f t="shared" si="94"/>
        <v>0</v>
      </c>
      <c r="AJ428">
        <f t="shared" si="94"/>
        <v>0</v>
      </c>
      <c r="AK428">
        <f t="shared" si="90"/>
        <v>0</v>
      </c>
      <c r="AL428">
        <f t="shared" si="90"/>
        <v>0</v>
      </c>
      <c r="AM428">
        <f t="shared" si="90"/>
        <v>0</v>
      </c>
      <c r="AN428">
        <f t="shared" si="90"/>
        <v>0</v>
      </c>
      <c r="AO428">
        <f t="shared" si="90"/>
        <v>0</v>
      </c>
      <c r="AP428">
        <f t="shared" si="90"/>
        <v>0</v>
      </c>
      <c r="AQ428">
        <f t="shared" si="90"/>
        <v>0</v>
      </c>
      <c r="AR428">
        <f t="shared" si="90"/>
        <v>0</v>
      </c>
    </row>
    <row r="429" spans="5:44" x14ac:dyDescent="0.2">
      <c r="E429" s="1">
        <f>moment_rate!$AC429</f>
        <v>7.4493433161470389E-3</v>
      </c>
      <c r="F429" s="1">
        <f t="shared" si="86"/>
        <v>0</v>
      </c>
      <c r="G429">
        <f>moment_rate!I429-0.005</f>
        <v>4.2199999999999545</v>
      </c>
      <c r="H429" s="1">
        <f t="shared" si="87"/>
        <v>0</v>
      </c>
      <c r="I429">
        <f t="shared" si="92"/>
        <v>0</v>
      </c>
      <c r="J429">
        <f t="shared" si="92"/>
        <v>0</v>
      </c>
      <c r="K429">
        <f t="shared" si="92"/>
        <v>0</v>
      </c>
      <c r="L429">
        <f t="shared" si="92"/>
        <v>0</v>
      </c>
      <c r="M429">
        <f t="shared" si="92"/>
        <v>0</v>
      </c>
      <c r="N429">
        <f t="shared" si="92"/>
        <v>0</v>
      </c>
      <c r="O429">
        <f t="shared" si="92"/>
        <v>0</v>
      </c>
      <c r="P429">
        <f t="shared" si="92"/>
        <v>0</v>
      </c>
      <c r="Q429">
        <f t="shared" si="92"/>
        <v>0</v>
      </c>
      <c r="R429">
        <f t="shared" si="92"/>
        <v>0</v>
      </c>
      <c r="S429">
        <f t="shared" si="92"/>
        <v>0</v>
      </c>
      <c r="T429">
        <f t="shared" si="92"/>
        <v>0</v>
      </c>
      <c r="U429">
        <f t="shared" si="92"/>
        <v>0</v>
      </c>
      <c r="V429">
        <f t="shared" si="92"/>
        <v>0</v>
      </c>
      <c r="W429">
        <f t="shared" si="92"/>
        <v>0</v>
      </c>
      <c r="X429">
        <f t="shared" si="92"/>
        <v>0</v>
      </c>
      <c r="Y429">
        <f t="shared" si="93"/>
        <v>0</v>
      </c>
      <c r="Z429">
        <f t="shared" si="94"/>
        <v>0</v>
      </c>
      <c r="AA429">
        <f t="shared" si="94"/>
        <v>0</v>
      </c>
      <c r="AB429">
        <f t="shared" si="94"/>
        <v>0</v>
      </c>
      <c r="AC429">
        <f t="shared" si="94"/>
        <v>0</v>
      </c>
      <c r="AD429">
        <f t="shared" si="94"/>
        <v>0</v>
      </c>
      <c r="AE429">
        <f t="shared" si="94"/>
        <v>0</v>
      </c>
      <c r="AF429">
        <f t="shared" si="94"/>
        <v>0</v>
      </c>
      <c r="AG429">
        <f t="shared" si="94"/>
        <v>0</v>
      </c>
      <c r="AH429">
        <f t="shared" si="94"/>
        <v>0</v>
      </c>
      <c r="AI429">
        <f t="shared" si="94"/>
        <v>0</v>
      </c>
      <c r="AJ429">
        <f t="shared" si="94"/>
        <v>0</v>
      </c>
      <c r="AK429">
        <f>IF(AND($G429&gt;=AK$3,$G429&lt;AK$4),$F429,0)</f>
        <v>0</v>
      </c>
      <c r="AL429">
        <f>IF(AND($G429&gt;=AL$3,$G429&lt;AL$4),$F429,0)</f>
        <v>0</v>
      </c>
      <c r="AM429">
        <f>IF(AND($G429&gt;=AM$3,$G429&lt;AM$4),$F429,0)</f>
        <v>0</v>
      </c>
      <c r="AN429">
        <f t="shared" si="90"/>
        <v>0</v>
      </c>
      <c r="AO429">
        <f t="shared" si="90"/>
        <v>0</v>
      </c>
      <c r="AP429">
        <f t="shared" si="90"/>
        <v>0</v>
      </c>
      <c r="AQ429">
        <f t="shared" si="90"/>
        <v>0</v>
      </c>
      <c r="AR429">
        <f t="shared" si="90"/>
        <v>0</v>
      </c>
    </row>
    <row r="430" spans="5:44" x14ac:dyDescent="0.2">
      <c r="E430" s="1">
        <f>moment_rate!$AC430</f>
        <v>7.4493433161470389E-3</v>
      </c>
      <c r="F430" s="1">
        <f t="shared" si="86"/>
        <v>0</v>
      </c>
      <c r="G430">
        <f>moment_rate!I430-0.005</f>
        <v>4.2299999999999542</v>
      </c>
      <c r="H430" s="1">
        <f t="shared" si="87"/>
        <v>0</v>
      </c>
      <c r="I430">
        <f t="shared" si="92"/>
        <v>0</v>
      </c>
      <c r="J430">
        <f t="shared" si="92"/>
        <v>0</v>
      </c>
      <c r="K430">
        <f t="shared" si="92"/>
        <v>0</v>
      </c>
      <c r="L430">
        <f t="shared" si="92"/>
        <v>0</v>
      </c>
      <c r="M430">
        <f t="shared" si="92"/>
        <v>0</v>
      </c>
      <c r="N430">
        <f t="shared" si="92"/>
        <v>0</v>
      </c>
      <c r="O430">
        <f t="shared" si="92"/>
        <v>0</v>
      </c>
      <c r="P430">
        <f t="shared" si="92"/>
        <v>0</v>
      </c>
      <c r="Q430">
        <f t="shared" si="92"/>
        <v>0</v>
      </c>
      <c r="R430">
        <f t="shared" si="92"/>
        <v>0</v>
      </c>
      <c r="S430">
        <f t="shared" si="92"/>
        <v>0</v>
      </c>
      <c r="T430">
        <f t="shared" si="92"/>
        <v>0</v>
      </c>
      <c r="U430">
        <f t="shared" si="92"/>
        <v>0</v>
      </c>
      <c r="V430">
        <f t="shared" si="92"/>
        <v>0</v>
      </c>
      <c r="W430">
        <f t="shared" si="92"/>
        <v>0</v>
      </c>
      <c r="X430">
        <f t="shared" ref="X430:AM445" si="95">IF(AND($G430&gt;=X$3,$G430&lt;X$4),$F430,0)</f>
        <v>0</v>
      </c>
      <c r="Y430">
        <f t="shared" si="95"/>
        <v>0</v>
      </c>
      <c r="Z430">
        <f t="shared" si="95"/>
        <v>0</v>
      </c>
      <c r="AA430">
        <f t="shared" si="95"/>
        <v>0</v>
      </c>
      <c r="AB430">
        <f t="shared" si="95"/>
        <v>0</v>
      </c>
      <c r="AC430">
        <f t="shared" si="95"/>
        <v>0</v>
      </c>
      <c r="AD430">
        <f t="shared" si="95"/>
        <v>0</v>
      </c>
      <c r="AE430">
        <f t="shared" si="95"/>
        <v>0</v>
      </c>
      <c r="AF430">
        <f t="shared" si="95"/>
        <v>0</v>
      </c>
      <c r="AG430">
        <f t="shared" si="95"/>
        <v>0</v>
      </c>
      <c r="AH430">
        <f t="shared" si="95"/>
        <v>0</v>
      </c>
      <c r="AI430">
        <f t="shared" si="95"/>
        <v>0</v>
      </c>
      <c r="AJ430">
        <f t="shared" si="95"/>
        <v>0</v>
      </c>
      <c r="AK430">
        <f t="shared" si="95"/>
        <v>0</v>
      </c>
      <c r="AL430">
        <f t="shared" si="95"/>
        <v>0</v>
      </c>
      <c r="AM430">
        <f t="shared" si="95"/>
        <v>0</v>
      </c>
      <c r="AN430">
        <f t="shared" si="90"/>
        <v>0</v>
      </c>
      <c r="AO430">
        <f t="shared" si="90"/>
        <v>0</v>
      </c>
      <c r="AP430">
        <f t="shared" si="90"/>
        <v>0</v>
      </c>
      <c r="AQ430">
        <f t="shared" si="90"/>
        <v>0</v>
      </c>
      <c r="AR430">
        <f t="shared" si="90"/>
        <v>0</v>
      </c>
    </row>
    <row r="431" spans="5:44" x14ac:dyDescent="0.2">
      <c r="E431" s="1">
        <f>moment_rate!$AC431</f>
        <v>7.4493433161470389E-3</v>
      </c>
      <c r="F431" s="1">
        <f t="shared" si="86"/>
        <v>0</v>
      </c>
      <c r="G431">
        <f>moment_rate!I431-0.005</f>
        <v>4.239999999999954</v>
      </c>
      <c r="H431" s="1">
        <f t="shared" si="87"/>
        <v>0</v>
      </c>
      <c r="I431">
        <f t="shared" ref="I431:X446" si="96">IF(AND($G431&gt;=I$3,$G431&lt;I$4),$F431,0)</f>
        <v>0</v>
      </c>
      <c r="J431">
        <f t="shared" si="96"/>
        <v>0</v>
      </c>
      <c r="K431">
        <f t="shared" si="96"/>
        <v>0</v>
      </c>
      <c r="L431">
        <f t="shared" si="96"/>
        <v>0</v>
      </c>
      <c r="M431">
        <f t="shared" si="96"/>
        <v>0</v>
      </c>
      <c r="N431">
        <f t="shared" si="96"/>
        <v>0</v>
      </c>
      <c r="O431">
        <f t="shared" si="96"/>
        <v>0</v>
      </c>
      <c r="P431">
        <f t="shared" si="96"/>
        <v>0</v>
      </c>
      <c r="Q431">
        <f t="shared" si="96"/>
        <v>0</v>
      </c>
      <c r="R431">
        <f t="shared" si="96"/>
        <v>0</v>
      </c>
      <c r="S431">
        <f t="shared" si="96"/>
        <v>0</v>
      </c>
      <c r="T431">
        <f t="shared" si="96"/>
        <v>0</v>
      </c>
      <c r="U431">
        <f t="shared" si="96"/>
        <v>0</v>
      </c>
      <c r="V431">
        <f t="shared" si="96"/>
        <v>0</v>
      </c>
      <c r="W431">
        <f t="shared" si="96"/>
        <v>0</v>
      </c>
      <c r="X431">
        <f t="shared" si="96"/>
        <v>0</v>
      </c>
      <c r="Y431">
        <f t="shared" si="95"/>
        <v>0</v>
      </c>
      <c r="Z431">
        <f t="shared" si="95"/>
        <v>0</v>
      </c>
      <c r="AA431">
        <f t="shared" si="95"/>
        <v>0</v>
      </c>
      <c r="AB431">
        <f t="shared" si="95"/>
        <v>0</v>
      </c>
      <c r="AC431">
        <f t="shared" si="95"/>
        <v>0</v>
      </c>
      <c r="AD431">
        <f t="shared" si="95"/>
        <v>0</v>
      </c>
      <c r="AE431">
        <f t="shared" si="95"/>
        <v>0</v>
      </c>
      <c r="AF431">
        <f t="shared" si="95"/>
        <v>0</v>
      </c>
      <c r="AG431">
        <f t="shared" si="95"/>
        <v>0</v>
      </c>
      <c r="AH431">
        <f t="shared" si="95"/>
        <v>0</v>
      </c>
      <c r="AI431">
        <f t="shared" si="95"/>
        <v>0</v>
      </c>
      <c r="AJ431">
        <f t="shared" si="95"/>
        <v>0</v>
      </c>
      <c r="AK431">
        <f t="shared" si="95"/>
        <v>0</v>
      </c>
      <c r="AL431">
        <f t="shared" si="95"/>
        <v>0</v>
      </c>
      <c r="AM431">
        <f t="shared" si="95"/>
        <v>0</v>
      </c>
      <c r="AN431">
        <f t="shared" si="90"/>
        <v>0</v>
      </c>
      <c r="AO431">
        <f t="shared" si="90"/>
        <v>0</v>
      </c>
      <c r="AP431">
        <f t="shared" si="90"/>
        <v>0</v>
      </c>
      <c r="AQ431">
        <f t="shared" si="90"/>
        <v>0</v>
      </c>
      <c r="AR431">
        <f t="shared" si="90"/>
        <v>0</v>
      </c>
    </row>
    <row r="432" spans="5:44" x14ac:dyDescent="0.2">
      <c r="E432" s="1">
        <f>moment_rate!$AC432</f>
        <v>7.4493433161470389E-3</v>
      </c>
      <c r="F432" s="1">
        <f t="shared" si="86"/>
        <v>0</v>
      </c>
      <c r="G432">
        <f>moment_rate!I432-0.005</f>
        <v>4.2499999999999538</v>
      </c>
      <c r="H432" s="1">
        <f t="shared" si="87"/>
        <v>0</v>
      </c>
      <c r="I432">
        <f t="shared" si="96"/>
        <v>0</v>
      </c>
      <c r="J432">
        <f t="shared" si="96"/>
        <v>0</v>
      </c>
      <c r="K432">
        <f t="shared" si="96"/>
        <v>0</v>
      </c>
      <c r="L432">
        <f t="shared" si="96"/>
        <v>0</v>
      </c>
      <c r="M432">
        <f t="shared" si="96"/>
        <v>0</v>
      </c>
      <c r="N432">
        <f t="shared" si="96"/>
        <v>0</v>
      </c>
      <c r="O432">
        <f t="shared" si="96"/>
        <v>0</v>
      </c>
      <c r="P432">
        <f t="shared" si="96"/>
        <v>0</v>
      </c>
      <c r="Q432">
        <f t="shared" si="96"/>
        <v>0</v>
      </c>
      <c r="R432">
        <f t="shared" si="96"/>
        <v>0</v>
      </c>
      <c r="S432">
        <f t="shared" si="96"/>
        <v>0</v>
      </c>
      <c r="T432">
        <f t="shared" si="96"/>
        <v>0</v>
      </c>
      <c r="U432">
        <f t="shared" si="96"/>
        <v>0</v>
      </c>
      <c r="V432">
        <f t="shared" si="96"/>
        <v>0</v>
      </c>
      <c r="W432">
        <f t="shared" si="96"/>
        <v>0</v>
      </c>
      <c r="X432">
        <f t="shared" si="96"/>
        <v>0</v>
      </c>
      <c r="Y432">
        <f t="shared" si="95"/>
        <v>0</v>
      </c>
      <c r="Z432">
        <f t="shared" si="95"/>
        <v>0</v>
      </c>
      <c r="AA432">
        <f t="shared" si="95"/>
        <v>0</v>
      </c>
      <c r="AB432">
        <f t="shared" si="95"/>
        <v>0</v>
      </c>
      <c r="AC432">
        <f t="shared" si="95"/>
        <v>0</v>
      </c>
      <c r="AD432">
        <f t="shared" si="95"/>
        <v>0</v>
      </c>
      <c r="AE432">
        <f t="shared" si="95"/>
        <v>0</v>
      </c>
      <c r="AF432">
        <f t="shared" si="95"/>
        <v>0</v>
      </c>
      <c r="AG432">
        <f t="shared" si="95"/>
        <v>0</v>
      </c>
      <c r="AH432">
        <f t="shared" si="95"/>
        <v>0</v>
      </c>
      <c r="AI432">
        <f t="shared" si="95"/>
        <v>0</v>
      </c>
      <c r="AJ432">
        <f t="shared" si="95"/>
        <v>0</v>
      </c>
      <c r="AK432">
        <f t="shared" si="95"/>
        <v>0</v>
      </c>
      <c r="AL432">
        <f t="shared" si="95"/>
        <v>0</v>
      </c>
      <c r="AM432">
        <f t="shared" si="95"/>
        <v>0</v>
      </c>
      <c r="AN432">
        <f t="shared" si="90"/>
        <v>0</v>
      </c>
      <c r="AO432">
        <f t="shared" si="90"/>
        <v>0</v>
      </c>
      <c r="AP432">
        <f t="shared" si="90"/>
        <v>0</v>
      </c>
      <c r="AQ432">
        <f t="shared" si="90"/>
        <v>0</v>
      </c>
      <c r="AR432">
        <f t="shared" si="90"/>
        <v>0</v>
      </c>
    </row>
    <row r="433" spans="5:44" x14ac:dyDescent="0.2">
      <c r="E433" s="1">
        <f>moment_rate!$AC433</f>
        <v>7.4493433161470389E-3</v>
      </c>
      <c r="F433" s="1">
        <f t="shared" si="86"/>
        <v>0</v>
      </c>
      <c r="G433">
        <f>moment_rate!I433-0.005</f>
        <v>4.2599999999999536</v>
      </c>
      <c r="H433" s="1">
        <f t="shared" si="87"/>
        <v>0</v>
      </c>
      <c r="I433">
        <f t="shared" si="96"/>
        <v>0</v>
      </c>
      <c r="J433">
        <f t="shared" si="96"/>
        <v>0</v>
      </c>
      <c r="K433">
        <f t="shared" si="96"/>
        <v>0</v>
      </c>
      <c r="L433">
        <f t="shared" si="96"/>
        <v>0</v>
      </c>
      <c r="M433">
        <f t="shared" si="96"/>
        <v>0</v>
      </c>
      <c r="N433">
        <f t="shared" si="96"/>
        <v>0</v>
      </c>
      <c r="O433">
        <f t="shared" si="96"/>
        <v>0</v>
      </c>
      <c r="P433">
        <f t="shared" si="96"/>
        <v>0</v>
      </c>
      <c r="Q433">
        <f t="shared" si="96"/>
        <v>0</v>
      </c>
      <c r="R433">
        <f t="shared" si="96"/>
        <v>0</v>
      </c>
      <c r="S433">
        <f t="shared" si="96"/>
        <v>0</v>
      </c>
      <c r="T433">
        <f t="shared" si="96"/>
        <v>0</v>
      </c>
      <c r="U433">
        <f t="shared" si="96"/>
        <v>0</v>
      </c>
      <c r="V433">
        <f t="shared" si="96"/>
        <v>0</v>
      </c>
      <c r="W433">
        <f t="shared" si="96"/>
        <v>0</v>
      </c>
      <c r="X433">
        <f t="shared" si="96"/>
        <v>0</v>
      </c>
      <c r="Y433">
        <f t="shared" si="95"/>
        <v>0</v>
      </c>
      <c r="Z433">
        <f t="shared" si="95"/>
        <v>0</v>
      </c>
      <c r="AA433">
        <f t="shared" si="95"/>
        <v>0</v>
      </c>
      <c r="AB433">
        <f t="shared" si="95"/>
        <v>0</v>
      </c>
      <c r="AC433">
        <f t="shared" si="95"/>
        <v>0</v>
      </c>
      <c r="AD433">
        <f t="shared" si="95"/>
        <v>0</v>
      </c>
      <c r="AE433">
        <f t="shared" si="95"/>
        <v>0</v>
      </c>
      <c r="AF433">
        <f t="shared" si="95"/>
        <v>0</v>
      </c>
      <c r="AG433">
        <f t="shared" si="95"/>
        <v>0</v>
      </c>
      <c r="AH433">
        <f t="shared" si="95"/>
        <v>0</v>
      </c>
      <c r="AI433">
        <f t="shared" si="95"/>
        <v>0</v>
      </c>
      <c r="AJ433">
        <f t="shared" si="95"/>
        <v>0</v>
      </c>
      <c r="AK433">
        <f t="shared" si="95"/>
        <v>0</v>
      </c>
      <c r="AL433">
        <f t="shared" si="95"/>
        <v>0</v>
      </c>
      <c r="AM433">
        <f t="shared" si="95"/>
        <v>0</v>
      </c>
      <c r="AN433">
        <f t="shared" si="90"/>
        <v>0</v>
      </c>
      <c r="AO433">
        <f t="shared" si="90"/>
        <v>0</v>
      </c>
      <c r="AP433">
        <f t="shared" si="90"/>
        <v>0</v>
      </c>
      <c r="AQ433">
        <f t="shared" si="90"/>
        <v>0</v>
      </c>
      <c r="AR433">
        <f t="shared" si="90"/>
        <v>0</v>
      </c>
    </row>
    <row r="434" spans="5:44" x14ac:dyDescent="0.2">
      <c r="E434" s="1">
        <f>moment_rate!$AC434</f>
        <v>7.4493433161470389E-3</v>
      </c>
      <c r="F434" s="1">
        <f t="shared" si="86"/>
        <v>0</v>
      </c>
      <c r="G434">
        <f>moment_rate!I434-0.005</f>
        <v>4.2699999999999534</v>
      </c>
      <c r="H434" s="1">
        <f t="shared" si="87"/>
        <v>0</v>
      </c>
      <c r="I434">
        <f t="shared" si="96"/>
        <v>0</v>
      </c>
      <c r="J434">
        <f t="shared" si="96"/>
        <v>0</v>
      </c>
      <c r="K434">
        <f t="shared" si="96"/>
        <v>0</v>
      </c>
      <c r="L434">
        <f t="shared" si="96"/>
        <v>0</v>
      </c>
      <c r="M434">
        <f t="shared" si="96"/>
        <v>0</v>
      </c>
      <c r="N434">
        <f t="shared" si="96"/>
        <v>0</v>
      </c>
      <c r="O434">
        <f t="shared" si="96"/>
        <v>0</v>
      </c>
      <c r="P434">
        <f t="shared" si="96"/>
        <v>0</v>
      </c>
      <c r="Q434">
        <f t="shared" si="96"/>
        <v>0</v>
      </c>
      <c r="R434">
        <f t="shared" si="96"/>
        <v>0</v>
      </c>
      <c r="S434">
        <f t="shared" si="96"/>
        <v>0</v>
      </c>
      <c r="T434">
        <f t="shared" si="96"/>
        <v>0</v>
      </c>
      <c r="U434">
        <f t="shared" si="96"/>
        <v>0</v>
      </c>
      <c r="V434">
        <f t="shared" si="96"/>
        <v>0</v>
      </c>
      <c r="W434">
        <f t="shared" si="96"/>
        <v>0</v>
      </c>
      <c r="X434">
        <f t="shared" si="96"/>
        <v>0</v>
      </c>
      <c r="Y434">
        <f t="shared" si="95"/>
        <v>0</v>
      </c>
      <c r="Z434">
        <f t="shared" si="95"/>
        <v>0</v>
      </c>
      <c r="AA434">
        <f t="shared" si="95"/>
        <v>0</v>
      </c>
      <c r="AB434">
        <f t="shared" si="95"/>
        <v>0</v>
      </c>
      <c r="AC434">
        <f t="shared" si="95"/>
        <v>0</v>
      </c>
      <c r="AD434">
        <f t="shared" si="95"/>
        <v>0</v>
      </c>
      <c r="AE434">
        <f t="shared" si="95"/>
        <v>0</v>
      </c>
      <c r="AF434">
        <f t="shared" si="95"/>
        <v>0</v>
      </c>
      <c r="AG434">
        <f t="shared" si="95"/>
        <v>0</v>
      </c>
      <c r="AH434">
        <f t="shared" si="95"/>
        <v>0</v>
      </c>
      <c r="AI434">
        <f t="shared" si="95"/>
        <v>0</v>
      </c>
      <c r="AJ434">
        <f t="shared" si="95"/>
        <v>0</v>
      </c>
      <c r="AK434">
        <f t="shared" si="95"/>
        <v>0</v>
      </c>
      <c r="AL434">
        <f t="shared" si="95"/>
        <v>0</v>
      </c>
      <c r="AM434">
        <f t="shared" si="95"/>
        <v>0</v>
      </c>
      <c r="AN434">
        <f t="shared" si="90"/>
        <v>0</v>
      </c>
      <c r="AO434">
        <f t="shared" si="90"/>
        <v>0</v>
      </c>
      <c r="AP434">
        <f t="shared" si="90"/>
        <v>0</v>
      </c>
      <c r="AQ434">
        <f t="shared" si="90"/>
        <v>0</v>
      </c>
      <c r="AR434">
        <f t="shared" si="90"/>
        <v>0</v>
      </c>
    </row>
    <row r="435" spans="5:44" x14ac:dyDescent="0.2">
      <c r="E435" s="1">
        <f>moment_rate!$AC435</f>
        <v>7.4493433161470389E-3</v>
      </c>
      <c r="F435" s="1">
        <f t="shared" si="86"/>
        <v>0</v>
      </c>
      <c r="G435">
        <f>moment_rate!I435-0.005</f>
        <v>4.2799999999999532</v>
      </c>
      <c r="H435" s="1">
        <f t="shared" si="87"/>
        <v>0</v>
      </c>
      <c r="I435">
        <f t="shared" si="96"/>
        <v>0</v>
      </c>
      <c r="J435">
        <f t="shared" si="96"/>
        <v>0</v>
      </c>
      <c r="K435">
        <f t="shared" si="96"/>
        <v>0</v>
      </c>
      <c r="L435">
        <f t="shared" si="96"/>
        <v>0</v>
      </c>
      <c r="M435">
        <f t="shared" si="96"/>
        <v>0</v>
      </c>
      <c r="N435">
        <f t="shared" si="96"/>
        <v>0</v>
      </c>
      <c r="O435">
        <f t="shared" si="96"/>
        <v>0</v>
      </c>
      <c r="P435">
        <f t="shared" si="96"/>
        <v>0</v>
      </c>
      <c r="Q435">
        <f t="shared" si="96"/>
        <v>0</v>
      </c>
      <c r="R435">
        <f t="shared" si="96"/>
        <v>0</v>
      </c>
      <c r="S435">
        <f t="shared" si="96"/>
        <v>0</v>
      </c>
      <c r="T435">
        <f t="shared" si="96"/>
        <v>0</v>
      </c>
      <c r="U435">
        <f t="shared" si="96"/>
        <v>0</v>
      </c>
      <c r="V435">
        <f t="shared" si="96"/>
        <v>0</v>
      </c>
      <c r="W435">
        <f t="shared" si="96"/>
        <v>0</v>
      </c>
      <c r="X435">
        <f t="shared" si="96"/>
        <v>0</v>
      </c>
      <c r="Y435">
        <f t="shared" si="95"/>
        <v>0</v>
      </c>
      <c r="Z435">
        <f t="shared" si="95"/>
        <v>0</v>
      </c>
      <c r="AA435">
        <f t="shared" si="95"/>
        <v>0</v>
      </c>
      <c r="AB435">
        <f t="shared" si="95"/>
        <v>0</v>
      </c>
      <c r="AC435">
        <f t="shared" si="95"/>
        <v>0</v>
      </c>
      <c r="AD435">
        <f t="shared" si="95"/>
        <v>0</v>
      </c>
      <c r="AE435">
        <f t="shared" si="95"/>
        <v>0</v>
      </c>
      <c r="AF435">
        <f t="shared" si="95"/>
        <v>0</v>
      </c>
      <c r="AG435">
        <f t="shared" si="95"/>
        <v>0</v>
      </c>
      <c r="AH435">
        <f t="shared" si="95"/>
        <v>0</v>
      </c>
      <c r="AI435">
        <f t="shared" si="95"/>
        <v>0</v>
      </c>
      <c r="AJ435">
        <f t="shared" si="95"/>
        <v>0</v>
      </c>
      <c r="AK435">
        <f t="shared" si="95"/>
        <v>0</v>
      </c>
      <c r="AL435">
        <f t="shared" si="95"/>
        <v>0</v>
      </c>
      <c r="AM435">
        <f t="shared" si="95"/>
        <v>0</v>
      </c>
      <c r="AN435">
        <f t="shared" si="90"/>
        <v>0</v>
      </c>
      <c r="AO435">
        <f t="shared" si="90"/>
        <v>0</v>
      </c>
      <c r="AP435">
        <f t="shared" si="90"/>
        <v>0</v>
      </c>
      <c r="AQ435">
        <f t="shared" si="90"/>
        <v>0</v>
      </c>
      <c r="AR435">
        <f t="shared" si="90"/>
        <v>0</v>
      </c>
    </row>
    <row r="436" spans="5:44" x14ac:dyDescent="0.2">
      <c r="E436" s="1">
        <f>moment_rate!$AC436</f>
        <v>7.4493433161470389E-3</v>
      </c>
      <c r="F436" s="1">
        <f t="shared" si="86"/>
        <v>0</v>
      </c>
      <c r="G436">
        <f>moment_rate!I436-0.005</f>
        <v>4.289999999999953</v>
      </c>
      <c r="H436" s="1">
        <f t="shared" si="87"/>
        <v>0</v>
      </c>
      <c r="I436">
        <f t="shared" si="96"/>
        <v>0</v>
      </c>
      <c r="J436">
        <f t="shared" si="96"/>
        <v>0</v>
      </c>
      <c r="K436">
        <f t="shared" si="96"/>
        <v>0</v>
      </c>
      <c r="L436">
        <f t="shared" si="96"/>
        <v>0</v>
      </c>
      <c r="M436">
        <f t="shared" si="96"/>
        <v>0</v>
      </c>
      <c r="N436">
        <f t="shared" si="96"/>
        <v>0</v>
      </c>
      <c r="O436">
        <f t="shared" si="96"/>
        <v>0</v>
      </c>
      <c r="P436">
        <f t="shared" si="96"/>
        <v>0</v>
      </c>
      <c r="Q436">
        <f t="shared" si="96"/>
        <v>0</v>
      </c>
      <c r="R436">
        <f t="shared" si="96"/>
        <v>0</v>
      </c>
      <c r="S436">
        <f t="shared" si="96"/>
        <v>0</v>
      </c>
      <c r="T436">
        <f t="shared" si="96"/>
        <v>0</v>
      </c>
      <c r="U436">
        <f t="shared" si="96"/>
        <v>0</v>
      </c>
      <c r="V436">
        <f t="shared" si="96"/>
        <v>0</v>
      </c>
      <c r="W436">
        <f t="shared" si="96"/>
        <v>0</v>
      </c>
      <c r="X436">
        <f t="shared" si="96"/>
        <v>0</v>
      </c>
      <c r="Y436">
        <f t="shared" si="95"/>
        <v>0</v>
      </c>
      <c r="Z436">
        <f t="shared" si="95"/>
        <v>0</v>
      </c>
      <c r="AA436">
        <f t="shared" si="95"/>
        <v>0</v>
      </c>
      <c r="AB436">
        <f t="shared" si="95"/>
        <v>0</v>
      </c>
      <c r="AC436">
        <f t="shared" si="95"/>
        <v>0</v>
      </c>
      <c r="AD436">
        <f t="shared" si="95"/>
        <v>0</v>
      </c>
      <c r="AE436">
        <f t="shared" si="95"/>
        <v>0</v>
      </c>
      <c r="AF436">
        <f t="shared" si="95"/>
        <v>0</v>
      </c>
      <c r="AG436">
        <f t="shared" si="95"/>
        <v>0</v>
      </c>
      <c r="AH436">
        <f t="shared" si="95"/>
        <v>0</v>
      </c>
      <c r="AI436">
        <f t="shared" si="95"/>
        <v>0</v>
      </c>
      <c r="AJ436">
        <f t="shared" si="95"/>
        <v>0</v>
      </c>
      <c r="AK436">
        <f t="shared" si="95"/>
        <v>0</v>
      </c>
      <c r="AL436">
        <f t="shared" si="95"/>
        <v>0</v>
      </c>
      <c r="AM436">
        <f t="shared" si="95"/>
        <v>0</v>
      </c>
      <c r="AN436">
        <f t="shared" si="90"/>
        <v>0</v>
      </c>
      <c r="AO436">
        <f t="shared" si="90"/>
        <v>0</v>
      </c>
      <c r="AP436">
        <f t="shared" si="90"/>
        <v>0</v>
      </c>
      <c r="AQ436">
        <f t="shared" si="90"/>
        <v>0</v>
      </c>
      <c r="AR436">
        <f t="shared" si="90"/>
        <v>0</v>
      </c>
    </row>
    <row r="437" spans="5:44" x14ac:dyDescent="0.2">
      <c r="E437" s="1">
        <f>moment_rate!$AC437</f>
        <v>7.4493433161470389E-3</v>
      </c>
      <c r="F437" s="1">
        <f t="shared" si="86"/>
        <v>0</v>
      </c>
      <c r="G437">
        <f>moment_rate!I437-0.005</f>
        <v>4.2999999999999527</v>
      </c>
      <c r="H437" s="1">
        <f t="shared" si="87"/>
        <v>0</v>
      </c>
      <c r="I437">
        <f t="shared" si="96"/>
        <v>0</v>
      </c>
      <c r="J437">
        <f t="shared" si="96"/>
        <v>0</v>
      </c>
      <c r="K437">
        <f t="shared" si="96"/>
        <v>0</v>
      </c>
      <c r="L437">
        <f t="shared" si="96"/>
        <v>0</v>
      </c>
      <c r="M437">
        <f t="shared" si="96"/>
        <v>0</v>
      </c>
      <c r="N437">
        <f t="shared" si="96"/>
        <v>0</v>
      </c>
      <c r="O437">
        <f t="shared" si="96"/>
        <v>0</v>
      </c>
      <c r="P437">
        <f t="shared" si="96"/>
        <v>0</v>
      </c>
      <c r="Q437">
        <f t="shared" si="96"/>
        <v>0</v>
      </c>
      <c r="R437">
        <f t="shared" si="96"/>
        <v>0</v>
      </c>
      <c r="S437">
        <f t="shared" si="96"/>
        <v>0</v>
      </c>
      <c r="T437">
        <f t="shared" si="96"/>
        <v>0</v>
      </c>
      <c r="U437">
        <f t="shared" si="96"/>
        <v>0</v>
      </c>
      <c r="V437">
        <f t="shared" si="96"/>
        <v>0</v>
      </c>
      <c r="W437">
        <f t="shared" si="96"/>
        <v>0</v>
      </c>
      <c r="X437">
        <f t="shared" si="96"/>
        <v>0</v>
      </c>
      <c r="Y437">
        <f t="shared" si="95"/>
        <v>0</v>
      </c>
      <c r="Z437">
        <f t="shared" si="95"/>
        <v>0</v>
      </c>
      <c r="AA437">
        <f t="shared" si="95"/>
        <v>0</v>
      </c>
      <c r="AB437">
        <f t="shared" si="95"/>
        <v>0</v>
      </c>
      <c r="AC437">
        <f t="shared" si="95"/>
        <v>0</v>
      </c>
      <c r="AD437">
        <f t="shared" si="95"/>
        <v>0</v>
      </c>
      <c r="AE437">
        <f t="shared" si="95"/>
        <v>0</v>
      </c>
      <c r="AF437">
        <f t="shared" si="95"/>
        <v>0</v>
      </c>
      <c r="AG437">
        <f t="shared" si="95"/>
        <v>0</v>
      </c>
      <c r="AH437">
        <f t="shared" si="95"/>
        <v>0</v>
      </c>
      <c r="AI437">
        <f t="shared" si="95"/>
        <v>0</v>
      </c>
      <c r="AJ437">
        <f t="shared" si="95"/>
        <v>0</v>
      </c>
      <c r="AK437">
        <f t="shared" si="95"/>
        <v>0</v>
      </c>
      <c r="AL437">
        <f t="shared" si="95"/>
        <v>0</v>
      </c>
      <c r="AM437">
        <f t="shared" si="95"/>
        <v>0</v>
      </c>
      <c r="AN437">
        <f t="shared" si="90"/>
        <v>0</v>
      </c>
      <c r="AO437">
        <f t="shared" si="90"/>
        <v>0</v>
      </c>
      <c r="AP437">
        <f t="shared" si="90"/>
        <v>0</v>
      </c>
      <c r="AQ437">
        <f t="shared" si="90"/>
        <v>0</v>
      </c>
      <c r="AR437">
        <f t="shared" si="90"/>
        <v>0</v>
      </c>
    </row>
    <row r="438" spans="5:44" x14ac:dyDescent="0.2">
      <c r="E438" s="1">
        <f>moment_rate!$AC438</f>
        <v>7.4493433161470389E-3</v>
      </c>
      <c r="F438" s="1">
        <f t="shared" si="86"/>
        <v>0</v>
      </c>
      <c r="G438">
        <f>moment_rate!I438-0.005</f>
        <v>4.3099999999999525</v>
      </c>
      <c r="H438" s="1">
        <f t="shared" si="87"/>
        <v>0</v>
      </c>
      <c r="I438">
        <f t="shared" si="96"/>
        <v>0</v>
      </c>
      <c r="J438">
        <f t="shared" si="96"/>
        <v>0</v>
      </c>
      <c r="K438">
        <f t="shared" si="96"/>
        <v>0</v>
      </c>
      <c r="L438">
        <f t="shared" si="96"/>
        <v>0</v>
      </c>
      <c r="M438">
        <f t="shared" si="96"/>
        <v>0</v>
      </c>
      <c r="N438">
        <f t="shared" si="96"/>
        <v>0</v>
      </c>
      <c r="O438">
        <f t="shared" si="96"/>
        <v>0</v>
      </c>
      <c r="P438">
        <f t="shared" si="96"/>
        <v>0</v>
      </c>
      <c r="Q438">
        <f t="shared" si="96"/>
        <v>0</v>
      </c>
      <c r="R438">
        <f t="shared" si="96"/>
        <v>0</v>
      </c>
      <c r="S438">
        <f t="shared" si="96"/>
        <v>0</v>
      </c>
      <c r="T438">
        <f t="shared" si="96"/>
        <v>0</v>
      </c>
      <c r="U438">
        <f t="shared" si="96"/>
        <v>0</v>
      </c>
      <c r="V438">
        <f t="shared" si="96"/>
        <v>0</v>
      </c>
      <c r="W438">
        <f t="shared" si="96"/>
        <v>0</v>
      </c>
      <c r="X438">
        <f t="shared" si="96"/>
        <v>0</v>
      </c>
      <c r="Y438">
        <f t="shared" si="95"/>
        <v>0</v>
      </c>
      <c r="Z438">
        <f t="shared" si="95"/>
        <v>0</v>
      </c>
      <c r="AA438">
        <f t="shared" si="95"/>
        <v>0</v>
      </c>
      <c r="AB438">
        <f t="shared" si="95"/>
        <v>0</v>
      </c>
      <c r="AC438">
        <f t="shared" si="95"/>
        <v>0</v>
      </c>
      <c r="AD438">
        <f t="shared" si="95"/>
        <v>0</v>
      </c>
      <c r="AE438">
        <f t="shared" si="95"/>
        <v>0</v>
      </c>
      <c r="AF438">
        <f t="shared" si="95"/>
        <v>0</v>
      </c>
      <c r="AG438">
        <f t="shared" si="95"/>
        <v>0</v>
      </c>
      <c r="AH438">
        <f t="shared" si="95"/>
        <v>0</v>
      </c>
      <c r="AI438">
        <f t="shared" si="95"/>
        <v>0</v>
      </c>
      <c r="AJ438">
        <f t="shared" si="95"/>
        <v>0</v>
      </c>
      <c r="AK438">
        <f t="shared" si="95"/>
        <v>0</v>
      </c>
      <c r="AL438">
        <f t="shared" si="95"/>
        <v>0</v>
      </c>
      <c r="AM438">
        <f t="shared" si="95"/>
        <v>0</v>
      </c>
      <c r="AN438">
        <f t="shared" si="90"/>
        <v>0</v>
      </c>
      <c r="AO438">
        <f t="shared" si="90"/>
        <v>0</v>
      </c>
      <c r="AP438">
        <f t="shared" si="90"/>
        <v>0</v>
      </c>
      <c r="AQ438">
        <f t="shared" si="90"/>
        <v>0</v>
      </c>
      <c r="AR438">
        <f t="shared" si="90"/>
        <v>0</v>
      </c>
    </row>
    <row r="439" spans="5:44" x14ac:dyDescent="0.2">
      <c r="E439" s="1">
        <f>moment_rate!$AC439</f>
        <v>7.4493433161470389E-3</v>
      </c>
      <c r="F439" s="1">
        <f t="shared" si="86"/>
        <v>0</v>
      </c>
      <c r="G439">
        <f>moment_rate!I439-0.005</f>
        <v>4.3199999999999523</v>
      </c>
      <c r="H439" s="1">
        <f t="shared" si="87"/>
        <v>0</v>
      </c>
      <c r="I439">
        <f t="shared" si="96"/>
        <v>0</v>
      </c>
      <c r="J439">
        <f t="shared" si="96"/>
        <v>0</v>
      </c>
      <c r="K439">
        <f t="shared" si="96"/>
        <v>0</v>
      </c>
      <c r="L439">
        <f t="shared" si="96"/>
        <v>0</v>
      </c>
      <c r="M439">
        <f t="shared" si="96"/>
        <v>0</v>
      </c>
      <c r="N439">
        <f t="shared" si="96"/>
        <v>0</v>
      </c>
      <c r="O439">
        <f t="shared" si="96"/>
        <v>0</v>
      </c>
      <c r="P439">
        <f t="shared" si="96"/>
        <v>0</v>
      </c>
      <c r="Q439">
        <f t="shared" si="96"/>
        <v>0</v>
      </c>
      <c r="R439">
        <f t="shared" si="96"/>
        <v>0</v>
      </c>
      <c r="S439">
        <f t="shared" si="96"/>
        <v>0</v>
      </c>
      <c r="T439">
        <f t="shared" si="96"/>
        <v>0</v>
      </c>
      <c r="U439">
        <f t="shared" si="96"/>
        <v>0</v>
      </c>
      <c r="V439">
        <f t="shared" si="96"/>
        <v>0</v>
      </c>
      <c r="W439">
        <f t="shared" si="96"/>
        <v>0</v>
      </c>
      <c r="X439">
        <f t="shared" si="96"/>
        <v>0</v>
      </c>
      <c r="Y439">
        <f t="shared" si="95"/>
        <v>0</v>
      </c>
      <c r="Z439">
        <f t="shared" si="95"/>
        <v>0</v>
      </c>
      <c r="AA439">
        <f t="shared" si="95"/>
        <v>0</v>
      </c>
      <c r="AB439">
        <f t="shared" si="95"/>
        <v>0</v>
      </c>
      <c r="AC439">
        <f t="shared" si="95"/>
        <v>0</v>
      </c>
      <c r="AD439">
        <f t="shared" si="95"/>
        <v>0</v>
      </c>
      <c r="AE439">
        <f t="shared" si="95"/>
        <v>0</v>
      </c>
      <c r="AF439">
        <f t="shared" si="95"/>
        <v>0</v>
      </c>
      <c r="AG439">
        <f t="shared" si="95"/>
        <v>0</v>
      </c>
      <c r="AH439">
        <f t="shared" si="95"/>
        <v>0</v>
      </c>
      <c r="AI439">
        <f t="shared" si="95"/>
        <v>0</v>
      </c>
      <c r="AJ439">
        <f t="shared" si="95"/>
        <v>0</v>
      </c>
      <c r="AK439">
        <f t="shared" si="95"/>
        <v>0</v>
      </c>
      <c r="AL439">
        <f t="shared" si="95"/>
        <v>0</v>
      </c>
      <c r="AM439">
        <f t="shared" si="95"/>
        <v>0</v>
      </c>
      <c r="AN439">
        <f t="shared" ref="AN439:AR454" si="97">IF(AND($G439&gt;=AN$3,$G439&lt;AN$4),$F439,0)</f>
        <v>0</v>
      </c>
      <c r="AO439">
        <f t="shared" si="97"/>
        <v>0</v>
      </c>
      <c r="AP439">
        <f t="shared" si="97"/>
        <v>0</v>
      </c>
      <c r="AQ439">
        <f t="shared" si="97"/>
        <v>0</v>
      </c>
      <c r="AR439">
        <f t="shared" si="97"/>
        <v>0</v>
      </c>
    </row>
    <row r="440" spans="5:44" x14ac:dyDescent="0.2">
      <c r="E440" s="1">
        <f>moment_rate!$AC440</f>
        <v>7.4493433161470389E-3</v>
      </c>
      <c r="F440" s="1">
        <f t="shared" si="86"/>
        <v>0</v>
      </c>
      <c r="G440">
        <f>moment_rate!I440-0.005</f>
        <v>4.3299999999999521</v>
      </c>
      <c r="H440" s="1">
        <f t="shared" si="87"/>
        <v>0</v>
      </c>
      <c r="I440">
        <f t="shared" si="96"/>
        <v>0</v>
      </c>
      <c r="J440">
        <f t="shared" si="96"/>
        <v>0</v>
      </c>
      <c r="K440">
        <f t="shared" si="96"/>
        <v>0</v>
      </c>
      <c r="L440">
        <f t="shared" si="96"/>
        <v>0</v>
      </c>
      <c r="M440">
        <f t="shared" si="96"/>
        <v>0</v>
      </c>
      <c r="N440">
        <f t="shared" si="96"/>
        <v>0</v>
      </c>
      <c r="O440">
        <f t="shared" si="96"/>
        <v>0</v>
      </c>
      <c r="P440">
        <f t="shared" si="96"/>
        <v>0</v>
      </c>
      <c r="Q440">
        <f t="shared" si="96"/>
        <v>0</v>
      </c>
      <c r="R440">
        <f t="shared" si="96"/>
        <v>0</v>
      </c>
      <c r="S440">
        <f t="shared" si="96"/>
        <v>0</v>
      </c>
      <c r="T440">
        <f t="shared" si="96"/>
        <v>0</v>
      </c>
      <c r="U440">
        <f t="shared" si="96"/>
        <v>0</v>
      </c>
      <c r="V440">
        <f t="shared" si="96"/>
        <v>0</v>
      </c>
      <c r="W440">
        <f t="shared" si="96"/>
        <v>0</v>
      </c>
      <c r="X440">
        <f t="shared" si="96"/>
        <v>0</v>
      </c>
      <c r="Y440">
        <f t="shared" si="95"/>
        <v>0</v>
      </c>
      <c r="Z440">
        <f t="shared" si="95"/>
        <v>0</v>
      </c>
      <c r="AA440">
        <f t="shared" si="95"/>
        <v>0</v>
      </c>
      <c r="AB440">
        <f t="shared" si="95"/>
        <v>0</v>
      </c>
      <c r="AC440">
        <f t="shared" si="95"/>
        <v>0</v>
      </c>
      <c r="AD440">
        <f t="shared" si="95"/>
        <v>0</v>
      </c>
      <c r="AE440">
        <f t="shared" si="95"/>
        <v>0</v>
      </c>
      <c r="AF440">
        <f t="shared" si="95"/>
        <v>0</v>
      </c>
      <c r="AG440">
        <f t="shared" si="95"/>
        <v>0</v>
      </c>
      <c r="AH440">
        <f t="shared" si="95"/>
        <v>0</v>
      </c>
      <c r="AI440">
        <f t="shared" si="95"/>
        <v>0</v>
      </c>
      <c r="AJ440">
        <f t="shared" si="95"/>
        <v>0</v>
      </c>
      <c r="AK440">
        <f t="shared" si="95"/>
        <v>0</v>
      </c>
      <c r="AL440">
        <f t="shared" si="95"/>
        <v>0</v>
      </c>
      <c r="AM440">
        <f t="shared" si="95"/>
        <v>0</v>
      </c>
      <c r="AN440">
        <f t="shared" si="97"/>
        <v>0</v>
      </c>
      <c r="AO440">
        <f t="shared" si="97"/>
        <v>0</v>
      </c>
      <c r="AP440">
        <f t="shared" si="97"/>
        <v>0</v>
      </c>
      <c r="AQ440">
        <f t="shared" si="97"/>
        <v>0</v>
      </c>
      <c r="AR440">
        <f t="shared" si="97"/>
        <v>0</v>
      </c>
    </row>
    <row r="441" spans="5:44" x14ac:dyDescent="0.2">
      <c r="E441" s="1">
        <f>moment_rate!$AC441</f>
        <v>7.4493433161470389E-3</v>
      </c>
      <c r="F441" s="1">
        <f t="shared" si="86"/>
        <v>0</v>
      </c>
      <c r="G441">
        <f>moment_rate!I441-0.005</f>
        <v>4.3399999999999519</v>
      </c>
      <c r="H441" s="1">
        <f t="shared" si="87"/>
        <v>0</v>
      </c>
      <c r="I441">
        <f t="shared" si="96"/>
        <v>0</v>
      </c>
      <c r="J441">
        <f t="shared" si="96"/>
        <v>0</v>
      </c>
      <c r="K441">
        <f t="shared" si="96"/>
        <v>0</v>
      </c>
      <c r="L441">
        <f t="shared" si="96"/>
        <v>0</v>
      </c>
      <c r="M441">
        <f t="shared" si="96"/>
        <v>0</v>
      </c>
      <c r="N441">
        <f t="shared" si="96"/>
        <v>0</v>
      </c>
      <c r="O441">
        <f t="shared" si="96"/>
        <v>0</v>
      </c>
      <c r="P441">
        <f t="shared" si="96"/>
        <v>0</v>
      </c>
      <c r="Q441">
        <f t="shared" si="96"/>
        <v>0</v>
      </c>
      <c r="R441">
        <f t="shared" si="96"/>
        <v>0</v>
      </c>
      <c r="S441">
        <f t="shared" si="96"/>
        <v>0</v>
      </c>
      <c r="T441">
        <f t="shared" si="96"/>
        <v>0</v>
      </c>
      <c r="U441">
        <f t="shared" si="96"/>
        <v>0</v>
      </c>
      <c r="V441">
        <f t="shared" si="96"/>
        <v>0</v>
      </c>
      <c r="W441">
        <f t="shared" si="96"/>
        <v>0</v>
      </c>
      <c r="X441">
        <f t="shared" si="96"/>
        <v>0</v>
      </c>
      <c r="Y441">
        <f t="shared" si="95"/>
        <v>0</v>
      </c>
      <c r="Z441">
        <f t="shared" si="95"/>
        <v>0</v>
      </c>
      <c r="AA441">
        <f t="shared" si="95"/>
        <v>0</v>
      </c>
      <c r="AB441">
        <f t="shared" si="95"/>
        <v>0</v>
      </c>
      <c r="AC441">
        <f t="shared" si="95"/>
        <v>0</v>
      </c>
      <c r="AD441">
        <f t="shared" si="95"/>
        <v>0</v>
      </c>
      <c r="AE441">
        <f t="shared" si="95"/>
        <v>0</v>
      </c>
      <c r="AF441">
        <f t="shared" si="95"/>
        <v>0</v>
      </c>
      <c r="AG441">
        <f t="shared" si="95"/>
        <v>0</v>
      </c>
      <c r="AH441">
        <f t="shared" si="95"/>
        <v>0</v>
      </c>
      <c r="AI441">
        <f t="shared" si="95"/>
        <v>0</v>
      </c>
      <c r="AJ441">
        <f t="shared" si="95"/>
        <v>0</v>
      </c>
      <c r="AK441">
        <f t="shared" si="95"/>
        <v>0</v>
      </c>
      <c r="AL441">
        <f t="shared" si="95"/>
        <v>0</v>
      </c>
      <c r="AM441">
        <f t="shared" si="95"/>
        <v>0</v>
      </c>
      <c r="AN441">
        <f t="shared" si="97"/>
        <v>0</v>
      </c>
      <c r="AO441">
        <f t="shared" si="97"/>
        <v>0</v>
      </c>
      <c r="AP441">
        <f t="shared" si="97"/>
        <v>0</v>
      </c>
      <c r="AQ441">
        <f t="shared" si="97"/>
        <v>0</v>
      </c>
      <c r="AR441">
        <f t="shared" si="97"/>
        <v>0</v>
      </c>
    </row>
    <row r="442" spans="5:44" x14ac:dyDescent="0.2">
      <c r="E442" s="1">
        <f>moment_rate!$AC442</f>
        <v>7.4493433161470389E-3</v>
      </c>
      <c r="F442" s="1">
        <f t="shared" si="86"/>
        <v>0</v>
      </c>
      <c r="G442">
        <f>moment_rate!I442-0.005</f>
        <v>4.3499999999999517</v>
      </c>
      <c r="H442" s="1">
        <f t="shared" si="87"/>
        <v>0</v>
      </c>
      <c r="I442">
        <f t="shared" si="96"/>
        <v>0</v>
      </c>
      <c r="J442">
        <f t="shared" si="96"/>
        <v>0</v>
      </c>
      <c r="K442">
        <f t="shared" si="96"/>
        <v>0</v>
      </c>
      <c r="L442">
        <f t="shared" si="96"/>
        <v>0</v>
      </c>
      <c r="M442">
        <f t="shared" si="96"/>
        <v>0</v>
      </c>
      <c r="N442">
        <f t="shared" si="96"/>
        <v>0</v>
      </c>
      <c r="O442">
        <f t="shared" si="96"/>
        <v>0</v>
      </c>
      <c r="P442">
        <f t="shared" si="96"/>
        <v>0</v>
      </c>
      <c r="Q442">
        <f t="shared" si="96"/>
        <v>0</v>
      </c>
      <c r="R442">
        <f t="shared" si="96"/>
        <v>0</v>
      </c>
      <c r="S442">
        <f t="shared" si="96"/>
        <v>0</v>
      </c>
      <c r="T442">
        <f t="shared" si="96"/>
        <v>0</v>
      </c>
      <c r="U442">
        <f t="shared" si="96"/>
        <v>0</v>
      </c>
      <c r="V442">
        <f t="shared" si="96"/>
        <v>0</v>
      </c>
      <c r="W442">
        <f t="shared" si="96"/>
        <v>0</v>
      </c>
      <c r="X442">
        <f t="shared" si="96"/>
        <v>0</v>
      </c>
      <c r="Y442">
        <f t="shared" si="95"/>
        <v>0</v>
      </c>
      <c r="Z442">
        <f t="shared" si="95"/>
        <v>0</v>
      </c>
      <c r="AA442">
        <f t="shared" si="95"/>
        <v>0</v>
      </c>
      <c r="AB442">
        <f t="shared" si="95"/>
        <v>0</v>
      </c>
      <c r="AC442">
        <f t="shared" si="95"/>
        <v>0</v>
      </c>
      <c r="AD442">
        <f t="shared" si="95"/>
        <v>0</v>
      </c>
      <c r="AE442">
        <f t="shared" si="95"/>
        <v>0</v>
      </c>
      <c r="AF442">
        <f t="shared" si="95"/>
        <v>0</v>
      </c>
      <c r="AG442">
        <f t="shared" si="95"/>
        <v>0</v>
      </c>
      <c r="AH442">
        <f t="shared" si="95"/>
        <v>0</v>
      </c>
      <c r="AI442">
        <f t="shared" si="95"/>
        <v>0</v>
      </c>
      <c r="AJ442">
        <f t="shared" si="95"/>
        <v>0</v>
      </c>
      <c r="AK442">
        <f t="shared" si="95"/>
        <v>0</v>
      </c>
      <c r="AL442">
        <f t="shared" si="95"/>
        <v>0</v>
      </c>
      <c r="AM442">
        <f t="shared" si="95"/>
        <v>0</v>
      </c>
      <c r="AN442">
        <f t="shared" si="97"/>
        <v>0</v>
      </c>
      <c r="AO442">
        <f t="shared" si="97"/>
        <v>0</v>
      </c>
      <c r="AP442">
        <f t="shared" si="97"/>
        <v>0</v>
      </c>
      <c r="AQ442">
        <f t="shared" si="97"/>
        <v>0</v>
      </c>
      <c r="AR442">
        <f t="shared" si="97"/>
        <v>0</v>
      </c>
    </row>
    <row r="443" spans="5:44" x14ac:dyDescent="0.2">
      <c r="E443" s="1">
        <f>moment_rate!$AC443</f>
        <v>7.4493433161470389E-3</v>
      </c>
      <c r="F443" s="1">
        <f t="shared" si="86"/>
        <v>0</v>
      </c>
      <c r="G443">
        <f>moment_rate!I443-0.005</f>
        <v>4.3599999999999515</v>
      </c>
      <c r="H443" s="1">
        <f t="shared" si="87"/>
        <v>0</v>
      </c>
      <c r="I443">
        <f t="shared" si="96"/>
        <v>0</v>
      </c>
      <c r="J443">
        <f t="shared" si="96"/>
        <v>0</v>
      </c>
      <c r="K443">
        <f t="shared" si="96"/>
        <v>0</v>
      </c>
      <c r="L443">
        <f t="shared" si="96"/>
        <v>0</v>
      </c>
      <c r="M443">
        <f t="shared" si="96"/>
        <v>0</v>
      </c>
      <c r="N443">
        <f t="shared" si="96"/>
        <v>0</v>
      </c>
      <c r="O443">
        <f t="shared" si="96"/>
        <v>0</v>
      </c>
      <c r="P443">
        <f t="shared" si="96"/>
        <v>0</v>
      </c>
      <c r="Q443">
        <f t="shared" si="96"/>
        <v>0</v>
      </c>
      <c r="R443">
        <f t="shared" si="96"/>
        <v>0</v>
      </c>
      <c r="S443">
        <f t="shared" si="96"/>
        <v>0</v>
      </c>
      <c r="T443">
        <f t="shared" si="96"/>
        <v>0</v>
      </c>
      <c r="U443">
        <f t="shared" si="96"/>
        <v>0</v>
      </c>
      <c r="V443">
        <f t="shared" si="96"/>
        <v>0</v>
      </c>
      <c r="W443">
        <f t="shared" si="96"/>
        <v>0</v>
      </c>
      <c r="X443">
        <f t="shared" si="96"/>
        <v>0</v>
      </c>
      <c r="Y443">
        <f t="shared" si="95"/>
        <v>0</v>
      </c>
      <c r="Z443">
        <f t="shared" si="95"/>
        <v>0</v>
      </c>
      <c r="AA443">
        <f t="shared" si="95"/>
        <v>0</v>
      </c>
      <c r="AB443">
        <f t="shared" si="95"/>
        <v>0</v>
      </c>
      <c r="AC443">
        <f t="shared" si="95"/>
        <v>0</v>
      </c>
      <c r="AD443">
        <f t="shared" si="95"/>
        <v>0</v>
      </c>
      <c r="AE443">
        <f t="shared" si="95"/>
        <v>0</v>
      </c>
      <c r="AF443">
        <f t="shared" si="95"/>
        <v>0</v>
      </c>
      <c r="AG443">
        <f t="shared" si="95"/>
        <v>0</v>
      </c>
      <c r="AH443">
        <f t="shared" si="95"/>
        <v>0</v>
      </c>
      <c r="AI443">
        <f t="shared" si="95"/>
        <v>0</v>
      </c>
      <c r="AJ443">
        <f t="shared" si="95"/>
        <v>0</v>
      </c>
      <c r="AK443">
        <f t="shared" si="95"/>
        <v>0</v>
      </c>
      <c r="AL443">
        <f t="shared" si="95"/>
        <v>0</v>
      </c>
      <c r="AM443">
        <f t="shared" si="95"/>
        <v>0</v>
      </c>
      <c r="AN443">
        <f t="shared" si="97"/>
        <v>0</v>
      </c>
      <c r="AO443">
        <f t="shared" si="97"/>
        <v>0</v>
      </c>
      <c r="AP443">
        <f t="shared" si="97"/>
        <v>0</v>
      </c>
      <c r="AQ443">
        <f t="shared" si="97"/>
        <v>0</v>
      </c>
      <c r="AR443">
        <f t="shared" si="97"/>
        <v>0</v>
      </c>
    </row>
    <row r="444" spans="5:44" x14ac:dyDescent="0.2">
      <c r="E444" s="1">
        <f>moment_rate!$AC444</f>
        <v>7.4493433161470389E-3</v>
      </c>
      <c r="F444" s="1">
        <f t="shared" si="86"/>
        <v>0</v>
      </c>
      <c r="G444">
        <f>moment_rate!I444-0.005</f>
        <v>4.3699999999999513</v>
      </c>
      <c r="H444" s="1">
        <f t="shared" si="87"/>
        <v>0</v>
      </c>
      <c r="I444">
        <f t="shared" si="96"/>
        <v>0</v>
      </c>
      <c r="J444">
        <f t="shared" si="96"/>
        <v>0</v>
      </c>
      <c r="K444">
        <f t="shared" si="96"/>
        <v>0</v>
      </c>
      <c r="L444">
        <f t="shared" si="96"/>
        <v>0</v>
      </c>
      <c r="M444">
        <f t="shared" si="96"/>
        <v>0</v>
      </c>
      <c r="N444">
        <f t="shared" si="96"/>
        <v>0</v>
      </c>
      <c r="O444">
        <f t="shared" si="96"/>
        <v>0</v>
      </c>
      <c r="P444">
        <f t="shared" si="96"/>
        <v>0</v>
      </c>
      <c r="Q444">
        <f t="shared" si="96"/>
        <v>0</v>
      </c>
      <c r="R444">
        <f t="shared" si="96"/>
        <v>0</v>
      </c>
      <c r="S444">
        <f t="shared" si="96"/>
        <v>0</v>
      </c>
      <c r="T444">
        <f t="shared" si="96"/>
        <v>0</v>
      </c>
      <c r="U444">
        <f t="shared" si="96"/>
        <v>0</v>
      </c>
      <c r="V444">
        <f t="shared" si="96"/>
        <v>0</v>
      </c>
      <c r="W444">
        <f t="shared" si="96"/>
        <v>0</v>
      </c>
      <c r="X444">
        <f t="shared" si="96"/>
        <v>0</v>
      </c>
      <c r="Y444">
        <f t="shared" si="95"/>
        <v>0</v>
      </c>
      <c r="Z444">
        <f t="shared" si="95"/>
        <v>0</v>
      </c>
      <c r="AA444">
        <f t="shared" si="95"/>
        <v>0</v>
      </c>
      <c r="AB444">
        <f t="shared" si="95"/>
        <v>0</v>
      </c>
      <c r="AC444">
        <f t="shared" si="95"/>
        <v>0</v>
      </c>
      <c r="AD444">
        <f t="shared" si="95"/>
        <v>0</v>
      </c>
      <c r="AE444">
        <f t="shared" si="95"/>
        <v>0</v>
      </c>
      <c r="AF444">
        <f t="shared" si="95"/>
        <v>0</v>
      </c>
      <c r="AG444">
        <f t="shared" si="95"/>
        <v>0</v>
      </c>
      <c r="AH444">
        <f t="shared" si="95"/>
        <v>0</v>
      </c>
      <c r="AI444">
        <f t="shared" si="95"/>
        <v>0</v>
      </c>
      <c r="AJ444">
        <f t="shared" si="95"/>
        <v>0</v>
      </c>
      <c r="AK444">
        <f t="shared" si="95"/>
        <v>0</v>
      </c>
      <c r="AL444">
        <f t="shared" si="95"/>
        <v>0</v>
      </c>
      <c r="AM444">
        <f t="shared" si="95"/>
        <v>0</v>
      </c>
      <c r="AN444">
        <f t="shared" si="97"/>
        <v>0</v>
      </c>
      <c r="AO444">
        <f t="shared" si="97"/>
        <v>0</v>
      </c>
      <c r="AP444">
        <f t="shared" si="97"/>
        <v>0</v>
      </c>
      <c r="AQ444">
        <f t="shared" si="97"/>
        <v>0</v>
      </c>
      <c r="AR444">
        <f t="shared" si="97"/>
        <v>0</v>
      </c>
    </row>
    <row r="445" spans="5:44" x14ac:dyDescent="0.2">
      <c r="E445" s="1">
        <f>moment_rate!$AC445</f>
        <v>7.4493433161470389E-3</v>
      </c>
      <c r="F445" s="1">
        <f t="shared" si="86"/>
        <v>0</v>
      </c>
      <c r="G445">
        <f>moment_rate!I445-0.005</f>
        <v>4.379999999999951</v>
      </c>
      <c r="H445" s="1">
        <f t="shared" si="87"/>
        <v>0</v>
      </c>
      <c r="I445">
        <f t="shared" si="96"/>
        <v>0</v>
      </c>
      <c r="J445">
        <f t="shared" si="96"/>
        <v>0</v>
      </c>
      <c r="K445">
        <f t="shared" si="96"/>
        <v>0</v>
      </c>
      <c r="L445">
        <f t="shared" si="96"/>
        <v>0</v>
      </c>
      <c r="M445">
        <f t="shared" si="96"/>
        <v>0</v>
      </c>
      <c r="N445">
        <f t="shared" si="96"/>
        <v>0</v>
      </c>
      <c r="O445">
        <f t="shared" si="96"/>
        <v>0</v>
      </c>
      <c r="P445">
        <f t="shared" si="96"/>
        <v>0</v>
      </c>
      <c r="Q445">
        <f t="shared" si="96"/>
        <v>0</v>
      </c>
      <c r="R445">
        <f t="shared" si="96"/>
        <v>0</v>
      </c>
      <c r="S445">
        <f t="shared" si="96"/>
        <v>0</v>
      </c>
      <c r="T445">
        <f t="shared" si="96"/>
        <v>0</v>
      </c>
      <c r="U445">
        <f t="shared" si="96"/>
        <v>0</v>
      </c>
      <c r="V445">
        <f t="shared" si="96"/>
        <v>0</v>
      </c>
      <c r="W445">
        <f t="shared" si="96"/>
        <v>0</v>
      </c>
      <c r="X445">
        <f t="shared" si="96"/>
        <v>0</v>
      </c>
      <c r="Y445">
        <f t="shared" si="95"/>
        <v>0</v>
      </c>
      <c r="Z445">
        <f t="shared" si="95"/>
        <v>0</v>
      </c>
      <c r="AA445">
        <f t="shared" si="95"/>
        <v>0</v>
      </c>
      <c r="AB445">
        <f t="shared" si="95"/>
        <v>0</v>
      </c>
      <c r="AC445">
        <f t="shared" si="95"/>
        <v>0</v>
      </c>
      <c r="AD445">
        <f t="shared" si="95"/>
        <v>0</v>
      </c>
      <c r="AE445">
        <f t="shared" si="95"/>
        <v>0</v>
      </c>
      <c r="AF445">
        <f t="shared" si="95"/>
        <v>0</v>
      </c>
      <c r="AG445">
        <f t="shared" si="95"/>
        <v>0</v>
      </c>
      <c r="AH445">
        <f t="shared" si="95"/>
        <v>0</v>
      </c>
      <c r="AI445">
        <f t="shared" si="95"/>
        <v>0</v>
      </c>
      <c r="AJ445">
        <f t="shared" si="95"/>
        <v>0</v>
      </c>
      <c r="AK445">
        <f t="shared" si="95"/>
        <v>0</v>
      </c>
      <c r="AL445">
        <f t="shared" si="95"/>
        <v>0</v>
      </c>
      <c r="AM445">
        <f t="shared" si="95"/>
        <v>0</v>
      </c>
      <c r="AN445">
        <f t="shared" si="97"/>
        <v>0</v>
      </c>
      <c r="AO445">
        <f t="shared" si="97"/>
        <v>0</v>
      </c>
      <c r="AP445">
        <f t="shared" si="97"/>
        <v>0</v>
      </c>
      <c r="AQ445">
        <f t="shared" si="97"/>
        <v>0</v>
      </c>
      <c r="AR445">
        <f t="shared" si="97"/>
        <v>0</v>
      </c>
    </row>
    <row r="446" spans="5:44" x14ac:dyDescent="0.2">
      <c r="E446" s="1">
        <f>moment_rate!$AC446</f>
        <v>7.4493433161470389E-3</v>
      </c>
      <c r="F446" s="1">
        <f t="shared" si="86"/>
        <v>0</v>
      </c>
      <c r="G446">
        <f>moment_rate!I446-0.005</f>
        <v>4.3899999999999508</v>
      </c>
      <c r="H446" s="1">
        <f t="shared" si="87"/>
        <v>0</v>
      </c>
      <c r="I446">
        <f t="shared" si="96"/>
        <v>0</v>
      </c>
      <c r="J446">
        <f t="shared" si="96"/>
        <v>0</v>
      </c>
      <c r="K446">
        <f t="shared" si="96"/>
        <v>0</v>
      </c>
      <c r="L446">
        <f t="shared" si="96"/>
        <v>0</v>
      </c>
      <c r="M446">
        <f t="shared" si="96"/>
        <v>0</v>
      </c>
      <c r="N446">
        <f t="shared" si="96"/>
        <v>0</v>
      </c>
      <c r="O446">
        <f t="shared" si="96"/>
        <v>0</v>
      </c>
      <c r="P446">
        <f t="shared" si="96"/>
        <v>0</v>
      </c>
      <c r="Q446">
        <f t="shared" si="96"/>
        <v>0</v>
      </c>
      <c r="R446">
        <f t="shared" si="96"/>
        <v>0</v>
      </c>
      <c r="S446">
        <f t="shared" si="96"/>
        <v>0</v>
      </c>
      <c r="T446">
        <f t="shared" si="96"/>
        <v>0</v>
      </c>
      <c r="U446">
        <f t="shared" si="96"/>
        <v>0</v>
      </c>
      <c r="V446">
        <f t="shared" si="96"/>
        <v>0</v>
      </c>
      <c r="W446">
        <f t="shared" si="96"/>
        <v>0</v>
      </c>
      <c r="X446">
        <f t="shared" ref="X446:AM461" si="98">IF(AND($G446&gt;=X$3,$G446&lt;X$4),$F446,0)</f>
        <v>0</v>
      </c>
      <c r="Y446">
        <f t="shared" si="98"/>
        <v>0</v>
      </c>
      <c r="Z446">
        <f t="shared" si="98"/>
        <v>0</v>
      </c>
      <c r="AA446">
        <f t="shared" si="98"/>
        <v>0</v>
      </c>
      <c r="AB446">
        <f t="shared" si="98"/>
        <v>0</v>
      </c>
      <c r="AC446">
        <f t="shared" si="98"/>
        <v>0</v>
      </c>
      <c r="AD446">
        <f t="shared" si="98"/>
        <v>0</v>
      </c>
      <c r="AE446">
        <f t="shared" si="98"/>
        <v>0</v>
      </c>
      <c r="AF446">
        <f t="shared" si="98"/>
        <v>0</v>
      </c>
      <c r="AG446">
        <f t="shared" si="98"/>
        <v>0</v>
      </c>
      <c r="AH446">
        <f t="shared" si="98"/>
        <v>0</v>
      </c>
      <c r="AI446">
        <f t="shared" si="98"/>
        <v>0</v>
      </c>
      <c r="AJ446">
        <f t="shared" si="98"/>
        <v>0</v>
      </c>
      <c r="AK446">
        <f t="shared" si="98"/>
        <v>0</v>
      </c>
      <c r="AL446">
        <f t="shared" si="98"/>
        <v>0</v>
      </c>
      <c r="AM446">
        <f t="shared" si="98"/>
        <v>0</v>
      </c>
      <c r="AN446">
        <f t="shared" si="97"/>
        <v>0</v>
      </c>
      <c r="AO446">
        <f t="shared" si="97"/>
        <v>0</v>
      </c>
      <c r="AP446">
        <f t="shared" si="97"/>
        <v>0</v>
      </c>
      <c r="AQ446">
        <f t="shared" si="97"/>
        <v>0</v>
      </c>
      <c r="AR446">
        <f t="shared" si="97"/>
        <v>0</v>
      </c>
    </row>
    <row r="447" spans="5:44" x14ac:dyDescent="0.2">
      <c r="E447" s="1">
        <f>moment_rate!$AC447</f>
        <v>7.4493433161470389E-3</v>
      </c>
      <c r="F447" s="1">
        <f t="shared" si="86"/>
        <v>0</v>
      </c>
      <c r="G447">
        <f>moment_rate!I447-0.005</f>
        <v>4.3999999999999506</v>
      </c>
      <c r="H447" s="1">
        <f t="shared" si="87"/>
        <v>0</v>
      </c>
      <c r="I447">
        <f t="shared" ref="I447:X461" si="99">IF(AND($G447&gt;=I$3,$G447&lt;I$4),$F447,0)</f>
        <v>0</v>
      </c>
      <c r="J447">
        <f t="shared" si="99"/>
        <v>0</v>
      </c>
      <c r="K447">
        <f t="shared" si="99"/>
        <v>0</v>
      </c>
      <c r="L447">
        <f t="shared" si="99"/>
        <v>0</v>
      </c>
      <c r="M447">
        <f t="shared" si="99"/>
        <v>0</v>
      </c>
      <c r="N447">
        <f t="shared" si="99"/>
        <v>0</v>
      </c>
      <c r="O447">
        <f t="shared" si="99"/>
        <v>0</v>
      </c>
      <c r="P447">
        <f t="shared" si="99"/>
        <v>0</v>
      </c>
      <c r="Q447">
        <f t="shared" si="99"/>
        <v>0</v>
      </c>
      <c r="R447">
        <f t="shared" si="99"/>
        <v>0</v>
      </c>
      <c r="S447">
        <f t="shared" si="99"/>
        <v>0</v>
      </c>
      <c r="T447">
        <f t="shared" si="99"/>
        <v>0</v>
      </c>
      <c r="U447">
        <f t="shared" si="99"/>
        <v>0</v>
      </c>
      <c r="V447">
        <f t="shared" si="99"/>
        <v>0</v>
      </c>
      <c r="W447">
        <f t="shared" si="99"/>
        <v>0</v>
      </c>
      <c r="X447">
        <f t="shared" si="99"/>
        <v>0</v>
      </c>
      <c r="Y447">
        <f t="shared" si="98"/>
        <v>0</v>
      </c>
      <c r="Z447">
        <f t="shared" si="98"/>
        <v>0</v>
      </c>
      <c r="AA447">
        <f t="shared" si="98"/>
        <v>0</v>
      </c>
      <c r="AB447">
        <f t="shared" si="98"/>
        <v>0</v>
      </c>
      <c r="AC447">
        <f t="shared" si="98"/>
        <v>0</v>
      </c>
      <c r="AD447">
        <f t="shared" si="98"/>
        <v>0</v>
      </c>
      <c r="AE447">
        <f t="shared" si="98"/>
        <v>0</v>
      </c>
      <c r="AF447">
        <f t="shared" si="98"/>
        <v>0</v>
      </c>
      <c r="AG447">
        <f t="shared" si="98"/>
        <v>0</v>
      </c>
      <c r="AH447">
        <f t="shared" si="98"/>
        <v>0</v>
      </c>
      <c r="AI447">
        <f t="shared" si="98"/>
        <v>0</v>
      </c>
      <c r="AJ447">
        <f t="shared" si="98"/>
        <v>0</v>
      </c>
      <c r="AK447">
        <f t="shared" si="98"/>
        <v>0</v>
      </c>
      <c r="AL447">
        <f t="shared" si="98"/>
        <v>0</v>
      </c>
      <c r="AM447">
        <f t="shared" si="98"/>
        <v>0</v>
      </c>
      <c r="AN447">
        <f t="shared" si="97"/>
        <v>0</v>
      </c>
      <c r="AO447">
        <f t="shared" si="97"/>
        <v>0</v>
      </c>
      <c r="AP447">
        <f t="shared" si="97"/>
        <v>0</v>
      </c>
      <c r="AQ447">
        <f t="shared" si="97"/>
        <v>0</v>
      </c>
      <c r="AR447">
        <f t="shared" si="97"/>
        <v>0</v>
      </c>
    </row>
    <row r="448" spans="5:44" x14ac:dyDescent="0.2">
      <c r="E448" s="1">
        <f>moment_rate!$AC448</f>
        <v>7.4493433161470389E-3</v>
      </c>
      <c r="F448" s="1">
        <f t="shared" si="86"/>
        <v>0</v>
      </c>
      <c r="G448">
        <f>moment_rate!I448-0.005</f>
        <v>4.4099999999999504</v>
      </c>
      <c r="H448" s="1">
        <f t="shared" si="87"/>
        <v>0</v>
      </c>
      <c r="I448">
        <f t="shared" si="99"/>
        <v>0</v>
      </c>
      <c r="J448">
        <f t="shared" si="99"/>
        <v>0</v>
      </c>
      <c r="K448">
        <f t="shared" si="99"/>
        <v>0</v>
      </c>
      <c r="L448">
        <f t="shared" si="99"/>
        <v>0</v>
      </c>
      <c r="M448">
        <f t="shared" si="99"/>
        <v>0</v>
      </c>
      <c r="N448">
        <f t="shared" si="99"/>
        <v>0</v>
      </c>
      <c r="O448">
        <f t="shared" si="99"/>
        <v>0</v>
      </c>
      <c r="P448">
        <f t="shared" si="99"/>
        <v>0</v>
      </c>
      <c r="Q448">
        <f t="shared" si="99"/>
        <v>0</v>
      </c>
      <c r="R448">
        <f t="shared" si="99"/>
        <v>0</v>
      </c>
      <c r="S448">
        <f t="shared" si="99"/>
        <v>0</v>
      </c>
      <c r="T448">
        <f t="shared" si="99"/>
        <v>0</v>
      </c>
      <c r="U448">
        <f t="shared" si="99"/>
        <v>0</v>
      </c>
      <c r="V448">
        <f t="shared" si="99"/>
        <v>0</v>
      </c>
      <c r="W448">
        <f t="shared" si="99"/>
        <v>0</v>
      </c>
      <c r="X448">
        <f t="shared" si="99"/>
        <v>0</v>
      </c>
      <c r="Y448">
        <f t="shared" si="98"/>
        <v>0</v>
      </c>
      <c r="Z448">
        <f t="shared" si="98"/>
        <v>0</v>
      </c>
      <c r="AA448">
        <f t="shared" si="98"/>
        <v>0</v>
      </c>
      <c r="AB448">
        <f t="shared" si="98"/>
        <v>0</v>
      </c>
      <c r="AC448">
        <f t="shared" si="98"/>
        <v>0</v>
      </c>
      <c r="AD448">
        <f t="shared" si="98"/>
        <v>0</v>
      </c>
      <c r="AE448">
        <f t="shared" si="98"/>
        <v>0</v>
      </c>
      <c r="AF448">
        <f t="shared" si="98"/>
        <v>0</v>
      </c>
      <c r="AG448">
        <f t="shared" si="98"/>
        <v>0</v>
      </c>
      <c r="AH448">
        <f t="shared" si="98"/>
        <v>0</v>
      </c>
      <c r="AI448">
        <f t="shared" si="98"/>
        <v>0</v>
      </c>
      <c r="AJ448">
        <f t="shared" si="98"/>
        <v>0</v>
      </c>
      <c r="AK448">
        <f t="shared" si="98"/>
        <v>0</v>
      </c>
      <c r="AL448">
        <f t="shared" si="98"/>
        <v>0</v>
      </c>
      <c r="AM448">
        <f t="shared" si="98"/>
        <v>0</v>
      </c>
      <c r="AN448">
        <f t="shared" si="97"/>
        <v>0</v>
      </c>
      <c r="AO448">
        <f t="shared" si="97"/>
        <v>0</v>
      </c>
      <c r="AP448">
        <f t="shared" si="97"/>
        <v>0</v>
      </c>
      <c r="AQ448">
        <f t="shared" si="97"/>
        <v>0</v>
      </c>
      <c r="AR448">
        <f t="shared" si="97"/>
        <v>0</v>
      </c>
    </row>
    <row r="449" spans="5:44" x14ac:dyDescent="0.2">
      <c r="E449" s="1">
        <f>moment_rate!$AC449</f>
        <v>7.4493433161470389E-3</v>
      </c>
      <c r="F449" s="1">
        <f t="shared" si="86"/>
        <v>0</v>
      </c>
      <c r="G449">
        <f>moment_rate!I449-0.005</f>
        <v>4.4199999999999502</v>
      </c>
      <c r="H449" s="1">
        <f t="shared" si="87"/>
        <v>0</v>
      </c>
      <c r="I449">
        <f t="shared" si="99"/>
        <v>0</v>
      </c>
      <c r="J449">
        <f t="shared" si="99"/>
        <v>0</v>
      </c>
      <c r="K449">
        <f t="shared" si="99"/>
        <v>0</v>
      </c>
      <c r="L449">
        <f t="shared" si="99"/>
        <v>0</v>
      </c>
      <c r="M449">
        <f t="shared" si="99"/>
        <v>0</v>
      </c>
      <c r="N449">
        <f t="shared" si="99"/>
        <v>0</v>
      </c>
      <c r="O449">
        <f t="shared" si="99"/>
        <v>0</v>
      </c>
      <c r="P449">
        <f t="shared" si="99"/>
        <v>0</v>
      </c>
      <c r="Q449">
        <f t="shared" si="99"/>
        <v>0</v>
      </c>
      <c r="R449">
        <f t="shared" si="99"/>
        <v>0</v>
      </c>
      <c r="S449">
        <f t="shared" si="99"/>
        <v>0</v>
      </c>
      <c r="T449">
        <f t="shared" si="99"/>
        <v>0</v>
      </c>
      <c r="U449">
        <f t="shared" si="99"/>
        <v>0</v>
      </c>
      <c r="V449">
        <f t="shared" si="99"/>
        <v>0</v>
      </c>
      <c r="W449">
        <f t="shared" si="99"/>
        <v>0</v>
      </c>
      <c r="X449">
        <f t="shared" si="99"/>
        <v>0</v>
      </c>
      <c r="Y449">
        <f t="shared" si="98"/>
        <v>0</v>
      </c>
      <c r="Z449">
        <f t="shared" si="98"/>
        <v>0</v>
      </c>
      <c r="AA449">
        <f t="shared" si="98"/>
        <v>0</v>
      </c>
      <c r="AB449">
        <f t="shared" si="98"/>
        <v>0</v>
      </c>
      <c r="AC449">
        <f t="shared" si="98"/>
        <v>0</v>
      </c>
      <c r="AD449">
        <f t="shared" si="98"/>
        <v>0</v>
      </c>
      <c r="AE449">
        <f t="shared" si="98"/>
        <v>0</v>
      </c>
      <c r="AF449">
        <f t="shared" si="98"/>
        <v>0</v>
      </c>
      <c r="AG449">
        <f t="shared" si="98"/>
        <v>0</v>
      </c>
      <c r="AH449">
        <f t="shared" si="98"/>
        <v>0</v>
      </c>
      <c r="AI449">
        <f t="shared" si="98"/>
        <v>0</v>
      </c>
      <c r="AJ449">
        <f t="shared" si="98"/>
        <v>0</v>
      </c>
      <c r="AK449">
        <f t="shared" si="98"/>
        <v>0</v>
      </c>
      <c r="AL449">
        <f t="shared" si="98"/>
        <v>0</v>
      </c>
      <c r="AM449">
        <f t="shared" si="98"/>
        <v>0</v>
      </c>
      <c r="AN449">
        <f t="shared" si="97"/>
        <v>0</v>
      </c>
      <c r="AO449">
        <f t="shared" si="97"/>
        <v>0</v>
      </c>
      <c r="AP449">
        <f t="shared" si="97"/>
        <v>0</v>
      </c>
      <c r="AQ449">
        <f t="shared" si="97"/>
        <v>0</v>
      </c>
      <c r="AR449">
        <f t="shared" si="97"/>
        <v>0</v>
      </c>
    </row>
    <row r="450" spans="5:44" x14ac:dyDescent="0.2">
      <c r="E450" s="1">
        <f>moment_rate!$AC450</f>
        <v>7.4493433161470389E-3</v>
      </c>
      <c r="F450" s="1">
        <f t="shared" si="86"/>
        <v>0</v>
      </c>
      <c r="G450">
        <f>moment_rate!I450-0.005</f>
        <v>4.42999999999995</v>
      </c>
      <c r="H450" s="1">
        <f t="shared" si="87"/>
        <v>0</v>
      </c>
      <c r="I450">
        <f t="shared" si="99"/>
        <v>0</v>
      </c>
      <c r="J450">
        <f t="shared" si="99"/>
        <v>0</v>
      </c>
      <c r="K450">
        <f t="shared" si="99"/>
        <v>0</v>
      </c>
      <c r="L450">
        <f t="shared" si="99"/>
        <v>0</v>
      </c>
      <c r="M450">
        <f t="shared" si="99"/>
        <v>0</v>
      </c>
      <c r="N450">
        <f t="shared" si="99"/>
        <v>0</v>
      </c>
      <c r="O450">
        <f t="shared" si="99"/>
        <v>0</v>
      </c>
      <c r="P450">
        <f t="shared" si="99"/>
        <v>0</v>
      </c>
      <c r="Q450">
        <f t="shared" si="99"/>
        <v>0</v>
      </c>
      <c r="R450">
        <f t="shared" si="99"/>
        <v>0</v>
      </c>
      <c r="S450">
        <f t="shared" si="99"/>
        <v>0</v>
      </c>
      <c r="T450">
        <f t="shared" si="99"/>
        <v>0</v>
      </c>
      <c r="U450">
        <f t="shared" si="99"/>
        <v>0</v>
      </c>
      <c r="V450">
        <f t="shared" si="99"/>
        <v>0</v>
      </c>
      <c r="W450">
        <f t="shared" si="99"/>
        <v>0</v>
      </c>
      <c r="X450">
        <f t="shared" si="99"/>
        <v>0</v>
      </c>
      <c r="Y450">
        <f t="shared" si="98"/>
        <v>0</v>
      </c>
      <c r="Z450">
        <f t="shared" si="98"/>
        <v>0</v>
      </c>
      <c r="AA450">
        <f t="shared" si="98"/>
        <v>0</v>
      </c>
      <c r="AB450">
        <f t="shared" si="98"/>
        <v>0</v>
      </c>
      <c r="AC450">
        <f t="shared" si="98"/>
        <v>0</v>
      </c>
      <c r="AD450">
        <f t="shared" si="98"/>
        <v>0</v>
      </c>
      <c r="AE450">
        <f t="shared" si="98"/>
        <v>0</v>
      </c>
      <c r="AF450">
        <f t="shared" si="98"/>
        <v>0</v>
      </c>
      <c r="AG450">
        <f t="shared" si="98"/>
        <v>0</v>
      </c>
      <c r="AH450">
        <f t="shared" si="98"/>
        <v>0</v>
      </c>
      <c r="AI450">
        <f t="shared" si="98"/>
        <v>0</v>
      </c>
      <c r="AJ450">
        <f t="shared" si="98"/>
        <v>0</v>
      </c>
      <c r="AK450">
        <f t="shared" si="98"/>
        <v>0</v>
      </c>
      <c r="AL450">
        <f t="shared" si="98"/>
        <v>0</v>
      </c>
      <c r="AM450">
        <f t="shared" si="98"/>
        <v>0</v>
      </c>
      <c r="AN450">
        <f t="shared" si="97"/>
        <v>0</v>
      </c>
      <c r="AO450">
        <f t="shared" si="97"/>
        <v>0</v>
      </c>
      <c r="AP450">
        <f t="shared" si="97"/>
        <v>0</v>
      </c>
      <c r="AQ450">
        <f t="shared" si="97"/>
        <v>0</v>
      </c>
      <c r="AR450">
        <f t="shared" si="97"/>
        <v>0</v>
      </c>
    </row>
    <row r="451" spans="5:44" x14ac:dyDescent="0.2">
      <c r="E451" s="1">
        <f>moment_rate!$AC451</f>
        <v>7.4493433161470389E-3</v>
      </c>
      <c r="F451" s="1">
        <f t="shared" si="86"/>
        <v>0</v>
      </c>
      <c r="G451">
        <f>moment_rate!I451-0.005</f>
        <v>4.4399999999999498</v>
      </c>
      <c r="H451" s="1">
        <f t="shared" si="87"/>
        <v>0</v>
      </c>
      <c r="I451">
        <f t="shared" si="99"/>
        <v>0</v>
      </c>
      <c r="J451">
        <f t="shared" si="99"/>
        <v>0</v>
      </c>
      <c r="K451">
        <f t="shared" si="99"/>
        <v>0</v>
      </c>
      <c r="L451">
        <f t="shared" si="99"/>
        <v>0</v>
      </c>
      <c r="M451">
        <f t="shared" si="99"/>
        <v>0</v>
      </c>
      <c r="N451">
        <f t="shared" si="99"/>
        <v>0</v>
      </c>
      <c r="O451">
        <f t="shared" si="99"/>
        <v>0</v>
      </c>
      <c r="P451">
        <f t="shared" si="99"/>
        <v>0</v>
      </c>
      <c r="Q451">
        <f t="shared" si="99"/>
        <v>0</v>
      </c>
      <c r="R451">
        <f t="shared" si="99"/>
        <v>0</v>
      </c>
      <c r="S451">
        <f t="shared" si="99"/>
        <v>0</v>
      </c>
      <c r="T451">
        <f t="shared" si="99"/>
        <v>0</v>
      </c>
      <c r="U451">
        <f t="shared" si="99"/>
        <v>0</v>
      </c>
      <c r="V451">
        <f t="shared" si="99"/>
        <v>0</v>
      </c>
      <c r="W451">
        <f t="shared" si="99"/>
        <v>0</v>
      </c>
      <c r="X451">
        <f t="shared" si="99"/>
        <v>0</v>
      </c>
      <c r="Y451">
        <f t="shared" si="98"/>
        <v>0</v>
      </c>
      <c r="Z451">
        <f t="shared" si="98"/>
        <v>0</v>
      </c>
      <c r="AA451">
        <f t="shared" si="98"/>
        <v>0</v>
      </c>
      <c r="AB451">
        <f t="shared" si="98"/>
        <v>0</v>
      </c>
      <c r="AC451">
        <f t="shared" si="98"/>
        <v>0</v>
      </c>
      <c r="AD451">
        <f t="shared" si="98"/>
        <v>0</v>
      </c>
      <c r="AE451">
        <f t="shared" si="98"/>
        <v>0</v>
      </c>
      <c r="AF451">
        <f t="shared" si="98"/>
        <v>0</v>
      </c>
      <c r="AG451">
        <f t="shared" si="98"/>
        <v>0</v>
      </c>
      <c r="AH451">
        <f t="shared" si="98"/>
        <v>0</v>
      </c>
      <c r="AI451">
        <f t="shared" si="98"/>
        <v>0</v>
      </c>
      <c r="AJ451">
        <f t="shared" si="98"/>
        <v>0</v>
      </c>
      <c r="AK451">
        <f t="shared" si="98"/>
        <v>0</v>
      </c>
      <c r="AL451">
        <f t="shared" si="98"/>
        <v>0</v>
      </c>
      <c r="AM451">
        <f t="shared" si="98"/>
        <v>0</v>
      </c>
      <c r="AN451">
        <f t="shared" si="97"/>
        <v>0</v>
      </c>
      <c r="AO451">
        <f t="shared" si="97"/>
        <v>0</v>
      </c>
      <c r="AP451">
        <f t="shared" si="97"/>
        <v>0</v>
      </c>
      <c r="AQ451">
        <f t="shared" si="97"/>
        <v>0</v>
      </c>
      <c r="AR451">
        <f t="shared" si="97"/>
        <v>0</v>
      </c>
    </row>
    <row r="452" spans="5:44" x14ac:dyDescent="0.2">
      <c r="E452" s="1">
        <f>moment_rate!$AC452</f>
        <v>7.4493433161470389E-3</v>
      </c>
      <c r="F452" s="1">
        <f t="shared" si="86"/>
        <v>0</v>
      </c>
      <c r="G452">
        <f>moment_rate!I452-0.005</f>
        <v>4.4499999999999496</v>
      </c>
      <c r="H452" s="1">
        <f t="shared" si="87"/>
        <v>0</v>
      </c>
      <c r="I452">
        <f t="shared" si="99"/>
        <v>0</v>
      </c>
      <c r="J452">
        <f t="shared" si="99"/>
        <v>0</v>
      </c>
      <c r="K452">
        <f t="shared" si="99"/>
        <v>0</v>
      </c>
      <c r="L452">
        <f t="shared" si="99"/>
        <v>0</v>
      </c>
      <c r="M452">
        <f t="shared" si="99"/>
        <v>0</v>
      </c>
      <c r="N452">
        <f t="shared" si="99"/>
        <v>0</v>
      </c>
      <c r="O452">
        <f t="shared" si="99"/>
        <v>0</v>
      </c>
      <c r="P452">
        <f t="shared" si="99"/>
        <v>0</v>
      </c>
      <c r="Q452">
        <f t="shared" si="99"/>
        <v>0</v>
      </c>
      <c r="R452">
        <f t="shared" si="99"/>
        <v>0</v>
      </c>
      <c r="S452">
        <f t="shared" si="99"/>
        <v>0</v>
      </c>
      <c r="T452">
        <f t="shared" si="99"/>
        <v>0</v>
      </c>
      <c r="U452">
        <f t="shared" si="99"/>
        <v>0</v>
      </c>
      <c r="V452">
        <f t="shared" si="99"/>
        <v>0</v>
      </c>
      <c r="W452">
        <f t="shared" si="99"/>
        <v>0</v>
      </c>
      <c r="X452">
        <f t="shared" si="99"/>
        <v>0</v>
      </c>
      <c r="Y452">
        <f t="shared" si="98"/>
        <v>0</v>
      </c>
      <c r="Z452">
        <f t="shared" si="98"/>
        <v>0</v>
      </c>
      <c r="AA452">
        <f t="shared" si="98"/>
        <v>0</v>
      </c>
      <c r="AB452">
        <f t="shared" si="98"/>
        <v>0</v>
      </c>
      <c r="AC452">
        <f t="shared" si="98"/>
        <v>0</v>
      </c>
      <c r="AD452">
        <f t="shared" si="98"/>
        <v>0</v>
      </c>
      <c r="AE452">
        <f t="shared" si="98"/>
        <v>0</v>
      </c>
      <c r="AF452">
        <f t="shared" si="98"/>
        <v>0</v>
      </c>
      <c r="AG452">
        <f t="shared" si="98"/>
        <v>0</v>
      </c>
      <c r="AH452">
        <f t="shared" si="98"/>
        <v>0</v>
      </c>
      <c r="AI452">
        <f t="shared" si="98"/>
        <v>0</v>
      </c>
      <c r="AJ452">
        <f t="shared" si="98"/>
        <v>0</v>
      </c>
      <c r="AK452">
        <f t="shared" si="98"/>
        <v>0</v>
      </c>
      <c r="AL452">
        <f t="shared" si="98"/>
        <v>0</v>
      </c>
      <c r="AM452">
        <f t="shared" si="98"/>
        <v>0</v>
      </c>
      <c r="AN452">
        <f t="shared" si="97"/>
        <v>0</v>
      </c>
      <c r="AO452">
        <f t="shared" si="97"/>
        <v>0</v>
      </c>
      <c r="AP452">
        <f t="shared" si="97"/>
        <v>0</v>
      </c>
      <c r="AQ452">
        <f t="shared" si="97"/>
        <v>0</v>
      </c>
      <c r="AR452">
        <f t="shared" si="97"/>
        <v>0</v>
      </c>
    </row>
    <row r="453" spans="5:44" x14ac:dyDescent="0.2">
      <c r="E453" s="1">
        <f>moment_rate!$AC453</f>
        <v>7.4493433161470389E-3</v>
      </c>
      <c r="F453" s="1">
        <f t="shared" si="86"/>
        <v>0</v>
      </c>
      <c r="G453">
        <f>moment_rate!I453-0.005</f>
        <v>4.4599999999999493</v>
      </c>
      <c r="H453" s="1">
        <f t="shared" si="87"/>
        <v>0</v>
      </c>
      <c r="I453">
        <f t="shared" si="99"/>
        <v>0</v>
      </c>
      <c r="J453">
        <f t="shared" si="99"/>
        <v>0</v>
      </c>
      <c r="K453">
        <f t="shared" si="99"/>
        <v>0</v>
      </c>
      <c r="L453">
        <f t="shared" si="99"/>
        <v>0</v>
      </c>
      <c r="M453">
        <f t="shared" si="99"/>
        <v>0</v>
      </c>
      <c r="N453">
        <f t="shared" si="99"/>
        <v>0</v>
      </c>
      <c r="O453">
        <f t="shared" si="99"/>
        <v>0</v>
      </c>
      <c r="P453">
        <f t="shared" si="99"/>
        <v>0</v>
      </c>
      <c r="Q453">
        <f t="shared" si="99"/>
        <v>0</v>
      </c>
      <c r="R453">
        <f t="shared" si="99"/>
        <v>0</v>
      </c>
      <c r="S453">
        <f t="shared" si="99"/>
        <v>0</v>
      </c>
      <c r="T453">
        <f t="shared" si="99"/>
        <v>0</v>
      </c>
      <c r="U453">
        <f t="shared" si="99"/>
        <v>0</v>
      </c>
      <c r="V453">
        <f t="shared" si="99"/>
        <v>0</v>
      </c>
      <c r="W453">
        <f t="shared" si="99"/>
        <v>0</v>
      </c>
      <c r="X453">
        <f t="shared" si="99"/>
        <v>0</v>
      </c>
      <c r="Y453">
        <f t="shared" si="98"/>
        <v>0</v>
      </c>
      <c r="Z453">
        <f t="shared" si="98"/>
        <v>0</v>
      </c>
      <c r="AA453">
        <f t="shared" si="98"/>
        <v>0</v>
      </c>
      <c r="AB453">
        <f t="shared" si="98"/>
        <v>0</v>
      </c>
      <c r="AC453">
        <f t="shared" si="98"/>
        <v>0</v>
      </c>
      <c r="AD453">
        <f t="shared" si="98"/>
        <v>0</v>
      </c>
      <c r="AE453">
        <f t="shared" si="98"/>
        <v>0</v>
      </c>
      <c r="AF453">
        <f t="shared" si="98"/>
        <v>0</v>
      </c>
      <c r="AG453">
        <f t="shared" si="98"/>
        <v>0</v>
      </c>
      <c r="AH453">
        <f t="shared" si="98"/>
        <v>0</v>
      </c>
      <c r="AI453">
        <f t="shared" si="98"/>
        <v>0</v>
      </c>
      <c r="AJ453">
        <f t="shared" si="98"/>
        <v>0</v>
      </c>
      <c r="AK453">
        <f t="shared" si="98"/>
        <v>0</v>
      </c>
      <c r="AL453">
        <f t="shared" si="98"/>
        <v>0</v>
      </c>
      <c r="AM453">
        <f t="shared" si="98"/>
        <v>0</v>
      </c>
      <c r="AN453">
        <f t="shared" si="97"/>
        <v>0</v>
      </c>
      <c r="AO453">
        <f t="shared" si="97"/>
        <v>0</v>
      </c>
      <c r="AP453">
        <f t="shared" si="97"/>
        <v>0</v>
      </c>
      <c r="AQ453">
        <f t="shared" si="97"/>
        <v>0</v>
      </c>
      <c r="AR453">
        <f t="shared" si="97"/>
        <v>0</v>
      </c>
    </row>
    <row r="454" spans="5:44" x14ac:dyDescent="0.2">
      <c r="E454" s="1">
        <f>moment_rate!$AC454</f>
        <v>7.4493433161470389E-3</v>
      </c>
      <c r="F454" s="1">
        <f t="shared" si="86"/>
        <v>0</v>
      </c>
      <c r="G454">
        <f>moment_rate!I454-0.005</f>
        <v>4.4699999999999491</v>
      </c>
      <c r="H454" s="1">
        <f t="shared" si="87"/>
        <v>0</v>
      </c>
      <c r="I454">
        <f t="shared" si="99"/>
        <v>0</v>
      </c>
      <c r="J454">
        <f t="shared" si="99"/>
        <v>0</v>
      </c>
      <c r="K454">
        <f t="shared" si="99"/>
        <v>0</v>
      </c>
      <c r="L454">
        <f t="shared" si="99"/>
        <v>0</v>
      </c>
      <c r="M454">
        <f t="shared" si="99"/>
        <v>0</v>
      </c>
      <c r="N454">
        <f t="shared" si="99"/>
        <v>0</v>
      </c>
      <c r="O454">
        <f t="shared" si="99"/>
        <v>0</v>
      </c>
      <c r="P454">
        <f t="shared" si="99"/>
        <v>0</v>
      </c>
      <c r="Q454">
        <f t="shared" si="99"/>
        <v>0</v>
      </c>
      <c r="R454">
        <f t="shared" si="99"/>
        <v>0</v>
      </c>
      <c r="S454">
        <f t="shared" si="99"/>
        <v>0</v>
      </c>
      <c r="T454">
        <f t="shared" si="99"/>
        <v>0</v>
      </c>
      <c r="U454">
        <f t="shared" si="99"/>
        <v>0</v>
      </c>
      <c r="V454">
        <f t="shared" si="99"/>
        <v>0</v>
      </c>
      <c r="W454">
        <f t="shared" si="99"/>
        <v>0</v>
      </c>
      <c r="X454">
        <f t="shared" si="99"/>
        <v>0</v>
      </c>
      <c r="Y454">
        <f t="shared" si="98"/>
        <v>0</v>
      </c>
      <c r="Z454">
        <f t="shared" si="98"/>
        <v>0</v>
      </c>
      <c r="AA454">
        <f t="shared" si="98"/>
        <v>0</v>
      </c>
      <c r="AB454">
        <f t="shared" si="98"/>
        <v>0</v>
      </c>
      <c r="AC454">
        <f t="shared" si="98"/>
        <v>0</v>
      </c>
      <c r="AD454">
        <f t="shared" si="98"/>
        <v>0</v>
      </c>
      <c r="AE454">
        <f t="shared" si="98"/>
        <v>0</v>
      </c>
      <c r="AF454">
        <f t="shared" si="98"/>
        <v>0</v>
      </c>
      <c r="AG454">
        <f t="shared" si="98"/>
        <v>0</v>
      </c>
      <c r="AH454">
        <f t="shared" si="98"/>
        <v>0</v>
      </c>
      <c r="AI454">
        <f t="shared" si="98"/>
        <v>0</v>
      </c>
      <c r="AJ454">
        <f t="shared" si="98"/>
        <v>0</v>
      </c>
      <c r="AK454">
        <f t="shared" si="98"/>
        <v>0</v>
      </c>
      <c r="AL454">
        <f t="shared" si="98"/>
        <v>0</v>
      </c>
      <c r="AM454">
        <f t="shared" si="98"/>
        <v>0</v>
      </c>
      <c r="AN454">
        <f t="shared" si="97"/>
        <v>0</v>
      </c>
      <c r="AO454">
        <f t="shared" si="97"/>
        <v>0</v>
      </c>
      <c r="AP454">
        <f t="shared" si="97"/>
        <v>0</v>
      </c>
      <c r="AQ454">
        <f t="shared" si="97"/>
        <v>0</v>
      </c>
      <c r="AR454">
        <f t="shared" si="97"/>
        <v>0</v>
      </c>
    </row>
    <row r="455" spans="5:44" x14ac:dyDescent="0.2">
      <c r="E455" s="1">
        <f>moment_rate!$AC455</f>
        <v>7.4493433161470389E-3</v>
      </c>
      <c r="F455" s="1">
        <f t="shared" si="86"/>
        <v>0</v>
      </c>
      <c r="G455">
        <f>moment_rate!I455-0.005</f>
        <v>4.4799999999999489</v>
      </c>
      <c r="H455" s="1">
        <f t="shared" si="87"/>
        <v>0</v>
      </c>
      <c r="I455">
        <f t="shared" si="99"/>
        <v>0</v>
      </c>
      <c r="J455">
        <f t="shared" si="99"/>
        <v>0</v>
      </c>
      <c r="K455">
        <f t="shared" si="99"/>
        <v>0</v>
      </c>
      <c r="L455">
        <f t="shared" si="99"/>
        <v>0</v>
      </c>
      <c r="M455">
        <f t="shared" si="99"/>
        <v>0</v>
      </c>
      <c r="N455">
        <f t="shared" si="99"/>
        <v>0</v>
      </c>
      <c r="O455">
        <f t="shared" si="99"/>
        <v>0</v>
      </c>
      <c r="P455">
        <f t="shared" si="99"/>
        <v>0</v>
      </c>
      <c r="Q455">
        <f t="shared" si="99"/>
        <v>0</v>
      </c>
      <c r="R455">
        <f t="shared" si="99"/>
        <v>0</v>
      </c>
      <c r="S455">
        <f t="shared" si="99"/>
        <v>0</v>
      </c>
      <c r="T455">
        <f t="shared" si="99"/>
        <v>0</v>
      </c>
      <c r="U455">
        <f t="shared" si="99"/>
        <v>0</v>
      </c>
      <c r="V455">
        <f t="shared" si="99"/>
        <v>0</v>
      </c>
      <c r="W455">
        <f t="shared" si="99"/>
        <v>0</v>
      </c>
      <c r="X455">
        <f t="shared" si="99"/>
        <v>0</v>
      </c>
      <c r="Y455">
        <f t="shared" si="98"/>
        <v>0</v>
      </c>
      <c r="Z455">
        <f t="shared" si="98"/>
        <v>0</v>
      </c>
      <c r="AA455">
        <f t="shared" si="98"/>
        <v>0</v>
      </c>
      <c r="AB455">
        <f t="shared" si="98"/>
        <v>0</v>
      </c>
      <c r="AC455">
        <f t="shared" si="98"/>
        <v>0</v>
      </c>
      <c r="AD455">
        <f t="shared" si="98"/>
        <v>0</v>
      </c>
      <c r="AE455">
        <f t="shared" si="98"/>
        <v>0</v>
      </c>
      <c r="AF455">
        <f t="shared" si="98"/>
        <v>0</v>
      </c>
      <c r="AG455">
        <f t="shared" si="98"/>
        <v>0</v>
      </c>
      <c r="AH455">
        <f t="shared" si="98"/>
        <v>0</v>
      </c>
      <c r="AI455">
        <f t="shared" si="98"/>
        <v>0</v>
      </c>
      <c r="AJ455">
        <f t="shared" si="98"/>
        <v>0</v>
      </c>
      <c r="AK455">
        <f t="shared" si="98"/>
        <v>0</v>
      </c>
      <c r="AL455">
        <f t="shared" si="98"/>
        <v>0</v>
      </c>
      <c r="AM455">
        <f t="shared" si="98"/>
        <v>0</v>
      </c>
      <c r="AN455">
        <f t="shared" ref="AN455:AR470" si="100">IF(AND($G455&gt;=AN$3,$G455&lt;AN$4),$F455,0)</f>
        <v>0</v>
      </c>
      <c r="AO455">
        <f t="shared" si="100"/>
        <v>0</v>
      </c>
      <c r="AP455">
        <f t="shared" si="100"/>
        <v>0</v>
      </c>
      <c r="AQ455">
        <f t="shared" si="100"/>
        <v>0</v>
      </c>
      <c r="AR455">
        <f t="shared" si="100"/>
        <v>0</v>
      </c>
    </row>
    <row r="456" spans="5:44" x14ac:dyDescent="0.2">
      <c r="E456" s="1">
        <f>moment_rate!$AC456</f>
        <v>7.4493433161470389E-3</v>
      </c>
      <c r="F456" s="1">
        <f t="shared" ref="F456:F519" si="101">E456-E457</f>
        <v>0</v>
      </c>
      <c r="G456">
        <f>moment_rate!I456-0.005</f>
        <v>4.4899999999999487</v>
      </c>
      <c r="H456" s="1">
        <f t="shared" ref="H456:H519" si="102">IF($G456&gt;=4.999,(E456-E457),0)</f>
        <v>0</v>
      </c>
      <c r="I456">
        <f t="shared" ref="I456:I487" si="103">IF(AND($G456&gt;=I$3,$G456&lt;I$4),$F456,0)</f>
        <v>0</v>
      </c>
      <c r="J456">
        <f t="shared" si="99"/>
        <v>0</v>
      </c>
      <c r="K456">
        <f t="shared" si="99"/>
        <v>0</v>
      </c>
      <c r="L456">
        <f t="shared" si="99"/>
        <v>0</v>
      </c>
      <c r="M456">
        <f t="shared" si="99"/>
        <v>0</v>
      </c>
      <c r="N456">
        <f t="shared" si="99"/>
        <v>0</v>
      </c>
      <c r="O456">
        <f t="shared" si="99"/>
        <v>0</v>
      </c>
      <c r="P456">
        <f t="shared" si="99"/>
        <v>0</v>
      </c>
      <c r="Q456">
        <f t="shared" si="99"/>
        <v>0</v>
      </c>
      <c r="R456">
        <f t="shared" si="99"/>
        <v>0</v>
      </c>
      <c r="S456">
        <f t="shared" si="99"/>
        <v>0</v>
      </c>
      <c r="T456">
        <f t="shared" si="99"/>
        <v>0</v>
      </c>
      <c r="U456">
        <f t="shared" si="99"/>
        <v>0</v>
      </c>
      <c r="V456">
        <f t="shared" si="99"/>
        <v>0</v>
      </c>
      <c r="W456">
        <f t="shared" si="99"/>
        <v>0</v>
      </c>
      <c r="X456">
        <f t="shared" si="99"/>
        <v>0</v>
      </c>
      <c r="Y456">
        <f t="shared" si="98"/>
        <v>0</v>
      </c>
      <c r="Z456">
        <f t="shared" si="98"/>
        <v>0</v>
      </c>
      <c r="AA456">
        <f t="shared" si="98"/>
        <v>0</v>
      </c>
      <c r="AB456">
        <f t="shared" si="98"/>
        <v>0</v>
      </c>
      <c r="AC456">
        <f t="shared" si="98"/>
        <v>0</v>
      </c>
      <c r="AD456">
        <f t="shared" si="98"/>
        <v>0</v>
      </c>
      <c r="AE456">
        <f t="shared" si="98"/>
        <v>0</v>
      </c>
      <c r="AF456">
        <f t="shared" si="98"/>
        <v>0</v>
      </c>
      <c r="AG456">
        <f t="shared" si="98"/>
        <v>0</v>
      </c>
      <c r="AH456">
        <f t="shared" si="98"/>
        <v>0</v>
      </c>
      <c r="AI456">
        <f t="shared" si="98"/>
        <v>0</v>
      </c>
      <c r="AJ456">
        <f t="shared" si="98"/>
        <v>0</v>
      </c>
      <c r="AK456">
        <f t="shared" si="98"/>
        <v>0</v>
      </c>
      <c r="AL456">
        <f t="shared" si="98"/>
        <v>0</v>
      </c>
      <c r="AM456">
        <f t="shared" si="98"/>
        <v>0</v>
      </c>
      <c r="AN456">
        <f t="shared" si="100"/>
        <v>0</v>
      </c>
      <c r="AO456">
        <f t="shared" si="100"/>
        <v>0</v>
      </c>
      <c r="AP456">
        <f t="shared" si="100"/>
        <v>0</v>
      </c>
      <c r="AQ456">
        <f t="shared" si="100"/>
        <v>0</v>
      </c>
      <c r="AR456">
        <f t="shared" si="100"/>
        <v>0</v>
      </c>
    </row>
    <row r="457" spans="5:44" x14ac:dyDescent="0.2">
      <c r="E457" s="1">
        <f>moment_rate!$AC457</f>
        <v>7.4493433161470389E-3</v>
      </c>
      <c r="F457" s="1">
        <f t="shared" si="101"/>
        <v>0</v>
      </c>
      <c r="G457">
        <f>moment_rate!I457-0.005</f>
        <v>4.4999999999999485</v>
      </c>
      <c r="H457" s="1">
        <f t="shared" si="102"/>
        <v>0</v>
      </c>
      <c r="I457">
        <f t="shared" si="103"/>
        <v>0</v>
      </c>
      <c r="J457">
        <f t="shared" si="99"/>
        <v>0</v>
      </c>
      <c r="K457">
        <f t="shared" si="99"/>
        <v>0</v>
      </c>
      <c r="L457">
        <f t="shared" si="99"/>
        <v>0</v>
      </c>
      <c r="M457">
        <f t="shared" si="99"/>
        <v>0</v>
      </c>
      <c r="N457">
        <f t="shared" si="99"/>
        <v>0</v>
      </c>
      <c r="O457">
        <f t="shared" si="99"/>
        <v>0</v>
      </c>
      <c r="P457">
        <f t="shared" si="99"/>
        <v>0</v>
      </c>
      <c r="Q457">
        <f t="shared" si="99"/>
        <v>0</v>
      </c>
      <c r="R457">
        <f t="shared" si="99"/>
        <v>0</v>
      </c>
      <c r="S457">
        <f t="shared" si="99"/>
        <v>0</v>
      </c>
      <c r="T457">
        <f t="shared" si="99"/>
        <v>0</v>
      </c>
      <c r="U457">
        <f t="shared" si="99"/>
        <v>0</v>
      </c>
      <c r="V457">
        <f t="shared" si="99"/>
        <v>0</v>
      </c>
      <c r="W457">
        <f t="shared" si="99"/>
        <v>0</v>
      </c>
      <c r="X457">
        <f t="shared" si="99"/>
        <v>0</v>
      </c>
      <c r="Y457">
        <f t="shared" si="98"/>
        <v>0</v>
      </c>
      <c r="Z457">
        <f t="shared" si="98"/>
        <v>0</v>
      </c>
      <c r="AA457">
        <f t="shared" si="98"/>
        <v>0</v>
      </c>
      <c r="AB457">
        <f t="shared" si="98"/>
        <v>0</v>
      </c>
      <c r="AC457">
        <f t="shared" si="98"/>
        <v>0</v>
      </c>
      <c r="AD457">
        <f t="shared" si="98"/>
        <v>0</v>
      </c>
      <c r="AE457">
        <f t="shared" si="98"/>
        <v>0</v>
      </c>
      <c r="AF457">
        <f t="shared" si="98"/>
        <v>0</v>
      </c>
      <c r="AG457">
        <f t="shared" si="98"/>
        <v>0</v>
      </c>
      <c r="AH457">
        <f t="shared" si="98"/>
        <v>0</v>
      </c>
      <c r="AI457">
        <f t="shared" si="98"/>
        <v>0</v>
      </c>
      <c r="AJ457">
        <f t="shared" si="98"/>
        <v>0</v>
      </c>
      <c r="AK457">
        <f t="shared" si="98"/>
        <v>0</v>
      </c>
      <c r="AL457">
        <f t="shared" si="98"/>
        <v>0</v>
      </c>
      <c r="AM457">
        <f t="shared" si="98"/>
        <v>0</v>
      </c>
      <c r="AN457">
        <f t="shared" si="100"/>
        <v>0</v>
      </c>
      <c r="AO457">
        <f t="shared" si="100"/>
        <v>0</v>
      </c>
      <c r="AP457">
        <f t="shared" si="100"/>
        <v>0</v>
      </c>
      <c r="AQ457">
        <f t="shared" si="100"/>
        <v>0</v>
      </c>
      <c r="AR457">
        <f t="shared" si="100"/>
        <v>0</v>
      </c>
    </row>
    <row r="458" spans="5:44" x14ac:dyDescent="0.2">
      <c r="E458" s="1">
        <f>moment_rate!$AC458</f>
        <v>7.4493433161470389E-3</v>
      </c>
      <c r="F458" s="1">
        <f t="shared" si="101"/>
        <v>0</v>
      </c>
      <c r="G458">
        <f>moment_rate!I458-0.005</f>
        <v>4.5099999999999483</v>
      </c>
      <c r="H458" s="1">
        <f t="shared" si="102"/>
        <v>0</v>
      </c>
      <c r="I458">
        <f t="shared" si="103"/>
        <v>0</v>
      </c>
      <c r="J458">
        <f t="shared" si="99"/>
        <v>0</v>
      </c>
      <c r="K458">
        <f t="shared" si="99"/>
        <v>0</v>
      </c>
      <c r="L458">
        <f t="shared" si="99"/>
        <v>0</v>
      </c>
      <c r="M458">
        <f t="shared" si="99"/>
        <v>0</v>
      </c>
      <c r="N458">
        <f t="shared" si="99"/>
        <v>0</v>
      </c>
      <c r="O458">
        <f t="shared" si="99"/>
        <v>0</v>
      </c>
      <c r="P458">
        <f t="shared" si="99"/>
        <v>0</v>
      </c>
      <c r="Q458">
        <f t="shared" si="99"/>
        <v>0</v>
      </c>
      <c r="R458">
        <f t="shared" si="99"/>
        <v>0</v>
      </c>
      <c r="S458">
        <f t="shared" si="99"/>
        <v>0</v>
      </c>
      <c r="T458">
        <f t="shared" si="99"/>
        <v>0</v>
      </c>
      <c r="U458">
        <f t="shared" si="99"/>
        <v>0</v>
      </c>
      <c r="V458">
        <f t="shared" si="99"/>
        <v>0</v>
      </c>
      <c r="W458">
        <f t="shared" si="99"/>
        <v>0</v>
      </c>
      <c r="X458">
        <f t="shared" si="99"/>
        <v>0</v>
      </c>
      <c r="Y458">
        <f t="shared" si="98"/>
        <v>0</v>
      </c>
      <c r="Z458">
        <f t="shared" si="98"/>
        <v>0</v>
      </c>
      <c r="AA458">
        <f t="shared" si="98"/>
        <v>0</v>
      </c>
      <c r="AB458">
        <f t="shared" si="98"/>
        <v>0</v>
      </c>
      <c r="AC458">
        <f t="shared" si="98"/>
        <v>0</v>
      </c>
      <c r="AD458">
        <f t="shared" si="98"/>
        <v>0</v>
      </c>
      <c r="AE458">
        <f t="shared" si="98"/>
        <v>0</v>
      </c>
      <c r="AF458">
        <f t="shared" si="98"/>
        <v>0</v>
      </c>
      <c r="AG458">
        <f t="shared" si="98"/>
        <v>0</v>
      </c>
      <c r="AH458">
        <f t="shared" si="98"/>
        <v>0</v>
      </c>
      <c r="AI458">
        <f t="shared" si="98"/>
        <v>0</v>
      </c>
      <c r="AJ458">
        <f t="shared" si="98"/>
        <v>0</v>
      </c>
      <c r="AK458">
        <f t="shared" si="98"/>
        <v>0</v>
      </c>
      <c r="AL458">
        <f t="shared" si="98"/>
        <v>0</v>
      </c>
      <c r="AM458">
        <f t="shared" si="98"/>
        <v>0</v>
      </c>
      <c r="AN458">
        <f t="shared" si="100"/>
        <v>0</v>
      </c>
      <c r="AO458">
        <f t="shared" si="100"/>
        <v>0</v>
      </c>
      <c r="AP458">
        <f t="shared" si="100"/>
        <v>0</v>
      </c>
      <c r="AQ458">
        <f t="shared" si="100"/>
        <v>0</v>
      </c>
      <c r="AR458">
        <f t="shared" si="100"/>
        <v>0</v>
      </c>
    </row>
    <row r="459" spans="5:44" x14ac:dyDescent="0.2">
      <c r="E459" s="1">
        <f>moment_rate!$AC459</f>
        <v>7.4493433161470389E-3</v>
      </c>
      <c r="F459" s="1">
        <f t="shared" si="101"/>
        <v>0</v>
      </c>
      <c r="G459">
        <f>moment_rate!I459-0.005</f>
        <v>4.5199999999999481</v>
      </c>
      <c r="H459" s="1">
        <f t="shared" si="102"/>
        <v>0</v>
      </c>
      <c r="I459">
        <f t="shared" si="103"/>
        <v>0</v>
      </c>
      <c r="J459">
        <f t="shared" si="99"/>
        <v>0</v>
      </c>
      <c r="K459">
        <f t="shared" si="99"/>
        <v>0</v>
      </c>
      <c r="L459">
        <f t="shared" si="99"/>
        <v>0</v>
      </c>
      <c r="M459">
        <f t="shared" si="99"/>
        <v>0</v>
      </c>
      <c r="N459">
        <f t="shared" si="99"/>
        <v>0</v>
      </c>
      <c r="O459">
        <f t="shared" si="99"/>
        <v>0</v>
      </c>
      <c r="P459">
        <f t="shared" si="99"/>
        <v>0</v>
      </c>
      <c r="Q459">
        <f t="shared" si="99"/>
        <v>0</v>
      </c>
      <c r="R459">
        <f t="shared" si="99"/>
        <v>0</v>
      </c>
      <c r="S459">
        <f t="shared" si="99"/>
        <v>0</v>
      </c>
      <c r="T459">
        <f t="shared" si="99"/>
        <v>0</v>
      </c>
      <c r="U459">
        <f t="shared" si="99"/>
        <v>0</v>
      </c>
      <c r="V459">
        <f t="shared" si="99"/>
        <v>0</v>
      </c>
      <c r="W459">
        <f t="shared" si="99"/>
        <v>0</v>
      </c>
      <c r="X459">
        <f t="shared" si="99"/>
        <v>0</v>
      </c>
      <c r="Y459">
        <f t="shared" si="98"/>
        <v>0</v>
      </c>
      <c r="Z459">
        <f t="shared" si="98"/>
        <v>0</v>
      </c>
      <c r="AA459">
        <f t="shared" si="98"/>
        <v>0</v>
      </c>
      <c r="AB459">
        <f t="shared" si="98"/>
        <v>0</v>
      </c>
      <c r="AC459">
        <f t="shared" si="98"/>
        <v>0</v>
      </c>
      <c r="AD459">
        <f t="shared" si="98"/>
        <v>0</v>
      </c>
      <c r="AE459">
        <f t="shared" si="98"/>
        <v>0</v>
      </c>
      <c r="AF459">
        <f t="shared" si="98"/>
        <v>0</v>
      </c>
      <c r="AG459">
        <f t="shared" si="98"/>
        <v>0</v>
      </c>
      <c r="AH459">
        <f t="shared" si="98"/>
        <v>0</v>
      </c>
      <c r="AI459">
        <f t="shared" si="98"/>
        <v>0</v>
      </c>
      <c r="AJ459">
        <f t="shared" si="98"/>
        <v>0</v>
      </c>
      <c r="AK459">
        <f t="shared" si="98"/>
        <v>0</v>
      </c>
      <c r="AL459">
        <f t="shared" si="98"/>
        <v>0</v>
      </c>
      <c r="AM459">
        <f t="shared" si="98"/>
        <v>0</v>
      </c>
      <c r="AN459">
        <f t="shared" si="100"/>
        <v>0</v>
      </c>
      <c r="AO459">
        <f t="shared" si="100"/>
        <v>0</v>
      </c>
      <c r="AP459">
        <f t="shared" si="100"/>
        <v>0</v>
      </c>
      <c r="AQ459">
        <f t="shared" si="100"/>
        <v>0</v>
      </c>
      <c r="AR459">
        <f t="shared" si="100"/>
        <v>0</v>
      </c>
    </row>
    <row r="460" spans="5:44" x14ac:dyDescent="0.2">
      <c r="E460" s="1">
        <f>moment_rate!$AC460</f>
        <v>7.4493433161470389E-3</v>
      </c>
      <c r="F460" s="1">
        <f t="shared" si="101"/>
        <v>0</v>
      </c>
      <c r="G460">
        <f>moment_rate!I460-0.005</f>
        <v>4.5299999999999478</v>
      </c>
      <c r="H460" s="1">
        <f t="shared" si="102"/>
        <v>0</v>
      </c>
      <c r="I460">
        <f t="shared" si="103"/>
        <v>0</v>
      </c>
      <c r="J460">
        <f t="shared" si="99"/>
        <v>0</v>
      </c>
      <c r="K460">
        <f t="shared" si="99"/>
        <v>0</v>
      </c>
      <c r="L460">
        <f t="shared" si="99"/>
        <v>0</v>
      </c>
      <c r="M460">
        <f t="shared" si="99"/>
        <v>0</v>
      </c>
      <c r="N460">
        <f t="shared" si="99"/>
        <v>0</v>
      </c>
      <c r="O460">
        <f t="shared" si="99"/>
        <v>0</v>
      </c>
      <c r="P460">
        <f t="shared" si="99"/>
        <v>0</v>
      </c>
      <c r="Q460">
        <f t="shared" si="99"/>
        <v>0</v>
      </c>
      <c r="R460">
        <f t="shared" si="99"/>
        <v>0</v>
      </c>
      <c r="S460">
        <f t="shared" si="99"/>
        <v>0</v>
      </c>
      <c r="T460">
        <f t="shared" si="99"/>
        <v>0</v>
      </c>
      <c r="U460">
        <f t="shared" si="99"/>
        <v>0</v>
      </c>
      <c r="V460">
        <f t="shared" si="99"/>
        <v>0</v>
      </c>
      <c r="W460">
        <f t="shared" si="99"/>
        <v>0</v>
      </c>
      <c r="X460">
        <f t="shared" si="99"/>
        <v>0</v>
      </c>
      <c r="Y460">
        <f t="shared" si="98"/>
        <v>0</v>
      </c>
      <c r="Z460">
        <f t="shared" si="98"/>
        <v>0</v>
      </c>
      <c r="AA460">
        <f t="shared" si="98"/>
        <v>0</v>
      </c>
      <c r="AB460">
        <f t="shared" si="98"/>
        <v>0</v>
      </c>
      <c r="AC460">
        <f t="shared" si="98"/>
        <v>0</v>
      </c>
      <c r="AD460">
        <f t="shared" si="98"/>
        <v>0</v>
      </c>
      <c r="AE460">
        <f t="shared" si="98"/>
        <v>0</v>
      </c>
      <c r="AF460">
        <f t="shared" si="98"/>
        <v>0</v>
      </c>
      <c r="AG460">
        <f t="shared" si="98"/>
        <v>0</v>
      </c>
      <c r="AH460">
        <f t="shared" si="98"/>
        <v>0</v>
      </c>
      <c r="AI460">
        <f t="shared" si="98"/>
        <v>0</v>
      </c>
      <c r="AJ460">
        <f t="shared" si="98"/>
        <v>0</v>
      </c>
      <c r="AK460">
        <f t="shared" si="98"/>
        <v>0</v>
      </c>
      <c r="AL460">
        <f t="shared" si="98"/>
        <v>0</v>
      </c>
      <c r="AM460">
        <f t="shared" si="98"/>
        <v>0</v>
      </c>
      <c r="AN460">
        <f t="shared" si="100"/>
        <v>0</v>
      </c>
      <c r="AO460">
        <f t="shared" si="100"/>
        <v>0</v>
      </c>
      <c r="AP460">
        <f t="shared" si="100"/>
        <v>0</v>
      </c>
      <c r="AQ460">
        <f t="shared" si="100"/>
        <v>0</v>
      </c>
      <c r="AR460">
        <f t="shared" si="100"/>
        <v>0</v>
      </c>
    </row>
    <row r="461" spans="5:44" x14ac:dyDescent="0.2">
      <c r="E461" s="1">
        <f>moment_rate!$AC461</f>
        <v>7.4493433161470389E-3</v>
      </c>
      <c r="F461" s="1">
        <f t="shared" si="101"/>
        <v>0</v>
      </c>
      <c r="G461">
        <f>moment_rate!I461-0.005</f>
        <v>4.5399999999999476</v>
      </c>
      <c r="H461" s="1">
        <f t="shared" si="102"/>
        <v>0</v>
      </c>
      <c r="I461">
        <f t="shared" si="103"/>
        <v>0</v>
      </c>
      <c r="J461">
        <f t="shared" si="99"/>
        <v>0</v>
      </c>
      <c r="K461">
        <f t="shared" si="99"/>
        <v>0</v>
      </c>
      <c r="L461">
        <f t="shared" si="99"/>
        <v>0</v>
      </c>
      <c r="M461">
        <f t="shared" si="99"/>
        <v>0</v>
      </c>
      <c r="N461">
        <f t="shared" si="99"/>
        <v>0</v>
      </c>
      <c r="O461">
        <f t="shared" si="99"/>
        <v>0</v>
      </c>
      <c r="P461">
        <f t="shared" si="99"/>
        <v>0</v>
      </c>
      <c r="Q461">
        <f t="shared" si="99"/>
        <v>0</v>
      </c>
      <c r="R461">
        <f t="shared" si="99"/>
        <v>0</v>
      </c>
      <c r="S461">
        <f t="shared" si="99"/>
        <v>0</v>
      </c>
      <c r="T461">
        <f t="shared" si="99"/>
        <v>0</v>
      </c>
      <c r="U461">
        <f t="shared" si="99"/>
        <v>0</v>
      </c>
      <c r="V461">
        <f t="shared" si="99"/>
        <v>0</v>
      </c>
      <c r="W461">
        <f t="shared" si="99"/>
        <v>0</v>
      </c>
      <c r="X461">
        <f t="shared" si="99"/>
        <v>0</v>
      </c>
      <c r="Y461">
        <f t="shared" si="98"/>
        <v>0</v>
      </c>
      <c r="Z461">
        <f t="shared" si="98"/>
        <v>0</v>
      </c>
      <c r="AA461">
        <f t="shared" si="98"/>
        <v>0</v>
      </c>
      <c r="AB461">
        <f t="shared" si="98"/>
        <v>0</v>
      </c>
      <c r="AC461">
        <f t="shared" si="98"/>
        <v>0</v>
      </c>
      <c r="AD461">
        <f t="shared" si="98"/>
        <v>0</v>
      </c>
      <c r="AE461">
        <f t="shared" si="98"/>
        <v>0</v>
      </c>
      <c r="AF461">
        <f t="shared" si="98"/>
        <v>0</v>
      </c>
      <c r="AG461">
        <f t="shared" si="98"/>
        <v>0</v>
      </c>
      <c r="AH461">
        <f t="shared" si="98"/>
        <v>0</v>
      </c>
      <c r="AI461">
        <f t="shared" si="98"/>
        <v>0</v>
      </c>
      <c r="AJ461">
        <f t="shared" si="98"/>
        <v>0</v>
      </c>
      <c r="AK461">
        <f t="shared" si="98"/>
        <v>0</v>
      </c>
      <c r="AL461">
        <f t="shared" si="98"/>
        <v>0</v>
      </c>
      <c r="AM461">
        <f t="shared" si="98"/>
        <v>0</v>
      </c>
      <c r="AN461">
        <f t="shared" si="100"/>
        <v>0</v>
      </c>
      <c r="AO461">
        <f t="shared" si="100"/>
        <v>0</v>
      </c>
      <c r="AP461">
        <f t="shared" si="100"/>
        <v>0</v>
      </c>
      <c r="AQ461">
        <f t="shared" si="100"/>
        <v>0</v>
      </c>
      <c r="AR461">
        <f t="shared" si="100"/>
        <v>0</v>
      </c>
    </row>
    <row r="462" spans="5:44" x14ac:dyDescent="0.2">
      <c r="E462" s="1">
        <f>moment_rate!$AC462</f>
        <v>7.4493433161470389E-3</v>
      </c>
      <c r="F462" s="1">
        <f t="shared" si="101"/>
        <v>0</v>
      </c>
      <c r="G462">
        <f>moment_rate!I462-0.005</f>
        <v>4.5499999999999474</v>
      </c>
      <c r="H462" s="1">
        <f t="shared" si="102"/>
        <v>0</v>
      </c>
      <c r="I462">
        <f t="shared" si="103"/>
        <v>0</v>
      </c>
      <c r="J462">
        <f t="shared" ref="J462:X473" si="104">IF(AND($G462&gt;=J$3,$G462&lt;J$4),$F462,0)</f>
        <v>0</v>
      </c>
      <c r="K462">
        <f t="shared" si="104"/>
        <v>0</v>
      </c>
      <c r="L462">
        <f t="shared" si="104"/>
        <v>0</v>
      </c>
      <c r="M462">
        <f t="shared" si="104"/>
        <v>0</v>
      </c>
      <c r="N462">
        <f t="shared" si="104"/>
        <v>0</v>
      </c>
      <c r="O462">
        <f t="shared" si="104"/>
        <v>0</v>
      </c>
      <c r="P462">
        <f t="shared" si="104"/>
        <v>0</v>
      </c>
      <c r="Q462">
        <f t="shared" si="104"/>
        <v>0</v>
      </c>
      <c r="R462">
        <f t="shared" si="104"/>
        <v>0</v>
      </c>
      <c r="S462">
        <f t="shared" si="104"/>
        <v>0</v>
      </c>
      <c r="T462">
        <f t="shared" si="104"/>
        <v>0</v>
      </c>
      <c r="U462">
        <f t="shared" si="104"/>
        <v>0</v>
      </c>
      <c r="V462">
        <f t="shared" si="104"/>
        <v>0</v>
      </c>
      <c r="W462">
        <f t="shared" si="104"/>
        <v>0</v>
      </c>
      <c r="X462">
        <f t="shared" si="104"/>
        <v>0</v>
      </c>
      <c r="Y462">
        <f t="shared" ref="Y462:AN486" si="105">IF(AND($G462&gt;=Y$3,$G462&lt;Y$4),$F462,0)</f>
        <v>0</v>
      </c>
      <c r="Z462">
        <f t="shared" si="105"/>
        <v>0</v>
      </c>
      <c r="AA462">
        <f t="shared" si="105"/>
        <v>0</v>
      </c>
      <c r="AB462">
        <f t="shared" si="105"/>
        <v>0</v>
      </c>
      <c r="AC462">
        <f t="shared" si="105"/>
        <v>0</v>
      </c>
      <c r="AD462">
        <f t="shared" si="105"/>
        <v>0</v>
      </c>
      <c r="AE462">
        <f t="shared" si="105"/>
        <v>0</v>
      </c>
      <c r="AF462">
        <f t="shared" si="105"/>
        <v>0</v>
      </c>
      <c r="AG462">
        <f t="shared" si="105"/>
        <v>0</v>
      </c>
      <c r="AH462">
        <f t="shared" si="105"/>
        <v>0</v>
      </c>
      <c r="AI462">
        <f t="shared" si="105"/>
        <v>0</v>
      </c>
      <c r="AJ462">
        <f t="shared" si="105"/>
        <v>0</v>
      </c>
      <c r="AK462">
        <f t="shared" si="105"/>
        <v>0</v>
      </c>
      <c r="AL462">
        <f t="shared" si="105"/>
        <v>0</v>
      </c>
      <c r="AM462">
        <f t="shared" si="105"/>
        <v>0</v>
      </c>
      <c r="AN462">
        <f t="shared" si="105"/>
        <v>0</v>
      </c>
      <c r="AO462">
        <f t="shared" si="100"/>
        <v>0</v>
      </c>
      <c r="AP462">
        <f t="shared" si="100"/>
        <v>0</v>
      </c>
      <c r="AQ462">
        <f t="shared" si="100"/>
        <v>0</v>
      </c>
      <c r="AR462">
        <f t="shared" si="100"/>
        <v>0</v>
      </c>
    </row>
    <row r="463" spans="5:44" x14ac:dyDescent="0.2">
      <c r="E463" s="1">
        <f>moment_rate!$AC463</f>
        <v>7.4493433161470389E-3</v>
      </c>
      <c r="F463" s="1">
        <f t="shared" si="101"/>
        <v>0</v>
      </c>
      <c r="G463">
        <f>moment_rate!I463-0.005</f>
        <v>4.5599999999999472</v>
      </c>
      <c r="H463" s="1">
        <f t="shared" si="102"/>
        <v>0</v>
      </c>
      <c r="I463">
        <f t="shared" si="103"/>
        <v>0</v>
      </c>
      <c r="J463">
        <f t="shared" si="104"/>
        <v>0</v>
      </c>
      <c r="K463">
        <f t="shared" si="104"/>
        <v>0</v>
      </c>
      <c r="L463">
        <f t="shared" si="104"/>
        <v>0</v>
      </c>
      <c r="M463">
        <f t="shared" si="104"/>
        <v>0</v>
      </c>
      <c r="N463">
        <f t="shared" si="104"/>
        <v>0</v>
      </c>
      <c r="O463">
        <f t="shared" si="104"/>
        <v>0</v>
      </c>
      <c r="P463">
        <f t="shared" si="104"/>
        <v>0</v>
      </c>
      <c r="Q463">
        <f t="shared" si="104"/>
        <v>0</v>
      </c>
      <c r="R463">
        <f t="shared" si="104"/>
        <v>0</v>
      </c>
      <c r="S463">
        <f t="shared" si="104"/>
        <v>0</v>
      </c>
      <c r="T463">
        <f t="shared" si="104"/>
        <v>0</v>
      </c>
      <c r="U463">
        <f t="shared" si="104"/>
        <v>0</v>
      </c>
      <c r="V463">
        <f t="shared" si="104"/>
        <v>0</v>
      </c>
      <c r="W463">
        <f t="shared" si="104"/>
        <v>0</v>
      </c>
      <c r="X463">
        <f t="shared" si="104"/>
        <v>0</v>
      </c>
      <c r="Y463">
        <f t="shared" si="105"/>
        <v>0</v>
      </c>
      <c r="Z463">
        <f t="shared" si="105"/>
        <v>0</v>
      </c>
      <c r="AA463">
        <f t="shared" si="105"/>
        <v>0</v>
      </c>
      <c r="AB463">
        <f t="shared" si="105"/>
        <v>0</v>
      </c>
      <c r="AC463">
        <f t="shared" si="105"/>
        <v>0</v>
      </c>
      <c r="AD463">
        <f t="shared" si="105"/>
        <v>0</v>
      </c>
      <c r="AE463">
        <f t="shared" si="105"/>
        <v>0</v>
      </c>
      <c r="AF463">
        <f t="shared" si="105"/>
        <v>0</v>
      </c>
      <c r="AG463">
        <f t="shared" si="105"/>
        <v>0</v>
      </c>
      <c r="AH463">
        <f t="shared" si="105"/>
        <v>0</v>
      </c>
      <c r="AI463">
        <f t="shared" si="105"/>
        <v>0</v>
      </c>
      <c r="AJ463">
        <f t="shared" si="105"/>
        <v>0</v>
      </c>
      <c r="AK463">
        <f t="shared" si="105"/>
        <v>0</v>
      </c>
      <c r="AL463">
        <f t="shared" si="105"/>
        <v>0</v>
      </c>
      <c r="AM463">
        <f t="shared" si="105"/>
        <v>0</v>
      </c>
      <c r="AN463">
        <f t="shared" si="105"/>
        <v>0</v>
      </c>
      <c r="AO463">
        <f t="shared" si="100"/>
        <v>0</v>
      </c>
      <c r="AP463">
        <f t="shared" si="100"/>
        <v>0</v>
      </c>
      <c r="AQ463">
        <f t="shared" si="100"/>
        <v>0</v>
      </c>
      <c r="AR463">
        <f t="shared" si="100"/>
        <v>0</v>
      </c>
    </row>
    <row r="464" spans="5:44" x14ac:dyDescent="0.2">
      <c r="E464" s="1">
        <f>moment_rate!$AC464</f>
        <v>7.4493433161470389E-3</v>
      </c>
      <c r="F464" s="1">
        <f t="shared" si="101"/>
        <v>0</v>
      </c>
      <c r="G464">
        <f>moment_rate!I464-0.005</f>
        <v>4.569999999999947</v>
      </c>
      <c r="H464" s="1">
        <f t="shared" si="102"/>
        <v>0</v>
      </c>
      <c r="I464">
        <f t="shared" si="103"/>
        <v>0</v>
      </c>
      <c r="J464">
        <f t="shared" si="104"/>
        <v>0</v>
      </c>
      <c r="K464">
        <f t="shared" si="104"/>
        <v>0</v>
      </c>
      <c r="L464">
        <f t="shared" si="104"/>
        <v>0</v>
      </c>
      <c r="M464">
        <f t="shared" si="104"/>
        <v>0</v>
      </c>
      <c r="N464">
        <f t="shared" si="104"/>
        <v>0</v>
      </c>
      <c r="O464">
        <f t="shared" si="104"/>
        <v>0</v>
      </c>
      <c r="P464">
        <f t="shared" si="104"/>
        <v>0</v>
      </c>
      <c r="Q464">
        <f t="shared" si="104"/>
        <v>0</v>
      </c>
      <c r="R464">
        <f t="shared" si="104"/>
        <v>0</v>
      </c>
      <c r="S464">
        <f t="shared" si="104"/>
        <v>0</v>
      </c>
      <c r="T464">
        <f t="shared" si="104"/>
        <v>0</v>
      </c>
      <c r="U464">
        <f t="shared" si="104"/>
        <v>0</v>
      </c>
      <c r="V464">
        <f t="shared" si="104"/>
        <v>0</v>
      </c>
      <c r="W464">
        <f t="shared" si="104"/>
        <v>0</v>
      </c>
      <c r="X464">
        <f t="shared" si="104"/>
        <v>0</v>
      </c>
      <c r="Y464">
        <f t="shared" si="105"/>
        <v>0</v>
      </c>
      <c r="Z464">
        <f t="shared" si="105"/>
        <v>0</v>
      </c>
      <c r="AA464">
        <f t="shared" si="105"/>
        <v>0</v>
      </c>
      <c r="AB464">
        <f t="shared" si="105"/>
        <v>0</v>
      </c>
      <c r="AC464">
        <f t="shared" si="105"/>
        <v>0</v>
      </c>
      <c r="AD464">
        <f t="shared" si="105"/>
        <v>0</v>
      </c>
      <c r="AE464">
        <f t="shared" si="105"/>
        <v>0</v>
      </c>
      <c r="AF464">
        <f t="shared" si="105"/>
        <v>0</v>
      </c>
      <c r="AG464">
        <f t="shared" si="105"/>
        <v>0</v>
      </c>
      <c r="AH464">
        <f t="shared" si="105"/>
        <v>0</v>
      </c>
      <c r="AI464">
        <f t="shared" si="105"/>
        <v>0</v>
      </c>
      <c r="AJ464">
        <f t="shared" si="105"/>
        <v>0</v>
      </c>
      <c r="AK464">
        <f t="shared" si="105"/>
        <v>0</v>
      </c>
      <c r="AL464">
        <f t="shared" si="105"/>
        <v>0</v>
      </c>
      <c r="AM464">
        <f t="shared" si="105"/>
        <v>0</v>
      </c>
      <c r="AN464">
        <f t="shared" si="105"/>
        <v>0</v>
      </c>
      <c r="AO464">
        <f t="shared" si="100"/>
        <v>0</v>
      </c>
      <c r="AP464">
        <f t="shared" si="100"/>
        <v>0</v>
      </c>
      <c r="AQ464">
        <f t="shared" si="100"/>
        <v>0</v>
      </c>
      <c r="AR464">
        <f t="shared" si="100"/>
        <v>0</v>
      </c>
    </row>
    <row r="465" spans="5:44" x14ac:dyDescent="0.2">
      <c r="E465" s="1">
        <f>moment_rate!$AC465</f>
        <v>7.4493433161470389E-3</v>
      </c>
      <c r="F465" s="1">
        <f t="shared" si="101"/>
        <v>0</v>
      </c>
      <c r="G465">
        <f>moment_rate!I465-0.005</f>
        <v>4.5799999999999468</v>
      </c>
      <c r="H465" s="1">
        <f t="shared" si="102"/>
        <v>0</v>
      </c>
      <c r="I465">
        <f t="shared" si="103"/>
        <v>0</v>
      </c>
      <c r="J465">
        <f t="shared" si="104"/>
        <v>0</v>
      </c>
      <c r="K465">
        <f t="shared" si="104"/>
        <v>0</v>
      </c>
      <c r="L465">
        <f t="shared" si="104"/>
        <v>0</v>
      </c>
      <c r="M465">
        <f t="shared" si="104"/>
        <v>0</v>
      </c>
      <c r="N465">
        <f t="shared" si="104"/>
        <v>0</v>
      </c>
      <c r="O465">
        <f t="shared" si="104"/>
        <v>0</v>
      </c>
      <c r="P465">
        <f t="shared" si="104"/>
        <v>0</v>
      </c>
      <c r="Q465">
        <f t="shared" si="104"/>
        <v>0</v>
      </c>
      <c r="R465">
        <f t="shared" si="104"/>
        <v>0</v>
      </c>
      <c r="S465">
        <f t="shared" si="104"/>
        <v>0</v>
      </c>
      <c r="T465">
        <f t="shared" si="104"/>
        <v>0</v>
      </c>
      <c r="U465">
        <f t="shared" si="104"/>
        <v>0</v>
      </c>
      <c r="V465">
        <f t="shared" si="104"/>
        <v>0</v>
      </c>
      <c r="W465">
        <f t="shared" si="104"/>
        <v>0</v>
      </c>
      <c r="X465">
        <f t="shared" si="104"/>
        <v>0</v>
      </c>
      <c r="Y465">
        <f t="shared" si="105"/>
        <v>0</v>
      </c>
      <c r="Z465">
        <f t="shared" si="105"/>
        <v>0</v>
      </c>
      <c r="AA465">
        <f t="shared" si="105"/>
        <v>0</v>
      </c>
      <c r="AB465">
        <f t="shared" si="105"/>
        <v>0</v>
      </c>
      <c r="AC465">
        <f t="shared" si="105"/>
        <v>0</v>
      </c>
      <c r="AD465">
        <f t="shared" si="105"/>
        <v>0</v>
      </c>
      <c r="AE465">
        <f t="shared" si="105"/>
        <v>0</v>
      </c>
      <c r="AF465">
        <f t="shared" si="105"/>
        <v>0</v>
      </c>
      <c r="AG465">
        <f t="shared" si="105"/>
        <v>0</v>
      </c>
      <c r="AH465">
        <f t="shared" si="105"/>
        <v>0</v>
      </c>
      <c r="AI465">
        <f t="shared" si="105"/>
        <v>0</v>
      </c>
      <c r="AJ465">
        <f t="shared" si="105"/>
        <v>0</v>
      </c>
      <c r="AK465">
        <f t="shared" si="105"/>
        <v>0</v>
      </c>
      <c r="AL465">
        <f t="shared" si="105"/>
        <v>0</v>
      </c>
      <c r="AM465">
        <f t="shared" si="105"/>
        <v>0</v>
      </c>
      <c r="AN465">
        <f t="shared" si="105"/>
        <v>0</v>
      </c>
      <c r="AO465">
        <f t="shared" si="100"/>
        <v>0</v>
      </c>
      <c r="AP465">
        <f t="shared" si="100"/>
        <v>0</v>
      </c>
      <c r="AQ465">
        <f t="shared" si="100"/>
        <v>0</v>
      </c>
      <c r="AR465">
        <f t="shared" si="100"/>
        <v>0</v>
      </c>
    </row>
    <row r="466" spans="5:44" x14ac:dyDescent="0.2">
      <c r="E466" s="1">
        <f>moment_rate!$AC466</f>
        <v>7.4493433161470389E-3</v>
      </c>
      <c r="F466" s="1">
        <f t="shared" si="101"/>
        <v>0</v>
      </c>
      <c r="G466">
        <f>moment_rate!I466-0.005</f>
        <v>4.5899999999999466</v>
      </c>
      <c r="H466" s="1">
        <f t="shared" si="102"/>
        <v>0</v>
      </c>
      <c r="I466">
        <f t="shared" si="103"/>
        <v>0</v>
      </c>
      <c r="J466">
        <f t="shared" si="104"/>
        <v>0</v>
      </c>
      <c r="K466">
        <f t="shared" si="104"/>
        <v>0</v>
      </c>
      <c r="L466">
        <f t="shared" si="104"/>
        <v>0</v>
      </c>
      <c r="M466">
        <f t="shared" si="104"/>
        <v>0</v>
      </c>
      <c r="N466">
        <f t="shared" si="104"/>
        <v>0</v>
      </c>
      <c r="O466">
        <f t="shared" si="104"/>
        <v>0</v>
      </c>
      <c r="P466">
        <f t="shared" si="104"/>
        <v>0</v>
      </c>
      <c r="Q466">
        <f t="shared" si="104"/>
        <v>0</v>
      </c>
      <c r="R466">
        <f t="shared" si="104"/>
        <v>0</v>
      </c>
      <c r="S466">
        <f t="shared" si="104"/>
        <v>0</v>
      </c>
      <c r="T466">
        <f t="shared" si="104"/>
        <v>0</v>
      </c>
      <c r="U466">
        <f t="shared" si="104"/>
        <v>0</v>
      </c>
      <c r="V466">
        <f t="shared" si="104"/>
        <v>0</v>
      </c>
      <c r="W466">
        <f t="shared" si="104"/>
        <v>0</v>
      </c>
      <c r="X466">
        <f t="shared" si="104"/>
        <v>0</v>
      </c>
      <c r="Y466">
        <f t="shared" si="105"/>
        <v>0</v>
      </c>
      <c r="Z466">
        <f t="shared" si="105"/>
        <v>0</v>
      </c>
      <c r="AA466">
        <f t="shared" si="105"/>
        <v>0</v>
      </c>
      <c r="AB466">
        <f t="shared" si="105"/>
        <v>0</v>
      </c>
      <c r="AC466">
        <f t="shared" si="105"/>
        <v>0</v>
      </c>
      <c r="AD466">
        <f t="shared" si="105"/>
        <v>0</v>
      </c>
      <c r="AE466">
        <f t="shared" si="105"/>
        <v>0</v>
      </c>
      <c r="AF466">
        <f t="shared" si="105"/>
        <v>0</v>
      </c>
      <c r="AG466">
        <f t="shared" si="105"/>
        <v>0</v>
      </c>
      <c r="AH466">
        <f t="shared" si="105"/>
        <v>0</v>
      </c>
      <c r="AI466">
        <f t="shared" si="105"/>
        <v>0</v>
      </c>
      <c r="AJ466">
        <f t="shared" si="105"/>
        <v>0</v>
      </c>
      <c r="AK466">
        <f t="shared" si="105"/>
        <v>0</v>
      </c>
      <c r="AL466">
        <f t="shared" si="105"/>
        <v>0</v>
      </c>
      <c r="AM466">
        <f t="shared" si="105"/>
        <v>0</v>
      </c>
      <c r="AN466">
        <f t="shared" si="105"/>
        <v>0</v>
      </c>
      <c r="AO466">
        <f t="shared" si="100"/>
        <v>0</v>
      </c>
      <c r="AP466">
        <f t="shared" si="100"/>
        <v>0</v>
      </c>
      <c r="AQ466">
        <f t="shared" si="100"/>
        <v>0</v>
      </c>
      <c r="AR466">
        <f t="shared" si="100"/>
        <v>0</v>
      </c>
    </row>
    <row r="467" spans="5:44" x14ac:dyDescent="0.2">
      <c r="E467" s="1">
        <f>moment_rate!$AC467</f>
        <v>7.4493433161470389E-3</v>
      </c>
      <c r="F467" s="1">
        <f t="shared" si="101"/>
        <v>0</v>
      </c>
      <c r="G467">
        <f>moment_rate!I467-0.005</f>
        <v>4.5999999999999464</v>
      </c>
      <c r="H467" s="1">
        <f t="shared" si="102"/>
        <v>0</v>
      </c>
      <c r="I467">
        <f t="shared" si="103"/>
        <v>0</v>
      </c>
      <c r="J467">
        <f t="shared" si="104"/>
        <v>0</v>
      </c>
      <c r="K467">
        <f t="shared" si="104"/>
        <v>0</v>
      </c>
      <c r="L467">
        <f t="shared" si="104"/>
        <v>0</v>
      </c>
      <c r="M467">
        <f t="shared" si="104"/>
        <v>0</v>
      </c>
      <c r="N467">
        <f t="shared" si="104"/>
        <v>0</v>
      </c>
      <c r="O467">
        <f t="shared" si="104"/>
        <v>0</v>
      </c>
      <c r="P467">
        <f t="shared" si="104"/>
        <v>0</v>
      </c>
      <c r="Q467">
        <f t="shared" si="104"/>
        <v>0</v>
      </c>
      <c r="R467">
        <f t="shared" si="104"/>
        <v>0</v>
      </c>
      <c r="S467">
        <f t="shared" si="104"/>
        <v>0</v>
      </c>
      <c r="T467">
        <f t="shared" si="104"/>
        <v>0</v>
      </c>
      <c r="U467">
        <f t="shared" si="104"/>
        <v>0</v>
      </c>
      <c r="V467">
        <f t="shared" si="104"/>
        <v>0</v>
      </c>
      <c r="W467">
        <f t="shared" si="104"/>
        <v>0</v>
      </c>
      <c r="X467">
        <f t="shared" si="104"/>
        <v>0</v>
      </c>
      <c r="Y467">
        <f t="shared" si="105"/>
        <v>0</v>
      </c>
      <c r="Z467">
        <f t="shared" si="105"/>
        <v>0</v>
      </c>
      <c r="AA467">
        <f t="shared" si="105"/>
        <v>0</v>
      </c>
      <c r="AB467">
        <f t="shared" si="105"/>
        <v>0</v>
      </c>
      <c r="AC467">
        <f t="shared" si="105"/>
        <v>0</v>
      </c>
      <c r="AD467">
        <f t="shared" si="105"/>
        <v>0</v>
      </c>
      <c r="AE467">
        <f t="shared" si="105"/>
        <v>0</v>
      </c>
      <c r="AF467">
        <f t="shared" si="105"/>
        <v>0</v>
      </c>
      <c r="AG467">
        <f t="shared" si="105"/>
        <v>0</v>
      </c>
      <c r="AH467">
        <f t="shared" si="105"/>
        <v>0</v>
      </c>
      <c r="AI467">
        <f t="shared" si="105"/>
        <v>0</v>
      </c>
      <c r="AJ467">
        <f t="shared" si="105"/>
        <v>0</v>
      </c>
      <c r="AK467">
        <f t="shared" si="105"/>
        <v>0</v>
      </c>
      <c r="AL467">
        <f t="shared" si="105"/>
        <v>0</v>
      </c>
      <c r="AM467">
        <f t="shared" si="105"/>
        <v>0</v>
      </c>
      <c r="AN467">
        <f t="shared" si="105"/>
        <v>0</v>
      </c>
      <c r="AO467">
        <f t="shared" si="100"/>
        <v>0</v>
      </c>
      <c r="AP467">
        <f t="shared" si="100"/>
        <v>0</v>
      </c>
      <c r="AQ467">
        <f t="shared" si="100"/>
        <v>0</v>
      </c>
      <c r="AR467">
        <f t="shared" si="100"/>
        <v>0</v>
      </c>
    </row>
    <row r="468" spans="5:44" x14ac:dyDescent="0.2">
      <c r="E468" s="1">
        <f>moment_rate!$AC468</f>
        <v>7.4493433161470389E-3</v>
      </c>
      <c r="F468" s="1">
        <f t="shared" si="101"/>
        <v>0</v>
      </c>
      <c r="G468">
        <f>moment_rate!I468-0.005</f>
        <v>4.6099999999999461</v>
      </c>
      <c r="H468" s="1">
        <f t="shared" si="102"/>
        <v>0</v>
      </c>
      <c r="I468">
        <f t="shared" si="103"/>
        <v>0</v>
      </c>
      <c r="J468">
        <f t="shared" si="104"/>
        <v>0</v>
      </c>
      <c r="K468">
        <f t="shared" si="104"/>
        <v>0</v>
      </c>
      <c r="L468">
        <f t="shared" si="104"/>
        <v>0</v>
      </c>
      <c r="M468">
        <f t="shared" si="104"/>
        <v>0</v>
      </c>
      <c r="N468">
        <f t="shared" si="104"/>
        <v>0</v>
      </c>
      <c r="O468">
        <f t="shared" si="104"/>
        <v>0</v>
      </c>
      <c r="P468">
        <f t="shared" si="104"/>
        <v>0</v>
      </c>
      <c r="Q468">
        <f t="shared" si="104"/>
        <v>0</v>
      </c>
      <c r="R468">
        <f t="shared" si="104"/>
        <v>0</v>
      </c>
      <c r="S468">
        <f t="shared" si="104"/>
        <v>0</v>
      </c>
      <c r="T468">
        <f t="shared" si="104"/>
        <v>0</v>
      </c>
      <c r="U468">
        <f t="shared" si="104"/>
        <v>0</v>
      </c>
      <c r="V468">
        <f t="shared" si="104"/>
        <v>0</v>
      </c>
      <c r="W468">
        <f t="shared" si="104"/>
        <v>0</v>
      </c>
      <c r="X468">
        <f t="shared" si="104"/>
        <v>0</v>
      </c>
      <c r="Y468">
        <f t="shared" si="105"/>
        <v>0</v>
      </c>
      <c r="Z468">
        <f t="shared" si="105"/>
        <v>0</v>
      </c>
      <c r="AA468">
        <f t="shared" si="105"/>
        <v>0</v>
      </c>
      <c r="AB468">
        <f t="shared" si="105"/>
        <v>0</v>
      </c>
      <c r="AC468">
        <f t="shared" si="105"/>
        <v>0</v>
      </c>
      <c r="AD468">
        <f t="shared" si="105"/>
        <v>0</v>
      </c>
      <c r="AE468">
        <f t="shared" si="105"/>
        <v>0</v>
      </c>
      <c r="AF468">
        <f t="shared" si="105"/>
        <v>0</v>
      </c>
      <c r="AG468">
        <f t="shared" si="105"/>
        <v>0</v>
      </c>
      <c r="AH468">
        <f t="shared" si="105"/>
        <v>0</v>
      </c>
      <c r="AI468">
        <f t="shared" si="105"/>
        <v>0</v>
      </c>
      <c r="AJ468">
        <f t="shared" si="105"/>
        <v>0</v>
      </c>
      <c r="AK468">
        <f t="shared" si="105"/>
        <v>0</v>
      </c>
      <c r="AL468">
        <f t="shared" si="105"/>
        <v>0</v>
      </c>
      <c r="AM468">
        <f t="shared" si="105"/>
        <v>0</v>
      </c>
      <c r="AN468">
        <f t="shared" si="105"/>
        <v>0</v>
      </c>
      <c r="AO468">
        <f t="shared" si="100"/>
        <v>0</v>
      </c>
      <c r="AP468">
        <f t="shared" si="100"/>
        <v>0</v>
      </c>
      <c r="AQ468">
        <f t="shared" si="100"/>
        <v>0</v>
      </c>
      <c r="AR468">
        <f t="shared" si="100"/>
        <v>0</v>
      </c>
    </row>
    <row r="469" spans="5:44" x14ac:dyDescent="0.2">
      <c r="E469" s="1">
        <f>moment_rate!$AC469</f>
        <v>7.4493433161470389E-3</v>
      </c>
      <c r="F469" s="1">
        <f t="shared" si="101"/>
        <v>0</v>
      </c>
      <c r="G469">
        <f>moment_rate!I469-0.005</f>
        <v>4.6199999999999459</v>
      </c>
      <c r="H469" s="1">
        <f t="shared" si="102"/>
        <v>0</v>
      </c>
      <c r="I469">
        <f t="shared" si="103"/>
        <v>0</v>
      </c>
      <c r="J469">
        <f t="shared" si="104"/>
        <v>0</v>
      </c>
      <c r="K469">
        <f t="shared" si="104"/>
        <v>0</v>
      </c>
      <c r="L469">
        <f t="shared" si="104"/>
        <v>0</v>
      </c>
      <c r="M469">
        <f t="shared" si="104"/>
        <v>0</v>
      </c>
      <c r="N469">
        <f t="shared" si="104"/>
        <v>0</v>
      </c>
      <c r="O469">
        <f t="shared" si="104"/>
        <v>0</v>
      </c>
      <c r="P469">
        <f t="shared" si="104"/>
        <v>0</v>
      </c>
      <c r="Q469">
        <f t="shared" si="104"/>
        <v>0</v>
      </c>
      <c r="R469">
        <f t="shared" si="104"/>
        <v>0</v>
      </c>
      <c r="S469">
        <f t="shared" si="104"/>
        <v>0</v>
      </c>
      <c r="T469">
        <f t="shared" si="104"/>
        <v>0</v>
      </c>
      <c r="U469">
        <f t="shared" si="104"/>
        <v>0</v>
      </c>
      <c r="V469">
        <f t="shared" si="104"/>
        <v>0</v>
      </c>
      <c r="W469">
        <f t="shared" si="104"/>
        <v>0</v>
      </c>
      <c r="X469">
        <f t="shared" si="104"/>
        <v>0</v>
      </c>
      <c r="Y469">
        <f t="shared" si="105"/>
        <v>0</v>
      </c>
      <c r="Z469">
        <f t="shared" si="105"/>
        <v>0</v>
      </c>
      <c r="AA469">
        <f t="shared" si="105"/>
        <v>0</v>
      </c>
      <c r="AB469">
        <f t="shared" si="105"/>
        <v>0</v>
      </c>
      <c r="AC469">
        <f t="shared" si="105"/>
        <v>0</v>
      </c>
      <c r="AD469">
        <f t="shared" si="105"/>
        <v>0</v>
      </c>
      <c r="AE469">
        <f t="shared" si="105"/>
        <v>0</v>
      </c>
      <c r="AF469">
        <f t="shared" si="105"/>
        <v>0</v>
      </c>
      <c r="AG469">
        <f t="shared" si="105"/>
        <v>0</v>
      </c>
      <c r="AH469">
        <f t="shared" si="105"/>
        <v>0</v>
      </c>
      <c r="AI469">
        <f t="shared" si="105"/>
        <v>0</v>
      </c>
      <c r="AJ469">
        <f t="shared" si="105"/>
        <v>0</v>
      </c>
      <c r="AK469">
        <f t="shared" si="105"/>
        <v>0</v>
      </c>
      <c r="AL469">
        <f t="shared" si="105"/>
        <v>0</v>
      </c>
      <c r="AM469">
        <f t="shared" si="105"/>
        <v>0</v>
      </c>
      <c r="AN469">
        <f t="shared" si="105"/>
        <v>0</v>
      </c>
      <c r="AO469">
        <f t="shared" si="100"/>
        <v>0</v>
      </c>
      <c r="AP469">
        <f t="shared" si="100"/>
        <v>0</v>
      </c>
      <c r="AQ469">
        <f t="shared" si="100"/>
        <v>0</v>
      </c>
      <c r="AR469">
        <f t="shared" si="100"/>
        <v>0</v>
      </c>
    </row>
    <row r="470" spans="5:44" x14ac:dyDescent="0.2">
      <c r="E470" s="1">
        <f>moment_rate!$AC470</f>
        <v>7.4493433161470389E-3</v>
      </c>
      <c r="F470" s="1">
        <f t="shared" si="101"/>
        <v>0</v>
      </c>
      <c r="G470">
        <f>moment_rate!I470-0.005</f>
        <v>4.6299999999999457</v>
      </c>
      <c r="H470" s="1">
        <f t="shared" si="102"/>
        <v>0</v>
      </c>
      <c r="I470">
        <f t="shared" si="103"/>
        <v>0</v>
      </c>
      <c r="J470">
        <f t="shared" si="104"/>
        <v>0</v>
      </c>
      <c r="K470">
        <f t="shared" si="104"/>
        <v>0</v>
      </c>
      <c r="L470">
        <f t="shared" si="104"/>
        <v>0</v>
      </c>
      <c r="M470">
        <f t="shared" si="104"/>
        <v>0</v>
      </c>
      <c r="N470">
        <f t="shared" si="104"/>
        <v>0</v>
      </c>
      <c r="O470">
        <f t="shared" si="104"/>
        <v>0</v>
      </c>
      <c r="P470">
        <f t="shared" si="104"/>
        <v>0</v>
      </c>
      <c r="Q470">
        <f t="shared" si="104"/>
        <v>0</v>
      </c>
      <c r="R470">
        <f t="shared" si="104"/>
        <v>0</v>
      </c>
      <c r="S470">
        <f t="shared" si="104"/>
        <v>0</v>
      </c>
      <c r="T470">
        <f t="shared" si="104"/>
        <v>0</v>
      </c>
      <c r="U470">
        <f t="shared" si="104"/>
        <v>0</v>
      </c>
      <c r="V470">
        <f t="shared" si="104"/>
        <v>0</v>
      </c>
      <c r="W470">
        <f t="shared" si="104"/>
        <v>0</v>
      </c>
      <c r="X470">
        <f t="shared" si="104"/>
        <v>0</v>
      </c>
      <c r="Y470">
        <f t="shared" si="105"/>
        <v>0</v>
      </c>
      <c r="Z470">
        <f t="shared" si="105"/>
        <v>0</v>
      </c>
      <c r="AA470">
        <f t="shared" si="105"/>
        <v>0</v>
      </c>
      <c r="AB470">
        <f t="shared" si="105"/>
        <v>0</v>
      </c>
      <c r="AC470">
        <f t="shared" si="105"/>
        <v>0</v>
      </c>
      <c r="AD470">
        <f t="shared" si="105"/>
        <v>0</v>
      </c>
      <c r="AE470">
        <f t="shared" si="105"/>
        <v>0</v>
      </c>
      <c r="AF470">
        <f t="shared" si="105"/>
        <v>0</v>
      </c>
      <c r="AG470">
        <f t="shared" si="105"/>
        <v>0</v>
      </c>
      <c r="AH470">
        <f t="shared" si="105"/>
        <v>0</v>
      </c>
      <c r="AI470">
        <f t="shared" si="105"/>
        <v>0</v>
      </c>
      <c r="AJ470">
        <f t="shared" si="105"/>
        <v>0</v>
      </c>
      <c r="AK470">
        <f t="shared" si="105"/>
        <v>0</v>
      </c>
      <c r="AL470">
        <f t="shared" si="105"/>
        <v>0</v>
      </c>
      <c r="AM470">
        <f t="shared" si="105"/>
        <v>0</v>
      </c>
      <c r="AN470">
        <f t="shared" si="105"/>
        <v>0</v>
      </c>
      <c r="AO470">
        <f t="shared" si="100"/>
        <v>0</v>
      </c>
      <c r="AP470">
        <f t="shared" si="100"/>
        <v>0</v>
      </c>
      <c r="AQ470">
        <f t="shared" si="100"/>
        <v>0</v>
      </c>
      <c r="AR470">
        <f t="shared" si="100"/>
        <v>0</v>
      </c>
    </row>
    <row r="471" spans="5:44" x14ac:dyDescent="0.2">
      <c r="E471" s="1">
        <f>moment_rate!$AC471</f>
        <v>7.4493433161470389E-3</v>
      </c>
      <c r="F471" s="1">
        <f t="shared" si="101"/>
        <v>0</v>
      </c>
      <c r="G471">
        <f>moment_rate!I471-0.005</f>
        <v>4.6399999999999455</v>
      </c>
      <c r="H471" s="1">
        <f t="shared" si="102"/>
        <v>0</v>
      </c>
      <c r="I471">
        <f t="shared" si="103"/>
        <v>0</v>
      </c>
      <c r="J471">
        <f t="shared" si="104"/>
        <v>0</v>
      </c>
      <c r="K471">
        <f t="shared" si="104"/>
        <v>0</v>
      </c>
      <c r="L471">
        <f t="shared" si="104"/>
        <v>0</v>
      </c>
      <c r="M471">
        <f t="shared" si="104"/>
        <v>0</v>
      </c>
      <c r="N471">
        <f t="shared" si="104"/>
        <v>0</v>
      </c>
      <c r="O471">
        <f t="shared" si="104"/>
        <v>0</v>
      </c>
      <c r="P471">
        <f t="shared" si="104"/>
        <v>0</v>
      </c>
      <c r="Q471">
        <f t="shared" si="104"/>
        <v>0</v>
      </c>
      <c r="R471">
        <f t="shared" si="104"/>
        <v>0</v>
      </c>
      <c r="S471">
        <f t="shared" si="104"/>
        <v>0</v>
      </c>
      <c r="T471">
        <f t="shared" si="104"/>
        <v>0</v>
      </c>
      <c r="U471">
        <f t="shared" si="104"/>
        <v>0</v>
      </c>
      <c r="V471">
        <f t="shared" si="104"/>
        <v>0</v>
      </c>
      <c r="W471">
        <f t="shared" si="104"/>
        <v>0</v>
      </c>
      <c r="X471">
        <f t="shared" si="104"/>
        <v>0</v>
      </c>
      <c r="Y471">
        <f t="shared" si="105"/>
        <v>0</v>
      </c>
      <c r="Z471">
        <f t="shared" si="105"/>
        <v>0</v>
      </c>
      <c r="AA471">
        <f t="shared" si="105"/>
        <v>0</v>
      </c>
      <c r="AB471">
        <f t="shared" si="105"/>
        <v>0</v>
      </c>
      <c r="AC471">
        <f t="shared" si="105"/>
        <v>0</v>
      </c>
      <c r="AD471">
        <f t="shared" si="105"/>
        <v>0</v>
      </c>
      <c r="AE471">
        <f t="shared" si="105"/>
        <v>0</v>
      </c>
      <c r="AF471">
        <f t="shared" si="105"/>
        <v>0</v>
      </c>
      <c r="AG471">
        <f t="shared" si="105"/>
        <v>0</v>
      </c>
      <c r="AH471">
        <f t="shared" si="105"/>
        <v>0</v>
      </c>
      <c r="AI471">
        <f t="shared" si="105"/>
        <v>0</v>
      </c>
      <c r="AJ471">
        <f t="shared" si="105"/>
        <v>0</v>
      </c>
      <c r="AK471">
        <f t="shared" si="105"/>
        <v>0</v>
      </c>
      <c r="AL471">
        <f t="shared" si="105"/>
        <v>0</v>
      </c>
      <c r="AM471">
        <f t="shared" si="105"/>
        <v>0</v>
      </c>
      <c r="AN471">
        <f t="shared" si="105"/>
        <v>0</v>
      </c>
      <c r="AO471">
        <f t="shared" ref="AK471:AR526" si="106">IF(AND($G471&gt;=AO$3,$G471&lt;AO$4),$F471,0)</f>
        <v>0</v>
      </c>
      <c r="AP471">
        <f t="shared" si="106"/>
        <v>0</v>
      </c>
      <c r="AQ471">
        <f t="shared" si="106"/>
        <v>0</v>
      </c>
      <c r="AR471">
        <f t="shared" si="106"/>
        <v>0</v>
      </c>
    </row>
    <row r="472" spans="5:44" x14ac:dyDescent="0.2">
      <c r="E472" s="1">
        <f>moment_rate!$AC472</f>
        <v>7.4493433161470389E-3</v>
      </c>
      <c r="F472" s="1">
        <f t="shared" si="101"/>
        <v>0</v>
      </c>
      <c r="G472">
        <f>moment_rate!I472-0.005</f>
        <v>4.6499999999999453</v>
      </c>
      <c r="H472" s="1">
        <f t="shared" si="102"/>
        <v>0</v>
      </c>
      <c r="I472">
        <f t="shared" si="103"/>
        <v>0</v>
      </c>
      <c r="J472">
        <f t="shared" si="104"/>
        <v>0</v>
      </c>
      <c r="K472">
        <f t="shared" si="104"/>
        <v>0</v>
      </c>
      <c r="L472">
        <f t="shared" si="104"/>
        <v>0</v>
      </c>
      <c r="M472">
        <f t="shared" si="104"/>
        <v>0</v>
      </c>
      <c r="N472">
        <f t="shared" si="104"/>
        <v>0</v>
      </c>
      <c r="O472">
        <f t="shared" si="104"/>
        <v>0</v>
      </c>
      <c r="P472">
        <f t="shared" si="104"/>
        <v>0</v>
      </c>
      <c r="Q472">
        <f t="shared" si="104"/>
        <v>0</v>
      </c>
      <c r="R472">
        <f t="shared" si="104"/>
        <v>0</v>
      </c>
      <c r="S472">
        <f t="shared" si="104"/>
        <v>0</v>
      </c>
      <c r="T472">
        <f t="shared" si="104"/>
        <v>0</v>
      </c>
      <c r="U472">
        <f t="shared" si="104"/>
        <v>0</v>
      </c>
      <c r="V472">
        <f t="shared" si="104"/>
        <v>0</v>
      </c>
      <c r="W472">
        <f t="shared" si="104"/>
        <v>0</v>
      </c>
      <c r="X472">
        <f t="shared" si="104"/>
        <v>0</v>
      </c>
      <c r="Y472">
        <f t="shared" si="105"/>
        <v>0</v>
      </c>
      <c r="Z472">
        <f t="shared" si="105"/>
        <v>0</v>
      </c>
      <c r="AA472">
        <f t="shared" si="105"/>
        <v>0</v>
      </c>
      <c r="AB472">
        <f t="shared" si="105"/>
        <v>0</v>
      </c>
      <c r="AC472">
        <f t="shared" si="105"/>
        <v>0</v>
      </c>
      <c r="AD472">
        <f t="shared" si="105"/>
        <v>0</v>
      </c>
      <c r="AE472">
        <f t="shared" si="105"/>
        <v>0</v>
      </c>
      <c r="AF472">
        <f t="shared" si="105"/>
        <v>0</v>
      </c>
      <c r="AG472">
        <f t="shared" si="105"/>
        <v>0</v>
      </c>
      <c r="AH472">
        <f t="shared" si="105"/>
        <v>0</v>
      </c>
      <c r="AI472">
        <f t="shared" si="105"/>
        <v>0</v>
      </c>
      <c r="AJ472">
        <f t="shared" si="105"/>
        <v>0</v>
      </c>
      <c r="AK472">
        <f t="shared" si="105"/>
        <v>0</v>
      </c>
      <c r="AL472">
        <f t="shared" si="105"/>
        <v>0</v>
      </c>
      <c r="AM472">
        <f t="shared" si="105"/>
        <v>0</v>
      </c>
      <c r="AN472">
        <f t="shared" si="105"/>
        <v>0</v>
      </c>
      <c r="AO472">
        <f t="shared" si="106"/>
        <v>0</v>
      </c>
      <c r="AP472">
        <f t="shared" si="106"/>
        <v>0</v>
      </c>
      <c r="AQ472">
        <f t="shared" si="106"/>
        <v>0</v>
      </c>
      <c r="AR472">
        <f t="shared" si="106"/>
        <v>0</v>
      </c>
    </row>
    <row r="473" spans="5:44" x14ac:dyDescent="0.2">
      <c r="E473" s="1">
        <f>moment_rate!$AC473</f>
        <v>7.4493433161470389E-3</v>
      </c>
      <c r="F473" s="1">
        <f t="shared" si="101"/>
        <v>0</v>
      </c>
      <c r="G473">
        <f>moment_rate!I473-0.005</f>
        <v>4.6599999999999451</v>
      </c>
      <c r="H473" s="1">
        <f t="shared" si="102"/>
        <v>0</v>
      </c>
      <c r="I473">
        <f t="shared" si="103"/>
        <v>0</v>
      </c>
      <c r="J473">
        <f t="shared" si="104"/>
        <v>0</v>
      </c>
      <c r="K473">
        <f t="shared" si="104"/>
        <v>0</v>
      </c>
      <c r="L473">
        <f t="shared" si="104"/>
        <v>0</v>
      </c>
      <c r="M473">
        <f t="shared" si="104"/>
        <v>0</v>
      </c>
      <c r="N473">
        <f t="shared" si="104"/>
        <v>0</v>
      </c>
      <c r="O473">
        <f t="shared" si="104"/>
        <v>0</v>
      </c>
      <c r="P473">
        <f t="shared" si="104"/>
        <v>0</v>
      </c>
      <c r="Q473">
        <f t="shared" si="104"/>
        <v>0</v>
      </c>
      <c r="R473">
        <f t="shared" si="104"/>
        <v>0</v>
      </c>
      <c r="S473">
        <f t="shared" si="104"/>
        <v>0</v>
      </c>
      <c r="T473">
        <f t="shared" si="104"/>
        <v>0</v>
      </c>
      <c r="U473">
        <f t="shared" si="104"/>
        <v>0</v>
      </c>
      <c r="V473">
        <f t="shared" si="104"/>
        <v>0</v>
      </c>
      <c r="W473">
        <f t="shared" si="104"/>
        <v>0</v>
      </c>
      <c r="X473">
        <f t="shared" si="104"/>
        <v>0</v>
      </c>
      <c r="Y473">
        <f t="shared" si="105"/>
        <v>0</v>
      </c>
      <c r="Z473">
        <f t="shared" si="105"/>
        <v>0</v>
      </c>
      <c r="AA473">
        <f t="shared" si="105"/>
        <v>0</v>
      </c>
      <c r="AB473">
        <f t="shared" si="105"/>
        <v>0</v>
      </c>
      <c r="AC473">
        <f t="shared" si="105"/>
        <v>0</v>
      </c>
      <c r="AD473">
        <f t="shared" si="105"/>
        <v>0</v>
      </c>
      <c r="AE473">
        <f t="shared" si="105"/>
        <v>0</v>
      </c>
      <c r="AF473">
        <f t="shared" si="105"/>
        <v>0</v>
      </c>
      <c r="AG473">
        <f t="shared" si="105"/>
        <v>0</v>
      </c>
      <c r="AH473">
        <f t="shared" si="105"/>
        <v>0</v>
      </c>
      <c r="AI473">
        <f t="shared" si="105"/>
        <v>0</v>
      </c>
      <c r="AJ473">
        <f t="shared" si="105"/>
        <v>0</v>
      </c>
      <c r="AK473">
        <f t="shared" si="105"/>
        <v>0</v>
      </c>
      <c r="AL473">
        <f t="shared" si="105"/>
        <v>0</v>
      </c>
      <c r="AM473">
        <f t="shared" si="105"/>
        <v>0</v>
      </c>
      <c r="AN473">
        <f t="shared" si="105"/>
        <v>0</v>
      </c>
      <c r="AO473">
        <f t="shared" si="106"/>
        <v>0</v>
      </c>
      <c r="AP473">
        <f t="shared" si="106"/>
        <v>0</v>
      </c>
      <c r="AQ473">
        <f t="shared" si="106"/>
        <v>0</v>
      </c>
      <c r="AR473">
        <f t="shared" si="106"/>
        <v>0</v>
      </c>
    </row>
    <row r="474" spans="5:44" x14ac:dyDescent="0.2">
      <c r="E474" s="1">
        <f>moment_rate!$AC474</f>
        <v>7.4493433161470389E-3</v>
      </c>
      <c r="F474" s="1">
        <f t="shared" si="101"/>
        <v>0</v>
      </c>
      <c r="G474">
        <f>moment_rate!I474-0.005</f>
        <v>4.6699999999999449</v>
      </c>
      <c r="H474" s="1">
        <f t="shared" si="102"/>
        <v>0</v>
      </c>
      <c r="I474">
        <f t="shared" si="103"/>
        <v>0</v>
      </c>
      <c r="J474">
        <f t="shared" ref="J474:T474" si="107">IF(AND($G474&gt;=J$3,$G474&lt;J$4),$F474,0)</f>
        <v>0</v>
      </c>
      <c r="K474">
        <f t="shared" si="107"/>
        <v>0</v>
      </c>
      <c r="L474">
        <f t="shared" si="107"/>
        <v>0</v>
      </c>
      <c r="M474">
        <f t="shared" si="107"/>
        <v>0</v>
      </c>
      <c r="N474">
        <f t="shared" si="107"/>
        <v>0</v>
      </c>
      <c r="O474">
        <f t="shared" si="107"/>
        <v>0</v>
      </c>
      <c r="P474">
        <f t="shared" si="107"/>
        <v>0</v>
      </c>
      <c r="Q474">
        <f t="shared" si="107"/>
        <v>0</v>
      </c>
      <c r="R474">
        <f t="shared" si="107"/>
        <v>0</v>
      </c>
      <c r="S474">
        <f t="shared" si="107"/>
        <v>0</v>
      </c>
      <c r="T474">
        <f t="shared" si="107"/>
        <v>0</v>
      </c>
      <c r="U474">
        <f t="shared" ref="U474:AJ489" si="108">IF(AND($G474&gt;=U$3,$G474&lt;U$4),$F474,0)</f>
        <v>0</v>
      </c>
      <c r="V474">
        <f t="shared" si="108"/>
        <v>0</v>
      </c>
      <c r="W474">
        <f t="shared" si="108"/>
        <v>0</v>
      </c>
      <c r="X474">
        <f t="shared" si="108"/>
        <v>0</v>
      </c>
      <c r="Y474">
        <f t="shared" si="108"/>
        <v>0</v>
      </c>
      <c r="Z474">
        <f t="shared" si="108"/>
        <v>0</v>
      </c>
      <c r="AA474">
        <f t="shared" si="108"/>
        <v>0</v>
      </c>
      <c r="AB474">
        <f t="shared" si="108"/>
        <v>0</v>
      </c>
      <c r="AC474">
        <f t="shared" si="108"/>
        <v>0</v>
      </c>
      <c r="AD474">
        <f t="shared" si="108"/>
        <v>0</v>
      </c>
      <c r="AE474">
        <f t="shared" si="108"/>
        <v>0</v>
      </c>
      <c r="AF474">
        <f t="shared" si="108"/>
        <v>0</v>
      </c>
      <c r="AG474">
        <f t="shared" si="108"/>
        <v>0</v>
      </c>
      <c r="AH474">
        <f t="shared" si="108"/>
        <v>0</v>
      </c>
      <c r="AI474">
        <f t="shared" si="108"/>
        <v>0</v>
      </c>
      <c r="AJ474">
        <f t="shared" si="108"/>
        <v>0</v>
      </c>
      <c r="AK474">
        <f t="shared" si="105"/>
        <v>0</v>
      </c>
      <c r="AL474">
        <f t="shared" si="105"/>
        <v>0</v>
      </c>
      <c r="AM474">
        <f t="shared" si="105"/>
        <v>0</v>
      </c>
      <c r="AN474">
        <f t="shared" si="105"/>
        <v>0</v>
      </c>
      <c r="AO474">
        <f t="shared" si="106"/>
        <v>0</v>
      </c>
      <c r="AP474">
        <f t="shared" si="106"/>
        <v>0</v>
      </c>
      <c r="AQ474">
        <f t="shared" si="106"/>
        <v>0</v>
      </c>
      <c r="AR474">
        <f t="shared" si="106"/>
        <v>0</v>
      </c>
    </row>
    <row r="475" spans="5:44" x14ac:dyDescent="0.2">
      <c r="E475" s="1">
        <f>moment_rate!$AC475</f>
        <v>7.4493433161470389E-3</v>
      </c>
      <c r="F475" s="1">
        <f t="shared" si="101"/>
        <v>0</v>
      </c>
      <c r="G475">
        <f>moment_rate!I475-0.005</f>
        <v>4.6799999999999446</v>
      </c>
      <c r="H475" s="1">
        <f t="shared" si="102"/>
        <v>0</v>
      </c>
      <c r="I475">
        <f t="shared" si="103"/>
        <v>0</v>
      </c>
      <c r="J475">
        <f t="shared" ref="J475:Y490" si="109">IF(AND($G475&gt;=J$3,$G475&lt;J$4),$F475,0)</f>
        <v>0</v>
      </c>
      <c r="K475">
        <f t="shared" si="109"/>
        <v>0</v>
      </c>
      <c r="L475">
        <f t="shared" si="109"/>
        <v>0</v>
      </c>
      <c r="M475">
        <f t="shared" si="109"/>
        <v>0</v>
      </c>
      <c r="N475">
        <f t="shared" si="109"/>
        <v>0</v>
      </c>
      <c r="O475">
        <f t="shared" si="109"/>
        <v>0</v>
      </c>
      <c r="P475">
        <f t="shared" si="109"/>
        <v>0</v>
      </c>
      <c r="Q475">
        <f t="shared" si="109"/>
        <v>0</v>
      </c>
      <c r="R475">
        <f t="shared" si="109"/>
        <v>0</v>
      </c>
      <c r="S475">
        <f t="shared" si="109"/>
        <v>0</v>
      </c>
      <c r="T475">
        <f t="shared" si="109"/>
        <v>0</v>
      </c>
      <c r="U475">
        <f t="shared" si="109"/>
        <v>0</v>
      </c>
      <c r="V475">
        <f t="shared" si="109"/>
        <v>0</v>
      </c>
      <c r="W475">
        <f t="shared" si="109"/>
        <v>0</v>
      </c>
      <c r="X475">
        <f t="shared" si="109"/>
        <v>0</v>
      </c>
      <c r="Y475">
        <f t="shared" si="109"/>
        <v>0</v>
      </c>
      <c r="Z475">
        <f t="shared" si="108"/>
        <v>0</v>
      </c>
      <c r="AA475">
        <f t="shared" si="108"/>
        <v>0</v>
      </c>
      <c r="AB475">
        <f t="shared" si="108"/>
        <v>0</v>
      </c>
      <c r="AC475">
        <f t="shared" si="108"/>
        <v>0</v>
      </c>
      <c r="AD475">
        <f t="shared" si="108"/>
        <v>0</v>
      </c>
      <c r="AE475">
        <f t="shared" si="108"/>
        <v>0</v>
      </c>
      <c r="AF475">
        <f t="shared" si="108"/>
        <v>0</v>
      </c>
      <c r="AG475">
        <f t="shared" si="108"/>
        <v>0</v>
      </c>
      <c r="AH475">
        <f t="shared" si="108"/>
        <v>0</v>
      </c>
      <c r="AI475">
        <f t="shared" si="108"/>
        <v>0</v>
      </c>
      <c r="AJ475">
        <f t="shared" si="108"/>
        <v>0</v>
      </c>
      <c r="AK475">
        <f t="shared" si="105"/>
        <v>0</v>
      </c>
      <c r="AL475">
        <f t="shared" si="105"/>
        <v>0</v>
      </c>
      <c r="AM475">
        <f t="shared" si="105"/>
        <v>0</v>
      </c>
      <c r="AN475">
        <f t="shared" si="105"/>
        <v>0</v>
      </c>
      <c r="AO475">
        <f t="shared" si="106"/>
        <v>0</v>
      </c>
      <c r="AP475">
        <f t="shared" si="106"/>
        <v>0</v>
      </c>
      <c r="AQ475">
        <f t="shared" si="106"/>
        <v>0</v>
      </c>
      <c r="AR475">
        <f t="shared" si="106"/>
        <v>0</v>
      </c>
    </row>
    <row r="476" spans="5:44" x14ac:dyDescent="0.2">
      <c r="E476" s="1">
        <f>moment_rate!$AC476</f>
        <v>7.4493433161470389E-3</v>
      </c>
      <c r="F476" s="1">
        <f t="shared" si="101"/>
        <v>0</v>
      </c>
      <c r="G476">
        <f>moment_rate!I476-0.005</f>
        <v>4.6899999999999444</v>
      </c>
      <c r="H476" s="1">
        <f t="shared" si="102"/>
        <v>0</v>
      </c>
      <c r="I476">
        <f t="shared" si="103"/>
        <v>0</v>
      </c>
      <c r="J476">
        <f t="shared" si="109"/>
        <v>0</v>
      </c>
      <c r="K476">
        <f t="shared" si="109"/>
        <v>0</v>
      </c>
      <c r="L476">
        <f t="shared" si="109"/>
        <v>0</v>
      </c>
      <c r="M476">
        <f t="shared" si="109"/>
        <v>0</v>
      </c>
      <c r="N476">
        <f t="shared" si="109"/>
        <v>0</v>
      </c>
      <c r="O476">
        <f t="shared" si="109"/>
        <v>0</v>
      </c>
      <c r="P476">
        <f t="shared" si="109"/>
        <v>0</v>
      </c>
      <c r="Q476">
        <f t="shared" si="109"/>
        <v>0</v>
      </c>
      <c r="R476">
        <f t="shared" si="109"/>
        <v>0</v>
      </c>
      <c r="S476">
        <f t="shared" si="109"/>
        <v>0</v>
      </c>
      <c r="T476">
        <f t="shared" si="109"/>
        <v>0</v>
      </c>
      <c r="U476">
        <f t="shared" si="109"/>
        <v>0</v>
      </c>
      <c r="V476">
        <f t="shared" si="109"/>
        <v>0</v>
      </c>
      <c r="W476">
        <f t="shared" si="109"/>
        <v>0</v>
      </c>
      <c r="X476">
        <f t="shared" si="109"/>
        <v>0</v>
      </c>
      <c r="Y476">
        <f t="shared" si="109"/>
        <v>0</v>
      </c>
      <c r="Z476">
        <f t="shared" si="108"/>
        <v>0</v>
      </c>
      <c r="AA476">
        <f t="shared" si="108"/>
        <v>0</v>
      </c>
      <c r="AB476">
        <f t="shared" si="108"/>
        <v>0</v>
      </c>
      <c r="AC476">
        <f t="shared" si="108"/>
        <v>0</v>
      </c>
      <c r="AD476">
        <f t="shared" si="108"/>
        <v>0</v>
      </c>
      <c r="AE476">
        <f t="shared" si="108"/>
        <v>0</v>
      </c>
      <c r="AF476">
        <f t="shared" si="108"/>
        <v>0</v>
      </c>
      <c r="AG476">
        <f t="shared" si="108"/>
        <v>0</v>
      </c>
      <c r="AH476">
        <f t="shared" si="108"/>
        <v>0</v>
      </c>
      <c r="AI476">
        <f t="shared" si="108"/>
        <v>0</v>
      </c>
      <c r="AJ476">
        <f t="shared" si="108"/>
        <v>0</v>
      </c>
      <c r="AK476">
        <f t="shared" si="105"/>
        <v>0</v>
      </c>
      <c r="AL476">
        <f t="shared" si="105"/>
        <v>0</v>
      </c>
      <c r="AM476">
        <f t="shared" si="105"/>
        <v>0</v>
      </c>
      <c r="AN476">
        <f t="shared" si="105"/>
        <v>0</v>
      </c>
      <c r="AO476">
        <f t="shared" si="106"/>
        <v>0</v>
      </c>
      <c r="AP476">
        <f t="shared" si="106"/>
        <v>0</v>
      </c>
      <c r="AQ476">
        <f t="shared" si="106"/>
        <v>0</v>
      </c>
      <c r="AR476">
        <f t="shared" si="106"/>
        <v>0</v>
      </c>
    </row>
    <row r="477" spans="5:44" x14ac:dyDescent="0.2">
      <c r="E477" s="1">
        <f>moment_rate!$AC477</f>
        <v>7.4493433161470389E-3</v>
      </c>
      <c r="F477" s="1">
        <f t="shared" si="101"/>
        <v>0</v>
      </c>
      <c r="G477">
        <f>moment_rate!I477-0.005</f>
        <v>4.6999999999999442</v>
      </c>
      <c r="H477" s="1">
        <f t="shared" si="102"/>
        <v>0</v>
      </c>
      <c r="I477">
        <f t="shared" si="103"/>
        <v>0</v>
      </c>
      <c r="J477">
        <f t="shared" si="109"/>
        <v>0</v>
      </c>
      <c r="K477">
        <f t="shared" si="109"/>
        <v>0</v>
      </c>
      <c r="L477">
        <f t="shared" si="109"/>
        <v>0</v>
      </c>
      <c r="M477">
        <f t="shared" si="109"/>
        <v>0</v>
      </c>
      <c r="N477">
        <f t="shared" si="109"/>
        <v>0</v>
      </c>
      <c r="O477">
        <f t="shared" si="109"/>
        <v>0</v>
      </c>
      <c r="P477">
        <f t="shared" si="109"/>
        <v>0</v>
      </c>
      <c r="Q477">
        <f t="shared" si="109"/>
        <v>0</v>
      </c>
      <c r="R477">
        <f t="shared" si="109"/>
        <v>0</v>
      </c>
      <c r="S477">
        <f t="shared" si="109"/>
        <v>0</v>
      </c>
      <c r="T477">
        <f t="shared" si="109"/>
        <v>0</v>
      </c>
      <c r="U477">
        <f t="shared" si="109"/>
        <v>0</v>
      </c>
      <c r="V477">
        <f t="shared" si="109"/>
        <v>0</v>
      </c>
      <c r="W477">
        <f t="shared" si="109"/>
        <v>0</v>
      </c>
      <c r="X477">
        <f t="shared" si="109"/>
        <v>0</v>
      </c>
      <c r="Y477">
        <f t="shared" si="109"/>
        <v>0</v>
      </c>
      <c r="Z477">
        <f t="shared" si="108"/>
        <v>0</v>
      </c>
      <c r="AA477">
        <f t="shared" si="108"/>
        <v>0</v>
      </c>
      <c r="AB477">
        <f t="shared" si="108"/>
        <v>0</v>
      </c>
      <c r="AC477">
        <f t="shared" si="108"/>
        <v>0</v>
      </c>
      <c r="AD477">
        <f t="shared" si="108"/>
        <v>0</v>
      </c>
      <c r="AE477">
        <f t="shared" si="108"/>
        <v>0</v>
      </c>
      <c r="AF477">
        <f t="shared" si="108"/>
        <v>0</v>
      </c>
      <c r="AG477">
        <f t="shared" si="108"/>
        <v>0</v>
      </c>
      <c r="AH477">
        <f t="shared" si="108"/>
        <v>0</v>
      </c>
      <c r="AI477">
        <f t="shared" si="108"/>
        <v>0</v>
      </c>
      <c r="AJ477">
        <f t="shared" si="108"/>
        <v>0</v>
      </c>
      <c r="AK477">
        <f t="shared" si="105"/>
        <v>0</v>
      </c>
      <c r="AL477">
        <f t="shared" si="105"/>
        <v>0</v>
      </c>
      <c r="AM477">
        <f t="shared" si="105"/>
        <v>0</v>
      </c>
      <c r="AN477">
        <f t="shared" si="105"/>
        <v>0</v>
      </c>
      <c r="AO477">
        <f t="shared" si="106"/>
        <v>0</v>
      </c>
      <c r="AP477">
        <f t="shared" si="106"/>
        <v>0</v>
      </c>
      <c r="AQ477">
        <f t="shared" si="106"/>
        <v>0</v>
      </c>
      <c r="AR477">
        <f t="shared" si="106"/>
        <v>0</v>
      </c>
    </row>
    <row r="478" spans="5:44" x14ac:dyDescent="0.2">
      <c r="E478" s="1">
        <f>moment_rate!$AC478</f>
        <v>7.4493433161470389E-3</v>
      </c>
      <c r="F478" s="1">
        <f t="shared" si="101"/>
        <v>0</v>
      </c>
      <c r="G478">
        <f>moment_rate!I478-0.005</f>
        <v>4.709999999999944</v>
      </c>
      <c r="H478" s="1">
        <f t="shared" si="102"/>
        <v>0</v>
      </c>
      <c r="I478">
        <f t="shared" si="103"/>
        <v>0</v>
      </c>
      <c r="J478">
        <f t="shared" si="109"/>
        <v>0</v>
      </c>
      <c r="K478">
        <f t="shared" si="109"/>
        <v>0</v>
      </c>
      <c r="L478">
        <f t="shared" si="109"/>
        <v>0</v>
      </c>
      <c r="M478">
        <f t="shared" si="109"/>
        <v>0</v>
      </c>
      <c r="N478">
        <f t="shared" si="109"/>
        <v>0</v>
      </c>
      <c r="O478">
        <f t="shared" si="109"/>
        <v>0</v>
      </c>
      <c r="P478">
        <f t="shared" si="109"/>
        <v>0</v>
      </c>
      <c r="Q478">
        <f t="shared" si="109"/>
        <v>0</v>
      </c>
      <c r="R478">
        <f t="shared" si="109"/>
        <v>0</v>
      </c>
      <c r="S478">
        <f t="shared" si="109"/>
        <v>0</v>
      </c>
      <c r="T478">
        <f t="shared" si="109"/>
        <v>0</v>
      </c>
      <c r="U478">
        <f t="shared" si="109"/>
        <v>0</v>
      </c>
      <c r="V478">
        <f t="shared" si="109"/>
        <v>0</v>
      </c>
      <c r="W478">
        <f t="shared" si="109"/>
        <v>0</v>
      </c>
      <c r="X478">
        <f t="shared" si="109"/>
        <v>0</v>
      </c>
      <c r="Y478">
        <f t="shared" si="109"/>
        <v>0</v>
      </c>
      <c r="Z478">
        <f t="shared" si="108"/>
        <v>0</v>
      </c>
      <c r="AA478">
        <f t="shared" si="108"/>
        <v>0</v>
      </c>
      <c r="AB478">
        <f t="shared" si="108"/>
        <v>0</v>
      </c>
      <c r="AC478">
        <f t="shared" si="108"/>
        <v>0</v>
      </c>
      <c r="AD478">
        <f t="shared" si="108"/>
        <v>0</v>
      </c>
      <c r="AE478">
        <f t="shared" si="108"/>
        <v>0</v>
      </c>
      <c r="AF478">
        <f t="shared" si="108"/>
        <v>0</v>
      </c>
      <c r="AG478">
        <f t="shared" si="108"/>
        <v>0</v>
      </c>
      <c r="AH478">
        <f t="shared" si="108"/>
        <v>0</v>
      </c>
      <c r="AI478">
        <f t="shared" si="108"/>
        <v>0</v>
      </c>
      <c r="AJ478">
        <f t="shared" si="108"/>
        <v>0</v>
      </c>
      <c r="AK478">
        <f t="shared" si="105"/>
        <v>0</v>
      </c>
      <c r="AL478">
        <f t="shared" si="105"/>
        <v>0</v>
      </c>
      <c r="AM478">
        <f t="shared" si="105"/>
        <v>0</v>
      </c>
      <c r="AN478">
        <f t="shared" si="105"/>
        <v>0</v>
      </c>
      <c r="AO478">
        <f t="shared" si="106"/>
        <v>0</v>
      </c>
      <c r="AP478">
        <f t="shared" si="106"/>
        <v>0</v>
      </c>
      <c r="AQ478">
        <f t="shared" si="106"/>
        <v>0</v>
      </c>
      <c r="AR478">
        <f t="shared" si="106"/>
        <v>0</v>
      </c>
    </row>
    <row r="479" spans="5:44" x14ac:dyDescent="0.2">
      <c r="E479" s="1">
        <f>moment_rate!$AC479</f>
        <v>7.4493433161470389E-3</v>
      </c>
      <c r="F479" s="1">
        <f t="shared" si="101"/>
        <v>0</v>
      </c>
      <c r="G479">
        <f>moment_rate!I479-0.005</f>
        <v>4.7199999999999438</v>
      </c>
      <c r="H479" s="1">
        <f t="shared" si="102"/>
        <v>0</v>
      </c>
      <c r="I479">
        <f t="shared" si="103"/>
        <v>0</v>
      </c>
      <c r="J479">
        <f t="shared" si="109"/>
        <v>0</v>
      </c>
      <c r="K479">
        <f t="shared" si="109"/>
        <v>0</v>
      </c>
      <c r="L479">
        <f t="shared" si="109"/>
        <v>0</v>
      </c>
      <c r="M479">
        <f t="shared" si="109"/>
        <v>0</v>
      </c>
      <c r="N479">
        <f t="shared" si="109"/>
        <v>0</v>
      </c>
      <c r="O479">
        <f t="shared" si="109"/>
        <v>0</v>
      </c>
      <c r="P479">
        <f t="shared" si="109"/>
        <v>0</v>
      </c>
      <c r="Q479">
        <f t="shared" si="109"/>
        <v>0</v>
      </c>
      <c r="R479">
        <f t="shared" si="109"/>
        <v>0</v>
      </c>
      <c r="S479">
        <f t="shared" si="109"/>
        <v>0</v>
      </c>
      <c r="T479">
        <f t="shared" si="109"/>
        <v>0</v>
      </c>
      <c r="U479">
        <f t="shared" si="109"/>
        <v>0</v>
      </c>
      <c r="V479">
        <f t="shared" si="109"/>
        <v>0</v>
      </c>
      <c r="W479">
        <f t="shared" si="109"/>
        <v>0</v>
      </c>
      <c r="X479">
        <f t="shared" si="109"/>
        <v>0</v>
      </c>
      <c r="Y479">
        <f t="shared" si="109"/>
        <v>0</v>
      </c>
      <c r="Z479">
        <f t="shared" si="108"/>
        <v>0</v>
      </c>
      <c r="AA479">
        <f t="shared" si="108"/>
        <v>0</v>
      </c>
      <c r="AB479">
        <f t="shared" si="108"/>
        <v>0</v>
      </c>
      <c r="AC479">
        <f t="shared" si="108"/>
        <v>0</v>
      </c>
      <c r="AD479">
        <f t="shared" si="108"/>
        <v>0</v>
      </c>
      <c r="AE479">
        <f t="shared" si="108"/>
        <v>0</v>
      </c>
      <c r="AF479">
        <f t="shared" si="108"/>
        <v>0</v>
      </c>
      <c r="AG479">
        <f t="shared" si="108"/>
        <v>0</v>
      </c>
      <c r="AH479">
        <f t="shared" si="108"/>
        <v>0</v>
      </c>
      <c r="AI479">
        <f t="shared" si="108"/>
        <v>0</v>
      </c>
      <c r="AJ479">
        <f t="shared" si="108"/>
        <v>0</v>
      </c>
      <c r="AK479">
        <f t="shared" si="105"/>
        <v>0</v>
      </c>
      <c r="AL479">
        <f t="shared" si="105"/>
        <v>0</v>
      </c>
      <c r="AM479">
        <f t="shared" si="105"/>
        <v>0</v>
      </c>
      <c r="AN479">
        <f t="shared" si="105"/>
        <v>0</v>
      </c>
      <c r="AO479">
        <f t="shared" si="106"/>
        <v>0</v>
      </c>
      <c r="AP479">
        <f t="shared" si="106"/>
        <v>0</v>
      </c>
      <c r="AQ479">
        <f t="shared" si="106"/>
        <v>0</v>
      </c>
      <c r="AR479">
        <f t="shared" si="106"/>
        <v>0</v>
      </c>
    </row>
    <row r="480" spans="5:44" x14ac:dyDescent="0.2">
      <c r="E480" s="1">
        <f>moment_rate!$AC480</f>
        <v>7.4493433161470389E-3</v>
      </c>
      <c r="F480" s="1">
        <f t="shared" si="101"/>
        <v>0</v>
      </c>
      <c r="G480">
        <f>moment_rate!I480-0.005</f>
        <v>4.7299999999999436</v>
      </c>
      <c r="H480" s="1">
        <f t="shared" si="102"/>
        <v>0</v>
      </c>
      <c r="I480">
        <f t="shared" si="103"/>
        <v>0</v>
      </c>
      <c r="J480">
        <f t="shared" si="109"/>
        <v>0</v>
      </c>
      <c r="K480">
        <f t="shared" si="109"/>
        <v>0</v>
      </c>
      <c r="L480">
        <f t="shared" si="109"/>
        <v>0</v>
      </c>
      <c r="M480">
        <f t="shared" si="109"/>
        <v>0</v>
      </c>
      <c r="N480">
        <f t="shared" si="109"/>
        <v>0</v>
      </c>
      <c r="O480">
        <f t="shared" si="109"/>
        <v>0</v>
      </c>
      <c r="P480">
        <f t="shared" si="109"/>
        <v>0</v>
      </c>
      <c r="Q480">
        <f t="shared" si="109"/>
        <v>0</v>
      </c>
      <c r="R480">
        <f t="shared" si="109"/>
        <v>0</v>
      </c>
      <c r="S480">
        <f t="shared" si="109"/>
        <v>0</v>
      </c>
      <c r="T480">
        <f t="shared" si="109"/>
        <v>0</v>
      </c>
      <c r="U480">
        <f t="shared" si="109"/>
        <v>0</v>
      </c>
      <c r="V480">
        <f t="shared" si="109"/>
        <v>0</v>
      </c>
      <c r="W480">
        <f t="shared" si="109"/>
        <v>0</v>
      </c>
      <c r="X480">
        <f t="shared" si="109"/>
        <v>0</v>
      </c>
      <c r="Y480">
        <f t="shared" si="109"/>
        <v>0</v>
      </c>
      <c r="Z480">
        <f t="shared" si="108"/>
        <v>0</v>
      </c>
      <c r="AA480">
        <f t="shared" si="108"/>
        <v>0</v>
      </c>
      <c r="AB480">
        <f t="shared" si="108"/>
        <v>0</v>
      </c>
      <c r="AC480">
        <f t="shared" si="108"/>
        <v>0</v>
      </c>
      <c r="AD480">
        <f t="shared" si="108"/>
        <v>0</v>
      </c>
      <c r="AE480">
        <f t="shared" si="108"/>
        <v>0</v>
      </c>
      <c r="AF480">
        <f t="shared" si="108"/>
        <v>0</v>
      </c>
      <c r="AG480">
        <f t="shared" si="108"/>
        <v>0</v>
      </c>
      <c r="AH480">
        <f t="shared" si="108"/>
        <v>0</v>
      </c>
      <c r="AI480">
        <f t="shared" si="108"/>
        <v>0</v>
      </c>
      <c r="AJ480">
        <f t="shared" si="108"/>
        <v>0</v>
      </c>
      <c r="AK480">
        <f t="shared" si="105"/>
        <v>0</v>
      </c>
      <c r="AL480">
        <f t="shared" si="105"/>
        <v>0</v>
      </c>
      <c r="AM480">
        <f t="shared" si="105"/>
        <v>0</v>
      </c>
      <c r="AN480">
        <f t="shared" si="105"/>
        <v>0</v>
      </c>
      <c r="AO480">
        <f t="shared" si="106"/>
        <v>0</v>
      </c>
      <c r="AP480">
        <f t="shared" si="106"/>
        <v>0</v>
      </c>
      <c r="AQ480">
        <f t="shared" si="106"/>
        <v>0</v>
      </c>
      <c r="AR480">
        <f t="shared" si="106"/>
        <v>0</v>
      </c>
    </row>
    <row r="481" spans="5:44" x14ac:dyDescent="0.2">
      <c r="E481" s="1">
        <f>moment_rate!$AC481</f>
        <v>7.4493433161470389E-3</v>
      </c>
      <c r="F481" s="1">
        <f t="shared" si="101"/>
        <v>0</v>
      </c>
      <c r="G481">
        <f>moment_rate!I481-0.005</f>
        <v>4.7399999999999434</v>
      </c>
      <c r="H481" s="1">
        <f t="shared" si="102"/>
        <v>0</v>
      </c>
      <c r="I481">
        <f t="shared" si="103"/>
        <v>0</v>
      </c>
      <c r="J481">
        <f t="shared" si="109"/>
        <v>0</v>
      </c>
      <c r="K481">
        <f t="shared" si="109"/>
        <v>0</v>
      </c>
      <c r="L481">
        <f t="shared" si="109"/>
        <v>0</v>
      </c>
      <c r="M481">
        <f t="shared" si="109"/>
        <v>0</v>
      </c>
      <c r="N481">
        <f t="shared" si="109"/>
        <v>0</v>
      </c>
      <c r="O481">
        <f t="shared" si="109"/>
        <v>0</v>
      </c>
      <c r="P481">
        <f t="shared" si="109"/>
        <v>0</v>
      </c>
      <c r="Q481">
        <f t="shared" si="109"/>
        <v>0</v>
      </c>
      <c r="R481">
        <f t="shared" si="109"/>
        <v>0</v>
      </c>
      <c r="S481">
        <f t="shared" si="109"/>
        <v>0</v>
      </c>
      <c r="T481">
        <f t="shared" si="109"/>
        <v>0</v>
      </c>
      <c r="U481">
        <f t="shared" si="109"/>
        <v>0</v>
      </c>
      <c r="V481">
        <f t="shared" si="109"/>
        <v>0</v>
      </c>
      <c r="W481">
        <f t="shared" si="109"/>
        <v>0</v>
      </c>
      <c r="X481">
        <f t="shared" si="109"/>
        <v>0</v>
      </c>
      <c r="Y481">
        <f t="shared" si="109"/>
        <v>0</v>
      </c>
      <c r="Z481">
        <f t="shared" si="108"/>
        <v>0</v>
      </c>
      <c r="AA481">
        <f t="shared" si="108"/>
        <v>0</v>
      </c>
      <c r="AB481">
        <f t="shared" si="108"/>
        <v>0</v>
      </c>
      <c r="AC481">
        <f t="shared" si="108"/>
        <v>0</v>
      </c>
      <c r="AD481">
        <f t="shared" si="108"/>
        <v>0</v>
      </c>
      <c r="AE481">
        <f t="shared" si="108"/>
        <v>0</v>
      </c>
      <c r="AF481">
        <f t="shared" si="108"/>
        <v>0</v>
      </c>
      <c r="AG481">
        <f t="shared" si="108"/>
        <v>0</v>
      </c>
      <c r="AH481">
        <f t="shared" si="108"/>
        <v>0</v>
      </c>
      <c r="AI481">
        <f t="shared" si="108"/>
        <v>0</v>
      </c>
      <c r="AJ481">
        <f t="shared" si="108"/>
        <v>0</v>
      </c>
      <c r="AK481">
        <f t="shared" si="105"/>
        <v>0</v>
      </c>
      <c r="AL481">
        <f t="shared" si="105"/>
        <v>0</v>
      </c>
      <c r="AM481">
        <f t="shared" si="105"/>
        <v>0</v>
      </c>
      <c r="AN481">
        <f t="shared" si="105"/>
        <v>0</v>
      </c>
      <c r="AO481">
        <f t="shared" si="106"/>
        <v>0</v>
      </c>
      <c r="AP481">
        <f t="shared" si="106"/>
        <v>0</v>
      </c>
      <c r="AQ481">
        <f t="shared" si="106"/>
        <v>0</v>
      </c>
      <c r="AR481">
        <f t="shared" si="106"/>
        <v>0</v>
      </c>
    </row>
    <row r="482" spans="5:44" x14ac:dyDescent="0.2">
      <c r="E482" s="1">
        <f>moment_rate!$AC482</f>
        <v>7.4493433161470389E-3</v>
      </c>
      <c r="F482" s="1">
        <f t="shared" si="101"/>
        <v>0</v>
      </c>
      <c r="G482">
        <f>moment_rate!I482-0.005</f>
        <v>4.7499999999999432</v>
      </c>
      <c r="H482" s="1">
        <f t="shared" si="102"/>
        <v>0</v>
      </c>
      <c r="I482">
        <f t="shared" si="103"/>
        <v>0</v>
      </c>
      <c r="J482">
        <f t="shared" si="109"/>
        <v>0</v>
      </c>
      <c r="K482">
        <f t="shared" si="109"/>
        <v>0</v>
      </c>
      <c r="L482">
        <f t="shared" si="109"/>
        <v>0</v>
      </c>
      <c r="M482">
        <f t="shared" si="109"/>
        <v>0</v>
      </c>
      <c r="N482">
        <f t="shared" si="109"/>
        <v>0</v>
      </c>
      <c r="O482">
        <f t="shared" si="109"/>
        <v>0</v>
      </c>
      <c r="P482">
        <f t="shared" si="109"/>
        <v>0</v>
      </c>
      <c r="Q482">
        <f t="shared" si="109"/>
        <v>0</v>
      </c>
      <c r="R482">
        <f t="shared" si="109"/>
        <v>0</v>
      </c>
      <c r="S482">
        <f t="shared" si="109"/>
        <v>0</v>
      </c>
      <c r="T482">
        <f t="shared" si="109"/>
        <v>0</v>
      </c>
      <c r="U482">
        <f t="shared" si="109"/>
        <v>0</v>
      </c>
      <c r="V482">
        <f t="shared" si="109"/>
        <v>0</v>
      </c>
      <c r="W482">
        <f t="shared" si="109"/>
        <v>0</v>
      </c>
      <c r="X482">
        <f t="shared" si="109"/>
        <v>0</v>
      </c>
      <c r="Y482">
        <f t="shared" si="109"/>
        <v>0</v>
      </c>
      <c r="Z482">
        <f t="shared" si="108"/>
        <v>0</v>
      </c>
      <c r="AA482">
        <f t="shared" si="108"/>
        <v>0</v>
      </c>
      <c r="AB482">
        <f t="shared" si="108"/>
        <v>0</v>
      </c>
      <c r="AC482">
        <f t="shared" si="108"/>
        <v>0</v>
      </c>
      <c r="AD482">
        <f t="shared" si="108"/>
        <v>0</v>
      </c>
      <c r="AE482">
        <f t="shared" si="108"/>
        <v>0</v>
      </c>
      <c r="AF482">
        <f t="shared" si="108"/>
        <v>0</v>
      </c>
      <c r="AG482">
        <f t="shared" si="108"/>
        <v>0</v>
      </c>
      <c r="AH482">
        <f t="shared" si="108"/>
        <v>0</v>
      </c>
      <c r="AI482">
        <f t="shared" si="108"/>
        <v>0</v>
      </c>
      <c r="AJ482">
        <f t="shared" si="108"/>
        <v>0</v>
      </c>
      <c r="AK482">
        <f t="shared" si="105"/>
        <v>0</v>
      </c>
      <c r="AL482">
        <f t="shared" si="105"/>
        <v>0</v>
      </c>
      <c r="AM482">
        <f t="shared" si="105"/>
        <v>0</v>
      </c>
      <c r="AN482">
        <f t="shared" si="105"/>
        <v>0</v>
      </c>
      <c r="AO482">
        <f t="shared" si="106"/>
        <v>0</v>
      </c>
      <c r="AP482">
        <f t="shared" si="106"/>
        <v>0</v>
      </c>
      <c r="AQ482">
        <f t="shared" si="106"/>
        <v>0</v>
      </c>
      <c r="AR482">
        <f t="shared" si="106"/>
        <v>0</v>
      </c>
    </row>
    <row r="483" spans="5:44" x14ac:dyDescent="0.2">
      <c r="E483" s="1">
        <f>moment_rate!$AC483</f>
        <v>7.4493433161470389E-3</v>
      </c>
      <c r="F483" s="1">
        <f t="shared" si="101"/>
        <v>0</v>
      </c>
      <c r="G483">
        <f>moment_rate!I483-0.005</f>
        <v>4.7599999999999429</v>
      </c>
      <c r="H483" s="1">
        <f t="shared" si="102"/>
        <v>0</v>
      </c>
      <c r="I483">
        <f t="shared" si="103"/>
        <v>0</v>
      </c>
      <c r="J483">
        <f t="shared" si="109"/>
        <v>0</v>
      </c>
      <c r="K483">
        <f t="shared" si="109"/>
        <v>0</v>
      </c>
      <c r="L483">
        <f t="shared" si="109"/>
        <v>0</v>
      </c>
      <c r="M483">
        <f t="shared" si="109"/>
        <v>0</v>
      </c>
      <c r="N483">
        <f t="shared" si="109"/>
        <v>0</v>
      </c>
      <c r="O483">
        <f t="shared" si="109"/>
        <v>0</v>
      </c>
      <c r="P483">
        <f t="shared" si="109"/>
        <v>0</v>
      </c>
      <c r="Q483">
        <f t="shared" si="109"/>
        <v>0</v>
      </c>
      <c r="R483">
        <f t="shared" si="109"/>
        <v>0</v>
      </c>
      <c r="S483">
        <f t="shared" si="109"/>
        <v>0</v>
      </c>
      <c r="T483">
        <f t="shared" si="109"/>
        <v>0</v>
      </c>
      <c r="U483">
        <f t="shared" si="109"/>
        <v>0</v>
      </c>
      <c r="V483">
        <f t="shared" si="109"/>
        <v>0</v>
      </c>
      <c r="W483">
        <f t="shared" si="109"/>
        <v>0</v>
      </c>
      <c r="X483">
        <f t="shared" si="109"/>
        <v>0</v>
      </c>
      <c r="Y483">
        <f t="shared" si="109"/>
        <v>0</v>
      </c>
      <c r="Z483">
        <f t="shared" si="108"/>
        <v>0</v>
      </c>
      <c r="AA483">
        <f t="shared" si="108"/>
        <v>0</v>
      </c>
      <c r="AB483">
        <f t="shared" si="108"/>
        <v>0</v>
      </c>
      <c r="AC483">
        <f t="shared" si="108"/>
        <v>0</v>
      </c>
      <c r="AD483">
        <f t="shared" si="108"/>
        <v>0</v>
      </c>
      <c r="AE483">
        <f t="shared" si="108"/>
        <v>0</v>
      </c>
      <c r="AF483">
        <f t="shared" si="108"/>
        <v>0</v>
      </c>
      <c r="AG483">
        <f t="shared" si="108"/>
        <v>0</v>
      </c>
      <c r="AH483">
        <f t="shared" si="108"/>
        <v>0</v>
      </c>
      <c r="AI483">
        <f t="shared" si="108"/>
        <v>0</v>
      </c>
      <c r="AJ483">
        <f t="shared" si="108"/>
        <v>0</v>
      </c>
      <c r="AK483">
        <f t="shared" si="105"/>
        <v>0</v>
      </c>
      <c r="AL483">
        <f t="shared" si="105"/>
        <v>0</v>
      </c>
      <c r="AM483">
        <f t="shared" si="105"/>
        <v>0</v>
      </c>
      <c r="AN483">
        <f t="shared" si="105"/>
        <v>0</v>
      </c>
      <c r="AO483">
        <f t="shared" si="106"/>
        <v>0</v>
      </c>
      <c r="AP483">
        <f t="shared" si="106"/>
        <v>0</v>
      </c>
      <c r="AQ483">
        <f t="shared" si="106"/>
        <v>0</v>
      </c>
      <c r="AR483">
        <f t="shared" si="106"/>
        <v>0</v>
      </c>
    </row>
    <row r="484" spans="5:44" x14ac:dyDescent="0.2">
      <c r="E484" s="1">
        <f>moment_rate!$AC484</f>
        <v>7.4493433161470389E-3</v>
      </c>
      <c r="F484" s="1">
        <f t="shared" si="101"/>
        <v>0</v>
      </c>
      <c r="G484">
        <f>moment_rate!I484-0.005</f>
        <v>4.7699999999999427</v>
      </c>
      <c r="H484" s="1">
        <f t="shared" si="102"/>
        <v>0</v>
      </c>
      <c r="I484">
        <f t="shared" si="103"/>
        <v>0</v>
      </c>
      <c r="J484">
        <f t="shared" si="109"/>
        <v>0</v>
      </c>
      <c r="K484">
        <f t="shared" si="109"/>
        <v>0</v>
      </c>
      <c r="L484">
        <f t="shared" si="109"/>
        <v>0</v>
      </c>
      <c r="M484">
        <f t="shared" si="109"/>
        <v>0</v>
      </c>
      <c r="N484">
        <f t="shared" si="109"/>
        <v>0</v>
      </c>
      <c r="O484">
        <f t="shared" si="109"/>
        <v>0</v>
      </c>
      <c r="P484">
        <f t="shared" si="109"/>
        <v>0</v>
      </c>
      <c r="Q484">
        <f t="shared" si="109"/>
        <v>0</v>
      </c>
      <c r="R484">
        <f t="shared" si="109"/>
        <v>0</v>
      </c>
      <c r="S484">
        <f t="shared" si="109"/>
        <v>0</v>
      </c>
      <c r="T484">
        <f t="shared" si="109"/>
        <v>0</v>
      </c>
      <c r="U484">
        <f t="shared" si="109"/>
        <v>0</v>
      </c>
      <c r="V484">
        <f t="shared" si="109"/>
        <v>0</v>
      </c>
      <c r="W484">
        <f t="shared" si="109"/>
        <v>0</v>
      </c>
      <c r="X484">
        <f t="shared" si="109"/>
        <v>0</v>
      </c>
      <c r="Y484">
        <f t="shared" si="109"/>
        <v>0</v>
      </c>
      <c r="Z484">
        <f t="shared" si="108"/>
        <v>0</v>
      </c>
      <c r="AA484">
        <f t="shared" si="108"/>
        <v>0</v>
      </c>
      <c r="AB484">
        <f t="shared" si="108"/>
        <v>0</v>
      </c>
      <c r="AC484">
        <f t="shared" si="108"/>
        <v>0</v>
      </c>
      <c r="AD484">
        <f t="shared" si="108"/>
        <v>0</v>
      </c>
      <c r="AE484">
        <f t="shared" si="108"/>
        <v>0</v>
      </c>
      <c r="AF484">
        <f t="shared" si="108"/>
        <v>0</v>
      </c>
      <c r="AG484">
        <f t="shared" si="108"/>
        <v>0</v>
      </c>
      <c r="AH484">
        <f t="shared" si="108"/>
        <v>0</v>
      </c>
      <c r="AI484">
        <f t="shared" si="108"/>
        <v>0</v>
      </c>
      <c r="AJ484">
        <f t="shared" si="108"/>
        <v>0</v>
      </c>
      <c r="AK484">
        <f t="shared" si="105"/>
        <v>0</v>
      </c>
      <c r="AL484">
        <f t="shared" si="105"/>
        <v>0</v>
      </c>
      <c r="AM484">
        <f t="shared" si="105"/>
        <v>0</v>
      </c>
      <c r="AN484">
        <f t="shared" si="105"/>
        <v>0</v>
      </c>
      <c r="AO484">
        <f t="shared" si="106"/>
        <v>0</v>
      </c>
      <c r="AP484">
        <f t="shared" si="106"/>
        <v>0</v>
      </c>
      <c r="AQ484">
        <f t="shared" si="106"/>
        <v>0</v>
      </c>
      <c r="AR484">
        <f t="shared" si="106"/>
        <v>0</v>
      </c>
    </row>
    <row r="485" spans="5:44" x14ac:dyDescent="0.2">
      <c r="E485" s="1">
        <f>moment_rate!$AC485</f>
        <v>7.4493433161470389E-3</v>
      </c>
      <c r="F485" s="1">
        <f t="shared" si="101"/>
        <v>0</v>
      </c>
      <c r="G485">
        <f>moment_rate!I485-0.005</f>
        <v>4.7799999999999425</v>
      </c>
      <c r="H485" s="1">
        <f t="shared" si="102"/>
        <v>0</v>
      </c>
      <c r="I485">
        <f t="shared" si="103"/>
        <v>0</v>
      </c>
      <c r="J485">
        <f t="shared" si="109"/>
        <v>0</v>
      </c>
      <c r="K485">
        <f t="shared" si="109"/>
        <v>0</v>
      </c>
      <c r="L485">
        <f t="shared" si="109"/>
        <v>0</v>
      </c>
      <c r="M485">
        <f t="shared" si="109"/>
        <v>0</v>
      </c>
      <c r="N485">
        <f t="shared" si="109"/>
        <v>0</v>
      </c>
      <c r="O485">
        <f t="shared" si="109"/>
        <v>0</v>
      </c>
      <c r="P485">
        <f t="shared" si="109"/>
        <v>0</v>
      </c>
      <c r="Q485">
        <f t="shared" si="109"/>
        <v>0</v>
      </c>
      <c r="R485">
        <f t="shared" si="109"/>
        <v>0</v>
      </c>
      <c r="S485">
        <f t="shared" si="109"/>
        <v>0</v>
      </c>
      <c r="T485">
        <f t="shared" si="109"/>
        <v>0</v>
      </c>
      <c r="U485">
        <f t="shared" si="109"/>
        <v>0</v>
      </c>
      <c r="V485">
        <f t="shared" si="109"/>
        <v>0</v>
      </c>
      <c r="W485">
        <f t="shared" si="109"/>
        <v>0</v>
      </c>
      <c r="X485">
        <f t="shared" si="109"/>
        <v>0</v>
      </c>
      <c r="Y485">
        <f t="shared" si="109"/>
        <v>0</v>
      </c>
      <c r="Z485">
        <f t="shared" si="108"/>
        <v>0</v>
      </c>
      <c r="AA485">
        <f t="shared" si="108"/>
        <v>0</v>
      </c>
      <c r="AB485">
        <f t="shared" si="108"/>
        <v>0</v>
      </c>
      <c r="AC485">
        <f t="shared" si="108"/>
        <v>0</v>
      </c>
      <c r="AD485">
        <f t="shared" si="108"/>
        <v>0</v>
      </c>
      <c r="AE485">
        <f t="shared" si="108"/>
        <v>0</v>
      </c>
      <c r="AF485">
        <f t="shared" si="108"/>
        <v>0</v>
      </c>
      <c r="AG485">
        <f t="shared" si="108"/>
        <v>0</v>
      </c>
      <c r="AH485">
        <f t="shared" si="108"/>
        <v>0</v>
      </c>
      <c r="AI485">
        <f t="shared" si="108"/>
        <v>0</v>
      </c>
      <c r="AJ485">
        <f t="shared" si="108"/>
        <v>0</v>
      </c>
      <c r="AK485">
        <f t="shared" si="105"/>
        <v>0</v>
      </c>
      <c r="AL485">
        <f t="shared" si="105"/>
        <v>0</v>
      </c>
      <c r="AM485">
        <f t="shared" si="105"/>
        <v>0</v>
      </c>
      <c r="AN485">
        <f t="shared" si="105"/>
        <v>0</v>
      </c>
      <c r="AO485">
        <f t="shared" si="106"/>
        <v>0</v>
      </c>
      <c r="AP485">
        <f t="shared" si="106"/>
        <v>0</v>
      </c>
      <c r="AQ485">
        <f t="shared" si="106"/>
        <v>0</v>
      </c>
      <c r="AR485">
        <f t="shared" si="106"/>
        <v>0</v>
      </c>
    </row>
    <row r="486" spans="5:44" x14ac:dyDescent="0.2">
      <c r="E486" s="1">
        <f>moment_rate!$AC486</f>
        <v>7.4493433161470389E-3</v>
      </c>
      <c r="F486" s="1">
        <f t="shared" si="101"/>
        <v>0</v>
      </c>
      <c r="G486">
        <f>moment_rate!I486-0.005</f>
        <v>4.7899999999999423</v>
      </c>
      <c r="H486" s="1">
        <f t="shared" si="102"/>
        <v>0</v>
      </c>
      <c r="I486">
        <f t="shared" si="103"/>
        <v>0</v>
      </c>
      <c r="J486">
        <f t="shared" si="109"/>
        <v>0</v>
      </c>
      <c r="K486">
        <f t="shared" si="109"/>
        <v>0</v>
      </c>
      <c r="L486">
        <f t="shared" si="109"/>
        <v>0</v>
      </c>
      <c r="M486">
        <f t="shared" si="109"/>
        <v>0</v>
      </c>
      <c r="N486">
        <f t="shared" si="109"/>
        <v>0</v>
      </c>
      <c r="O486">
        <f t="shared" si="109"/>
        <v>0</v>
      </c>
      <c r="P486">
        <f t="shared" si="109"/>
        <v>0</v>
      </c>
      <c r="Q486">
        <f t="shared" si="109"/>
        <v>0</v>
      </c>
      <c r="R486">
        <f t="shared" si="109"/>
        <v>0</v>
      </c>
      <c r="S486">
        <f t="shared" si="109"/>
        <v>0</v>
      </c>
      <c r="T486">
        <f t="shared" si="109"/>
        <v>0</v>
      </c>
      <c r="U486">
        <f t="shared" si="109"/>
        <v>0</v>
      </c>
      <c r="V486">
        <f t="shared" si="109"/>
        <v>0</v>
      </c>
      <c r="W486">
        <f t="shared" si="109"/>
        <v>0</v>
      </c>
      <c r="X486">
        <f t="shared" si="109"/>
        <v>0</v>
      </c>
      <c r="Y486">
        <f t="shared" si="109"/>
        <v>0</v>
      </c>
      <c r="Z486">
        <f t="shared" si="108"/>
        <v>0</v>
      </c>
      <c r="AA486">
        <f t="shared" si="108"/>
        <v>0</v>
      </c>
      <c r="AB486">
        <f t="shared" si="108"/>
        <v>0</v>
      </c>
      <c r="AC486">
        <f t="shared" si="108"/>
        <v>0</v>
      </c>
      <c r="AD486">
        <f t="shared" si="108"/>
        <v>0</v>
      </c>
      <c r="AE486">
        <f t="shared" si="108"/>
        <v>0</v>
      </c>
      <c r="AF486">
        <f t="shared" si="108"/>
        <v>0</v>
      </c>
      <c r="AG486">
        <f t="shared" si="108"/>
        <v>0</v>
      </c>
      <c r="AH486">
        <f t="shared" si="108"/>
        <v>0</v>
      </c>
      <c r="AI486">
        <f t="shared" si="108"/>
        <v>0</v>
      </c>
      <c r="AJ486">
        <f t="shared" si="108"/>
        <v>0</v>
      </c>
      <c r="AK486">
        <f t="shared" si="105"/>
        <v>0</v>
      </c>
      <c r="AL486">
        <f t="shared" si="105"/>
        <v>0</v>
      </c>
      <c r="AM486">
        <f t="shared" si="105"/>
        <v>0</v>
      </c>
      <c r="AN486">
        <f t="shared" si="105"/>
        <v>0</v>
      </c>
      <c r="AO486">
        <f t="shared" si="106"/>
        <v>0</v>
      </c>
      <c r="AP486">
        <f t="shared" si="106"/>
        <v>0</v>
      </c>
      <c r="AQ486">
        <f t="shared" si="106"/>
        <v>0</v>
      </c>
      <c r="AR486">
        <f t="shared" si="106"/>
        <v>0</v>
      </c>
    </row>
    <row r="487" spans="5:44" x14ac:dyDescent="0.2">
      <c r="E487" s="1">
        <f>moment_rate!$AC487</f>
        <v>7.4493433161470389E-3</v>
      </c>
      <c r="F487" s="1">
        <f t="shared" si="101"/>
        <v>0</v>
      </c>
      <c r="G487">
        <f>moment_rate!I487-0.005</f>
        <v>4.7999999999999421</v>
      </c>
      <c r="H487" s="1">
        <f t="shared" si="102"/>
        <v>0</v>
      </c>
      <c r="I487">
        <f t="shared" si="103"/>
        <v>0</v>
      </c>
      <c r="J487">
        <f t="shared" si="109"/>
        <v>0</v>
      </c>
      <c r="K487">
        <f t="shared" si="109"/>
        <v>0</v>
      </c>
      <c r="L487">
        <f t="shared" si="109"/>
        <v>0</v>
      </c>
      <c r="M487">
        <f t="shared" si="109"/>
        <v>0</v>
      </c>
      <c r="N487">
        <f t="shared" si="109"/>
        <v>0</v>
      </c>
      <c r="O487">
        <f t="shared" si="109"/>
        <v>0</v>
      </c>
      <c r="P487">
        <f t="shared" si="109"/>
        <v>0</v>
      </c>
      <c r="Q487">
        <f t="shared" si="109"/>
        <v>0</v>
      </c>
      <c r="R487">
        <f t="shared" si="109"/>
        <v>0</v>
      </c>
      <c r="S487">
        <f t="shared" si="109"/>
        <v>0</v>
      </c>
      <c r="T487">
        <f t="shared" si="109"/>
        <v>0</v>
      </c>
      <c r="U487">
        <f t="shared" si="109"/>
        <v>0</v>
      </c>
      <c r="V487">
        <f t="shared" si="109"/>
        <v>0</v>
      </c>
      <c r="W487">
        <f t="shared" si="109"/>
        <v>0</v>
      </c>
      <c r="X487">
        <f t="shared" si="109"/>
        <v>0</v>
      </c>
      <c r="Y487">
        <f t="shared" si="109"/>
        <v>0</v>
      </c>
      <c r="Z487">
        <f t="shared" si="108"/>
        <v>0</v>
      </c>
      <c r="AA487">
        <f t="shared" si="108"/>
        <v>0</v>
      </c>
      <c r="AB487">
        <f t="shared" si="108"/>
        <v>0</v>
      </c>
      <c r="AC487">
        <f t="shared" si="108"/>
        <v>0</v>
      </c>
      <c r="AD487">
        <f t="shared" si="108"/>
        <v>0</v>
      </c>
      <c r="AE487">
        <f t="shared" si="108"/>
        <v>0</v>
      </c>
      <c r="AF487">
        <f t="shared" si="108"/>
        <v>0</v>
      </c>
      <c r="AG487">
        <f t="shared" si="108"/>
        <v>0</v>
      </c>
      <c r="AH487">
        <f t="shared" si="108"/>
        <v>0</v>
      </c>
      <c r="AI487">
        <f t="shared" si="108"/>
        <v>0</v>
      </c>
      <c r="AJ487">
        <f t="shared" si="108"/>
        <v>0</v>
      </c>
      <c r="AK487">
        <f t="shared" si="106"/>
        <v>0</v>
      </c>
      <c r="AL487">
        <f t="shared" si="106"/>
        <v>0</v>
      </c>
      <c r="AM487">
        <f t="shared" si="106"/>
        <v>0</v>
      </c>
      <c r="AN487">
        <f t="shared" si="106"/>
        <v>0</v>
      </c>
      <c r="AO487">
        <f t="shared" si="106"/>
        <v>0</v>
      </c>
      <c r="AP487">
        <f t="shared" si="106"/>
        <v>0</v>
      </c>
      <c r="AQ487">
        <f t="shared" si="106"/>
        <v>0</v>
      </c>
      <c r="AR487">
        <f t="shared" si="106"/>
        <v>0</v>
      </c>
    </row>
    <row r="488" spans="5:44" x14ac:dyDescent="0.2">
      <c r="E488" s="1">
        <f>moment_rate!$AC488</f>
        <v>7.4493433161470389E-3</v>
      </c>
      <c r="F488" s="1">
        <f t="shared" si="101"/>
        <v>0</v>
      </c>
      <c r="G488">
        <f>moment_rate!I488-0.005</f>
        <v>4.8099999999999419</v>
      </c>
      <c r="H488" s="1">
        <f t="shared" si="102"/>
        <v>0</v>
      </c>
      <c r="I488">
        <f t="shared" ref="I488:I519" si="110">IF(AND($G488&gt;=I$3,$G488&lt;I$4),$F488,0)</f>
        <v>0</v>
      </c>
      <c r="J488">
        <f t="shared" si="109"/>
        <v>0</v>
      </c>
      <c r="K488">
        <f t="shared" si="109"/>
        <v>0</v>
      </c>
      <c r="L488">
        <f t="shared" si="109"/>
        <v>0</v>
      </c>
      <c r="M488">
        <f t="shared" si="109"/>
        <v>0</v>
      </c>
      <c r="N488">
        <f t="shared" si="109"/>
        <v>0</v>
      </c>
      <c r="O488">
        <f t="shared" si="109"/>
        <v>0</v>
      </c>
      <c r="P488">
        <f t="shared" si="109"/>
        <v>0</v>
      </c>
      <c r="Q488">
        <f t="shared" si="109"/>
        <v>0</v>
      </c>
      <c r="R488">
        <f t="shared" si="109"/>
        <v>0</v>
      </c>
      <c r="S488">
        <f t="shared" si="109"/>
        <v>0</v>
      </c>
      <c r="T488">
        <f t="shared" si="109"/>
        <v>0</v>
      </c>
      <c r="U488">
        <f t="shared" si="109"/>
        <v>0</v>
      </c>
      <c r="V488">
        <f t="shared" si="109"/>
        <v>0</v>
      </c>
      <c r="W488">
        <f t="shared" si="109"/>
        <v>0</v>
      </c>
      <c r="X488">
        <f t="shared" si="109"/>
        <v>0</v>
      </c>
      <c r="Y488">
        <f t="shared" si="109"/>
        <v>0</v>
      </c>
      <c r="Z488">
        <f t="shared" si="108"/>
        <v>0</v>
      </c>
      <c r="AA488">
        <f t="shared" si="108"/>
        <v>0</v>
      </c>
      <c r="AB488">
        <f t="shared" si="108"/>
        <v>0</v>
      </c>
      <c r="AC488">
        <f t="shared" si="108"/>
        <v>0</v>
      </c>
      <c r="AD488">
        <f t="shared" si="108"/>
        <v>0</v>
      </c>
      <c r="AE488">
        <f t="shared" si="108"/>
        <v>0</v>
      </c>
      <c r="AF488">
        <f t="shared" si="108"/>
        <v>0</v>
      </c>
      <c r="AG488">
        <f t="shared" si="108"/>
        <v>0</v>
      </c>
      <c r="AH488">
        <f t="shared" si="108"/>
        <v>0</v>
      </c>
      <c r="AI488">
        <f t="shared" si="108"/>
        <v>0</v>
      </c>
      <c r="AJ488">
        <f t="shared" si="108"/>
        <v>0</v>
      </c>
      <c r="AK488">
        <f t="shared" si="106"/>
        <v>0</v>
      </c>
      <c r="AL488">
        <f t="shared" si="106"/>
        <v>0</v>
      </c>
      <c r="AM488">
        <f t="shared" si="106"/>
        <v>0</v>
      </c>
      <c r="AN488">
        <f t="shared" si="106"/>
        <v>0</v>
      </c>
      <c r="AO488">
        <f t="shared" si="106"/>
        <v>0</v>
      </c>
      <c r="AP488">
        <f t="shared" si="106"/>
        <v>0</v>
      </c>
      <c r="AQ488">
        <f t="shared" si="106"/>
        <v>0</v>
      </c>
      <c r="AR488">
        <f t="shared" si="106"/>
        <v>0</v>
      </c>
    </row>
    <row r="489" spans="5:44" x14ac:dyDescent="0.2">
      <c r="E489" s="1">
        <f>moment_rate!$AC489</f>
        <v>7.4493433161470389E-3</v>
      </c>
      <c r="F489" s="1">
        <f t="shared" si="101"/>
        <v>0</v>
      </c>
      <c r="G489">
        <f>moment_rate!I489-0.005</f>
        <v>4.8199999999999417</v>
      </c>
      <c r="H489" s="1">
        <f t="shared" si="102"/>
        <v>0</v>
      </c>
      <c r="I489">
        <f t="shared" si="110"/>
        <v>0</v>
      </c>
      <c r="J489">
        <f t="shared" si="109"/>
        <v>0</v>
      </c>
      <c r="K489">
        <f t="shared" si="109"/>
        <v>0</v>
      </c>
      <c r="L489">
        <f t="shared" si="109"/>
        <v>0</v>
      </c>
      <c r="M489">
        <f t="shared" si="109"/>
        <v>0</v>
      </c>
      <c r="N489">
        <f t="shared" si="109"/>
        <v>0</v>
      </c>
      <c r="O489">
        <f t="shared" si="109"/>
        <v>0</v>
      </c>
      <c r="P489">
        <f t="shared" si="109"/>
        <v>0</v>
      </c>
      <c r="Q489">
        <f t="shared" si="109"/>
        <v>0</v>
      </c>
      <c r="R489">
        <f t="shared" si="109"/>
        <v>0</v>
      </c>
      <c r="S489">
        <f t="shared" si="109"/>
        <v>0</v>
      </c>
      <c r="T489">
        <f t="shared" si="109"/>
        <v>0</v>
      </c>
      <c r="U489">
        <f t="shared" si="109"/>
        <v>0</v>
      </c>
      <c r="V489">
        <f t="shared" si="109"/>
        <v>0</v>
      </c>
      <c r="W489">
        <f t="shared" si="109"/>
        <v>0</v>
      </c>
      <c r="X489">
        <f t="shared" si="109"/>
        <v>0</v>
      </c>
      <c r="Y489">
        <f t="shared" si="109"/>
        <v>0</v>
      </c>
      <c r="Z489">
        <f t="shared" si="108"/>
        <v>0</v>
      </c>
      <c r="AA489">
        <f t="shared" si="108"/>
        <v>0</v>
      </c>
      <c r="AB489">
        <f t="shared" si="108"/>
        <v>0</v>
      </c>
      <c r="AC489">
        <f t="shared" si="108"/>
        <v>0</v>
      </c>
      <c r="AD489">
        <f t="shared" si="108"/>
        <v>0</v>
      </c>
      <c r="AE489">
        <f t="shared" si="108"/>
        <v>0</v>
      </c>
      <c r="AF489">
        <f t="shared" si="108"/>
        <v>0</v>
      </c>
      <c r="AG489">
        <f t="shared" si="108"/>
        <v>0</v>
      </c>
      <c r="AH489">
        <f t="shared" si="108"/>
        <v>0</v>
      </c>
      <c r="AI489">
        <f t="shared" si="108"/>
        <v>0</v>
      </c>
      <c r="AJ489">
        <f t="shared" si="108"/>
        <v>0</v>
      </c>
      <c r="AK489">
        <f t="shared" si="106"/>
        <v>0</v>
      </c>
      <c r="AL489">
        <f t="shared" si="106"/>
        <v>0</v>
      </c>
      <c r="AM489">
        <f t="shared" si="106"/>
        <v>0</v>
      </c>
      <c r="AN489">
        <f t="shared" si="106"/>
        <v>0</v>
      </c>
      <c r="AO489">
        <f t="shared" si="106"/>
        <v>0</v>
      </c>
      <c r="AP489">
        <f t="shared" si="106"/>
        <v>0</v>
      </c>
      <c r="AQ489">
        <f t="shared" si="106"/>
        <v>0</v>
      </c>
      <c r="AR489">
        <f t="shared" si="106"/>
        <v>0</v>
      </c>
    </row>
    <row r="490" spans="5:44" x14ac:dyDescent="0.2">
      <c r="E490" s="1">
        <f>moment_rate!$AC490</f>
        <v>7.4493433161470389E-3</v>
      </c>
      <c r="F490" s="1">
        <f t="shared" si="101"/>
        <v>0</v>
      </c>
      <c r="G490">
        <f>moment_rate!I490-0.005</f>
        <v>4.8299999999999415</v>
      </c>
      <c r="H490" s="1">
        <f t="shared" si="102"/>
        <v>0</v>
      </c>
      <c r="I490">
        <f t="shared" si="110"/>
        <v>0</v>
      </c>
      <c r="J490">
        <f t="shared" si="109"/>
        <v>0</v>
      </c>
      <c r="K490">
        <f t="shared" si="109"/>
        <v>0</v>
      </c>
      <c r="L490">
        <f t="shared" si="109"/>
        <v>0</v>
      </c>
      <c r="M490">
        <f t="shared" si="109"/>
        <v>0</v>
      </c>
      <c r="N490">
        <f t="shared" si="109"/>
        <v>0</v>
      </c>
      <c r="O490">
        <f t="shared" si="109"/>
        <v>0</v>
      </c>
      <c r="P490">
        <f t="shared" si="109"/>
        <v>0</v>
      </c>
      <c r="Q490">
        <f t="shared" si="109"/>
        <v>0</v>
      </c>
      <c r="R490">
        <f t="shared" si="109"/>
        <v>0</v>
      </c>
      <c r="S490">
        <f t="shared" si="109"/>
        <v>0</v>
      </c>
      <c r="T490">
        <f t="shared" si="109"/>
        <v>0</v>
      </c>
      <c r="U490">
        <f t="shared" si="109"/>
        <v>0</v>
      </c>
      <c r="V490">
        <f t="shared" si="109"/>
        <v>0</v>
      </c>
      <c r="W490">
        <f t="shared" si="109"/>
        <v>0</v>
      </c>
      <c r="X490">
        <f t="shared" si="109"/>
        <v>0</v>
      </c>
      <c r="Y490">
        <f t="shared" ref="Y490:AN505" si="111">IF(AND($G490&gt;=Y$3,$G490&lt;Y$4),$F490,0)</f>
        <v>0</v>
      </c>
      <c r="Z490">
        <f t="shared" si="111"/>
        <v>0</v>
      </c>
      <c r="AA490">
        <f t="shared" si="111"/>
        <v>0</v>
      </c>
      <c r="AB490">
        <f t="shared" si="111"/>
        <v>0</v>
      </c>
      <c r="AC490">
        <f t="shared" si="111"/>
        <v>0</v>
      </c>
      <c r="AD490">
        <f t="shared" si="111"/>
        <v>0</v>
      </c>
      <c r="AE490">
        <f t="shared" si="111"/>
        <v>0</v>
      </c>
      <c r="AF490">
        <f t="shared" si="111"/>
        <v>0</v>
      </c>
      <c r="AG490">
        <f t="shared" si="111"/>
        <v>0</v>
      </c>
      <c r="AH490">
        <f t="shared" si="111"/>
        <v>0</v>
      </c>
      <c r="AI490">
        <f t="shared" si="111"/>
        <v>0</v>
      </c>
      <c r="AJ490">
        <f t="shared" si="111"/>
        <v>0</v>
      </c>
      <c r="AK490">
        <f t="shared" si="111"/>
        <v>0</v>
      </c>
      <c r="AL490">
        <f t="shared" si="111"/>
        <v>0</v>
      </c>
      <c r="AM490">
        <f t="shared" si="111"/>
        <v>0</v>
      </c>
      <c r="AN490">
        <f t="shared" si="111"/>
        <v>0</v>
      </c>
      <c r="AO490">
        <f t="shared" si="106"/>
        <v>0</v>
      </c>
      <c r="AP490">
        <f t="shared" si="106"/>
        <v>0</v>
      </c>
      <c r="AQ490">
        <f t="shared" si="106"/>
        <v>0</v>
      </c>
      <c r="AR490">
        <f t="shared" si="106"/>
        <v>0</v>
      </c>
    </row>
    <row r="491" spans="5:44" x14ac:dyDescent="0.2">
      <c r="E491" s="1">
        <f>moment_rate!$AC491</f>
        <v>7.4493433161470389E-3</v>
      </c>
      <c r="F491" s="1">
        <f t="shared" si="101"/>
        <v>0</v>
      </c>
      <c r="G491">
        <f>moment_rate!I491-0.005</f>
        <v>4.8399999999999412</v>
      </c>
      <c r="H491" s="1">
        <f t="shared" si="102"/>
        <v>0</v>
      </c>
      <c r="I491">
        <f t="shared" si="110"/>
        <v>0</v>
      </c>
      <c r="J491">
        <f t="shared" ref="J491:Y506" si="112">IF(AND($G491&gt;=J$3,$G491&lt;J$4),$F491,0)</f>
        <v>0</v>
      </c>
      <c r="K491">
        <f t="shared" si="112"/>
        <v>0</v>
      </c>
      <c r="L491">
        <f t="shared" si="112"/>
        <v>0</v>
      </c>
      <c r="M491">
        <f t="shared" si="112"/>
        <v>0</v>
      </c>
      <c r="N491">
        <f t="shared" si="112"/>
        <v>0</v>
      </c>
      <c r="O491">
        <f t="shared" si="112"/>
        <v>0</v>
      </c>
      <c r="P491">
        <f t="shared" si="112"/>
        <v>0</v>
      </c>
      <c r="Q491">
        <f t="shared" si="112"/>
        <v>0</v>
      </c>
      <c r="R491">
        <f t="shared" si="112"/>
        <v>0</v>
      </c>
      <c r="S491">
        <f t="shared" si="112"/>
        <v>0</v>
      </c>
      <c r="T491">
        <f t="shared" si="112"/>
        <v>0</v>
      </c>
      <c r="U491">
        <f t="shared" si="112"/>
        <v>0</v>
      </c>
      <c r="V491">
        <f t="shared" si="112"/>
        <v>0</v>
      </c>
      <c r="W491">
        <f t="shared" si="112"/>
        <v>0</v>
      </c>
      <c r="X491">
        <f t="shared" si="112"/>
        <v>0</v>
      </c>
      <c r="Y491">
        <f t="shared" si="112"/>
        <v>0</v>
      </c>
      <c r="Z491">
        <f t="shared" si="111"/>
        <v>0</v>
      </c>
      <c r="AA491">
        <f t="shared" si="111"/>
        <v>0</v>
      </c>
      <c r="AB491">
        <f t="shared" si="111"/>
        <v>0</v>
      </c>
      <c r="AC491">
        <f t="shared" si="111"/>
        <v>0</v>
      </c>
      <c r="AD491">
        <f t="shared" si="111"/>
        <v>0</v>
      </c>
      <c r="AE491">
        <f t="shared" si="111"/>
        <v>0</v>
      </c>
      <c r="AF491">
        <f t="shared" si="111"/>
        <v>0</v>
      </c>
      <c r="AG491">
        <f t="shared" si="111"/>
        <v>0</v>
      </c>
      <c r="AH491">
        <f t="shared" si="111"/>
        <v>0</v>
      </c>
      <c r="AI491">
        <f t="shared" si="111"/>
        <v>0</v>
      </c>
      <c r="AJ491">
        <f t="shared" si="111"/>
        <v>0</v>
      </c>
      <c r="AK491">
        <f t="shared" si="111"/>
        <v>0</v>
      </c>
      <c r="AL491">
        <f t="shared" si="111"/>
        <v>0</v>
      </c>
      <c r="AM491">
        <f t="shared" si="111"/>
        <v>0</v>
      </c>
      <c r="AN491">
        <f t="shared" si="111"/>
        <v>0</v>
      </c>
      <c r="AO491">
        <f t="shared" si="106"/>
        <v>0</v>
      </c>
      <c r="AP491">
        <f t="shared" si="106"/>
        <v>0</v>
      </c>
      <c r="AQ491">
        <f t="shared" si="106"/>
        <v>0</v>
      </c>
      <c r="AR491">
        <f t="shared" si="106"/>
        <v>0</v>
      </c>
    </row>
    <row r="492" spans="5:44" x14ac:dyDescent="0.2">
      <c r="E492" s="1">
        <f>moment_rate!$AC492</f>
        <v>7.4493433161470389E-3</v>
      </c>
      <c r="F492" s="1">
        <f t="shared" si="101"/>
        <v>0</v>
      </c>
      <c r="G492">
        <f>moment_rate!I492-0.005</f>
        <v>4.849999999999941</v>
      </c>
      <c r="H492" s="1">
        <f t="shared" si="102"/>
        <v>0</v>
      </c>
      <c r="I492">
        <f t="shared" si="110"/>
        <v>0</v>
      </c>
      <c r="J492">
        <f t="shared" si="112"/>
        <v>0</v>
      </c>
      <c r="K492">
        <f t="shared" si="112"/>
        <v>0</v>
      </c>
      <c r="L492">
        <f t="shared" si="112"/>
        <v>0</v>
      </c>
      <c r="M492">
        <f t="shared" si="112"/>
        <v>0</v>
      </c>
      <c r="N492">
        <f t="shared" si="112"/>
        <v>0</v>
      </c>
      <c r="O492">
        <f t="shared" si="112"/>
        <v>0</v>
      </c>
      <c r="P492">
        <f t="shared" si="112"/>
        <v>0</v>
      </c>
      <c r="Q492">
        <f t="shared" si="112"/>
        <v>0</v>
      </c>
      <c r="R492">
        <f t="shared" si="112"/>
        <v>0</v>
      </c>
      <c r="S492">
        <f t="shared" si="112"/>
        <v>0</v>
      </c>
      <c r="T492">
        <f t="shared" si="112"/>
        <v>0</v>
      </c>
      <c r="U492">
        <f t="shared" si="112"/>
        <v>0</v>
      </c>
      <c r="V492">
        <f t="shared" si="112"/>
        <v>0</v>
      </c>
      <c r="W492">
        <f t="shared" si="112"/>
        <v>0</v>
      </c>
      <c r="X492">
        <f t="shared" si="112"/>
        <v>0</v>
      </c>
      <c r="Y492">
        <f t="shared" si="112"/>
        <v>0</v>
      </c>
      <c r="Z492">
        <f t="shared" si="111"/>
        <v>0</v>
      </c>
      <c r="AA492">
        <f t="shared" si="111"/>
        <v>0</v>
      </c>
      <c r="AB492">
        <f t="shared" si="111"/>
        <v>0</v>
      </c>
      <c r="AC492">
        <f t="shared" si="111"/>
        <v>0</v>
      </c>
      <c r="AD492">
        <f t="shared" si="111"/>
        <v>0</v>
      </c>
      <c r="AE492">
        <f t="shared" si="111"/>
        <v>0</v>
      </c>
      <c r="AF492">
        <f t="shared" si="111"/>
        <v>0</v>
      </c>
      <c r="AG492">
        <f t="shared" si="111"/>
        <v>0</v>
      </c>
      <c r="AH492">
        <f t="shared" si="111"/>
        <v>0</v>
      </c>
      <c r="AI492">
        <f t="shared" si="111"/>
        <v>0</v>
      </c>
      <c r="AJ492">
        <f t="shared" si="111"/>
        <v>0</v>
      </c>
      <c r="AK492">
        <f t="shared" si="111"/>
        <v>0</v>
      </c>
      <c r="AL492">
        <f t="shared" si="111"/>
        <v>0</v>
      </c>
      <c r="AM492">
        <f t="shared" si="111"/>
        <v>0</v>
      </c>
      <c r="AN492">
        <f t="shared" si="111"/>
        <v>0</v>
      </c>
      <c r="AO492">
        <f t="shared" si="106"/>
        <v>0</v>
      </c>
      <c r="AP492">
        <f t="shared" si="106"/>
        <v>0</v>
      </c>
      <c r="AQ492">
        <f t="shared" si="106"/>
        <v>0</v>
      </c>
      <c r="AR492">
        <f t="shared" si="106"/>
        <v>0</v>
      </c>
    </row>
    <row r="493" spans="5:44" x14ac:dyDescent="0.2">
      <c r="E493" s="1">
        <f>moment_rate!$AC493</f>
        <v>7.4493433161470389E-3</v>
      </c>
      <c r="F493" s="1">
        <f t="shared" si="101"/>
        <v>0</v>
      </c>
      <c r="G493">
        <f>moment_rate!I493-0.005</f>
        <v>4.8599999999999408</v>
      </c>
      <c r="H493" s="1">
        <f t="shared" si="102"/>
        <v>0</v>
      </c>
      <c r="I493">
        <f t="shared" si="110"/>
        <v>0</v>
      </c>
      <c r="J493">
        <f t="shared" si="112"/>
        <v>0</v>
      </c>
      <c r="K493">
        <f t="shared" si="112"/>
        <v>0</v>
      </c>
      <c r="L493">
        <f t="shared" si="112"/>
        <v>0</v>
      </c>
      <c r="M493">
        <f t="shared" si="112"/>
        <v>0</v>
      </c>
      <c r="N493">
        <f t="shared" si="112"/>
        <v>0</v>
      </c>
      <c r="O493">
        <f t="shared" si="112"/>
        <v>0</v>
      </c>
      <c r="P493">
        <f t="shared" si="112"/>
        <v>0</v>
      </c>
      <c r="Q493">
        <f t="shared" si="112"/>
        <v>0</v>
      </c>
      <c r="R493">
        <f t="shared" si="112"/>
        <v>0</v>
      </c>
      <c r="S493">
        <f t="shared" si="112"/>
        <v>0</v>
      </c>
      <c r="T493">
        <f t="shared" si="112"/>
        <v>0</v>
      </c>
      <c r="U493">
        <f t="shared" si="112"/>
        <v>0</v>
      </c>
      <c r="V493">
        <f t="shared" si="112"/>
        <v>0</v>
      </c>
      <c r="W493">
        <f t="shared" si="112"/>
        <v>0</v>
      </c>
      <c r="X493">
        <f t="shared" si="112"/>
        <v>0</v>
      </c>
      <c r="Y493">
        <f t="shared" si="112"/>
        <v>0</v>
      </c>
      <c r="Z493">
        <f t="shared" si="111"/>
        <v>0</v>
      </c>
      <c r="AA493">
        <f t="shared" si="111"/>
        <v>0</v>
      </c>
      <c r="AB493">
        <f t="shared" si="111"/>
        <v>0</v>
      </c>
      <c r="AC493">
        <f t="shared" si="111"/>
        <v>0</v>
      </c>
      <c r="AD493">
        <f t="shared" si="111"/>
        <v>0</v>
      </c>
      <c r="AE493">
        <f t="shared" si="111"/>
        <v>0</v>
      </c>
      <c r="AF493">
        <f t="shared" si="111"/>
        <v>0</v>
      </c>
      <c r="AG493">
        <f t="shared" si="111"/>
        <v>0</v>
      </c>
      <c r="AH493">
        <f t="shared" si="111"/>
        <v>0</v>
      </c>
      <c r="AI493">
        <f t="shared" si="111"/>
        <v>0</v>
      </c>
      <c r="AJ493">
        <f t="shared" si="111"/>
        <v>0</v>
      </c>
      <c r="AK493">
        <f t="shared" si="111"/>
        <v>0</v>
      </c>
      <c r="AL493">
        <f t="shared" si="111"/>
        <v>0</v>
      </c>
      <c r="AM493">
        <f t="shared" si="111"/>
        <v>0</v>
      </c>
      <c r="AN493">
        <f t="shared" si="111"/>
        <v>0</v>
      </c>
      <c r="AO493">
        <f t="shared" si="106"/>
        <v>0</v>
      </c>
      <c r="AP493">
        <f t="shared" si="106"/>
        <v>0</v>
      </c>
      <c r="AQ493">
        <f t="shared" si="106"/>
        <v>0</v>
      </c>
      <c r="AR493">
        <f t="shared" si="106"/>
        <v>0</v>
      </c>
    </row>
    <row r="494" spans="5:44" x14ac:dyDescent="0.2">
      <c r="E494" s="1">
        <f>moment_rate!$AC494</f>
        <v>7.4493433161470389E-3</v>
      </c>
      <c r="F494" s="1">
        <f t="shared" si="101"/>
        <v>0</v>
      </c>
      <c r="G494">
        <f>moment_rate!I494-0.005</f>
        <v>4.8699999999999406</v>
      </c>
      <c r="H494" s="1">
        <f t="shared" si="102"/>
        <v>0</v>
      </c>
      <c r="I494">
        <f t="shared" si="110"/>
        <v>0</v>
      </c>
      <c r="J494">
        <f t="shared" si="112"/>
        <v>0</v>
      </c>
      <c r="K494">
        <f t="shared" si="112"/>
        <v>0</v>
      </c>
      <c r="L494">
        <f t="shared" si="112"/>
        <v>0</v>
      </c>
      <c r="M494">
        <f t="shared" si="112"/>
        <v>0</v>
      </c>
      <c r="N494">
        <f t="shared" si="112"/>
        <v>0</v>
      </c>
      <c r="O494">
        <f t="shared" si="112"/>
        <v>0</v>
      </c>
      <c r="P494">
        <f t="shared" si="112"/>
        <v>0</v>
      </c>
      <c r="Q494">
        <f t="shared" si="112"/>
        <v>0</v>
      </c>
      <c r="R494">
        <f t="shared" si="112"/>
        <v>0</v>
      </c>
      <c r="S494">
        <f t="shared" si="112"/>
        <v>0</v>
      </c>
      <c r="T494">
        <f t="shared" si="112"/>
        <v>0</v>
      </c>
      <c r="U494">
        <f t="shared" si="112"/>
        <v>0</v>
      </c>
      <c r="V494">
        <f t="shared" si="112"/>
        <v>0</v>
      </c>
      <c r="W494">
        <f t="shared" si="112"/>
        <v>0</v>
      </c>
      <c r="X494">
        <f t="shared" si="112"/>
        <v>0</v>
      </c>
      <c r="Y494">
        <f t="shared" si="112"/>
        <v>0</v>
      </c>
      <c r="Z494">
        <f t="shared" si="111"/>
        <v>0</v>
      </c>
      <c r="AA494">
        <f t="shared" si="111"/>
        <v>0</v>
      </c>
      <c r="AB494">
        <f t="shared" si="111"/>
        <v>0</v>
      </c>
      <c r="AC494">
        <f t="shared" si="111"/>
        <v>0</v>
      </c>
      <c r="AD494">
        <f t="shared" si="111"/>
        <v>0</v>
      </c>
      <c r="AE494">
        <f t="shared" si="111"/>
        <v>0</v>
      </c>
      <c r="AF494">
        <f t="shared" si="111"/>
        <v>0</v>
      </c>
      <c r="AG494">
        <f t="shared" si="111"/>
        <v>0</v>
      </c>
      <c r="AH494">
        <f t="shared" si="111"/>
        <v>0</v>
      </c>
      <c r="AI494">
        <f t="shared" si="111"/>
        <v>0</v>
      </c>
      <c r="AJ494">
        <f t="shared" si="111"/>
        <v>0</v>
      </c>
      <c r="AK494">
        <f t="shared" si="111"/>
        <v>0</v>
      </c>
      <c r="AL494">
        <f t="shared" si="111"/>
        <v>0</v>
      </c>
      <c r="AM494">
        <f t="shared" si="111"/>
        <v>0</v>
      </c>
      <c r="AN494">
        <f t="shared" si="111"/>
        <v>0</v>
      </c>
      <c r="AO494">
        <f t="shared" si="106"/>
        <v>0</v>
      </c>
      <c r="AP494">
        <f t="shared" si="106"/>
        <v>0</v>
      </c>
      <c r="AQ494">
        <f t="shared" si="106"/>
        <v>0</v>
      </c>
      <c r="AR494">
        <f t="shared" si="106"/>
        <v>0</v>
      </c>
    </row>
    <row r="495" spans="5:44" x14ac:dyDescent="0.2">
      <c r="E495" s="1">
        <f>moment_rate!$AC495</f>
        <v>7.4493433161470389E-3</v>
      </c>
      <c r="F495" s="1">
        <f t="shared" si="101"/>
        <v>0</v>
      </c>
      <c r="G495">
        <f>moment_rate!I495-0.005</f>
        <v>4.8799999999999404</v>
      </c>
      <c r="H495" s="1">
        <f t="shared" si="102"/>
        <v>0</v>
      </c>
      <c r="I495">
        <f t="shared" si="110"/>
        <v>0</v>
      </c>
      <c r="J495">
        <f t="shared" si="112"/>
        <v>0</v>
      </c>
      <c r="K495">
        <f t="shared" si="112"/>
        <v>0</v>
      </c>
      <c r="L495">
        <f t="shared" si="112"/>
        <v>0</v>
      </c>
      <c r="M495">
        <f t="shared" si="112"/>
        <v>0</v>
      </c>
      <c r="N495">
        <f t="shared" si="112"/>
        <v>0</v>
      </c>
      <c r="O495">
        <f t="shared" si="112"/>
        <v>0</v>
      </c>
      <c r="P495">
        <f t="shared" si="112"/>
        <v>0</v>
      </c>
      <c r="Q495">
        <f t="shared" si="112"/>
        <v>0</v>
      </c>
      <c r="R495">
        <f t="shared" si="112"/>
        <v>0</v>
      </c>
      <c r="S495">
        <f t="shared" si="112"/>
        <v>0</v>
      </c>
      <c r="T495">
        <f t="shared" si="112"/>
        <v>0</v>
      </c>
      <c r="U495">
        <f t="shared" si="112"/>
        <v>0</v>
      </c>
      <c r="V495">
        <f t="shared" si="112"/>
        <v>0</v>
      </c>
      <c r="W495">
        <f t="shared" si="112"/>
        <v>0</v>
      </c>
      <c r="X495">
        <f t="shared" si="112"/>
        <v>0</v>
      </c>
      <c r="Y495">
        <f t="shared" si="112"/>
        <v>0</v>
      </c>
      <c r="Z495">
        <f t="shared" si="111"/>
        <v>0</v>
      </c>
      <c r="AA495">
        <f t="shared" si="111"/>
        <v>0</v>
      </c>
      <c r="AB495">
        <f t="shared" si="111"/>
        <v>0</v>
      </c>
      <c r="AC495">
        <f t="shared" si="111"/>
        <v>0</v>
      </c>
      <c r="AD495">
        <f t="shared" si="111"/>
        <v>0</v>
      </c>
      <c r="AE495">
        <f t="shared" si="111"/>
        <v>0</v>
      </c>
      <c r="AF495">
        <f t="shared" si="111"/>
        <v>0</v>
      </c>
      <c r="AG495">
        <f t="shared" si="111"/>
        <v>0</v>
      </c>
      <c r="AH495">
        <f t="shared" si="111"/>
        <v>0</v>
      </c>
      <c r="AI495">
        <f t="shared" si="111"/>
        <v>0</v>
      </c>
      <c r="AJ495">
        <f t="shared" si="111"/>
        <v>0</v>
      </c>
      <c r="AK495">
        <f t="shared" si="111"/>
        <v>0</v>
      </c>
      <c r="AL495">
        <f t="shared" si="111"/>
        <v>0</v>
      </c>
      <c r="AM495">
        <f t="shared" si="111"/>
        <v>0</v>
      </c>
      <c r="AN495">
        <f t="shared" si="111"/>
        <v>0</v>
      </c>
      <c r="AO495">
        <f t="shared" si="106"/>
        <v>0</v>
      </c>
      <c r="AP495">
        <f t="shared" si="106"/>
        <v>0</v>
      </c>
      <c r="AQ495">
        <f t="shared" si="106"/>
        <v>0</v>
      </c>
      <c r="AR495">
        <f t="shared" si="106"/>
        <v>0</v>
      </c>
    </row>
    <row r="496" spans="5:44" x14ac:dyDescent="0.2">
      <c r="E496" s="1">
        <f>moment_rate!$AC496</f>
        <v>7.4493433161470389E-3</v>
      </c>
      <c r="F496" s="1">
        <f t="shared" si="101"/>
        <v>0</v>
      </c>
      <c r="G496">
        <f>moment_rate!I496-0.005</f>
        <v>4.8899999999999402</v>
      </c>
      <c r="H496" s="1">
        <f t="shared" si="102"/>
        <v>0</v>
      </c>
      <c r="I496">
        <f t="shared" si="110"/>
        <v>0</v>
      </c>
      <c r="J496">
        <f t="shared" si="112"/>
        <v>0</v>
      </c>
      <c r="K496">
        <f t="shared" si="112"/>
        <v>0</v>
      </c>
      <c r="L496">
        <f t="shared" si="112"/>
        <v>0</v>
      </c>
      <c r="M496">
        <f t="shared" si="112"/>
        <v>0</v>
      </c>
      <c r="N496">
        <f t="shared" si="112"/>
        <v>0</v>
      </c>
      <c r="O496">
        <f t="shared" si="112"/>
        <v>0</v>
      </c>
      <c r="P496">
        <f t="shared" si="112"/>
        <v>0</v>
      </c>
      <c r="Q496">
        <f t="shared" si="112"/>
        <v>0</v>
      </c>
      <c r="R496">
        <f t="shared" si="112"/>
        <v>0</v>
      </c>
      <c r="S496">
        <f t="shared" si="112"/>
        <v>0</v>
      </c>
      <c r="T496">
        <f t="shared" si="112"/>
        <v>0</v>
      </c>
      <c r="U496">
        <f t="shared" si="112"/>
        <v>0</v>
      </c>
      <c r="V496">
        <f t="shared" si="112"/>
        <v>0</v>
      </c>
      <c r="W496">
        <f t="shared" si="112"/>
        <v>0</v>
      </c>
      <c r="X496">
        <f t="shared" si="112"/>
        <v>0</v>
      </c>
      <c r="Y496">
        <f t="shared" si="112"/>
        <v>0</v>
      </c>
      <c r="Z496">
        <f t="shared" si="111"/>
        <v>0</v>
      </c>
      <c r="AA496">
        <f t="shared" si="111"/>
        <v>0</v>
      </c>
      <c r="AB496">
        <f t="shared" si="111"/>
        <v>0</v>
      </c>
      <c r="AC496">
        <f t="shared" si="111"/>
        <v>0</v>
      </c>
      <c r="AD496">
        <f t="shared" si="111"/>
        <v>0</v>
      </c>
      <c r="AE496">
        <f t="shared" si="111"/>
        <v>0</v>
      </c>
      <c r="AF496">
        <f t="shared" si="111"/>
        <v>0</v>
      </c>
      <c r="AG496">
        <f t="shared" si="111"/>
        <v>0</v>
      </c>
      <c r="AH496">
        <f t="shared" si="111"/>
        <v>0</v>
      </c>
      <c r="AI496">
        <f t="shared" si="111"/>
        <v>0</v>
      </c>
      <c r="AJ496">
        <f t="shared" si="111"/>
        <v>0</v>
      </c>
      <c r="AK496">
        <f t="shared" si="111"/>
        <v>0</v>
      </c>
      <c r="AL496">
        <f t="shared" si="111"/>
        <v>0</v>
      </c>
      <c r="AM496">
        <f t="shared" si="111"/>
        <v>0</v>
      </c>
      <c r="AN496">
        <f t="shared" si="111"/>
        <v>0</v>
      </c>
      <c r="AO496">
        <f t="shared" si="106"/>
        <v>0</v>
      </c>
      <c r="AP496">
        <f t="shared" si="106"/>
        <v>0</v>
      </c>
      <c r="AQ496">
        <f t="shared" si="106"/>
        <v>0</v>
      </c>
      <c r="AR496">
        <f t="shared" si="106"/>
        <v>0</v>
      </c>
    </row>
    <row r="497" spans="5:44" x14ac:dyDescent="0.2">
      <c r="E497" s="1">
        <f>moment_rate!$AC497</f>
        <v>7.4493433161470389E-3</v>
      </c>
      <c r="F497" s="1">
        <f t="shared" si="101"/>
        <v>0</v>
      </c>
      <c r="G497">
        <f>moment_rate!I497-0.005</f>
        <v>4.89999999999994</v>
      </c>
      <c r="H497" s="1">
        <f t="shared" si="102"/>
        <v>0</v>
      </c>
      <c r="I497">
        <f t="shared" si="110"/>
        <v>0</v>
      </c>
      <c r="J497">
        <f t="shared" si="112"/>
        <v>0</v>
      </c>
      <c r="K497">
        <f t="shared" si="112"/>
        <v>0</v>
      </c>
      <c r="L497">
        <f t="shared" si="112"/>
        <v>0</v>
      </c>
      <c r="M497">
        <f t="shared" si="112"/>
        <v>0</v>
      </c>
      <c r="N497">
        <f t="shared" si="112"/>
        <v>0</v>
      </c>
      <c r="O497">
        <f t="shared" si="112"/>
        <v>0</v>
      </c>
      <c r="P497">
        <f t="shared" si="112"/>
        <v>0</v>
      </c>
      <c r="Q497">
        <f t="shared" si="112"/>
        <v>0</v>
      </c>
      <c r="R497">
        <f t="shared" si="112"/>
        <v>0</v>
      </c>
      <c r="S497">
        <f t="shared" si="112"/>
        <v>0</v>
      </c>
      <c r="T497">
        <f t="shared" si="112"/>
        <v>0</v>
      </c>
      <c r="U497">
        <f t="shared" si="112"/>
        <v>0</v>
      </c>
      <c r="V497">
        <f t="shared" si="112"/>
        <v>0</v>
      </c>
      <c r="W497">
        <f t="shared" si="112"/>
        <v>0</v>
      </c>
      <c r="X497">
        <f t="shared" si="112"/>
        <v>0</v>
      </c>
      <c r="Y497">
        <f t="shared" si="112"/>
        <v>0</v>
      </c>
      <c r="Z497">
        <f t="shared" si="111"/>
        <v>0</v>
      </c>
      <c r="AA497">
        <f t="shared" si="111"/>
        <v>0</v>
      </c>
      <c r="AB497">
        <f t="shared" si="111"/>
        <v>0</v>
      </c>
      <c r="AC497">
        <f t="shared" si="111"/>
        <v>0</v>
      </c>
      <c r="AD497">
        <f t="shared" si="111"/>
        <v>0</v>
      </c>
      <c r="AE497">
        <f t="shared" si="111"/>
        <v>0</v>
      </c>
      <c r="AF497">
        <f t="shared" si="111"/>
        <v>0</v>
      </c>
      <c r="AG497">
        <f t="shared" si="111"/>
        <v>0</v>
      </c>
      <c r="AH497">
        <f t="shared" si="111"/>
        <v>0</v>
      </c>
      <c r="AI497">
        <f t="shared" si="111"/>
        <v>0</v>
      </c>
      <c r="AJ497">
        <f t="shared" si="111"/>
        <v>0</v>
      </c>
      <c r="AK497">
        <f t="shared" si="111"/>
        <v>0</v>
      </c>
      <c r="AL497">
        <f t="shared" si="111"/>
        <v>0</v>
      </c>
      <c r="AM497">
        <f t="shared" si="111"/>
        <v>0</v>
      </c>
      <c r="AN497">
        <f t="shared" si="111"/>
        <v>0</v>
      </c>
      <c r="AO497">
        <f t="shared" si="106"/>
        <v>0</v>
      </c>
      <c r="AP497">
        <f t="shared" si="106"/>
        <v>0</v>
      </c>
      <c r="AQ497">
        <f t="shared" si="106"/>
        <v>0</v>
      </c>
      <c r="AR497">
        <f t="shared" si="106"/>
        <v>0</v>
      </c>
    </row>
    <row r="498" spans="5:44" x14ac:dyDescent="0.2">
      <c r="E498" s="1">
        <f>moment_rate!$AC498</f>
        <v>7.4493433161470389E-3</v>
      </c>
      <c r="F498" s="1">
        <f t="shared" si="101"/>
        <v>0</v>
      </c>
      <c r="G498">
        <f>moment_rate!I498-0.005</f>
        <v>4.9099999999999397</v>
      </c>
      <c r="H498" s="1">
        <f t="shared" si="102"/>
        <v>0</v>
      </c>
      <c r="I498">
        <f t="shared" si="110"/>
        <v>0</v>
      </c>
      <c r="J498">
        <f t="shared" si="112"/>
        <v>0</v>
      </c>
      <c r="K498">
        <f t="shared" si="112"/>
        <v>0</v>
      </c>
      <c r="L498">
        <f t="shared" si="112"/>
        <v>0</v>
      </c>
      <c r="M498">
        <f t="shared" si="112"/>
        <v>0</v>
      </c>
      <c r="N498">
        <f t="shared" si="112"/>
        <v>0</v>
      </c>
      <c r="O498">
        <f t="shared" si="112"/>
        <v>0</v>
      </c>
      <c r="P498">
        <f t="shared" si="112"/>
        <v>0</v>
      </c>
      <c r="Q498">
        <f t="shared" si="112"/>
        <v>0</v>
      </c>
      <c r="R498">
        <f t="shared" si="112"/>
        <v>0</v>
      </c>
      <c r="S498">
        <f t="shared" si="112"/>
        <v>0</v>
      </c>
      <c r="T498">
        <f t="shared" si="112"/>
        <v>0</v>
      </c>
      <c r="U498">
        <f t="shared" si="112"/>
        <v>0</v>
      </c>
      <c r="V498">
        <f t="shared" si="112"/>
        <v>0</v>
      </c>
      <c r="W498">
        <f t="shared" si="112"/>
        <v>0</v>
      </c>
      <c r="X498">
        <f t="shared" si="112"/>
        <v>0</v>
      </c>
      <c r="Y498">
        <f t="shared" si="112"/>
        <v>0</v>
      </c>
      <c r="Z498">
        <f t="shared" si="111"/>
        <v>0</v>
      </c>
      <c r="AA498">
        <f t="shared" si="111"/>
        <v>0</v>
      </c>
      <c r="AB498">
        <f t="shared" si="111"/>
        <v>0</v>
      </c>
      <c r="AC498">
        <f t="shared" si="111"/>
        <v>0</v>
      </c>
      <c r="AD498">
        <f t="shared" si="111"/>
        <v>0</v>
      </c>
      <c r="AE498">
        <f t="shared" si="111"/>
        <v>0</v>
      </c>
      <c r="AF498">
        <f t="shared" si="111"/>
        <v>0</v>
      </c>
      <c r="AG498">
        <f t="shared" si="111"/>
        <v>0</v>
      </c>
      <c r="AH498">
        <f t="shared" si="111"/>
        <v>0</v>
      </c>
      <c r="AI498">
        <f t="shared" si="111"/>
        <v>0</v>
      </c>
      <c r="AJ498">
        <f t="shared" si="111"/>
        <v>0</v>
      </c>
      <c r="AK498">
        <f t="shared" si="111"/>
        <v>0</v>
      </c>
      <c r="AL498">
        <f t="shared" si="111"/>
        <v>0</v>
      </c>
      <c r="AM498">
        <f t="shared" si="111"/>
        <v>0</v>
      </c>
      <c r="AN498">
        <f t="shared" si="111"/>
        <v>0</v>
      </c>
      <c r="AO498">
        <f t="shared" si="106"/>
        <v>0</v>
      </c>
      <c r="AP498">
        <f t="shared" si="106"/>
        <v>0</v>
      </c>
      <c r="AQ498">
        <f t="shared" si="106"/>
        <v>0</v>
      </c>
      <c r="AR498">
        <f t="shared" si="106"/>
        <v>0</v>
      </c>
    </row>
    <row r="499" spans="5:44" x14ac:dyDescent="0.2">
      <c r="E499" s="1">
        <f>moment_rate!$AC499</f>
        <v>7.4493433161470389E-3</v>
      </c>
      <c r="F499" s="1">
        <f t="shared" si="101"/>
        <v>0</v>
      </c>
      <c r="G499">
        <f>moment_rate!I499-0.005</f>
        <v>4.9199999999999395</v>
      </c>
      <c r="H499" s="1">
        <f t="shared" si="102"/>
        <v>0</v>
      </c>
      <c r="I499">
        <f t="shared" si="110"/>
        <v>0</v>
      </c>
      <c r="J499">
        <f t="shared" si="112"/>
        <v>0</v>
      </c>
      <c r="K499">
        <f t="shared" si="112"/>
        <v>0</v>
      </c>
      <c r="L499">
        <f t="shared" si="112"/>
        <v>0</v>
      </c>
      <c r="M499">
        <f t="shared" si="112"/>
        <v>0</v>
      </c>
      <c r="N499">
        <f t="shared" si="112"/>
        <v>0</v>
      </c>
      <c r="O499">
        <f t="shared" si="112"/>
        <v>0</v>
      </c>
      <c r="P499">
        <f t="shared" si="112"/>
        <v>0</v>
      </c>
      <c r="Q499">
        <f t="shared" si="112"/>
        <v>0</v>
      </c>
      <c r="R499">
        <f t="shared" si="112"/>
        <v>0</v>
      </c>
      <c r="S499">
        <f t="shared" si="112"/>
        <v>0</v>
      </c>
      <c r="T499">
        <f t="shared" si="112"/>
        <v>0</v>
      </c>
      <c r="U499">
        <f t="shared" si="112"/>
        <v>0</v>
      </c>
      <c r="V499">
        <f t="shared" si="112"/>
        <v>0</v>
      </c>
      <c r="W499">
        <f t="shared" si="112"/>
        <v>0</v>
      </c>
      <c r="X499">
        <f t="shared" si="112"/>
        <v>0</v>
      </c>
      <c r="Y499">
        <f t="shared" si="112"/>
        <v>0</v>
      </c>
      <c r="Z499">
        <f t="shared" si="111"/>
        <v>0</v>
      </c>
      <c r="AA499">
        <f t="shared" si="111"/>
        <v>0</v>
      </c>
      <c r="AB499">
        <f t="shared" si="111"/>
        <v>0</v>
      </c>
      <c r="AC499">
        <f t="shared" si="111"/>
        <v>0</v>
      </c>
      <c r="AD499">
        <f t="shared" si="111"/>
        <v>0</v>
      </c>
      <c r="AE499">
        <f t="shared" si="111"/>
        <v>0</v>
      </c>
      <c r="AF499">
        <f t="shared" si="111"/>
        <v>0</v>
      </c>
      <c r="AG499">
        <f t="shared" si="111"/>
        <v>0</v>
      </c>
      <c r="AH499">
        <f t="shared" si="111"/>
        <v>0</v>
      </c>
      <c r="AI499">
        <f t="shared" si="111"/>
        <v>0</v>
      </c>
      <c r="AJ499">
        <f t="shared" si="111"/>
        <v>0</v>
      </c>
      <c r="AK499">
        <f t="shared" si="111"/>
        <v>0</v>
      </c>
      <c r="AL499">
        <f t="shared" si="111"/>
        <v>0</v>
      </c>
      <c r="AM499">
        <f t="shared" si="111"/>
        <v>0</v>
      </c>
      <c r="AN499">
        <f t="shared" si="111"/>
        <v>0</v>
      </c>
      <c r="AO499">
        <f t="shared" si="106"/>
        <v>0</v>
      </c>
      <c r="AP499">
        <f t="shared" si="106"/>
        <v>0</v>
      </c>
      <c r="AQ499">
        <f t="shared" si="106"/>
        <v>0</v>
      </c>
      <c r="AR499">
        <f t="shared" si="106"/>
        <v>0</v>
      </c>
    </row>
    <row r="500" spans="5:44" x14ac:dyDescent="0.2">
      <c r="E500" s="1">
        <f>moment_rate!$AC500</f>
        <v>7.4493433161470389E-3</v>
      </c>
      <c r="F500" s="1">
        <f t="shared" si="101"/>
        <v>0</v>
      </c>
      <c r="G500">
        <f>moment_rate!I500-0.005</f>
        <v>4.9299999999999393</v>
      </c>
      <c r="H500" s="1">
        <f t="shared" si="102"/>
        <v>0</v>
      </c>
      <c r="I500">
        <f t="shared" si="110"/>
        <v>0</v>
      </c>
      <c r="J500">
        <f t="shared" si="112"/>
        <v>0</v>
      </c>
      <c r="K500">
        <f t="shared" si="112"/>
        <v>0</v>
      </c>
      <c r="L500">
        <f t="shared" si="112"/>
        <v>0</v>
      </c>
      <c r="M500">
        <f t="shared" si="112"/>
        <v>0</v>
      </c>
      <c r="N500">
        <f t="shared" si="112"/>
        <v>0</v>
      </c>
      <c r="O500">
        <f t="shared" si="112"/>
        <v>0</v>
      </c>
      <c r="P500">
        <f t="shared" si="112"/>
        <v>0</v>
      </c>
      <c r="Q500">
        <f t="shared" si="112"/>
        <v>0</v>
      </c>
      <c r="R500">
        <f t="shared" si="112"/>
        <v>0</v>
      </c>
      <c r="S500">
        <f t="shared" si="112"/>
        <v>0</v>
      </c>
      <c r="T500">
        <f t="shared" si="112"/>
        <v>0</v>
      </c>
      <c r="U500">
        <f t="shared" si="112"/>
        <v>0</v>
      </c>
      <c r="V500">
        <f t="shared" si="112"/>
        <v>0</v>
      </c>
      <c r="W500">
        <f t="shared" si="112"/>
        <v>0</v>
      </c>
      <c r="X500">
        <f t="shared" si="112"/>
        <v>0</v>
      </c>
      <c r="Y500">
        <f t="shared" si="112"/>
        <v>0</v>
      </c>
      <c r="Z500">
        <f t="shared" si="111"/>
        <v>0</v>
      </c>
      <c r="AA500">
        <f t="shared" si="111"/>
        <v>0</v>
      </c>
      <c r="AB500">
        <f t="shared" si="111"/>
        <v>0</v>
      </c>
      <c r="AC500">
        <f t="shared" si="111"/>
        <v>0</v>
      </c>
      <c r="AD500">
        <f t="shared" si="111"/>
        <v>0</v>
      </c>
      <c r="AE500">
        <f t="shared" si="111"/>
        <v>0</v>
      </c>
      <c r="AF500">
        <f t="shared" si="111"/>
        <v>0</v>
      </c>
      <c r="AG500">
        <f t="shared" si="111"/>
        <v>0</v>
      </c>
      <c r="AH500">
        <f t="shared" si="111"/>
        <v>0</v>
      </c>
      <c r="AI500">
        <f t="shared" si="111"/>
        <v>0</v>
      </c>
      <c r="AJ500">
        <f t="shared" si="111"/>
        <v>0</v>
      </c>
      <c r="AK500">
        <f t="shared" si="111"/>
        <v>0</v>
      </c>
      <c r="AL500">
        <f t="shared" si="111"/>
        <v>0</v>
      </c>
      <c r="AM500">
        <f t="shared" si="111"/>
        <v>0</v>
      </c>
      <c r="AN500">
        <f t="shared" si="111"/>
        <v>0</v>
      </c>
      <c r="AO500">
        <f t="shared" si="106"/>
        <v>0</v>
      </c>
      <c r="AP500">
        <f t="shared" si="106"/>
        <v>0</v>
      </c>
      <c r="AQ500">
        <f t="shared" si="106"/>
        <v>0</v>
      </c>
      <c r="AR500">
        <f t="shared" si="106"/>
        <v>0</v>
      </c>
    </row>
    <row r="501" spans="5:44" x14ac:dyDescent="0.2">
      <c r="E501" s="1">
        <f>moment_rate!$AC501</f>
        <v>7.4493433161470389E-3</v>
      </c>
      <c r="F501" s="1">
        <f t="shared" si="101"/>
        <v>0</v>
      </c>
      <c r="G501">
        <f>moment_rate!I501-0.005</f>
        <v>4.9399999999999391</v>
      </c>
      <c r="H501" s="1">
        <f t="shared" si="102"/>
        <v>0</v>
      </c>
      <c r="I501">
        <f t="shared" si="110"/>
        <v>0</v>
      </c>
      <c r="J501">
        <f t="shared" si="112"/>
        <v>0</v>
      </c>
      <c r="K501">
        <f t="shared" si="112"/>
        <v>0</v>
      </c>
      <c r="L501">
        <f t="shared" si="112"/>
        <v>0</v>
      </c>
      <c r="M501">
        <f t="shared" si="112"/>
        <v>0</v>
      </c>
      <c r="N501">
        <f t="shared" si="112"/>
        <v>0</v>
      </c>
      <c r="O501">
        <f t="shared" si="112"/>
        <v>0</v>
      </c>
      <c r="P501">
        <f t="shared" si="112"/>
        <v>0</v>
      </c>
      <c r="Q501">
        <f t="shared" si="112"/>
        <v>0</v>
      </c>
      <c r="R501">
        <f t="shared" si="112"/>
        <v>0</v>
      </c>
      <c r="S501">
        <f t="shared" si="112"/>
        <v>0</v>
      </c>
      <c r="T501">
        <f t="shared" si="112"/>
        <v>0</v>
      </c>
      <c r="U501">
        <f t="shared" si="112"/>
        <v>0</v>
      </c>
      <c r="V501">
        <f t="shared" si="112"/>
        <v>0</v>
      </c>
      <c r="W501">
        <f t="shared" si="112"/>
        <v>0</v>
      </c>
      <c r="X501">
        <f t="shared" si="112"/>
        <v>0</v>
      </c>
      <c r="Y501">
        <f t="shared" si="112"/>
        <v>0</v>
      </c>
      <c r="Z501">
        <f t="shared" si="111"/>
        <v>0</v>
      </c>
      <c r="AA501">
        <f t="shared" si="111"/>
        <v>0</v>
      </c>
      <c r="AB501">
        <f t="shared" si="111"/>
        <v>0</v>
      </c>
      <c r="AC501">
        <f t="shared" si="111"/>
        <v>0</v>
      </c>
      <c r="AD501">
        <f t="shared" si="111"/>
        <v>0</v>
      </c>
      <c r="AE501">
        <f t="shared" si="111"/>
        <v>0</v>
      </c>
      <c r="AF501">
        <f t="shared" si="111"/>
        <v>0</v>
      </c>
      <c r="AG501">
        <f t="shared" si="111"/>
        <v>0</v>
      </c>
      <c r="AH501">
        <f t="shared" si="111"/>
        <v>0</v>
      </c>
      <c r="AI501">
        <f t="shared" si="111"/>
        <v>0</v>
      </c>
      <c r="AJ501">
        <f t="shared" si="111"/>
        <v>0</v>
      </c>
      <c r="AK501">
        <f t="shared" si="111"/>
        <v>0</v>
      </c>
      <c r="AL501">
        <f t="shared" si="111"/>
        <v>0</v>
      </c>
      <c r="AM501">
        <f t="shared" si="111"/>
        <v>0</v>
      </c>
      <c r="AN501">
        <f t="shared" si="111"/>
        <v>0</v>
      </c>
      <c r="AO501">
        <f t="shared" si="106"/>
        <v>0</v>
      </c>
      <c r="AP501">
        <f t="shared" si="106"/>
        <v>0</v>
      </c>
      <c r="AQ501">
        <f t="shared" si="106"/>
        <v>0</v>
      </c>
      <c r="AR501">
        <f t="shared" si="106"/>
        <v>0</v>
      </c>
    </row>
    <row r="502" spans="5:44" x14ac:dyDescent="0.2">
      <c r="E502" s="1">
        <f>moment_rate!$AC502</f>
        <v>7.4493433161470389E-3</v>
      </c>
      <c r="F502" s="1">
        <f t="shared" si="101"/>
        <v>0</v>
      </c>
      <c r="G502">
        <f>moment_rate!I502-0.005</f>
        <v>4.9499999999999389</v>
      </c>
      <c r="H502" s="1">
        <f t="shared" si="102"/>
        <v>0</v>
      </c>
      <c r="I502">
        <f t="shared" si="110"/>
        <v>0</v>
      </c>
      <c r="J502">
        <f t="shared" si="112"/>
        <v>0</v>
      </c>
      <c r="K502">
        <f t="shared" si="112"/>
        <v>0</v>
      </c>
      <c r="L502">
        <f t="shared" si="112"/>
        <v>0</v>
      </c>
      <c r="M502">
        <f t="shared" si="112"/>
        <v>0</v>
      </c>
      <c r="N502">
        <f t="shared" si="112"/>
        <v>0</v>
      </c>
      <c r="O502">
        <f t="shared" si="112"/>
        <v>0</v>
      </c>
      <c r="P502">
        <f t="shared" si="112"/>
        <v>0</v>
      </c>
      <c r="Q502">
        <f t="shared" si="112"/>
        <v>0</v>
      </c>
      <c r="R502">
        <f t="shared" si="112"/>
        <v>0</v>
      </c>
      <c r="S502">
        <f t="shared" si="112"/>
        <v>0</v>
      </c>
      <c r="T502">
        <f t="shared" si="112"/>
        <v>0</v>
      </c>
      <c r="U502">
        <f t="shared" si="112"/>
        <v>0</v>
      </c>
      <c r="V502">
        <f t="shared" si="112"/>
        <v>0</v>
      </c>
      <c r="W502">
        <f t="shared" si="112"/>
        <v>0</v>
      </c>
      <c r="X502">
        <f t="shared" si="112"/>
        <v>0</v>
      </c>
      <c r="Y502">
        <f t="shared" si="112"/>
        <v>0</v>
      </c>
      <c r="Z502">
        <f t="shared" si="111"/>
        <v>0</v>
      </c>
      <c r="AA502">
        <f t="shared" si="111"/>
        <v>0</v>
      </c>
      <c r="AB502">
        <f t="shared" si="111"/>
        <v>0</v>
      </c>
      <c r="AC502">
        <f t="shared" si="111"/>
        <v>0</v>
      </c>
      <c r="AD502">
        <f t="shared" si="111"/>
        <v>0</v>
      </c>
      <c r="AE502">
        <f t="shared" si="111"/>
        <v>0</v>
      </c>
      <c r="AF502">
        <f t="shared" si="111"/>
        <v>0</v>
      </c>
      <c r="AG502">
        <f t="shared" si="111"/>
        <v>0</v>
      </c>
      <c r="AH502">
        <f t="shared" si="111"/>
        <v>0</v>
      </c>
      <c r="AI502">
        <f t="shared" si="111"/>
        <v>0</v>
      </c>
      <c r="AJ502">
        <f t="shared" si="111"/>
        <v>0</v>
      </c>
      <c r="AK502">
        <f t="shared" si="111"/>
        <v>0</v>
      </c>
      <c r="AL502">
        <f t="shared" si="111"/>
        <v>0</v>
      </c>
      <c r="AM502">
        <f t="shared" si="111"/>
        <v>0</v>
      </c>
      <c r="AN502">
        <f t="shared" si="111"/>
        <v>0</v>
      </c>
      <c r="AO502">
        <f t="shared" si="106"/>
        <v>0</v>
      </c>
      <c r="AP502">
        <f t="shared" si="106"/>
        <v>0</v>
      </c>
      <c r="AQ502">
        <f t="shared" si="106"/>
        <v>0</v>
      </c>
      <c r="AR502">
        <f t="shared" si="106"/>
        <v>0</v>
      </c>
    </row>
    <row r="503" spans="5:44" x14ac:dyDescent="0.2">
      <c r="E503" s="1">
        <f>moment_rate!$AC503</f>
        <v>7.4493433161470389E-3</v>
      </c>
      <c r="F503" s="1">
        <f t="shared" si="101"/>
        <v>0</v>
      </c>
      <c r="G503">
        <f>moment_rate!I503-0.005</f>
        <v>4.9599999999999387</v>
      </c>
      <c r="H503" s="1">
        <f t="shared" si="102"/>
        <v>0</v>
      </c>
      <c r="I503">
        <f t="shared" si="110"/>
        <v>0</v>
      </c>
      <c r="J503">
        <f t="shared" si="112"/>
        <v>0</v>
      </c>
      <c r="K503">
        <f t="shared" si="112"/>
        <v>0</v>
      </c>
      <c r="L503">
        <f t="shared" si="112"/>
        <v>0</v>
      </c>
      <c r="M503">
        <f t="shared" si="112"/>
        <v>0</v>
      </c>
      <c r="N503">
        <f t="shared" si="112"/>
        <v>0</v>
      </c>
      <c r="O503">
        <f t="shared" si="112"/>
        <v>0</v>
      </c>
      <c r="P503">
        <f t="shared" si="112"/>
        <v>0</v>
      </c>
      <c r="Q503">
        <f t="shared" si="112"/>
        <v>0</v>
      </c>
      <c r="R503">
        <f t="shared" si="112"/>
        <v>0</v>
      </c>
      <c r="S503">
        <f t="shared" si="112"/>
        <v>0</v>
      </c>
      <c r="T503">
        <f t="shared" si="112"/>
        <v>0</v>
      </c>
      <c r="U503">
        <f t="shared" si="112"/>
        <v>0</v>
      </c>
      <c r="V503">
        <f t="shared" si="112"/>
        <v>0</v>
      </c>
      <c r="W503">
        <f t="shared" si="112"/>
        <v>0</v>
      </c>
      <c r="X503">
        <f t="shared" si="112"/>
        <v>0</v>
      </c>
      <c r="Y503">
        <f t="shared" si="112"/>
        <v>0</v>
      </c>
      <c r="Z503">
        <f t="shared" si="111"/>
        <v>0</v>
      </c>
      <c r="AA503">
        <f t="shared" si="111"/>
        <v>0</v>
      </c>
      <c r="AB503">
        <f t="shared" si="111"/>
        <v>0</v>
      </c>
      <c r="AC503">
        <f t="shared" si="111"/>
        <v>0</v>
      </c>
      <c r="AD503">
        <f t="shared" si="111"/>
        <v>0</v>
      </c>
      <c r="AE503">
        <f t="shared" si="111"/>
        <v>0</v>
      </c>
      <c r="AF503">
        <f t="shared" si="111"/>
        <v>0</v>
      </c>
      <c r="AG503">
        <f t="shared" si="111"/>
        <v>0</v>
      </c>
      <c r="AH503">
        <f t="shared" si="111"/>
        <v>0</v>
      </c>
      <c r="AI503">
        <f t="shared" si="111"/>
        <v>0</v>
      </c>
      <c r="AJ503">
        <f t="shared" si="111"/>
        <v>0</v>
      </c>
      <c r="AK503">
        <f t="shared" si="111"/>
        <v>0</v>
      </c>
      <c r="AL503">
        <f t="shared" si="111"/>
        <v>0</v>
      </c>
      <c r="AM503">
        <f t="shared" si="111"/>
        <v>0</v>
      </c>
      <c r="AN503">
        <f t="shared" si="111"/>
        <v>0</v>
      </c>
      <c r="AO503">
        <f t="shared" si="106"/>
        <v>0</v>
      </c>
      <c r="AP503">
        <f t="shared" si="106"/>
        <v>0</v>
      </c>
      <c r="AQ503">
        <f t="shared" si="106"/>
        <v>0</v>
      </c>
      <c r="AR503">
        <f t="shared" si="106"/>
        <v>0</v>
      </c>
    </row>
    <row r="504" spans="5:44" x14ac:dyDescent="0.2">
      <c r="E504" s="1">
        <f>moment_rate!$AC504</f>
        <v>7.4493433161470389E-3</v>
      </c>
      <c r="F504" s="1">
        <f t="shared" si="101"/>
        <v>0</v>
      </c>
      <c r="G504">
        <f>moment_rate!I504-0.005</f>
        <v>4.9699999999999385</v>
      </c>
      <c r="H504" s="1">
        <f t="shared" si="102"/>
        <v>0</v>
      </c>
      <c r="I504">
        <f t="shared" si="110"/>
        <v>0</v>
      </c>
      <c r="J504">
        <f t="shared" si="112"/>
        <v>0</v>
      </c>
      <c r="K504">
        <f t="shared" si="112"/>
        <v>0</v>
      </c>
      <c r="L504">
        <f t="shared" si="112"/>
        <v>0</v>
      </c>
      <c r="M504">
        <f t="shared" si="112"/>
        <v>0</v>
      </c>
      <c r="N504">
        <f t="shared" si="112"/>
        <v>0</v>
      </c>
      <c r="O504">
        <f t="shared" si="112"/>
        <v>0</v>
      </c>
      <c r="P504">
        <f t="shared" si="112"/>
        <v>0</v>
      </c>
      <c r="Q504">
        <f t="shared" si="112"/>
        <v>0</v>
      </c>
      <c r="R504">
        <f t="shared" si="112"/>
        <v>0</v>
      </c>
      <c r="S504">
        <f t="shared" si="112"/>
        <v>0</v>
      </c>
      <c r="T504">
        <f t="shared" si="112"/>
        <v>0</v>
      </c>
      <c r="U504">
        <f t="shared" si="112"/>
        <v>0</v>
      </c>
      <c r="V504">
        <f t="shared" si="112"/>
        <v>0</v>
      </c>
      <c r="W504">
        <f t="shared" si="112"/>
        <v>0</v>
      </c>
      <c r="X504">
        <f t="shared" si="112"/>
        <v>0</v>
      </c>
      <c r="Y504">
        <f t="shared" si="112"/>
        <v>0</v>
      </c>
      <c r="Z504">
        <f t="shared" si="111"/>
        <v>0</v>
      </c>
      <c r="AA504">
        <f t="shared" si="111"/>
        <v>0</v>
      </c>
      <c r="AB504">
        <f t="shared" si="111"/>
        <v>0</v>
      </c>
      <c r="AC504">
        <f t="shared" si="111"/>
        <v>0</v>
      </c>
      <c r="AD504">
        <f t="shared" si="111"/>
        <v>0</v>
      </c>
      <c r="AE504">
        <f t="shared" si="111"/>
        <v>0</v>
      </c>
      <c r="AF504">
        <f t="shared" si="111"/>
        <v>0</v>
      </c>
      <c r="AG504">
        <f t="shared" si="111"/>
        <v>0</v>
      </c>
      <c r="AH504">
        <f t="shared" si="111"/>
        <v>0</v>
      </c>
      <c r="AI504">
        <f t="shared" si="111"/>
        <v>0</v>
      </c>
      <c r="AJ504">
        <f t="shared" si="111"/>
        <v>0</v>
      </c>
      <c r="AK504">
        <f t="shared" si="111"/>
        <v>0</v>
      </c>
      <c r="AL504">
        <f t="shared" si="111"/>
        <v>0</v>
      </c>
      <c r="AM504">
        <f t="shared" si="111"/>
        <v>0</v>
      </c>
      <c r="AN504">
        <f t="shared" si="111"/>
        <v>0</v>
      </c>
      <c r="AO504">
        <f t="shared" si="106"/>
        <v>0</v>
      </c>
      <c r="AP504">
        <f t="shared" si="106"/>
        <v>0</v>
      </c>
      <c r="AQ504">
        <f t="shared" si="106"/>
        <v>0</v>
      </c>
      <c r="AR504">
        <f t="shared" si="106"/>
        <v>0</v>
      </c>
    </row>
    <row r="505" spans="5:44" x14ac:dyDescent="0.2">
      <c r="E505" s="1">
        <f>moment_rate!$AC505</f>
        <v>7.4493433161470389E-3</v>
      </c>
      <c r="F505" s="1">
        <f t="shared" si="101"/>
        <v>0</v>
      </c>
      <c r="G505">
        <f>moment_rate!I505-0.005</f>
        <v>4.9799999999999383</v>
      </c>
      <c r="H505" s="1">
        <f t="shared" si="102"/>
        <v>0</v>
      </c>
      <c r="I505">
        <f t="shared" si="110"/>
        <v>0</v>
      </c>
      <c r="J505">
        <f t="shared" si="112"/>
        <v>0</v>
      </c>
      <c r="K505">
        <f t="shared" si="112"/>
        <v>0</v>
      </c>
      <c r="L505">
        <f t="shared" si="112"/>
        <v>0</v>
      </c>
      <c r="M505">
        <f t="shared" si="112"/>
        <v>0</v>
      </c>
      <c r="N505">
        <f t="shared" si="112"/>
        <v>0</v>
      </c>
      <c r="O505">
        <f t="shared" si="112"/>
        <v>0</v>
      </c>
      <c r="P505">
        <f t="shared" si="112"/>
        <v>0</v>
      </c>
      <c r="Q505">
        <f t="shared" si="112"/>
        <v>0</v>
      </c>
      <c r="R505">
        <f t="shared" si="112"/>
        <v>0</v>
      </c>
      <c r="S505">
        <f t="shared" si="112"/>
        <v>0</v>
      </c>
      <c r="T505">
        <f t="shared" si="112"/>
        <v>0</v>
      </c>
      <c r="U505">
        <f t="shared" si="112"/>
        <v>0</v>
      </c>
      <c r="V505">
        <f t="shared" si="112"/>
        <v>0</v>
      </c>
      <c r="W505">
        <f t="shared" si="112"/>
        <v>0</v>
      </c>
      <c r="X505">
        <f t="shared" si="112"/>
        <v>0</v>
      </c>
      <c r="Y505">
        <f t="shared" si="112"/>
        <v>0</v>
      </c>
      <c r="Z505">
        <f t="shared" si="111"/>
        <v>0</v>
      </c>
      <c r="AA505">
        <f t="shared" si="111"/>
        <v>0</v>
      </c>
      <c r="AB505">
        <f t="shared" si="111"/>
        <v>0</v>
      </c>
      <c r="AC505">
        <f t="shared" si="111"/>
        <v>0</v>
      </c>
      <c r="AD505">
        <f t="shared" si="111"/>
        <v>0</v>
      </c>
      <c r="AE505">
        <f t="shared" si="111"/>
        <v>0</v>
      </c>
      <c r="AF505">
        <f t="shared" si="111"/>
        <v>0</v>
      </c>
      <c r="AG505">
        <f t="shared" si="111"/>
        <v>0</v>
      </c>
      <c r="AH505">
        <f t="shared" si="111"/>
        <v>0</v>
      </c>
      <c r="AI505">
        <f t="shared" si="111"/>
        <v>0</v>
      </c>
      <c r="AJ505">
        <f t="shared" si="111"/>
        <v>0</v>
      </c>
      <c r="AK505">
        <f t="shared" si="111"/>
        <v>0</v>
      </c>
      <c r="AL505">
        <f t="shared" si="111"/>
        <v>0</v>
      </c>
      <c r="AM505">
        <f t="shared" si="111"/>
        <v>0</v>
      </c>
      <c r="AN505">
        <f t="shared" si="111"/>
        <v>0</v>
      </c>
      <c r="AO505">
        <f t="shared" si="106"/>
        <v>0</v>
      </c>
      <c r="AP505">
        <f t="shared" si="106"/>
        <v>0</v>
      </c>
      <c r="AQ505">
        <f t="shared" si="106"/>
        <v>0</v>
      </c>
      <c r="AR505">
        <f t="shared" si="106"/>
        <v>0</v>
      </c>
    </row>
    <row r="506" spans="5:44" x14ac:dyDescent="0.2">
      <c r="E506" s="1">
        <f>moment_rate!$AC506</f>
        <v>7.4493433161470389E-3</v>
      </c>
      <c r="F506" s="1">
        <f t="shared" si="101"/>
        <v>0</v>
      </c>
      <c r="G506">
        <f>moment_rate!I506-0.005</f>
        <v>4.989999999999938</v>
      </c>
      <c r="H506" s="1">
        <f t="shared" si="102"/>
        <v>0</v>
      </c>
      <c r="I506">
        <f t="shared" si="110"/>
        <v>0</v>
      </c>
      <c r="J506">
        <f t="shared" si="112"/>
        <v>0</v>
      </c>
      <c r="K506">
        <f t="shared" si="112"/>
        <v>0</v>
      </c>
      <c r="L506">
        <f t="shared" si="112"/>
        <v>0</v>
      </c>
      <c r="M506">
        <f t="shared" si="112"/>
        <v>0</v>
      </c>
      <c r="N506">
        <f t="shared" si="112"/>
        <v>0</v>
      </c>
      <c r="O506">
        <f t="shared" si="112"/>
        <v>0</v>
      </c>
      <c r="P506">
        <f t="shared" si="112"/>
        <v>0</v>
      </c>
      <c r="Q506">
        <f t="shared" si="112"/>
        <v>0</v>
      </c>
      <c r="R506">
        <f t="shared" si="112"/>
        <v>0</v>
      </c>
      <c r="S506">
        <f t="shared" si="112"/>
        <v>0</v>
      </c>
      <c r="T506">
        <f t="shared" si="112"/>
        <v>0</v>
      </c>
      <c r="U506">
        <f t="shared" si="112"/>
        <v>0</v>
      </c>
      <c r="V506">
        <f t="shared" si="112"/>
        <v>0</v>
      </c>
      <c r="W506">
        <f t="shared" si="112"/>
        <v>0</v>
      </c>
      <c r="X506">
        <f t="shared" si="112"/>
        <v>0</v>
      </c>
      <c r="Y506">
        <f t="shared" ref="Y506:AN521" si="113">IF(AND($G506&gt;=Y$3,$G506&lt;Y$4),$F506,0)</f>
        <v>0</v>
      </c>
      <c r="Z506">
        <f t="shared" si="113"/>
        <v>0</v>
      </c>
      <c r="AA506">
        <f t="shared" si="113"/>
        <v>0</v>
      </c>
      <c r="AB506">
        <f t="shared" si="113"/>
        <v>0</v>
      </c>
      <c r="AC506">
        <f t="shared" si="113"/>
        <v>0</v>
      </c>
      <c r="AD506">
        <f t="shared" si="113"/>
        <v>0</v>
      </c>
      <c r="AE506">
        <f t="shared" si="113"/>
        <v>0</v>
      </c>
      <c r="AF506">
        <f t="shared" si="113"/>
        <v>0</v>
      </c>
      <c r="AG506">
        <f t="shared" si="113"/>
        <v>0</v>
      </c>
      <c r="AH506">
        <f t="shared" si="113"/>
        <v>0</v>
      </c>
      <c r="AI506">
        <f t="shared" si="113"/>
        <v>0</v>
      </c>
      <c r="AJ506">
        <f t="shared" si="113"/>
        <v>0</v>
      </c>
      <c r="AK506">
        <f t="shared" si="113"/>
        <v>0</v>
      </c>
      <c r="AL506">
        <f t="shared" si="113"/>
        <v>0</v>
      </c>
      <c r="AM506">
        <f t="shared" si="113"/>
        <v>0</v>
      </c>
      <c r="AN506">
        <f t="shared" si="113"/>
        <v>0</v>
      </c>
      <c r="AO506">
        <f t="shared" si="106"/>
        <v>0</v>
      </c>
      <c r="AP506">
        <f t="shared" si="106"/>
        <v>0</v>
      </c>
      <c r="AQ506">
        <f t="shared" si="106"/>
        <v>0</v>
      </c>
      <c r="AR506">
        <f t="shared" si="106"/>
        <v>0</v>
      </c>
    </row>
    <row r="507" spans="5:44" x14ac:dyDescent="0.2">
      <c r="E507" s="1">
        <f>moment_rate!$AC507</f>
        <v>7.4493433161470389E-3</v>
      </c>
      <c r="F507" s="1">
        <f t="shared" si="101"/>
        <v>0</v>
      </c>
      <c r="G507">
        <f>moment_rate!I507-0.005</f>
        <v>4.9999999999999378</v>
      </c>
      <c r="H507" s="1">
        <f t="shared" si="102"/>
        <v>0</v>
      </c>
      <c r="I507">
        <f t="shared" si="110"/>
        <v>0</v>
      </c>
      <c r="J507">
        <f t="shared" ref="J507:Y522" si="114">IF(AND($G507&gt;=J$3,$G507&lt;J$4),$F507,0)</f>
        <v>0</v>
      </c>
      <c r="K507">
        <f t="shared" si="114"/>
        <v>0</v>
      </c>
      <c r="L507">
        <f t="shared" si="114"/>
        <v>0</v>
      </c>
      <c r="M507">
        <f t="shared" si="114"/>
        <v>0</v>
      </c>
      <c r="N507">
        <f t="shared" si="114"/>
        <v>0</v>
      </c>
      <c r="O507">
        <f t="shared" si="114"/>
        <v>0</v>
      </c>
      <c r="P507">
        <f t="shared" si="114"/>
        <v>0</v>
      </c>
      <c r="Q507">
        <f t="shared" si="114"/>
        <v>0</v>
      </c>
      <c r="R507">
        <f t="shared" si="114"/>
        <v>0</v>
      </c>
      <c r="S507">
        <f t="shared" si="114"/>
        <v>0</v>
      </c>
      <c r="T507">
        <f t="shared" si="114"/>
        <v>0</v>
      </c>
      <c r="U507">
        <f t="shared" si="114"/>
        <v>0</v>
      </c>
      <c r="V507">
        <f t="shared" si="114"/>
        <v>0</v>
      </c>
      <c r="W507">
        <f t="shared" si="114"/>
        <v>0</v>
      </c>
      <c r="X507">
        <f t="shared" si="114"/>
        <v>0</v>
      </c>
      <c r="Y507">
        <f t="shared" si="114"/>
        <v>0</v>
      </c>
      <c r="Z507">
        <f t="shared" si="113"/>
        <v>0</v>
      </c>
      <c r="AA507">
        <f t="shared" si="113"/>
        <v>0</v>
      </c>
      <c r="AB507">
        <f t="shared" si="113"/>
        <v>0</v>
      </c>
      <c r="AC507">
        <f t="shared" si="113"/>
        <v>0</v>
      </c>
      <c r="AD507">
        <f t="shared" si="113"/>
        <v>0</v>
      </c>
      <c r="AE507">
        <f t="shared" si="113"/>
        <v>0</v>
      </c>
      <c r="AF507">
        <f t="shared" si="113"/>
        <v>0</v>
      </c>
      <c r="AG507">
        <f t="shared" si="113"/>
        <v>0</v>
      </c>
      <c r="AH507">
        <f t="shared" si="113"/>
        <v>0</v>
      </c>
      <c r="AI507">
        <f t="shared" si="113"/>
        <v>0</v>
      </c>
      <c r="AJ507">
        <f t="shared" si="113"/>
        <v>0</v>
      </c>
      <c r="AK507">
        <f t="shared" si="113"/>
        <v>0</v>
      </c>
      <c r="AL507">
        <f t="shared" si="113"/>
        <v>0</v>
      </c>
      <c r="AM507">
        <f t="shared" si="113"/>
        <v>0</v>
      </c>
      <c r="AN507">
        <f t="shared" si="113"/>
        <v>0</v>
      </c>
      <c r="AO507">
        <f t="shared" si="106"/>
        <v>0</v>
      </c>
      <c r="AP507">
        <f t="shared" si="106"/>
        <v>0</v>
      </c>
      <c r="AQ507">
        <f t="shared" si="106"/>
        <v>0</v>
      </c>
      <c r="AR507">
        <f t="shared" si="106"/>
        <v>0</v>
      </c>
    </row>
    <row r="508" spans="5:44" x14ac:dyDescent="0.2">
      <c r="E508" s="1">
        <f>moment_rate!$AC508</f>
        <v>7.4493433161470389E-3</v>
      </c>
      <c r="F508" s="1">
        <f t="shared" si="101"/>
        <v>0</v>
      </c>
      <c r="G508">
        <f>moment_rate!I508-0.005</f>
        <v>5.0099999999999376</v>
      </c>
      <c r="H508" s="1">
        <f t="shared" si="102"/>
        <v>0</v>
      </c>
      <c r="I508">
        <f t="shared" si="110"/>
        <v>0</v>
      </c>
      <c r="J508">
        <f t="shared" si="114"/>
        <v>0</v>
      </c>
      <c r="K508">
        <f t="shared" si="114"/>
        <v>0</v>
      </c>
      <c r="L508">
        <f t="shared" si="114"/>
        <v>0</v>
      </c>
      <c r="M508">
        <f t="shared" si="114"/>
        <v>0</v>
      </c>
      <c r="N508">
        <f t="shared" si="114"/>
        <v>0</v>
      </c>
      <c r="O508">
        <f t="shared" si="114"/>
        <v>0</v>
      </c>
      <c r="P508">
        <f t="shared" si="114"/>
        <v>0</v>
      </c>
      <c r="Q508">
        <f t="shared" si="114"/>
        <v>0</v>
      </c>
      <c r="R508">
        <f t="shared" si="114"/>
        <v>0</v>
      </c>
      <c r="S508">
        <f t="shared" si="114"/>
        <v>0</v>
      </c>
      <c r="T508">
        <f t="shared" si="114"/>
        <v>0</v>
      </c>
      <c r="U508">
        <f t="shared" si="114"/>
        <v>0</v>
      </c>
      <c r="V508">
        <f t="shared" si="114"/>
        <v>0</v>
      </c>
      <c r="W508">
        <f t="shared" si="114"/>
        <v>0</v>
      </c>
      <c r="X508">
        <f t="shared" si="114"/>
        <v>0</v>
      </c>
      <c r="Y508">
        <f t="shared" si="114"/>
        <v>0</v>
      </c>
      <c r="Z508">
        <f t="shared" si="113"/>
        <v>0</v>
      </c>
      <c r="AA508">
        <f t="shared" si="113"/>
        <v>0</v>
      </c>
      <c r="AB508">
        <f t="shared" si="113"/>
        <v>0</v>
      </c>
      <c r="AC508">
        <f t="shared" si="113"/>
        <v>0</v>
      </c>
      <c r="AD508">
        <f t="shared" si="113"/>
        <v>0</v>
      </c>
      <c r="AE508">
        <f t="shared" si="113"/>
        <v>0</v>
      </c>
      <c r="AF508">
        <f t="shared" si="113"/>
        <v>0</v>
      </c>
      <c r="AG508">
        <f t="shared" si="113"/>
        <v>0</v>
      </c>
      <c r="AH508">
        <f t="shared" si="113"/>
        <v>0</v>
      </c>
      <c r="AI508">
        <f t="shared" si="113"/>
        <v>0</v>
      </c>
      <c r="AJ508">
        <f t="shared" si="113"/>
        <v>0</v>
      </c>
      <c r="AK508">
        <f t="shared" si="113"/>
        <v>0</v>
      </c>
      <c r="AL508">
        <f t="shared" si="113"/>
        <v>0</v>
      </c>
      <c r="AM508">
        <f t="shared" si="113"/>
        <v>0</v>
      </c>
      <c r="AN508">
        <f t="shared" si="113"/>
        <v>0</v>
      </c>
      <c r="AO508">
        <f t="shared" si="106"/>
        <v>0</v>
      </c>
      <c r="AP508">
        <f t="shared" si="106"/>
        <v>0</v>
      </c>
      <c r="AQ508">
        <f t="shared" si="106"/>
        <v>0</v>
      </c>
      <c r="AR508">
        <f t="shared" si="106"/>
        <v>0</v>
      </c>
    </row>
    <row r="509" spans="5:44" x14ac:dyDescent="0.2">
      <c r="E509" s="1">
        <f>moment_rate!$AC509</f>
        <v>7.4493433161470389E-3</v>
      </c>
      <c r="F509" s="1">
        <f t="shared" si="101"/>
        <v>0</v>
      </c>
      <c r="G509">
        <f>moment_rate!I509-0.005</f>
        <v>5.0199999999999374</v>
      </c>
      <c r="H509" s="1">
        <f t="shared" si="102"/>
        <v>0</v>
      </c>
      <c r="I509">
        <f t="shared" si="110"/>
        <v>0</v>
      </c>
      <c r="J509">
        <f t="shared" si="114"/>
        <v>0</v>
      </c>
      <c r="K509">
        <f t="shared" si="114"/>
        <v>0</v>
      </c>
      <c r="L509">
        <f t="shared" si="114"/>
        <v>0</v>
      </c>
      <c r="M509">
        <f t="shared" si="114"/>
        <v>0</v>
      </c>
      <c r="N509">
        <f t="shared" si="114"/>
        <v>0</v>
      </c>
      <c r="O509">
        <f t="shared" si="114"/>
        <v>0</v>
      </c>
      <c r="P509">
        <f t="shared" si="114"/>
        <v>0</v>
      </c>
      <c r="Q509">
        <f t="shared" si="114"/>
        <v>0</v>
      </c>
      <c r="R509">
        <f t="shared" si="114"/>
        <v>0</v>
      </c>
      <c r="S509">
        <f t="shared" si="114"/>
        <v>0</v>
      </c>
      <c r="T509">
        <f t="shared" si="114"/>
        <v>0</v>
      </c>
      <c r="U509">
        <f t="shared" si="114"/>
        <v>0</v>
      </c>
      <c r="V509">
        <f t="shared" si="114"/>
        <v>0</v>
      </c>
      <c r="W509">
        <f t="shared" si="114"/>
        <v>0</v>
      </c>
      <c r="X509">
        <f t="shared" si="114"/>
        <v>0</v>
      </c>
      <c r="Y509">
        <f t="shared" si="114"/>
        <v>0</v>
      </c>
      <c r="Z509">
        <f t="shared" si="113"/>
        <v>0</v>
      </c>
      <c r="AA509">
        <f t="shared" si="113"/>
        <v>0</v>
      </c>
      <c r="AB509">
        <f t="shared" si="113"/>
        <v>0</v>
      </c>
      <c r="AC509">
        <f t="shared" si="113"/>
        <v>0</v>
      </c>
      <c r="AD509">
        <f t="shared" si="113"/>
        <v>0</v>
      </c>
      <c r="AE509">
        <f t="shared" si="113"/>
        <v>0</v>
      </c>
      <c r="AF509">
        <f t="shared" si="113"/>
        <v>0</v>
      </c>
      <c r="AG509">
        <f t="shared" si="113"/>
        <v>0</v>
      </c>
      <c r="AH509">
        <f t="shared" si="113"/>
        <v>0</v>
      </c>
      <c r="AI509">
        <f t="shared" si="113"/>
        <v>0</v>
      </c>
      <c r="AJ509">
        <f t="shared" si="113"/>
        <v>0</v>
      </c>
      <c r="AK509">
        <f t="shared" si="113"/>
        <v>0</v>
      </c>
      <c r="AL509">
        <f t="shared" si="113"/>
        <v>0</v>
      </c>
      <c r="AM509">
        <f t="shared" si="113"/>
        <v>0</v>
      </c>
      <c r="AN509">
        <f t="shared" si="113"/>
        <v>0</v>
      </c>
      <c r="AO509">
        <f t="shared" si="106"/>
        <v>0</v>
      </c>
      <c r="AP509">
        <f t="shared" si="106"/>
        <v>0</v>
      </c>
      <c r="AQ509">
        <f t="shared" si="106"/>
        <v>0</v>
      </c>
      <c r="AR509">
        <f t="shared" si="106"/>
        <v>0</v>
      </c>
    </row>
    <row r="510" spans="5:44" x14ac:dyDescent="0.2">
      <c r="E510" s="1">
        <f>moment_rate!$AC510</f>
        <v>7.4493433161470389E-3</v>
      </c>
      <c r="F510" s="1">
        <f t="shared" si="101"/>
        <v>0</v>
      </c>
      <c r="G510">
        <f>moment_rate!I510-0.005</f>
        <v>5.0299999999999372</v>
      </c>
      <c r="H510" s="1">
        <f t="shared" si="102"/>
        <v>0</v>
      </c>
      <c r="I510">
        <f t="shared" si="110"/>
        <v>0</v>
      </c>
      <c r="J510">
        <f t="shared" si="114"/>
        <v>0</v>
      </c>
      <c r="K510">
        <f t="shared" si="114"/>
        <v>0</v>
      </c>
      <c r="L510">
        <f t="shared" si="114"/>
        <v>0</v>
      </c>
      <c r="M510">
        <f t="shared" si="114"/>
        <v>0</v>
      </c>
      <c r="N510">
        <f t="shared" si="114"/>
        <v>0</v>
      </c>
      <c r="O510">
        <f t="shared" si="114"/>
        <v>0</v>
      </c>
      <c r="P510">
        <f t="shared" si="114"/>
        <v>0</v>
      </c>
      <c r="Q510">
        <f t="shared" si="114"/>
        <v>0</v>
      </c>
      <c r="R510">
        <f t="shared" si="114"/>
        <v>0</v>
      </c>
      <c r="S510">
        <f t="shared" si="114"/>
        <v>0</v>
      </c>
      <c r="T510">
        <f t="shared" si="114"/>
        <v>0</v>
      </c>
      <c r="U510">
        <f t="shared" si="114"/>
        <v>0</v>
      </c>
      <c r="V510">
        <f t="shared" si="114"/>
        <v>0</v>
      </c>
      <c r="W510">
        <f t="shared" si="114"/>
        <v>0</v>
      </c>
      <c r="X510">
        <f t="shared" si="114"/>
        <v>0</v>
      </c>
      <c r="Y510">
        <f t="shared" si="114"/>
        <v>0</v>
      </c>
      <c r="Z510">
        <f t="shared" si="113"/>
        <v>0</v>
      </c>
      <c r="AA510">
        <f t="shared" si="113"/>
        <v>0</v>
      </c>
      <c r="AB510">
        <f t="shared" si="113"/>
        <v>0</v>
      </c>
      <c r="AC510">
        <f t="shared" si="113"/>
        <v>0</v>
      </c>
      <c r="AD510">
        <f t="shared" si="113"/>
        <v>0</v>
      </c>
      <c r="AE510">
        <f t="shared" si="113"/>
        <v>0</v>
      </c>
      <c r="AF510">
        <f t="shared" si="113"/>
        <v>0</v>
      </c>
      <c r="AG510">
        <f t="shared" si="113"/>
        <v>0</v>
      </c>
      <c r="AH510">
        <f t="shared" si="113"/>
        <v>0</v>
      </c>
      <c r="AI510">
        <f t="shared" si="113"/>
        <v>0</v>
      </c>
      <c r="AJ510">
        <f t="shared" si="113"/>
        <v>0</v>
      </c>
      <c r="AK510">
        <f t="shared" si="113"/>
        <v>0</v>
      </c>
      <c r="AL510">
        <f t="shared" si="113"/>
        <v>0</v>
      </c>
      <c r="AM510">
        <f t="shared" si="113"/>
        <v>0</v>
      </c>
      <c r="AN510">
        <f t="shared" si="113"/>
        <v>0</v>
      </c>
      <c r="AO510">
        <f t="shared" si="106"/>
        <v>0</v>
      </c>
      <c r="AP510">
        <f t="shared" si="106"/>
        <v>0</v>
      </c>
      <c r="AQ510">
        <f t="shared" si="106"/>
        <v>0</v>
      </c>
      <c r="AR510">
        <f t="shared" si="106"/>
        <v>0</v>
      </c>
    </row>
    <row r="511" spans="5:44" x14ac:dyDescent="0.2">
      <c r="E511" s="1">
        <f>moment_rate!$AC511</f>
        <v>7.4493433161470389E-3</v>
      </c>
      <c r="F511" s="1">
        <f t="shared" si="101"/>
        <v>0</v>
      </c>
      <c r="G511">
        <f>moment_rate!I511-0.005</f>
        <v>5.039999999999937</v>
      </c>
      <c r="H511" s="1">
        <f t="shared" si="102"/>
        <v>0</v>
      </c>
      <c r="I511">
        <f t="shared" si="110"/>
        <v>0</v>
      </c>
      <c r="J511">
        <f t="shared" si="114"/>
        <v>0</v>
      </c>
      <c r="K511">
        <f t="shared" si="114"/>
        <v>0</v>
      </c>
      <c r="L511">
        <f t="shared" si="114"/>
        <v>0</v>
      </c>
      <c r="M511">
        <f t="shared" si="114"/>
        <v>0</v>
      </c>
      <c r="N511">
        <f t="shared" si="114"/>
        <v>0</v>
      </c>
      <c r="O511">
        <f t="shared" si="114"/>
        <v>0</v>
      </c>
      <c r="P511">
        <f t="shared" si="114"/>
        <v>0</v>
      </c>
      <c r="Q511">
        <f t="shared" si="114"/>
        <v>0</v>
      </c>
      <c r="R511">
        <f t="shared" si="114"/>
        <v>0</v>
      </c>
      <c r="S511">
        <f t="shared" si="114"/>
        <v>0</v>
      </c>
      <c r="T511">
        <f t="shared" si="114"/>
        <v>0</v>
      </c>
      <c r="U511">
        <f t="shared" si="114"/>
        <v>0</v>
      </c>
      <c r="V511">
        <f t="shared" si="114"/>
        <v>0</v>
      </c>
      <c r="W511">
        <f t="shared" si="114"/>
        <v>0</v>
      </c>
      <c r="X511">
        <f t="shared" si="114"/>
        <v>0</v>
      </c>
      <c r="Y511">
        <f t="shared" si="114"/>
        <v>0</v>
      </c>
      <c r="Z511">
        <f t="shared" si="113"/>
        <v>0</v>
      </c>
      <c r="AA511">
        <f t="shared" si="113"/>
        <v>0</v>
      </c>
      <c r="AB511">
        <f t="shared" si="113"/>
        <v>0</v>
      </c>
      <c r="AC511">
        <f t="shared" si="113"/>
        <v>0</v>
      </c>
      <c r="AD511">
        <f t="shared" si="113"/>
        <v>0</v>
      </c>
      <c r="AE511">
        <f t="shared" si="113"/>
        <v>0</v>
      </c>
      <c r="AF511">
        <f t="shared" si="113"/>
        <v>0</v>
      </c>
      <c r="AG511">
        <f t="shared" si="113"/>
        <v>0</v>
      </c>
      <c r="AH511">
        <f t="shared" si="113"/>
        <v>0</v>
      </c>
      <c r="AI511">
        <f t="shared" si="113"/>
        <v>0</v>
      </c>
      <c r="AJ511">
        <f t="shared" si="113"/>
        <v>0</v>
      </c>
      <c r="AK511">
        <f t="shared" si="113"/>
        <v>0</v>
      </c>
      <c r="AL511">
        <f t="shared" si="113"/>
        <v>0</v>
      </c>
      <c r="AM511">
        <f t="shared" si="113"/>
        <v>0</v>
      </c>
      <c r="AN511">
        <f t="shared" si="113"/>
        <v>0</v>
      </c>
      <c r="AO511">
        <f t="shared" si="106"/>
        <v>0</v>
      </c>
      <c r="AP511">
        <f t="shared" si="106"/>
        <v>0</v>
      </c>
      <c r="AQ511">
        <f t="shared" si="106"/>
        <v>0</v>
      </c>
      <c r="AR511">
        <f t="shared" si="106"/>
        <v>0</v>
      </c>
    </row>
    <row r="512" spans="5:44" x14ac:dyDescent="0.2">
      <c r="E512" s="1">
        <f>moment_rate!$AC512</f>
        <v>7.4493433161470389E-3</v>
      </c>
      <c r="F512" s="1">
        <f t="shared" si="101"/>
        <v>0</v>
      </c>
      <c r="G512">
        <f>moment_rate!I512-0.005</f>
        <v>5.0499999999999368</v>
      </c>
      <c r="H512" s="1">
        <f t="shared" si="102"/>
        <v>0</v>
      </c>
      <c r="I512">
        <f t="shared" si="110"/>
        <v>0</v>
      </c>
      <c r="J512">
        <f t="shared" si="114"/>
        <v>0</v>
      </c>
      <c r="K512">
        <f t="shared" si="114"/>
        <v>0</v>
      </c>
      <c r="L512">
        <f t="shared" si="114"/>
        <v>0</v>
      </c>
      <c r="M512">
        <f t="shared" si="114"/>
        <v>0</v>
      </c>
      <c r="N512">
        <f t="shared" si="114"/>
        <v>0</v>
      </c>
      <c r="O512">
        <f t="shared" si="114"/>
        <v>0</v>
      </c>
      <c r="P512">
        <f t="shared" si="114"/>
        <v>0</v>
      </c>
      <c r="Q512">
        <f t="shared" si="114"/>
        <v>0</v>
      </c>
      <c r="R512">
        <f t="shared" si="114"/>
        <v>0</v>
      </c>
      <c r="S512">
        <f t="shared" si="114"/>
        <v>0</v>
      </c>
      <c r="T512">
        <f t="shared" si="114"/>
        <v>0</v>
      </c>
      <c r="U512">
        <f t="shared" si="114"/>
        <v>0</v>
      </c>
      <c r="V512">
        <f t="shared" si="114"/>
        <v>0</v>
      </c>
      <c r="W512">
        <f t="shared" si="114"/>
        <v>0</v>
      </c>
      <c r="X512">
        <f t="shared" si="114"/>
        <v>0</v>
      </c>
      <c r="Y512">
        <f t="shared" si="114"/>
        <v>0</v>
      </c>
      <c r="Z512">
        <f t="shared" si="113"/>
        <v>0</v>
      </c>
      <c r="AA512">
        <f t="shared" si="113"/>
        <v>0</v>
      </c>
      <c r="AB512">
        <f t="shared" si="113"/>
        <v>0</v>
      </c>
      <c r="AC512">
        <f t="shared" si="113"/>
        <v>0</v>
      </c>
      <c r="AD512">
        <f t="shared" si="113"/>
        <v>0</v>
      </c>
      <c r="AE512">
        <f t="shared" si="113"/>
        <v>0</v>
      </c>
      <c r="AF512">
        <f t="shared" si="113"/>
        <v>0</v>
      </c>
      <c r="AG512">
        <f t="shared" si="113"/>
        <v>0</v>
      </c>
      <c r="AH512">
        <f t="shared" si="113"/>
        <v>0</v>
      </c>
      <c r="AI512">
        <f t="shared" si="113"/>
        <v>0</v>
      </c>
      <c r="AJ512">
        <f t="shared" si="113"/>
        <v>0</v>
      </c>
      <c r="AK512">
        <f t="shared" si="113"/>
        <v>0</v>
      </c>
      <c r="AL512">
        <f t="shared" si="113"/>
        <v>0</v>
      </c>
      <c r="AM512">
        <f t="shared" si="113"/>
        <v>0</v>
      </c>
      <c r="AN512">
        <f t="shared" si="113"/>
        <v>0</v>
      </c>
      <c r="AO512">
        <f t="shared" si="106"/>
        <v>0</v>
      </c>
      <c r="AP512">
        <f t="shared" si="106"/>
        <v>0</v>
      </c>
      <c r="AQ512">
        <f t="shared" si="106"/>
        <v>0</v>
      </c>
      <c r="AR512">
        <f t="shared" si="106"/>
        <v>0</v>
      </c>
    </row>
    <row r="513" spans="5:44" x14ac:dyDescent="0.2">
      <c r="E513" s="1">
        <f>moment_rate!$AC513</f>
        <v>7.4493433161470389E-3</v>
      </c>
      <c r="F513" s="1">
        <f t="shared" si="101"/>
        <v>0</v>
      </c>
      <c r="G513">
        <f>moment_rate!I513-0.005</f>
        <v>5.0599999999999365</v>
      </c>
      <c r="H513" s="1">
        <f t="shared" si="102"/>
        <v>0</v>
      </c>
      <c r="I513">
        <f t="shared" si="110"/>
        <v>0</v>
      </c>
      <c r="J513">
        <f t="shared" si="114"/>
        <v>0</v>
      </c>
      <c r="K513">
        <f t="shared" si="114"/>
        <v>0</v>
      </c>
      <c r="L513">
        <f t="shared" si="114"/>
        <v>0</v>
      </c>
      <c r="M513">
        <f t="shared" si="114"/>
        <v>0</v>
      </c>
      <c r="N513">
        <f t="shared" si="114"/>
        <v>0</v>
      </c>
      <c r="O513">
        <f t="shared" si="114"/>
        <v>0</v>
      </c>
      <c r="P513">
        <f t="shared" si="114"/>
        <v>0</v>
      </c>
      <c r="Q513">
        <f t="shared" si="114"/>
        <v>0</v>
      </c>
      <c r="R513">
        <f t="shared" si="114"/>
        <v>0</v>
      </c>
      <c r="S513">
        <f t="shared" si="114"/>
        <v>0</v>
      </c>
      <c r="T513">
        <f t="shared" si="114"/>
        <v>0</v>
      </c>
      <c r="U513">
        <f t="shared" si="114"/>
        <v>0</v>
      </c>
      <c r="V513">
        <f t="shared" si="114"/>
        <v>0</v>
      </c>
      <c r="W513">
        <f t="shared" si="114"/>
        <v>0</v>
      </c>
      <c r="X513">
        <f t="shared" si="114"/>
        <v>0</v>
      </c>
      <c r="Y513">
        <f t="shared" si="114"/>
        <v>0</v>
      </c>
      <c r="Z513">
        <f t="shared" si="113"/>
        <v>0</v>
      </c>
      <c r="AA513">
        <f t="shared" si="113"/>
        <v>0</v>
      </c>
      <c r="AB513">
        <f t="shared" si="113"/>
        <v>0</v>
      </c>
      <c r="AC513">
        <f t="shared" si="113"/>
        <v>0</v>
      </c>
      <c r="AD513">
        <f t="shared" si="113"/>
        <v>0</v>
      </c>
      <c r="AE513">
        <f t="shared" si="113"/>
        <v>0</v>
      </c>
      <c r="AF513">
        <f t="shared" si="113"/>
        <v>0</v>
      </c>
      <c r="AG513">
        <f t="shared" si="113"/>
        <v>0</v>
      </c>
      <c r="AH513">
        <f t="shared" si="113"/>
        <v>0</v>
      </c>
      <c r="AI513">
        <f t="shared" si="113"/>
        <v>0</v>
      </c>
      <c r="AJ513">
        <f t="shared" si="113"/>
        <v>0</v>
      </c>
      <c r="AK513">
        <f t="shared" si="113"/>
        <v>0</v>
      </c>
      <c r="AL513">
        <f t="shared" si="113"/>
        <v>0</v>
      </c>
      <c r="AM513">
        <f t="shared" si="113"/>
        <v>0</v>
      </c>
      <c r="AN513">
        <f t="shared" si="113"/>
        <v>0</v>
      </c>
      <c r="AO513">
        <f t="shared" si="106"/>
        <v>0</v>
      </c>
      <c r="AP513">
        <f t="shared" si="106"/>
        <v>0</v>
      </c>
      <c r="AQ513">
        <f t="shared" si="106"/>
        <v>0</v>
      </c>
      <c r="AR513">
        <f t="shared" si="106"/>
        <v>0</v>
      </c>
    </row>
    <row r="514" spans="5:44" x14ac:dyDescent="0.2">
      <c r="E514" s="1">
        <f>moment_rate!$AC514</f>
        <v>7.4493433161470389E-3</v>
      </c>
      <c r="F514" s="1">
        <f t="shared" si="101"/>
        <v>0</v>
      </c>
      <c r="G514">
        <f>moment_rate!I514-0.005</f>
        <v>5.0699999999999363</v>
      </c>
      <c r="H514" s="1">
        <f t="shared" si="102"/>
        <v>0</v>
      </c>
      <c r="I514">
        <f t="shared" si="110"/>
        <v>0</v>
      </c>
      <c r="J514">
        <f t="shared" si="114"/>
        <v>0</v>
      </c>
      <c r="K514">
        <f t="shared" si="114"/>
        <v>0</v>
      </c>
      <c r="L514">
        <f t="shared" si="114"/>
        <v>0</v>
      </c>
      <c r="M514">
        <f t="shared" si="114"/>
        <v>0</v>
      </c>
      <c r="N514">
        <f t="shared" si="114"/>
        <v>0</v>
      </c>
      <c r="O514">
        <f t="shared" si="114"/>
        <v>0</v>
      </c>
      <c r="P514">
        <f t="shared" si="114"/>
        <v>0</v>
      </c>
      <c r="Q514">
        <f t="shared" si="114"/>
        <v>0</v>
      </c>
      <c r="R514">
        <f t="shared" si="114"/>
        <v>0</v>
      </c>
      <c r="S514">
        <f t="shared" si="114"/>
        <v>0</v>
      </c>
      <c r="T514">
        <f t="shared" si="114"/>
        <v>0</v>
      </c>
      <c r="U514">
        <f t="shared" si="114"/>
        <v>0</v>
      </c>
      <c r="V514">
        <f t="shared" si="114"/>
        <v>0</v>
      </c>
      <c r="W514">
        <f t="shared" si="114"/>
        <v>0</v>
      </c>
      <c r="X514">
        <f t="shared" si="114"/>
        <v>0</v>
      </c>
      <c r="Y514">
        <f t="shared" si="114"/>
        <v>0</v>
      </c>
      <c r="Z514">
        <f t="shared" si="113"/>
        <v>0</v>
      </c>
      <c r="AA514">
        <f t="shared" si="113"/>
        <v>0</v>
      </c>
      <c r="AB514">
        <f t="shared" si="113"/>
        <v>0</v>
      </c>
      <c r="AC514">
        <f t="shared" si="113"/>
        <v>0</v>
      </c>
      <c r="AD514">
        <f t="shared" si="113"/>
        <v>0</v>
      </c>
      <c r="AE514">
        <f t="shared" si="113"/>
        <v>0</v>
      </c>
      <c r="AF514">
        <f t="shared" si="113"/>
        <v>0</v>
      </c>
      <c r="AG514">
        <f t="shared" si="113"/>
        <v>0</v>
      </c>
      <c r="AH514">
        <f t="shared" si="113"/>
        <v>0</v>
      </c>
      <c r="AI514">
        <f t="shared" si="113"/>
        <v>0</v>
      </c>
      <c r="AJ514">
        <f t="shared" si="113"/>
        <v>0</v>
      </c>
      <c r="AK514">
        <f t="shared" si="113"/>
        <v>0</v>
      </c>
      <c r="AL514">
        <f t="shared" si="113"/>
        <v>0</v>
      </c>
      <c r="AM514">
        <f t="shared" si="113"/>
        <v>0</v>
      </c>
      <c r="AN514">
        <f t="shared" si="113"/>
        <v>0</v>
      </c>
      <c r="AO514">
        <f t="shared" si="106"/>
        <v>0</v>
      </c>
      <c r="AP514">
        <f t="shared" si="106"/>
        <v>0</v>
      </c>
      <c r="AQ514">
        <f t="shared" si="106"/>
        <v>0</v>
      </c>
      <c r="AR514">
        <f t="shared" si="106"/>
        <v>0</v>
      </c>
    </row>
    <row r="515" spans="5:44" x14ac:dyDescent="0.2">
      <c r="E515" s="1">
        <f>moment_rate!$AC515</f>
        <v>7.4493433161470389E-3</v>
      </c>
      <c r="F515" s="1">
        <f t="shared" si="101"/>
        <v>0</v>
      </c>
      <c r="G515">
        <f>moment_rate!I515-0.005</f>
        <v>5.0799999999999361</v>
      </c>
      <c r="H515" s="1">
        <f t="shared" si="102"/>
        <v>0</v>
      </c>
      <c r="I515">
        <f t="shared" si="110"/>
        <v>0</v>
      </c>
      <c r="J515">
        <f t="shared" si="114"/>
        <v>0</v>
      </c>
      <c r="K515">
        <f t="shared" si="114"/>
        <v>0</v>
      </c>
      <c r="L515">
        <f t="shared" si="114"/>
        <v>0</v>
      </c>
      <c r="M515">
        <f t="shared" si="114"/>
        <v>0</v>
      </c>
      <c r="N515">
        <f t="shared" si="114"/>
        <v>0</v>
      </c>
      <c r="O515">
        <f t="shared" si="114"/>
        <v>0</v>
      </c>
      <c r="P515">
        <f t="shared" si="114"/>
        <v>0</v>
      </c>
      <c r="Q515">
        <f t="shared" si="114"/>
        <v>0</v>
      </c>
      <c r="R515">
        <f t="shared" si="114"/>
        <v>0</v>
      </c>
      <c r="S515">
        <f t="shared" si="114"/>
        <v>0</v>
      </c>
      <c r="T515">
        <f t="shared" si="114"/>
        <v>0</v>
      </c>
      <c r="U515">
        <f t="shared" si="114"/>
        <v>0</v>
      </c>
      <c r="V515">
        <f t="shared" si="114"/>
        <v>0</v>
      </c>
      <c r="W515">
        <f t="shared" si="114"/>
        <v>0</v>
      </c>
      <c r="X515">
        <f t="shared" si="114"/>
        <v>0</v>
      </c>
      <c r="Y515">
        <f t="shared" si="114"/>
        <v>0</v>
      </c>
      <c r="Z515">
        <f t="shared" si="113"/>
        <v>0</v>
      </c>
      <c r="AA515">
        <f t="shared" si="113"/>
        <v>0</v>
      </c>
      <c r="AB515">
        <f t="shared" si="113"/>
        <v>0</v>
      </c>
      <c r="AC515">
        <f t="shared" si="113"/>
        <v>0</v>
      </c>
      <c r="AD515">
        <f t="shared" si="113"/>
        <v>0</v>
      </c>
      <c r="AE515">
        <f t="shared" si="113"/>
        <v>0</v>
      </c>
      <c r="AF515">
        <f t="shared" si="113"/>
        <v>0</v>
      </c>
      <c r="AG515">
        <f t="shared" si="113"/>
        <v>0</v>
      </c>
      <c r="AH515">
        <f t="shared" si="113"/>
        <v>0</v>
      </c>
      <c r="AI515">
        <f t="shared" si="113"/>
        <v>0</v>
      </c>
      <c r="AJ515">
        <f t="shared" si="113"/>
        <v>0</v>
      </c>
      <c r="AK515">
        <f t="shared" si="113"/>
        <v>0</v>
      </c>
      <c r="AL515">
        <f t="shared" si="113"/>
        <v>0</v>
      </c>
      <c r="AM515">
        <f t="shared" si="113"/>
        <v>0</v>
      </c>
      <c r="AN515">
        <f t="shared" si="113"/>
        <v>0</v>
      </c>
      <c r="AO515">
        <f t="shared" si="106"/>
        <v>0</v>
      </c>
      <c r="AP515">
        <f t="shared" si="106"/>
        <v>0</v>
      </c>
      <c r="AQ515">
        <f t="shared" si="106"/>
        <v>0</v>
      </c>
      <c r="AR515">
        <f t="shared" si="106"/>
        <v>0</v>
      </c>
    </row>
    <row r="516" spans="5:44" x14ac:dyDescent="0.2">
      <c r="E516" s="1">
        <f>moment_rate!$AC516</f>
        <v>7.4493433161470389E-3</v>
      </c>
      <c r="F516" s="1">
        <f t="shared" si="101"/>
        <v>0</v>
      </c>
      <c r="G516">
        <f>moment_rate!I516-0.005</f>
        <v>5.0899999999999359</v>
      </c>
      <c r="H516" s="1">
        <f t="shared" si="102"/>
        <v>0</v>
      </c>
      <c r="I516">
        <f t="shared" si="110"/>
        <v>0</v>
      </c>
      <c r="J516">
        <f t="shared" si="114"/>
        <v>0</v>
      </c>
      <c r="K516">
        <f t="shared" si="114"/>
        <v>0</v>
      </c>
      <c r="L516">
        <f t="shared" si="114"/>
        <v>0</v>
      </c>
      <c r="M516">
        <f t="shared" si="114"/>
        <v>0</v>
      </c>
      <c r="N516">
        <f t="shared" si="114"/>
        <v>0</v>
      </c>
      <c r="O516">
        <f t="shared" si="114"/>
        <v>0</v>
      </c>
      <c r="P516">
        <f t="shared" si="114"/>
        <v>0</v>
      </c>
      <c r="Q516">
        <f t="shared" si="114"/>
        <v>0</v>
      </c>
      <c r="R516">
        <f t="shared" si="114"/>
        <v>0</v>
      </c>
      <c r="S516">
        <f t="shared" si="114"/>
        <v>0</v>
      </c>
      <c r="T516">
        <f t="shared" si="114"/>
        <v>0</v>
      </c>
      <c r="U516">
        <f t="shared" si="114"/>
        <v>0</v>
      </c>
      <c r="V516">
        <f t="shared" si="114"/>
        <v>0</v>
      </c>
      <c r="W516">
        <f t="shared" si="114"/>
        <v>0</v>
      </c>
      <c r="X516">
        <f t="shared" si="114"/>
        <v>0</v>
      </c>
      <c r="Y516">
        <f t="shared" si="114"/>
        <v>0</v>
      </c>
      <c r="Z516">
        <f t="shared" si="113"/>
        <v>0</v>
      </c>
      <c r="AA516">
        <f t="shared" si="113"/>
        <v>0</v>
      </c>
      <c r="AB516">
        <f t="shared" si="113"/>
        <v>0</v>
      </c>
      <c r="AC516">
        <f t="shared" si="113"/>
        <v>0</v>
      </c>
      <c r="AD516">
        <f t="shared" si="113"/>
        <v>0</v>
      </c>
      <c r="AE516">
        <f t="shared" si="113"/>
        <v>0</v>
      </c>
      <c r="AF516">
        <f t="shared" si="113"/>
        <v>0</v>
      </c>
      <c r="AG516">
        <f t="shared" si="113"/>
        <v>0</v>
      </c>
      <c r="AH516">
        <f t="shared" si="113"/>
        <v>0</v>
      </c>
      <c r="AI516">
        <f t="shared" si="113"/>
        <v>0</v>
      </c>
      <c r="AJ516">
        <f t="shared" si="113"/>
        <v>0</v>
      </c>
      <c r="AK516">
        <f t="shared" si="113"/>
        <v>0</v>
      </c>
      <c r="AL516">
        <f t="shared" si="113"/>
        <v>0</v>
      </c>
      <c r="AM516">
        <f t="shared" si="113"/>
        <v>0</v>
      </c>
      <c r="AN516">
        <f t="shared" si="113"/>
        <v>0</v>
      </c>
      <c r="AO516">
        <f t="shared" si="106"/>
        <v>0</v>
      </c>
      <c r="AP516">
        <f t="shared" si="106"/>
        <v>0</v>
      </c>
      <c r="AQ516">
        <f t="shared" si="106"/>
        <v>0</v>
      </c>
      <c r="AR516">
        <f t="shared" si="106"/>
        <v>0</v>
      </c>
    </row>
    <row r="517" spans="5:44" x14ac:dyDescent="0.2">
      <c r="E517" s="1">
        <f>moment_rate!$AC517</f>
        <v>7.4493433161470389E-3</v>
      </c>
      <c r="F517" s="1">
        <f t="shared" si="101"/>
        <v>0</v>
      </c>
      <c r="G517">
        <f>moment_rate!I517-0.005</f>
        <v>5.0999999999999357</v>
      </c>
      <c r="H517" s="1">
        <f t="shared" si="102"/>
        <v>0</v>
      </c>
      <c r="I517">
        <f t="shared" si="110"/>
        <v>0</v>
      </c>
      <c r="J517">
        <f t="shared" si="114"/>
        <v>0</v>
      </c>
      <c r="K517">
        <f t="shared" si="114"/>
        <v>0</v>
      </c>
      <c r="L517">
        <f t="shared" si="114"/>
        <v>0</v>
      </c>
      <c r="M517">
        <f t="shared" si="114"/>
        <v>0</v>
      </c>
      <c r="N517">
        <f t="shared" si="114"/>
        <v>0</v>
      </c>
      <c r="O517">
        <f t="shared" si="114"/>
        <v>0</v>
      </c>
      <c r="P517">
        <f t="shared" si="114"/>
        <v>0</v>
      </c>
      <c r="Q517">
        <f t="shared" si="114"/>
        <v>0</v>
      </c>
      <c r="R517">
        <f t="shared" si="114"/>
        <v>0</v>
      </c>
      <c r="S517">
        <f t="shared" si="114"/>
        <v>0</v>
      </c>
      <c r="T517">
        <f t="shared" si="114"/>
        <v>0</v>
      </c>
      <c r="U517">
        <f t="shared" si="114"/>
        <v>0</v>
      </c>
      <c r="V517">
        <f t="shared" si="114"/>
        <v>0</v>
      </c>
      <c r="W517">
        <f t="shared" si="114"/>
        <v>0</v>
      </c>
      <c r="X517">
        <f t="shared" si="114"/>
        <v>0</v>
      </c>
      <c r="Y517">
        <f t="shared" si="114"/>
        <v>0</v>
      </c>
      <c r="Z517">
        <f t="shared" si="113"/>
        <v>0</v>
      </c>
      <c r="AA517">
        <f t="shared" si="113"/>
        <v>0</v>
      </c>
      <c r="AB517">
        <f t="shared" si="113"/>
        <v>0</v>
      </c>
      <c r="AC517">
        <f t="shared" si="113"/>
        <v>0</v>
      </c>
      <c r="AD517">
        <f t="shared" si="113"/>
        <v>0</v>
      </c>
      <c r="AE517">
        <f t="shared" si="113"/>
        <v>0</v>
      </c>
      <c r="AF517">
        <f t="shared" si="113"/>
        <v>0</v>
      </c>
      <c r="AG517">
        <f t="shared" si="113"/>
        <v>0</v>
      </c>
      <c r="AH517">
        <f t="shared" si="113"/>
        <v>0</v>
      </c>
      <c r="AI517">
        <f t="shared" si="113"/>
        <v>0</v>
      </c>
      <c r="AJ517">
        <f t="shared" si="113"/>
        <v>0</v>
      </c>
      <c r="AK517">
        <f t="shared" si="113"/>
        <v>0</v>
      </c>
      <c r="AL517">
        <f t="shared" si="113"/>
        <v>0</v>
      </c>
      <c r="AM517">
        <f t="shared" si="113"/>
        <v>0</v>
      </c>
      <c r="AN517">
        <f t="shared" si="113"/>
        <v>0</v>
      </c>
      <c r="AO517">
        <f t="shared" si="106"/>
        <v>0</v>
      </c>
      <c r="AP517">
        <f t="shared" si="106"/>
        <v>0</v>
      </c>
      <c r="AQ517">
        <f t="shared" si="106"/>
        <v>0</v>
      </c>
      <c r="AR517">
        <f t="shared" si="106"/>
        <v>0</v>
      </c>
    </row>
    <row r="518" spans="5:44" x14ac:dyDescent="0.2">
      <c r="E518" s="1">
        <f>moment_rate!$AC518</f>
        <v>7.4493433161470389E-3</v>
      </c>
      <c r="F518" s="1">
        <f t="shared" si="101"/>
        <v>0</v>
      </c>
      <c r="G518">
        <f>moment_rate!I518-0.005</f>
        <v>5.1099999999999355</v>
      </c>
      <c r="H518" s="1">
        <f t="shared" si="102"/>
        <v>0</v>
      </c>
      <c r="I518">
        <f t="shared" si="110"/>
        <v>0</v>
      </c>
      <c r="J518">
        <f t="shared" si="114"/>
        <v>0</v>
      </c>
      <c r="K518">
        <f t="shared" si="114"/>
        <v>0</v>
      </c>
      <c r="L518">
        <f t="shared" si="114"/>
        <v>0</v>
      </c>
      <c r="M518">
        <f t="shared" si="114"/>
        <v>0</v>
      </c>
      <c r="N518">
        <f t="shared" si="114"/>
        <v>0</v>
      </c>
      <c r="O518">
        <f t="shared" si="114"/>
        <v>0</v>
      </c>
      <c r="P518">
        <f t="shared" si="114"/>
        <v>0</v>
      </c>
      <c r="Q518">
        <f t="shared" si="114"/>
        <v>0</v>
      </c>
      <c r="R518">
        <f t="shared" si="114"/>
        <v>0</v>
      </c>
      <c r="S518">
        <f t="shared" si="114"/>
        <v>0</v>
      </c>
      <c r="T518">
        <f t="shared" si="114"/>
        <v>0</v>
      </c>
      <c r="U518">
        <f t="shared" si="114"/>
        <v>0</v>
      </c>
      <c r="V518">
        <f t="shared" si="114"/>
        <v>0</v>
      </c>
      <c r="W518">
        <f t="shared" si="114"/>
        <v>0</v>
      </c>
      <c r="X518">
        <f t="shared" si="114"/>
        <v>0</v>
      </c>
      <c r="Y518">
        <f t="shared" si="114"/>
        <v>0</v>
      </c>
      <c r="Z518">
        <f t="shared" si="113"/>
        <v>0</v>
      </c>
      <c r="AA518">
        <f t="shared" si="113"/>
        <v>0</v>
      </c>
      <c r="AB518">
        <f t="shared" si="113"/>
        <v>0</v>
      </c>
      <c r="AC518">
        <f t="shared" si="113"/>
        <v>0</v>
      </c>
      <c r="AD518">
        <f t="shared" si="113"/>
        <v>0</v>
      </c>
      <c r="AE518">
        <f t="shared" si="113"/>
        <v>0</v>
      </c>
      <c r="AF518">
        <f t="shared" si="113"/>
        <v>0</v>
      </c>
      <c r="AG518">
        <f t="shared" si="113"/>
        <v>0</v>
      </c>
      <c r="AH518">
        <f t="shared" si="113"/>
        <v>0</v>
      </c>
      <c r="AI518">
        <f t="shared" si="113"/>
        <v>0</v>
      </c>
      <c r="AJ518">
        <f t="shared" si="113"/>
        <v>0</v>
      </c>
      <c r="AK518">
        <f t="shared" si="113"/>
        <v>0</v>
      </c>
      <c r="AL518">
        <f t="shared" si="113"/>
        <v>0</v>
      </c>
      <c r="AM518">
        <f t="shared" si="113"/>
        <v>0</v>
      </c>
      <c r="AN518">
        <f t="shared" si="113"/>
        <v>0</v>
      </c>
      <c r="AO518">
        <f t="shared" si="106"/>
        <v>0</v>
      </c>
      <c r="AP518">
        <f t="shared" si="106"/>
        <v>0</v>
      </c>
      <c r="AQ518">
        <f t="shared" si="106"/>
        <v>0</v>
      </c>
      <c r="AR518">
        <f t="shared" si="106"/>
        <v>0</v>
      </c>
    </row>
    <row r="519" spans="5:44" x14ac:dyDescent="0.2">
      <c r="E519" s="1">
        <f>moment_rate!$AC519</f>
        <v>7.4493433161470389E-3</v>
      </c>
      <c r="F519" s="1">
        <f t="shared" si="101"/>
        <v>0</v>
      </c>
      <c r="G519">
        <f>moment_rate!I519-0.005</f>
        <v>5.1199999999999353</v>
      </c>
      <c r="H519" s="1">
        <f t="shared" si="102"/>
        <v>0</v>
      </c>
      <c r="I519">
        <f t="shared" si="110"/>
        <v>0</v>
      </c>
      <c r="J519">
        <f t="shared" si="114"/>
        <v>0</v>
      </c>
      <c r="K519">
        <f t="shared" si="114"/>
        <v>0</v>
      </c>
      <c r="L519">
        <f t="shared" si="114"/>
        <v>0</v>
      </c>
      <c r="M519">
        <f t="shared" si="114"/>
        <v>0</v>
      </c>
      <c r="N519">
        <f t="shared" si="114"/>
        <v>0</v>
      </c>
      <c r="O519">
        <f t="shared" si="114"/>
        <v>0</v>
      </c>
      <c r="P519">
        <f t="shared" si="114"/>
        <v>0</v>
      </c>
      <c r="Q519">
        <f t="shared" si="114"/>
        <v>0</v>
      </c>
      <c r="R519">
        <f t="shared" si="114"/>
        <v>0</v>
      </c>
      <c r="S519">
        <f t="shared" si="114"/>
        <v>0</v>
      </c>
      <c r="T519">
        <f t="shared" si="114"/>
        <v>0</v>
      </c>
      <c r="U519">
        <f t="shared" si="114"/>
        <v>0</v>
      </c>
      <c r="V519">
        <f t="shared" si="114"/>
        <v>0</v>
      </c>
      <c r="W519">
        <f t="shared" si="114"/>
        <v>0</v>
      </c>
      <c r="X519">
        <f t="shared" si="114"/>
        <v>0</v>
      </c>
      <c r="Y519">
        <f t="shared" si="114"/>
        <v>0</v>
      </c>
      <c r="Z519">
        <f t="shared" si="113"/>
        <v>0</v>
      </c>
      <c r="AA519">
        <f t="shared" si="113"/>
        <v>0</v>
      </c>
      <c r="AB519">
        <f t="shared" si="113"/>
        <v>0</v>
      </c>
      <c r="AC519">
        <f t="shared" si="113"/>
        <v>0</v>
      </c>
      <c r="AD519">
        <f t="shared" si="113"/>
        <v>0</v>
      </c>
      <c r="AE519">
        <f t="shared" si="113"/>
        <v>0</v>
      </c>
      <c r="AF519">
        <f t="shared" si="113"/>
        <v>0</v>
      </c>
      <c r="AG519">
        <f t="shared" si="113"/>
        <v>0</v>
      </c>
      <c r="AH519">
        <f t="shared" si="113"/>
        <v>0</v>
      </c>
      <c r="AI519">
        <f t="shared" si="113"/>
        <v>0</v>
      </c>
      <c r="AJ519">
        <f t="shared" si="113"/>
        <v>0</v>
      </c>
      <c r="AK519">
        <f t="shared" si="113"/>
        <v>0</v>
      </c>
      <c r="AL519">
        <f t="shared" si="113"/>
        <v>0</v>
      </c>
      <c r="AM519">
        <f t="shared" si="113"/>
        <v>0</v>
      </c>
      <c r="AN519">
        <f t="shared" si="113"/>
        <v>0</v>
      </c>
      <c r="AO519">
        <f t="shared" si="106"/>
        <v>0</v>
      </c>
      <c r="AP519">
        <f t="shared" si="106"/>
        <v>0</v>
      </c>
      <c r="AQ519">
        <f t="shared" si="106"/>
        <v>0</v>
      </c>
      <c r="AR519">
        <f t="shared" si="106"/>
        <v>0</v>
      </c>
    </row>
    <row r="520" spans="5:44" x14ac:dyDescent="0.2">
      <c r="E520" s="1">
        <f>moment_rate!$AC520</f>
        <v>7.4493433161470389E-3</v>
      </c>
      <c r="F520" s="1">
        <f t="shared" ref="F520:F583" si="115">E520-E521</f>
        <v>0</v>
      </c>
      <c r="G520">
        <f>moment_rate!I520-0.005</f>
        <v>5.1299999999999351</v>
      </c>
      <c r="H520" s="1">
        <f t="shared" ref="H520:H583" si="116">IF($G520&gt;=4.999,(E520-E521),0)</f>
        <v>0</v>
      </c>
      <c r="I520">
        <f t="shared" ref="I520:X538" si="117">IF(AND($G520&gt;=I$3,$G520&lt;I$4),$F520,0)</f>
        <v>0</v>
      </c>
      <c r="J520">
        <f t="shared" si="114"/>
        <v>0</v>
      </c>
      <c r="K520">
        <f t="shared" si="114"/>
        <v>0</v>
      </c>
      <c r="L520">
        <f t="shared" si="114"/>
        <v>0</v>
      </c>
      <c r="M520">
        <f t="shared" si="114"/>
        <v>0</v>
      </c>
      <c r="N520">
        <f t="shared" si="114"/>
        <v>0</v>
      </c>
      <c r="O520">
        <f t="shared" si="114"/>
        <v>0</v>
      </c>
      <c r="P520">
        <f t="shared" si="114"/>
        <v>0</v>
      </c>
      <c r="Q520">
        <f t="shared" si="114"/>
        <v>0</v>
      </c>
      <c r="R520">
        <f t="shared" si="114"/>
        <v>0</v>
      </c>
      <c r="S520">
        <f t="shared" si="114"/>
        <v>0</v>
      </c>
      <c r="T520">
        <f t="shared" si="114"/>
        <v>0</v>
      </c>
      <c r="U520">
        <f t="shared" si="114"/>
        <v>0</v>
      </c>
      <c r="V520">
        <f t="shared" si="114"/>
        <v>0</v>
      </c>
      <c r="W520">
        <f t="shared" si="114"/>
        <v>0</v>
      </c>
      <c r="X520">
        <f t="shared" si="114"/>
        <v>0</v>
      </c>
      <c r="Y520">
        <f t="shared" si="114"/>
        <v>0</v>
      </c>
      <c r="Z520">
        <f t="shared" si="113"/>
        <v>0</v>
      </c>
      <c r="AA520">
        <f t="shared" si="113"/>
        <v>0</v>
      </c>
      <c r="AB520">
        <f t="shared" si="113"/>
        <v>0</v>
      </c>
      <c r="AC520">
        <f t="shared" si="113"/>
        <v>0</v>
      </c>
      <c r="AD520">
        <f t="shared" si="113"/>
        <v>0</v>
      </c>
      <c r="AE520">
        <f t="shared" si="113"/>
        <v>0</v>
      </c>
      <c r="AF520">
        <f t="shared" si="113"/>
        <v>0</v>
      </c>
      <c r="AG520">
        <f t="shared" si="113"/>
        <v>0</v>
      </c>
      <c r="AH520">
        <f t="shared" si="113"/>
        <v>0</v>
      </c>
      <c r="AI520">
        <f t="shared" si="113"/>
        <v>0</v>
      </c>
      <c r="AJ520">
        <f t="shared" si="113"/>
        <v>0</v>
      </c>
      <c r="AK520">
        <f t="shared" si="113"/>
        <v>0</v>
      </c>
      <c r="AL520">
        <f t="shared" si="113"/>
        <v>0</v>
      </c>
      <c r="AM520">
        <f t="shared" si="113"/>
        <v>0</v>
      </c>
      <c r="AN520">
        <f t="shared" si="113"/>
        <v>0</v>
      </c>
      <c r="AO520">
        <f t="shared" si="106"/>
        <v>0</v>
      </c>
      <c r="AP520">
        <f t="shared" si="106"/>
        <v>0</v>
      </c>
      <c r="AQ520">
        <f t="shared" si="106"/>
        <v>0</v>
      </c>
      <c r="AR520">
        <f t="shared" si="106"/>
        <v>0</v>
      </c>
    </row>
    <row r="521" spans="5:44" x14ac:dyDescent="0.2">
      <c r="E521" s="1">
        <f>moment_rate!$AC521</f>
        <v>7.4493433161470389E-3</v>
      </c>
      <c r="F521" s="1">
        <f t="shared" si="115"/>
        <v>0</v>
      </c>
      <c r="G521">
        <f>moment_rate!I521-0.005</f>
        <v>5.1399999999999348</v>
      </c>
      <c r="H521" s="1">
        <f t="shared" si="116"/>
        <v>0</v>
      </c>
      <c r="I521">
        <f t="shared" si="117"/>
        <v>0</v>
      </c>
      <c r="J521">
        <f t="shared" si="114"/>
        <v>0</v>
      </c>
      <c r="K521">
        <f t="shared" si="114"/>
        <v>0</v>
      </c>
      <c r="L521">
        <f t="shared" si="114"/>
        <v>0</v>
      </c>
      <c r="M521">
        <f t="shared" si="114"/>
        <v>0</v>
      </c>
      <c r="N521">
        <f t="shared" si="114"/>
        <v>0</v>
      </c>
      <c r="O521">
        <f t="shared" si="114"/>
        <v>0</v>
      </c>
      <c r="P521">
        <f t="shared" si="114"/>
        <v>0</v>
      </c>
      <c r="Q521">
        <f t="shared" si="114"/>
        <v>0</v>
      </c>
      <c r="R521">
        <f t="shared" si="114"/>
        <v>0</v>
      </c>
      <c r="S521">
        <f t="shared" si="114"/>
        <v>0</v>
      </c>
      <c r="T521">
        <f t="shared" si="114"/>
        <v>0</v>
      </c>
      <c r="U521">
        <f t="shared" si="114"/>
        <v>0</v>
      </c>
      <c r="V521">
        <f t="shared" si="114"/>
        <v>0</v>
      </c>
      <c r="W521">
        <f t="shared" si="114"/>
        <v>0</v>
      </c>
      <c r="X521">
        <f t="shared" si="114"/>
        <v>0</v>
      </c>
      <c r="Y521">
        <f t="shared" si="114"/>
        <v>0</v>
      </c>
      <c r="Z521">
        <f t="shared" si="113"/>
        <v>0</v>
      </c>
      <c r="AA521">
        <f t="shared" si="113"/>
        <v>0</v>
      </c>
      <c r="AB521">
        <f t="shared" si="113"/>
        <v>0</v>
      </c>
      <c r="AC521">
        <f t="shared" si="113"/>
        <v>0</v>
      </c>
      <c r="AD521">
        <f t="shared" si="113"/>
        <v>0</v>
      </c>
      <c r="AE521">
        <f t="shared" si="113"/>
        <v>0</v>
      </c>
      <c r="AF521">
        <f t="shared" si="113"/>
        <v>0</v>
      </c>
      <c r="AG521">
        <f t="shared" si="113"/>
        <v>0</v>
      </c>
      <c r="AH521">
        <f t="shared" si="113"/>
        <v>0</v>
      </c>
      <c r="AI521">
        <f t="shared" si="113"/>
        <v>0</v>
      </c>
      <c r="AJ521">
        <f t="shared" si="113"/>
        <v>0</v>
      </c>
      <c r="AK521">
        <f t="shared" si="113"/>
        <v>0</v>
      </c>
      <c r="AL521">
        <f t="shared" si="113"/>
        <v>0</v>
      </c>
      <c r="AM521">
        <f t="shared" si="113"/>
        <v>0</v>
      </c>
      <c r="AN521">
        <f t="shared" si="113"/>
        <v>0</v>
      </c>
      <c r="AO521">
        <f t="shared" si="106"/>
        <v>0</v>
      </c>
      <c r="AP521">
        <f t="shared" si="106"/>
        <v>0</v>
      </c>
      <c r="AQ521">
        <f t="shared" si="106"/>
        <v>0</v>
      </c>
      <c r="AR521">
        <f t="shared" si="106"/>
        <v>0</v>
      </c>
    </row>
    <row r="522" spans="5:44" x14ac:dyDescent="0.2">
      <c r="E522" s="1">
        <f>moment_rate!$AC522</f>
        <v>7.4493433161470389E-3</v>
      </c>
      <c r="F522" s="1">
        <f t="shared" si="115"/>
        <v>0</v>
      </c>
      <c r="G522">
        <f>moment_rate!I522-0.005</f>
        <v>5.1499999999999346</v>
      </c>
      <c r="H522" s="1">
        <f t="shared" si="116"/>
        <v>0</v>
      </c>
      <c r="I522">
        <f t="shared" si="117"/>
        <v>0</v>
      </c>
      <c r="J522">
        <f t="shared" si="114"/>
        <v>0</v>
      </c>
      <c r="K522">
        <f t="shared" si="114"/>
        <v>0</v>
      </c>
      <c r="L522">
        <f t="shared" si="114"/>
        <v>0</v>
      </c>
      <c r="M522">
        <f t="shared" si="114"/>
        <v>0</v>
      </c>
      <c r="N522">
        <f t="shared" si="114"/>
        <v>0</v>
      </c>
      <c r="O522">
        <f t="shared" si="114"/>
        <v>0</v>
      </c>
      <c r="P522">
        <f t="shared" si="114"/>
        <v>0</v>
      </c>
      <c r="Q522">
        <f t="shared" si="114"/>
        <v>0</v>
      </c>
      <c r="R522">
        <f t="shared" si="114"/>
        <v>0</v>
      </c>
      <c r="S522">
        <f t="shared" si="114"/>
        <v>0</v>
      </c>
      <c r="T522">
        <f t="shared" si="114"/>
        <v>0</v>
      </c>
      <c r="U522">
        <f t="shared" si="114"/>
        <v>0</v>
      </c>
      <c r="V522">
        <f t="shared" si="114"/>
        <v>0</v>
      </c>
      <c r="W522">
        <f t="shared" si="114"/>
        <v>0</v>
      </c>
      <c r="X522">
        <f t="shared" si="114"/>
        <v>0</v>
      </c>
      <c r="Y522">
        <f t="shared" ref="Y522:AN537" si="118">IF(AND($G522&gt;=Y$3,$G522&lt;Y$4),$F522,0)</f>
        <v>0</v>
      </c>
      <c r="Z522">
        <f t="shared" si="118"/>
        <v>0</v>
      </c>
      <c r="AA522">
        <f t="shared" si="118"/>
        <v>0</v>
      </c>
      <c r="AB522">
        <f t="shared" si="118"/>
        <v>0</v>
      </c>
      <c r="AC522">
        <f t="shared" si="118"/>
        <v>0</v>
      </c>
      <c r="AD522">
        <f t="shared" si="118"/>
        <v>0</v>
      </c>
      <c r="AE522">
        <f t="shared" si="118"/>
        <v>0</v>
      </c>
      <c r="AF522">
        <f t="shared" si="118"/>
        <v>0</v>
      </c>
      <c r="AG522">
        <f t="shared" si="118"/>
        <v>0</v>
      </c>
      <c r="AH522">
        <f t="shared" si="118"/>
        <v>0</v>
      </c>
      <c r="AI522">
        <f t="shared" si="118"/>
        <v>0</v>
      </c>
      <c r="AJ522">
        <f t="shared" si="118"/>
        <v>0</v>
      </c>
      <c r="AK522">
        <f t="shared" si="118"/>
        <v>0</v>
      </c>
      <c r="AL522">
        <f t="shared" si="118"/>
        <v>0</v>
      </c>
      <c r="AM522">
        <f t="shared" si="118"/>
        <v>0</v>
      </c>
      <c r="AN522">
        <f t="shared" si="118"/>
        <v>0</v>
      </c>
      <c r="AO522">
        <f t="shared" si="106"/>
        <v>0</v>
      </c>
      <c r="AP522">
        <f t="shared" si="106"/>
        <v>0</v>
      </c>
      <c r="AQ522">
        <f t="shared" si="106"/>
        <v>0</v>
      </c>
      <c r="AR522">
        <f t="shared" si="106"/>
        <v>0</v>
      </c>
    </row>
    <row r="523" spans="5:44" x14ac:dyDescent="0.2">
      <c r="E523" s="1">
        <f>moment_rate!$AC523</f>
        <v>7.4493433161470389E-3</v>
      </c>
      <c r="F523" s="1">
        <f t="shared" si="115"/>
        <v>0</v>
      </c>
      <c r="G523">
        <f>moment_rate!I523-0.005</f>
        <v>5.1599999999999344</v>
      </c>
      <c r="H523" s="1">
        <f t="shared" si="116"/>
        <v>0</v>
      </c>
      <c r="I523">
        <f t="shared" si="117"/>
        <v>0</v>
      </c>
      <c r="J523">
        <f t="shared" si="117"/>
        <v>0</v>
      </c>
      <c r="K523">
        <f t="shared" si="117"/>
        <v>0</v>
      </c>
      <c r="L523">
        <f t="shared" si="117"/>
        <v>0</v>
      </c>
      <c r="M523">
        <f t="shared" si="117"/>
        <v>0</v>
      </c>
      <c r="N523">
        <f t="shared" si="117"/>
        <v>0</v>
      </c>
      <c r="O523">
        <f t="shared" si="117"/>
        <v>0</v>
      </c>
      <c r="P523">
        <f t="shared" si="117"/>
        <v>0</v>
      </c>
      <c r="Q523">
        <f t="shared" si="117"/>
        <v>0</v>
      </c>
      <c r="R523">
        <f t="shared" si="117"/>
        <v>0</v>
      </c>
      <c r="S523">
        <f t="shared" si="117"/>
        <v>0</v>
      </c>
      <c r="T523">
        <f t="shared" si="117"/>
        <v>0</v>
      </c>
      <c r="U523">
        <f t="shared" si="117"/>
        <v>0</v>
      </c>
      <c r="V523">
        <f t="shared" si="117"/>
        <v>0</v>
      </c>
      <c r="W523">
        <f t="shared" si="117"/>
        <v>0</v>
      </c>
      <c r="X523">
        <f t="shared" si="117"/>
        <v>0</v>
      </c>
      <c r="Y523">
        <f t="shared" si="118"/>
        <v>0</v>
      </c>
      <c r="Z523">
        <f t="shared" si="118"/>
        <v>0</v>
      </c>
      <c r="AA523">
        <f t="shared" si="118"/>
        <v>0</v>
      </c>
      <c r="AB523">
        <f t="shared" si="118"/>
        <v>0</v>
      </c>
      <c r="AC523">
        <f t="shared" si="118"/>
        <v>0</v>
      </c>
      <c r="AD523">
        <f t="shared" si="118"/>
        <v>0</v>
      </c>
      <c r="AE523">
        <f t="shared" si="118"/>
        <v>0</v>
      </c>
      <c r="AF523">
        <f t="shared" si="118"/>
        <v>0</v>
      </c>
      <c r="AG523">
        <f t="shared" si="118"/>
        <v>0</v>
      </c>
      <c r="AH523">
        <f t="shared" si="118"/>
        <v>0</v>
      </c>
      <c r="AI523">
        <f t="shared" si="118"/>
        <v>0</v>
      </c>
      <c r="AJ523">
        <f t="shared" si="118"/>
        <v>0</v>
      </c>
      <c r="AK523">
        <f t="shared" si="118"/>
        <v>0</v>
      </c>
      <c r="AL523">
        <f t="shared" si="118"/>
        <v>0</v>
      </c>
      <c r="AM523">
        <f t="shared" si="118"/>
        <v>0</v>
      </c>
      <c r="AN523">
        <f t="shared" si="118"/>
        <v>0</v>
      </c>
      <c r="AO523">
        <f t="shared" si="106"/>
        <v>0</v>
      </c>
      <c r="AP523">
        <f t="shared" si="106"/>
        <v>0</v>
      </c>
      <c r="AQ523">
        <f t="shared" si="106"/>
        <v>0</v>
      </c>
      <c r="AR523">
        <f t="shared" si="106"/>
        <v>0</v>
      </c>
    </row>
    <row r="524" spans="5:44" x14ac:dyDescent="0.2">
      <c r="E524" s="1">
        <f>moment_rate!$AC524</f>
        <v>7.4493433161470389E-3</v>
      </c>
      <c r="F524" s="1">
        <f t="shared" si="115"/>
        <v>0</v>
      </c>
      <c r="G524">
        <f>moment_rate!I524-0.005</f>
        <v>5.1699999999999342</v>
      </c>
      <c r="H524" s="1">
        <f t="shared" si="116"/>
        <v>0</v>
      </c>
      <c r="I524">
        <f t="shared" si="117"/>
        <v>0</v>
      </c>
      <c r="J524">
        <f t="shared" si="117"/>
        <v>0</v>
      </c>
      <c r="K524">
        <f t="shared" si="117"/>
        <v>0</v>
      </c>
      <c r="L524">
        <f t="shared" si="117"/>
        <v>0</v>
      </c>
      <c r="M524">
        <f t="shared" si="117"/>
        <v>0</v>
      </c>
      <c r="N524">
        <f t="shared" si="117"/>
        <v>0</v>
      </c>
      <c r="O524">
        <f t="shared" si="117"/>
        <v>0</v>
      </c>
      <c r="P524">
        <f t="shared" si="117"/>
        <v>0</v>
      </c>
      <c r="Q524">
        <f t="shared" si="117"/>
        <v>0</v>
      </c>
      <c r="R524">
        <f t="shared" si="117"/>
        <v>0</v>
      </c>
      <c r="S524">
        <f t="shared" si="117"/>
        <v>0</v>
      </c>
      <c r="T524">
        <f t="shared" si="117"/>
        <v>0</v>
      </c>
      <c r="U524">
        <f t="shared" si="117"/>
        <v>0</v>
      </c>
      <c r="V524">
        <f t="shared" si="117"/>
        <v>0</v>
      </c>
      <c r="W524">
        <f t="shared" si="117"/>
        <v>0</v>
      </c>
      <c r="X524">
        <f t="shared" si="117"/>
        <v>0</v>
      </c>
      <c r="Y524">
        <f t="shared" si="118"/>
        <v>0</v>
      </c>
      <c r="Z524">
        <f t="shared" si="118"/>
        <v>0</v>
      </c>
      <c r="AA524">
        <f t="shared" si="118"/>
        <v>0</v>
      </c>
      <c r="AB524">
        <f t="shared" si="118"/>
        <v>0</v>
      </c>
      <c r="AC524">
        <f t="shared" si="118"/>
        <v>0</v>
      </c>
      <c r="AD524">
        <f t="shared" si="118"/>
        <v>0</v>
      </c>
      <c r="AE524">
        <f t="shared" si="118"/>
        <v>0</v>
      </c>
      <c r="AF524">
        <f t="shared" si="118"/>
        <v>0</v>
      </c>
      <c r="AG524">
        <f t="shared" si="118"/>
        <v>0</v>
      </c>
      <c r="AH524">
        <f t="shared" si="118"/>
        <v>0</v>
      </c>
      <c r="AI524">
        <f t="shared" si="118"/>
        <v>0</v>
      </c>
      <c r="AJ524">
        <f t="shared" si="118"/>
        <v>0</v>
      </c>
      <c r="AK524">
        <f t="shared" si="118"/>
        <v>0</v>
      </c>
      <c r="AL524">
        <f t="shared" si="118"/>
        <v>0</v>
      </c>
      <c r="AM524">
        <f t="shared" si="118"/>
        <v>0</v>
      </c>
      <c r="AN524">
        <f t="shared" si="118"/>
        <v>0</v>
      </c>
      <c r="AO524">
        <f t="shared" si="106"/>
        <v>0</v>
      </c>
      <c r="AP524">
        <f t="shared" si="106"/>
        <v>0</v>
      </c>
      <c r="AQ524">
        <f t="shared" si="106"/>
        <v>0</v>
      </c>
      <c r="AR524">
        <f t="shared" si="106"/>
        <v>0</v>
      </c>
    </row>
    <row r="525" spans="5:44" x14ac:dyDescent="0.2">
      <c r="E525" s="1">
        <f>moment_rate!$AC525</f>
        <v>7.4493433161470389E-3</v>
      </c>
      <c r="F525" s="1">
        <f t="shared" si="115"/>
        <v>0</v>
      </c>
      <c r="G525">
        <f>moment_rate!I525-0.005</f>
        <v>5.179999999999934</v>
      </c>
      <c r="H525" s="1">
        <f t="shared" si="116"/>
        <v>0</v>
      </c>
      <c r="I525">
        <f t="shared" si="117"/>
        <v>0</v>
      </c>
      <c r="J525">
        <f t="shared" si="117"/>
        <v>0</v>
      </c>
      <c r="K525">
        <f t="shared" si="117"/>
        <v>0</v>
      </c>
      <c r="L525">
        <f t="shared" si="117"/>
        <v>0</v>
      </c>
      <c r="M525">
        <f t="shared" si="117"/>
        <v>0</v>
      </c>
      <c r="N525">
        <f t="shared" si="117"/>
        <v>0</v>
      </c>
      <c r="O525">
        <f t="shared" si="117"/>
        <v>0</v>
      </c>
      <c r="P525">
        <f t="shared" si="117"/>
        <v>0</v>
      </c>
      <c r="Q525">
        <f t="shared" si="117"/>
        <v>0</v>
      </c>
      <c r="R525">
        <f t="shared" si="117"/>
        <v>0</v>
      </c>
      <c r="S525">
        <f t="shared" si="117"/>
        <v>0</v>
      </c>
      <c r="T525">
        <f t="shared" si="117"/>
        <v>0</v>
      </c>
      <c r="U525">
        <f t="shared" si="117"/>
        <v>0</v>
      </c>
      <c r="V525">
        <f t="shared" si="117"/>
        <v>0</v>
      </c>
      <c r="W525">
        <f t="shared" si="117"/>
        <v>0</v>
      </c>
      <c r="X525">
        <f t="shared" si="117"/>
        <v>0</v>
      </c>
      <c r="Y525">
        <f t="shared" si="118"/>
        <v>0</v>
      </c>
      <c r="Z525">
        <f t="shared" si="118"/>
        <v>0</v>
      </c>
      <c r="AA525">
        <f t="shared" si="118"/>
        <v>0</v>
      </c>
      <c r="AB525">
        <f t="shared" si="118"/>
        <v>0</v>
      </c>
      <c r="AC525">
        <f t="shared" si="118"/>
        <v>0</v>
      </c>
      <c r="AD525">
        <f t="shared" si="118"/>
        <v>0</v>
      </c>
      <c r="AE525">
        <f t="shared" si="118"/>
        <v>0</v>
      </c>
      <c r="AF525">
        <f t="shared" si="118"/>
        <v>0</v>
      </c>
      <c r="AG525">
        <f t="shared" si="118"/>
        <v>0</v>
      </c>
      <c r="AH525">
        <f t="shared" si="118"/>
        <v>0</v>
      </c>
      <c r="AI525">
        <f t="shared" si="118"/>
        <v>0</v>
      </c>
      <c r="AJ525">
        <f t="shared" si="118"/>
        <v>0</v>
      </c>
      <c r="AK525">
        <f t="shared" si="118"/>
        <v>0</v>
      </c>
      <c r="AL525">
        <f t="shared" si="118"/>
        <v>0</v>
      </c>
      <c r="AM525">
        <f t="shared" si="118"/>
        <v>0</v>
      </c>
      <c r="AN525">
        <f t="shared" si="118"/>
        <v>0</v>
      </c>
      <c r="AO525">
        <f t="shared" si="106"/>
        <v>0</v>
      </c>
      <c r="AP525">
        <f t="shared" si="106"/>
        <v>0</v>
      </c>
      <c r="AQ525">
        <f t="shared" si="106"/>
        <v>0</v>
      </c>
      <c r="AR525">
        <f t="shared" si="106"/>
        <v>0</v>
      </c>
    </row>
    <row r="526" spans="5:44" x14ac:dyDescent="0.2">
      <c r="E526" s="1">
        <f>moment_rate!$AC526</f>
        <v>7.4493433161470389E-3</v>
      </c>
      <c r="F526" s="1">
        <f t="shared" si="115"/>
        <v>0</v>
      </c>
      <c r="G526">
        <f>moment_rate!I526-0.005</f>
        <v>5.1899999999999338</v>
      </c>
      <c r="H526" s="1">
        <f t="shared" si="116"/>
        <v>0</v>
      </c>
      <c r="I526">
        <f t="shared" si="117"/>
        <v>0</v>
      </c>
      <c r="J526">
        <f t="shared" si="117"/>
        <v>0</v>
      </c>
      <c r="K526">
        <f t="shared" si="117"/>
        <v>0</v>
      </c>
      <c r="L526">
        <f t="shared" si="117"/>
        <v>0</v>
      </c>
      <c r="M526">
        <f t="shared" si="117"/>
        <v>0</v>
      </c>
      <c r="N526">
        <f t="shared" si="117"/>
        <v>0</v>
      </c>
      <c r="O526">
        <f t="shared" si="117"/>
        <v>0</v>
      </c>
      <c r="P526">
        <f t="shared" si="117"/>
        <v>0</v>
      </c>
      <c r="Q526">
        <f t="shared" si="117"/>
        <v>0</v>
      </c>
      <c r="R526">
        <f t="shared" si="117"/>
        <v>0</v>
      </c>
      <c r="S526">
        <f t="shared" si="117"/>
        <v>0</v>
      </c>
      <c r="T526">
        <f t="shared" si="117"/>
        <v>0</v>
      </c>
      <c r="U526">
        <f t="shared" si="117"/>
        <v>0</v>
      </c>
      <c r="V526">
        <f t="shared" si="117"/>
        <v>0</v>
      </c>
      <c r="W526">
        <f t="shared" si="117"/>
        <v>0</v>
      </c>
      <c r="X526">
        <f t="shared" si="117"/>
        <v>0</v>
      </c>
      <c r="Y526">
        <f t="shared" si="118"/>
        <v>0</v>
      </c>
      <c r="Z526">
        <f t="shared" si="118"/>
        <v>0</v>
      </c>
      <c r="AA526">
        <f t="shared" si="118"/>
        <v>0</v>
      </c>
      <c r="AB526">
        <f t="shared" si="118"/>
        <v>0</v>
      </c>
      <c r="AC526">
        <f t="shared" si="118"/>
        <v>0</v>
      </c>
      <c r="AD526">
        <f t="shared" si="118"/>
        <v>0</v>
      </c>
      <c r="AE526">
        <f t="shared" si="118"/>
        <v>0</v>
      </c>
      <c r="AF526">
        <f t="shared" si="118"/>
        <v>0</v>
      </c>
      <c r="AG526">
        <f t="shared" si="118"/>
        <v>0</v>
      </c>
      <c r="AH526">
        <f t="shared" si="118"/>
        <v>0</v>
      </c>
      <c r="AI526">
        <f t="shared" si="118"/>
        <v>0</v>
      </c>
      <c r="AJ526">
        <f t="shared" si="118"/>
        <v>0</v>
      </c>
      <c r="AK526">
        <f t="shared" si="118"/>
        <v>0</v>
      </c>
      <c r="AL526">
        <f t="shared" si="118"/>
        <v>0</v>
      </c>
      <c r="AM526">
        <f t="shared" si="118"/>
        <v>0</v>
      </c>
      <c r="AN526">
        <f t="shared" si="118"/>
        <v>0</v>
      </c>
      <c r="AO526">
        <f t="shared" si="106"/>
        <v>0</v>
      </c>
      <c r="AP526">
        <f t="shared" si="106"/>
        <v>0</v>
      </c>
      <c r="AQ526">
        <f t="shared" si="106"/>
        <v>0</v>
      </c>
      <c r="AR526">
        <f t="shared" si="106"/>
        <v>0</v>
      </c>
    </row>
    <row r="527" spans="5:44" x14ac:dyDescent="0.2">
      <c r="E527" s="1">
        <f>moment_rate!$AC527</f>
        <v>7.4493433161470389E-3</v>
      </c>
      <c r="F527" s="1">
        <f t="shared" si="115"/>
        <v>0</v>
      </c>
      <c r="G527">
        <f>moment_rate!I527-0.005</f>
        <v>5.1999999999999336</v>
      </c>
      <c r="H527" s="1">
        <f t="shared" si="116"/>
        <v>0</v>
      </c>
      <c r="I527">
        <f t="shared" si="117"/>
        <v>0</v>
      </c>
      <c r="J527">
        <f t="shared" si="117"/>
        <v>0</v>
      </c>
      <c r="K527">
        <f t="shared" si="117"/>
        <v>0</v>
      </c>
      <c r="L527">
        <f t="shared" si="117"/>
        <v>0</v>
      </c>
      <c r="M527">
        <f t="shared" si="117"/>
        <v>0</v>
      </c>
      <c r="N527">
        <f t="shared" si="117"/>
        <v>0</v>
      </c>
      <c r="O527">
        <f t="shared" si="117"/>
        <v>0</v>
      </c>
      <c r="P527">
        <f t="shared" si="117"/>
        <v>0</v>
      </c>
      <c r="Q527">
        <f t="shared" si="117"/>
        <v>0</v>
      </c>
      <c r="R527">
        <f t="shared" si="117"/>
        <v>0</v>
      </c>
      <c r="S527">
        <f t="shared" si="117"/>
        <v>0</v>
      </c>
      <c r="T527">
        <f t="shared" si="117"/>
        <v>0</v>
      </c>
      <c r="U527">
        <f t="shared" si="117"/>
        <v>0</v>
      </c>
      <c r="V527">
        <f t="shared" si="117"/>
        <v>0</v>
      </c>
      <c r="W527">
        <f t="shared" si="117"/>
        <v>0</v>
      </c>
      <c r="X527">
        <f t="shared" si="117"/>
        <v>0</v>
      </c>
      <c r="Y527">
        <f t="shared" si="118"/>
        <v>0</v>
      </c>
      <c r="Z527">
        <f t="shared" si="118"/>
        <v>0</v>
      </c>
      <c r="AA527">
        <f t="shared" si="118"/>
        <v>0</v>
      </c>
      <c r="AB527">
        <f t="shared" si="118"/>
        <v>0</v>
      </c>
      <c r="AC527">
        <f t="shared" si="118"/>
        <v>0</v>
      </c>
      <c r="AD527">
        <f t="shared" si="118"/>
        <v>0</v>
      </c>
      <c r="AE527">
        <f t="shared" si="118"/>
        <v>0</v>
      </c>
      <c r="AF527">
        <f t="shared" si="118"/>
        <v>0</v>
      </c>
      <c r="AG527">
        <f t="shared" si="118"/>
        <v>0</v>
      </c>
      <c r="AH527">
        <f t="shared" si="118"/>
        <v>0</v>
      </c>
      <c r="AI527">
        <f t="shared" si="118"/>
        <v>0</v>
      </c>
      <c r="AJ527">
        <f t="shared" si="118"/>
        <v>0</v>
      </c>
      <c r="AK527">
        <f t="shared" si="118"/>
        <v>0</v>
      </c>
      <c r="AL527">
        <f t="shared" si="118"/>
        <v>0</v>
      </c>
      <c r="AM527">
        <f t="shared" si="118"/>
        <v>0</v>
      </c>
      <c r="AN527">
        <f t="shared" si="118"/>
        <v>0</v>
      </c>
      <c r="AO527">
        <f t="shared" ref="AO527:AR545" si="119">IF(AND($G527&gt;=AO$3,$G527&lt;AO$4),$F527,0)</f>
        <v>0</v>
      </c>
      <c r="AP527">
        <f t="shared" si="119"/>
        <v>0</v>
      </c>
      <c r="AQ527">
        <f t="shared" si="119"/>
        <v>0</v>
      </c>
      <c r="AR527">
        <f t="shared" si="119"/>
        <v>0</v>
      </c>
    </row>
    <row r="528" spans="5:44" x14ac:dyDescent="0.2">
      <c r="E528" s="1">
        <f>moment_rate!$AC528</f>
        <v>7.4493433161470389E-3</v>
      </c>
      <c r="F528" s="1">
        <f t="shared" si="115"/>
        <v>0</v>
      </c>
      <c r="G528">
        <f>moment_rate!I528-0.005</f>
        <v>5.2099999999999334</v>
      </c>
      <c r="H528" s="1">
        <f t="shared" si="116"/>
        <v>0</v>
      </c>
      <c r="I528">
        <f t="shared" si="117"/>
        <v>0</v>
      </c>
      <c r="J528">
        <f t="shared" si="117"/>
        <v>0</v>
      </c>
      <c r="K528">
        <f t="shared" si="117"/>
        <v>0</v>
      </c>
      <c r="L528">
        <f t="shared" si="117"/>
        <v>0</v>
      </c>
      <c r="M528">
        <f t="shared" si="117"/>
        <v>0</v>
      </c>
      <c r="N528">
        <f t="shared" si="117"/>
        <v>0</v>
      </c>
      <c r="O528">
        <f t="shared" si="117"/>
        <v>0</v>
      </c>
      <c r="P528">
        <f t="shared" si="117"/>
        <v>0</v>
      </c>
      <c r="Q528">
        <f t="shared" si="117"/>
        <v>0</v>
      </c>
      <c r="R528">
        <f t="shared" si="117"/>
        <v>0</v>
      </c>
      <c r="S528">
        <f t="shared" si="117"/>
        <v>0</v>
      </c>
      <c r="T528">
        <f t="shared" si="117"/>
        <v>0</v>
      </c>
      <c r="U528">
        <f t="shared" si="117"/>
        <v>0</v>
      </c>
      <c r="V528">
        <f t="shared" si="117"/>
        <v>0</v>
      </c>
      <c r="W528">
        <f t="shared" si="117"/>
        <v>0</v>
      </c>
      <c r="X528">
        <f t="shared" si="117"/>
        <v>0</v>
      </c>
      <c r="Y528">
        <f t="shared" si="118"/>
        <v>0</v>
      </c>
      <c r="Z528">
        <f t="shared" si="118"/>
        <v>0</v>
      </c>
      <c r="AA528">
        <f t="shared" si="118"/>
        <v>0</v>
      </c>
      <c r="AB528">
        <f t="shared" si="118"/>
        <v>0</v>
      </c>
      <c r="AC528">
        <f t="shared" si="118"/>
        <v>0</v>
      </c>
      <c r="AD528">
        <f t="shared" si="118"/>
        <v>0</v>
      </c>
      <c r="AE528">
        <f t="shared" si="118"/>
        <v>0</v>
      </c>
      <c r="AF528">
        <f t="shared" si="118"/>
        <v>0</v>
      </c>
      <c r="AG528">
        <f t="shared" si="118"/>
        <v>0</v>
      </c>
      <c r="AH528">
        <f t="shared" si="118"/>
        <v>0</v>
      </c>
      <c r="AI528">
        <f t="shared" si="118"/>
        <v>0</v>
      </c>
      <c r="AJ528">
        <f t="shared" si="118"/>
        <v>0</v>
      </c>
      <c r="AK528">
        <f t="shared" si="118"/>
        <v>0</v>
      </c>
      <c r="AL528">
        <f t="shared" si="118"/>
        <v>0</v>
      </c>
      <c r="AM528">
        <f t="shared" si="118"/>
        <v>0</v>
      </c>
      <c r="AN528">
        <f t="shared" si="118"/>
        <v>0</v>
      </c>
      <c r="AO528">
        <f t="shared" si="119"/>
        <v>0</v>
      </c>
      <c r="AP528">
        <f t="shared" si="119"/>
        <v>0</v>
      </c>
      <c r="AQ528">
        <f t="shared" si="119"/>
        <v>0</v>
      </c>
      <c r="AR528">
        <f t="shared" si="119"/>
        <v>0</v>
      </c>
    </row>
    <row r="529" spans="5:44" x14ac:dyDescent="0.2">
      <c r="E529" s="1">
        <f>moment_rate!$AC529</f>
        <v>7.4493433161470389E-3</v>
      </c>
      <c r="F529" s="1">
        <f t="shared" si="115"/>
        <v>0</v>
      </c>
      <c r="G529">
        <f>moment_rate!I529-0.005</f>
        <v>5.2199999999999331</v>
      </c>
      <c r="H529" s="1">
        <f t="shared" si="116"/>
        <v>0</v>
      </c>
      <c r="I529">
        <f t="shared" si="117"/>
        <v>0</v>
      </c>
      <c r="J529">
        <f t="shared" si="117"/>
        <v>0</v>
      </c>
      <c r="K529">
        <f t="shared" si="117"/>
        <v>0</v>
      </c>
      <c r="L529">
        <f t="shared" si="117"/>
        <v>0</v>
      </c>
      <c r="M529">
        <f t="shared" si="117"/>
        <v>0</v>
      </c>
      <c r="N529">
        <f t="shared" si="117"/>
        <v>0</v>
      </c>
      <c r="O529">
        <f t="shared" si="117"/>
        <v>0</v>
      </c>
      <c r="P529">
        <f t="shared" si="117"/>
        <v>0</v>
      </c>
      <c r="Q529">
        <f t="shared" si="117"/>
        <v>0</v>
      </c>
      <c r="R529">
        <f t="shared" si="117"/>
        <v>0</v>
      </c>
      <c r="S529">
        <f t="shared" si="117"/>
        <v>0</v>
      </c>
      <c r="T529">
        <f t="shared" si="117"/>
        <v>0</v>
      </c>
      <c r="U529">
        <f t="shared" si="117"/>
        <v>0</v>
      </c>
      <c r="V529">
        <f t="shared" si="117"/>
        <v>0</v>
      </c>
      <c r="W529">
        <f t="shared" si="117"/>
        <v>0</v>
      </c>
      <c r="X529">
        <f t="shared" si="117"/>
        <v>0</v>
      </c>
      <c r="Y529">
        <f t="shared" si="118"/>
        <v>0</v>
      </c>
      <c r="Z529">
        <f t="shared" si="118"/>
        <v>0</v>
      </c>
      <c r="AA529">
        <f t="shared" si="118"/>
        <v>0</v>
      </c>
      <c r="AB529">
        <f t="shared" si="118"/>
        <v>0</v>
      </c>
      <c r="AC529">
        <f t="shared" si="118"/>
        <v>0</v>
      </c>
      <c r="AD529">
        <f t="shared" si="118"/>
        <v>0</v>
      </c>
      <c r="AE529">
        <f t="shared" si="118"/>
        <v>0</v>
      </c>
      <c r="AF529">
        <f t="shared" si="118"/>
        <v>0</v>
      </c>
      <c r="AG529">
        <f t="shared" si="118"/>
        <v>0</v>
      </c>
      <c r="AH529">
        <f t="shared" si="118"/>
        <v>0</v>
      </c>
      <c r="AI529">
        <f t="shared" si="118"/>
        <v>0</v>
      </c>
      <c r="AJ529">
        <f t="shared" si="118"/>
        <v>0</v>
      </c>
      <c r="AK529">
        <f t="shared" si="118"/>
        <v>0</v>
      </c>
      <c r="AL529">
        <f t="shared" si="118"/>
        <v>0</v>
      </c>
      <c r="AM529">
        <f t="shared" si="118"/>
        <v>0</v>
      </c>
      <c r="AN529">
        <f t="shared" si="118"/>
        <v>0</v>
      </c>
      <c r="AO529">
        <f t="shared" si="119"/>
        <v>0</v>
      </c>
      <c r="AP529">
        <f t="shared" si="119"/>
        <v>0</v>
      </c>
      <c r="AQ529">
        <f t="shared" si="119"/>
        <v>0</v>
      </c>
      <c r="AR529">
        <f t="shared" si="119"/>
        <v>0</v>
      </c>
    </row>
    <row r="530" spans="5:44" x14ac:dyDescent="0.2">
      <c r="E530" s="1">
        <f>moment_rate!$AC530</f>
        <v>7.4493433161470389E-3</v>
      </c>
      <c r="F530" s="1">
        <f t="shared" si="115"/>
        <v>0</v>
      </c>
      <c r="G530">
        <f>moment_rate!I530-0.005</f>
        <v>5.2299999999999329</v>
      </c>
      <c r="H530" s="1">
        <f t="shared" si="116"/>
        <v>0</v>
      </c>
      <c r="I530">
        <f t="shared" si="117"/>
        <v>0</v>
      </c>
      <c r="J530">
        <f t="shared" si="117"/>
        <v>0</v>
      </c>
      <c r="K530">
        <f t="shared" si="117"/>
        <v>0</v>
      </c>
      <c r="L530">
        <f t="shared" si="117"/>
        <v>0</v>
      </c>
      <c r="M530">
        <f t="shared" si="117"/>
        <v>0</v>
      </c>
      <c r="N530">
        <f t="shared" si="117"/>
        <v>0</v>
      </c>
      <c r="O530">
        <f t="shared" si="117"/>
        <v>0</v>
      </c>
      <c r="P530">
        <f t="shared" si="117"/>
        <v>0</v>
      </c>
      <c r="Q530">
        <f t="shared" si="117"/>
        <v>0</v>
      </c>
      <c r="R530">
        <f t="shared" si="117"/>
        <v>0</v>
      </c>
      <c r="S530">
        <f t="shared" si="117"/>
        <v>0</v>
      </c>
      <c r="T530">
        <f t="shared" si="117"/>
        <v>0</v>
      </c>
      <c r="U530">
        <f t="shared" si="117"/>
        <v>0</v>
      </c>
      <c r="V530">
        <f t="shared" si="117"/>
        <v>0</v>
      </c>
      <c r="W530">
        <f t="shared" si="117"/>
        <v>0</v>
      </c>
      <c r="X530">
        <f t="shared" si="117"/>
        <v>0</v>
      </c>
      <c r="Y530">
        <f t="shared" si="118"/>
        <v>0</v>
      </c>
      <c r="Z530">
        <f t="shared" si="118"/>
        <v>0</v>
      </c>
      <c r="AA530">
        <f t="shared" si="118"/>
        <v>0</v>
      </c>
      <c r="AB530">
        <f t="shared" si="118"/>
        <v>0</v>
      </c>
      <c r="AC530">
        <f t="shared" si="118"/>
        <v>0</v>
      </c>
      <c r="AD530">
        <f t="shared" si="118"/>
        <v>0</v>
      </c>
      <c r="AE530">
        <f t="shared" si="118"/>
        <v>0</v>
      </c>
      <c r="AF530">
        <f t="shared" si="118"/>
        <v>0</v>
      </c>
      <c r="AG530">
        <f t="shared" si="118"/>
        <v>0</v>
      </c>
      <c r="AH530">
        <f t="shared" si="118"/>
        <v>0</v>
      </c>
      <c r="AI530">
        <f t="shared" si="118"/>
        <v>0</v>
      </c>
      <c r="AJ530">
        <f t="shared" si="118"/>
        <v>0</v>
      </c>
      <c r="AK530">
        <f t="shared" si="118"/>
        <v>0</v>
      </c>
      <c r="AL530">
        <f t="shared" si="118"/>
        <v>0</v>
      </c>
      <c r="AM530">
        <f t="shared" si="118"/>
        <v>0</v>
      </c>
      <c r="AN530">
        <f t="shared" si="118"/>
        <v>0</v>
      </c>
      <c r="AO530">
        <f t="shared" si="119"/>
        <v>0</v>
      </c>
      <c r="AP530">
        <f t="shared" si="119"/>
        <v>0</v>
      </c>
      <c r="AQ530">
        <f t="shared" si="119"/>
        <v>0</v>
      </c>
      <c r="AR530">
        <f t="shared" si="119"/>
        <v>0</v>
      </c>
    </row>
    <row r="531" spans="5:44" x14ac:dyDescent="0.2">
      <c r="E531" s="1">
        <f>moment_rate!$AC531</f>
        <v>7.4493433161470389E-3</v>
      </c>
      <c r="F531" s="1">
        <f t="shared" si="115"/>
        <v>0</v>
      </c>
      <c r="G531">
        <f>moment_rate!I531-0.005</f>
        <v>5.2399999999999327</v>
      </c>
      <c r="H531" s="1">
        <f t="shared" si="116"/>
        <v>0</v>
      </c>
      <c r="I531">
        <f t="shared" si="117"/>
        <v>0</v>
      </c>
      <c r="J531">
        <f t="shared" si="117"/>
        <v>0</v>
      </c>
      <c r="K531">
        <f t="shared" si="117"/>
        <v>0</v>
      </c>
      <c r="L531">
        <f t="shared" si="117"/>
        <v>0</v>
      </c>
      <c r="M531">
        <f t="shared" si="117"/>
        <v>0</v>
      </c>
      <c r="N531">
        <f t="shared" si="117"/>
        <v>0</v>
      </c>
      <c r="O531">
        <f t="shared" si="117"/>
        <v>0</v>
      </c>
      <c r="P531">
        <f t="shared" si="117"/>
        <v>0</v>
      </c>
      <c r="Q531">
        <f t="shared" si="117"/>
        <v>0</v>
      </c>
      <c r="R531">
        <f t="shared" si="117"/>
        <v>0</v>
      </c>
      <c r="S531">
        <f t="shared" si="117"/>
        <v>0</v>
      </c>
      <c r="T531">
        <f t="shared" si="117"/>
        <v>0</v>
      </c>
      <c r="U531">
        <f t="shared" si="117"/>
        <v>0</v>
      </c>
      <c r="V531">
        <f t="shared" si="117"/>
        <v>0</v>
      </c>
      <c r="W531">
        <f t="shared" si="117"/>
        <v>0</v>
      </c>
      <c r="X531">
        <f t="shared" si="117"/>
        <v>0</v>
      </c>
      <c r="Y531">
        <f t="shared" si="118"/>
        <v>0</v>
      </c>
      <c r="Z531">
        <f t="shared" si="118"/>
        <v>0</v>
      </c>
      <c r="AA531">
        <f t="shared" si="118"/>
        <v>0</v>
      </c>
      <c r="AB531">
        <f t="shared" si="118"/>
        <v>0</v>
      </c>
      <c r="AC531">
        <f t="shared" si="118"/>
        <v>0</v>
      </c>
      <c r="AD531">
        <f t="shared" si="118"/>
        <v>0</v>
      </c>
      <c r="AE531">
        <f t="shared" si="118"/>
        <v>0</v>
      </c>
      <c r="AF531">
        <f t="shared" si="118"/>
        <v>0</v>
      </c>
      <c r="AG531">
        <f t="shared" si="118"/>
        <v>0</v>
      </c>
      <c r="AH531">
        <f t="shared" si="118"/>
        <v>0</v>
      </c>
      <c r="AI531">
        <f t="shared" si="118"/>
        <v>0</v>
      </c>
      <c r="AJ531">
        <f t="shared" si="118"/>
        <v>0</v>
      </c>
      <c r="AK531">
        <f t="shared" si="118"/>
        <v>0</v>
      </c>
      <c r="AL531">
        <f t="shared" si="118"/>
        <v>0</v>
      </c>
      <c r="AM531">
        <f t="shared" si="118"/>
        <v>0</v>
      </c>
      <c r="AN531">
        <f t="shared" si="118"/>
        <v>0</v>
      </c>
      <c r="AO531">
        <f t="shared" si="119"/>
        <v>0</v>
      </c>
      <c r="AP531">
        <f t="shared" si="119"/>
        <v>0</v>
      </c>
      <c r="AQ531">
        <f t="shared" si="119"/>
        <v>0</v>
      </c>
      <c r="AR531">
        <f t="shared" si="119"/>
        <v>0</v>
      </c>
    </row>
    <row r="532" spans="5:44" x14ac:dyDescent="0.2">
      <c r="E532" s="1">
        <f>moment_rate!$AC532</f>
        <v>7.4493433161470389E-3</v>
      </c>
      <c r="F532" s="1">
        <f t="shared" si="115"/>
        <v>0</v>
      </c>
      <c r="G532">
        <f>moment_rate!I532-0.005</f>
        <v>5.2499999999999325</v>
      </c>
      <c r="H532" s="1">
        <f t="shared" si="116"/>
        <v>0</v>
      </c>
      <c r="I532">
        <f t="shared" si="117"/>
        <v>0</v>
      </c>
      <c r="J532">
        <f t="shared" si="117"/>
        <v>0</v>
      </c>
      <c r="K532">
        <f t="shared" si="117"/>
        <v>0</v>
      </c>
      <c r="L532">
        <f t="shared" si="117"/>
        <v>0</v>
      </c>
      <c r="M532">
        <f t="shared" si="117"/>
        <v>0</v>
      </c>
      <c r="N532">
        <f t="shared" si="117"/>
        <v>0</v>
      </c>
      <c r="O532">
        <f t="shared" si="117"/>
        <v>0</v>
      </c>
      <c r="P532">
        <f t="shared" si="117"/>
        <v>0</v>
      </c>
      <c r="Q532">
        <f t="shared" si="117"/>
        <v>0</v>
      </c>
      <c r="R532">
        <f t="shared" si="117"/>
        <v>0</v>
      </c>
      <c r="S532">
        <f t="shared" si="117"/>
        <v>0</v>
      </c>
      <c r="T532">
        <f t="shared" si="117"/>
        <v>0</v>
      </c>
      <c r="U532">
        <f t="shared" si="117"/>
        <v>0</v>
      </c>
      <c r="V532">
        <f t="shared" si="117"/>
        <v>0</v>
      </c>
      <c r="W532">
        <f t="shared" si="117"/>
        <v>0</v>
      </c>
      <c r="X532">
        <f t="shared" si="117"/>
        <v>0</v>
      </c>
      <c r="Y532">
        <f t="shared" si="118"/>
        <v>0</v>
      </c>
      <c r="Z532">
        <f t="shared" si="118"/>
        <v>0</v>
      </c>
      <c r="AA532">
        <f t="shared" si="118"/>
        <v>0</v>
      </c>
      <c r="AB532">
        <f t="shared" si="118"/>
        <v>0</v>
      </c>
      <c r="AC532">
        <f t="shared" si="118"/>
        <v>0</v>
      </c>
      <c r="AD532">
        <f t="shared" si="118"/>
        <v>0</v>
      </c>
      <c r="AE532">
        <f t="shared" si="118"/>
        <v>0</v>
      </c>
      <c r="AF532">
        <f t="shared" si="118"/>
        <v>0</v>
      </c>
      <c r="AG532">
        <f t="shared" si="118"/>
        <v>0</v>
      </c>
      <c r="AH532">
        <f t="shared" si="118"/>
        <v>0</v>
      </c>
      <c r="AI532">
        <f t="shared" si="118"/>
        <v>0</v>
      </c>
      <c r="AJ532">
        <f t="shared" si="118"/>
        <v>0</v>
      </c>
      <c r="AK532">
        <f t="shared" si="118"/>
        <v>0</v>
      </c>
      <c r="AL532">
        <f t="shared" si="118"/>
        <v>0</v>
      </c>
      <c r="AM532">
        <f t="shared" si="118"/>
        <v>0</v>
      </c>
      <c r="AN532">
        <f t="shared" si="118"/>
        <v>0</v>
      </c>
      <c r="AO532">
        <f t="shared" si="119"/>
        <v>0</v>
      </c>
      <c r="AP532">
        <f t="shared" si="119"/>
        <v>0</v>
      </c>
      <c r="AQ532">
        <f t="shared" si="119"/>
        <v>0</v>
      </c>
      <c r="AR532">
        <f t="shared" si="119"/>
        <v>0</v>
      </c>
    </row>
    <row r="533" spans="5:44" x14ac:dyDescent="0.2">
      <c r="E533" s="1">
        <f>moment_rate!$AC533</f>
        <v>7.4493433161470389E-3</v>
      </c>
      <c r="F533" s="1">
        <f t="shared" si="115"/>
        <v>0</v>
      </c>
      <c r="G533">
        <f>moment_rate!I533-0.005</f>
        <v>5.2599999999999323</v>
      </c>
      <c r="H533" s="1">
        <f t="shared" si="116"/>
        <v>0</v>
      </c>
      <c r="I533">
        <f t="shared" si="117"/>
        <v>0</v>
      </c>
      <c r="J533">
        <f t="shared" si="117"/>
        <v>0</v>
      </c>
      <c r="K533">
        <f t="shared" si="117"/>
        <v>0</v>
      </c>
      <c r="L533">
        <f t="shared" si="117"/>
        <v>0</v>
      </c>
      <c r="M533">
        <f t="shared" si="117"/>
        <v>0</v>
      </c>
      <c r="N533">
        <f t="shared" si="117"/>
        <v>0</v>
      </c>
      <c r="O533">
        <f t="shared" si="117"/>
        <v>0</v>
      </c>
      <c r="P533">
        <f t="shared" si="117"/>
        <v>0</v>
      </c>
      <c r="Q533">
        <f t="shared" si="117"/>
        <v>0</v>
      </c>
      <c r="R533">
        <f t="shared" si="117"/>
        <v>0</v>
      </c>
      <c r="S533">
        <f t="shared" si="117"/>
        <v>0</v>
      </c>
      <c r="T533">
        <f t="shared" si="117"/>
        <v>0</v>
      </c>
      <c r="U533">
        <f t="shared" si="117"/>
        <v>0</v>
      </c>
      <c r="V533">
        <f t="shared" si="117"/>
        <v>0</v>
      </c>
      <c r="W533">
        <f t="shared" si="117"/>
        <v>0</v>
      </c>
      <c r="X533">
        <f t="shared" si="117"/>
        <v>0</v>
      </c>
      <c r="Y533">
        <f t="shared" si="118"/>
        <v>0</v>
      </c>
      <c r="Z533">
        <f t="shared" si="118"/>
        <v>0</v>
      </c>
      <c r="AA533">
        <f t="shared" si="118"/>
        <v>0</v>
      </c>
      <c r="AB533">
        <f t="shared" si="118"/>
        <v>0</v>
      </c>
      <c r="AC533">
        <f t="shared" si="118"/>
        <v>0</v>
      </c>
      <c r="AD533">
        <f t="shared" si="118"/>
        <v>0</v>
      </c>
      <c r="AE533">
        <f t="shared" si="118"/>
        <v>0</v>
      </c>
      <c r="AF533">
        <f t="shared" si="118"/>
        <v>0</v>
      </c>
      <c r="AG533">
        <f t="shared" si="118"/>
        <v>0</v>
      </c>
      <c r="AH533">
        <f t="shared" si="118"/>
        <v>0</v>
      </c>
      <c r="AI533">
        <f t="shared" si="118"/>
        <v>0</v>
      </c>
      <c r="AJ533">
        <f t="shared" si="118"/>
        <v>0</v>
      </c>
      <c r="AK533">
        <f t="shared" si="118"/>
        <v>0</v>
      </c>
      <c r="AL533">
        <f t="shared" si="118"/>
        <v>0</v>
      </c>
      <c r="AM533">
        <f t="shared" si="118"/>
        <v>0</v>
      </c>
      <c r="AN533">
        <f t="shared" si="118"/>
        <v>0</v>
      </c>
      <c r="AO533">
        <f t="shared" si="119"/>
        <v>0</v>
      </c>
      <c r="AP533">
        <f t="shared" si="119"/>
        <v>0</v>
      </c>
      <c r="AQ533">
        <f t="shared" si="119"/>
        <v>0</v>
      </c>
      <c r="AR533">
        <f t="shared" si="119"/>
        <v>0</v>
      </c>
    </row>
    <row r="534" spans="5:44" x14ac:dyDescent="0.2">
      <c r="E534" s="1">
        <f>moment_rate!$AC534</f>
        <v>7.4493433161470389E-3</v>
      </c>
      <c r="F534" s="1">
        <f t="shared" si="115"/>
        <v>0</v>
      </c>
      <c r="G534">
        <f>moment_rate!I534-0.005</f>
        <v>5.2699999999999321</v>
      </c>
      <c r="H534" s="1">
        <f t="shared" si="116"/>
        <v>0</v>
      </c>
      <c r="I534">
        <f t="shared" si="117"/>
        <v>0</v>
      </c>
      <c r="J534">
        <f t="shared" si="117"/>
        <v>0</v>
      </c>
      <c r="K534">
        <f t="shared" si="117"/>
        <v>0</v>
      </c>
      <c r="L534">
        <f t="shared" si="117"/>
        <v>0</v>
      </c>
      <c r="M534">
        <f t="shared" si="117"/>
        <v>0</v>
      </c>
      <c r="N534">
        <f t="shared" si="117"/>
        <v>0</v>
      </c>
      <c r="O534">
        <f t="shared" si="117"/>
        <v>0</v>
      </c>
      <c r="P534">
        <f t="shared" si="117"/>
        <v>0</v>
      </c>
      <c r="Q534">
        <f t="shared" si="117"/>
        <v>0</v>
      </c>
      <c r="R534">
        <f t="shared" si="117"/>
        <v>0</v>
      </c>
      <c r="S534">
        <f t="shared" si="117"/>
        <v>0</v>
      </c>
      <c r="T534">
        <f t="shared" si="117"/>
        <v>0</v>
      </c>
      <c r="U534">
        <f t="shared" si="117"/>
        <v>0</v>
      </c>
      <c r="V534">
        <f t="shared" si="117"/>
        <v>0</v>
      </c>
      <c r="W534">
        <f t="shared" si="117"/>
        <v>0</v>
      </c>
      <c r="X534">
        <f t="shared" si="117"/>
        <v>0</v>
      </c>
      <c r="Y534">
        <f t="shared" si="118"/>
        <v>0</v>
      </c>
      <c r="Z534">
        <f t="shared" si="118"/>
        <v>0</v>
      </c>
      <c r="AA534">
        <f t="shared" si="118"/>
        <v>0</v>
      </c>
      <c r="AB534">
        <f t="shared" si="118"/>
        <v>0</v>
      </c>
      <c r="AC534">
        <f t="shared" si="118"/>
        <v>0</v>
      </c>
      <c r="AD534">
        <f t="shared" si="118"/>
        <v>0</v>
      </c>
      <c r="AE534">
        <f t="shared" si="118"/>
        <v>0</v>
      </c>
      <c r="AF534">
        <f t="shared" si="118"/>
        <v>0</v>
      </c>
      <c r="AG534">
        <f t="shared" si="118"/>
        <v>0</v>
      </c>
      <c r="AH534">
        <f t="shared" si="118"/>
        <v>0</v>
      </c>
      <c r="AI534">
        <f t="shared" si="118"/>
        <v>0</v>
      </c>
      <c r="AJ534">
        <f t="shared" si="118"/>
        <v>0</v>
      </c>
      <c r="AK534">
        <f t="shared" si="118"/>
        <v>0</v>
      </c>
      <c r="AL534">
        <f t="shared" si="118"/>
        <v>0</v>
      </c>
      <c r="AM534">
        <f t="shared" si="118"/>
        <v>0</v>
      </c>
      <c r="AN534">
        <f t="shared" si="118"/>
        <v>0</v>
      </c>
      <c r="AO534">
        <f t="shared" si="119"/>
        <v>0</v>
      </c>
      <c r="AP534">
        <f t="shared" si="119"/>
        <v>0</v>
      </c>
      <c r="AQ534">
        <f t="shared" si="119"/>
        <v>0</v>
      </c>
      <c r="AR534">
        <f t="shared" si="119"/>
        <v>0</v>
      </c>
    </row>
    <row r="535" spans="5:44" x14ac:dyDescent="0.2">
      <c r="E535" s="1">
        <f>moment_rate!$AC535</f>
        <v>7.4493433161470389E-3</v>
      </c>
      <c r="F535" s="1">
        <f t="shared" si="115"/>
        <v>0</v>
      </c>
      <c r="G535">
        <f>moment_rate!I535-0.005</f>
        <v>5.2799999999999319</v>
      </c>
      <c r="H535" s="1">
        <f t="shared" si="116"/>
        <v>0</v>
      </c>
      <c r="I535">
        <f t="shared" si="117"/>
        <v>0</v>
      </c>
      <c r="J535">
        <f t="shared" si="117"/>
        <v>0</v>
      </c>
      <c r="K535">
        <f t="shared" si="117"/>
        <v>0</v>
      </c>
      <c r="L535">
        <f t="shared" si="117"/>
        <v>0</v>
      </c>
      <c r="M535">
        <f t="shared" si="117"/>
        <v>0</v>
      </c>
      <c r="N535">
        <f t="shared" si="117"/>
        <v>0</v>
      </c>
      <c r="O535">
        <f t="shared" si="117"/>
        <v>0</v>
      </c>
      <c r="P535">
        <f t="shared" si="117"/>
        <v>0</v>
      </c>
      <c r="Q535">
        <f t="shared" si="117"/>
        <v>0</v>
      </c>
      <c r="R535">
        <f t="shared" si="117"/>
        <v>0</v>
      </c>
      <c r="S535">
        <f t="shared" si="117"/>
        <v>0</v>
      </c>
      <c r="T535">
        <f t="shared" si="117"/>
        <v>0</v>
      </c>
      <c r="U535">
        <f t="shared" si="117"/>
        <v>0</v>
      </c>
      <c r="V535">
        <f t="shared" si="117"/>
        <v>0</v>
      </c>
      <c r="W535">
        <f t="shared" si="117"/>
        <v>0</v>
      </c>
      <c r="X535">
        <f t="shared" si="117"/>
        <v>0</v>
      </c>
      <c r="Y535">
        <f t="shared" si="118"/>
        <v>0</v>
      </c>
      <c r="Z535">
        <f t="shared" si="118"/>
        <v>0</v>
      </c>
      <c r="AA535">
        <f t="shared" si="118"/>
        <v>0</v>
      </c>
      <c r="AB535">
        <f t="shared" si="118"/>
        <v>0</v>
      </c>
      <c r="AC535">
        <f t="shared" si="118"/>
        <v>0</v>
      </c>
      <c r="AD535">
        <f t="shared" si="118"/>
        <v>0</v>
      </c>
      <c r="AE535">
        <f t="shared" si="118"/>
        <v>0</v>
      </c>
      <c r="AF535">
        <f t="shared" si="118"/>
        <v>0</v>
      </c>
      <c r="AG535">
        <f t="shared" si="118"/>
        <v>0</v>
      </c>
      <c r="AH535">
        <f t="shared" si="118"/>
        <v>0</v>
      </c>
      <c r="AI535">
        <f t="shared" si="118"/>
        <v>0</v>
      </c>
      <c r="AJ535">
        <f t="shared" si="118"/>
        <v>0</v>
      </c>
      <c r="AK535">
        <f t="shared" si="118"/>
        <v>0</v>
      </c>
      <c r="AL535">
        <f t="shared" si="118"/>
        <v>0</v>
      </c>
      <c r="AM535">
        <f t="shared" si="118"/>
        <v>0</v>
      </c>
      <c r="AN535">
        <f t="shared" si="118"/>
        <v>0</v>
      </c>
      <c r="AO535">
        <f t="shared" si="119"/>
        <v>0</v>
      </c>
      <c r="AP535">
        <f t="shared" si="119"/>
        <v>0</v>
      </c>
      <c r="AQ535">
        <f t="shared" si="119"/>
        <v>0</v>
      </c>
      <c r="AR535">
        <f t="shared" si="119"/>
        <v>0</v>
      </c>
    </row>
    <row r="536" spans="5:44" x14ac:dyDescent="0.2">
      <c r="E536" s="1">
        <f>moment_rate!$AC536</f>
        <v>7.4493433161470389E-3</v>
      </c>
      <c r="F536" s="1">
        <f t="shared" si="115"/>
        <v>0</v>
      </c>
      <c r="G536">
        <f>moment_rate!I536-0.005</f>
        <v>5.2899999999999316</v>
      </c>
      <c r="H536" s="1">
        <f t="shared" si="116"/>
        <v>0</v>
      </c>
      <c r="I536">
        <f t="shared" si="117"/>
        <v>0</v>
      </c>
      <c r="J536">
        <f t="shared" si="117"/>
        <v>0</v>
      </c>
      <c r="K536">
        <f t="shared" si="117"/>
        <v>0</v>
      </c>
      <c r="L536">
        <f t="shared" si="117"/>
        <v>0</v>
      </c>
      <c r="M536">
        <f t="shared" si="117"/>
        <v>0</v>
      </c>
      <c r="N536">
        <f t="shared" si="117"/>
        <v>0</v>
      </c>
      <c r="O536">
        <f t="shared" si="117"/>
        <v>0</v>
      </c>
      <c r="P536">
        <f t="shared" si="117"/>
        <v>0</v>
      </c>
      <c r="Q536">
        <f t="shared" si="117"/>
        <v>0</v>
      </c>
      <c r="R536">
        <f t="shared" si="117"/>
        <v>0</v>
      </c>
      <c r="S536">
        <f t="shared" si="117"/>
        <v>0</v>
      </c>
      <c r="T536">
        <f t="shared" si="117"/>
        <v>0</v>
      </c>
      <c r="U536">
        <f t="shared" si="117"/>
        <v>0</v>
      </c>
      <c r="V536">
        <f t="shared" si="117"/>
        <v>0</v>
      </c>
      <c r="W536">
        <f t="shared" si="117"/>
        <v>0</v>
      </c>
      <c r="X536">
        <f t="shared" si="117"/>
        <v>0</v>
      </c>
      <c r="Y536">
        <f t="shared" si="118"/>
        <v>0</v>
      </c>
      <c r="Z536">
        <f t="shared" si="118"/>
        <v>0</v>
      </c>
      <c r="AA536">
        <f t="shared" si="118"/>
        <v>0</v>
      </c>
      <c r="AB536">
        <f t="shared" si="118"/>
        <v>0</v>
      </c>
      <c r="AC536">
        <f t="shared" si="118"/>
        <v>0</v>
      </c>
      <c r="AD536">
        <f t="shared" si="118"/>
        <v>0</v>
      </c>
      <c r="AE536">
        <f t="shared" si="118"/>
        <v>0</v>
      </c>
      <c r="AF536">
        <f t="shared" si="118"/>
        <v>0</v>
      </c>
      <c r="AG536">
        <f t="shared" si="118"/>
        <v>0</v>
      </c>
      <c r="AH536">
        <f t="shared" si="118"/>
        <v>0</v>
      </c>
      <c r="AI536">
        <f t="shared" si="118"/>
        <v>0</v>
      </c>
      <c r="AJ536">
        <f t="shared" si="118"/>
        <v>0</v>
      </c>
      <c r="AK536">
        <f t="shared" si="118"/>
        <v>0</v>
      </c>
      <c r="AL536">
        <f t="shared" si="118"/>
        <v>0</v>
      </c>
      <c r="AM536">
        <f t="shared" si="118"/>
        <v>0</v>
      </c>
      <c r="AN536">
        <f t="shared" si="118"/>
        <v>0</v>
      </c>
      <c r="AO536">
        <f t="shared" si="119"/>
        <v>0</v>
      </c>
      <c r="AP536">
        <f t="shared" si="119"/>
        <v>0</v>
      </c>
      <c r="AQ536">
        <f t="shared" si="119"/>
        <v>0</v>
      </c>
      <c r="AR536">
        <f t="shared" si="119"/>
        <v>0</v>
      </c>
    </row>
    <row r="537" spans="5:44" x14ac:dyDescent="0.2">
      <c r="E537" s="1">
        <f>moment_rate!$AC537</f>
        <v>7.4493433161470389E-3</v>
      </c>
      <c r="F537" s="1">
        <f t="shared" si="115"/>
        <v>0</v>
      </c>
      <c r="G537">
        <f>moment_rate!I537-0.005</f>
        <v>5.2999999999999314</v>
      </c>
      <c r="H537" s="1">
        <f t="shared" si="116"/>
        <v>0</v>
      </c>
      <c r="I537">
        <f t="shared" si="117"/>
        <v>0</v>
      </c>
      <c r="J537">
        <f t="shared" si="117"/>
        <v>0</v>
      </c>
      <c r="K537">
        <f t="shared" si="117"/>
        <v>0</v>
      </c>
      <c r="L537">
        <f t="shared" si="117"/>
        <v>0</v>
      </c>
      <c r="M537">
        <f t="shared" si="117"/>
        <v>0</v>
      </c>
      <c r="N537">
        <f t="shared" si="117"/>
        <v>0</v>
      </c>
      <c r="O537">
        <f t="shared" si="117"/>
        <v>0</v>
      </c>
      <c r="P537">
        <f t="shared" si="117"/>
        <v>0</v>
      </c>
      <c r="Q537">
        <f t="shared" si="117"/>
        <v>0</v>
      </c>
      <c r="R537">
        <f t="shared" si="117"/>
        <v>0</v>
      </c>
      <c r="S537">
        <f t="shared" si="117"/>
        <v>0</v>
      </c>
      <c r="T537">
        <f t="shared" si="117"/>
        <v>0</v>
      </c>
      <c r="U537">
        <f t="shared" si="117"/>
        <v>0</v>
      </c>
      <c r="V537">
        <f t="shared" si="117"/>
        <v>0</v>
      </c>
      <c r="W537">
        <f t="shared" si="117"/>
        <v>0</v>
      </c>
      <c r="X537">
        <f t="shared" si="117"/>
        <v>0</v>
      </c>
      <c r="Y537">
        <f t="shared" si="118"/>
        <v>0</v>
      </c>
      <c r="Z537">
        <f t="shared" si="118"/>
        <v>0</v>
      </c>
      <c r="AA537">
        <f t="shared" si="118"/>
        <v>0</v>
      </c>
      <c r="AB537">
        <f t="shared" si="118"/>
        <v>0</v>
      </c>
      <c r="AC537">
        <f t="shared" si="118"/>
        <v>0</v>
      </c>
      <c r="AD537">
        <f t="shared" si="118"/>
        <v>0</v>
      </c>
      <c r="AE537">
        <f t="shared" si="118"/>
        <v>0</v>
      </c>
      <c r="AF537">
        <f t="shared" si="118"/>
        <v>0</v>
      </c>
      <c r="AG537">
        <f t="shared" si="118"/>
        <v>0</v>
      </c>
      <c r="AH537">
        <f t="shared" si="118"/>
        <v>0</v>
      </c>
      <c r="AI537">
        <f t="shared" si="118"/>
        <v>0</v>
      </c>
      <c r="AJ537">
        <f t="shared" si="118"/>
        <v>0</v>
      </c>
      <c r="AK537">
        <f t="shared" si="118"/>
        <v>0</v>
      </c>
      <c r="AL537">
        <f t="shared" si="118"/>
        <v>0</v>
      </c>
      <c r="AM537">
        <f t="shared" si="118"/>
        <v>0</v>
      </c>
      <c r="AN537">
        <f>IF(AND($G537&gt;=AN$3,$G537&lt;AN$4),$F537,0)</f>
        <v>0</v>
      </c>
      <c r="AO537">
        <f t="shared" si="119"/>
        <v>0</v>
      </c>
      <c r="AP537">
        <f t="shared" si="119"/>
        <v>0</v>
      </c>
      <c r="AQ537">
        <f t="shared" si="119"/>
        <v>0</v>
      </c>
      <c r="AR537">
        <f t="shared" si="119"/>
        <v>0</v>
      </c>
    </row>
    <row r="538" spans="5:44" x14ac:dyDescent="0.2">
      <c r="E538" s="1">
        <f>moment_rate!$AC538</f>
        <v>7.4493433161470389E-3</v>
      </c>
      <c r="F538" s="1">
        <f t="shared" si="115"/>
        <v>0</v>
      </c>
      <c r="G538">
        <f>moment_rate!I538-0.005</f>
        <v>5.3099999999999312</v>
      </c>
      <c r="H538" s="1">
        <f t="shared" si="116"/>
        <v>0</v>
      </c>
      <c r="I538">
        <f t="shared" si="117"/>
        <v>0</v>
      </c>
      <c r="J538">
        <f t="shared" si="117"/>
        <v>0</v>
      </c>
      <c r="K538">
        <f t="shared" si="117"/>
        <v>0</v>
      </c>
      <c r="L538">
        <f t="shared" si="117"/>
        <v>0</v>
      </c>
      <c r="M538">
        <f t="shared" si="117"/>
        <v>0</v>
      </c>
      <c r="N538">
        <f t="shared" si="117"/>
        <v>0</v>
      </c>
      <c r="O538">
        <f t="shared" si="117"/>
        <v>0</v>
      </c>
      <c r="P538">
        <f t="shared" si="117"/>
        <v>0</v>
      </c>
      <c r="Q538">
        <f t="shared" si="117"/>
        <v>0</v>
      </c>
      <c r="R538">
        <f t="shared" si="117"/>
        <v>0</v>
      </c>
      <c r="S538">
        <f t="shared" si="117"/>
        <v>0</v>
      </c>
      <c r="T538">
        <f t="shared" si="117"/>
        <v>0</v>
      </c>
      <c r="U538">
        <f t="shared" ref="U538:AJ553" si="120">IF(AND($G538&gt;=U$3,$G538&lt;U$4),$F538,0)</f>
        <v>0</v>
      </c>
      <c r="V538">
        <f t="shared" si="120"/>
        <v>0</v>
      </c>
      <c r="W538">
        <f t="shared" si="120"/>
        <v>0</v>
      </c>
      <c r="X538">
        <f t="shared" si="120"/>
        <v>0</v>
      </c>
      <c r="Y538">
        <f t="shared" si="120"/>
        <v>0</v>
      </c>
      <c r="Z538">
        <f t="shared" si="120"/>
        <v>0</v>
      </c>
      <c r="AA538">
        <f t="shared" si="120"/>
        <v>0</v>
      </c>
      <c r="AB538">
        <f t="shared" si="120"/>
        <v>0</v>
      </c>
      <c r="AC538">
        <f t="shared" si="120"/>
        <v>0</v>
      </c>
      <c r="AD538">
        <f t="shared" si="120"/>
        <v>0</v>
      </c>
      <c r="AE538">
        <f t="shared" si="120"/>
        <v>0</v>
      </c>
      <c r="AF538">
        <f t="shared" si="120"/>
        <v>0</v>
      </c>
      <c r="AG538">
        <f t="shared" si="120"/>
        <v>0</v>
      </c>
      <c r="AH538">
        <f t="shared" si="120"/>
        <v>0</v>
      </c>
      <c r="AI538">
        <f t="shared" si="120"/>
        <v>0</v>
      </c>
      <c r="AJ538">
        <f t="shared" si="120"/>
        <v>0</v>
      </c>
      <c r="AK538">
        <f t="shared" ref="AK538:AR561" si="121">IF(AND($G538&gt;=AK$3,$G538&lt;AK$4),$F538,0)</f>
        <v>0</v>
      </c>
      <c r="AL538">
        <f t="shared" si="121"/>
        <v>0</v>
      </c>
      <c r="AM538">
        <f t="shared" si="121"/>
        <v>0</v>
      </c>
      <c r="AN538">
        <f t="shared" si="121"/>
        <v>0</v>
      </c>
      <c r="AO538">
        <f t="shared" si="119"/>
        <v>0</v>
      </c>
      <c r="AP538">
        <f t="shared" si="119"/>
        <v>0</v>
      </c>
      <c r="AQ538">
        <f t="shared" si="119"/>
        <v>0</v>
      </c>
      <c r="AR538">
        <f t="shared" si="119"/>
        <v>0</v>
      </c>
    </row>
    <row r="539" spans="5:44" x14ac:dyDescent="0.2">
      <c r="E539" s="1">
        <f>moment_rate!$AC539</f>
        <v>7.4493433161470389E-3</v>
      </c>
      <c r="F539" s="1">
        <f t="shared" si="115"/>
        <v>0</v>
      </c>
      <c r="G539">
        <f>moment_rate!I539-0.005</f>
        <v>5.319999999999931</v>
      </c>
      <c r="H539" s="1">
        <f t="shared" si="116"/>
        <v>0</v>
      </c>
      <c r="I539">
        <f t="shared" ref="I539:X554" si="122">IF(AND($G539&gt;=I$3,$G539&lt;I$4),$F539,0)</f>
        <v>0</v>
      </c>
      <c r="J539">
        <f t="shared" si="122"/>
        <v>0</v>
      </c>
      <c r="K539">
        <f t="shared" si="122"/>
        <v>0</v>
      </c>
      <c r="L539">
        <f t="shared" si="122"/>
        <v>0</v>
      </c>
      <c r="M539">
        <f t="shared" si="122"/>
        <v>0</v>
      </c>
      <c r="N539">
        <f t="shared" si="122"/>
        <v>0</v>
      </c>
      <c r="O539">
        <f t="shared" si="122"/>
        <v>0</v>
      </c>
      <c r="P539">
        <f t="shared" si="122"/>
        <v>0</v>
      </c>
      <c r="Q539">
        <f t="shared" si="122"/>
        <v>0</v>
      </c>
      <c r="R539">
        <f t="shared" si="122"/>
        <v>0</v>
      </c>
      <c r="S539">
        <f t="shared" si="122"/>
        <v>0</v>
      </c>
      <c r="T539">
        <f t="shared" si="122"/>
        <v>0</v>
      </c>
      <c r="U539">
        <f t="shared" si="122"/>
        <v>0</v>
      </c>
      <c r="V539">
        <f t="shared" si="122"/>
        <v>0</v>
      </c>
      <c r="W539">
        <f t="shared" si="122"/>
        <v>0</v>
      </c>
      <c r="X539">
        <f t="shared" si="122"/>
        <v>0</v>
      </c>
      <c r="Y539">
        <f t="shared" si="120"/>
        <v>0</v>
      </c>
      <c r="Z539">
        <f t="shared" si="120"/>
        <v>0</v>
      </c>
      <c r="AA539">
        <f t="shared" si="120"/>
        <v>0</v>
      </c>
      <c r="AB539">
        <f t="shared" si="120"/>
        <v>0</v>
      </c>
      <c r="AC539">
        <f t="shared" si="120"/>
        <v>0</v>
      </c>
      <c r="AD539">
        <f t="shared" si="120"/>
        <v>0</v>
      </c>
      <c r="AE539">
        <f t="shared" si="120"/>
        <v>0</v>
      </c>
      <c r="AF539">
        <f t="shared" si="120"/>
        <v>0</v>
      </c>
      <c r="AG539">
        <f t="shared" si="120"/>
        <v>0</v>
      </c>
      <c r="AH539">
        <f t="shared" si="120"/>
        <v>0</v>
      </c>
      <c r="AI539">
        <f t="shared" si="120"/>
        <v>0</v>
      </c>
      <c r="AJ539">
        <f t="shared" si="120"/>
        <v>0</v>
      </c>
      <c r="AK539">
        <f t="shared" si="121"/>
        <v>0</v>
      </c>
      <c r="AL539">
        <f t="shared" si="121"/>
        <v>0</v>
      </c>
      <c r="AM539">
        <f t="shared" si="121"/>
        <v>0</v>
      </c>
      <c r="AN539">
        <f t="shared" si="121"/>
        <v>0</v>
      </c>
      <c r="AO539">
        <f t="shared" si="119"/>
        <v>0</v>
      </c>
      <c r="AP539">
        <f t="shared" si="119"/>
        <v>0</v>
      </c>
      <c r="AQ539">
        <f t="shared" si="119"/>
        <v>0</v>
      </c>
      <c r="AR539">
        <f t="shared" si="119"/>
        <v>0</v>
      </c>
    </row>
    <row r="540" spans="5:44" x14ac:dyDescent="0.2">
      <c r="E540" s="1">
        <f>moment_rate!$AC540</f>
        <v>7.4493433161470389E-3</v>
      </c>
      <c r="F540" s="1">
        <f t="shared" si="115"/>
        <v>0</v>
      </c>
      <c r="G540">
        <f>moment_rate!I540-0.005</f>
        <v>5.3299999999999308</v>
      </c>
      <c r="H540" s="1">
        <f t="shared" si="116"/>
        <v>0</v>
      </c>
      <c r="I540">
        <f t="shared" si="122"/>
        <v>0</v>
      </c>
      <c r="J540">
        <f t="shared" si="122"/>
        <v>0</v>
      </c>
      <c r="K540">
        <f t="shared" si="122"/>
        <v>0</v>
      </c>
      <c r="L540">
        <f t="shared" si="122"/>
        <v>0</v>
      </c>
      <c r="M540">
        <f t="shared" si="122"/>
        <v>0</v>
      </c>
      <c r="N540">
        <f t="shared" si="122"/>
        <v>0</v>
      </c>
      <c r="O540">
        <f t="shared" si="122"/>
        <v>0</v>
      </c>
      <c r="P540">
        <f t="shared" si="122"/>
        <v>0</v>
      </c>
      <c r="Q540">
        <f t="shared" si="122"/>
        <v>0</v>
      </c>
      <c r="R540">
        <f t="shared" si="122"/>
        <v>0</v>
      </c>
      <c r="S540">
        <f t="shared" si="122"/>
        <v>0</v>
      </c>
      <c r="T540">
        <f t="shared" si="122"/>
        <v>0</v>
      </c>
      <c r="U540">
        <f t="shared" si="122"/>
        <v>0</v>
      </c>
      <c r="V540">
        <f t="shared" si="122"/>
        <v>0</v>
      </c>
      <c r="W540">
        <f t="shared" si="122"/>
        <v>0</v>
      </c>
      <c r="X540">
        <f t="shared" si="122"/>
        <v>0</v>
      </c>
      <c r="Y540">
        <f t="shared" si="120"/>
        <v>0</v>
      </c>
      <c r="Z540">
        <f t="shared" si="120"/>
        <v>0</v>
      </c>
      <c r="AA540">
        <f t="shared" si="120"/>
        <v>0</v>
      </c>
      <c r="AB540">
        <f t="shared" si="120"/>
        <v>0</v>
      </c>
      <c r="AC540">
        <f t="shared" si="120"/>
        <v>0</v>
      </c>
      <c r="AD540">
        <f t="shared" si="120"/>
        <v>0</v>
      </c>
      <c r="AE540">
        <f t="shared" si="120"/>
        <v>0</v>
      </c>
      <c r="AF540">
        <f t="shared" si="120"/>
        <v>0</v>
      </c>
      <c r="AG540">
        <f t="shared" si="120"/>
        <v>0</v>
      </c>
      <c r="AH540">
        <f t="shared" si="120"/>
        <v>0</v>
      </c>
      <c r="AI540">
        <f t="shared" si="120"/>
        <v>0</v>
      </c>
      <c r="AJ540">
        <f t="shared" si="120"/>
        <v>0</v>
      </c>
      <c r="AK540">
        <f t="shared" si="121"/>
        <v>0</v>
      </c>
      <c r="AL540">
        <f t="shared" si="121"/>
        <v>0</v>
      </c>
      <c r="AM540">
        <f t="shared" si="121"/>
        <v>0</v>
      </c>
      <c r="AN540">
        <f t="shared" si="121"/>
        <v>0</v>
      </c>
      <c r="AO540">
        <f t="shared" si="119"/>
        <v>0</v>
      </c>
      <c r="AP540">
        <f t="shared" si="119"/>
        <v>0</v>
      </c>
      <c r="AQ540">
        <f t="shared" si="119"/>
        <v>0</v>
      </c>
      <c r="AR540">
        <f t="shared" si="119"/>
        <v>0</v>
      </c>
    </row>
    <row r="541" spans="5:44" x14ac:dyDescent="0.2">
      <c r="E541" s="1">
        <f>moment_rate!$AC541</f>
        <v>7.4493433161470389E-3</v>
      </c>
      <c r="F541" s="1">
        <f t="shared" si="115"/>
        <v>0</v>
      </c>
      <c r="G541">
        <f>moment_rate!I541-0.005</f>
        <v>5.3399999999999306</v>
      </c>
      <c r="H541" s="1">
        <f t="shared" si="116"/>
        <v>0</v>
      </c>
      <c r="I541">
        <f t="shared" si="122"/>
        <v>0</v>
      </c>
      <c r="J541">
        <f t="shared" si="122"/>
        <v>0</v>
      </c>
      <c r="K541">
        <f t="shared" si="122"/>
        <v>0</v>
      </c>
      <c r="L541">
        <f t="shared" si="122"/>
        <v>0</v>
      </c>
      <c r="M541">
        <f t="shared" si="122"/>
        <v>0</v>
      </c>
      <c r="N541">
        <f t="shared" si="122"/>
        <v>0</v>
      </c>
      <c r="O541">
        <f t="shared" si="122"/>
        <v>0</v>
      </c>
      <c r="P541">
        <f t="shared" si="122"/>
        <v>0</v>
      </c>
      <c r="Q541">
        <f t="shared" si="122"/>
        <v>0</v>
      </c>
      <c r="R541">
        <f t="shared" si="122"/>
        <v>0</v>
      </c>
      <c r="S541">
        <f t="shared" si="122"/>
        <v>0</v>
      </c>
      <c r="T541">
        <f t="shared" si="122"/>
        <v>0</v>
      </c>
      <c r="U541">
        <f t="shared" si="122"/>
        <v>0</v>
      </c>
      <c r="V541">
        <f t="shared" si="122"/>
        <v>0</v>
      </c>
      <c r="W541">
        <f t="shared" si="122"/>
        <v>0</v>
      </c>
      <c r="X541">
        <f t="shared" si="122"/>
        <v>0</v>
      </c>
      <c r="Y541">
        <f t="shared" si="120"/>
        <v>0</v>
      </c>
      <c r="Z541">
        <f t="shared" si="120"/>
        <v>0</v>
      </c>
      <c r="AA541">
        <f t="shared" si="120"/>
        <v>0</v>
      </c>
      <c r="AB541">
        <f t="shared" si="120"/>
        <v>0</v>
      </c>
      <c r="AC541">
        <f t="shared" si="120"/>
        <v>0</v>
      </c>
      <c r="AD541">
        <f t="shared" si="120"/>
        <v>0</v>
      </c>
      <c r="AE541">
        <f t="shared" si="120"/>
        <v>0</v>
      </c>
      <c r="AF541">
        <f t="shared" si="120"/>
        <v>0</v>
      </c>
      <c r="AG541">
        <f t="shared" si="120"/>
        <v>0</v>
      </c>
      <c r="AH541">
        <f t="shared" si="120"/>
        <v>0</v>
      </c>
      <c r="AI541">
        <f t="shared" si="120"/>
        <v>0</v>
      </c>
      <c r="AJ541">
        <f t="shared" si="120"/>
        <v>0</v>
      </c>
      <c r="AK541">
        <f t="shared" si="121"/>
        <v>0</v>
      </c>
      <c r="AL541">
        <f t="shared" si="121"/>
        <v>0</v>
      </c>
      <c r="AM541">
        <f t="shared" si="121"/>
        <v>0</v>
      </c>
      <c r="AN541">
        <f t="shared" si="121"/>
        <v>0</v>
      </c>
      <c r="AO541">
        <f t="shared" si="119"/>
        <v>0</v>
      </c>
      <c r="AP541">
        <f t="shared" si="119"/>
        <v>0</v>
      </c>
      <c r="AQ541">
        <f t="shared" si="119"/>
        <v>0</v>
      </c>
      <c r="AR541">
        <f t="shared" si="119"/>
        <v>0</v>
      </c>
    </row>
    <row r="542" spans="5:44" x14ac:dyDescent="0.2">
      <c r="E542" s="1">
        <f>moment_rate!$AC542</f>
        <v>7.4493433161470389E-3</v>
      </c>
      <c r="F542" s="1">
        <f t="shared" si="115"/>
        <v>0</v>
      </c>
      <c r="G542">
        <f>moment_rate!I542-0.005</f>
        <v>5.3499999999999304</v>
      </c>
      <c r="H542" s="1">
        <f t="shared" si="116"/>
        <v>0</v>
      </c>
      <c r="I542">
        <f t="shared" si="122"/>
        <v>0</v>
      </c>
      <c r="J542">
        <f t="shared" si="122"/>
        <v>0</v>
      </c>
      <c r="K542">
        <f t="shared" si="122"/>
        <v>0</v>
      </c>
      <c r="L542">
        <f t="shared" si="122"/>
        <v>0</v>
      </c>
      <c r="M542">
        <f t="shared" si="122"/>
        <v>0</v>
      </c>
      <c r="N542">
        <f t="shared" si="122"/>
        <v>0</v>
      </c>
      <c r="O542">
        <f t="shared" si="122"/>
        <v>0</v>
      </c>
      <c r="P542">
        <f t="shared" si="122"/>
        <v>0</v>
      </c>
      <c r="Q542">
        <f t="shared" si="122"/>
        <v>0</v>
      </c>
      <c r="R542">
        <f t="shared" si="122"/>
        <v>0</v>
      </c>
      <c r="S542">
        <f t="shared" si="122"/>
        <v>0</v>
      </c>
      <c r="T542">
        <f t="shared" si="122"/>
        <v>0</v>
      </c>
      <c r="U542">
        <f t="shared" si="122"/>
        <v>0</v>
      </c>
      <c r="V542">
        <f t="shared" si="122"/>
        <v>0</v>
      </c>
      <c r="W542">
        <f t="shared" si="122"/>
        <v>0</v>
      </c>
      <c r="X542">
        <f t="shared" si="122"/>
        <v>0</v>
      </c>
      <c r="Y542">
        <f t="shared" si="120"/>
        <v>0</v>
      </c>
      <c r="Z542">
        <f t="shared" si="120"/>
        <v>0</v>
      </c>
      <c r="AA542">
        <f t="shared" si="120"/>
        <v>0</v>
      </c>
      <c r="AB542">
        <f t="shared" si="120"/>
        <v>0</v>
      </c>
      <c r="AC542">
        <f t="shared" si="120"/>
        <v>0</v>
      </c>
      <c r="AD542">
        <f t="shared" si="120"/>
        <v>0</v>
      </c>
      <c r="AE542">
        <f t="shared" si="120"/>
        <v>0</v>
      </c>
      <c r="AF542">
        <f t="shared" si="120"/>
        <v>0</v>
      </c>
      <c r="AG542">
        <f t="shared" si="120"/>
        <v>0</v>
      </c>
      <c r="AH542">
        <f t="shared" si="120"/>
        <v>0</v>
      </c>
      <c r="AI542">
        <f t="shared" si="120"/>
        <v>0</v>
      </c>
      <c r="AJ542">
        <f t="shared" si="120"/>
        <v>0</v>
      </c>
      <c r="AK542">
        <f t="shared" si="121"/>
        <v>0</v>
      </c>
      <c r="AL542">
        <f t="shared" si="121"/>
        <v>0</v>
      </c>
      <c r="AM542">
        <f t="shared" si="121"/>
        <v>0</v>
      </c>
      <c r="AN542">
        <f t="shared" si="121"/>
        <v>0</v>
      </c>
      <c r="AO542">
        <f t="shared" si="119"/>
        <v>0</v>
      </c>
      <c r="AP542">
        <f t="shared" si="119"/>
        <v>0</v>
      </c>
      <c r="AQ542">
        <f t="shared" si="119"/>
        <v>0</v>
      </c>
      <c r="AR542">
        <f t="shared" si="119"/>
        <v>0</v>
      </c>
    </row>
    <row r="543" spans="5:44" x14ac:dyDescent="0.2">
      <c r="E543" s="1">
        <f>moment_rate!$AC543</f>
        <v>7.4493433161470389E-3</v>
      </c>
      <c r="F543" s="1">
        <f t="shared" si="115"/>
        <v>0</v>
      </c>
      <c r="G543">
        <f>moment_rate!I543-0.005</f>
        <v>5.3599999999999302</v>
      </c>
      <c r="H543" s="1">
        <f t="shared" si="116"/>
        <v>0</v>
      </c>
      <c r="I543">
        <f t="shared" si="122"/>
        <v>0</v>
      </c>
      <c r="J543">
        <f t="shared" si="122"/>
        <v>0</v>
      </c>
      <c r="K543">
        <f t="shared" si="122"/>
        <v>0</v>
      </c>
      <c r="L543">
        <f t="shared" si="122"/>
        <v>0</v>
      </c>
      <c r="M543">
        <f t="shared" si="122"/>
        <v>0</v>
      </c>
      <c r="N543">
        <f t="shared" si="122"/>
        <v>0</v>
      </c>
      <c r="O543">
        <f t="shared" si="122"/>
        <v>0</v>
      </c>
      <c r="P543">
        <f t="shared" si="122"/>
        <v>0</v>
      </c>
      <c r="Q543">
        <f t="shared" si="122"/>
        <v>0</v>
      </c>
      <c r="R543">
        <f t="shared" si="122"/>
        <v>0</v>
      </c>
      <c r="S543">
        <f t="shared" si="122"/>
        <v>0</v>
      </c>
      <c r="T543">
        <f t="shared" si="122"/>
        <v>0</v>
      </c>
      <c r="U543">
        <f t="shared" si="122"/>
        <v>0</v>
      </c>
      <c r="V543">
        <f t="shared" si="122"/>
        <v>0</v>
      </c>
      <c r="W543">
        <f t="shared" si="122"/>
        <v>0</v>
      </c>
      <c r="X543">
        <f t="shared" si="122"/>
        <v>0</v>
      </c>
      <c r="Y543">
        <f t="shared" si="120"/>
        <v>0</v>
      </c>
      <c r="Z543">
        <f t="shared" si="120"/>
        <v>0</v>
      </c>
      <c r="AA543">
        <f t="shared" si="120"/>
        <v>0</v>
      </c>
      <c r="AB543">
        <f t="shared" si="120"/>
        <v>0</v>
      </c>
      <c r="AC543">
        <f t="shared" si="120"/>
        <v>0</v>
      </c>
      <c r="AD543">
        <f t="shared" si="120"/>
        <v>0</v>
      </c>
      <c r="AE543">
        <f t="shared" si="120"/>
        <v>0</v>
      </c>
      <c r="AF543">
        <f t="shared" si="120"/>
        <v>0</v>
      </c>
      <c r="AG543">
        <f t="shared" si="120"/>
        <v>0</v>
      </c>
      <c r="AH543">
        <f t="shared" si="120"/>
        <v>0</v>
      </c>
      <c r="AI543">
        <f t="shared" si="120"/>
        <v>0</v>
      </c>
      <c r="AJ543">
        <f t="shared" si="120"/>
        <v>0</v>
      </c>
      <c r="AK543">
        <f t="shared" si="121"/>
        <v>0</v>
      </c>
      <c r="AL543">
        <f t="shared" si="121"/>
        <v>0</v>
      </c>
      <c r="AM543">
        <f t="shared" si="121"/>
        <v>0</v>
      </c>
      <c r="AN543">
        <f t="shared" si="121"/>
        <v>0</v>
      </c>
      <c r="AO543">
        <f t="shared" si="119"/>
        <v>0</v>
      </c>
      <c r="AP543">
        <f t="shared" si="119"/>
        <v>0</v>
      </c>
      <c r="AQ543">
        <f t="shared" si="119"/>
        <v>0</v>
      </c>
      <c r="AR543">
        <f t="shared" si="119"/>
        <v>0</v>
      </c>
    </row>
    <row r="544" spans="5:44" x14ac:dyDescent="0.2">
      <c r="E544" s="1">
        <f>moment_rate!$AC544</f>
        <v>7.4493433161470389E-3</v>
      </c>
      <c r="F544" s="1">
        <f t="shared" si="115"/>
        <v>0</v>
      </c>
      <c r="G544">
        <f>moment_rate!I544-0.005</f>
        <v>5.3699999999999299</v>
      </c>
      <c r="H544" s="1">
        <f t="shared" si="116"/>
        <v>0</v>
      </c>
      <c r="I544">
        <f t="shared" si="122"/>
        <v>0</v>
      </c>
      <c r="J544">
        <f t="shared" si="122"/>
        <v>0</v>
      </c>
      <c r="K544">
        <f t="shared" si="122"/>
        <v>0</v>
      </c>
      <c r="L544">
        <f t="shared" si="122"/>
        <v>0</v>
      </c>
      <c r="M544">
        <f t="shared" si="122"/>
        <v>0</v>
      </c>
      <c r="N544">
        <f t="shared" si="122"/>
        <v>0</v>
      </c>
      <c r="O544">
        <f t="shared" si="122"/>
        <v>0</v>
      </c>
      <c r="P544">
        <f t="shared" si="122"/>
        <v>0</v>
      </c>
      <c r="Q544">
        <f t="shared" si="122"/>
        <v>0</v>
      </c>
      <c r="R544">
        <f t="shared" si="122"/>
        <v>0</v>
      </c>
      <c r="S544">
        <f t="shared" si="122"/>
        <v>0</v>
      </c>
      <c r="T544">
        <f t="shared" si="122"/>
        <v>0</v>
      </c>
      <c r="U544">
        <f t="shared" si="122"/>
        <v>0</v>
      </c>
      <c r="V544">
        <f t="shared" si="122"/>
        <v>0</v>
      </c>
      <c r="W544">
        <f t="shared" si="122"/>
        <v>0</v>
      </c>
      <c r="X544">
        <f t="shared" si="122"/>
        <v>0</v>
      </c>
      <c r="Y544">
        <f t="shared" si="120"/>
        <v>0</v>
      </c>
      <c r="Z544">
        <f t="shared" si="120"/>
        <v>0</v>
      </c>
      <c r="AA544">
        <f t="shared" si="120"/>
        <v>0</v>
      </c>
      <c r="AB544">
        <f t="shared" si="120"/>
        <v>0</v>
      </c>
      <c r="AC544">
        <f t="shared" si="120"/>
        <v>0</v>
      </c>
      <c r="AD544">
        <f t="shared" si="120"/>
        <v>0</v>
      </c>
      <c r="AE544">
        <f t="shared" si="120"/>
        <v>0</v>
      </c>
      <c r="AF544">
        <f t="shared" si="120"/>
        <v>0</v>
      </c>
      <c r="AG544">
        <f t="shared" si="120"/>
        <v>0</v>
      </c>
      <c r="AH544">
        <f t="shared" si="120"/>
        <v>0</v>
      </c>
      <c r="AI544">
        <f t="shared" si="120"/>
        <v>0</v>
      </c>
      <c r="AJ544">
        <f t="shared" si="120"/>
        <v>0</v>
      </c>
      <c r="AK544">
        <f t="shared" si="121"/>
        <v>0</v>
      </c>
      <c r="AL544">
        <f t="shared" si="121"/>
        <v>0</v>
      </c>
      <c r="AM544">
        <f t="shared" si="121"/>
        <v>0</v>
      </c>
      <c r="AN544">
        <f t="shared" si="121"/>
        <v>0</v>
      </c>
      <c r="AO544">
        <f t="shared" si="119"/>
        <v>0</v>
      </c>
      <c r="AP544">
        <f t="shared" si="119"/>
        <v>0</v>
      </c>
      <c r="AQ544">
        <f t="shared" si="119"/>
        <v>0</v>
      </c>
      <c r="AR544">
        <f t="shared" si="119"/>
        <v>0</v>
      </c>
    </row>
    <row r="545" spans="5:44" x14ac:dyDescent="0.2">
      <c r="E545" s="1">
        <f>moment_rate!$AC545</f>
        <v>7.4493433161470389E-3</v>
      </c>
      <c r="F545" s="1">
        <f t="shared" si="115"/>
        <v>0</v>
      </c>
      <c r="G545">
        <f>moment_rate!I545-0.005</f>
        <v>5.3799999999999297</v>
      </c>
      <c r="H545" s="1">
        <f t="shared" si="116"/>
        <v>0</v>
      </c>
      <c r="I545">
        <f t="shared" si="122"/>
        <v>0</v>
      </c>
      <c r="J545">
        <f t="shared" si="122"/>
        <v>0</v>
      </c>
      <c r="K545">
        <f t="shared" si="122"/>
        <v>0</v>
      </c>
      <c r="L545">
        <f t="shared" si="122"/>
        <v>0</v>
      </c>
      <c r="M545">
        <f t="shared" si="122"/>
        <v>0</v>
      </c>
      <c r="N545">
        <f t="shared" si="122"/>
        <v>0</v>
      </c>
      <c r="O545">
        <f t="shared" si="122"/>
        <v>0</v>
      </c>
      <c r="P545">
        <f t="shared" si="122"/>
        <v>0</v>
      </c>
      <c r="Q545">
        <f t="shared" si="122"/>
        <v>0</v>
      </c>
      <c r="R545">
        <f t="shared" si="122"/>
        <v>0</v>
      </c>
      <c r="S545">
        <f t="shared" si="122"/>
        <v>0</v>
      </c>
      <c r="T545">
        <f t="shared" si="122"/>
        <v>0</v>
      </c>
      <c r="U545">
        <f t="shared" si="122"/>
        <v>0</v>
      </c>
      <c r="V545">
        <f t="shared" si="122"/>
        <v>0</v>
      </c>
      <c r="W545">
        <f t="shared" si="122"/>
        <v>0</v>
      </c>
      <c r="X545">
        <f t="shared" si="122"/>
        <v>0</v>
      </c>
      <c r="Y545">
        <f t="shared" si="120"/>
        <v>0</v>
      </c>
      <c r="Z545">
        <f t="shared" si="120"/>
        <v>0</v>
      </c>
      <c r="AA545">
        <f t="shared" si="120"/>
        <v>0</v>
      </c>
      <c r="AB545">
        <f t="shared" si="120"/>
        <v>0</v>
      </c>
      <c r="AC545">
        <f t="shared" si="120"/>
        <v>0</v>
      </c>
      <c r="AD545">
        <f t="shared" si="120"/>
        <v>0</v>
      </c>
      <c r="AE545">
        <f t="shared" si="120"/>
        <v>0</v>
      </c>
      <c r="AF545">
        <f t="shared" si="120"/>
        <v>0</v>
      </c>
      <c r="AG545">
        <f t="shared" si="120"/>
        <v>0</v>
      </c>
      <c r="AH545">
        <f t="shared" si="120"/>
        <v>0</v>
      </c>
      <c r="AI545">
        <f t="shared" si="120"/>
        <v>0</v>
      </c>
      <c r="AJ545">
        <f t="shared" si="120"/>
        <v>0</v>
      </c>
      <c r="AK545">
        <f t="shared" si="121"/>
        <v>0</v>
      </c>
      <c r="AL545">
        <f t="shared" si="121"/>
        <v>0</v>
      </c>
      <c r="AM545">
        <f t="shared" si="121"/>
        <v>0</v>
      </c>
      <c r="AN545">
        <f t="shared" si="121"/>
        <v>0</v>
      </c>
      <c r="AO545">
        <f t="shared" si="119"/>
        <v>0</v>
      </c>
      <c r="AP545">
        <f t="shared" si="119"/>
        <v>0</v>
      </c>
      <c r="AQ545">
        <f t="shared" si="119"/>
        <v>0</v>
      </c>
      <c r="AR545">
        <f t="shared" si="119"/>
        <v>0</v>
      </c>
    </row>
    <row r="546" spans="5:44" x14ac:dyDescent="0.2">
      <c r="E546" s="1">
        <f>moment_rate!$AC546</f>
        <v>7.4493433161470389E-3</v>
      </c>
      <c r="F546" s="1">
        <f t="shared" si="115"/>
        <v>0</v>
      </c>
      <c r="G546">
        <f>moment_rate!I546-0.005</f>
        <v>5.3899999999999295</v>
      </c>
      <c r="H546" s="1">
        <f t="shared" si="116"/>
        <v>0</v>
      </c>
      <c r="I546">
        <f t="shared" si="122"/>
        <v>0</v>
      </c>
      <c r="J546">
        <f t="shared" si="122"/>
        <v>0</v>
      </c>
      <c r="K546">
        <f t="shared" si="122"/>
        <v>0</v>
      </c>
      <c r="L546">
        <f t="shared" si="122"/>
        <v>0</v>
      </c>
      <c r="M546">
        <f t="shared" si="122"/>
        <v>0</v>
      </c>
      <c r="N546">
        <f t="shared" si="122"/>
        <v>0</v>
      </c>
      <c r="O546">
        <f t="shared" si="122"/>
        <v>0</v>
      </c>
      <c r="P546">
        <f t="shared" si="122"/>
        <v>0</v>
      </c>
      <c r="Q546">
        <f t="shared" si="122"/>
        <v>0</v>
      </c>
      <c r="R546">
        <f t="shared" si="122"/>
        <v>0</v>
      </c>
      <c r="S546">
        <f t="shared" si="122"/>
        <v>0</v>
      </c>
      <c r="T546">
        <f t="shared" si="122"/>
        <v>0</v>
      </c>
      <c r="U546">
        <f t="shared" si="122"/>
        <v>0</v>
      </c>
      <c r="V546">
        <f t="shared" si="122"/>
        <v>0</v>
      </c>
      <c r="W546">
        <f t="shared" si="122"/>
        <v>0</v>
      </c>
      <c r="X546">
        <f t="shared" si="122"/>
        <v>0</v>
      </c>
      <c r="Y546">
        <f t="shared" si="120"/>
        <v>0</v>
      </c>
      <c r="Z546">
        <f t="shared" si="120"/>
        <v>0</v>
      </c>
      <c r="AA546">
        <f t="shared" si="120"/>
        <v>0</v>
      </c>
      <c r="AB546">
        <f t="shared" si="120"/>
        <v>0</v>
      </c>
      <c r="AC546">
        <f t="shared" si="120"/>
        <v>0</v>
      </c>
      <c r="AD546">
        <f t="shared" si="120"/>
        <v>0</v>
      </c>
      <c r="AE546">
        <f t="shared" si="120"/>
        <v>0</v>
      </c>
      <c r="AF546">
        <f t="shared" si="120"/>
        <v>0</v>
      </c>
      <c r="AG546">
        <f t="shared" si="120"/>
        <v>0</v>
      </c>
      <c r="AH546">
        <f t="shared" si="120"/>
        <v>0</v>
      </c>
      <c r="AI546">
        <f t="shared" si="120"/>
        <v>0</v>
      </c>
      <c r="AJ546">
        <f t="shared" si="120"/>
        <v>0</v>
      </c>
      <c r="AK546">
        <f t="shared" si="121"/>
        <v>0</v>
      </c>
      <c r="AL546">
        <f t="shared" si="121"/>
        <v>0</v>
      </c>
      <c r="AM546">
        <f t="shared" si="121"/>
        <v>0</v>
      </c>
      <c r="AN546">
        <f t="shared" si="121"/>
        <v>0</v>
      </c>
      <c r="AO546">
        <f t="shared" si="121"/>
        <v>0</v>
      </c>
      <c r="AP546">
        <f t="shared" si="121"/>
        <v>0</v>
      </c>
      <c r="AQ546">
        <f t="shared" si="121"/>
        <v>0</v>
      </c>
      <c r="AR546">
        <f t="shared" si="121"/>
        <v>0</v>
      </c>
    </row>
    <row r="547" spans="5:44" x14ac:dyDescent="0.2">
      <c r="E547" s="1">
        <f>moment_rate!$AC547</f>
        <v>7.4493433161470389E-3</v>
      </c>
      <c r="F547" s="1">
        <f t="shared" si="115"/>
        <v>0</v>
      </c>
      <c r="G547">
        <f>moment_rate!I547-0.005</f>
        <v>5.3999999999999293</v>
      </c>
      <c r="H547" s="1">
        <f t="shared" si="116"/>
        <v>0</v>
      </c>
      <c r="I547">
        <f t="shared" si="122"/>
        <v>0</v>
      </c>
      <c r="J547">
        <f t="shared" si="122"/>
        <v>0</v>
      </c>
      <c r="K547">
        <f t="shared" si="122"/>
        <v>0</v>
      </c>
      <c r="L547">
        <f t="shared" si="122"/>
        <v>0</v>
      </c>
      <c r="M547">
        <f t="shared" si="122"/>
        <v>0</v>
      </c>
      <c r="N547">
        <f t="shared" si="122"/>
        <v>0</v>
      </c>
      <c r="O547">
        <f t="shared" si="122"/>
        <v>0</v>
      </c>
      <c r="P547">
        <f t="shared" si="122"/>
        <v>0</v>
      </c>
      <c r="Q547">
        <f t="shared" si="122"/>
        <v>0</v>
      </c>
      <c r="R547">
        <f t="shared" si="122"/>
        <v>0</v>
      </c>
      <c r="S547">
        <f t="shared" si="122"/>
        <v>0</v>
      </c>
      <c r="T547">
        <f t="shared" si="122"/>
        <v>0</v>
      </c>
      <c r="U547">
        <f t="shared" si="122"/>
        <v>0</v>
      </c>
      <c r="V547">
        <f t="shared" si="122"/>
        <v>0</v>
      </c>
      <c r="W547">
        <f t="shared" si="122"/>
        <v>0</v>
      </c>
      <c r="X547">
        <f t="shared" si="122"/>
        <v>0</v>
      </c>
      <c r="Y547">
        <f t="shared" si="120"/>
        <v>0</v>
      </c>
      <c r="Z547">
        <f t="shared" si="120"/>
        <v>0</v>
      </c>
      <c r="AA547">
        <f t="shared" si="120"/>
        <v>0</v>
      </c>
      <c r="AB547">
        <f t="shared" si="120"/>
        <v>0</v>
      </c>
      <c r="AC547">
        <f t="shared" si="120"/>
        <v>0</v>
      </c>
      <c r="AD547">
        <f t="shared" si="120"/>
        <v>0</v>
      </c>
      <c r="AE547">
        <f t="shared" si="120"/>
        <v>0</v>
      </c>
      <c r="AF547">
        <f t="shared" si="120"/>
        <v>0</v>
      </c>
      <c r="AG547">
        <f t="shared" si="120"/>
        <v>0</v>
      </c>
      <c r="AH547">
        <f t="shared" si="120"/>
        <v>0</v>
      </c>
      <c r="AI547">
        <f t="shared" si="120"/>
        <v>0</v>
      </c>
      <c r="AJ547">
        <f t="shared" si="120"/>
        <v>0</v>
      </c>
      <c r="AK547">
        <f t="shared" si="121"/>
        <v>0</v>
      </c>
      <c r="AL547">
        <f t="shared" si="121"/>
        <v>0</v>
      </c>
      <c r="AM547">
        <f t="shared" si="121"/>
        <v>0</v>
      </c>
      <c r="AN547">
        <f t="shared" si="121"/>
        <v>0</v>
      </c>
      <c r="AO547">
        <f t="shared" si="121"/>
        <v>0</v>
      </c>
      <c r="AP547">
        <f t="shared" si="121"/>
        <v>0</v>
      </c>
      <c r="AQ547">
        <f t="shared" si="121"/>
        <v>0</v>
      </c>
      <c r="AR547">
        <f t="shared" si="121"/>
        <v>0</v>
      </c>
    </row>
    <row r="548" spans="5:44" x14ac:dyDescent="0.2">
      <c r="E548" s="1">
        <f>moment_rate!$AC548</f>
        <v>7.4493433161470389E-3</v>
      </c>
      <c r="F548" s="1">
        <f t="shared" si="115"/>
        <v>0</v>
      </c>
      <c r="G548">
        <f>moment_rate!I548-0.005</f>
        <v>5.4099999999999291</v>
      </c>
      <c r="H548" s="1">
        <f t="shared" si="116"/>
        <v>0</v>
      </c>
      <c r="I548">
        <f t="shared" si="122"/>
        <v>0</v>
      </c>
      <c r="J548">
        <f t="shared" si="122"/>
        <v>0</v>
      </c>
      <c r="K548">
        <f t="shared" si="122"/>
        <v>0</v>
      </c>
      <c r="L548">
        <f t="shared" si="122"/>
        <v>0</v>
      </c>
      <c r="M548">
        <f t="shared" si="122"/>
        <v>0</v>
      </c>
      <c r="N548">
        <f t="shared" si="122"/>
        <v>0</v>
      </c>
      <c r="O548">
        <f t="shared" si="122"/>
        <v>0</v>
      </c>
      <c r="P548">
        <f t="shared" si="122"/>
        <v>0</v>
      </c>
      <c r="Q548">
        <f t="shared" si="122"/>
        <v>0</v>
      </c>
      <c r="R548">
        <f t="shared" si="122"/>
        <v>0</v>
      </c>
      <c r="S548">
        <f t="shared" si="122"/>
        <v>0</v>
      </c>
      <c r="T548">
        <f t="shared" si="122"/>
        <v>0</v>
      </c>
      <c r="U548">
        <f t="shared" si="122"/>
        <v>0</v>
      </c>
      <c r="V548">
        <f t="shared" si="122"/>
        <v>0</v>
      </c>
      <c r="W548">
        <f t="shared" si="122"/>
        <v>0</v>
      </c>
      <c r="X548">
        <f t="shared" si="122"/>
        <v>0</v>
      </c>
      <c r="Y548">
        <f t="shared" si="120"/>
        <v>0</v>
      </c>
      <c r="Z548">
        <f t="shared" si="120"/>
        <v>0</v>
      </c>
      <c r="AA548">
        <f t="shared" si="120"/>
        <v>0</v>
      </c>
      <c r="AB548">
        <f t="shared" si="120"/>
        <v>0</v>
      </c>
      <c r="AC548">
        <f t="shared" si="120"/>
        <v>0</v>
      </c>
      <c r="AD548">
        <f t="shared" si="120"/>
        <v>0</v>
      </c>
      <c r="AE548">
        <f t="shared" si="120"/>
        <v>0</v>
      </c>
      <c r="AF548">
        <f t="shared" si="120"/>
        <v>0</v>
      </c>
      <c r="AG548">
        <f t="shared" si="120"/>
        <v>0</v>
      </c>
      <c r="AH548">
        <f t="shared" si="120"/>
        <v>0</v>
      </c>
      <c r="AI548">
        <f t="shared" si="120"/>
        <v>0</v>
      </c>
      <c r="AJ548">
        <f t="shared" si="120"/>
        <v>0</v>
      </c>
      <c r="AK548">
        <f t="shared" si="121"/>
        <v>0</v>
      </c>
      <c r="AL548">
        <f t="shared" si="121"/>
        <v>0</v>
      </c>
      <c r="AM548">
        <f t="shared" si="121"/>
        <v>0</v>
      </c>
      <c r="AN548">
        <f t="shared" si="121"/>
        <v>0</v>
      </c>
      <c r="AO548">
        <f t="shared" si="121"/>
        <v>0</v>
      </c>
      <c r="AP548">
        <f t="shared" si="121"/>
        <v>0</v>
      </c>
      <c r="AQ548">
        <f t="shared" si="121"/>
        <v>0</v>
      </c>
      <c r="AR548">
        <f t="shared" si="121"/>
        <v>0</v>
      </c>
    </row>
    <row r="549" spans="5:44" x14ac:dyDescent="0.2">
      <c r="E549" s="1">
        <f>moment_rate!$AC549</f>
        <v>7.4493433161470389E-3</v>
      </c>
      <c r="F549" s="1">
        <f t="shared" si="115"/>
        <v>0</v>
      </c>
      <c r="G549">
        <f>moment_rate!I549-0.005</f>
        <v>5.4199999999999289</v>
      </c>
      <c r="H549" s="1">
        <f t="shared" si="116"/>
        <v>0</v>
      </c>
      <c r="I549">
        <f t="shared" si="122"/>
        <v>0</v>
      </c>
      <c r="J549">
        <f t="shared" si="122"/>
        <v>0</v>
      </c>
      <c r="K549">
        <f t="shared" si="122"/>
        <v>0</v>
      </c>
      <c r="L549">
        <f t="shared" si="122"/>
        <v>0</v>
      </c>
      <c r="M549">
        <f t="shared" si="122"/>
        <v>0</v>
      </c>
      <c r="N549">
        <f t="shared" si="122"/>
        <v>0</v>
      </c>
      <c r="O549">
        <f t="shared" si="122"/>
        <v>0</v>
      </c>
      <c r="P549">
        <f t="shared" si="122"/>
        <v>0</v>
      </c>
      <c r="Q549">
        <f t="shared" si="122"/>
        <v>0</v>
      </c>
      <c r="R549">
        <f t="shared" si="122"/>
        <v>0</v>
      </c>
      <c r="S549">
        <f t="shared" si="122"/>
        <v>0</v>
      </c>
      <c r="T549">
        <f t="shared" si="122"/>
        <v>0</v>
      </c>
      <c r="U549">
        <f t="shared" si="122"/>
        <v>0</v>
      </c>
      <c r="V549">
        <f t="shared" si="122"/>
        <v>0</v>
      </c>
      <c r="W549">
        <f t="shared" si="122"/>
        <v>0</v>
      </c>
      <c r="X549">
        <f t="shared" si="122"/>
        <v>0</v>
      </c>
      <c r="Y549">
        <f t="shared" si="120"/>
        <v>0</v>
      </c>
      <c r="Z549">
        <f t="shared" si="120"/>
        <v>0</v>
      </c>
      <c r="AA549">
        <f t="shared" si="120"/>
        <v>0</v>
      </c>
      <c r="AB549">
        <f t="shared" si="120"/>
        <v>0</v>
      </c>
      <c r="AC549">
        <f t="shared" si="120"/>
        <v>0</v>
      </c>
      <c r="AD549">
        <f t="shared" si="120"/>
        <v>0</v>
      </c>
      <c r="AE549">
        <f t="shared" si="120"/>
        <v>0</v>
      </c>
      <c r="AF549">
        <f t="shared" si="120"/>
        <v>0</v>
      </c>
      <c r="AG549">
        <f t="shared" si="120"/>
        <v>0</v>
      </c>
      <c r="AH549">
        <f t="shared" si="120"/>
        <v>0</v>
      </c>
      <c r="AI549">
        <f t="shared" si="120"/>
        <v>0</v>
      </c>
      <c r="AJ549">
        <f t="shared" si="120"/>
        <v>0</v>
      </c>
      <c r="AK549">
        <f t="shared" si="121"/>
        <v>0</v>
      </c>
      <c r="AL549">
        <f t="shared" si="121"/>
        <v>0</v>
      </c>
      <c r="AM549">
        <f t="shared" si="121"/>
        <v>0</v>
      </c>
      <c r="AN549">
        <f t="shared" si="121"/>
        <v>0</v>
      </c>
      <c r="AO549">
        <f t="shared" si="121"/>
        <v>0</v>
      </c>
      <c r="AP549">
        <f t="shared" si="121"/>
        <v>0</v>
      </c>
      <c r="AQ549">
        <f t="shared" si="121"/>
        <v>0</v>
      </c>
      <c r="AR549">
        <f t="shared" si="121"/>
        <v>0</v>
      </c>
    </row>
    <row r="550" spans="5:44" x14ac:dyDescent="0.2">
      <c r="E550" s="1">
        <f>moment_rate!$AC550</f>
        <v>7.4493433161470389E-3</v>
      </c>
      <c r="F550" s="1">
        <f t="shared" si="115"/>
        <v>0</v>
      </c>
      <c r="G550">
        <f>moment_rate!I550-0.005</f>
        <v>5.4299999999999287</v>
      </c>
      <c r="H550" s="1">
        <f t="shared" si="116"/>
        <v>0</v>
      </c>
      <c r="I550">
        <f t="shared" si="122"/>
        <v>0</v>
      </c>
      <c r="J550">
        <f t="shared" si="122"/>
        <v>0</v>
      </c>
      <c r="K550">
        <f t="shared" si="122"/>
        <v>0</v>
      </c>
      <c r="L550">
        <f t="shared" si="122"/>
        <v>0</v>
      </c>
      <c r="M550">
        <f t="shared" si="122"/>
        <v>0</v>
      </c>
      <c r="N550">
        <f t="shared" si="122"/>
        <v>0</v>
      </c>
      <c r="O550">
        <f t="shared" si="122"/>
        <v>0</v>
      </c>
      <c r="P550">
        <f t="shared" si="122"/>
        <v>0</v>
      </c>
      <c r="Q550">
        <f t="shared" si="122"/>
        <v>0</v>
      </c>
      <c r="R550">
        <f t="shared" si="122"/>
        <v>0</v>
      </c>
      <c r="S550">
        <f t="shared" si="122"/>
        <v>0</v>
      </c>
      <c r="T550">
        <f t="shared" si="122"/>
        <v>0</v>
      </c>
      <c r="U550">
        <f t="shared" si="122"/>
        <v>0</v>
      </c>
      <c r="V550">
        <f t="shared" si="122"/>
        <v>0</v>
      </c>
      <c r="W550">
        <f t="shared" si="122"/>
        <v>0</v>
      </c>
      <c r="X550">
        <f t="shared" si="122"/>
        <v>0</v>
      </c>
      <c r="Y550">
        <f t="shared" si="120"/>
        <v>0</v>
      </c>
      <c r="Z550">
        <f t="shared" si="120"/>
        <v>0</v>
      </c>
      <c r="AA550">
        <f t="shared" si="120"/>
        <v>0</v>
      </c>
      <c r="AB550">
        <f t="shared" si="120"/>
        <v>0</v>
      </c>
      <c r="AC550">
        <f t="shared" si="120"/>
        <v>0</v>
      </c>
      <c r="AD550">
        <f t="shared" si="120"/>
        <v>0</v>
      </c>
      <c r="AE550">
        <f t="shared" si="120"/>
        <v>0</v>
      </c>
      <c r="AF550">
        <f t="shared" si="120"/>
        <v>0</v>
      </c>
      <c r="AG550">
        <f t="shared" si="120"/>
        <v>0</v>
      </c>
      <c r="AH550">
        <f t="shared" si="120"/>
        <v>0</v>
      </c>
      <c r="AI550">
        <f t="shared" si="120"/>
        <v>0</v>
      </c>
      <c r="AJ550">
        <f t="shared" si="120"/>
        <v>0</v>
      </c>
      <c r="AK550">
        <f t="shared" si="121"/>
        <v>0</v>
      </c>
      <c r="AL550">
        <f t="shared" si="121"/>
        <v>0</v>
      </c>
      <c r="AM550">
        <f t="shared" si="121"/>
        <v>0</v>
      </c>
      <c r="AN550">
        <f t="shared" si="121"/>
        <v>0</v>
      </c>
      <c r="AO550">
        <f t="shared" si="121"/>
        <v>0</v>
      </c>
      <c r="AP550">
        <f t="shared" si="121"/>
        <v>0</v>
      </c>
      <c r="AQ550">
        <f t="shared" si="121"/>
        <v>0</v>
      </c>
      <c r="AR550">
        <f t="shared" si="121"/>
        <v>0</v>
      </c>
    </row>
    <row r="551" spans="5:44" x14ac:dyDescent="0.2">
      <c r="E551" s="1">
        <f>moment_rate!$AC551</f>
        <v>7.4493433161470389E-3</v>
      </c>
      <c r="F551" s="1">
        <f t="shared" si="115"/>
        <v>0</v>
      </c>
      <c r="G551">
        <f>moment_rate!I551-0.005</f>
        <v>5.4399999999999284</v>
      </c>
      <c r="H551" s="1">
        <f t="shared" si="116"/>
        <v>0</v>
      </c>
      <c r="I551">
        <f t="shared" si="122"/>
        <v>0</v>
      </c>
      <c r="J551">
        <f t="shared" si="122"/>
        <v>0</v>
      </c>
      <c r="K551">
        <f t="shared" si="122"/>
        <v>0</v>
      </c>
      <c r="L551">
        <f t="shared" si="122"/>
        <v>0</v>
      </c>
      <c r="M551">
        <f t="shared" si="122"/>
        <v>0</v>
      </c>
      <c r="N551">
        <f t="shared" si="122"/>
        <v>0</v>
      </c>
      <c r="O551">
        <f t="shared" si="122"/>
        <v>0</v>
      </c>
      <c r="P551">
        <f t="shared" si="122"/>
        <v>0</v>
      </c>
      <c r="Q551">
        <f t="shared" si="122"/>
        <v>0</v>
      </c>
      <c r="R551">
        <f t="shared" si="122"/>
        <v>0</v>
      </c>
      <c r="S551">
        <f t="shared" si="122"/>
        <v>0</v>
      </c>
      <c r="T551">
        <f t="shared" si="122"/>
        <v>0</v>
      </c>
      <c r="U551">
        <f t="shared" si="122"/>
        <v>0</v>
      </c>
      <c r="V551">
        <f t="shared" si="122"/>
        <v>0</v>
      </c>
      <c r="W551">
        <f t="shared" si="122"/>
        <v>0</v>
      </c>
      <c r="X551">
        <f t="shared" si="122"/>
        <v>0</v>
      </c>
      <c r="Y551">
        <f t="shared" si="120"/>
        <v>0</v>
      </c>
      <c r="Z551">
        <f t="shared" si="120"/>
        <v>0</v>
      </c>
      <c r="AA551">
        <f t="shared" si="120"/>
        <v>0</v>
      </c>
      <c r="AB551">
        <f t="shared" si="120"/>
        <v>0</v>
      </c>
      <c r="AC551">
        <f t="shared" si="120"/>
        <v>0</v>
      </c>
      <c r="AD551">
        <f t="shared" si="120"/>
        <v>0</v>
      </c>
      <c r="AE551">
        <f t="shared" si="120"/>
        <v>0</v>
      </c>
      <c r="AF551">
        <f t="shared" si="120"/>
        <v>0</v>
      </c>
      <c r="AG551">
        <f t="shared" si="120"/>
        <v>0</v>
      </c>
      <c r="AH551">
        <f t="shared" si="120"/>
        <v>0</v>
      </c>
      <c r="AI551">
        <f t="shared" si="120"/>
        <v>0</v>
      </c>
      <c r="AJ551">
        <f t="shared" si="120"/>
        <v>0</v>
      </c>
      <c r="AK551">
        <f t="shared" si="121"/>
        <v>0</v>
      </c>
      <c r="AL551">
        <f t="shared" si="121"/>
        <v>0</v>
      </c>
      <c r="AM551">
        <f t="shared" si="121"/>
        <v>0</v>
      </c>
      <c r="AN551">
        <f t="shared" si="121"/>
        <v>0</v>
      </c>
      <c r="AO551">
        <f t="shared" si="121"/>
        <v>0</v>
      </c>
      <c r="AP551">
        <f t="shared" si="121"/>
        <v>0</v>
      </c>
      <c r="AQ551">
        <f t="shared" si="121"/>
        <v>0</v>
      </c>
      <c r="AR551">
        <f t="shared" si="121"/>
        <v>0</v>
      </c>
    </row>
    <row r="552" spans="5:44" x14ac:dyDescent="0.2">
      <c r="E552" s="1">
        <f>moment_rate!$AC552</f>
        <v>7.4493433161470389E-3</v>
      </c>
      <c r="F552" s="1">
        <f t="shared" si="115"/>
        <v>0</v>
      </c>
      <c r="G552">
        <f>moment_rate!I552-0.005</f>
        <v>5.4499999999999282</v>
      </c>
      <c r="H552" s="1">
        <f t="shared" si="116"/>
        <v>0</v>
      </c>
      <c r="I552">
        <f t="shared" si="122"/>
        <v>0</v>
      </c>
      <c r="J552">
        <f t="shared" si="122"/>
        <v>0</v>
      </c>
      <c r="K552">
        <f t="shared" si="122"/>
        <v>0</v>
      </c>
      <c r="L552">
        <f t="shared" si="122"/>
        <v>0</v>
      </c>
      <c r="M552">
        <f t="shared" si="122"/>
        <v>0</v>
      </c>
      <c r="N552">
        <f t="shared" si="122"/>
        <v>0</v>
      </c>
      <c r="O552">
        <f t="shared" si="122"/>
        <v>0</v>
      </c>
      <c r="P552">
        <f t="shared" si="122"/>
        <v>0</v>
      </c>
      <c r="Q552">
        <f t="shared" si="122"/>
        <v>0</v>
      </c>
      <c r="R552">
        <f t="shared" si="122"/>
        <v>0</v>
      </c>
      <c r="S552">
        <f t="shared" si="122"/>
        <v>0</v>
      </c>
      <c r="T552">
        <f t="shared" si="122"/>
        <v>0</v>
      </c>
      <c r="U552">
        <f t="shared" si="122"/>
        <v>0</v>
      </c>
      <c r="V552">
        <f t="shared" si="122"/>
        <v>0</v>
      </c>
      <c r="W552">
        <f t="shared" si="122"/>
        <v>0</v>
      </c>
      <c r="X552">
        <f t="shared" si="122"/>
        <v>0</v>
      </c>
      <c r="Y552">
        <f t="shared" si="120"/>
        <v>0</v>
      </c>
      <c r="Z552">
        <f t="shared" si="120"/>
        <v>0</v>
      </c>
      <c r="AA552">
        <f t="shared" si="120"/>
        <v>0</v>
      </c>
      <c r="AB552">
        <f t="shared" si="120"/>
        <v>0</v>
      </c>
      <c r="AC552">
        <f t="shared" si="120"/>
        <v>0</v>
      </c>
      <c r="AD552">
        <f t="shared" si="120"/>
        <v>0</v>
      </c>
      <c r="AE552">
        <f t="shared" si="120"/>
        <v>0</v>
      </c>
      <c r="AF552">
        <f t="shared" si="120"/>
        <v>0</v>
      </c>
      <c r="AG552">
        <f t="shared" si="120"/>
        <v>0</v>
      </c>
      <c r="AH552">
        <f t="shared" si="120"/>
        <v>0</v>
      </c>
      <c r="AI552">
        <f t="shared" si="120"/>
        <v>0</v>
      </c>
      <c r="AJ552">
        <f t="shared" si="120"/>
        <v>0</v>
      </c>
      <c r="AK552">
        <f t="shared" si="121"/>
        <v>0</v>
      </c>
      <c r="AL552">
        <f t="shared" si="121"/>
        <v>0</v>
      </c>
      <c r="AM552">
        <f t="shared" si="121"/>
        <v>0</v>
      </c>
      <c r="AN552">
        <f t="shared" si="121"/>
        <v>0</v>
      </c>
      <c r="AO552">
        <f t="shared" si="121"/>
        <v>0</v>
      </c>
      <c r="AP552">
        <f t="shared" si="121"/>
        <v>0</v>
      </c>
      <c r="AQ552">
        <f t="shared" si="121"/>
        <v>0</v>
      </c>
      <c r="AR552">
        <f t="shared" si="121"/>
        <v>0</v>
      </c>
    </row>
    <row r="553" spans="5:44" x14ac:dyDescent="0.2">
      <c r="E553" s="1">
        <f>moment_rate!$AC553</f>
        <v>7.4493433161470389E-3</v>
      </c>
      <c r="F553" s="1">
        <f t="shared" si="115"/>
        <v>0</v>
      </c>
      <c r="G553">
        <f>moment_rate!I553-0.005</f>
        <v>5.459999999999928</v>
      </c>
      <c r="H553" s="1">
        <f t="shared" si="116"/>
        <v>0</v>
      </c>
      <c r="I553">
        <f t="shared" si="122"/>
        <v>0</v>
      </c>
      <c r="J553">
        <f t="shared" si="122"/>
        <v>0</v>
      </c>
      <c r="K553">
        <f t="shared" si="122"/>
        <v>0</v>
      </c>
      <c r="L553">
        <f t="shared" si="122"/>
        <v>0</v>
      </c>
      <c r="M553">
        <f t="shared" si="122"/>
        <v>0</v>
      </c>
      <c r="N553">
        <f t="shared" si="122"/>
        <v>0</v>
      </c>
      <c r="O553">
        <f t="shared" si="122"/>
        <v>0</v>
      </c>
      <c r="P553">
        <f t="shared" si="122"/>
        <v>0</v>
      </c>
      <c r="Q553">
        <f t="shared" si="122"/>
        <v>0</v>
      </c>
      <c r="R553">
        <f t="shared" si="122"/>
        <v>0</v>
      </c>
      <c r="S553">
        <f t="shared" si="122"/>
        <v>0</v>
      </c>
      <c r="T553">
        <f t="shared" si="122"/>
        <v>0</v>
      </c>
      <c r="U553">
        <f t="shared" si="122"/>
        <v>0</v>
      </c>
      <c r="V553">
        <f t="shared" si="122"/>
        <v>0</v>
      </c>
      <c r="W553">
        <f t="shared" si="122"/>
        <v>0</v>
      </c>
      <c r="X553">
        <f t="shared" si="122"/>
        <v>0</v>
      </c>
      <c r="Y553">
        <f t="shared" si="120"/>
        <v>0</v>
      </c>
      <c r="Z553">
        <f t="shared" si="120"/>
        <v>0</v>
      </c>
      <c r="AA553">
        <f t="shared" si="120"/>
        <v>0</v>
      </c>
      <c r="AB553">
        <f t="shared" si="120"/>
        <v>0</v>
      </c>
      <c r="AC553">
        <f t="shared" si="120"/>
        <v>0</v>
      </c>
      <c r="AD553">
        <f t="shared" si="120"/>
        <v>0</v>
      </c>
      <c r="AE553">
        <f t="shared" si="120"/>
        <v>0</v>
      </c>
      <c r="AF553">
        <f t="shared" si="120"/>
        <v>0</v>
      </c>
      <c r="AG553">
        <f t="shared" si="120"/>
        <v>0</v>
      </c>
      <c r="AH553">
        <f t="shared" si="120"/>
        <v>0</v>
      </c>
      <c r="AI553">
        <f t="shared" si="120"/>
        <v>0</v>
      </c>
      <c r="AJ553">
        <f t="shared" si="120"/>
        <v>0</v>
      </c>
      <c r="AK553">
        <f t="shared" si="121"/>
        <v>0</v>
      </c>
      <c r="AL553">
        <f t="shared" si="121"/>
        <v>0</v>
      </c>
      <c r="AM553">
        <f t="shared" si="121"/>
        <v>0</v>
      </c>
      <c r="AN553">
        <f t="shared" si="121"/>
        <v>0</v>
      </c>
      <c r="AO553">
        <f t="shared" si="121"/>
        <v>0</v>
      </c>
      <c r="AP553">
        <f t="shared" si="121"/>
        <v>0</v>
      </c>
      <c r="AQ553">
        <f t="shared" si="121"/>
        <v>0</v>
      </c>
      <c r="AR553">
        <f t="shared" si="121"/>
        <v>0</v>
      </c>
    </row>
    <row r="554" spans="5:44" x14ac:dyDescent="0.2">
      <c r="E554" s="1">
        <f>moment_rate!$AC554</f>
        <v>7.4493433161470389E-3</v>
      </c>
      <c r="F554" s="1">
        <f t="shared" si="115"/>
        <v>0</v>
      </c>
      <c r="G554">
        <f>moment_rate!I554-0.005</f>
        <v>5.4699999999999278</v>
      </c>
      <c r="H554" s="1">
        <f t="shared" si="116"/>
        <v>0</v>
      </c>
      <c r="I554">
        <f t="shared" si="122"/>
        <v>0</v>
      </c>
      <c r="J554">
        <f t="shared" si="122"/>
        <v>0</v>
      </c>
      <c r="K554">
        <f t="shared" si="122"/>
        <v>0</v>
      </c>
      <c r="L554">
        <f t="shared" si="122"/>
        <v>0</v>
      </c>
      <c r="M554">
        <f t="shared" si="122"/>
        <v>0</v>
      </c>
      <c r="N554">
        <f t="shared" si="122"/>
        <v>0</v>
      </c>
      <c r="O554">
        <f t="shared" si="122"/>
        <v>0</v>
      </c>
      <c r="P554">
        <f t="shared" si="122"/>
        <v>0</v>
      </c>
      <c r="Q554">
        <f t="shared" si="122"/>
        <v>0</v>
      </c>
      <c r="R554">
        <f t="shared" si="122"/>
        <v>0</v>
      </c>
      <c r="S554">
        <f t="shared" si="122"/>
        <v>0</v>
      </c>
      <c r="T554">
        <f t="shared" si="122"/>
        <v>0</v>
      </c>
      <c r="U554">
        <f t="shared" si="122"/>
        <v>0</v>
      </c>
      <c r="V554">
        <f t="shared" si="122"/>
        <v>0</v>
      </c>
      <c r="W554">
        <f t="shared" si="122"/>
        <v>0</v>
      </c>
      <c r="X554">
        <f t="shared" ref="X554:AM569" si="123">IF(AND($G554&gt;=X$3,$G554&lt;X$4),$F554,0)</f>
        <v>0</v>
      </c>
      <c r="Y554">
        <f t="shared" si="123"/>
        <v>0</v>
      </c>
      <c r="Z554">
        <f t="shared" si="123"/>
        <v>0</v>
      </c>
      <c r="AA554">
        <f t="shared" si="123"/>
        <v>0</v>
      </c>
      <c r="AB554">
        <f t="shared" si="123"/>
        <v>0</v>
      </c>
      <c r="AC554">
        <f t="shared" si="123"/>
        <v>0</v>
      </c>
      <c r="AD554">
        <f t="shared" si="123"/>
        <v>0</v>
      </c>
      <c r="AE554">
        <f t="shared" si="123"/>
        <v>0</v>
      </c>
      <c r="AF554">
        <f t="shared" si="123"/>
        <v>0</v>
      </c>
      <c r="AG554">
        <f t="shared" si="123"/>
        <v>0</v>
      </c>
      <c r="AH554">
        <f t="shared" si="123"/>
        <v>0</v>
      </c>
      <c r="AI554">
        <f t="shared" si="123"/>
        <v>0</v>
      </c>
      <c r="AJ554">
        <f t="shared" si="123"/>
        <v>0</v>
      </c>
      <c r="AK554">
        <f t="shared" si="123"/>
        <v>0</v>
      </c>
      <c r="AL554">
        <f t="shared" si="123"/>
        <v>0</v>
      </c>
      <c r="AM554">
        <f t="shared" si="123"/>
        <v>0</v>
      </c>
      <c r="AN554">
        <f t="shared" si="121"/>
        <v>0</v>
      </c>
      <c r="AO554">
        <f t="shared" si="121"/>
        <v>0</v>
      </c>
      <c r="AP554">
        <f t="shared" si="121"/>
        <v>0</v>
      </c>
      <c r="AQ554">
        <f t="shared" si="121"/>
        <v>0</v>
      </c>
      <c r="AR554">
        <f t="shared" si="121"/>
        <v>0</v>
      </c>
    </row>
    <row r="555" spans="5:44" x14ac:dyDescent="0.2">
      <c r="E555" s="1">
        <f>moment_rate!$AC555</f>
        <v>7.4493433161470389E-3</v>
      </c>
      <c r="F555" s="1">
        <f t="shared" si="115"/>
        <v>0</v>
      </c>
      <c r="G555">
        <f>moment_rate!I555-0.005</f>
        <v>5.4799999999999276</v>
      </c>
      <c r="H555" s="1">
        <f t="shared" si="116"/>
        <v>0</v>
      </c>
      <c r="I555">
        <f t="shared" ref="I555:X570" si="124">IF(AND($G555&gt;=I$3,$G555&lt;I$4),$F555,0)</f>
        <v>0</v>
      </c>
      <c r="J555">
        <f t="shared" si="124"/>
        <v>0</v>
      </c>
      <c r="K555">
        <f t="shared" si="124"/>
        <v>0</v>
      </c>
      <c r="L555">
        <f t="shared" si="124"/>
        <v>0</v>
      </c>
      <c r="M555">
        <f t="shared" si="124"/>
        <v>0</v>
      </c>
      <c r="N555">
        <f t="shared" si="124"/>
        <v>0</v>
      </c>
      <c r="O555">
        <f t="shared" si="124"/>
        <v>0</v>
      </c>
      <c r="P555">
        <f t="shared" si="124"/>
        <v>0</v>
      </c>
      <c r="Q555">
        <f t="shared" si="124"/>
        <v>0</v>
      </c>
      <c r="R555">
        <f t="shared" si="124"/>
        <v>0</v>
      </c>
      <c r="S555">
        <f t="shared" si="124"/>
        <v>0</v>
      </c>
      <c r="T555">
        <f t="shared" si="124"/>
        <v>0</v>
      </c>
      <c r="U555">
        <f t="shared" si="124"/>
        <v>0</v>
      </c>
      <c r="V555">
        <f t="shared" si="124"/>
        <v>0</v>
      </c>
      <c r="W555">
        <f t="shared" si="124"/>
        <v>0</v>
      </c>
      <c r="X555">
        <f t="shared" si="124"/>
        <v>0</v>
      </c>
      <c r="Y555">
        <f t="shared" si="123"/>
        <v>0</v>
      </c>
      <c r="Z555">
        <f t="shared" si="123"/>
        <v>0</v>
      </c>
      <c r="AA555">
        <f t="shared" si="123"/>
        <v>0</v>
      </c>
      <c r="AB555">
        <f t="shared" si="123"/>
        <v>0</v>
      </c>
      <c r="AC555">
        <f t="shared" si="123"/>
        <v>0</v>
      </c>
      <c r="AD555">
        <f t="shared" si="123"/>
        <v>0</v>
      </c>
      <c r="AE555">
        <f t="shared" si="123"/>
        <v>0</v>
      </c>
      <c r="AF555">
        <f t="shared" si="123"/>
        <v>0</v>
      </c>
      <c r="AG555">
        <f t="shared" si="123"/>
        <v>0</v>
      </c>
      <c r="AH555">
        <f t="shared" si="123"/>
        <v>0</v>
      </c>
      <c r="AI555">
        <f t="shared" si="123"/>
        <v>0</v>
      </c>
      <c r="AJ555">
        <f t="shared" si="123"/>
        <v>0</v>
      </c>
      <c r="AK555">
        <f t="shared" si="123"/>
        <v>0</v>
      </c>
      <c r="AL555">
        <f t="shared" si="123"/>
        <v>0</v>
      </c>
      <c r="AM555">
        <f t="shared" si="123"/>
        <v>0</v>
      </c>
      <c r="AN555">
        <f t="shared" si="121"/>
        <v>0</v>
      </c>
      <c r="AO555">
        <f t="shared" si="121"/>
        <v>0</v>
      </c>
      <c r="AP555">
        <f t="shared" si="121"/>
        <v>0</v>
      </c>
      <c r="AQ555">
        <f t="shared" si="121"/>
        <v>0</v>
      </c>
      <c r="AR555">
        <f t="shared" si="121"/>
        <v>0</v>
      </c>
    </row>
    <row r="556" spans="5:44" x14ac:dyDescent="0.2">
      <c r="E556" s="1">
        <f>moment_rate!$AC556</f>
        <v>7.4493433161470389E-3</v>
      </c>
      <c r="F556" s="1">
        <f t="shared" si="115"/>
        <v>0</v>
      </c>
      <c r="G556">
        <f>moment_rate!I556-0.005</f>
        <v>5.4899999999999274</v>
      </c>
      <c r="H556" s="1">
        <f t="shared" si="116"/>
        <v>0</v>
      </c>
      <c r="I556">
        <f t="shared" si="124"/>
        <v>0</v>
      </c>
      <c r="J556">
        <f t="shared" si="124"/>
        <v>0</v>
      </c>
      <c r="K556">
        <f t="shared" si="124"/>
        <v>0</v>
      </c>
      <c r="L556">
        <f t="shared" si="124"/>
        <v>0</v>
      </c>
      <c r="M556">
        <f t="shared" si="124"/>
        <v>0</v>
      </c>
      <c r="N556">
        <f t="shared" si="124"/>
        <v>0</v>
      </c>
      <c r="O556">
        <f t="shared" si="124"/>
        <v>0</v>
      </c>
      <c r="P556">
        <f t="shared" si="124"/>
        <v>0</v>
      </c>
      <c r="Q556">
        <f t="shared" si="124"/>
        <v>0</v>
      </c>
      <c r="R556">
        <f t="shared" si="124"/>
        <v>0</v>
      </c>
      <c r="S556">
        <f t="shared" si="124"/>
        <v>0</v>
      </c>
      <c r="T556">
        <f t="shared" si="124"/>
        <v>0</v>
      </c>
      <c r="U556">
        <f t="shared" si="124"/>
        <v>0</v>
      </c>
      <c r="V556">
        <f t="shared" si="124"/>
        <v>0</v>
      </c>
      <c r="W556">
        <f t="shared" si="124"/>
        <v>0</v>
      </c>
      <c r="X556">
        <f t="shared" si="124"/>
        <v>0</v>
      </c>
      <c r="Y556">
        <f t="shared" si="123"/>
        <v>0</v>
      </c>
      <c r="Z556">
        <f t="shared" si="123"/>
        <v>0</v>
      </c>
      <c r="AA556">
        <f t="shared" si="123"/>
        <v>0</v>
      </c>
      <c r="AB556">
        <f t="shared" si="123"/>
        <v>0</v>
      </c>
      <c r="AC556">
        <f t="shared" si="123"/>
        <v>0</v>
      </c>
      <c r="AD556">
        <f t="shared" si="123"/>
        <v>0</v>
      </c>
      <c r="AE556">
        <f t="shared" si="123"/>
        <v>0</v>
      </c>
      <c r="AF556">
        <f t="shared" si="123"/>
        <v>0</v>
      </c>
      <c r="AG556">
        <f t="shared" si="123"/>
        <v>0</v>
      </c>
      <c r="AH556">
        <f t="shared" si="123"/>
        <v>0</v>
      </c>
      <c r="AI556">
        <f t="shared" si="123"/>
        <v>0</v>
      </c>
      <c r="AJ556">
        <f t="shared" si="123"/>
        <v>0</v>
      </c>
      <c r="AK556">
        <f t="shared" si="123"/>
        <v>0</v>
      </c>
      <c r="AL556">
        <f t="shared" si="123"/>
        <v>0</v>
      </c>
      <c r="AM556">
        <f t="shared" si="123"/>
        <v>0</v>
      </c>
      <c r="AN556">
        <f t="shared" si="121"/>
        <v>0</v>
      </c>
      <c r="AO556">
        <f t="shared" si="121"/>
        <v>0</v>
      </c>
      <c r="AP556">
        <f t="shared" si="121"/>
        <v>0</v>
      </c>
      <c r="AQ556">
        <f t="shared" si="121"/>
        <v>0</v>
      </c>
      <c r="AR556">
        <f t="shared" si="121"/>
        <v>0</v>
      </c>
    </row>
    <row r="557" spans="5:44" x14ac:dyDescent="0.2">
      <c r="E557" s="1">
        <f>moment_rate!$AC557</f>
        <v>7.4493433161470389E-3</v>
      </c>
      <c r="F557" s="1">
        <f t="shared" si="115"/>
        <v>0</v>
      </c>
      <c r="G557">
        <f>moment_rate!I557-0.005</f>
        <v>5.4999999999999272</v>
      </c>
      <c r="H557" s="1">
        <f t="shared" si="116"/>
        <v>0</v>
      </c>
      <c r="I557">
        <f t="shared" si="124"/>
        <v>0</v>
      </c>
      <c r="J557">
        <f t="shared" si="124"/>
        <v>0</v>
      </c>
      <c r="K557">
        <f t="shared" si="124"/>
        <v>0</v>
      </c>
      <c r="L557">
        <f t="shared" si="124"/>
        <v>0</v>
      </c>
      <c r="M557">
        <f t="shared" si="124"/>
        <v>0</v>
      </c>
      <c r="N557">
        <f t="shared" si="124"/>
        <v>0</v>
      </c>
      <c r="O557">
        <f t="shared" si="124"/>
        <v>0</v>
      </c>
      <c r="P557">
        <f t="shared" si="124"/>
        <v>0</v>
      </c>
      <c r="Q557">
        <f t="shared" si="124"/>
        <v>0</v>
      </c>
      <c r="R557">
        <f t="shared" si="124"/>
        <v>0</v>
      </c>
      <c r="S557">
        <f t="shared" si="124"/>
        <v>0</v>
      </c>
      <c r="T557">
        <f t="shared" si="124"/>
        <v>0</v>
      </c>
      <c r="U557">
        <f t="shared" si="124"/>
        <v>0</v>
      </c>
      <c r="V557">
        <f t="shared" si="124"/>
        <v>0</v>
      </c>
      <c r="W557">
        <f t="shared" si="124"/>
        <v>0</v>
      </c>
      <c r="X557">
        <f t="shared" si="124"/>
        <v>0</v>
      </c>
      <c r="Y557">
        <f t="shared" si="123"/>
        <v>0</v>
      </c>
      <c r="Z557">
        <f t="shared" si="123"/>
        <v>0</v>
      </c>
      <c r="AA557">
        <f t="shared" si="123"/>
        <v>0</v>
      </c>
      <c r="AB557">
        <f t="shared" si="123"/>
        <v>0</v>
      </c>
      <c r="AC557">
        <f t="shared" si="123"/>
        <v>0</v>
      </c>
      <c r="AD557">
        <f t="shared" si="123"/>
        <v>0</v>
      </c>
      <c r="AE557">
        <f t="shared" si="123"/>
        <v>0</v>
      </c>
      <c r="AF557">
        <f t="shared" si="123"/>
        <v>0</v>
      </c>
      <c r="AG557">
        <f t="shared" si="123"/>
        <v>0</v>
      </c>
      <c r="AH557">
        <f t="shared" si="123"/>
        <v>0</v>
      </c>
      <c r="AI557">
        <f t="shared" si="123"/>
        <v>0</v>
      </c>
      <c r="AJ557">
        <f t="shared" si="123"/>
        <v>0</v>
      </c>
      <c r="AK557">
        <f t="shared" si="123"/>
        <v>0</v>
      </c>
      <c r="AL557">
        <f t="shared" si="123"/>
        <v>0</v>
      </c>
      <c r="AM557">
        <f t="shared" si="123"/>
        <v>0</v>
      </c>
      <c r="AN557">
        <f t="shared" si="121"/>
        <v>0</v>
      </c>
      <c r="AO557">
        <f t="shared" si="121"/>
        <v>0</v>
      </c>
      <c r="AP557">
        <f t="shared" si="121"/>
        <v>0</v>
      </c>
      <c r="AQ557">
        <f t="shared" si="121"/>
        <v>0</v>
      </c>
      <c r="AR557">
        <f t="shared" si="121"/>
        <v>0</v>
      </c>
    </row>
    <row r="558" spans="5:44" x14ac:dyDescent="0.2">
      <c r="E558" s="1">
        <f>moment_rate!$AC558</f>
        <v>7.4493433161470389E-3</v>
      </c>
      <c r="F558" s="1">
        <f t="shared" si="115"/>
        <v>0</v>
      </c>
      <c r="G558">
        <f>moment_rate!I558-0.005</f>
        <v>5.509999999999927</v>
      </c>
      <c r="H558" s="1">
        <f t="shared" si="116"/>
        <v>0</v>
      </c>
      <c r="I558">
        <f t="shared" si="124"/>
        <v>0</v>
      </c>
      <c r="J558">
        <f t="shared" si="124"/>
        <v>0</v>
      </c>
      <c r="K558">
        <f t="shared" si="124"/>
        <v>0</v>
      </c>
      <c r="L558">
        <f t="shared" si="124"/>
        <v>0</v>
      </c>
      <c r="M558">
        <f t="shared" si="124"/>
        <v>0</v>
      </c>
      <c r="N558">
        <f t="shared" si="124"/>
        <v>0</v>
      </c>
      <c r="O558">
        <f t="shared" si="124"/>
        <v>0</v>
      </c>
      <c r="P558">
        <f t="shared" si="124"/>
        <v>0</v>
      </c>
      <c r="Q558">
        <f t="shared" si="124"/>
        <v>0</v>
      </c>
      <c r="R558">
        <f t="shared" si="124"/>
        <v>0</v>
      </c>
      <c r="S558">
        <f t="shared" si="124"/>
        <v>0</v>
      </c>
      <c r="T558">
        <f t="shared" si="124"/>
        <v>0</v>
      </c>
      <c r="U558">
        <f t="shared" si="124"/>
        <v>0</v>
      </c>
      <c r="V558">
        <f t="shared" si="124"/>
        <v>0</v>
      </c>
      <c r="W558">
        <f t="shared" si="124"/>
        <v>0</v>
      </c>
      <c r="X558">
        <f t="shared" si="124"/>
        <v>0</v>
      </c>
      <c r="Y558">
        <f t="shared" si="123"/>
        <v>0</v>
      </c>
      <c r="Z558">
        <f t="shared" si="123"/>
        <v>0</v>
      </c>
      <c r="AA558">
        <f t="shared" si="123"/>
        <v>0</v>
      </c>
      <c r="AB558">
        <f t="shared" si="123"/>
        <v>0</v>
      </c>
      <c r="AC558">
        <f t="shared" si="123"/>
        <v>0</v>
      </c>
      <c r="AD558">
        <f t="shared" si="123"/>
        <v>0</v>
      </c>
      <c r="AE558">
        <f t="shared" si="123"/>
        <v>0</v>
      </c>
      <c r="AF558">
        <f t="shared" si="123"/>
        <v>0</v>
      </c>
      <c r="AG558">
        <f t="shared" si="123"/>
        <v>0</v>
      </c>
      <c r="AH558">
        <f t="shared" si="123"/>
        <v>0</v>
      </c>
      <c r="AI558">
        <f t="shared" si="123"/>
        <v>0</v>
      </c>
      <c r="AJ558">
        <f t="shared" si="123"/>
        <v>0</v>
      </c>
      <c r="AK558">
        <f t="shared" si="123"/>
        <v>0</v>
      </c>
      <c r="AL558">
        <f t="shared" si="123"/>
        <v>0</v>
      </c>
      <c r="AM558">
        <f t="shared" si="123"/>
        <v>0</v>
      </c>
      <c r="AN558">
        <f t="shared" si="121"/>
        <v>0</v>
      </c>
      <c r="AO558">
        <f t="shared" si="121"/>
        <v>0</v>
      </c>
      <c r="AP558">
        <f t="shared" si="121"/>
        <v>0</v>
      </c>
      <c r="AQ558">
        <f t="shared" si="121"/>
        <v>0</v>
      </c>
      <c r="AR558">
        <f t="shared" si="121"/>
        <v>0</v>
      </c>
    </row>
    <row r="559" spans="5:44" x14ac:dyDescent="0.2">
      <c r="E559" s="1">
        <f>moment_rate!$AC559</f>
        <v>7.4493433161470389E-3</v>
      </c>
      <c r="F559" s="1">
        <f t="shared" si="115"/>
        <v>0</v>
      </c>
      <c r="G559">
        <f>moment_rate!I559-0.005</f>
        <v>5.5199999999999267</v>
      </c>
      <c r="H559" s="1">
        <f t="shared" si="116"/>
        <v>0</v>
      </c>
      <c r="I559">
        <f t="shared" si="124"/>
        <v>0</v>
      </c>
      <c r="J559">
        <f t="shared" si="124"/>
        <v>0</v>
      </c>
      <c r="K559">
        <f t="shared" si="124"/>
        <v>0</v>
      </c>
      <c r="L559">
        <f t="shared" si="124"/>
        <v>0</v>
      </c>
      <c r="M559">
        <f t="shared" si="124"/>
        <v>0</v>
      </c>
      <c r="N559">
        <f t="shared" si="124"/>
        <v>0</v>
      </c>
      <c r="O559">
        <f t="shared" si="124"/>
        <v>0</v>
      </c>
      <c r="P559">
        <f t="shared" si="124"/>
        <v>0</v>
      </c>
      <c r="Q559">
        <f t="shared" si="124"/>
        <v>0</v>
      </c>
      <c r="R559">
        <f t="shared" si="124"/>
        <v>0</v>
      </c>
      <c r="S559">
        <f t="shared" si="124"/>
        <v>0</v>
      </c>
      <c r="T559">
        <f t="shared" si="124"/>
        <v>0</v>
      </c>
      <c r="U559">
        <f t="shared" si="124"/>
        <v>0</v>
      </c>
      <c r="V559">
        <f t="shared" si="124"/>
        <v>0</v>
      </c>
      <c r="W559">
        <f t="shared" si="124"/>
        <v>0</v>
      </c>
      <c r="X559">
        <f t="shared" si="124"/>
        <v>0</v>
      </c>
      <c r="Y559">
        <f t="shared" si="123"/>
        <v>0</v>
      </c>
      <c r="Z559">
        <f t="shared" si="123"/>
        <v>0</v>
      </c>
      <c r="AA559">
        <f t="shared" si="123"/>
        <v>0</v>
      </c>
      <c r="AB559">
        <f t="shared" si="123"/>
        <v>0</v>
      </c>
      <c r="AC559">
        <f t="shared" si="123"/>
        <v>0</v>
      </c>
      <c r="AD559">
        <f t="shared" si="123"/>
        <v>0</v>
      </c>
      <c r="AE559">
        <f t="shared" si="123"/>
        <v>0</v>
      </c>
      <c r="AF559">
        <f t="shared" si="123"/>
        <v>0</v>
      </c>
      <c r="AG559">
        <f t="shared" si="123"/>
        <v>0</v>
      </c>
      <c r="AH559">
        <f t="shared" si="123"/>
        <v>0</v>
      </c>
      <c r="AI559">
        <f t="shared" si="123"/>
        <v>0</v>
      </c>
      <c r="AJ559">
        <f t="shared" si="123"/>
        <v>0</v>
      </c>
      <c r="AK559">
        <f t="shared" si="123"/>
        <v>0</v>
      </c>
      <c r="AL559">
        <f t="shared" si="123"/>
        <v>0</v>
      </c>
      <c r="AM559">
        <f t="shared" si="123"/>
        <v>0</v>
      </c>
      <c r="AN559">
        <f t="shared" si="121"/>
        <v>0</v>
      </c>
      <c r="AO559">
        <f t="shared" si="121"/>
        <v>0</v>
      </c>
      <c r="AP559">
        <f t="shared" si="121"/>
        <v>0</v>
      </c>
      <c r="AQ559">
        <f t="shared" si="121"/>
        <v>0</v>
      </c>
      <c r="AR559">
        <f t="shared" si="121"/>
        <v>0</v>
      </c>
    </row>
    <row r="560" spans="5:44" x14ac:dyDescent="0.2">
      <c r="E560" s="1">
        <f>moment_rate!$AC560</f>
        <v>7.4493433161470389E-3</v>
      </c>
      <c r="F560" s="1">
        <f t="shared" si="115"/>
        <v>0</v>
      </c>
      <c r="G560">
        <f>moment_rate!I560-0.005</f>
        <v>5.5299999999999265</v>
      </c>
      <c r="H560" s="1">
        <f t="shared" si="116"/>
        <v>0</v>
      </c>
      <c r="I560">
        <f t="shared" si="124"/>
        <v>0</v>
      </c>
      <c r="J560">
        <f t="shared" si="124"/>
        <v>0</v>
      </c>
      <c r="K560">
        <f t="shared" si="124"/>
        <v>0</v>
      </c>
      <c r="L560">
        <f t="shared" si="124"/>
        <v>0</v>
      </c>
      <c r="M560">
        <f t="shared" si="124"/>
        <v>0</v>
      </c>
      <c r="N560">
        <f t="shared" si="124"/>
        <v>0</v>
      </c>
      <c r="O560">
        <f t="shared" si="124"/>
        <v>0</v>
      </c>
      <c r="P560">
        <f t="shared" si="124"/>
        <v>0</v>
      </c>
      <c r="Q560">
        <f t="shared" si="124"/>
        <v>0</v>
      </c>
      <c r="R560">
        <f t="shared" si="124"/>
        <v>0</v>
      </c>
      <c r="S560">
        <f t="shared" si="124"/>
        <v>0</v>
      </c>
      <c r="T560">
        <f t="shared" si="124"/>
        <v>0</v>
      </c>
      <c r="U560">
        <f t="shared" si="124"/>
        <v>0</v>
      </c>
      <c r="V560">
        <f t="shared" si="124"/>
        <v>0</v>
      </c>
      <c r="W560">
        <f t="shared" si="124"/>
        <v>0</v>
      </c>
      <c r="X560">
        <f t="shared" si="124"/>
        <v>0</v>
      </c>
      <c r="Y560">
        <f t="shared" si="123"/>
        <v>0</v>
      </c>
      <c r="Z560">
        <f t="shared" si="123"/>
        <v>0</v>
      </c>
      <c r="AA560">
        <f t="shared" si="123"/>
        <v>0</v>
      </c>
      <c r="AB560">
        <f t="shared" si="123"/>
        <v>0</v>
      </c>
      <c r="AC560">
        <f t="shared" si="123"/>
        <v>0</v>
      </c>
      <c r="AD560">
        <f t="shared" si="123"/>
        <v>0</v>
      </c>
      <c r="AE560">
        <f t="shared" si="123"/>
        <v>0</v>
      </c>
      <c r="AF560">
        <f t="shared" si="123"/>
        <v>0</v>
      </c>
      <c r="AG560">
        <f t="shared" si="123"/>
        <v>0</v>
      </c>
      <c r="AH560">
        <f t="shared" si="123"/>
        <v>0</v>
      </c>
      <c r="AI560">
        <f t="shared" si="123"/>
        <v>0</v>
      </c>
      <c r="AJ560">
        <f t="shared" si="123"/>
        <v>0</v>
      </c>
      <c r="AK560">
        <f t="shared" si="123"/>
        <v>0</v>
      </c>
      <c r="AL560">
        <f t="shared" si="123"/>
        <v>0</v>
      </c>
      <c r="AM560">
        <f t="shared" si="123"/>
        <v>0</v>
      </c>
      <c r="AN560">
        <f t="shared" si="121"/>
        <v>0</v>
      </c>
      <c r="AO560">
        <f t="shared" si="121"/>
        <v>0</v>
      </c>
      <c r="AP560">
        <f t="shared" si="121"/>
        <v>0</v>
      </c>
      <c r="AQ560">
        <f t="shared" si="121"/>
        <v>0</v>
      </c>
      <c r="AR560">
        <f t="shared" si="121"/>
        <v>0</v>
      </c>
    </row>
    <row r="561" spans="5:44" x14ac:dyDescent="0.2">
      <c r="E561" s="1">
        <f>moment_rate!$AC561</f>
        <v>7.4493433161470389E-3</v>
      </c>
      <c r="F561" s="1">
        <f t="shared" si="115"/>
        <v>0</v>
      </c>
      <c r="G561">
        <f>moment_rate!I561-0.005</f>
        <v>5.5399999999999263</v>
      </c>
      <c r="H561" s="1">
        <f t="shared" si="116"/>
        <v>0</v>
      </c>
      <c r="I561">
        <f t="shared" si="124"/>
        <v>0</v>
      </c>
      <c r="J561">
        <f t="shared" si="124"/>
        <v>0</v>
      </c>
      <c r="K561">
        <f t="shared" si="124"/>
        <v>0</v>
      </c>
      <c r="L561">
        <f t="shared" si="124"/>
        <v>0</v>
      </c>
      <c r="M561">
        <f t="shared" si="124"/>
        <v>0</v>
      </c>
      <c r="N561">
        <f t="shared" si="124"/>
        <v>0</v>
      </c>
      <c r="O561">
        <f t="shared" si="124"/>
        <v>0</v>
      </c>
      <c r="P561">
        <f t="shared" si="124"/>
        <v>0</v>
      </c>
      <c r="Q561">
        <f t="shared" si="124"/>
        <v>0</v>
      </c>
      <c r="R561">
        <f t="shared" si="124"/>
        <v>0</v>
      </c>
      <c r="S561">
        <f t="shared" si="124"/>
        <v>0</v>
      </c>
      <c r="T561">
        <f t="shared" si="124"/>
        <v>0</v>
      </c>
      <c r="U561">
        <f t="shared" si="124"/>
        <v>0</v>
      </c>
      <c r="V561">
        <f t="shared" si="124"/>
        <v>0</v>
      </c>
      <c r="W561">
        <f t="shared" si="124"/>
        <v>0</v>
      </c>
      <c r="X561">
        <f t="shared" si="124"/>
        <v>0</v>
      </c>
      <c r="Y561">
        <f t="shared" si="123"/>
        <v>0</v>
      </c>
      <c r="Z561">
        <f t="shared" si="123"/>
        <v>0</v>
      </c>
      <c r="AA561">
        <f t="shared" si="123"/>
        <v>0</v>
      </c>
      <c r="AB561">
        <f t="shared" si="123"/>
        <v>0</v>
      </c>
      <c r="AC561">
        <f t="shared" si="123"/>
        <v>0</v>
      </c>
      <c r="AD561">
        <f t="shared" si="123"/>
        <v>0</v>
      </c>
      <c r="AE561">
        <f t="shared" si="123"/>
        <v>0</v>
      </c>
      <c r="AF561">
        <f t="shared" si="123"/>
        <v>0</v>
      </c>
      <c r="AG561">
        <f t="shared" si="123"/>
        <v>0</v>
      </c>
      <c r="AH561">
        <f t="shared" si="123"/>
        <v>0</v>
      </c>
      <c r="AI561">
        <f t="shared" si="123"/>
        <v>0</v>
      </c>
      <c r="AJ561">
        <f t="shared" si="123"/>
        <v>0</v>
      </c>
      <c r="AK561">
        <f t="shared" si="123"/>
        <v>0</v>
      </c>
      <c r="AL561">
        <f t="shared" si="123"/>
        <v>0</v>
      </c>
      <c r="AM561">
        <f t="shared" si="123"/>
        <v>0</v>
      </c>
      <c r="AN561">
        <f t="shared" si="121"/>
        <v>0</v>
      </c>
      <c r="AO561">
        <f t="shared" si="121"/>
        <v>0</v>
      </c>
      <c r="AP561">
        <f t="shared" si="121"/>
        <v>0</v>
      </c>
      <c r="AQ561">
        <f t="shared" si="121"/>
        <v>0</v>
      </c>
      <c r="AR561">
        <f t="shared" si="121"/>
        <v>0</v>
      </c>
    </row>
    <row r="562" spans="5:44" x14ac:dyDescent="0.2">
      <c r="E562" s="1">
        <f>moment_rate!$AC562</f>
        <v>7.4493433161470389E-3</v>
      </c>
      <c r="F562" s="1">
        <f t="shared" si="115"/>
        <v>0</v>
      </c>
      <c r="G562">
        <f>moment_rate!I562-0.005</f>
        <v>5.5499999999999261</v>
      </c>
      <c r="H562" s="1">
        <f t="shared" si="116"/>
        <v>0</v>
      </c>
      <c r="I562">
        <f t="shared" si="124"/>
        <v>0</v>
      </c>
      <c r="J562">
        <f t="shared" si="124"/>
        <v>0</v>
      </c>
      <c r="K562">
        <f t="shared" si="124"/>
        <v>0</v>
      </c>
      <c r="L562">
        <f t="shared" si="124"/>
        <v>0</v>
      </c>
      <c r="M562">
        <f t="shared" si="124"/>
        <v>0</v>
      </c>
      <c r="N562">
        <f t="shared" si="124"/>
        <v>0</v>
      </c>
      <c r="O562">
        <f t="shared" si="124"/>
        <v>0</v>
      </c>
      <c r="P562">
        <f t="shared" si="124"/>
        <v>0</v>
      </c>
      <c r="Q562">
        <f t="shared" si="124"/>
        <v>0</v>
      </c>
      <c r="R562">
        <f t="shared" si="124"/>
        <v>0</v>
      </c>
      <c r="S562">
        <f t="shared" si="124"/>
        <v>0</v>
      </c>
      <c r="T562">
        <f t="shared" si="124"/>
        <v>0</v>
      </c>
      <c r="U562">
        <f t="shared" si="124"/>
        <v>0</v>
      </c>
      <c r="V562">
        <f t="shared" si="124"/>
        <v>0</v>
      </c>
      <c r="W562">
        <f t="shared" si="124"/>
        <v>0</v>
      </c>
      <c r="X562">
        <f t="shared" si="124"/>
        <v>0</v>
      </c>
      <c r="Y562">
        <f t="shared" si="123"/>
        <v>0</v>
      </c>
      <c r="Z562">
        <f t="shared" si="123"/>
        <v>0</v>
      </c>
      <c r="AA562">
        <f t="shared" si="123"/>
        <v>0</v>
      </c>
      <c r="AB562">
        <f t="shared" si="123"/>
        <v>0</v>
      </c>
      <c r="AC562">
        <f t="shared" si="123"/>
        <v>0</v>
      </c>
      <c r="AD562">
        <f t="shared" si="123"/>
        <v>0</v>
      </c>
      <c r="AE562">
        <f t="shared" si="123"/>
        <v>0</v>
      </c>
      <c r="AF562">
        <f t="shared" si="123"/>
        <v>0</v>
      </c>
      <c r="AG562">
        <f t="shared" si="123"/>
        <v>0</v>
      </c>
      <c r="AH562">
        <f t="shared" si="123"/>
        <v>0</v>
      </c>
      <c r="AI562">
        <f t="shared" si="123"/>
        <v>0</v>
      </c>
      <c r="AJ562">
        <f t="shared" si="123"/>
        <v>0</v>
      </c>
      <c r="AK562">
        <f t="shared" si="123"/>
        <v>0</v>
      </c>
      <c r="AL562">
        <f t="shared" si="123"/>
        <v>0</v>
      </c>
      <c r="AM562">
        <f t="shared" si="123"/>
        <v>0</v>
      </c>
      <c r="AN562">
        <f t="shared" ref="AI562:AR601" si="125">IF(AND($G562&gt;=AN$3,$G562&lt;AN$4),$F562,0)</f>
        <v>0</v>
      </c>
      <c r="AO562">
        <f t="shared" si="125"/>
        <v>0</v>
      </c>
      <c r="AP562">
        <f t="shared" si="125"/>
        <v>0</v>
      </c>
      <c r="AQ562">
        <f t="shared" si="125"/>
        <v>0</v>
      </c>
      <c r="AR562">
        <f t="shared" si="125"/>
        <v>0</v>
      </c>
    </row>
    <row r="563" spans="5:44" x14ac:dyDescent="0.2">
      <c r="E563" s="1">
        <f>moment_rate!$AC563</f>
        <v>7.4493433161470389E-3</v>
      </c>
      <c r="F563" s="1">
        <f t="shared" si="115"/>
        <v>0</v>
      </c>
      <c r="G563">
        <f>moment_rate!I563-0.005</f>
        <v>5.5599999999999259</v>
      </c>
      <c r="H563" s="1">
        <f t="shared" si="116"/>
        <v>0</v>
      </c>
      <c r="I563">
        <f t="shared" si="124"/>
        <v>0</v>
      </c>
      <c r="J563">
        <f t="shared" si="124"/>
        <v>0</v>
      </c>
      <c r="K563">
        <f t="shared" si="124"/>
        <v>0</v>
      </c>
      <c r="L563">
        <f t="shared" si="124"/>
        <v>0</v>
      </c>
      <c r="M563">
        <f t="shared" si="124"/>
        <v>0</v>
      </c>
      <c r="N563">
        <f t="shared" si="124"/>
        <v>0</v>
      </c>
      <c r="O563">
        <f t="shared" si="124"/>
        <v>0</v>
      </c>
      <c r="P563">
        <f t="shared" si="124"/>
        <v>0</v>
      </c>
      <c r="Q563">
        <f t="shared" si="124"/>
        <v>0</v>
      </c>
      <c r="R563">
        <f t="shared" si="124"/>
        <v>0</v>
      </c>
      <c r="S563">
        <f t="shared" si="124"/>
        <v>0</v>
      </c>
      <c r="T563">
        <f t="shared" si="124"/>
        <v>0</v>
      </c>
      <c r="U563">
        <f t="shared" si="124"/>
        <v>0</v>
      </c>
      <c r="V563">
        <f t="shared" si="124"/>
        <v>0</v>
      </c>
      <c r="W563">
        <f t="shared" si="124"/>
        <v>0</v>
      </c>
      <c r="X563">
        <f t="shared" si="124"/>
        <v>0</v>
      </c>
      <c r="Y563">
        <f t="shared" si="123"/>
        <v>0</v>
      </c>
      <c r="Z563">
        <f t="shared" si="123"/>
        <v>0</v>
      </c>
      <c r="AA563">
        <f t="shared" si="123"/>
        <v>0</v>
      </c>
      <c r="AB563">
        <f t="shared" si="123"/>
        <v>0</v>
      </c>
      <c r="AC563">
        <f t="shared" si="123"/>
        <v>0</v>
      </c>
      <c r="AD563">
        <f t="shared" si="123"/>
        <v>0</v>
      </c>
      <c r="AE563">
        <f t="shared" si="123"/>
        <v>0</v>
      </c>
      <c r="AF563">
        <f t="shared" si="123"/>
        <v>0</v>
      </c>
      <c r="AG563">
        <f t="shared" si="123"/>
        <v>0</v>
      </c>
      <c r="AH563">
        <f t="shared" si="123"/>
        <v>0</v>
      </c>
      <c r="AI563">
        <f t="shared" si="125"/>
        <v>0</v>
      </c>
      <c r="AJ563">
        <f t="shared" si="125"/>
        <v>0</v>
      </c>
      <c r="AK563">
        <f t="shared" si="125"/>
        <v>0</v>
      </c>
      <c r="AL563">
        <f t="shared" si="125"/>
        <v>0</v>
      </c>
      <c r="AM563">
        <f t="shared" si="125"/>
        <v>0</v>
      </c>
      <c r="AN563">
        <f t="shared" si="125"/>
        <v>0</v>
      </c>
      <c r="AO563">
        <f t="shared" si="125"/>
        <v>0</v>
      </c>
      <c r="AP563">
        <f t="shared" si="125"/>
        <v>0</v>
      </c>
      <c r="AQ563">
        <f t="shared" si="125"/>
        <v>0</v>
      </c>
      <c r="AR563">
        <f t="shared" si="125"/>
        <v>0</v>
      </c>
    </row>
    <row r="564" spans="5:44" x14ac:dyDescent="0.2">
      <c r="E564" s="1">
        <f>moment_rate!$AC564</f>
        <v>7.4493433161470389E-3</v>
      </c>
      <c r="F564" s="1">
        <f t="shared" si="115"/>
        <v>0</v>
      </c>
      <c r="G564">
        <f>moment_rate!I564-0.005</f>
        <v>5.5699999999999257</v>
      </c>
      <c r="H564" s="1">
        <f t="shared" si="116"/>
        <v>0</v>
      </c>
      <c r="I564">
        <f t="shared" si="124"/>
        <v>0</v>
      </c>
      <c r="J564">
        <f t="shared" si="124"/>
        <v>0</v>
      </c>
      <c r="K564">
        <f t="shared" si="124"/>
        <v>0</v>
      </c>
      <c r="L564">
        <f t="shared" si="124"/>
        <v>0</v>
      </c>
      <c r="M564">
        <f t="shared" si="124"/>
        <v>0</v>
      </c>
      <c r="N564">
        <f t="shared" si="124"/>
        <v>0</v>
      </c>
      <c r="O564">
        <f t="shared" si="124"/>
        <v>0</v>
      </c>
      <c r="P564">
        <f t="shared" si="124"/>
        <v>0</v>
      </c>
      <c r="Q564">
        <f t="shared" si="124"/>
        <v>0</v>
      </c>
      <c r="R564">
        <f t="shared" si="124"/>
        <v>0</v>
      </c>
      <c r="S564">
        <f t="shared" si="124"/>
        <v>0</v>
      </c>
      <c r="T564">
        <f t="shared" si="124"/>
        <v>0</v>
      </c>
      <c r="U564">
        <f t="shared" si="124"/>
        <v>0</v>
      </c>
      <c r="V564">
        <f t="shared" si="124"/>
        <v>0</v>
      </c>
      <c r="W564">
        <f t="shared" si="124"/>
        <v>0</v>
      </c>
      <c r="X564">
        <f t="shared" si="124"/>
        <v>0</v>
      </c>
      <c r="Y564">
        <f t="shared" si="123"/>
        <v>0</v>
      </c>
      <c r="Z564">
        <f t="shared" si="123"/>
        <v>0</v>
      </c>
      <c r="AA564">
        <f t="shared" si="123"/>
        <v>0</v>
      </c>
      <c r="AB564">
        <f t="shared" si="123"/>
        <v>0</v>
      </c>
      <c r="AC564">
        <f t="shared" si="123"/>
        <v>0</v>
      </c>
      <c r="AD564">
        <f t="shared" si="123"/>
        <v>0</v>
      </c>
      <c r="AE564">
        <f t="shared" si="123"/>
        <v>0</v>
      </c>
      <c r="AF564">
        <f t="shared" si="123"/>
        <v>0</v>
      </c>
      <c r="AG564">
        <f t="shared" si="123"/>
        <v>0</v>
      </c>
      <c r="AH564">
        <f t="shared" si="123"/>
        <v>0</v>
      </c>
      <c r="AI564">
        <f t="shared" si="125"/>
        <v>0</v>
      </c>
      <c r="AJ564">
        <f t="shared" si="125"/>
        <v>0</v>
      </c>
      <c r="AK564">
        <f t="shared" si="125"/>
        <v>0</v>
      </c>
      <c r="AL564">
        <f t="shared" si="125"/>
        <v>0</v>
      </c>
      <c r="AM564">
        <f t="shared" si="125"/>
        <v>0</v>
      </c>
      <c r="AN564">
        <f t="shared" si="125"/>
        <v>0</v>
      </c>
      <c r="AO564">
        <f t="shared" si="125"/>
        <v>0</v>
      </c>
      <c r="AP564">
        <f t="shared" si="125"/>
        <v>0</v>
      </c>
      <c r="AQ564">
        <f t="shared" si="125"/>
        <v>0</v>
      </c>
      <c r="AR564">
        <f t="shared" si="125"/>
        <v>0</v>
      </c>
    </row>
    <row r="565" spans="5:44" x14ac:dyDescent="0.2">
      <c r="E565" s="1">
        <f>moment_rate!$AC565</f>
        <v>7.4493433161470389E-3</v>
      </c>
      <c r="F565" s="1">
        <f t="shared" si="115"/>
        <v>0</v>
      </c>
      <c r="G565">
        <f>moment_rate!I565-0.005</f>
        <v>5.5799999999999255</v>
      </c>
      <c r="H565" s="1">
        <f t="shared" si="116"/>
        <v>0</v>
      </c>
      <c r="I565">
        <f t="shared" si="124"/>
        <v>0</v>
      </c>
      <c r="J565">
        <f t="shared" si="124"/>
        <v>0</v>
      </c>
      <c r="K565">
        <f t="shared" si="124"/>
        <v>0</v>
      </c>
      <c r="L565">
        <f t="shared" si="124"/>
        <v>0</v>
      </c>
      <c r="M565">
        <f t="shared" si="124"/>
        <v>0</v>
      </c>
      <c r="N565">
        <f t="shared" si="124"/>
        <v>0</v>
      </c>
      <c r="O565">
        <f t="shared" si="124"/>
        <v>0</v>
      </c>
      <c r="P565">
        <f t="shared" si="124"/>
        <v>0</v>
      </c>
      <c r="Q565">
        <f t="shared" si="124"/>
        <v>0</v>
      </c>
      <c r="R565">
        <f t="shared" si="124"/>
        <v>0</v>
      </c>
      <c r="S565">
        <f t="shared" si="124"/>
        <v>0</v>
      </c>
      <c r="T565">
        <f t="shared" si="124"/>
        <v>0</v>
      </c>
      <c r="U565">
        <f t="shared" si="124"/>
        <v>0</v>
      </c>
      <c r="V565">
        <f t="shared" si="124"/>
        <v>0</v>
      </c>
      <c r="W565">
        <f t="shared" si="124"/>
        <v>0</v>
      </c>
      <c r="X565">
        <f t="shared" si="124"/>
        <v>0</v>
      </c>
      <c r="Y565">
        <f t="shared" si="123"/>
        <v>0</v>
      </c>
      <c r="Z565">
        <f t="shared" si="123"/>
        <v>0</v>
      </c>
      <c r="AA565">
        <f t="shared" si="123"/>
        <v>0</v>
      </c>
      <c r="AB565">
        <f t="shared" si="123"/>
        <v>0</v>
      </c>
      <c r="AC565">
        <f t="shared" si="123"/>
        <v>0</v>
      </c>
      <c r="AD565">
        <f t="shared" si="123"/>
        <v>0</v>
      </c>
      <c r="AE565">
        <f t="shared" si="123"/>
        <v>0</v>
      </c>
      <c r="AF565">
        <f t="shared" si="123"/>
        <v>0</v>
      </c>
      <c r="AG565">
        <f t="shared" si="123"/>
        <v>0</v>
      </c>
      <c r="AH565">
        <f t="shared" si="123"/>
        <v>0</v>
      </c>
      <c r="AI565">
        <f t="shared" si="125"/>
        <v>0</v>
      </c>
      <c r="AJ565">
        <f t="shared" si="125"/>
        <v>0</v>
      </c>
      <c r="AK565">
        <f t="shared" si="125"/>
        <v>0</v>
      </c>
      <c r="AL565">
        <f t="shared" si="125"/>
        <v>0</v>
      </c>
      <c r="AM565">
        <f t="shared" si="125"/>
        <v>0</v>
      </c>
      <c r="AN565">
        <f t="shared" si="125"/>
        <v>0</v>
      </c>
      <c r="AO565">
        <f t="shared" si="125"/>
        <v>0</v>
      </c>
      <c r="AP565">
        <f t="shared" si="125"/>
        <v>0</v>
      </c>
      <c r="AQ565">
        <f t="shared" si="125"/>
        <v>0</v>
      </c>
      <c r="AR565">
        <f t="shared" si="125"/>
        <v>0</v>
      </c>
    </row>
    <row r="566" spans="5:44" x14ac:dyDescent="0.2">
      <c r="E566" s="1">
        <f>moment_rate!$AC566</f>
        <v>7.4493433161470389E-3</v>
      </c>
      <c r="F566" s="1">
        <f t="shared" si="115"/>
        <v>0</v>
      </c>
      <c r="G566">
        <f>moment_rate!I566-0.005</f>
        <v>5.5899999999999253</v>
      </c>
      <c r="H566" s="1">
        <f t="shared" si="116"/>
        <v>0</v>
      </c>
      <c r="I566">
        <f t="shared" si="124"/>
        <v>0</v>
      </c>
      <c r="J566">
        <f t="shared" si="124"/>
        <v>0</v>
      </c>
      <c r="K566">
        <f t="shared" si="124"/>
        <v>0</v>
      </c>
      <c r="L566">
        <f t="shared" si="124"/>
        <v>0</v>
      </c>
      <c r="M566">
        <f t="shared" si="124"/>
        <v>0</v>
      </c>
      <c r="N566">
        <f t="shared" si="124"/>
        <v>0</v>
      </c>
      <c r="O566">
        <f t="shared" si="124"/>
        <v>0</v>
      </c>
      <c r="P566">
        <f t="shared" si="124"/>
        <v>0</v>
      </c>
      <c r="Q566">
        <f t="shared" si="124"/>
        <v>0</v>
      </c>
      <c r="R566">
        <f t="shared" si="124"/>
        <v>0</v>
      </c>
      <c r="S566">
        <f t="shared" si="124"/>
        <v>0</v>
      </c>
      <c r="T566">
        <f t="shared" si="124"/>
        <v>0</v>
      </c>
      <c r="U566">
        <f t="shared" si="124"/>
        <v>0</v>
      </c>
      <c r="V566">
        <f t="shared" si="124"/>
        <v>0</v>
      </c>
      <c r="W566">
        <f t="shared" si="124"/>
        <v>0</v>
      </c>
      <c r="X566">
        <f t="shared" si="124"/>
        <v>0</v>
      </c>
      <c r="Y566">
        <f t="shared" si="123"/>
        <v>0</v>
      </c>
      <c r="Z566">
        <f t="shared" si="123"/>
        <v>0</v>
      </c>
      <c r="AA566">
        <f t="shared" si="123"/>
        <v>0</v>
      </c>
      <c r="AB566">
        <f t="shared" si="123"/>
        <v>0</v>
      </c>
      <c r="AC566">
        <f t="shared" si="123"/>
        <v>0</v>
      </c>
      <c r="AD566">
        <f t="shared" si="123"/>
        <v>0</v>
      </c>
      <c r="AE566">
        <f t="shared" si="123"/>
        <v>0</v>
      </c>
      <c r="AF566">
        <f t="shared" si="123"/>
        <v>0</v>
      </c>
      <c r="AG566">
        <f t="shared" si="123"/>
        <v>0</v>
      </c>
      <c r="AH566">
        <f t="shared" si="123"/>
        <v>0</v>
      </c>
      <c r="AI566">
        <f t="shared" si="125"/>
        <v>0</v>
      </c>
      <c r="AJ566">
        <f t="shared" si="125"/>
        <v>0</v>
      </c>
      <c r="AK566">
        <f t="shared" si="125"/>
        <v>0</v>
      </c>
      <c r="AL566">
        <f t="shared" si="125"/>
        <v>0</v>
      </c>
      <c r="AM566">
        <f t="shared" si="125"/>
        <v>0</v>
      </c>
      <c r="AN566">
        <f t="shared" si="125"/>
        <v>0</v>
      </c>
      <c r="AO566">
        <f t="shared" si="125"/>
        <v>0</v>
      </c>
      <c r="AP566">
        <f t="shared" si="125"/>
        <v>0</v>
      </c>
      <c r="AQ566">
        <f t="shared" si="125"/>
        <v>0</v>
      </c>
      <c r="AR566">
        <f t="shared" si="125"/>
        <v>0</v>
      </c>
    </row>
    <row r="567" spans="5:44" x14ac:dyDescent="0.2">
      <c r="E567" s="1">
        <f>moment_rate!$AC567</f>
        <v>7.4493433161470389E-3</v>
      </c>
      <c r="F567" s="1">
        <f t="shared" si="115"/>
        <v>0</v>
      </c>
      <c r="G567">
        <f>moment_rate!I567-0.005</f>
        <v>5.599999999999925</v>
      </c>
      <c r="H567" s="1">
        <f t="shared" si="116"/>
        <v>0</v>
      </c>
      <c r="I567">
        <f t="shared" si="124"/>
        <v>0</v>
      </c>
      <c r="J567">
        <f t="shared" si="124"/>
        <v>0</v>
      </c>
      <c r="K567">
        <f t="shared" si="124"/>
        <v>0</v>
      </c>
      <c r="L567">
        <f t="shared" si="124"/>
        <v>0</v>
      </c>
      <c r="M567">
        <f t="shared" si="124"/>
        <v>0</v>
      </c>
      <c r="N567">
        <f t="shared" si="124"/>
        <v>0</v>
      </c>
      <c r="O567">
        <f t="shared" si="124"/>
        <v>0</v>
      </c>
      <c r="P567">
        <f t="shared" si="124"/>
        <v>0</v>
      </c>
      <c r="Q567">
        <f t="shared" si="124"/>
        <v>0</v>
      </c>
      <c r="R567">
        <f t="shared" si="124"/>
        <v>0</v>
      </c>
      <c r="S567">
        <f t="shared" si="124"/>
        <v>0</v>
      </c>
      <c r="T567">
        <f t="shared" si="124"/>
        <v>0</v>
      </c>
      <c r="U567">
        <f t="shared" si="124"/>
        <v>0</v>
      </c>
      <c r="V567">
        <f t="shared" si="124"/>
        <v>0</v>
      </c>
      <c r="W567">
        <f t="shared" si="124"/>
        <v>0</v>
      </c>
      <c r="X567">
        <f t="shared" si="124"/>
        <v>0</v>
      </c>
      <c r="Y567">
        <f t="shared" si="123"/>
        <v>0</v>
      </c>
      <c r="Z567">
        <f t="shared" si="123"/>
        <v>0</v>
      </c>
      <c r="AA567">
        <f t="shared" si="123"/>
        <v>0</v>
      </c>
      <c r="AB567">
        <f t="shared" si="123"/>
        <v>0</v>
      </c>
      <c r="AC567">
        <f t="shared" si="123"/>
        <v>0</v>
      </c>
      <c r="AD567">
        <f t="shared" si="123"/>
        <v>0</v>
      </c>
      <c r="AE567">
        <f t="shared" si="123"/>
        <v>0</v>
      </c>
      <c r="AF567">
        <f t="shared" si="123"/>
        <v>0</v>
      </c>
      <c r="AG567">
        <f t="shared" si="123"/>
        <v>0</v>
      </c>
      <c r="AH567">
        <f t="shared" si="123"/>
        <v>0</v>
      </c>
      <c r="AI567">
        <f t="shared" si="125"/>
        <v>0</v>
      </c>
      <c r="AJ567">
        <f t="shared" si="125"/>
        <v>0</v>
      </c>
      <c r="AK567">
        <f t="shared" si="125"/>
        <v>0</v>
      </c>
      <c r="AL567">
        <f t="shared" si="125"/>
        <v>0</v>
      </c>
      <c r="AM567">
        <f t="shared" si="125"/>
        <v>0</v>
      </c>
      <c r="AN567">
        <f t="shared" si="125"/>
        <v>0</v>
      </c>
      <c r="AO567">
        <f t="shared" si="125"/>
        <v>0</v>
      </c>
      <c r="AP567">
        <f t="shared" si="125"/>
        <v>0</v>
      </c>
      <c r="AQ567">
        <f t="shared" si="125"/>
        <v>0</v>
      </c>
      <c r="AR567">
        <f t="shared" si="125"/>
        <v>0</v>
      </c>
    </row>
    <row r="568" spans="5:44" x14ac:dyDescent="0.2">
      <c r="E568" s="1">
        <f>moment_rate!$AC568</f>
        <v>7.4493433161470389E-3</v>
      </c>
      <c r="F568" s="1">
        <f t="shared" si="115"/>
        <v>0</v>
      </c>
      <c r="G568">
        <f>moment_rate!I568-0.005</f>
        <v>5.6099999999999248</v>
      </c>
      <c r="H568" s="1">
        <f t="shared" si="116"/>
        <v>0</v>
      </c>
      <c r="I568">
        <f t="shared" si="124"/>
        <v>0</v>
      </c>
      <c r="J568">
        <f t="shared" si="124"/>
        <v>0</v>
      </c>
      <c r="K568">
        <f t="shared" si="124"/>
        <v>0</v>
      </c>
      <c r="L568">
        <f t="shared" si="124"/>
        <v>0</v>
      </c>
      <c r="M568">
        <f t="shared" si="124"/>
        <v>0</v>
      </c>
      <c r="N568">
        <f t="shared" si="124"/>
        <v>0</v>
      </c>
      <c r="O568">
        <f t="shared" si="124"/>
        <v>0</v>
      </c>
      <c r="P568">
        <f t="shared" si="124"/>
        <v>0</v>
      </c>
      <c r="Q568">
        <f t="shared" si="124"/>
        <v>0</v>
      </c>
      <c r="R568">
        <f t="shared" si="124"/>
        <v>0</v>
      </c>
      <c r="S568">
        <f t="shared" si="124"/>
        <v>0</v>
      </c>
      <c r="T568">
        <f t="shared" si="124"/>
        <v>0</v>
      </c>
      <c r="U568">
        <f t="shared" si="124"/>
        <v>0</v>
      </c>
      <c r="V568">
        <f t="shared" si="124"/>
        <v>0</v>
      </c>
      <c r="W568">
        <f t="shared" si="124"/>
        <v>0</v>
      </c>
      <c r="X568">
        <f t="shared" si="124"/>
        <v>0</v>
      </c>
      <c r="Y568">
        <f t="shared" si="123"/>
        <v>0</v>
      </c>
      <c r="Z568">
        <f t="shared" si="123"/>
        <v>0</v>
      </c>
      <c r="AA568">
        <f t="shared" si="123"/>
        <v>0</v>
      </c>
      <c r="AB568">
        <f t="shared" si="123"/>
        <v>0</v>
      </c>
      <c r="AC568">
        <f t="shared" si="123"/>
        <v>0</v>
      </c>
      <c r="AD568">
        <f t="shared" si="123"/>
        <v>0</v>
      </c>
      <c r="AE568">
        <f t="shared" si="123"/>
        <v>0</v>
      </c>
      <c r="AF568">
        <f t="shared" si="123"/>
        <v>0</v>
      </c>
      <c r="AG568">
        <f t="shared" si="123"/>
        <v>0</v>
      </c>
      <c r="AH568">
        <f t="shared" si="123"/>
        <v>0</v>
      </c>
      <c r="AI568">
        <f t="shared" si="125"/>
        <v>0</v>
      </c>
      <c r="AJ568">
        <f t="shared" si="125"/>
        <v>0</v>
      </c>
      <c r="AK568">
        <f t="shared" si="125"/>
        <v>0</v>
      </c>
      <c r="AL568">
        <f t="shared" si="125"/>
        <v>0</v>
      </c>
      <c r="AM568">
        <f t="shared" si="125"/>
        <v>0</v>
      </c>
      <c r="AN568">
        <f t="shared" si="125"/>
        <v>0</v>
      </c>
      <c r="AO568">
        <f t="shared" si="125"/>
        <v>0</v>
      </c>
      <c r="AP568">
        <f t="shared" si="125"/>
        <v>0</v>
      </c>
      <c r="AQ568">
        <f t="shared" si="125"/>
        <v>0</v>
      </c>
      <c r="AR568">
        <f t="shared" si="125"/>
        <v>0</v>
      </c>
    </row>
    <row r="569" spans="5:44" x14ac:dyDescent="0.2">
      <c r="E569" s="1">
        <f>moment_rate!$AC569</f>
        <v>7.4493433161470389E-3</v>
      </c>
      <c r="F569" s="1">
        <f t="shared" si="115"/>
        <v>0</v>
      </c>
      <c r="G569">
        <f>moment_rate!I569-0.005</f>
        <v>5.6199999999999246</v>
      </c>
      <c r="H569" s="1">
        <f t="shared" si="116"/>
        <v>0</v>
      </c>
      <c r="I569">
        <f t="shared" si="124"/>
        <v>0</v>
      </c>
      <c r="J569">
        <f t="shared" si="124"/>
        <v>0</v>
      </c>
      <c r="K569">
        <f t="shared" si="124"/>
        <v>0</v>
      </c>
      <c r="L569">
        <f t="shared" si="124"/>
        <v>0</v>
      </c>
      <c r="M569">
        <f t="shared" si="124"/>
        <v>0</v>
      </c>
      <c r="N569">
        <f t="shared" si="124"/>
        <v>0</v>
      </c>
      <c r="O569">
        <f t="shared" si="124"/>
        <v>0</v>
      </c>
      <c r="P569">
        <f t="shared" si="124"/>
        <v>0</v>
      </c>
      <c r="Q569">
        <f t="shared" si="124"/>
        <v>0</v>
      </c>
      <c r="R569">
        <f t="shared" si="124"/>
        <v>0</v>
      </c>
      <c r="S569">
        <f t="shared" si="124"/>
        <v>0</v>
      </c>
      <c r="T569">
        <f t="shared" si="124"/>
        <v>0</v>
      </c>
      <c r="U569">
        <f t="shared" si="124"/>
        <v>0</v>
      </c>
      <c r="V569">
        <f t="shared" si="124"/>
        <v>0</v>
      </c>
      <c r="W569">
        <f t="shared" si="124"/>
        <v>0</v>
      </c>
      <c r="X569">
        <f t="shared" si="124"/>
        <v>0</v>
      </c>
      <c r="Y569">
        <f t="shared" si="123"/>
        <v>0</v>
      </c>
      <c r="Z569">
        <f t="shared" si="123"/>
        <v>0</v>
      </c>
      <c r="AA569">
        <f t="shared" si="123"/>
        <v>0</v>
      </c>
      <c r="AB569">
        <f t="shared" si="123"/>
        <v>0</v>
      </c>
      <c r="AC569">
        <f t="shared" si="123"/>
        <v>0</v>
      </c>
      <c r="AD569">
        <f t="shared" si="123"/>
        <v>0</v>
      </c>
      <c r="AE569">
        <f t="shared" si="123"/>
        <v>0</v>
      </c>
      <c r="AF569">
        <f t="shared" si="123"/>
        <v>0</v>
      </c>
      <c r="AG569">
        <f t="shared" si="123"/>
        <v>0</v>
      </c>
      <c r="AH569">
        <f t="shared" si="123"/>
        <v>0</v>
      </c>
      <c r="AI569">
        <f t="shared" si="123"/>
        <v>0</v>
      </c>
      <c r="AJ569">
        <f t="shared" si="123"/>
        <v>0</v>
      </c>
      <c r="AK569">
        <f t="shared" si="123"/>
        <v>0</v>
      </c>
      <c r="AL569">
        <f t="shared" si="123"/>
        <v>0</v>
      </c>
      <c r="AM569">
        <f t="shared" si="123"/>
        <v>0</v>
      </c>
      <c r="AN569">
        <f t="shared" si="125"/>
        <v>0</v>
      </c>
      <c r="AO569">
        <f t="shared" si="125"/>
        <v>0</v>
      </c>
      <c r="AP569">
        <f t="shared" si="125"/>
        <v>0</v>
      </c>
      <c r="AQ569">
        <f t="shared" si="125"/>
        <v>0</v>
      </c>
      <c r="AR569">
        <f t="shared" si="125"/>
        <v>0</v>
      </c>
    </row>
    <row r="570" spans="5:44" x14ac:dyDescent="0.2">
      <c r="E570" s="1">
        <f>moment_rate!$AC570</f>
        <v>7.4493433161470389E-3</v>
      </c>
      <c r="F570" s="1">
        <f t="shared" si="115"/>
        <v>0</v>
      </c>
      <c r="G570">
        <f>moment_rate!I570-0.005</f>
        <v>5.6299999999999244</v>
      </c>
      <c r="H570" s="1">
        <f t="shared" si="116"/>
        <v>0</v>
      </c>
      <c r="I570">
        <f t="shared" si="124"/>
        <v>0</v>
      </c>
      <c r="J570">
        <f t="shared" si="124"/>
        <v>0</v>
      </c>
      <c r="K570">
        <f t="shared" si="124"/>
        <v>0</v>
      </c>
      <c r="L570">
        <f t="shared" si="124"/>
        <v>0</v>
      </c>
      <c r="M570">
        <f t="shared" si="124"/>
        <v>0</v>
      </c>
      <c r="N570">
        <f t="shared" si="124"/>
        <v>0</v>
      </c>
      <c r="O570">
        <f t="shared" si="124"/>
        <v>0</v>
      </c>
      <c r="P570">
        <f t="shared" si="124"/>
        <v>0</v>
      </c>
      <c r="Q570">
        <f t="shared" si="124"/>
        <v>0</v>
      </c>
      <c r="R570">
        <f t="shared" si="124"/>
        <v>0</v>
      </c>
      <c r="S570">
        <f t="shared" si="124"/>
        <v>0</v>
      </c>
      <c r="T570">
        <f t="shared" si="124"/>
        <v>0</v>
      </c>
      <c r="U570">
        <f t="shared" si="124"/>
        <v>0</v>
      </c>
      <c r="V570">
        <f t="shared" si="124"/>
        <v>0</v>
      </c>
      <c r="W570">
        <f t="shared" si="124"/>
        <v>0</v>
      </c>
      <c r="X570">
        <f t="shared" ref="X570:AM585" si="126">IF(AND($G570&gt;=X$3,$G570&lt;X$4),$F570,0)</f>
        <v>0</v>
      </c>
      <c r="Y570">
        <f t="shared" si="126"/>
        <v>0</v>
      </c>
      <c r="Z570">
        <f t="shared" si="126"/>
        <v>0</v>
      </c>
      <c r="AA570">
        <f t="shared" si="126"/>
        <v>0</v>
      </c>
      <c r="AB570">
        <f t="shared" si="126"/>
        <v>0</v>
      </c>
      <c r="AC570">
        <f t="shared" si="126"/>
        <v>0</v>
      </c>
      <c r="AD570">
        <f t="shared" si="126"/>
        <v>0</v>
      </c>
      <c r="AE570">
        <f t="shared" si="126"/>
        <v>0</v>
      </c>
      <c r="AF570">
        <f t="shared" si="126"/>
        <v>0</v>
      </c>
      <c r="AG570">
        <f t="shared" si="126"/>
        <v>0</v>
      </c>
      <c r="AH570">
        <f t="shared" si="126"/>
        <v>0</v>
      </c>
      <c r="AI570">
        <f t="shared" si="126"/>
        <v>0</v>
      </c>
      <c r="AJ570">
        <f t="shared" si="126"/>
        <v>0</v>
      </c>
      <c r="AK570">
        <f t="shared" si="126"/>
        <v>0</v>
      </c>
      <c r="AL570">
        <f t="shared" si="126"/>
        <v>0</v>
      </c>
      <c r="AM570">
        <f t="shared" si="126"/>
        <v>0</v>
      </c>
      <c r="AN570">
        <f t="shared" si="125"/>
        <v>0</v>
      </c>
      <c r="AO570">
        <f t="shared" si="125"/>
        <v>0</v>
      </c>
      <c r="AP570">
        <f t="shared" si="125"/>
        <v>0</v>
      </c>
      <c r="AQ570">
        <f t="shared" si="125"/>
        <v>0</v>
      </c>
      <c r="AR570">
        <f t="shared" si="125"/>
        <v>0</v>
      </c>
    </row>
    <row r="571" spans="5:44" x14ac:dyDescent="0.2">
      <c r="E571" s="1">
        <f>moment_rate!$AC571</f>
        <v>7.4493433161470389E-3</v>
      </c>
      <c r="F571" s="1">
        <f t="shared" si="115"/>
        <v>0</v>
      </c>
      <c r="G571">
        <f>moment_rate!I571-0.005</f>
        <v>5.6399999999999242</v>
      </c>
      <c r="H571" s="1">
        <f t="shared" si="116"/>
        <v>0</v>
      </c>
      <c r="I571">
        <f t="shared" ref="I571:X586" si="127">IF(AND($G571&gt;=I$3,$G571&lt;I$4),$F571,0)</f>
        <v>0</v>
      </c>
      <c r="J571">
        <f t="shared" si="127"/>
        <v>0</v>
      </c>
      <c r="K571">
        <f t="shared" si="127"/>
        <v>0</v>
      </c>
      <c r="L571">
        <f t="shared" si="127"/>
        <v>0</v>
      </c>
      <c r="M571">
        <f t="shared" si="127"/>
        <v>0</v>
      </c>
      <c r="N571">
        <f t="shared" si="127"/>
        <v>0</v>
      </c>
      <c r="O571">
        <f t="shared" si="127"/>
        <v>0</v>
      </c>
      <c r="P571">
        <f t="shared" si="127"/>
        <v>0</v>
      </c>
      <c r="Q571">
        <f t="shared" si="127"/>
        <v>0</v>
      </c>
      <c r="R571">
        <f t="shared" si="127"/>
        <v>0</v>
      </c>
      <c r="S571">
        <f t="shared" si="127"/>
        <v>0</v>
      </c>
      <c r="T571">
        <f t="shared" si="127"/>
        <v>0</v>
      </c>
      <c r="U571">
        <f t="shared" si="127"/>
        <v>0</v>
      </c>
      <c r="V571">
        <f t="shared" si="127"/>
        <v>0</v>
      </c>
      <c r="W571">
        <f t="shared" si="127"/>
        <v>0</v>
      </c>
      <c r="X571">
        <f t="shared" si="127"/>
        <v>0</v>
      </c>
      <c r="Y571">
        <f t="shared" si="126"/>
        <v>0</v>
      </c>
      <c r="Z571">
        <f t="shared" si="126"/>
        <v>0</v>
      </c>
      <c r="AA571">
        <f t="shared" si="126"/>
        <v>0</v>
      </c>
      <c r="AB571">
        <f t="shared" si="126"/>
        <v>0</v>
      </c>
      <c r="AC571">
        <f t="shared" si="126"/>
        <v>0</v>
      </c>
      <c r="AD571">
        <f t="shared" si="126"/>
        <v>0</v>
      </c>
      <c r="AE571">
        <f t="shared" si="126"/>
        <v>0</v>
      </c>
      <c r="AF571">
        <f t="shared" si="126"/>
        <v>0</v>
      </c>
      <c r="AG571">
        <f t="shared" si="126"/>
        <v>0</v>
      </c>
      <c r="AH571">
        <f t="shared" si="126"/>
        <v>0</v>
      </c>
      <c r="AI571">
        <f t="shared" si="126"/>
        <v>0</v>
      </c>
      <c r="AJ571">
        <f t="shared" si="126"/>
        <v>0</v>
      </c>
      <c r="AK571">
        <f t="shared" si="126"/>
        <v>0</v>
      </c>
      <c r="AL571">
        <f t="shared" si="126"/>
        <v>0</v>
      </c>
      <c r="AM571">
        <f t="shared" si="126"/>
        <v>0</v>
      </c>
      <c r="AN571">
        <f t="shared" si="125"/>
        <v>0</v>
      </c>
      <c r="AO571">
        <f t="shared" si="125"/>
        <v>0</v>
      </c>
      <c r="AP571">
        <f t="shared" si="125"/>
        <v>0</v>
      </c>
      <c r="AQ571">
        <f t="shared" si="125"/>
        <v>0</v>
      </c>
      <c r="AR571">
        <f t="shared" si="125"/>
        <v>0</v>
      </c>
    </row>
    <row r="572" spans="5:44" x14ac:dyDescent="0.2">
      <c r="E572" s="1">
        <f>moment_rate!$AC572</f>
        <v>7.4493433161470389E-3</v>
      </c>
      <c r="F572" s="1">
        <f t="shared" si="115"/>
        <v>0</v>
      </c>
      <c r="G572">
        <f>moment_rate!I572-0.005</f>
        <v>5.649999999999924</v>
      </c>
      <c r="H572" s="1">
        <f t="shared" si="116"/>
        <v>0</v>
      </c>
      <c r="I572">
        <f t="shared" si="127"/>
        <v>0</v>
      </c>
      <c r="J572">
        <f t="shared" si="127"/>
        <v>0</v>
      </c>
      <c r="K572">
        <f t="shared" si="127"/>
        <v>0</v>
      </c>
      <c r="L572">
        <f t="shared" si="127"/>
        <v>0</v>
      </c>
      <c r="M572">
        <f t="shared" si="127"/>
        <v>0</v>
      </c>
      <c r="N572">
        <f t="shared" si="127"/>
        <v>0</v>
      </c>
      <c r="O572">
        <f t="shared" si="127"/>
        <v>0</v>
      </c>
      <c r="P572">
        <f t="shared" si="127"/>
        <v>0</v>
      </c>
      <c r="Q572">
        <f t="shared" si="127"/>
        <v>0</v>
      </c>
      <c r="R572">
        <f t="shared" si="127"/>
        <v>0</v>
      </c>
      <c r="S572">
        <f t="shared" si="127"/>
        <v>0</v>
      </c>
      <c r="T572">
        <f t="shared" si="127"/>
        <v>0</v>
      </c>
      <c r="U572">
        <f t="shared" si="127"/>
        <v>0</v>
      </c>
      <c r="V572">
        <f t="shared" si="127"/>
        <v>0</v>
      </c>
      <c r="W572">
        <f t="shared" si="127"/>
        <v>0</v>
      </c>
      <c r="X572">
        <f t="shared" si="127"/>
        <v>0</v>
      </c>
      <c r="Y572">
        <f t="shared" si="126"/>
        <v>0</v>
      </c>
      <c r="Z572">
        <f t="shared" si="126"/>
        <v>0</v>
      </c>
      <c r="AA572">
        <f t="shared" si="126"/>
        <v>0</v>
      </c>
      <c r="AB572">
        <f t="shared" si="126"/>
        <v>0</v>
      </c>
      <c r="AC572">
        <f t="shared" si="126"/>
        <v>0</v>
      </c>
      <c r="AD572">
        <f t="shared" si="126"/>
        <v>0</v>
      </c>
      <c r="AE572">
        <f t="shared" si="126"/>
        <v>0</v>
      </c>
      <c r="AF572">
        <f t="shared" si="126"/>
        <v>0</v>
      </c>
      <c r="AG572">
        <f t="shared" si="126"/>
        <v>0</v>
      </c>
      <c r="AH572">
        <f t="shared" si="126"/>
        <v>0</v>
      </c>
      <c r="AI572">
        <f t="shared" si="126"/>
        <v>0</v>
      </c>
      <c r="AJ572">
        <f t="shared" si="126"/>
        <v>0</v>
      </c>
      <c r="AK572">
        <f t="shared" si="126"/>
        <v>0</v>
      </c>
      <c r="AL572">
        <f t="shared" si="126"/>
        <v>0</v>
      </c>
      <c r="AM572">
        <f t="shared" si="126"/>
        <v>0</v>
      </c>
      <c r="AN572">
        <f t="shared" si="125"/>
        <v>0</v>
      </c>
      <c r="AO572">
        <f t="shared" si="125"/>
        <v>0</v>
      </c>
      <c r="AP572">
        <f t="shared" si="125"/>
        <v>0</v>
      </c>
      <c r="AQ572">
        <f t="shared" si="125"/>
        <v>0</v>
      </c>
      <c r="AR572">
        <f t="shared" si="125"/>
        <v>0</v>
      </c>
    </row>
    <row r="573" spans="5:44" x14ac:dyDescent="0.2">
      <c r="E573" s="1">
        <f>moment_rate!$AC573</f>
        <v>7.4493433161470389E-3</v>
      </c>
      <c r="F573" s="1">
        <f t="shared" si="115"/>
        <v>0</v>
      </c>
      <c r="G573">
        <f>moment_rate!I573-0.005</f>
        <v>5.6599999999999238</v>
      </c>
      <c r="H573" s="1">
        <f t="shared" si="116"/>
        <v>0</v>
      </c>
      <c r="I573">
        <f t="shared" si="127"/>
        <v>0</v>
      </c>
      <c r="J573">
        <f t="shared" si="127"/>
        <v>0</v>
      </c>
      <c r="K573">
        <f t="shared" si="127"/>
        <v>0</v>
      </c>
      <c r="L573">
        <f t="shared" si="127"/>
        <v>0</v>
      </c>
      <c r="M573">
        <f t="shared" si="127"/>
        <v>0</v>
      </c>
      <c r="N573">
        <f t="shared" si="127"/>
        <v>0</v>
      </c>
      <c r="O573">
        <f t="shared" si="127"/>
        <v>0</v>
      </c>
      <c r="P573">
        <f t="shared" si="127"/>
        <v>0</v>
      </c>
      <c r="Q573">
        <f t="shared" si="127"/>
        <v>0</v>
      </c>
      <c r="R573">
        <f t="shared" si="127"/>
        <v>0</v>
      </c>
      <c r="S573">
        <f t="shared" si="127"/>
        <v>0</v>
      </c>
      <c r="T573">
        <f t="shared" si="127"/>
        <v>0</v>
      </c>
      <c r="U573">
        <f t="shared" si="127"/>
        <v>0</v>
      </c>
      <c r="V573">
        <f t="shared" si="127"/>
        <v>0</v>
      </c>
      <c r="W573">
        <f t="shared" si="127"/>
        <v>0</v>
      </c>
      <c r="X573">
        <f t="shared" si="127"/>
        <v>0</v>
      </c>
      <c r="Y573">
        <f t="shared" si="126"/>
        <v>0</v>
      </c>
      <c r="Z573">
        <f t="shared" si="126"/>
        <v>0</v>
      </c>
      <c r="AA573">
        <f t="shared" si="126"/>
        <v>0</v>
      </c>
      <c r="AB573">
        <f t="shared" si="126"/>
        <v>0</v>
      </c>
      <c r="AC573">
        <f t="shared" si="126"/>
        <v>0</v>
      </c>
      <c r="AD573">
        <f t="shared" si="126"/>
        <v>0</v>
      </c>
      <c r="AE573">
        <f t="shared" si="126"/>
        <v>0</v>
      </c>
      <c r="AF573">
        <f t="shared" si="126"/>
        <v>0</v>
      </c>
      <c r="AG573">
        <f t="shared" si="126"/>
        <v>0</v>
      </c>
      <c r="AH573">
        <f t="shared" si="126"/>
        <v>0</v>
      </c>
      <c r="AI573">
        <f t="shared" si="126"/>
        <v>0</v>
      </c>
      <c r="AJ573">
        <f t="shared" si="126"/>
        <v>0</v>
      </c>
      <c r="AK573">
        <f t="shared" si="126"/>
        <v>0</v>
      </c>
      <c r="AL573">
        <f t="shared" si="126"/>
        <v>0</v>
      </c>
      <c r="AM573">
        <f t="shared" si="126"/>
        <v>0</v>
      </c>
      <c r="AN573">
        <f t="shared" si="125"/>
        <v>0</v>
      </c>
      <c r="AO573">
        <f t="shared" si="125"/>
        <v>0</v>
      </c>
      <c r="AP573">
        <f t="shared" si="125"/>
        <v>0</v>
      </c>
      <c r="AQ573">
        <f t="shared" si="125"/>
        <v>0</v>
      </c>
      <c r="AR573">
        <f t="shared" si="125"/>
        <v>0</v>
      </c>
    </row>
    <row r="574" spans="5:44" x14ac:dyDescent="0.2">
      <c r="E574" s="1">
        <f>moment_rate!$AC574</f>
        <v>7.4493433161470389E-3</v>
      </c>
      <c r="F574" s="1">
        <f t="shared" si="115"/>
        <v>0</v>
      </c>
      <c r="G574">
        <f>moment_rate!I574-0.005</f>
        <v>5.6699999999999235</v>
      </c>
      <c r="H574" s="1">
        <f t="shared" si="116"/>
        <v>0</v>
      </c>
      <c r="I574">
        <f t="shared" si="127"/>
        <v>0</v>
      </c>
      <c r="J574">
        <f t="shared" si="127"/>
        <v>0</v>
      </c>
      <c r="K574">
        <f t="shared" si="127"/>
        <v>0</v>
      </c>
      <c r="L574">
        <f t="shared" si="127"/>
        <v>0</v>
      </c>
      <c r="M574">
        <f t="shared" si="127"/>
        <v>0</v>
      </c>
      <c r="N574">
        <f t="shared" si="127"/>
        <v>0</v>
      </c>
      <c r="O574">
        <f t="shared" si="127"/>
        <v>0</v>
      </c>
      <c r="P574">
        <f t="shared" si="127"/>
        <v>0</v>
      </c>
      <c r="Q574">
        <f t="shared" si="127"/>
        <v>0</v>
      </c>
      <c r="R574">
        <f t="shared" si="127"/>
        <v>0</v>
      </c>
      <c r="S574">
        <f t="shared" si="127"/>
        <v>0</v>
      </c>
      <c r="T574">
        <f t="shared" si="127"/>
        <v>0</v>
      </c>
      <c r="U574">
        <f t="shared" si="127"/>
        <v>0</v>
      </c>
      <c r="V574">
        <f t="shared" si="127"/>
        <v>0</v>
      </c>
      <c r="W574">
        <f t="shared" si="127"/>
        <v>0</v>
      </c>
      <c r="X574">
        <f t="shared" si="127"/>
        <v>0</v>
      </c>
      <c r="Y574">
        <f t="shared" si="126"/>
        <v>0</v>
      </c>
      <c r="Z574">
        <f t="shared" si="126"/>
        <v>0</v>
      </c>
      <c r="AA574">
        <f t="shared" si="126"/>
        <v>0</v>
      </c>
      <c r="AB574">
        <f t="shared" si="126"/>
        <v>0</v>
      </c>
      <c r="AC574">
        <f t="shared" si="126"/>
        <v>0</v>
      </c>
      <c r="AD574">
        <f t="shared" si="126"/>
        <v>0</v>
      </c>
      <c r="AE574">
        <f t="shared" si="126"/>
        <v>0</v>
      </c>
      <c r="AF574">
        <f t="shared" si="126"/>
        <v>0</v>
      </c>
      <c r="AG574">
        <f t="shared" si="126"/>
        <v>0</v>
      </c>
      <c r="AH574">
        <f t="shared" si="126"/>
        <v>0</v>
      </c>
      <c r="AI574">
        <f t="shared" si="126"/>
        <v>0</v>
      </c>
      <c r="AJ574">
        <f t="shared" si="126"/>
        <v>0</v>
      </c>
      <c r="AK574">
        <f t="shared" si="126"/>
        <v>0</v>
      </c>
      <c r="AL574">
        <f t="shared" si="126"/>
        <v>0</v>
      </c>
      <c r="AM574">
        <f t="shared" si="126"/>
        <v>0</v>
      </c>
      <c r="AN574">
        <f t="shared" si="125"/>
        <v>0</v>
      </c>
      <c r="AO574">
        <f t="shared" si="125"/>
        <v>0</v>
      </c>
      <c r="AP574">
        <f t="shared" si="125"/>
        <v>0</v>
      </c>
      <c r="AQ574">
        <f t="shared" si="125"/>
        <v>0</v>
      </c>
      <c r="AR574">
        <f t="shared" si="125"/>
        <v>0</v>
      </c>
    </row>
    <row r="575" spans="5:44" x14ac:dyDescent="0.2">
      <c r="E575" s="1">
        <f>moment_rate!$AC575</f>
        <v>7.4493433161470389E-3</v>
      </c>
      <c r="F575" s="1">
        <f t="shared" si="115"/>
        <v>0</v>
      </c>
      <c r="G575">
        <f>moment_rate!I575-0.005</f>
        <v>5.6799999999999233</v>
      </c>
      <c r="H575" s="1">
        <f t="shared" si="116"/>
        <v>0</v>
      </c>
      <c r="I575">
        <f t="shared" si="127"/>
        <v>0</v>
      </c>
      <c r="J575">
        <f t="shared" si="127"/>
        <v>0</v>
      </c>
      <c r="K575">
        <f t="shared" si="127"/>
        <v>0</v>
      </c>
      <c r="L575">
        <f t="shared" si="127"/>
        <v>0</v>
      </c>
      <c r="M575">
        <f t="shared" si="127"/>
        <v>0</v>
      </c>
      <c r="N575">
        <f t="shared" si="127"/>
        <v>0</v>
      </c>
      <c r="O575">
        <f t="shared" si="127"/>
        <v>0</v>
      </c>
      <c r="P575">
        <f t="shared" si="127"/>
        <v>0</v>
      </c>
      <c r="Q575">
        <f t="shared" si="127"/>
        <v>0</v>
      </c>
      <c r="R575">
        <f t="shared" si="127"/>
        <v>0</v>
      </c>
      <c r="S575">
        <f t="shared" si="127"/>
        <v>0</v>
      </c>
      <c r="T575">
        <f t="shared" si="127"/>
        <v>0</v>
      </c>
      <c r="U575">
        <f t="shared" si="127"/>
        <v>0</v>
      </c>
      <c r="V575">
        <f t="shared" si="127"/>
        <v>0</v>
      </c>
      <c r="W575">
        <f t="shared" si="127"/>
        <v>0</v>
      </c>
      <c r="X575">
        <f t="shared" si="127"/>
        <v>0</v>
      </c>
      <c r="Y575">
        <f t="shared" si="126"/>
        <v>0</v>
      </c>
      <c r="Z575">
        <f t="shared" si="126"/>
        <v>0</v>
      </c>
      <c r="AA575">
        <f t="shared" si="126"/>
        <v>0</v>
      </c>
      <c r="AB575">
        <f t="shared" si="126"/>
        <v>0</v>
      </c>
      <c r="AC575">
        <f t="shared" si="126"/>
        <v>0</v>
      </c>
      <c r="AD575">
        <f t="shared" si="126"/>
        <v>0</v>
      </c>
      <c r="AE575">
        <f t="shared" si="126"/>
        <v>0</v>
      </c>
      <c r="AF575">
        <f t="shared" si="126"/>
        <v>0</v>
      </c>
      <c r="AG575">
        <f t="shared" si="126"/>
        <v>0</v>
      </c>
      <c r="AH575">
        <f t="shared" si="126"/>
        <v>0</v>
      </c>
      <c r="AI575">
        <f t="shared" si="126"/>
        <v>0</v>
      </c>
      <c r="AJ575">
        <f t="shared" si="126"/>
        <v>0</v>
      </c>
      <c r="AK575">
        <f t="shared" si="126"/>
        <v>0</v>
      </c>
      <c r="AL575">
        <f t="shared" si="126"/>
        <v>0</v>
      </c>
      <c r="AM575">
        <f t="shared" si="126"/>
        <v>0</v>
      </c>
      <c r="AN575">
        <f t="shared" si="125"/>
        <v>0</v>
      </c>
      <c r="AO575">
        <f t="shared" si="125"/>
        <v>0</v>
      </c>
      <c r="AP575">
        <f t="shared" si="125"/>
        <v>0</v>
      </c>
      <c r="AQ575">
        <f t="shared" si="125"/>
        <v>0</v>
      </c>
      <c r="AR575">
        <f t="shared" si="125"/>
        <v>0</v>
      </c>
    </row>
    <row r="576" spans="5:44" x14ac:dyDescent="0.2">
      <c r="E576" s="1">
        <f>moment_rate!$AC576</f>
        <v>7.4493433161470389E-3</v>
      </c>
      <c r="F576" s="1">
        <f t="shared" si="115"/>
        <v>0</v>
      </c>
      <c r="G576">
        <f>moment_rate!I576-0.005</f>
        <v>5.6899999999999231</v>
      </c>
      <c r="H576" s="1">
        <f t="shared" si="116"/>
        <v>0</v>
      </c>
      <c r="I576">
        <f t="shared" si="127"/>
        <v>0</v>
      </c>
      <c r="J576">
        <f t="shared" si="127"/>
        <v>0</v>
      </c>
      <c r="K576">
        <f t="shared" si="127"/>
        <v>0</v>
      </c>
      <c r="L576">
        <f t="shared" si="127"/>
        <v>0</v>
      </c>
      <c r="M576">
        <f t="shared" si="127"/>
        <v>0</v>
      </c>
      <c r="N576">
        <f t="shared" si="127"/>
        <v>0</v>
      </c>
      <c r="O576">
        <f t="shared" si="127"/>
        <v>0</v>
      </c>
      <c r="P576">
        <f t="shared" si="127"/>
        <v>0</v>
      </c>
      <c r="Q576">
        <f t="shared" si="127"/>
        <v>0</v>
      </c>
      <c r="R576">
        <f t="shared" si="127"/>
        <v>0</v>
      </c>
      <c r="S576">
        <f t="shared" si="127"/>
        <v>0</v>
      </c>
      <c r="T576">
        <f t="shared" si="127"/>
        <v>0</v>
      </c>
      <c r="U576">
        <f t="shared" si="127"/>
        <v>0</v>
      </c>
      <c r="V576">
        <f t="shared" si="127"/>
        <v>0</v>
      </c>
      <c r="W576">
        <f t="shared" si="127"/>
        <v>0</v>
      </c>
      <c r="X576">
        <f t="shared" si="127"/>
        <v>0</v>
      </c>
      <c r="Y576">
        <f t="shared" si="126"/>
        <v>0</v>
      </c>
      <c r="Z576">
        <f t="shared" si="126"/>
        <v>0</v>
      </c>
      <c r="AA576">
        <f t="shared" si="126"/>
        <v>0</v>
      </c>
      <c r="AB576">
        <f t="shared" si="126"/>
        <v>0</v>
      </c>
      <c r="AC576">
        <f t="shared" si="126"/>
        <v>0</v>
      </c>
      <c r="AD576">
        <f t="shared" si="126"/>
        <v>0</v>
      </c>
      <c r="AE576">
        <f t="shared" si="126"/>
        <v>0</v>
      </c>
      <c r="AF576">
        <f t="shared" si="126"/>
        <v>0</v>
      </c>
      <c r="AG576">
        <f t="shared" si="126"/>
        <v>0</v>
      </c>
      <c r="AH576">
        <f t="shared" si="126"/>
        <v>0</v>
      </c>
      <c r="AI576">
        <f t="shared" si="126"/>
        <v>0</v>
      </c>
      <c r="AJ576">
        <f t="shared" si="126"/>
        <v>0</v>
      </c>
      <c r="AK576">
        <f t="shared" si="126"/>
        <v>0</v>
      </c>
      <c r="AL576">
        <f t="shared" si="126"/>
        <v>0</v>
      </c>
      <c r="AM576">
        <f t="shared" si="126"/>
        <v>0</v>
      </c>
      <c r="AN576">
        <f t="shared" si="125"/>
        <v>0</v>
      </c>
      <c r="AO576">
        <f t="shared" si="125"/>
        <v>0</v>
      </c>
      <c r="AP576">
        <f t="shared" si="125"/>
        <v>0</v>
      </c>
      <c r="AQ576">
        <f t="shared" si="125"/>
        <v>0</v>
      </c>
      <c r="AR576">
        <f t="shared" si="125"/>
        <v>0</v>
      </c>
    </row>
    <row r="577" spans="5:44" x14ac:dyDescent="0.2">
      <c r="E577" s="1">
        <f>moment_rate!$AC577</f>
        <v>7.4493433161470389E-3</v>
      </c>
      <c r="F577" s="1">
        <f t="shared" si="115"/>
        <v>0</v>
      </c>
      <c r="G577">
        <f>moment_rate!I577-0.005</f>
        <v>5.6999999999999229</v>
      </c>
      <c r="H577" s="1">
        <f t="shared" si="116"/>
        <v>0</v>
      </c>
      <c r="I577">
        <f t="shared" si="127"/>
        <v>0</v>
      </c>
      <c r="J577">
        <f t="shared" si="127"/>
        <v>0</v>
      </c>
      <c r="K577">
        <f t="shared" si="127"/>
        <v>0</v>
      </c>
      <c r="L577">
        <f t="shared" si="127"/>
        <v>0</v>
      </c>
      <c r="M577">
        <f t="shared" si="127"/>
        <v>0</v>
      </c>
      <c r="N577">
        <f t="shared" si="127"/>
        <v>0</v>
      </c>
      <c r="O577">
        <f t="shared" si="127"/>
        <v>0</v>
      </c>
      <c r="P577">
        <f t="shared" si="127"/>
        <v>0</v>
      </c>
      <c r="Q577">
        <f t="shared" si="127"/>
        <v>0</v>
      </c>
      <c r="R577">
        <f t="shared" si="127"/>
        <v>0</v>
      </c>
      <c r="S577">
        <f t="shared" si="127"/>
        <v>0</v>
      </c>
      <c r="T577">
        <f t="shared" si="127"/>
        <v>0</v>
      </c>
      <c r="U577">
        <f t="shared" si="127"/>
        <v>0</v>
      </c>
      <c r="V577">
        <f t="shared" si="127"/>
        <v>0</v>
      </c>
      <c r="W577">
        <f t="shared" si="127"/>
        <v>0</v>
      </c>
      <c r="X577">
        <f t="shared" si="127"/>
        <v>0</v>
      </c>
      <c r="Y577">
        <f t="shared" si="126"/>
        <v>0</v>
      </c>
      <c r="Z577">
        <f t="shared" si="126"/>
        <v>0</v>
      </c>
      <c r="AA577">
        <f t="shared" si="126"/>
        <v>0</v>
      </c>
      <c r="AB577">
        <f t="shared" si="126"/>
        <v>0</v>
      </c>
      <c r="AC577">
        <f t="shared" si="126"/>
        <v>0</v>
      </c>
      <c r="AD577">
        <f t="shared" si="126"/>
        <v>0</v>
      </c>
      <c r="AE577">
        <f t="shared" si="126"/>
        <v>0</v>
      </c>
      <c r="AF577">
        <f t="shared" si="126"/>
        <v>0</v>
      </c>
      <c r="AG577">
        <f t="shared" si="126"/>
        <v>0</v>
      </c>
      <c r="AH577">
        <f t="shared" si="126"/>
        <v>0</v>
      </c>
      <c r="AI577">
        <f t="shared" si="126"/>
        <v>0</v>
      </c>
      <c r="AJ577">
        <f t="shared" si="126"/>
        <v>0</v>
      </c>
      <c r="AK577">
        <f t="shared" si="126"/>
        <v>0</v>
      </c>
      <c r="AL577">
        <f t="shared" si="126"/>
        <v>0</v>
      </c>
      <c r="AM577">
        <f t="shared" si="126"/>
        <v>0</v>
      </c>
      <c r="AN577">
        <f t="shared" si="125"/>
        <v>0</v>
      </c>
      <c r="AO577">
        <f t="shared" si="125"/>
        <v>0</v>
      </c>
      <c r="AP577">
        <f t="shared" si="125"/>
        <v>0</v>
      </c>
      <c r="AQ577">
        <f t="shared" si="125"/>
        <v>0</v>
      </c>
      <c r="AR577">
        <f t="shared" si="125"/>
        <v>0</v>
      </c>
    </row>
    <row r="578" spans="5:44" x14ac:dyDescent="0.2">
      <c r="E578" s="1">
        <f>moment_rate!$AC578</f>
        <v>7.4493433161470389E-3</v>
      </c>
      <c r="F578" s="1">
        <f t="shared" si="115"/>
        <v>0</v>
      </c>
      <c r="G578">
        <f>moment_rate!I578-0.005</f>
        <v>5.7099999999999227</v>
      </c>
      <c r="H578" s="1">
        <f t="shared" si="116"/>
        <v>0</v>
      </c>
      <c r="I578">
        <f t="shared" si="127"/>
        <v>0</v>
      </c>
      <c r="J578">
        <f t="shared" si="127"/>
        <v>0</v>
      </c>
      <c r="K578">
        <f t="shared" si="127"/>
        <v>0</v>
      </c>
      <c r="L578">
        <f t="shared" si="127"/>
        <v>0</v>
      </c>
      <c r="M578">
        <f t="shared" si="127"/>
        <v>0</v>
      </c>
      <c r="N578">
        <f t="shared" si="127"/>
        <v>0</v>
      </c>
      <c r="O578">
        <f t="shared" si="127"/>
        <v>0</v>
      </c>
      <c r="P578">
        <f t="shared" si="127"/>
        <v>0</v>
      </c>
      <c r="Q578">
        <f t="shared" si="127"/>
        <v>0</v>
      </c>
      <c r="R578">
        <f t="shared" si="127"/>
        <v>0</v>
      </c>
      <c r="S578">
        <f t="shared" si="127"/>
        <v>0</v>
      </c>
      <c r="T578">
        <f t="shared" si="127"/>
        <v>0</v>
      </c>
      <c r="U578">
        <f t="shared" si="127"/>
        <v>0</v>
      </c>
      <c r="V578">
        <f t="shared" si="127"/>
        <v>0</v>
      </c>
      <c r="W578">
        <f t="shared" si="127"/>
        <v>0</v>
      </c>
      <c r="X578">
        <f t="shared" si="127"/>
        <v>0</v>
      </c>
      <c r="Y578">
        <f t="shared" si="126"/>
        <v>0</v>
      </c>
      <c r="Z578">
        <f t="shared" si="126"/>
        <v>0</v>
      </c>
      <c r="AA578">
        <f t="shared" si="126"/>
        <v>0</v>
      </c>
      <c r="AB578">
        <f t="shared" si="126"/>
        <v>0</v>
      </c>
      <c r="AC578">
        <f t="shared" si="126"/>
        <v>0</v>
      </c>
      <c r="AD578">
        <f t="shared" si="126"/>
        <v>0</v>
      </c>
      <c r="AE578">
        <f t="shared" si="126"/>
        <v>0</v>
      </c>
      <c r="AF578">
        <f t="shared" si="126"/>
        <v>0</v>
      </c>
      <c r="AG578">
        <f t="shared" si="126"/>
        <v>0</v>
      </c>
      <c r="AH578">
        <f t="shared" si="126"/>
        <v>0</v>
      </c>
      <c r="AI578">
        <f t="shared" si="126"/>
        <v>0</v>
      </c>
      <c r="AJ578">
        <f t="shared" si="126"/>
        <v>0</v>
      </c>
      <c r="AK578">
        <f t="shared" si="126"/>
        <v>0</v>
      </c>
      <c r="AL578">
        <f t="shared" si="126"/>
        <v>0</v>
      </c>
      <c r="AM578">
        <f t="shared" si="126"/>
        <v>0</v>
      </c>
      <c r="AN578">
        <f t="shared" si="125"/>
        <v>0</v>
      </c>
      <c r="AO578">
        <f t="shared" si="125"/>
        <v>0</v>
      </c>
      <c r="AP578">
        <f t="shared" si="125"/>
        <v>0</v>
      </c>
      <c r="AQ578">
        <f t="shared" si="125"/>
        <v>0</v>
      </c>
      <c r="AR578">
        <f t="shared" si="125"/>
        <v>0</v>
      </c>
    </row>
    <row r="579" spans="5:44" x14ac:dyDescent="0.2">
      <c r="E579" s="1">
        <f>moment_rate!$AC579</f>
        <v>7.4493433161470389E-3</v>
      </c>
      <c r="F579" s="1">
        <f t="shared" si="115"/>
        <v>0</v>
      </c>
      <c r="G579">
        <f>moment_rate!I579-0.005</f>
        <v>5.7199999999999225</v>
      </c>
      <c r="H579" s="1">
        <f t="shared" si="116"/>
        <v>0</v>
      </c>
      <c r="I579">
        <f t="shared" si="127"/>
        <v>0</v>
      </c>
      <c r="J579">
        <f t="shared" si="127"/>
        <v>0</v>
      </c>
      <c r="K579">
        <f t="shared" si="127"/>
        <v>0</v>
      </c>
      <c r="L579">
        <f t="shared" si="127"/>
        <v>0</v>
      </c>
      <c r="M579">
        <f t="shared" si="127"/>
        <v>0</v>
      </c>
      <c r="N579">
        <f t="shared" si="127"/>
        <v>0</v>
      </c>
      <c r="O579">
        <f t="shared" si="127"/>
        <v>0</v>
      </c>
      <c r="P579">
        <f t="shared" si="127"/>
        <v>0</v>
      </c>
      <c r="Q579">
        <f t="shared" si="127"/>
        <v>0</v>
      </c>
      <c r="R579">
        <f t="shared" si="127"/>
        <v>0</v>
      </c>
      <c r="S579">
        <f t="shared" si="127"/>
        <v>0</v>
      </c>
      <c r="T579">
        <f t="shared" si="127"/>
        <v>0</v>
      </c>
      <c r="U579">
        <f t="shared" si="127"/>
        <v>0</v>
      </c>
      <c r="V579">
        <f t="shared" si="127"/>
        <v>0</v>
      </c>
      <c r="W579">
        <f t="shared" si="127"/>
        <v>0</v>
      </c>
      <c r="X579">
        <f t="shared" si="127"/>
        <v>0</v>
      </c>
      <c r="Y579">
        <f t="shared" si="126"/>
        <v>0</v>
      </c>
      <c r="Z579">
        <f t="shared" si="126"/>
        <v>0</v>
      </c>
      <c r="AA579">
        <f t="shared" si="126"/>
        <v>0</v>
      </c>
      <c r="AB579">
        <f t="shared" si="126"/>
        <v>0</v>
      </c>
      <c r="AC579">
        <f t="shared" si="126"/>
        <v>0</v>
      </c>
      <c r="AD579">
        <f t="shared" si="126"/>
        <v>0</v>
      </c>
      <c r="AE579">
        <f t="shared" si="126"/>
        <v>0</v>
      </c>
      <c r="AF579">
        <f t="shared" si="126"/>
        <v>0</v>
      </c>
      <c r="AG579">
        <f t="shared" si="126"/>
        <v>0</v>
      </c>
      <c r="AH579">
        <f t="shared" si="126"/>
        <v>0</v>
      </c>
      <c r="AI579">
        <f t="shared" si="126"/>
        <v>0</v>
      </c>
      <c r="AJ579">
        <f t="shared" si="126"/>
        <v>0</v>
      </c>
      <c r="AK579">
        <f t="shared" si="126"/>
        <v>0</v>
      </c>
      <c r="AL579">
        <f t="shared" si="126"/>
        <v>0</v>
      </c>
      <c r="AM579">
        <f t="shared" si="126"/>
        <v>0</v>
      </c>
      <c r="AN579">
        <f t="shared" si="125"/>
        <v>0</v>
      </c>
      <c r="AO579">
        <f t="shared" si="125"/>
        <v>0</v>
      </c>
      <c r="AP579">
        <f t="shared" si="125"/>
        <v>0</v>
      </c>
      <c r="AQ579">
        <f t="shared" si="125"/>
        <v>0</v>
      </c>
      <c r="AR579">
        <f t="shared" si="125"/>
        <v>0</v>
      </c>
    </row>
    <row r="580" spans="5:44" x14ac:dyDescent="0.2">
      <c r="E580" s="1">
        <f>moment_rate!$AC580</f>
        <v>7.4493433161470389E-3</v>
      </c>
      <c r="F580" s="1">
        <f t="shared" si="115"/>
        <v>0</v>
      </c>
      <c r="G580">
        <f>moment_rate!I580-0.005</f>
        <v>5.7299999999999223</v>
      </c>
      <c r="H580" s="1">
        <f t="shared" si="116"/>
        <v>0</v>
      </c>
      <c r="I580">
        <f t="shared" si="127"/>
        <v>0</v>
      </c>
      <c r="J580">
        <f t="shared" si="127"/>
        <v>0</v>
      </c>
      <c r="K580">
        <f t="shared" si="127"/>
        <v>0</v>
      </c>
      <c r="L580">
        <f t="shared" si="127"/>
        <v>0</v>
      </c>
      <c r="M580">
        <f t="shared" si="127"/>
        <v>0</v>
      </c>
      <c r="N580">
        <f t="shared" si="127"/>
        <v>0</v>
      </c>
      <c r="O580">
        <f t="shared" si="127"/>
        <v>0</v>
      </c>
      <c r="P580">
        <f t="shared" si="127"/>
        <v>0</v>
      </c>
      <c r="Q580">
        <f t="shared" si="127"/>
        <v>0</v>
      </c>
      <c r="R580">
        <f t="shared" si="127"/>
        <v>0</v>
      </c>
      <c r="S580">
        <f t="shared" si="127"/>
        <v>0</v>
      </c>
      <c r="T580">
        <f t="shared" si="127"/>
        <v>0</v>
      </c>
      <c r="U580">
        <f t="shared" si="127"/>
        <v>0</v>
      </c>
      <c r="V580">
        <f t="shared" si="127"/>
        <v>0</v>
      </c>
      <c r="W580">
        <f t="shared" si="127"/>
        <v>0</v>
      </c>
      <c r="X580">
        <f t="shared" si="127"/>
        <v>0</v>
      </c>
      <c r="Y580">
        <f t="shared" si="126"/>
        <v>0</v>
      </c>
      <c r="Z580">
        <f t="shared" si="126"/>
        <v>0</v>
      </c>
      <c r="AA580">
        <f t="shared" si="126"/>
        <v>0</v>
      </c>
      <c r="AB580">
        <f t="shared" si="126"/>
        <v>0</v>
      </c>
      <c r="AC580">
        <f t="shared" si="126"/>
        <v>0</v>
      </c>
      <c r="AD580">
        <f t="shared" si="126"/>
        <v>0</v>
      </c>
      <c r="AE580">
        <f t="shared" si="126"/>
        <v>0</v>
      </c>
      <c r="AF580">
        <f t="shared" si="126"/>
        <v>0</v>
      </c>
      <c r="AG580">
        <f t="shared" si="126"/>
        <v>0</v>
      </c>
      <c r="AH580">
        <f t="shared" si="126"/>
        <v>0</v>
      </c>
      <c r="AI580">
        <f t="shared" si="126"/>
        <v>0</v>
      </c>
      <c r="AJ580">
        <f t="shared" si="126"/>
        <v>0</v>
      </c>
      <c r="AK580">
        <f t="shared" si="126"/>
        <v>0</v>
      </c>
      <c r="AL580">
        <f t="shared" si="126"/>
        <v>0</v>
      </c>
      <c r="AM580">
        <f t="shared" si="126"/>
        <v>0</v>
      </c>
      <c r="AN580">
        <f t="shared" si="125"/>
        <v>0</v>
      </c>
      <c r="AO580">
        <f t="shared" si="125"/>
        <v>0</v>
      </c>
      <c r="AP580">
        <f t="shared" si="125"/>
        <v>0</v>
      </c>
      <c r="AQ580">
        <f t="shared" si="125"/>
        <v>0</v>
      </c>
      <c r="AR580">
        <f t="shared" si="125"/>
        <v>0</v>
      </c>
    </row>
    <row r="581" spans="5:44" x14ac:dyDescent="0.2">
      <c r="E581" s="1">
        <f>moment_rate!$AC581</f>
        <v>7.4493433161470389E-3</v>
      </c>
      <c r="F581" s="1">
        <f t="shared" si="115"/>
        <v>0</v>
      </c>
      <c r="G581">
        <f>moment_rate!I581-0.005</f>
        <v>5.7399999999999221</v>
      </c>
      <c r="H581" s="1">
        <f t="shared" si="116"/>
        <v>0</v>
      </c>
      <c r="I581">
        <f t="shared" si="127"/>
        <v>0</v>
      </c>
      <c r="J581">
        <f t="shared" si="127"/>
        <v>0</v>
      </c>
      <c r="K581">
        <f t="shared" si="127"/>
        <v>0</v>
      </c>
      <c r="L581">
        <f t="shared" si="127"/>
        <v>0</v>
      </c>
      <c r="M581">
        <f t="shared" si="127"/>
        <v>0</v>
      </c>
      <c r="N581">
        <f t="shared" si="127"/>
        <v>0</v>
      </c>
      <c r="O581">
        <f t="shared" si="127"/>
        <v>0</v>
      </c>
      <c r="P581">
        <f t="shared" si="127"/>
        <v>0</v>
      </c>
      <c r="Q581">
        <f t="shared" si="127"/>
        <v>0</v>
      </c>
      <c r="R581">
        <f t="shared" si="127"/>
        <v>0</v>
      </c>
      <c r="S581">
        <f t="shared" si="127"/>
        <v>0</v>
      </c>
      <c r="T581">
        <f t="shared" si="127"/>
        <v>0</v>
      </c>
      <c r="U581">
        <f t="shared" si="127"/>
        <v>0</v>
      </c>
      <c r="V581">
        <f t="shared" si="127"/>
        <v>0</v>
      </c>
      <c r="W581">
        <f t="shared" si="127"/>
        <v>0</v>
      </c>
      <c r="X581">
        <f t="shared" si="127"/>
        <v>0</v>
      </c>
      <c r="Y581">
        <f t="shared" si="126"/>
        <v>0</v>
      </c>
      <c r="Z581">
        <f t="shared" si="126"/>
        <v>0</v>
      </c>
      <c r="AA581">
        <f t="shared" si="126"/>
        <v>0</v>
      </c>
      <c r="AB581">
        <f t="shared" si="126"/>
        <v>0</v>
      </c>
      <c r="AC581">
        <f t="shared" si="126"/>
        <v>0</v>
      </c>
      <c r="AD581">
        <f t="shared" si="126"/>
        <v>0</v>
      </c>
      <c r="AE581">
        <f t="shared" si="126"/>
        <v>0</v>
      </c>
      <c r="AF581">
        <f t="shared" si="126"/>
        <v>0</v>
      </c>
      <c r="AG581">
        <f t="shared" si="126"/>
        <v>0</v>
      </c>
      <c r="AH581">
        <f t="shared" si="126"/>
        <v>0</v>
      </c>
      <c r="AI581">
        <f t="shared" si="126"/>
        <v>0</v>
      </c>
      <c r="AJ581">
        <f t="shared" si="126"/>
        <v>0</v>
      </c>
      <c r="AK581">
        <f t="shared" si="126"/>
        <v>0</v>
      </c>
      <c r="AL581">
        <f t="shared" si="126"/>
        <v>0</v>
      </c>
      <c r="AM581">
        <f t="shared" si="126"/>
        <v>0</v>
      </c>
      <c r="AN581">
        <f t="shared" si="125"/>
        <v>0</v>
      </c>
      <c r="AO581">
        <f t="shared" si="125"/>
        <v>0</v>
      </c>
      <c r="AP581">
        <f t="shared" si="125"/>
        <v>0</v>
      </c>
      <c r="AQ581">
        <f t="shared" si="125"/>
        <v>0</v>
      </c>
      <c r="AR581">
        <f t="shared" si="125"/>
        <v>0</v>
      </c>
    </row>
    <row r="582" spans="5:44" x14ac:dyDescent="0.2">
      <c r="E582" s="1">
        <f>moment_rate!$AC582</f>
        <v>7.4493433161470389E-3</v>
      </c>
      <c r="F582" s="1">
        <f t="shared" si="115"/>
        <v>0</v>
      </c>
      <c r="G582">
        <f>moment_rate!I582-0.005</f>
        <v>5.7499999999999218</v>
      </c>
      <c r="H582" s="1">
        <f t="shared" si="116"/>
        <v>0</v>
      </c>
      <c r="I582">
        <f t="shared" si="127"/>
        <v>0</v>
      </c>
      <c r="J582">
        <f t="shared" si="127"/>
        <v>0</v>
      </c>
      <c r="K582">
        <f t="shared" si="127"/>
        <v>0</v>
      </c>
      <c r="L582">
        <f t="shared" si="127"/>
        <v>0</v>
      </c>
      <c r="M582">
        <f t="shared" si="127"/>
        <v>0</v>
      </c>
      <c r="N582">
        <f t="shared" si="127"/>
        <v>0</v>
      </c>
      <c r="O582">
        <f t="shared" si="127"/>
        <v>0</v>
      </c>
      <c r="P582">
        <f t="shared" si="127"/>
        <v>0</v>
      </c>
      <c r="Q582">
        <f t="shared" si="127"/>
        <v>0</v>
      </c>
      <c r="R582">
        <f t="shared" si="127"/>
        <v>0</v>
      </c>
      <c r="S582">
        <f t="shared" si="127"/>
        <v>0</v>
      </c>
      <c r="T582">
        <f t="shared" si="127"/>
        <v>0</v>
      </c>
      <c r="U582">
        <f t="shared" si="127"/>
        <v>0</v>
      </c>
      <c r="V582">
        <f t="shared" si="127"/>
        <v>0</v>
      </c>
      <c r="W582">
        <f t="shared" si="127"/>
        <v>0</v>
      </c>
      <c r="X582">
        <f t="shared" si="127"/>
        <v>0</v>
      </c>
      <c r="Y582">
        <f t="shared" si="126"/>
        <v>0</v>
      </c>
      <c r="Z582">
        <f t="shared" si="126"/>
        <v>0</v>
      </c>
      <c r="AA582">
        <f t="shared" si="126"/>
        <v>0</v>
      </c>
      <c r="AB582">
        <f t="shared" si="126"/>
        <v>0</v>
      </c>
      <c r="AC582">
        <f t="shared" si="126"/>
        <v>0</v>
      </c>
      <c r="AD582">
        <f t="shared" si="126"/>
        <v>0</v>
      </c>
      <c r="AE582">
        <f t="shared" si="126"/>
        <v>0</v>
      </c>
      <c r="AF582">
        <f t="shared" si="126"/>
        <v>0</v>
      </c>
      <c r="AG582">
        <f t="shared" si="126"/>
        <v>0</v>
      </c>
      <c r="AH582">
        <f t="shared" si="126"/>
        <v>0</v>
      </c>
      <c r="AI582">
        <f t="shared" si="126"/>
        <v>0</v>
      </c>
      <c r="AJ582">
        <f t="shared" si="126"/>
        <v>0</v>
      </c>
      <c r="AK582">
        <f t="shared" si="126"/>
        <v>0</v>
      </c>
      <c r="AL582">
        <f t="shared" si="126"/>
        <v>0</v>
      </c>
      <c r="AM582">
        <f t="shared" si="126"/>
        <v>0</v>
      </c>
      <c r="AN582">
        <f t="shared" si="125"/>
        <v>0</v>
      </c>
      <c r="AO582">
        <f t="shared" si="125"/>
        <v>0</v>
      </c>
      <c r="AP582">
        <f t="shared" si="125"/>
        <v>0</v>
      </c>
      <c r="AQ582">
        <f t="shared" si="125"/>
        <v>0</v>
      </c>
      <c r="AR582">
        <f t="shared" si="125"/>
        <v>0</v>
      </c>
    </row>
    <row r="583" spans="5:44" x14ac:dyDescent="0.2">
      <c r="E583" s="1">
        <f>moment_rate!$AC583</f>
        <v>7.4493433161470389E-3</v>
      </c>
      <c r="F583" s="1">
        <f t="shared" si="115"/>
        <v>0</v>
      </c>
      <c r="G583">
        <f>moment_rate!I583-0.005</f>
        <v>5.7599999999999216</v>
      </c>
      <c r="H583" s="1">
        <f t="shared" si="116"/>
        <v>0</v>
      </c>
      <c r="I583">
        <f t="shared" si="127"/>
        <v>0</v>
      </c>
      <c r="J583">
        <f t="shared" si="127"/>
        <v>0</v>
      </c>
      <c r="K583">
        <f t="shared" si="127"/>
        <v>0</v>
      </c>
      <c r="L583">
        <f t="shared" si="127"/>
        <v>0</v>
      </c>
      <c r="M583">
        <f t="shared" si="127"/>
        <v>0</v>
      </c>
      <c r="N583">
        <f t="shared" si="127"/>
        <v>0</v>
      </c>
      <c r="O583">
        <f t="shared" si="127"/>
        <v>0</v>
      </c>
      <c r="P583">
        <f t="shared" si="127"/>
        <v>0</v>
      </c>
      <c r="Q583">
        <f t="shared" si="127"/>
        <v>0</v>
      </c>
      <c r="R583">
        <f t="shared" si="127"/>
        <v>0</v>
      </c>
      <c r="S583">
        <f t="shared" si="127"/>
        <v>0</v>
      </c>
      <c r="T583">
        <f t="shared" si="127"/>
        <v>0</v>
      </c>
      <c r="U583">
        <f t="shared" si="127"/>
        <v>0</v>
      </c>
      <c r="V583">
        <f t="shared" si="127"/>
        <v>0</v>
      </c>
      <c r="W583">
        <f t="shared" si="127"/>
        <v>0</v>
      </c>
      <c r="X583">
        <f t="shared" si="127"/>
        <v>0</v>
      </c>
      <c r="Y583">
        <f t="shared" si="126"/>
        <v>0</v>
      </c>
      <c r="Z583">
        <f t="shared" si="126"/>
        <v>0</v>
      </c>
      <c r="AA583">
        <f t="shared" si="126"/>
        <v>0</v>
      </c>
      <c r="AB583">
        <f t="shared" si="126"/>
        <v>0</v>
      </c>
      <c r="AC583">
        <f t="shared" si="126"/>
        <v>0</v>
      </c>
      <c r="AD583">
        <f t="shared" si="126"/>
        <v>0</v>
      </c>
      <c r="AE583">
        <f t="shared" si="126"/>
        <v>0</v>
      </c>
      <c r="AF583">
        <f t="shared" si="126"/>
        <v>0</v>
      </c>
      <c r="AG583">
        <f t="shared" si="126"/>
        <v>0</v>
      </c>
      <c r="AH583">
        <f t="shared" si="126"/>
        <v>0</v>
      </c>
      <c r="AI583">
        <f t="shared" si="126"/>
        <v>0</v>
      </c>
      <c r="AJ583">
        <f t="shared" si="126"/>
        <v>0</v>
      </c>
      <c r="AK583">
        <f t="shared" si="126"/>
        <v>0</v>
      </c>
      <c r="AL583">
        <f t="shared" si="126"/>
        <v>0</v>
      </c>
      <c r="AM583">
        <f t="shared" si="126"/>
        <v>0</v>
      </c>
      <c r="AN583">
        <f t="shared" si="125"/>
        <v>0</v>
      </c>
      <c r="AO583">
        <f t="shared" si="125"/>
        <v>0</v>
      </c>
      <c r="AP583">
        <f t="shared" si="125"/>
        <v>0</v>
      </c>
      <c r="AQ583">
        <f t="shared" si="125"/>
        <v>0</v>
      </c>
      <c r="AR583">
        <f t="shared" si="125"/>
        <v>0</v>
      </c>
    </row>
    <row r="584" spans="5:44" x14ac:dyDescent="0.2">
      <c r="E584" s="1">
        <f>moment_rate!$AC584</f>
        <v>7.4493433161470389E-3</v>
      </c>
      <c r="F584" s="1">
        <f t="shared" ref="F584:F647" si="128">E584-E585</f>
        <v>0</v>
      </c>
      <c r="G584">
        <f>moment_rate!I584-0.005</f>
        <v>5.7699999999999214</v>
      </c>
      <c r="H584" s="1">
        <f t="shared" ref="H584:H647" si="129">IF($G584&gt;=4.999,(E584-E585),0)</f>
        <v>0</v>
      </c>
      <c r="I584">
        <f t="shared" si="127"/>
        <v>0</v>
      </c>
      <c r="J584">
        <f t="shared" si="127"/>
        <v>0</v>
      </c>
      <c r="K584">
        <f t="shared" si="127"/>
        <v>0</v>
      </c>
      <c r="L584">
        <f t="shared" si="127"/>
        <v>0</v>
      </c>
      <c r="M584">
        <f t="shared" si="127"/>
        <v>0</v>
      </c>
      <c r="N584">
        <f t="shared" si="127"/>
        <v>0</v>
      </c>
      <c r="O584">
        <f t="shared" si="127"/>
        <v>0</v>
      </c>
      <c r="P584">
        <f t="shared" si="127"/>
        <v>0</v>
      </c>
      <c r="Q584">
        <f t="shared" si="127"/>
        <v>0</v>
      </c>
      <c r="R584">
        <f t="shared" si="127"/>
        <v>0</v>
      </c>
      <c r="S584">
        <f t="shared" si="127"/>
        <v>0</v>
      </c>
      <c r="T584">
        <f t="shared" si="127"/>
        <v>0</v>
      </c>
      <c r="U584">
        <f t="shared" si="127"/>
        <v>0</v>
      </c>
      <c r="V584">
        <f t="shared" si="127"/>
        <v>0</v>
      </c>
      <c r="W584">
        <f t="shared" si="127"/>
        <v>0</v>
      </c>
      <c r="X584">
        <f t="shared" si="127"/>
        <v>0</v>
      </c>
      <c r="Y584">
        <f t="shared" si="126"/>
        <v>0</v>
      </c>
      <c r="Z584">
        <f t="shared" si="126"/>
        <v>0</v>
      </c>
      <c r="AA584">
        <f t="shared" si="126"/>
        <v>0</v>
      </c>
      <c r="AB584">
        <f t="shared" si="126"/>
        <v>0</v>
      </c>
      <c r="AC584">
        <f t="shared" si="126"/>
        <v>0</v>
      </c>
      <c r="AD584">
        <f t="shared" si="126"/>
        <v>0</v>
      </c>
      <c r="AE584">
        <f t="shared" si="126"/>
        <v>0</v>
      </c>
      <c r="AF584">
        <f t="shared" si="126"/>
        <v>0</v>
      </c>
      <c r="AG584">
        <f t="shared" si="126"/>
        <v>0</v>
      </c>
      <c r="AH584">
        <f t="shared" si="126"/>
        <v>0</v>
      </c>
      <c r="AI584">
        <f t="shared" si="126"/>
        <v>0</v>
      </c>
      <c r="AJ584">
        <f t="shared" si="126"/>
        <v>0</v>
      </c>
      <c r="AK584">
        <f t="shared" si="126"/>
        <v>0</v>
      </c>
      <c r="AL584">
        <f t="shared" si="126"/>
        <v>0</v>
      </c>
      <c r="AM584">
        <f t="shared" si="126"/>
        <v>0</v>
      </c>
      <c r="AN584">
        <f t="shared" si="125"/>
        <v>0</v>
      </c>
      <c r="AO584">
        <f t="shared" si="125"/>
        <v>0</v>
      </c>
      <c r="AP584">
        <f t="shared" si="125"/>
        <v>0</v>
      </c>
      <c r="AQ584">
        <f t="shared" si="125"/>
        <v>0</v>
      </c>
      <c r="AR584">
        <f t="shared" si="125"/>
        <v>0</v>
      </c>
    </row>
    <row r="585" spans="5:44" x14ac:dyDescent="0.2">
      <c r="E585" s="1">
        <f>moment_rate!$AC585</f>
        <v>7.4493433161470389E-3</v>
      </c>
      <c r="F585" s="1">
        <f t="shared" si="128"/>
        <v>0</v>
      </c>
      <c r="G585">
        <f>moment_rate!I585-0.005</f>
        <v>5.7799999999999212</v>
      </c>
      <c r="H585" s="1">
        <f t="shared" si="129"/>
        <v>0</v>
      </c>
      <c r="I585">
        <f t="shared" si="127"/>
        <v>0</v>
      </c>
      <c r="J585">
        <f t="shared" si="127"/>
        <v>0</v>
      </c>
      <c r="K585">
        <f t="shared" si="127"/>
        <v>0</v>
      </c>
      <c r="L585">
        <f t="shared" si="127"/>
        <v>0</v>
      </c>
      <c r="M585">
        <f t="shared" si="127"/>
        <v>0</v>
      </c>
      <c r="N585">
        <f t="shared" si="127"/>
        <v>0</v>
      </c>
      <c r="O585">
        <f t="shared" si="127"/>
        <v>0</v>
      </c>
      <c r="P585">
        <f t="shared" si="127"/>
        <v>0</v>
      </c>
      <c r="Q585">
        <f t="shared" si="127"/>
        <v>0</v>
      </c>
      <c r="R585">
        <f t="shared" si="127"/>
        <v>0</v>
      </c>
      <c r="S585">
        <f t="shared" si="127"/>
        <v>0</v>
      </c>
      <c r="T585">
        <f t="shared" si="127"/>
        <v>0</v>
      </c>
      <c r="U585">
        <f t="shared" si="127"/>
        <v>0</v>
      </c>
      <c r="V585">
        <f t="shared" si="127"/>
        <v>0</v>
      </c>
      <c r="W585">
        <f t="shared" si="127"/>
        <v>0</v>
      </c>
      <c r="X585">
        <f t="shared" si="127"/>
        <v>0</v>
      </c>
      <c r="Y585">
        <f t="shared" si="126"/>
        <v>0</v>
      </c>
      <c r="Z585">
        <f t="shared" si="126"/>
        <v>0</v>
      </c>
      <c r="AA585">
        <f t="shared" si="126"/>
        <v>0</v>
      </c>
      <c r="AB585">
        <f t="shared" si="126"/>
        <v>0</v>
      </c>
      <c r="AC585">
        <f t="shared" si="126"/>
        <v>0</v>
      </c>
      <c r="AD585">
        <f t="shared" si="126"/>
        <v>0</v>
      </c>
      <c r="AE585">
        <f t="shared" si="126"/>
        <v>0</v>
      </c>
      <c r="AF585">
        <f t="shared" si="126"/>
        <v>0</v>
      </c>
      <c r="AG585">
        <f t="shared" si="126"/>
        <v>0</v>
      </c>
      <c r="AH585">
        <f t="shared" si="126"/>
        <v>0</v>
      </c>
      <c r="AI585">
        <f t="shared" si="126"/>
        <v>0</v>
      </c>
      <c r="AJ585">
        <f t="shared" si="126"/>
        <v>0</v>
      </c>
      <c r="AK585">
        <f t="shared" si="126"/>
        <v>0</v>
      </c>
      <c r="AL585">
        <f t="shared" si="126"/>
        <v>0</v>
      </c>
      <c r="AM585">
        <f t="shared" si="126"/>
        <v>0</v>
      </c>
      <c r="AN585">
        <f t="shared" si="125"/>
        <v>0</v>
      </c>
      <c r="AO585">
        <f t="shared" si="125"/>
        <v>0</v>
      </c>
      <c r="AP585">
        <f t="shared" si="125"/>
        <v>0</v>
      </c>
      <c r="AQ585">
        <f t="shared" si="125"/>
        <v>0</v>
      </c>
      <c r="AR585">
        <f t="shared" si="125"/>
        <v>0</v>
      </c>
    </row>
    <row r="586" spans="5:44" x14ac:dyDescent="0.2">
      <c r="E586" s="1">
        <f>moment_rate!$AC586</f>
        <v>7.4493433161470389E-3</v>
      </c>
      <c r="F586" s="1">
        <f t="shared" si="128"/>
        <v>0</v>
      </c>
      <c r="G586">
        <f>moment_rate!I586-0.005</f>
        <v>5.789999999999921</v>
      </c>
      <c r="H586" s="1">
        <f t="shared" si="129"/>
        <v>0</v>
      </c>
      <c r="I586">
        <f t="shared" si="127"/>
        <v>0</v>
      </c>
      <c r="J586">
        <f t="shared" si="127"/>
        <v>0</v>
      </c>
      <c r="K586">
        <f t="shared" si="127"/>
        <v>0</v>
      </c>
      <c r="L586">
        <f t="shared" si="127"/>
        <v>0</v>
      </c>
      <c r="M586">
        <f t="shared" si="127"/>
        <v>0</v>
      </c>
      <c r="N586">
        <f t="shared" si="127"/>
        <v>0</v>
      </c>
      <c r="O586">
        <f t="shared" si="127"/>
        <v>0</v>
      </c>
      <c r="P586">
        <f t="shared" si="127"/>
        <v>0</v>
      </c>
      <c r="Q586">
        <f t="shared" si="127"/>
        <v>0</v>
      </c>
      <c r="R586">
        <f t="shared" si="127"/>
        <v>0</v>
      </c>
      <c r="S586">
        <f t="shared" si="127"/>
        <v>0</v>
      </c>
      <c r="T586">
        <f t="shared" si="127"/>
        <v>0</v>
      </c>
      <c r="U586">
        <f t="shared" si="127"/>
        <v>0</v>
      </c>
      <c r="V586">
        <f t="shared" si="127"/>
        <v>0</v>
      </c>
      <c r="W586">
        <f t="shared" si="127"/>
        <v>0</v>
      </c>
      <c r="X586">
        <f t="shared" ref="X586:AM603" si="130">IF(AND($G586&gt;=X$3,$G586&lt;X$4),$F586,0)</f>
        <v>0</v>
      </c>
      <c r="Y586">
        <f t="shared" si="130"/>
        <v>0</v>
      </c>
      <c r="Z586">
        <f t="shared" si="130"/>
        <v>0</v>
      </c>
      <c r="AA586">
        <f t="shared" si="130"/>
        <v>0</v>
      </c>
      <c r="AB586">
        <f t="shared" si="130"/>
        <v>0</v>
      </c>
      <c r="AC586">
        <f t="shared" si="130"/>
        <v>0</v>
      </c>
      <c r="AD586">
        <f t="shared" si="130"/>
        <v>0</v>
      </c>
      <c r="AE586">
        <f t="shared" si="130"/>
        <v>0</v>
      </c>
      <c r="AF586">
        <f t="shared" si="130"/>
        <v>0</v>
      </c>
      <c r="AG586">
        <f t="shared" si="130"/>
        <v>0</v>
      </c>
      <c r="AH586">
        <f t="shared" si="130"/>
        <v>0</v>
      </c>
      <c r="AI586">
        <f t="shared" si="130"/>
        <v>0</v>
      </c>
      <c r="AJ586">
        <f t="shared" si="130"/>
        <v>0</v>
      </c>
      <c r="AK586">
        <f t="shared" si="130"/>
        <v>0</v>
      </c>
      <c r="AL586">
        <f t="shared" si="130"/>
        <v>0</v>
      </c>
      <c r="AM586">
        <f t="shared" si="130"/>
        <v>0</v>
      </c>
      <c r="AN586">
        <f t="shared" si="125"/>
        <v>0</v>
      </c>
      <c r="AO586">
        <f t="shared" si="125"/>
        <v>0</v>
      </c>
      <c r="AP586">
        <f t="shared" si="125"/>
        <v>0</v>
      </c>
      <c r="AQ586">
        <f t="shared" si="125"/>
        <v>0</v>
      </c>
      <c r="AR586">
        <f t="shared" si="125"/>
        <v>0</v>
      </c>
    </row>
    <row r="587" spans="5:44" x14ac:dyDescent="0.2">
      <c r="E587" s="1">
        <f>moment_rate!$AC587</f>
        <v>7.4493433161470389E-3</v>
      </c>
      <c r="F587" s="1">
        <f t="shared" si="128"/>
        <v>0</v>
      </c>
      <c r="G587">
        <f>moment_rate!I587-0.005</f>
        <v>5.7999999999999208</v>
      </c>
      <c r="H587" s="1">
        <f t="shared" si="129"/>
        <v>0</v>
      </c>
      <c r="I587">
        <f t="shared" ref="I587:X602" si="131">IF(AND($G587&gt;=I$3,$G587&lt;I$4),$F587,0)</f>
        <v>0</v>
      </c>
      <c r="J587">
        <f t="shared" si="131"/>
        <v>0</v>
      </c>
      <c r="K587">
        <f t="shared" si="131"/>
        <v>0</v>
      </c>
      <c r="L587">
        <f t="shared" si="131"/>
        <v>0</v>
      </c>
      <c r="M587">
        <f t="shared" si="131"/>
        <v>0</v>
      </c>
      <c r="N587">
        <f t="shared" si="131"/>
        <v>0</v>
      </c>
      <c r="O587">
        <f t="shared" si="131"/>
        <v>0</v>
      </c>
      <c r="P587">
        <f t="shared" si="131"/>
        <v>0</v>
      </c>
      <c r="Q587">
        <f t="shared" si="131"/>
        <v>0</v>
      </c>
      <c r="R587">
        <f t="shared" si="131"/>
        <v>0</v>
      </c>
      <c r="S587">
        <f t="shared" si="131"/>
        <v>0</v>
      </c>
      <c r="T587">
        <f t="shared" si="131"/>
        <v>0</v>
      </c>
      <c r="U587">
        <f t="shared" si="131"/>
        <v>0</v>
      </c>
      <c r="V587">
        <f t="shared" si="131"/>
        <v>0</v>
      </c>
      <c r="W587">
        <f t="shared" si="131"/>
        <v>0</v>
      </c>
      <c r="X587">
        <f t="shared" si="131"/>
        <v>0</v>
      </c>
      <c r="Y587">
        <f t="shared" si="130"/>
        <v>0</v>
      </c>
      <c r="Z587">
        <f t="shared" si="130"/>
        <v>0</v>
      </c>
      <c r="AA587">
        <f t="shared" si="130"/>
        <v>0</v>
      </c>
      <c r="AB587">
        <f t="shared" si="130"/>
        <v>0</v>
      </c>
      <c r="AC587">
        <f t="shared" si="130"/>
        <v>0</v>
      </c>
      <c r="AD587">
        <f t="shared" si="130"/>
        <v>0</v>
      </c>
      <c r="AE587">
        <f t="shared" si="130"/>
        <v>0</v>
      </c>
      <c r="AF587">
        <f t="shared" si="130"/>
        <v>0</v>
      </c>
      <c r="AG587">
        <f t="shared" si="130"/>
        <v>0</v>
      </c>
      <c r="AH587">
        <f t="shared" si="130"/>
        <v>0</v>
      </c>
      <c r="AI587">
        <f t="shared" si="130"/>
        <v>0</v>
      </c>
      <c r="AJ587">
        <f t="shared" si="130"/>
        <v>0</v>
      </c>
      <c r="AK587">
        <f t="shared" si="130"/>
        <v>0</v>
      </c>
      <c r="AL587">
        <f t="shared" si="130"/>
        <v>0</v>
      </c>
      <c r="AM587">
        <f t="shared" si="130"/>
        <v>0</v>
      </c>
      <c r="AN587">
        <f t="shared" si="125"/>
        <v>0</v>
      </c>
      <c r="AO587">
        <f t="shared" si="125"/>
        <v>0</v>
      </c>
      <c r="AP587">
        <f t="shared" si="125"/>
        <v>0</v>
      </c>
      <c r="AQ587">
        <f t="shared" si="125"/>
        <v>0</v>
      </c>
      <c r="AR587">
        <f t="shared" si="125"/>
        <v>0</v>
      </c>
    </row>
    <row r="588" spans="5:44" x14ac:dyDescent="0.2">
      <c r="E588" s="1">
        <f>moment_rate!$AC588</f>
        <v>7.4493433161470389E-3</v>
      </c>
      <c r="F588" s="1">
        <f t="shared" si="128"/>
        <v>0</v>
      </c>
      <c r="G588">
        <f>moment_rate!I588-0.005</f>
        <v>5.8099999999999206</v>
      </c>
      <c r="H588" s="1">
        <f t="shared" si="129"/>
        <v>0</v>
      </c>
      <c r="I588">
        <f t="shared" si="131"/>
        <v>0</v>
      </c>
      <c r="J588">
        <f t="shared" si="131"/>
        <v>0</v>
      </c>
      <c r="K588">
        <f t="shared" si="131"/>
        <v>0</v>
      </c>
      <c r="L588">
        <f t="shared" si="131"/>
        <v>0</v>
      </c>
      <c r="M588">
        <f t="shared" si="131"/>
        <v>0</v>
      </c>
      <c r="N588">
        <f t="shared" si="131"/>
        <v>0</v>
      </c>
      <c r="O588">
        <f t="shared" si="131"/>
        <v>0</v>
      </c>
      <c r="P588">
        <f t="shared" si="131"/>
        <v>0</v>
      </c>
      <c r="Q588">
        <f t="shared" si="131"/>
        <v>0</v>
      </c>
      <c r="R588">
        <f t="shared" si="131"/>
        <v>0</v>
      </c>
      <c r="S588">
        <f t="shared" si="131"/>
        <v>0</v>
      </c>
      <c r="T588">
        <f t="shared" si="131"/>
        <v>0</v>
      </c>
      <c r="U588">
        <f t="shared" si="131"/>
        <v>0</v>
      </c>
      <c r="V588">
        <f t="shared" si="131"/>
        <v>0</v>
      </c>
      <c r="W588">
        <f t="shared" si="131"/>
        <v>0</v>
      </c>
      <c r="X588">
        <f t="shared" si="131"/>
        <v>0</v>
      </c>
      <c r="Y588">
        <f t="shared" si="130"/>
        <v>0</v>
      </c>
      <c r="Z588">
        <f t="shared" si="130"/>
        <v>0</v>
      </c>
      <c r="AA588">
        <f t="shared" si="130"/>
        <v>0</v>
      </c>
      <c r="AB588">
        <f t="shared" si="130"/>
        <v>0</v>
      </c>
      <c r="AC588">
        <f t="shared" si="130"/>
        <v>0</v>
      </c>
      <c r="AD588">
        <f t="shared" si="130"/>
        <v>0</v>
      </c>
      <c r="AE588">
        <f t="shared" si="130"/>
        <v>0</v>
      </c>
      <c r="AF588">
        <f t="shared" si="130"/>
        <v>0</v>
      </c>
      <c r="AG588">
        <f t="shared" si="130"/>
        <v>0</v>
      </c>
      <c r="AH588">
        <f t="shared" si="130"/>
        <v>0</v>
      </c>
      <c r="AI588">
        <f t="shared" si="130"/>
        <v>0</v>
      </c>
      <c r="AJ588">
        <f t="shared" si="130"/>
        <v>0</v>
      </c>
      <c r="AK588">
        <f t="shared" si="130"/>
        <v>0</v>
      </c>
      <c r="AL588">
        <f t="shared" si="130"/>
        <v>0</v>
      </c>
      <c r="AM588">
        <f t="shared" si="130"/>
        <v>0</v>
      </c>
      <c r="AN588">
        <f t="shared" si="125"/>
        <v>0</v>
      </c>
      <c r="AO588">
        <f t="shared" si="125"/>
        <v>0</v>
      </c>
      <c r="AP588">
        <f t="shared" si="125"/>
        <v>0</v>
      </c>
      <c r="AQ588">
        <f t="shared" si="125"/>
        <v>0</v>
      </c>
      <c r="AR588">
        <f t="shared" si="125"/>
        <v>0</v>
      </c>
    </row>
    <row r="589" spans="5:44" x14ac:dyDescent="0.2">
      <c r="E589" s="1">
        <f>moment_rate!$AC589</f>
        <v>7.4493433161470389E-3</v>
      </c>
      <c r="F589" s="1">
        <f t="shared" si="128"/>
        <v>0</v>
      </c>
      <c r="G589">
        <f>moment_rate!I589-0.005</f>
        <v>5.8199999999999203</v>
      </c>
      <c r="H589" s="1">
        <f t="shared" si="129"/>
        <v>0</v>
      </c>
      <c r="I589">
        <f t="shared" si="131"/>
        <v>0</v>
      </c>
      <c r="J589">
        <f t="shared" si="131"/>
        <v>0</v>
      </c>
      <c r="K589">
        <f t="shared" si="131"/>
        <v>0</v>
      </c>
      <c r="L589">
        <f t="shared" si="131"/>
        <v>0</v>
      </c>
      <c r="M589">
        <f t="shared" si="131"/>
        <v>0</v>
      </c>
      <c r="N589">
        <f t="shared" si="131"/>
        <v>0</v>
      </c>
      <c r="O589">
        <f t="shared" si="131"/>
        <v>0</v>
      </c>
      <c r="P589">
        <f t="shared" si="131"/>
        <v>0</v>
      </c>
      <c r="Q589">
        <f t="shared" si="131"/>
        <v>0</v>
      </c>
      <c r="R589">
        <f t="shared" si="131"/>
        <v>0</v>
      </c>
      <c r="S589">
        <f t="shared" si="131"/>
        <v>0</v>
      </c>
      <c r="T589">
        <f t="shared" si="131"/>
        <v>0</v>
      </c>
      <c r="U589">
        <f t="shared" si="131"/>
        <v>0</v>
      </c>
      <c r="V589">
        <f t="shared" si="131"/>
        <v>0</v>
      </c>
      <c r="W589">
        <f t="shared" si="131"/>
        <v>0</v>
      </c>
      <c r="X589">
        <f t="shared" si="131"/>
        <v>0</v>
      </c>
      <c r="Y589">
        <f t="shared" si="130"/>
        <v>0</v>
      </c>
      <c r="Z589">
        <f t="shared" si="130"/>
        <v>0</v>
      </c>
      <c r="AA589">
        <f t="shared" si="130"/>
        <v>0</v>
      </c>
      <c r="AB589">
        <f t="shared" si="130"/>
        <v>0</v>
      </c>
      <c r="AC589">
        <f t="shared" si="130"/>
        <v>0</v>
      </c>
      <c r="AD589">
        <f t="shared" si="130"/>
        <v>0</v>
      </c>
      <c r="AE589">
        <f t="shared" si="130"/>
        <v>0</v>
      </c>
      <c r="AF589">
        <f t="shared" si="130"/>
        <v>0</v>
      </c>
      <c r="AG589">
        <f t="shared" si="130"/>
        <v>0</v>
      </c>
      <c r="AH589">
        <f t="shared" si="130"/>
        <v>0</v>
      </c>
      <c r="AI589">
        <f t="shared" si="130"/>
        <v>0</v>
      </c>
      <c r="AJ589">
        <f t="shared" si="130"/>
        <v>0</v>
      </c>
      <c r="AK589">
        <f t="shared" si="130"/>
        <v>0</v>
      </c>
      <c r="AL589">
        <f t="shared" si="130"/>
        <v>0</v>
      </c>
      <c r="AM589">
        <f t="shared" si="130"/>
        <v>0</v>
      </c>
      <c r="AN589">
        <f t="shared" si="125"/>
        <v>0</v>
      </c>
      <c r="AO589">
        <f t="shared" si="125"/>
        <v>0</v>
      </c>
      <c r="AP589">
        <f t="shared" si="125"/>
        <v>0</v>
      </c>
      <c r="AQ589">
        <f t="shared" si="125"/>
        <v>0</v>
      </c>
      <c r="AR589">
        <f t="shared" si="125"/>
        <v>0</v>
      </c>
    </row>
    <row r="590" spans="5:44" x14ac:dyDescent="0.2">
      <c r="E590" s="1">
        <f>moment_rate!$AC590</f>
        <v>7.4493433161470389E-3</v>
      </c>
      <c r="F590" s="1">
        <f t="shared" si="128"/>
        <v>0</v>
      </c>
      <c r="G590">
        <f>moment_rate!I590-0.005</f>
        <v>5.8299999999999201</v>
      </c>
      <c r="H590" s="1">
        <f t="shared" si="129"/>
        <v>0</v>
      </c>
      <c r="I590">
        <f t="shared" si="131"/>
        <v>0</v>
      </c>
      <c r="J590">
        <f t="shared" si="131"/>
        <v>0</v>
      </c>
      <c r="K590">
        <f t="shared" si="131"/>
        <v>0</v>
      </c>
      <c r="L590">
        <f t="shared" si="131"/>
        <v>0</v>
      </c>
      <c r="M590">
        <f t="shared" si="131"/>
        <v>0</v>
      </c>
      <c r="N590">
        <f t="shared" si="131"/>
        <v>0</v>
      </c>
      <c r="O590">
        <f t="shared" si="131"/>
        <v>0</v>
      </c>
      <c r="P590">
        <f t="shared" si="131"/>
        <v>0</v>
      </c>
      <c r="Q590">
        <f t="shared" si="131"/>
        <v>0</v>
      </c>
      <c r="R590">
        <f t="shared" si="131"/>
        <v>0</v>
      </c>
      <c r="S590">
        <f t="shared" si="131"/>
        <v>0</v>
      </c>
      <c r="T590">
        <f t="shared" si="131"/>
        <v>0</v>
      </c>
      <c r="U590">
        <f t="shared" si="131"/>
        <v>0</v>
      </c>
      <c r="V590">
        <f t="shared" si="131"/>
        <v>0</v>
      </c>
      <c r="W590">
        <f t="shared" si="131"/>
        <v>0</v>
      </c>
      <c r="X590">
        <f t="shared" si="131"/>
        <v>0</v>
      </c>
      <c r="Y590">
        <f t="shared" si="130"/>
        <v>0</v>
      </c>
      <c r="Z590">
        <f t="shared" si="130"/>
        <v>0</v>
      </c>
      <c r="AA590">
        <f t="shared" si="130"/>
        <v>0</v>
      </c>
      <c r="AB590">
        <f t="shared" si="130"/>
        <v>0</v>
      </c>
      <c r="AC590">
        <f t="shared" si="130"/>
        <v>0</v>
      </c>
      <c r="AD590">
        <f t="shared" si="130"/>
        <v>0</v>
      </c>
      <c r="AE590">
        <f t="shared" si="130"/>
        <v>0</v>
      </c>
      <c r="AF590">
        <f t="shared" si="130"/>
        <v>0</v>
      </c>
      <c r="AG590">
        <f t="shared" si="130"/>
        <v>0</v>
      </c>
      <c r="AH590">
        <f t="shared" si="130"/>
        <v>0</v>
      </c>
      <c r="AI590">
        <f t="shared" si="130"/>
        <v>0</v>
      </c>
      <c r="AJ590">
        <f t="shared" si="130"/>
        <v>0</v>
      </c>
      <c r="AK590">
        <f t="shared" si="130"/>
        <v>0</v>
      </c>
      <c r="AL590">
        <f t="shared" si="130"/>
        <v>0</v>
      </c>
      <c r="AM590">
        <f t="shared" si="130"/>
        <v>0</v>
      </c>
      <c r="AN590">
        <f t="shared" si="125"/>
        <v>0</v>
      </c>
      <c r="AO590">
        <f t="shared" si="125"/>
        <v>0</v>
      </c>
      <c r="AP590">
        <f t="shared" si="125"/>
        <v>0</v>
      </c>
      <c r="AQ590">
        <f t="shared" si="125"/>
        <v>0</v>
      </c>
      <c r="AR590">
        <f t="shared" si="125"/>
        <v>0</v>
      </c>
    </row>
    <row r="591" spans="5:44" x14ac:dyDescent="0.2">
      <c r="E591" s="1">
        <f>moment_rate!$AC591</f>
        <v>7.4493433161470389E-3</v>
      </c>
      <c r="F591" s="1">
        <f t="shared" si="128"/>
        <v>0</v>
      </c>
      <c r="G591">
        <f>moment_rate!I591-0.005</f>
        <v>5.8399999999999199</v>
      </c>
      <c r="H591" s="1">
        <f t="shared" si="129"/>
        <v>0</v>
      </c>
      <c r="I591">
        <f t="shared" si="131"/>
        <v>0</v>
      </c>
      <c r="J591">
        <f t="shared" si="131"/>
        <v>0</v>
      </c>
      <c r="K591">
        <f t="shared" si="131"/>
        <v>0</v>
      </c>
      <c r="L591">
        <f t="shared" si="131"/>
        <v>0</v>
      </c>
      <c r="M591">
        <f t="shared" si="131"/>
        <v>0</v>
      </c>
      <c r="N591">
        <f t="shared" si="131"/>
        <v>0</v>
      </c>
      <c r="O591">
        <f t="shared" si="131"/>
        <v>0</v>
      </c>
      <c r="P591">
        <f t="shared" si="131"/>
        <v>0</v>
      </c>
      <c r="Q591">
        <f t="shared" si="131"/>
        <v>0</v>
      </c>
      <c r="R591">
        <f t="shared" si="131"/>
        <v>0</v>
      </c>
      <c r="S591">
        <f t="shared" si="131"/>
        <v>0</v>
      </c>
      <c r="T591">
        <f t="shared" si="131"/>
        <v>0</v>
      </c>
      <c r="U591">
        <f t="shared" si="131"/>
        <v>0</v>
      </c>
      <c r="V591">
        <f t="shared" si="131"/>
        <v>0</v>
      </c>
      <c r="W591">
        <f t="shared" si="131"/>
        <v>0</v>
      </c>
      <c r="X591">
        <f t="shared" si="131"/>
        <v>0</v>
      </c>
      <c r="Y591">
        <f t="shared" si="130"/>
        <v>0</v>
      </c>
      <c r="Z591">
        <f t="shared" si="130"/>
        <v>0</v>
      </c>
      <c r="AA591">
        <f t="shared" si="130"/>
        <v>0</v>
      </c>
      <c r="AB591">
        <f t="shared" si="130"/>
        <v>0</v>
      </c>
      <c r="AC591">
        <f t="shared" si="130"/>
        <v>0</v>
      </c>
      <c r="AD591">
        <f t="shared" si="130"/>
        <v>0</v>
      </c>
      <c r="AE591">
        <f t="shared" si="130"/>
        <v>0</v>
      </c>
      <c r="AF591">
        <f t="shared" si="130"/>
        <v>0</v>
      </c>
      <c r="AG591">
        <f t="shared" si="130"/>
        <v>0</v>
      </c>
      <c r="AH591">
        <f t="shared" si="130"/>
        <v>0</v>
      </c>
      <c r="AI591">
        <f t="shared" si="130"/>
        <v>0</v>
      </c>
      <c r="AJ591">
        <f t="shared" si="130"/>
        <v>0</v>
      </c>
      <c r="AK591">
        <f t="shared" si="130"/>
        <v>0</v>
      </c>
      <c r="AL591">
        <f t="shared" si="130"/>
        <v>0</v>
      </c>
      <c r="AM591">
        <f t="shared" si="130"/>
        <v>0</v>
      </c>
      <c r="AN591">
        <f t="shared" si="125"/>
        <v>0</v>
      </c>
      <c r="AO591">
        <f t="shared" si="125"/>
        <v>0</v>
      </c>
      <c r="AP591">
        <f t="shared" si="125"/>
        <v>0</v>
      </c>
      <c r="AQ591">
        <f t="shared" si="125"/>
        <v>0</v>
      </c>
      <c r="AR591">
        <f t="shared" si="125"/>
        <v>0</v>
      </c>
    </row>
    <row r="592" spans="5:44" x14ac:dyDescent="0.2">
      <c r="E592" s="1">
        <f>moment_rate!$AC592</f>
        <v>7.4493433161470389E-3</v>
      </c>
      <c r="F592" s="1">
        <f t="shared" si="128"/>
        <v>0</v>
      </c>
      <c r="G592">
        <f>moment_rate!I592-0.005</f>
        <v>5.8499999999999197</v>
      </c>
      <c r="H592" s="1">
        <f t="shared" si="129"/>
        <v>0</v>
      </c>
      <c r="I592">
        <f t="shared" si="131"/>
        <v>0</v>
      </c>
      <c r="J592">
        <f t="shared" si="131"/>
        <v>0</v>
      </c>
      <c r="K592">
        <f t="shared" si="131"/>
        <v>0</v>
      </c>
      <c r="L592">
        <f t="shared" si="131"/>
        <v>0</v>
      </c>
      <c r="M592">
        <f t="shared" si="131"/>
        <v>0</v>
      </c>
      <c r="N592">
        <f t="shared" si="131"/>
        <v>0</v>
      </c>
      <c r="O592">
        <f t="shared" si="131"/>
        <v>0</v>
      </c>
      <c r="P592">
        <f t="shared" si="131"/>
        <v>0</v>
      </c>
      <c r="Q592">
        <f t="shared" si="131"/>
        <v>0</v>
      </c>
      <c r="R592">
        <f t="shared" si="131"/>
        <v>0</v>
      </c>
      <c r="S592">
        <f t="shared" si="131"/>
        <v>0</v>
      </c>
      <c r="T592">
        <f t="shared" si="131"/>
        <v>0</v>
      </c>
      <c r="U592">
        <f t="shared" si="131"/>
        <v>0</v>
      </c>
      <c r="V592">
        <f t="shared" si="131"/>
        <v>0</v>
      </c>
      <c r="W592">
        <f t="shared" si="131"/>
        <v>0</v>
      </c>
      <c r="X592">
        <f t="shared" si="131"/>
        <v>0</v>
      </c>
      <c r="Y592">
        <f t="shared" si="130"/>
        <v>0</v>
      </c>
      <c r="Z592">
        <f t="shared" si="130"/>
        <v>0</v>
      </c>
      <c r="AA592">
        <f t="shared" si="130"/>
        <v>0</v>
      </c>
      <c r="AB592">
        <f t="shared" si="130"/>
        <v>0</v>
      </c>
      <c r="AC592">
        <f t="shared" si="130"/>
        <v>0</v>
      </c>
      <c r="AD592">
        <f t="shared" si="130"/>
        <v>0</v>
      </c>
      <c r="AE592">
        <f t="shared" si="130"/>
        <v>0</v>
      </c>
      <c r="AF592">
        <f t="shared" si="130"/>
        <v>0</v>
      </c>
      <c r="AG592">
        <f t="shared" si="130"/>
        <v>0</v>
      </c>
      <c r="AH592">
        <f t="shared" si="130"/>
        <v>0</v>
      </c>
      <c r="AI592">
        <f t="shared" si="130"/>
        <v>0</v>
      </c>
      <c r="AJ592">
        <f t="shared" si="130"/>
        <v>0</v>
      </c>
      <c r="AK592">
        <f t="shared" si="130"/>
        <v>0</v>
      </c>
      <c r="AL592">
        <f t="shared" si="130"/>
        <v>0</v>
      </c>
      <c r="AM592">
        <f t="shared" si="130"/>
        <v>0</v>
      </c>
      <c r="AN592">
        <f t="shared" si="125"/>
        <v>0</v>
      </c>
      <c r="AO592">
        <f t="shared" si="125"/>
        <v>0</v>
      </c>
      <c r="AP592">
        <f t="shared" si="125"/>
        <v>0</v>
      </c>
      <c r="AQ592">
        <f t="shared" si="125"/>
        <v>0</v>
      </c>
      <c r="AR592">
        <f t="shared" si="125"/>
        <v>0</v>
      </c>
    </row>
    <row r="593" spans="5:44" x14ac:dyDescent="0.2">
      <c r="E593" s="1">
        <f>moment_rate!$AC593</f>
        <v>7.4493433161470389E-3</v>
      </c>
      <c r="F593" s="1">
        <f t="shared" si="128"/>
        <v>0</v>
      </c>
      <c r="G593">
        <f>moment_rate!I593-0.005</f>
        <v>5.8599999999999195</v>
      </c>
      <c r="H593" s="1">
        <f t="shared" si="129"/>
        <v>0</v>
      </c>
      <c r="I593">
        <f t="shared" si="131"/>
        <v>0</v>
      </c>
      <c r="J593">
        <f t="shared" si="131"/>
        <v>0</v>
      </c>
      <c r="K593">
        <f t="shared" si="131"/>
        <v>0</v>
      </c>
      <c r="L593">
        <f t="shared" si="131"/>
        <v>0</v>
      </c>
      <c r="M593">
        <f t="shared" si="131"/>
        <v>0</v>
      </c>
      <c r="N593">
        <f t="shared" si="131"/>
        <v>0</v>
      </c>
      <c r="O593">
        <f t="shared" si="131"/>
        <v>0</v>
      </c>
      <c r="P593">
        <f t="shared" si="131"/>
        <v>0</v>
      </c>
      <c r="Q593">
        <f t="shared" si="131"/>
        <v>0</v>
      </c>
      <c r="R593">
        <f t="shared" si="131"/>
        <v>0</v>
      </c>
      <c r="S593">
        <f t="shared" si="131"/>
        <v>0</v>
      </c>
      <c r="T593">
        <f t="shared" si="131"/>
        <v>0</v>
      </c>
      <c r="U593">
        <f t="shared" si="131"/>
        <v>0</v>
      </c>
      <c r="V593">
        <f t="shared" si="131"/>
        <v>0</v>
      </c>
      <c r="W593">
        <f t="shared" si="131"/>
        <v>0</v>
      </c>
      <c r="X593">
        <f t="shared" si="131"/>
        <v>0</v>
      </c>
      <c r="Y593">
        <f t="shared" si="130"/>
        <v>0</v>
      </c>
      <c r="Z593">
        <f t="shared" si="130"/>
        <v>0</v>
      </c>
      <c r="AA593">
        <f t="shared" si="130"/>
        <v>0</v>
      </c>
      <c r="AB593">
        <f t="shared" si="130"/>
        <v>0</v>
      </c>
      <c r="AC593">
        <f t="shared" si="130"/>
        <v>0</v>
      </c>
      <c r="AD593">
        <f t="shared" si="130"/>
        <v>0</v>
      </c>
      <c r="AE593">
        <f t="shared" si="130"/>
        <v>0</v>
      </c>
      <c r="AF593">
        <f t="shared" si="130"/>
        <v>0</v>
      </c>
      <c r="AG593">
        <f t="shared" si="130"/>
        <v>0</v>
      </c>
      <c r="AH593">
        <f t="shared" si="130"/>
        <v>0</v>
      </c>
      <c r="AI593">
        <f t="shared" si="130"/>
        <v>0</v>
      </c>
      <c r="AJ593">
        <f t="shared" si="130"/>
        <v>0</v>
      </c>
      <c r="AK593">
        <f t="shared" si="130"/>
        <v>0</v>
      </c>
      <c r="AL593">
        <f t="shared" si="130"/>
        <v>0</v>
      </c>
      <c r="AM593">
        <f t="shared" si="130"/>
        <v>0</v>
      </c>
      <c r="AN593">
        <f t="shared" si="125"/>
        <v>0</v>
      </c>
      <c r="AO593">
        <f t="shared" si="125"/>
        <v>0</v>
      </c>
      <c r="AP593">
        <f t="shared" si="125"/>
        <v>0</v>
      </c>
      <c r="AQ593">
        <f t="shared" si="125"/>
        <v>0</v>
      </c>
      <c r="AR593">
        <f t="shared" si="125"/>
        <v>0</v>
      </c>
    </row>
    <row r="594" spans="5:44" x14ac:dyDescent="0.2">
      <c r="E594" s="1">
        <f>moment_rate!$AC594</f>
        <v>7.4493433161470389E-3</v>
      </c>
      <c r="F594" s="1">
        <f t="shared" si="128"/>
        <v>0</v>
      </c>
      <c r="G594">
        <f>moment_rate!I594-0.005</f>
        <v>5.8699999999999193</v>
      </c>
      <c r="H594" s="1">
        <f t="shared" si="129"/>
        <v>0</v>
      </c>
      <c r="I594">
        <f t="shared" si="131"/>
        <v>0</v>
      </c>
      <c r="J594">
        <f t="shared" si="131"/>
        <v>0</v>
      </c>
      <c r="K594">
        <f t="shared" si="131"/>
        <v>0</v>
      </c>
      <c r="L594">
        <f t="shared" si="131"/>
        <v>0</v>
      </c>
      <c r="M594">
        <f t="shared" si="131"/>
        <v>0</v>
      </c>
      <c r="N594">
        <f t="shared" si="131"/>
        <v>0</v>
      </c>
      <c r="O594">
        <f t="shared" si="131"/>
        <v>0</v>
      </c>
      <c r="P594">
        <f t="shared" si="131"/>
        <v>0</v>
      </c>
      <c r="Q594">
        <f t="shared" si="131"/>
        <v>0</v>
      </c>
      <c r="R594">
        <f t="shared" si="131"/>
        <v>0</v>
      </c>
      <c r="S594">
        <f t="shared" si="131"/>
        <v>0</v>
      </c>
      <c r="T594">
        <f t="shared" si="131"/>
        <v>0</v>
      </c>
      <c r="U594">
        <f t="shared" si="131"/>
        <v>0</v>
      </c>
      <c r="V594">
        <f t="shared" si="131"/>
        <v>0</v>
      </c>
      <c r="W594">
        <f t="shared" si="131"/>
        <v>0</v>
      </c>
      <c r="X594">
        <f t="shared" si="131"/>
        <v>0</v>
      </c>
      <c r="Y594">
        <f t="shared" si="130"/>
        <v>0</v>
      </c>
      <c r="Z594">
        <f t="shared" si="130"/>
        <v>0</v>
      </c>
      <c r="AA594">
        <f t="shared" si="130"/>
        <v>0</v>
      </c>
      <c r="AB594">
        <f t="shared" si="130"/>
        <v>0</v>
      </c>
      <c r="AC594">
        <f t="shared" si="130"/>
        <v>0</v>
      </c>
      <c r="AD594">
        <f t="shared" si="130"/>
        <v>0</v>
      </c>
      <c r="AE594">
        <f t="shared" si="130"/>
        <v>0</v>
      </c>
      <c r="AF594">
        <f t="shared" si="130"/>
        <v>0</v>
      </c>
      <c r="AG594">
        <f t="shared" si="130"/>
        <v>0</v>
      </c>
      <c r="AH594">
        <f t="shared" si="130"/>
        <v>0</v>
      </c>
      <c r="AI594">
        <f t="shared" si="130"/>
        <v>0</v>
      </c>
      <c r="AJ594">
        <f t="shared" si="130"/>
        <v>0</v>
      </c>
      <c r="AK594">
        <f t="shared" si="130"/>
        <v>0</v>
      </c>
      <c r="AL594">
        <f t="shared" si="130"/>
        <v>0</v>
      </c>
      <c r="AM594">
        <f t="shared" si="130"/>
        <v>0</v>
      </c>
      <c r="AN594">
        <f t="shared" si="125"/>
        <v>0</v>
      </c>
      <c r="AO594">
        <f t="shared" si="125"/>
        <v>0</v>
      </c>
      <c r="AP594">
        <f t="shared" si="125"/>
        <v>0</v>
      </c>
      <c r="AQ594">
        <f t="shared" si="125"/>
        <v>0</v>
      </c>
      <c r="AR594">
        <f t="shared" si="125"/>
        <v>0</v>
      </c>
    </row>
    <row r="595" spans="5:44" x14ac:dyDescent="0.2">
      <c r="E595" s="1">
        <f>moment_rate!$AC595</f>
        <v>7.4493433161470389E-3</v>
      </c>
      <c r="F595" s="1">
        <f t="shared" si="128"/>
        <v>0</v>
      </c>
      <c r="G595">
        <f>moment_rate!I595-0.005</f>
        <v>5.8799999999999191</v>
      </c>
      <c r="H595" s="1">
        <f t="shared" si="129"/>
        <v>0</v>
      </c>
      <c r="I595">
        <f t="shared" si="131"/>
        <v>0</v>
      </c>
      <c r="J595">
        <f t="shared" si="131"/>
        <v>0</v>
      </c>
      <c r="K595">
        <f t="shared" si="131"/>
        <v>0</v>
      </c>
      <c r="L595">
        <f t="shared" si="131"/>
        <v>0</v>
      </c>
      <c r="M595">
        <f t="shared" si="131"/>
        <v>0</v>
      </c>
      <c r="N595">
        <f t="shared" si="131"/>
        <v>0</v>
      </c>
      <c r="O595">
        <f t="shared" si="131"/>
        <v>0</v>
      </c>
      <c r="P595">
        <f t="shared" si="131"/>
        <v>0</v>
      </c>
      <c r="Q595">
        <f t="shared" si="131"/>
        <v>0</v>
      </c>
      <c r="R595">
        <f t="shared" si="131"/>
        <v>0</v>
      </c>
      <c r="S595">
        <f t="shared" si="131"/>
        <v>0</v>
      </c>
      <c r="T595">
        <f t="shared" si="131"/>
        <v>0</v>
      </c>
      <c r="U595">
        <f t="shared" si="131"/>
        <v>0</v>
      </c>
      <c r="V595">
        <f t="shared" si="131"/>
        <v>0</v>
      </c>
      <c r="W595">
        <f t="shared" si="131"/>
        <v>0</v>
      </c>
      <c r="X595">
        <f t="shared" si="131"/>
        <v>0</v>
      </c>
      <c r="Y595">
        <f t="shared" si="130"/>
        <v>0</v>
      </c>
      <c r="Z595">
        <f t="shared" si="130"/>
        <v>0</v>
      </c>
      <c r="AA595">
        <f t="shared" si="130"/>
        <v>0</v>
      </c>
      <c r="AB595">
        <f t="shared" si="130"/>
        <v>0</v>
      </c>
      <c r="AC595">
        <f t="shared" si="130"/>
        <v>0</v>
      </c>
      <c r="AD595">
        <f t="shared" si="130"/>
        <v>0</v>
      </c>
      <c r="AE595">
        <f t="shared" si="130"/>
        <v>0</v>
      </c>
      <c r="AF595">
        <f t="shared" si="130"/>
        <v>0</v>
      </c>
      <c r="AG595">
        <f t="shared" si="130"/>
        <v>0</v>
      </c>
      <c r="AH595">
        <f t="shared" si="130"/>
        <v>0</v>
      </c>
      <c r="AI595">
        <f t="shared" si="130"/>
        <v>0</v>
      </c>
      <c r="AJ595">
        <f t="shared" si="130"/>
        <v>0</v>
      </c>
      <c r="AK595">
        <f t="shared" si="130"/>
        <v>0</v>
      </c>
      <c r="AL595">
        <f t="shared" si="130"/>
        <v>0</v>
      </c>
      <c r="AM595">
        <f t="shared" si="130"/>
        <v>0</v>
      </c>
      <c r="AN595">
        <f t="shared" si="125"/>
        <v>0</v>
      </c>
      <c r="AO595">
        <f t="shared" si="125"/>
        <v>0</v>
      </c>
      <c r="AP595">
        <f t="shared" si="125"/>
        <v>0</v>
      </c>
      <c r="AQ595">
        <f t="shared" si="125"/>
        <v>0</v>
      </c>
      <c r="AR595">
        <f t="shared" si="125"/>
        <v>0</v>
      </c>
    </row>
    <row r="596" spans="5:44" x14ac:dyDescent="0.2">
      <c r="E596" s="1">
        <f>moment_rate!$AC596</f>
        <v>7.4493433161470389E-3</v>
      </c>
      <c r="F596" s="1">
        <f t="shared" si="128"/>
        <v>0</v>
      </c>
      <c r="G596">
        <f>moment_rate!I596-0.005</f>
        <v>5.8899999999999189</v>
      </c>
      <c r="H596" s="1">
        <f t="shared" si="129"/>
        <v>0</v>
      </c>
      <c r="I596">
        <f t="shared" si="131"/>
        <v>0</v>
      </c>
      <c r="J596">
        <f t="shared" si="131"/>
        <v>0</v>
      </c>
      <c r="K596">
        <f t="shared" si="131"/>
        <v>0</v>
      </c>
      <c r="L596">
        <f t="shared" si="131"/>
        <v>0</v>
      </c>
      <c r="M596">
        <f t="shared" si="131"/>
        <v>0</v>
      </c>
      <c r="N596">
        <f t="shared" si="131"/>
        <v>0</v>
      </c>
      <c r="O596">
        <f t="shared" si="131"/>
        <v>0</v>
      </c>
      <c r="P596">
        <f t="shared" si="131"/>
        <v>0</v>
      </c>
      <c r="Q596">
        <f t="shared" si="131"/>
        <v>0</v>
      </c>
      <c r="R596">
        <f t="shared" si="131"/>
        <v>0</v>
      </c>
      <c r="S596">
        <f t="shared" si="131"/>
        <v>0</v>
      </c>
      <c r="T596">
        <f t="shared" si="131"/>
        <v>0</v>
      </c>
      <c r="U596">
        <f t="shared" si="131"/>
        <v>0</v>
      </c>
      <c r="V596">
        <f t="shared" si="131"/>
        <v>0</v>
      </c>
      <c r="W596">
        <f t="shared" si="131"/>
        <v>0</v>
      </c>
      <c r="X596">
        <f t="shared" si="131"/>
        <v>0</v>
      </c>
      <c r="Y596">
        <f t="shared" si="130"/>
        <v>0</v>
      </c>
      <c r="Z596">
        <f t="shared" si="130"/>
        <v>0</v>
      </c>
      <c r="AA596">
        <f t="shared" si="130"/>
        <v>0</v>
      </c>
      <c r="AB596">
        <f t="shared" si="130"/>
        <v>0</v>
      </c>
      <c r="AC596">
        <f t="shared" si="130"/>
        <v>0</v>
      </c>
      <c r="AD596">
        <f t="shared" si="130"/>
        <v>0</v>
      </c>
      <c r="AE596">
        <f t="shared" si="130"/>
        <v>0</v>
      </c>
      <c r="AF596">
        <f t="shared" si="130"/>
        <v>0</v>
      </c>
      <c r="AG596">
        <f t="shared" si="130"/>
        <v>0</v>
      </c>
      <c r="AH596">
        <f t="shared" si="130"/>
        <v>0</v>
      </c>
      <c r="AI596">
        <f t="shared" si="130"/>
        <v>0</v>
      </c>
      <c r="AJ596">
        <f t="shared" si="130"/>
        <v>0</v>
      </c>
      <c r="AK596">
        <f t="shared" si="130"/>
        <v>0</v>
      </c>
      <c r="AL596">
        <f t="shared" si="130"/>
        <v>0</v>
      </c>
      <c r="AM596">
        <f t="shared" si="130"/>
        <v>0</v>
      </c>
      <c r="AN596">
        <f t="shared" si="125"/>
        <v>0</v>
      </c>
      <c r="AO596">
        <f t="shared" si="125"/>
        <v>0</v>
      </c>
      <c r="AP596">
        <f t="shared" si="125"/>
        <v>0</v>
      </c>
      <c r="AQ596">
        <f t="shared" si="125"/>
        <v>0</v>
      </c>
      <c r="AR596">
        <f t="shared" si="125"/>
        <v>0</v>
      </c>
    </row>
    <row r="597" spans="5:44" x14ac:dyDescent="0.2">
      <c r="E597" s="1">
        <f>moment_rate!$AC597</f>
        <v>7.4493433161470389E-3</v>
      </c>
      <c r="F597" s="1">
        <f t="shared" si="128"/>
        <v>0</v>
      </c>
      <c r="G597">
        <f>moment_rate!I597-0.005</f>
        <v>5.8999999999999186</v>
      </c>
      <c r="H597" s="1">
        <f t="shared" si="129"/>
        <v>0</v>
      </c>
      <c r="I597">
        <f t="shared" si="131"/>
        <v>0</v>
      </c>
      <c r="J597">
        <f t="shared" si="131"/>
        <v>0</v>
      </c>
      <c r="K597">
        <f t="shared" si="131"/>
        <v>0</v>
      </c>
      <c r="L597">
        <f t="shared" si="131"/>
        <v>0</v>
      </c>
      <c r="M597">
        <f t="shared" si="131"/>
        <v>0</v>
      </c>
      <c r="N597">
        <f t="shared" si="131"/>
        <v>0</v>
      </c>
      <c r="O597">
        <f t="shared" si="131"/>
        <v>0</v>
      </c>
      <c r="P597">
        <f t="shared" si="131"/>
        <v>0</v>
      </c>
      <c r="Q597">
        <f t="shared" si="131"/>
        <v>0</v>
      </c>
      <c r="R597">
        <f t="shared" si="131"/>
        <v>0</v>
      </c>
      <c r="S597">
        <f t="shared" si="131"/>
        <v>0</v>
      </c>
      <c r="T597">
        <f t="shared" si="131"/>
        <v>0</v>
      </c>
      <c r="U597">
        <f t="shared" si="131"/>
        <v>0</v>
      </c>
      <c r="V597">
        <f t="shared" si="131"/>
        <v>0</v>
      </c>
      <c r="W597">
        <f t="shared" si="131"/>
        <v>0</v>
      </c>
      <c r="X597">
        <f t="shared" si="131"/>
        <v>0</v>
      </c>
      <c r="Y597">
        <f t="shared" si="130"/>
        <v>0</v>
      </c>
      <c r="Z597">
        <f t="shared" si="130"/>
        <v>0</v>
      </c>
      <c r="AA597">
        <f t="shared" si="130"/>
        <v>0</v>
      </c>
      <c r="AB597">
        <f t="shared" si="130"/>
        <v>0</v>
      </c>
      <c r="AC597">
        <f t="shared" si="130"/>
        <v>0</v>
      </c>
      <c r="AD597">
        <f t="shared" si="130"/>
        <v>0</v>
      </c>
      <c r="AE597">
        <f t="shared" si="130"/>
        <v>0</v>
      </c>
      <c r="AF597">
        <f t="shared" si="130"/>
        <v>0</v>
      </c>
      <c r="AG597">
        <f t="shared" si="130"/>
        <v>0</v>
      </c>
      <c r="AH597">
        <f t="shared" si="130"/>
        <v>0</v>
      </c>
      <c r="AI597">
        <f t="shared" si="130"/>
        <v>0</v>
      </c>
      <c r="AJ597">
        <f t="shared" si="130"/>
        <v>0</v>
      </c>
      <c r="AK597">
        <f t="shared" si="130"/>
        <v>0</v>
      </c>
      <c r="AL597">
        <f t="shared" si="130"/>
        <v>0</v>
      </c>
      <c r="AM597">
        <f t="shared" si="130"/>
        <v>0</v>
      </c>
      <c r="AN597">
        <f t="shared" si="125"/>
        <v>0</v>
      </c>
      <c r="AO597">
        <f t="shared" si="125"/>
        <v>0</v>
      </c>
      <c r="AP597">
        <f t="shared" si="125"/>
        <v>0</v>
      </c>
      <c r="AQ597">
        <f t="shared" si="125"/>
        <v>0</v>
      </c>
      <c r="AR597">
        <f t="shared" si="125"/>
        <v>0</v>
      </c>
    </row>
    <row r="598" spans="5:44" x14ac:dyDescent="0.2">
      <c r="E598" s="1">
        <f>moment_rate!$AC598</f>
        <v>7.4493433161470389E-3</v>
      </c>
      <c r="F598" s="1">
        <f t="shared" si="128"/>
        <v>0</v>
      </c>
      <c r="G598">
        <f>moment_rate!I598-0.005</f>
        <v>5.9099999999999184</v>
      </c>
      <c r="H598" s="1">
        <f t="shared" si="129"/>
        <v>0</v>
      </c>
      <c r="I598">
        <f t="shared" si="131"/>
        <v>0</v>
      </c>
      <c r="J598">
        <f t="shared" si="131"/>
        <v>0</v>
      </c>
      <c r="K598">
        <f t="shared" si="131"/>
        <v>0</v>
      </c>
      <c r="L598">
        <f t="shared" si="131"/>
        <v>0</v>
      </c>
      <c r="M598">
        <f t="shared" si="131"/>
        <v>0</v>
      </c>
      <c r="N598">
        <f t="shared" si="131"/>
        <v>0</v>
      </c>
      <c r="O598">
        <f t="shared" si="131"/>
        <v>0</v>
      </c>
      <c r="P598">
        <f t="shared" si="131"/>
        <v>0</v>
      </c>
      <c r="Q598">
        <f t="shared" si="131"/>
        <v>0</v>
      </c>
      <c r="R598">
        <f t="shared" si="131"/>
        <v>0</v>
      </c>
      <c r="S598">
        <f t="shared" si="131"/>
        <v>0</v>
      </c>
      <c r="T598">
        <f t="shared" si="131"/>
        <v>0</v>
      </c>
      <c r="U598">
        <f t="shared" si="131"/>
        <v>0</v>
      </c>
      <c r="V598">
        <f t="shared" si="131"/>
        <v>0</v>
      </c>
      <c r="W598">
        <f t="shared" si="131"/>
        <v>0</v>
      </c>
      <c r="X598">
        <f t="shared" si="131"/>
        <v>0</v>
      </c>
      <c r="Y598">
        <f t="shared" si="130"/>
        <v>0</v>
      </c>
      <c r="Z598">
        <f t="shared" si="130"/>
        <v>0</v>
      </c>
      <c r="AA598">
        <f t="shared" si="130"/>
        <v>0</v>
      </c>
      <c r="AB598">
        <f t="shared" si="130"/>
        <v>0</v>
      </c>
      <c r="AC598">
        <f t="shared" si="130"/>
        <v>0</v>
      </c>
      <c r="AD598">
        <f t="shared" si="130"/>
        <v>0</v>
      </c>
      <c r="AE598">
        <f t="shared" si="130"/>
        <v>0</v>
      </c>
      <c r="AF598">
        <f t="shared" si="130"/>
        <v>0</v>
      </c>
      <c r="AG598">
        <f t="shared" si="130"/>
        <v>0</v>
      </c>
      <c r="AH598">
        <f t="shared" si="130"/>
        <v>0</v>
      </c>
      <c r="AI598">
        <f t="shared" si="130"/>
        <v>0</v>
      </c>
      <c r="AJ598">
        <f t="shared" si="130"/>
        <v>0</v>
      </c>
      <c r="AK598">
        <f t="shared" si="130"/>
        <v>0</v>
      </c>
      <c r="AL598">
        <f t="shared" si="130"/>
        <v>0</v>
      </c>
      <c r="AM598">
        <f t="shared" si="130"/>
        <v>0</v>
      </c>
      <c r="AN598">
        <f t="shared" si="125"/>
        <v>0</v>
      </c>
      <c r="AO598">
        <f t="shared" si="125"/>
        <v>0</v>
      </c>
      <c r="AP598">
        <f t="shared" si="125"/>
        <v>0</v>
      </c>
      <c r="AQ598">
        <f t="shared" si="125"/>
        <v>0</v>
      </c>
      <c r="AR598">
        <f t="shared" si="125"/>
        <v>0</v>
      </c>
    </row>
    <row r="599" spans="5:44" x14ac:dyDescent="0.2">
      <c r="E599" s="1">
        <f>moment_rate!$AC599</f>
        <v>7.4493433161470389E-3</v>
      </c>
      <c r="F599" s="1">
        <f t="shared" si="128"/>
        <v>0</v>
      </c>
      <c r="G599">
        <f>moment_rate!I599-0.005</f>
        <v>5.9199999999999182</v>
      </c>
      <c r="H599" s="1">
        <f t="shared" si="129"/>
        <v>0</v>
      </c>
      <c r="I599">
        <f t="shared" si="131"/>
        <v>0</v>
      </c>
      <c r="J599">
        <f t="shared" si="131"/>
        <v>0</v>
      </c>
      <c r="K599">
        <f t="shared" si="131"/>
        <v>0</v>
      </c>
      <c r="L599">
        <f t="shared" si="131"/>
        <v>0</v>
      </c>
      <c r="M599">
        <f t="shared" si="131"/>
        <v>0</v>
      </c>
      <c r="N599">
        <f t="shared" si="131"/>
        <v>0</v>
      </c>
      <c r="O599">
        <f t="shared" si="131"/>
        <v>0</v>
      </c>
      <c r="P599">
        <f t="shared" si="131"/>
        <v>0</v>
      </c>
      <c r="Q599">
        <f t="shared" si="131"/>
        <v>0</v>
      </c>
      <c r="R599">
        <f t="shared" si="131"/>
        <v>0</v>
      </c>
      <c r="S599">
        <f t="shared" si="131"/>
        <v>0</v>
      </c>
      <c r="T599">
        <f t="shared" si="131"/>
        <v>0</v>
      </c>
      <c r="U599">
        <f t="shared" si="131"/>
        <v>0</v>
      </c>
      <c r="V599">
        <f t="shared" si="131"/>
        <v>0</v>
      </c>
      <c r="W599">
        <f t="shared" si="131"/>
        <v>0</v>
      </c>
      <c r="X599">
        <f t="shared" si="131"/>
        <v>0</v>
      </c>
      <c r="Y599">
        <f t="shared" si="130"/>
        <v>0</v>
      </c>
      <c r="Z599">
        <f t="shared" si="130"/>
        <v>0</v>
      </c>
      <c r="AA599">
        <f t="shared" si="130"/>
        <v>0</v>
      </c>
      <c r="AB599">
        <f t="shared" si="130"/>
        <v>0</v>
      </c>
      <c r="AC599">
        <f t="shared" si="130"/>
        <v>0</v>
      </c>
      <c r="AD599">
        <f t="shared" si="130"/>
        <v>0</v>
      </c>
      <c r="AE599">
        <f t="shared" si="130"/>
        <v>0</v>
      </c>
      <c r="AF599">
        <f t="shared" si="130"/>
        <v>0</v>
      </c>
      <c r="AG599">
        <f t="shared" si="130"/>
        <v>0</v>
      </c>
      <c r="AH599">
        <f t="shared" si="130"/>
        <v>0</v>
      </c>
      <c r="AI599">
        <f t="shared" si="130"/>
        <v>0</v>
      </c>
      <c r="AJ599">
        <f t="shared" si="130"/>
        <v>0</v>
      </c>
      <c r="AK599">
        <f t="shared" si="130"/>
        <v>0</v>
      </c>
      <c r="AL599">
        <f t="shared" si="130"/>
        <v>0</v>
      </c>
      <c r="AM599">
        <f t="shared" si="130"/>
        <v>0</v>
      </c>
      <c r="AN599">
        <f t="shared" si="125"/>
        <v>0</v>
      </c>
      <c r="AO599">
        <f t="shared" si="125"/>
        <v>0</v>
      </c>
      <c r="AP599">
        <f t="shared" si="125"/>
        <v>0</v>
      </c>
      <c r="AQ599">
        <f t="shared" si="125"/>
        <v>0</v>
      </c>
      <c r="AR599">
        <f t="shared" si="125"/>
        <v>0</v>
      </c>
    </row>
    <row r="600" spans="5:44" x14ac:dyDescent="0.2">
      <c r="E600" s="1">
        <f>moment_rate!$AC600</f>
        <v>7.4493433161470389E-3</v>
      </c>
      <c r="F600" s="1">
        <f t="shared" si="128"/>
        <v>0</v>
      </c>
      <c r="G600">
        <f>moment_rate!I600-0.005</f>
        <v>5.929999999999918</v>
      </c>
      <c r="H600" s="1">
        <f t="shared" si="129"/>
        <v>0</v>
      </c>
      <c r="I600">
        <f t="shared" si="131"/>
        <v>0</v>
      </c>
      <c r="J600">
        <f t="shared" si="131"/>
        <v>0</v>
      </c>
      <c r="K600">
        <f t="shared" si="131"/>
        <v>0</v>
      </c>
      <c r="L600">
        <f t="shared" si="131"/>
        <v>0</v>
      </c>
      <c r="M600">
        <f t="shared" si="131"/>
        <v>0</v>
      </c>
      <c r="N600">
        <f t="shared" si="131"/>
        <v>0</v>
      </c>
      <c r="O600">
        <f t="shared" si="131"/>
        <v>0</v>
      </c>
      <c r="P600">
        <f t="shared" si="131"/>
        <v>0</v>
      </c>
      <c r="Q600">
        <f t="shared" si="131"/>
        <v>0</v>
      </c>
      <c r="R600">
        <f t="shared" si="131"/>
        <v>0</v>
      </c>
      <c r="S600">
        <f t="shared" si="131"/>
        <v>0</v>
      </c>
      <c r="T600">
        <f t="shared" si="131"/>
        <v>0</v>
      </c>
      <c r="U600">
        <f t="shared" si="131"/>
        <v>0</v>
      </c>
      <c r="V600">
        <f t="shared" si="131"/>
        <v>0</v>
      </c>
      <c r="W600">
        <f t="shared" si="131"/>
        <v>0</v>
      </c>
      <c r="X600">
        <f t="shared" si="131"/>
        <v>0</v>
      </c>
      <c r="Y600">
        <f t="shared" si="130"/>
        <v>0</v>
      </c>
      <c r="Z600">
        <f t="shared" si="130"/>
        <v>0</v>
      </c>
      <c r="AA600">
        <f t="shared" si="130"/>
        <v>0</v>
      </c>
      <c r="AB600">
        <f t="shared" si="130"/>
        <v>0</v>
      </c>
      <c r="AC600">
        <f t="shared" si="130"/>
        <v>0</v>
      </c>
      <c r="AD600">
        <f t="shared" si="130"/>
        <v>0</v>
      </c>
      <c r="AE600">
        <f t="shared" si="130"/>
        <v>0</v>
      </c>
      <c r="AF600">
        <f t="shared" si="130"/>
        <v>0</v>
      </c>
      <c r="AG600">
        <f t="shared" si="130"/>
        <v>0</v>
      </c>
      <c r="AH600">
        <f t="shared" si="130"/>
        <v>0</v>
      </c>
      <c r="AI600">
        <f t="shared" si="130"/>
        <v>0</v>
      </c>
      <c r="AJ600">
        <f t="shared" si="130"/>
        <v>0</v>
      </c>
      <c r="AK600">
        <f t="shared" si="130"/>
        <v>0</v>
      </c>
      <c r="AL600">
        <f t="shared" si="130"/>
        <v>0</v>
      </c>
      <c r="AM600">
        <f t="shared" si="130"/>
        <v>0</v>
      </c>
      <c r="AN600">
        <f t="shared" si="125"/>
        <v>0</v>
      </c>
      <c r="AO600">
        <f t="shared" si="125"/>
        <v>0</v>
      </c>
      <c r="AP600">
        <f t="shared" si="125"/>
        <v>0</v>
      </c>
      <c r="AQ600">
        <f t="shared" si="125"/>
        <v>0</v>
      </c>
      <c r="AR600">
        <f t="shared" si="125"/>
        <v>0</v>
      </c>
    </row>
    <row r="601" spans="5:44" x14ac:dyDescent="0.2">
      <c r="E601" s="1">
        <f>moment_rate!$AC601</f>
        <v>7.4493433161470389E-3</v>
      </c>
      <c r="F601" s="1">
        <f t="shared" si="128"/>
        <v>0</v>
      </c>
      <c r="G601">
        <f>moment_rate!I601-0.005</f>
        <v>5.9399999999999178</v>
      </c>
      <c r="H601" s="1">
        <f t="shared" si="129"/>
        <v>0</v>
      </c>
      <c r="I601">
        <f t="shared" si="131"/>
        <v>0</v>
      </c>
      <c r="J601">
        <f t="shared" si="131"/>
        <v>0</v>
      </c>
      <c r="K601">
        <f t="shared" si="131"/>
        <v>0</v>
      </c>
      <c r="L601">
        <f t="shared" si="131"/>
        <v>0</v>
      </c>
      <c r="M601">
        <f t="shared" si="131"/>
        <v>0</v>
      </c>
      <c r="N601">
        <f t="shared" si="131"/>
        <v>0</v>
      </c>
      <c r="O601">
        <f t="shared" si="131"/>
        <v>0</v>
      </c>
      <c r="P601">
        <f t="shared" si="131"/>
        <v>0</v>
      </c>
      <c r="Q601">
        <f t="shared" si="131"/>
        <v>0</v>
      </c>
      <c r="R601">
        <f t="shared" si="131"/>
        <v>0</v>
      </c>
      <c r="S601">
        <f t="shared" si="131"/>
        <v>0</v>
      </c>
      <c r="T601">
        <f t="shared" si="131"/>
        <v>0</v>
      </c>
      <c r="U601">
        <f t="shared" si="131"/>
        <v>0</v>
      </c>
      <c r="V601">
        <f t="shared" si="131"/>
        <v>0</v>
      </c>
      <c r="W601">
        <f t="shared" si="131"/>
        <v>0</v>
      </c>
      <c r="X601">
        <f t="shared" si="131"/>
        <v>0</v>
      </c>
      <c r="Y601">
        <f t="shared" si="130"/>
        <v>0</v>
      </c>
      <c r="Z601">
        <f t="shared" si="130"/>
        <v>0</v>
      </c>
      <c r="AA601">
        <f t="shared" si="130"/>
        <v>0</v>
      </c>
      <c r="AB601">
        <f t="shared" si="130"/>
        <v>0</v>
      </c>
      <c r="AC601">
        <f t="shared" si="130"/>
        <v>0</v>
      </c>
      <c r="AD601">
        <f t="shared" si="130"/>
        <v>0</v>
      </c>
      <c r="AE601">
        <f t="shared" si="130"/>
        <v>0</v>
      </c>
      <c r="AF601">
        <f t="shared" si="130"/>
        <v>0</v>
      </c>
      <c r="AG601">
        <f t="shared" si="130"/>
        <v>0</v>
      </c>
      <c r="AH601">
        <f t="shared" si="130"/>
        <v>0</v>
      </c>
      <c r="AI601">
        <f t="shared" si="125"/>
        <v>0</v>
      </c>
      <c r="AJ601">
        <f t="shared" si="125"/>
        <v>0</v>
      </c>
      <c r="AK601">
        <f t="shared" si="125"/>
        <v>0</v>
      </c>
      <c r="AL601">
        <f t="shared" si="125"/>
        <v>0</v>
      </c>
      <c r="AM601">
        <f t="shared" si="125"/>
        <v>0</v>
      </c>
      <c r="AN601">
        <f t="shared" si="125"/>
        <v>0</v>
      </c>
      <c r="AO601">
        <f t="shared" si="125"/>
        <v>0</v>
      </c>
      <c r="AP601">
        <f t="shared" si="125"/>
        <v>0</v>
      </c>
      <c r="AQ601">
        <f t="shared" si="125"/>
        <v>0</v>
      </c>
      <c r="AR601">
        <f t="shared" si="125"/>
        <v>0</v>
      </c>
    </row>
    <row r="602" spans="5:44" x14ac:dyDescent="0.2">
      <c r="E602" s="1">
        <f>moment_rate!$AC602</f>
        <v>7.4493433161470389E-3</v>
      </c>
      <c r="F602" s="1">
        <f t="shared" si="128"/>
        <v>0</v>
      </c>
      <c r="G602">
        <f>moment_rate!I602-0.005</f>
        <v>5.9499999999999176</v>
      </c>
      <c r="H602" s="1">
        <f t="shared" si="129"/>
        <v>0</v>
      </c>
      <c r="I602">
        <f t="shared" si="131"/>
        <v>0</v>
      </c>
      <c r="J602">
        <f t="shared" si="131"/>
        <v>0</v>
      </c>
      <c r="K602">
        <f t="shared" si="131"/>
        <v>0</v>
      </c>
      <c r="L602">
        <f t="shared" si="131"/>
        <v>0</v>
      </c>
      <c r="M602">
        <f t="shared" si="131"/>
        <v>0</v>
      </c>
      <c r="N602">
        <f t="shared" si="131"/>
        <v>0</v>
      </c>
      <c r="O602">
        <f t="shared" si="131"/>
        <v>0</v>
      </c>
      <c r="P602">
        <f t="shared" si="131"/>
        <v>0</v>
      </c>
      <c r="Q602">
        <f t="shared" si="131"/>
        <v>0</v>
      </c>
      <c r="R602">
        <f t="shared" si="131"/>
        <v>0</v>
      </c>
      <c r="S602">
        <f t="shared" si="131"/>
        <v>0</v>
      </c>
      <c r="T602">
        <f t="shared" si="131"/>
        <v>0</v>
      </c>
      <c r="U602">
        <f t="shared" si="131"/>
        <v>0</v>
      </c>
      <c r="V602">
        <f t="shared" si="131"/>
        <v>0</v>
      </c>
      <c r="W602">
        <f t="shared" si="131"/>
        <v>0</v>
      </c>
      <c r="X602">
        <f>IF(AND($G602&gt;=X$3,$G602&lt;X$4),$F602,0)</f>
        <v>0</v>
      </c>
      <c r="Y602">
        <f t="shared" si="130"/>
        <v>0</v>
      </c>
      <c r="Z602">
        <f t="shared" si="130"/>
        <v>0</v>
      </c>
      <c r="AA602">
        <f t="shared" si="130"/>
        <v>0</v>
      </c>
      <c r="AB602">
        <f t="shared" si="130"/>
        <v>0</v>
      </c>
      <c r="AC602">
        <f t="shared" si="130"/>
        <v>0</v>
      </c>
      <c r="AD602">
        <f t="shared" si="130"/>
        <v>0</v>
      </c>
      <c r="AE602">
        <f t="shared" si="130"/>
        <v>0</v>
      </c>
      <c r="AF602">
        <f t="shared" si="130"/>
        <v>0</v>
      </c>
      <c r="AG602">
        <f t="shared" si="130"/>
        <v>0</v>
      </c>
      <c r="AH602">
        <f t="shared" si="130"/>
        <v>0</v>
      </c>
      <c r="AI602">
        <f t="shared" si="130"/>
        <v>0</v>
      </c>
      <c r="AJ602">
        <f t="shared" si="130"/>
        <v>0</v>
      </c>
      <c r="AK602">
        <f t="shared" si="130"/>
        <v>0</v>
      </c>
      <c r="AL602">
        <f t="shared" si="130"/>
        <v>0</v>
      </c>
      <c r="AM602">
        <f t="shared" si="130"/>
        <v>0</v>
      </c>
      <c r="AN602">
        <f t="shared" ref="AI602:AR640" si="132">IF(AND($G602&gt;=AN$3,$G602&lt;AN$4),$F602,0)</f>
        <v>0</v>
      </c>
      <c r="AO602">
        <f t="shared" si="132"/>
        <v>0</v>
      </c>
      <c r="AP602">
        <f t="shared" si="132"/>
        <v>0</v>
      </c>
      <c r="AQ602">
        <f t="shared" si="132"/>
        <v>0</v>
      </c>
      <c r="AR602">
        <f t="shared" si="132"/>
        <v>0</v>
      </c>
    </row>
    <row r="603" spans="5:44" x14ac:dyDescent="0.2">
      <c r="E603" s="1">
        <f>moment_rate!$AC603</f>
        <v>7.4493433161470389E-3</v>
      </c>
      <c r="F603" s="1">
        <f t="shared" si="128"/>
        <v>0</v>
      </c>
      <c r="G603">
        <f>moment_rate!I603-0.005</f>
        <v>5.9599999999999174</v>
      </c>
      <c r="H603" s="1">
        <f t="shared" si="129"/>
        <v>0</v>
      </c>
      <c r="I603">
        <f t="shared" ref="I603:X618" si="133">IF(AND($G603&gt;=I$3,$G603&lt;I$4),$F603,0)</f>
        <v>0</v>
      </c>
      <c r="J603">
        <f t="shared" si="133"/>
        <v>0</v>
      </c>
      <c r="K603">
        <f t="shared" si="133"/>
        <v>0</v>
      </c>
      <c r="L603">
        <f t="shared" si="133"/>
        <v>0</v>
      </c>
      <c r="M603">
        <f t="shared" si="133"/>
        <v>0</v>
      </c>
      <c r="N603">
        <f t="shared" si="133"/>
        <v>0</v>
      </c>
      <c r="O603">
        <f t="shared" si="133"/>
        <v>0</v>
      </c>
      <c r="P603">
        <f t="shared" si="133"/>
        <v>0</v>
      </c>
      <c r="Q603">
        <f t="shared" si="133"/>
        <v>0</v>
      </c>
      <c r="R603">
        <f t="shared" si="133"/>
        <v>0</v>
      </c>
      <c r="S603">
        <f t="shared" si="133"/>
        <v>0</v>
      </c>
      <c r="T603">
        <f t="shared" si="133"/>
        <v>0</v>
      </c>
      <c r="U603">
        <f t="shared" si="133"/>
        <v>0</v>
      </c>
      <c r="V603">
        <f t="shared" si="133"/>
        <v>0</v>
      </c>
      <c r="W603">
        <f t="shared" si="133"/>
        <v>0</v>
      </c>
      <c r="X603">
        <f t="shared" si="133"/>
        <v>0</v>
      </c>
      <c r="Y603">
        <f t="shared" si="130"/>
        <v>0</v>
      </c>
      <c r="Z603">
        <f t="shared" si="130"/>
        <v>0</v>
      </c>
      <c r="AA603">
        <f t="shared" si="130"/>
        <v>0</v>
      </c>
      <c r="AB603">
        <f t="shared" si="130"/>
        <v>0</v>
      </c>
      <c r="AC603">
        <f t="shared" ref="AC603:AH603" si="134">IF(AND($G603&gt;=AC$3,$G603&lt;AC$4),$F603,0)</f>
        <v>0</v>
      </c>
      <c r="AD603">
        <f t="shared" si="134"/>
        <v>0</v>
      </c>
      <c r="AE603">
        <f t="shared" si="134"/>
        <v>0</v>
      </c>
      <c r="AF603">
        <f t="shared" si="134"/>
        <v>0</v>
      </c>
      <c r="AG603">
        <f t="shared" si="134"/>
        <v>0</v>
      </c>
      <c r="AH603">
        <f t="shared" si="134"/>
        <v>0</v>
      </c>
      <c r="AI603">
        <f t="shared" si="132"/>
        <v>0</v>
      </c>
      <c r="AJ603">
        <f t="shared" si="132"/>
        <v>0</v>
      </c>
      <c r="AK603">
        <f t="shared" si="132"/>
        <v>0</v>
      </c>
      <c r="AL603">
        <f t="shared" si="132"/>
        <v>0</v>
      </c>
      <c r="AM603">
        <f t="shared" si="132"/>
        <v>0</v>
      </c>
      <c r="AN603">
        <f t="shared" si="132"/>
        <v>0</v>
      </c>
      <c r="AO603">
        <f t="shared" si="132"/>
        <v>0</v>
      </c>
      <c r="AP603">
        <f t="shared" si="132"/>
        <v>0</v>
      </c>
      <c r="AQ603">
        <f t="shared" si="132"/>
        <v>0</v>
      </c>
      <c r="AR603">
        <f t="shared" si="132"/>
        <v>0</v>
      </c>
    </row>
    <row r="604" spans="5:44" x14ac:dyDescent="0.2">
      <c r="E604" s="1">
        <f>moment_rate!$AC604</f>
        <v>7.4493433161470389E-3</v>
      </c>
      <c r="F604" s="1">
        <f t="shared" si="128"/>
        <v>0</v>
      </c>
      <c r="G604">
        <f>moment_rate!I604-0.005</f>
        <v>5.9699999999999172</v>
      </c>
      <c r="H604" s="1">
        <f t="shared" si="129"/>
        <v>0</v>
      </c>
      <c r="I604">
        <f t="shared" si="133"/>
        <v>0</v>
      </c>
      <c r="J604">
        <f t="shared" si="133"/>
        <v>0</v>
      </c>
      <c r="K604">
        <f t="shared" si="133"/>
        <v>0</v>
      </c>
      <c r="L604">
        <f t="shared" si="133"/>
        <v>0</v>
      </c>
      <c r="M604">
        <f t="shared" si="133"/>
        <v>0</v>
      </c>
      <c r="N604">
        <f t="shared" si="133"/>
        <v>0</v>
      </c>
      <c r="O604">
        <f t="shared" si="133"/>
        <v>0</v>
      </c>
      <c r="P604">
        <f t="shared" si="133"/>
        <v>0</v>
      </c>
      <c r="Q604">
        <f t="shared" si="133"/>
        <v>0</v>
      </c>
      <c r="R604">
        <f t="shared" si="133"/>
        <v>0</v>
      </c>
      <c r="S604">
        <f t="shared" si="133"/>
        <v>0</v>
      </c>
      <c r="T604">
        <f t="shared" si="133"/>
        <v>0</v>
      </c>
      <c r="U604">
        <f t="shared" si="133"/>
        <v>0</v>
      </c>
      <c r="V604">
        <f t="shared" si="133"/>
        <v>0</v>
      </c>
      <c r="W604">
        <f t="shared" si="133"/>
        <v>0</v>
      </c>
      <c r="X604">
        <f t="shared" si="133"/>
        <v>0</v>
      </c>
      <c r="Y604">
        <f t="shared" ref="Y604:AJ619" si="135">IF(AND($G604&gt;=Y$3,$G604&lt;Y$4),$F604,0)</f>
        <v>0</v>
      </c>
      <c r="Z604">
        <f t="shared" si="135"/>
        <v>0</v>
      </c>
      <c r="AA604">
        <f t="shared" si="135"/>
        <v>0</v>
      </c>
      <c r="AB604">
        <f t="shared" si="135"/>
        <v>0</v>
      </c>
      <c r="AC604">
        <f t="shared" si="135"/>
        <v>0</v>
      </c>
      <c r="AD604">
        <f t="shared" si="135"/>
        <v>0</v>
      </c>
      <c r="AE604">
        <f t="shared" si="135"/>
        <v>0</v>
      </c>
      <c r="AF604">
        <f t="shared" si="135"/>
        <v>0</v>
      </c>
      <c r="AG604">
        <f t="shared" si="135"/>
        <v>0</v>
      </c>
      <c r="AH604">
        <f t="shared" si="135"/>
        <v>0</v>
      </c>
      <c r="AI604">
        <f t="shared" si="132"/>
        <v>0</v>
      </c>
      <c r="AJ604">
        <f t="shared" si="132"/>
        <v>0</v>
      </c>
      <c r="AK604">
        <f t="shared" si="132"/>
        <v>0</v>
      </c>
      <c r="AL604">
        <f t="shared" si="132"/>
        <v>0</v>
      </c>
      <c r="AM604">
        <f t="shared" si="132"/>
        <v>0</v>
      </c>
      <c r="AN604">
        <f t="shared" si="132"/>
        <v>0</v>
      </c>
      <c r="AO604">
        <f t="shared" si="132"/>
        <v>0</v>
      </c>
      <c r="AP604">
        <f t="shared" si="132"/>
        <v>0</v>
      </c>
      <c r="AQ604">
        <f t="shared" si="132"/>
        <v>0</v>
      </c>
      <c r="AR604">
        <f t="shared" si="132"/>
        <v>0</v>
      </c>
    </row>
    <row r="605" spans="5:44" x14ac:dyDescent="0.2">
      <c r="E605" s="1">
        <f>moment_rate!$AC605</f>
        <v>7.4493433161470389E-3</v>
      </c>
      <c r="F605" s="1">
        <f t="shared" si="128"/>
        <v>0</v>
      </c>
      <c r="G605">
        <f>moment_rate!I605-0.005</f>
        <v>5.9799999999999169</v>
      </c>
      <c r="H605" s="1">
        <f t="shared" si="129"/>
        <v>0</v>
      </c>
      <c r="I605">
        <f t="shared" si="133"/>
        <v>0</v>
      </c>
      <c r="J605">
        <f t="shared" si="133"/>
        <v>0</v>
      </c>
      <c r="K605">
        <f t="shared" si="133"/>
        <v>0</v>
      </c>
      <c r="L605">
        <f t="shared" si="133"/>
        <v>0</v>
      </c>
      <c r="M605">
        <f t="shared" si="133"/>
        <v>0</v>
      </c>
      <c r="N605">
        <f t="shared" si="133"/>
        <v>0</v>
      </c>
      <c r="O605">
        <f t="shared" si="133"/>
        <v>0</v>
      </c>
      <c r="P605">
        <f t="shared" si="133"/>
        <v>0</v>
      </c>
      <c r="Q605">
        <f t="shared" si="133"/>
        <v>0</v>
      </c>
      <c r="R605">
        <f t="shared" si="133"/>
        <v>0</v>
      </c>
      <c r="S605">
        <f t="shared" si="133"/>
        <v>0</v>
      </c>
      <c r="T605">
        <f t="shared" si="133"/>
        <v>0</v>
      </c>
      <c r="U605">
        <f t="shared" si="133"/>
        <v>0</v>
      </c>
      <c r="V605">
        <f t="shared" si="133"/>
        <v>0</v>
      </c>
      <c r="W605">
        <f t="shared" si="133"/>
        <v>0</v>
      </c>
      <c r="X605">
        <f t="shared" si="133"/>
        <v>0</v>
      </c>
      <c r="Y605">
        <f t="shared" si="135"/>
        <v>0</v>
      </c>
      <c r="Z605">
        <f t="shared" si="135"/>
        <v>0</v>
      </c>
      <c r="AA605">
        <f t="shared" si="135"/>
        <v>0</v>
      </c>
      <c r="AB605">
        <f t="shared" si="135"/>
        <v>0</v>
      </c>
      <c r="AC605">
        <f t="shared" si="135"/>
        <v>0</v>
      </c>
      <c r="AD605">
        <f t="shared" si="135"/>
        <v>0</v>
      </c>
      <c r="AE605">
        <f t="shared" si="135"/>
        <v>0</v>
      </c>
      <c r="AF605">
        <f t="shared" si="135"/>
        <v>0</v>
      </c>
      <c r="AG605">
        <f t="shared" si="135"/>
        <v>0</v>
      </c>
      <c r="AH605">
        <f t="shared" si="135"/>
        <v>0</v>
      </c>
      <c r="AI605">
        <f t="shared" si="132"/>
        <v>0</v>
      </c>
      <c r="AJ605">
        <f t="shared" si="132"/>
        <v>0</v>
      </c>
      <c r="AK605">
        <f t="shared" si="132"/>
        <v>0</v>
      </c>
      <c r="AL605">
        <f t="shared" si="132"/>
        <v>0</v>
      </c>
      <c r="AM605">
        <f t="shared" si="132"/>
        <v>0</v>
      </c>
      <c r="AN605">
        <f t="shared" si="132"/>
        <v>0</v>
      </c>
      <c r="AO605">
        <f t="shared" si="132"/>
        <v>0</v>
      </c>
      <c r="AP605">
        <f t="shared" si="132"/>
        <v>0</v>
      </c>
      <c r="AQ605">
        <f t="shared" si="132"/>
        <v>0</v>
      </c>
      <c r="AR605">
        <f t="shared" si="132"/>
        <v>0</v>
      </c>
    </row>
    <row r="606" spans="5:44" x14ac:dyDescent="0.2">
      <c r="E606" s="1">
        <f>moment_rate!$AC606</f>
        <v>7.4493433161470389E-3</v>
      </c>
      <c r="F606" s="1">
        <f t="shared" si="128"/>
        <v>0</v>
      </c>
      <c r="G606">
        <f>moment_rate!I606-0.005</f>
        <v>5.9899999999999167</v>
      </c>
      <c r="H606" s="1">
        <f t="shared" si="129"/>
        <v>0</v>
      </c>
      <c r="I606">
        <f t="shared" si="133"/>
        <v>0</v>
      </c>
      <c r="J606">
        <f t="shared" si="133"/>
        <v>0</v>
      </c>
      <c r="K606">
        <f t="shared" si="133"/>
        <v>0</v>
      </c>
      <c r="L606">
        <f t="shared" si="133"/>
        <v>0</v>
      </c>
      <c r="M606">
        <f t="shared" si="133"/>
        <v>0</v>
      </c>
      <c r="N606">
        <f t="shared" si="133"/>
        <v>0</v>
      </c>
      <c r="O606">
        <f t="shared" si="133"/>
        <v>0</v>
      </c>
      <c r="P606">
        <f t="shared" si="133"/>
        <v>0</v>
      </c>
      <c r="Q606">
        <f t="shared" si="133"/>
        <v>0</v>
      </c>
      <c r="R606">
        <f t="shared" si="133"/>
        <v>0</v>
      </c>
      <c r="S606">
        <f t="shared" si="133"/>
        <v>0</v>
      </c>
      <c r="T606">
        <f t="shared" si="133"/>
        <v>0</v>
      </c>
      <c r="U606">
        <f t="shared" si="133"/>
        <v>0</v>
      </c>
      <c r="V606">
        <f t="shared" si="133"/>
        <v>0</v>
      </c>
      <c r="W606">
        <f t="shared" si="133"/>
        <v>0</v>
      </c>
      <c r="X606">
        <f t="shared" si="133"/>
        <v>0</v>
      </c>
      <c r="Y606">
        <f t="shared" si="135"/>
        <v>0</v>
      </c>
      <c r="Z606">
        <f t="shared" si="135"/>
        <v>0</v>
      </c>
      <c r="AA606">
        <f t="shared" si="135"/>
        <v>0</v>
      </c>
      <c r="AB606">
        <f t="shared" si="135"/>
        <v>0</v>
      </c>
      <c r="AC606">
        <f t="shared" si="135"/>
        <v>0</v>
      </c>
      <c r="AD606">
        <f t="shared" si="135"/>
        <v>0</v>
      </c>
      <c r="AE606">
        <f t="shared" si="135"/>
        <v>0</v>
      </c>
      <c r="AF606">
        <f t="shared" si="135"/>
        <v>0</v>
      </c>
      <c r="AG606">
        <f t="shared" si="135"/>
        <v>0</v>
      </c>
      <c r="AH606">
        <f t="shared" si="135"/>
        <v>0</v>
      </c>
      <c r="AI606">
        <f t="shared" si="135"/>
        <v>0</v>
      </c>
      <c r="AJ606">
        <f t="shared" si="135"/>
        <v>0</v>
      </c>
      <c r="AK606">
        <f t="shared" si="132"/>
        <v>0</v>
      </c>
      <c r="AL606">
        <f t="shared" si="132"/>
        <v>0</v>
      </c>
      <c r="AM606">
        <f t="shared" si="132"/>
        <v>0</v>
      </c>
      <c r="AN606">
        <f t="shared" si="132"/>
        <v>0</v>
      </c>
      <c r="AO606">
        <f t="shared" si="132"/>
        <v>0</v>
      </c>
      <c r="AP606">
        <f t="shared" si="132"/>
        <v>0</v>
      </c>
      <c r="AQ606">
        <f t="shared" si="132"/>
        <v>0</v>
      </c>
      <c r="AR606">
        <f t="shared" si="132"/>
        <v>0</v>
      </c>
    </row>
    <row r="607" spans="5:44" x14ac:dyDescent="0.2">
      <c r="E607" s="1">
        <f>moment_rate!$AC607</f>
        <v>7.4493433161470389E-3</v>
      </c>
      <c r="F607" s="1">
        <f t="shared" si="128"/>
        <v>0</v>
      </c>
      <c r="G607">
        <f>moment_rate!I607-0.005</f>
        <v>5.9999999999999165</v>
      </c>
      <c r="H607" s="1">
        <f t="shared" si="129"/>
        <v>0</v>
      </c>
      <c r="I607">
        <f t="shared" si="133"/>
        <v>0</v>
      </c>
      <c r="J607">
        <f t="shared" si="133"/>
        <v>0</v>
      </c>
      <c r="K607">
        <f t="shared" si="133"/>
        <v>0</v>
      </c>
      <c r="L607">
        <f t="shared" si="133"/>
        <v>0</v>
      </c>
      <c r="M607">
        <f t="shared" si="133"/>
        <v>0</v>
      </c>
      <c r="N607">
        <f t="shared" si="133"/>
        <v>0</v>
      </c>
      <c r="O607">
        <f t="shared" si="133"/>
        <v>0</v>
      </c>
      <c r="P607">
        <f t="shared" si="133"/>
        <v>0</v>
      </c>
      <c r="Q607">
        <f t="shared" si="133"/>
        <v>0</v>
      </c>
      <c r="R607">
        <f t="shared" si="133"/>
        <v>0</v>
      </c>
      <c r="S607">
        <f t="shared" si="133"/>
        <v>0</v>
      </c>
      <c r="T607">
        <f t="shared" si="133"/>
        <v>0</v>
      </c>
      <c r="U607">
        <f t="shared" si="133"/>
        <v>0</v>
      </c>
      <c r="V607">
        <f t="shared" si="133"/>
        <v>0</v>
      </c>
      <c r="W607">
        <f t="shared" si="133"/>
        <v>0</v>
      </c>
      <c r="X607">
        <f t="shared" si="133"/>
        <v>0</v>
      </c>
      <c r="Y607">
        <f t="shared" si="135"/>
        <v>0</v>
      </c>
      <c r="Z607">
        <f t="shared" si="135"/>
        <v>0</v>
      </c>
      <c r="AA607">
        <f t="shared" si="135"/>
        <v>0</v>
      </c>
      <c r="AB607">
        <f t="shared" si="135"/>
        <v>0</v>
      </c>
      <c r="AC607">
        <f t="shared" si="135"/>
        <v>0</v>
      </c>
      <c r="AD607">
        <f t="shared" si="135"/>
        <v>0</v>
      </c>
      <c r="AE607">
        <f t="shared" si="135"/>
        <v>0</v>
      </c>
      <c r="AF607">
        <f t="shared" si="135"/>
        <v>0</v>
      </c>
      <c r="AG607">
        <f t="shared" si="135"/>
        <v>0</v>
      </c>
      <c r="AH607">
        <f t="shared" si="135"/>
        <v>0</v>
      </c>
      <c r="AI607">
        <f t="shared" si="135"/>
        <v>0</v>
      </c>
      <c r="AJ607">
        <f t="shared" si="135"/>
        <v>0</v>
      </c>
      <c r="AK607">
        <f t="shared" si="132"/>
        <v>0</v>
      </c>
      <c r="AL607">
        <f t="shared" si="132"/>
        <v>0</v>
      </c>
      <c r="AM607">
        <f t="shared" si="132"/>
        <v>0</v>
      </c>
      <c r="AN607">
        <f t="shared" si="132"/>
        <v>0</v>
      </c>
      <c r="AO607">
        <f t="shared" si="132"/>
        <v>0</v>
      </c>
      <c r="AP607">
        <f t="shared" si="132"/>
        <v>0</v>
      </c>
      <c r="AQ607">
        <f t="shared" si="132"/>
        <v>0</v>
      </c>
      <c r="AR607">
        <f t="shared" si="132"/>
        <v>0</v>
      </c>
    </row>
    <row r="608" spans="5:44" x14ac:dyDescent="0.2">
      <c r="E608" s="1">
        <f>moment_rate!$AC608</f>
        <v>7.4493433161470389E-3</v>
      </c>
      <c r="F608" s="1">
        <f t="shared" si="128"/>
        <v>0</v>
      </c>
      <c r="G608">
        <f>moment_rate!I608-0.005</f>
        <v>6.0099999999999163</v>
      </c>
      <c r="H608" s="1">
        <f t="shared" si="129"/>
        <v>0</v>
      </c>
      <c r="I608">
        <f t="shared" si="133"/>
        <v>0</v>
      </c>
      <c r="J608">
        <f t="shared" si="133"/>
        <v>0</v>
      </c>
      <c r="K608">
        <f t="shared" si="133"/>
        <v>0</v>
      </c>
      <c r="L608">
        <f t="shared" si="133"/>
        <v>0</v>
      </c>
      <c r="M608">
        <f t="shared" si="133"/>
        <v>0</v>
      </c>
      <c r="N608">
        <f t="shared" si="133"/>
        <v>0</v>
      </c>
      <c r="O608">
        <f t="shared" si="133"/>
        <v>0</v>
      </c>
      <c r="P608">
        <f t="shared" si="133"/>
        <v>0</v>
      </c>
      <c r="Q608">
        <f t="shared" si="133"/>
        <v>0</v>
      </c>
      <c r="R608">
        <f t="shared" si="133"/>
        <v>0</v>
      </c>
      <c r="S608">
        <f t="shared" si="133"/>
        <v>0</v>
      </c>
      <c r="T608">
        <f t="shared" si="133"/>
        <v>0</v>
      </c>
      <c r="U608">
        <f t="shared" si="133"/>
        <v>0</v>
      </c>
      <c r="V608">
        <f t="shared" si="133"/>
        <v>0</v>
      </c>
      <c r="W608">
        <f t="shared" si="133"/>
        <v>0</v>
      </c>
      <c r="X608">
        <f t="shared" si="133"/>
        <v>0</v>
      </c>
      <c r="Y608">
        <f t="shared" si="135"/>
        <v>0</v>
      </c>
      <c r="Z608">
        <f t="shared" si="135"/>
        <v>0</v>
      </c>
      <c r="AA608">
        <f t="shared" si="135"/>
        <v>0</v>
      </c>
      <c r="AB608">
        <f t="shared" si="135"/>
        <v>0</v>
      </c>
      <c r="AC608">
        <f t="shared" si="135"/>
        <v>0</v>
      </c>
      <c r="AD608">
        <f t="shared" si="135"/>
        <v>0</v>
      </c>
      <c r="AE608">
        <f t="shared" si="135"/>
        <v>0</v>
      </c>
      <c r="AF608">
        <f t="shared" si="135"/>
        <v>0</v>
      </c>
      <c r="AG608">
        <f t="shared" si="135"/>
        <v>0</v>
      </c>
      <c r="AH608">
        <f t="shared" si="135"/>
        <v>0</v>
      </c>
      <c r="AI608">
        <f t="shared" si="135"/>
        <v>0</v>
      </c>
      <c r="AJ608">
        <f t="shared" si="135"/>
        <v>0</v>
      </c>
      <c r="AK608">
        <f t="shared" si="132"/>
        <v>0</v>
      </c>
      <c r="AL608">
        <f t="shared" si="132"/>
        <v>0</v>
      </c>
      <c r="AM608">
        <f t="shared" si="132"/>
        <v>0</v>
      </c>
      <c r="AN608">
        <f t="shared" si="132"/>
        <v>0</v>
      </c>
      <c r="AO608">
        <f t="shared" si="132"/>
        <v>0</v>
      </c>
      <c r="AP608">
        <f t="shared" si="132"/>
        <v>0</v>
      </c>
      <c r="AQ608">
        <f t="shared" si="132"/>
        <v>0</v>
      </c>
      <c r="AR608">
        <f t="shared" si="132"/>
        <v>0</v>
      </c>
    </row>
    <row r="609" spans="5:44" x14ac:dyDescent="0.2">
      <c r="E609" s="1">
        <f>moment_rate!$AC609</f>
        <v>7.4493433161470389E-3</v>
      </c>
      <c r="F609" s="1">
        <f t="shared" si="128"/>
        <v>0</v>
      </c>
      <c r="G609">
        <f>moment_rate!I609-0.005</f>
        <v>6.0199999999999161</v>
      </c>
      <c r="H609" s="1">
        <f t="shared" si="129"/>
        <v>0</v>
      </c>
      <c r="I609">
        <f t="shared" si="133"/>
        <v>0</v>
      </c>
      <c r="J609">
        <f t="shared" si="133"/>
        <v>0</v>
      </c>
      <c r="K609">
        <f t="shared" si="133"/>
        <v>0</v>
      </c>
      <c r="L609">
        <f t="shared" si="133"/>
        <v>0</v>
      </c>
      <c r="M609">
        <f t="shared" si="133"/>
        <v>0</v>
      </c>
      <c r="N609">
        <f t="shared" si="133"/>
        <v>0</v>
      </c>
      <c r="O609">
        <f t="shared" si="133"/>
        <v>0</v>
      </c>
      <c r="P609">
        <f t="shared" si="133"/>
        <v>0</v>
      </c>
      <c r="Q609">
        <f t="shared" si="133"/>
        <v>0</v>
      </c>
      <c r="R609">
        <f t="shared" si="133"/>
        <v>0</v>
      </c>
      <c r="S609">
        <f t="shared" si="133"/>
        <v>0</v>
      </c>
      <c r="T609">
        <f t="shared" si="133"/>
        <v>0</v>
      </c>
      <c r="U609">
        <f t="shared" si="133"/>
        <v>0</v>
      </c>
      <c r="V609">
        <f t="shared" si="133"/>
        <v>0</v>
      </c>
      <c r="W609">
        <f t="shared" si="133"/>
        <v>0</v>
      </c>
      <c r="X609">
        <f t="shared" si="133"/>
        <v>0</v>
      </c>
      <c r="Y609">
        <f t="shared" si="135"/>
        <v>0</v>
      </c>
      <c r="Z609">
        <f t="shared" si="135"/>
        <v>0</v>
      </c>
      <c r="AA609">
        <f t="shared" si="135"/>
        <v>0</v>
      </c>
      <c r="AB609">
        <f t="shared" si="135"/>
        <v>0</v>
      </c>
      <c r="AC609">
        <f t="shared" si="135"/>
        <v>0</v>
      </c>
      <c r="AD609">
        <f t="shared" si="135"/>
        <v>0</v>
      </c>
      <c r="AE609">
        <f t="shared" si="135"/>
        <v>0</v>
      </c>
      <c r="AF609">
        <f t="shared" si="135"/>
        <v>0</v>
      </c>
      <c r="AG609">
        <f t="shared" si="135"/>
        <v>0</v>
      </c>
      <c r="AH609">
        <f t="shared" si="135"/>
        <v>0</v>
      </c>
      <c r="AI609">
        <f t="shared" si="135"/>
        <v>0</v>
      </c>
      <c r="AJ609">
        <f t="shared" si="135"/>
        <v>0</v>
      </c>
      <c r="AK609">
        <f t="shared" si="132"/>
        <v>0</v>
      </c>
      <c r="AL609">
        <f t="shared" si="132"/>
        <v>0</v>
      </c>
      <c r="AM609">
        <f t="shared" si="132"/>
        <v>0</v>
      </c>
      <c r="AN609">
        <f t="shared" si="132"/>
        <v>0</v>
      </c>
      <c r="AO609">
        <f t="shared" si="132"/>
        <v>0</v>
      </c>
      <c r="AP609">
        <f t="shared" si="132"/>
        <v>0</v>
      </c>
      <c r="AQ609">
        <f t="shared" si="132"/>
        <v>0</v>
      </c>
      <c r="AR609">
        <f t="shared" si="132"/>
        <v>0</v>
      </c>
    </row>
    <row r="610" spans="5:44" x14ac:dyDescent="0.2">
      <c r="E610" s="1">
        <f>moment_rate!$AC610</f>
        <v>7.4493433161470389E-3</v>
      </c>
      <c r="F610" s="1">
        <f t="shared" si="128"/>
        <v>0</v>
      </c>
      <c r="G610">
        <f>moment_rate!I610-0.005</f>
        <v>6.0299999999999159</v>
      </c>
      <c r="H610" s="1">
        <f t="shared" si="129"/>
        <v>0</v>
      </c>
      <c r="I610">
        <f t="shared" si="133"/>
        <v>0</v>
      </c>
      <c r="J610">
        <f t="shared" si="133"/>
        <v>0</v>
      </c>
      <c r="K610">
        <f t="shared" si="133"/>
        <v>0</v>
      </c>
      <c r="L610">
        <f t="shared" si="133"/>
        <v>0</v>
      </c>
      <c r="M610">
        <f t="shared" si="133"/>
        <v>0</v>
      </c>
      <c r="N610">
        <f t="shared" si="133"/>
        <v>0</v>
      </c>
      <c r="O610">
        <f t="shared" si="133"/>
        <v>0</v>
      </c>
      <c r="P610">
        <f t="shared" si="133"/>
        <v>0</v>
      </c>
      <c r="Q610">
        <f t="shared" si="133"/>
        <v>0</v>
      </c>
      <c r="R610">
        <f t="shared" si="133"/>
        <v>0</v>
      </c>
      <c r="S610">
        <f t="shared" si="133"/>
        <v>0</v>
      </c>
      <c r="T610">
        <f t="shared" si="133"/>
        <v>0</v>
      </c>
      <c r="U610">
        <f t="shared" si="133"/>
        <v>0</v>
      </c>
      <c r="V610">
        <f t="shared" si="133"/>
        <v>0</v>
      </c>
      <c r="W610">
        <f t="shared" si="133"/>
        <v>0</v>
      </c>
      <c r="X610">
        <f t="shared" si="133"/>
        <v>0</v>
      </c>
      <c r="Y610">
        <f t="shared" si="135"/>
        <v>0</v>
      </c>
      <c r="Z610">
        <f t="shared" si="135"/>
        <v>0</v>
      </c>
      <c r="AA610">
        <f t="shared" si="135"/>
        <v>0</v>
      </c>
      <c r="AB610">
        <f t="shared" si="135"/>
        <v>0</v>
      </c>
      <c r="AC610">
        <f t="shared" si="135"/>
        <v>0</v>
      </c>
      <c r="AD610">
        <f t="shared" si="135"/>
        <v>0</v>
      </c>
      <c r="AE610">
        <f t="shared" si="135"/>
        <v>0</v>
      </c>
      <c r="AF610">
        <f t="shared" si="135"/>
        <v>0</v>
      </c>
      <c r="AG610">
        <f t="shared" si="135"/>
        <v>0</v>
      </c>
      <c r="AH610">
        <f t="shared" si="135"/>
        <v>0</v>
      </c>
      <c r="AI610">
        <f t="shared" si="135"/>
        <v>0</v>
      </c>
      <c r="AJ610">
        <f t="shared" si="135"/>
        <v>0</v>
      </c>
      <c r="AK610">
        <f t="shared" si="132"/>
        <v>0</v>
      </c>
      <c r="AL610">
        <f t="shared" si="132"/>
        <v>0</v>
      </c>
      <c r="AM610">
        <f t="shared" si="132"/>
        <v>0</v>
      </c>
      <c r="AN610">
        <f t="shared" si="132"/>
        <v>0</v>
      </c>
      <c r="AO610">
        <f t="shared" si="132"/>
        <v>0</v>
      </c>
      <c r="AP610">
        <f t="shared" si="132"/>
        <v>0</v>
      </c>
      <c r="AQ610">
        <f t="shared" si="132"/>
        <v>0</v>
      </c>
      <c r="AR610">
        <f t="shared" si="132"/>
        <v>0</v>
      </c>
    </row>
    <row r="611" spans="5:44" x14ac:dyDescent="0.2">
      <c r="E611" s="1">
        <f>moment_rate!$AC611</f>
        <v>7.4493433161470389E-3</v>
      </c>
      <c r="F611" s="1">
        <f t="shared" si="128"/>
        <v>0</v>
      </c>
      <c r="G611">
        <f>moment_rate!I611-0.005</f>
        <v>6.0399999999999157</v>
      </c>
      <c r="H611" s="1">
        <f t="shared" si="129"/>
        <v>0</v>
      </c>
      <c r="I611">
        <f t="shared" si="133"/>
        <v>0</v>
      </c>
      <c r="J611">
        <f t="shared" si="133"/>
        <v>0</v>
      </c>
      <c r="K611">
        <f t="shared" si="133"/>
        <v>0</v>
      </c>
      <c r="L611">
        <f t="shared" si="133"/>
        <v>0</v>
      </c>
      <c r="M611">
        <f t="shared" si="133"/>
        <v>0</v>
      </c>
      <c r="N611">
        <f t="shared" si="133"/>
        <v>0</v>
      </c>
      <c r="O611">
        <f t="shared" si="133"/>
        <v>0</v>
      </c>
      <c r="P611">
        <f t="shared" si="133"/>
        <v>0</v>
      </c>
      <c r="Q611">
        <f t="shared" si="133"/>
        <v>0</v>
      </c>
      <c r="R611">
        <f t="shared" si="133"/>
        <v>0</v>
      </c>
      <c r="S611">
        <f t="shared" si="133"/>
        <v>0</v>
      </c>
      <c r="T611">
        <f t="shared" si="133"/>
        <v>0</v>
      </c>
      <c r="U611">
        <f t="shared" si="133"/>
        <v>0</v>
      </c>
      <c r="V611">
        <f t="shared" si="133"/>
        <v>0</v>
      </c>
      <c r="W611">
        <f t="shared" si="133"/>
        <v>0</v>
      </c>
      <c r="X611">
        <f t="shared" si="133"/>
        <v>0</v>
      </c>
      <c r="Y611">
        <f t="shared" si="135"/>
        <v>0</v>
      </c>
      <c r="Z611">
        <f t="shared" si="135"/>
        <v>0</v>
      </c>
      <c r="AA611">
        <f t="shared" si="135"/>
        <v>0</v>
      </c>
      <c r="AB611">
        <f t="shared" si="135"/>
        <v>0</v>
      </c>
      <c r="AC611">
        <f t="shared" si="135"/>
        <v>0</v>
      </c>
      <c r="AD611">
        <f t="shared" si="135"/>
        <v>0</v>
      </c>
      <c r="AE611">
        <f t="shared" si="135"/>
        <v>0</v>
      </c>
      <c r="AF611">
        <f t="shared" si="135"/>
        <v>0</v>
      </c>
      <c r="AG611">
        <f t="shared" si="135"/>
        <v>0</v>
      </c>
      <c r="AH611">
        <f t="shared" si="135"/>
        <v>0</v>
      </c>
      <c r="AI611">
        <f t="shared" si="135"/>
        <v>0</v>
      </c>
      <c r="AJ611">
        <f t="shared" si="135"/>
        <v>0</v>
      </c>
      <c r="AK611">
        <f t="shared" si="132"/>
        <v>0</v>
      </c>
      <c r="AL611">
        <f t="shared" si="132"/>
        <v>0</v>
      </c>
      <c r="AM611">
        <f t="shared" si="132"/>
        <v>0</v>
      </c>
      <c r="AN611">
        <f t="shared" si="132"/>
        <v>0</v>
      </c>
      <c r="AO611">
        <f t="shared" si="132"/>
        <v>0</v>
      </c>
      <c r="AP611">
        <f t="shared" si="132"/>
        <v>0</v>
      </c>
      <c r="AQ611">
        <f t="shared" si="132"/>
        <v>0</v>
      </c>
      <c r="AR611">
        <f t="shared" si="132"/>
        <v>0</v>
      </c>
    </row>
    <row r="612" spans="5:44" x14ac:dyDescent="0.2">
      <c r="E612" s="1">
        <f>moment_rate!$AC612</f>
        <v>7.4493433161470389E-3</v>
      </c>
      <c r="F612" s="1">
        <f t="shared" si="128"/>
        <v>0</v>
      </c>
      <c r="G612">
        <f>moment_rate!I612-0.005</f>
        <v>6.0499999999999154</v>
      </c>
      <c r="H612" s="1">
        <f t="shared" si="129"/>
        <v>0</v>
      </c>
      <c r="I612">
        <f t="shared" si="133"/>
        <v>0</v>
      </c>
      <c r="J612">
        <f t="shared" si="133"/>
        <v>0</v>
      </c>
      <c r="K612">
        <f t="shared" si="133"/>
        <v>0</v>
      </c>
      <c r="L612">
        <f t="shared" si="133"/>
        <v>0</v>
      </c>
      <c r="M612">
        <f t="shared" si="133"/>
        <v>0</v>
      </c>
      <c r="N612">
        <f t="shared" si="133"/>
        <v>0</v>
      </c>
      <c r="O612">
        <f t="shared" si="133"/>
        <v>0</v>
      </c>
      <c r="P612">
        <f t="shared" si="133"/>
        <v>0</v>
      </c>
      <c r="Q612">
        <f t="shared" si="133"/>
        <v>0</v>
      </c>
      <c r="R612">
        <f t="shared" si="133"/>
        <v>0</v>
      </c>
      <c r="S612">
        <f t="shared" si="133"/>
        <v>0</v>
      </c>
      <c r="T612">
        <f t="shared" si="133"/>
        <v>0</v>
      </c>
      <c r="U612">
        <f t="shared" si="133"/>
        <v>0</v>
      </c>
      <c r="V612">
        <f t="shared" si="133"/>
        <v>0</v>
      </c>
      <c r="W612">
        <f t="shared" si="133"/>
        <v>0</v>
      </c>
      <c r="X612">
        <f t="shared" si="133"/>
        <v>0</v>
      </c>
      <c r="Y612">
        <f t="shared" si="135"/>
        <v>0</v>
      </c>
      <c r="Z612">
        <f t="shared" si="135"/>
        <v>0</v>
      </c>
      <c r="AA612">
        <f t="shared" si="135"/>
        <v>0</v>
      </c>
      <c r="AB612">
        <f t="shared" si="135"/>
        <v>0</v>
      </c>
      <c r="AC612">
        <f t="shared" si="135"/>
        <v>0</v>
      </c>
      <c r="AD612">
        <f t="shared" si="135"/>
        <v>0</v>
      </c>
      <c r="AE612">
        <f t="shared" si="135"/>
        <v>0</v>
      </c>
      <c r="AF612">
        <f t="shared" si="135"/>
        <v>0</v>
      </c>
      <c r="AG612">
        <f t="shared" si="135"/>
        <v>0</v>
      </c>
      <c r="AH612">
        <f t="shared" si="135"/>
        <v>0</v>
      </c>
      <c r="AI612">
        <f t="shared" si="135"/>
        <v>0</v>
      </c>
      <c r="AJ612">
        <f t="shared" si="135"/>
        <v>0</v>
      </c>
      <c r="AK612">
        <f t="shared" si="132"/>
        <v>0</v>
      </c>
      <c r="AL612">
        <f t="shared" si="132"/>
        <v>0</v>
      </c>
      <c r="AM612">
        <f t="shared" si="132"/>
        <v>0</v>
      </c>
      <c r="AN612">
        <f t="shared" si="132"/>
        <v>0</v>
      </c>
      <c r="AO612">
        <f t="shared" si="132"/>
        <v>0</v>
      </c>
      <c r="AP612">
        <f t="shared" si="132"/>
        <v>0</v>
      </c>
      <c r="AQ612">
        <f t="shared" si="132"/>
        <v>0</v>
      </c>
      <c r="AR612">
        <f t="shared" si="132"/>
        <v>0</v>
      </c>
    </row>
    <row r="613" spans="5:44" x14ac:dyDescent="0.2">
      <c r="E613" s="1">
        <f>moment_rate!$AC613</f>
        <v>7.4493433161470389E-3</v>
      </c>
      <c r="F613" s="1">
        <f t="shared" si="128"/>
        <v>0</v>
      </c>
      <c r="G613">
        <f>moment_rate!I613-0.005</f>
        <v>6.0599999999999152</v>
      </c>
      <c r="H613" s="1">
        <f t="shared" si="129"/>
        <v>0</v>
      </c>
      <c r="I613">
        <f t="shared" si="133"/>
        <v>0</v>
      </c>
      <c r="J613">
        <f t="shared" si="133"/>
        <v>0</v>
      </c>
      <c r="K613">
        <f t="shared" si="133"/>
        <v>0</v>
      </c>
      <c r="L613">
        <f t="shared" si="133"/>
        <v>0</v>
      </c>
      <c r="M613">
        <f t="shared" si="133"/>
        <v>0</v>
      </c>
      <c r="N613">
        <f t="shared" si="133"/>
        <v>0</v>
      </c>
      <c r="O613">
        <f t="shared" si="133"/>
        <v>0</v>
      </c>
      <c r="P613">
        <f t="shared" si="133"/>
        <v>0</v>
      </c>
      <c r="Q613">
        <f t="shared" si="133"/>
        <v>0</v>
      </c>
      <c r="R613">
        <f t="shared" si="133"/>
        <v>0</v>
      </c>
      <c r="S613">
        <f t="shared" si="133"/>
        <v>0</v>
      </c>
      <c r="T613">
        <f t="shared" si="133"/>
        <v>0</v>
      </c>
      <c r="U613">
        <f t="shared" si="133"/>
        <v>0</v>
      </c>
      <c r="V613">
        <f t="shared" si="133"/>
        <v>0</v>
      </c>
      <c r="W613">
        <f t="shared" si="133"/>
        <v>0</v>
      </c>
      <c r="X613">
        <f t="shared" si="133"/>
        <v>0</v>
      </c>
      <c r="Y613">
        <f t="shared" si="135"/>
        <v>0</v>
      </c>
      <c r="Z613">
        <f t="shared" si="135"/>
        <v>0</v>
      </c>
      <c r="AA613">
        <f t="shared" si="135"/>
        <v>0</v>
      </c>
      <c r="AB613">
        <f t="shared" si="135"/>
        <v>0</v>
      </c>
      <c r="AC613">
        <f t="shared" si="135"/>
        <v>0</v>
      </c>
      <c r="AD613">
        <f t="shared" si="135"/>
        <v>0</v>
      </c>
      <c r="AE613">
        <f t="shared" si="135"/>
        <v>0</v>
      </c>
      <c r="AF613">
        <f t="shared" si="135"/>
        <v>0</v>
      </c>
      <c r="AG613">
        <f t="shared" si="135"/>
        <v>0</v>
      </c>
      <c r="AH613">
        <f t="shared" si="135"/>
        <v>0</v>
      </c>
      <c r="AI613">
        <f t="shared" si="135"/>
        <v>0</v>
      </c>
      <c r="AJ613">
        <f t="shared" si="135"/>
        <v>0</v>
      </c>
      <c r="AK613">
        <f t="shared" si="132"/>
        <v>0</v>
      </c>
      <c r="AL613">
        <f t="shared" si="132"/>
        <v>0</v>
      </c>
      <c r="AM613">
        <f t="shared" si="132"/>
        <v>0</v>
      </c>
      <c r="AN613">
        <f t="shared" si="132"/>
        <v>0</v>
      </c>
      <c r="AO613">
        <f t="shared" si="132"/>
        <v>0</v>
      </c>
      <c r="AP613">
        <f t="shared" si="132"/>
        <v>0</v>
      </c>
      <c r="AQ613">
        <f t="shared" si="132"/>
        <v>0</v>
      </c>
      <c r="AR613">
        <f t="shared" si="132"/>
        <v>0</v>
      </c>
    </row>
    <row r="614" spans="5:44" x14ac:dyDescent="0.2">
      <c r="E614" s="1">
        <f>moment_rate!$AC614</f>
        <v>7.4493433161470389E-3</v>
      </c>
      <c r="F614" s="1">
        <f t="shared" si="128"/>
        <v>0</v>
      </c>
      <c r="G614">
        <f>moment_rate!I614-0.005</f>
        <v>6.069999999999915</v>
      </c>
      <c r="H614" s="1">
        <f t="shared" si="129"/>
        <v>0</v>
      </c>
      <c r="I614">
        <f t="shared" si="133"/>
        <v>0</v>
      </c>
      <c r="J614">
        <f t="shared" si="133"/>
        <v>0</v>
      </c>
      <c r="K614">
        <f t="shared" si="133"/>
        <v>0</v>
      </c>
      <c r="L614">
        <f t="shared" si="133"/>
        <v>0</v>
      </c>
      <c r="M614">
        <f t="shared" si="133"/>
        <v>0</v>
      </c>
      <c r="N614">
        <f t="shared" si="133"/>
        <v>0</v>
      </c>
      <c r="O614">
        <f t="shared" si="133"/>
        <v>0</v>
      </c>
      <c r="P614">
        <f t="shared" si="133"/>
        <v>0</v>
      </c>
      <c r="Q614">
        <f t="shared" si="133"/>
        <v>0</v>
      </c>
      <c r="R614">
        <f t="shared" si="133"/>
        <v>0</v>
      </c>
      <c r="S614">
        <f t="shared" si="133"/>
        <v>0</v>
      </c>
      <c r="T614">
        <f t="shared" si="133"/>
        <v>0</v>
      </c>
      <c r="U614">
        <f t="shared" si="133"/>
        <v>0</v>
      </c>
      <c r="V614">
        <f t="shared" si="133"/>
        <v>0</v>
      </c>
      <c r="W614">
        <f t="shared" si="133"/>
        <v>0</v>
      </c>
      <c r="X614">
        <f t="shared" si="133"/>
        <v>0</v>
      </c>
      <c r="Y614">
        <f t="shared" si="135"/>
        <v>0</v>
      </c>
      <c r="Z614">
        <f t="shared" si="135"/>
        <v>0</v>
      </c>
      <c r="AA614">
        <f t="shared" si="135"/>
        <v>0</v>
      </c>
      <c r="AB614">
        <f t="shared" si="135"/>
        <v>0</v>
      </c>
      <c r="AC614">
        <f t="shared" si="135"/>
        <v>0</v>
      </c>
      <c r="AD614">
        <f t="shared" si="135"/>
        <v>0</v>
      </c>
      <c r="AE614">
        <f t="shared" si="135"/>
        <v>0</v>
      </c>
      <c r="AF614">
        <f t="shared" si="135"/>
        <v>0</v>
      </c>
      <c r="AG614">
        <f t="shared" si="135"/>
        <v>0</v>
      </c>
      <c r="AH614">
        <f t="shared" si="135"/>
        <v>0</v>
      </c>
      <c r="AI614">
        <f t="shared" si="135"/>
        <v>0</v>
      </c>
      <c r="AJ614">
        <f t="shared" si="135"/>
        <v>0</v>
      </c>
      <c r="AK614">
        <f t="shared" si="132"/>
        <v>0</v>
      </c>
      <c r="AL614">
        <f t="shared" si="132"/>
        <v>0</v>
      </c>
      <c r="AM614">
        <f t="shared" si="132"/>
        <v>0</v>
      </c>
      <c r="AN614">
        <f t="shared" si="132"/>
        <v>0</v>
      </c>
      <c r="AO614">
        <f t="shared" si="132"/>
        <v>0</v>
      </c>
      <c r="AP614">
        <f t="shared" si="132"/>
        <v>0</v>
      </c>
      <c r="AQ614">
        <f t="shared" si="132"/>
        <v>0</v>
      </c>
      <c r="AR614">
        <f t="shared" si="132"/>
        <v>0</v>
      </c>
    </row>
    <row r="615" spans="5:44" x14ac:dyDescent="0.2">
      <c r="E615" s="1">
        <f>moment_rate!$AC615</f>
        <v>7.4493433161470389E-3</v>
      </c>
      <c r="F615" s="1">
        <f t="shared" si="128"/>
        <v>0</v>
      </c>
      <c r="G615">
        <f>moment_rate!I615-0.005</f>
        <v>6.0799999999999148</v>
      </c>
      <c r="H615" s="1">
        <f t="shared" si="129"/>
        <v>0</v>
      </c>
      <c r="I615">
        <f t="shared" si="133"/>
        <v>0</v>
      </c>
      <c r="J615">
        <f t="shared" si="133"/>
        <v>0</v>
      </c>
      <c r="K615">
        <f t="shared" si="133"/>
        <v>0</v>
      </c>
      <c r="L615">
        <f t="shared" si="133"/>
        <v>0</v>
      </c>
      <c r="M615">
        <f t="shared" si="133"/>
        <v>0</v>
      </c>
      <c r="N615">
        <f t="shared" si="133"/>
        <v>0</v>
      </c>
      <c r="O615">
        <f t="shared" si="133"/>
        <v>0</v>
      </c>
      <c r="P615">
        <f t="shared" si="133"/>
        <v>0</v>
      </c>
      <c r="Q615">
        <f t="shared" si="133"/>
        <v>0</v>
      </c>
      <c r="R615">
        <f t="shared" si="133"/>
        <v>0</v>
      </c>
      <c r="S615">
        <f t="shared" si="133"/>
        <v>0</v>
      </c>
      <c r="T615">
        <f t="shared" si="133"/>
        <v>0</v>
      </c>
      <c r="U615">
        <f t="shared" si="133"/>
        <v>0</v>
      </c>
      <c r="V615">
        <f t="shared" si="133"/>
        <v>0</v>
      </c>
      <c r="W615">
        <f t="shared" si="133"/>
        <v>0</v>
      </c>
      <c r="X615">
        <f t="shared" si="133"/>
        <v>0</v>
      </c>
      <c r="Y615">
        <f t="shared" si="135"/>
        <v>0</v>
      </c>
      <c r="Z615">
        <f t="shared" si="135"/>
        <v>0</v>
      </c>
      <c r="AA615">
        <f t="shared" si="135"/>
        <v>0</v>
      </c>
      <c r="AB615">
        <f t="shared" si="135"/>
        <v>0</v>
      </c>
      <c r="AC615">
        <f t="shared" si="135"/>
        <v>0</v>
      </c>
      <c r="AD615">
        <f t="shared" si="135"/>
        <v>0</v>
      </c>
      <c r="AE615">
        <f t="shared" si="135"/>
        <v>0</v>
      </c>
      <c r="AF615">
        <f t="shared" si="135"/>
        <v>0</v>
      </c>
      <c r="AG615">
        <f t="shared" si="135"/>
        <v>0</v>
      </c>
      <c r="AH615">
        <f t="shared" si="135"/>
        <v>0</v>
      </c>
      <c r="AI615">
        <f t="shared" si="135"/>
        <v>0</v>
      </c>
      <c r="AJ615">
        <f t="shared" si="135"/>
        <v>0</v>
      </c>
      <c r="AK615">
        <f t="shared" si="132"/>
        <v>0</v>
      </c>
      <c r="AL615">
        <f t="shared" si="132"/>
        <v>0</v>
      </c>
      <c r="AM615">
        <f t="shared" si="132"/>
        <v>0</v>
      </c>
      <c r="AN615">
        <f t="shared" si="132"/>
        <v>0</v>
      </c>
      <c r="AO615">
        <f t="shared" si="132"/>
        <v>0</v>
      </c>
      <c r="AP615">
        <f t="shared" si="132"/>
        <v>0</v>
      </c>
      <c r="AQ615">
        <f t="shared" si="132"/>
        <v>0</v>
      </c>
      <c r="AR615">
        <f t="shared" si="132"/>
        <v>0</v>
      </c>
    </row>
    <row r="616" spans="5:44" x14ac:dyDescent="0.2">
      <c r="E616" s="1">
        <f>moment_rate!$AC616</f>
        <v>7.4493433161470389E-3</v>
      </c>
      <c r="F616" s="1">
        <f t="shared" si="128"/>
        <v>0</v>
      </c>
      <c r="G616">
        <f>moment_rate!I616-0.005</f>
        <v>6.0899999999999146</v>
      </c>
      <c r="H616" s="1">
        <f t="shared" si="129"/>
        <v>0</v>
      </c>
      <c r="I616">
        <f t="shared" si="133"/>
        <v>0</v>
      </c>
      <c r="J616">
        <f t="shared" si="133"/>
        <v>0</v>
      </c>
      <c r="K616">
        <f t="shared" si="133"/>
        <v>0</v>
      </c>
      <c r="L616">
        <f t="shared" si="133"/>
        <v>0</v>
      </c>
      <c r="M616">
        <f t="shared" si="133"/>
        <v>0</v>
      </c>
      <c r="N616">
        <f t="shared" si="133"/>
        <v>0</v>
      </c>
      <c r="O616">
        <f t="shared" si="133"/>
        <v>0</v>
      </c>
      <c r="P616">
        <f t="shared" si="133"/>
        <v>0</v>
      </c>
      <c r="Q616">
        <f t="shared" si="133"/>
        <v>0</v>
      </c>
      <c r="R616">
        <f t="shared" si="133"/>
        <v>0</v>
      </c>
      <c r="S616">
        <f t="shared" si="133"/>
        <v>0</v>
      </c>
      <c r="T616">
        <f t="shared" si="133"/>
        <v>0</v>
      </c>
      <c r="U616">
        <f t="shared" si="133"/>
        <v>0</v>
      </c>
      <c r="V616">
        <f t="shared" si="133"/>
        <v>0</v>
      </c>
      <c r="W616">
        <f t="shared" si="133"/>
        <v>0</v>
      </c>
      <c r="X616">
        <f t="shared" si="133"/>
        <v>0</v>
      </c>
      <c r="Y616">
        <f t="shared" si="135"/>
        <v>0</v>
      </c>
      <c r="Z616">
        <f t="shared" si="135"/>
        <v>0</v>
      </c>
      <c r="AA616">
        <f t="shared" si="135"/>
        <v>0</v>
      </c>
      <c r="AB616">
        <f t="shared" si="135"/>
        <v>0</v>
      </c>
      <c r="AC616">
        <f t="shared" si="135"/>
        <v>0</v>
      </c>
      <c r="AD616">
        <f t="shared" si="135"/>
        <v>0</v>
      </c>
      <c r="AE616">
        <f t="shared" si="135"/>
        <v>0</v>
      </c>
      <c r="AF616">
        <f t="shared" si="135"/>
        <v>0</v>
      </c>
      <c r="AG616">
        <f t="shared" si="135"/>
        <v>0</v>
      </c>
      <c r="AH616">
        <f t="shared" si="135"/>
        <v>0</v>
      </c>
      <c r="AI616">
        <f t="shared" si="135"/>
        <v>0</v>
      </c>
      <c r="AJ616">
        <f t="shared" si="135"/>
        <v>0</v>
      </c>
      <c r="AK616">
        <f t="shared" si="132"/>
        <v>0</v>
      </c>
      <c r="AL616">
        <f t="shared" si="132"/>
        <v>0</v>
      </c>
      <c r="AM616">
        <f t="shared" si="132"/>
        <v>0</v>
      </c>
      <c r="AN616">
        <f t="shared" si="132"/>
        <v>0</v>
      </c>
      <c r="AO616">
        <f t="shared" si="132"/>
        <v>0</v>
      </c>
      <c r="AP616">
        <f t="shared" si="132"/>
        <v>0</v>
      </c>
      <c r="AQ616">
        <f t="shared" si="132"/>
        <v>0</v>
      </c>
      <c r="AR616">
        <f t="shared" si="132"/>
        <v>0</v>
      </c>
    </row>
    <row r="617" spans="5:44" x14ac:dyDescent="0.2">
      <c r="E617" s="1">
        <f>moment_rate!$AC617</f>
        <v>7.4493433161470389E-3</v>
      </c>
      <c r="F617" s="1">
        <f t="shared" si="128"/>
        <v>0</v>
      </c>
      <c r="G617">
        <f>moment_rate!I617-0.005</f>
        <v>6.0999999999999144</v>
      </c>
      <c r="H617" s="1">
        <f t="shared" si="129"/>
        <v>0</v>
      </c>
      <c r="I617">
        <f t="shared" si="133"/>
        <v>0</v>
      </c>
      <c r="J617">
        <f t="shared" si="133"/>
        <v>0</v>
      </c>
      <c r="K617">
        <f t="shared" si="133"/>
        <v>0</v>
      </c>
      <c r="L617">
        <f t="shared" si="133"/>
        <v>0</v>
      </c>
      <c r="M617">
        <f t="shared" si="133"/>
        <v>0</v>
      </c>
      <c r="N617">
        <f t="shared" si="133"/>
        <v>0</v>
      </c>
      <c r="O617">
        <f t="shared" si="133"/>
        <v>0</v>
      </c>
      <c r="P617">
        <f t="shared" si="133"/>
        <v>0</v>
      </c>
      <c r="Q617">
        <f t="shared" si="133"/>
        <v>0</v>
      </c>
      <c r="R617">
        <f t="shared" si="133"/>
        <v>0</v>
      </c>
      <c r="S617">
        <f t="shared" si="133"/>
        <v>0</v>
      </c>
      <c r="T617">
        <f t="shared" si="133"/>
        <v>0</v>
      </c>
      <c r="U617">
        <f t="shared" si="133"/>
        <v>0</v>
      </c>
      <c r="V617">
        <f t="shared" si="133"/>
        <v>0</v>
      </c>
      <c r="W617">
        <f t="shared" si="133"/>
        <v>0</v>
      </c>
      <c r="X617">
        <f t="shared" si="133"/>
        <v>0</v>
      </c>
      <c r="Y617">
        <f t="shared" si="135"/>
        <v>0</v>
      </c>
      <c r="Z617">
        <f t="shared" si="135"/>
        <v>0</v>
      </c>
      <c r="AA617">
        <f t="shared" si="135"/>
        <v>0</v>
      </c>
      <c r="AB617">
        <f t="shared" si="135"/>
        <v>0</v>
      </c>
      <c r="AC617">
        <f t="shared" si="135"/>
        <v>0</v>
      </c>
      <c r="AD617">
        <f t="shared" si="135"/>
        <v>0</v>
      </c>
      <c r="AE617">
        <f t="shared" si="135"/>
        <v>0</v>
      </c>
      <c r="AF617">
        <f t="shared" si="135"/>
        <v>0</v>
      </c>
      <c r="AG617">
        <f t="shared" si="135"/>
        <v>0</v>
      </c>
      <c r="AH617">
        <f t="shared" si="135"/>
        <v>0</v>
      </c>
      <c r="AI617">
        <f t="shared" si="135"/>
        <v>0</v>
      </c>
      <c r="AJ617">
        <f t="shared" si="135"/>
        <v>0</v>
      </c>
      <c r="AK617">
        <f t="shared" si="132"/>
        <v>0</v>
      </c>
      <c r="AL617">
        <f t="shared" si="132"/>
        <v>0</v>
      </c>
      <c r="AM617">
        <f t="shared" si="132"/>
        <v>0</v>
      </c>
      <c r="AN617">
        <f t="shared" si="132"/>
        <v>0</v>
      </c>
      <c r="AO617">
        <f t="shared" si="132"/>
        <v>0</v>
      </c>
      <c r="AP617">
        <f t="shared" si="132"/>
        <v>0</v>
      </c>
      <c r="AQ617">
        <f t="shared" si="132"/>
        <v>0</v>
      </c>
      <c r="AR617">
        <f t="shared" si="132"/>
        <v>0</v>
      </c>
    </row>
    <row r="618" spans="5:44" x14ac:dyDescent="0.2">
      <c r="E618" s="1">
        <f>moment_rate!$AC618</f>
        <v>7.4493433161470389E-3</v>
      </c>
      <c r="F618" s="1">
        <f t="shared" si="128"/>
        <v>0</v>
      </c>
      <c r="G618">
        <f>moment_rate!I618-0.005</f>
        <v>6.1099999999999142</v>
      </c>
      <c r="H618" s="1">
        <f t="shared" si="129"/>
        <v>0</v>
      </c>
      <c r="I618">
        <f t="shared" si="133"/>
        <v>0</v>
      </c>
      <c r="J618">
        <f t="shared" si="133"/>
        <v>0</v>
      </c>
      <c r="K618">
        <f t="shared" si="133"/>
        <v>0</v>
      </c>
      <c r="L618">
        <f t="shared" si="133"/>
        <v>0</v>
      </c>
      <c r="M618">
        <f t="shared" si="133"/>
        <v>0</v>
      </c>
      <c r="N618">
        <f t="shared" si="133"/>
        <v>0</v>
      </c>
      <c r="O618">
        <f t="shared" si="133"/>
        <v>0</v>
      </c>
      <c r="P618">
        <f t="shared" si="133"/>
        <v>0</v>
      </c>
      <c r="Q618">
        <f t="shared" si="133"/>
        <v>0</v>
      </c>
      <c r="R618">
        <f t="shared" si="133"/>
        <v>0</v>
      </c>
      <c r="S618">
        <f t="shared" si="133"/>
        <v>0</v>
      </c>
      <c r="T618">
        <f t="shared" si="133"/>
        <v>0</v>
      </c>
      <c r="U618">
        <f t="shared" si="133"/>
        <v>0</v>
      </c>
      <c r="V618">
        <f t="shared" si="133"/>
        <v>0</v>
      </c>
      <c r="W618">
        <f t="shared" si="133"/>
        <v>0</v>
      </c>
      <c r="X618">
        <f t="shared" ref="X618:AM633" si="136">IF(AND($G618&gt;=X$3,$G618&lt;X$4),$F618,0)</f>
        <v>0</v>
      </c>
      <c r="Y618">
        <f t="shared" si="136"/>
        <v>0</v>
      </c>
      <c r="Z618">
        <f t="shared" si="135"/>
        <v>0</v>
      </c>
      <c r="AA618">
        <f t="shared" si="135"/>
        <v>0</v>
      </c>
      <c r="AB618">
        <f t="shared" si="135"/>
        <v>0</v>
      </c>
      <c r="AC618">
        <f t="shared" si="135"/>
        <v>0</v>
      </c>
      <c r="AD618">
        <f t="shared" si="135"/>
        <v>0</v>
      </c>
      <c r="AE618">
        <f t="shared" si="135"/>
        <v>0</v>
      </c>
      <c r="AF618">
        <f t="shared" si="135"/>
        <v>0</v>
      </c>
      <c r="AG618">
        <f t="shared" si="135"/>
        <v>0</v>
      </c>
      <c r="AH618">
        <f t="shared" si="135"/>
        <v>0</v>
      </c>
      <c r="AI618">
        <f t="shared" si="135"/>
        <v>0</v>
      </c>
      <c r="AJ618">
        <f t="shared" si="135"/>
        <v>0</v>
      </c>
      <c r="AK618">
        <f t="shared" si="132"/>
        <v>0</v>
      </c>
      <c r="AL618">
        <f t="shared" si="132"/>
        <v>0</v>
      </c>
      <c r="AM618">
        <f t="shared" si="132"/>
        <v>0</v>
      </c>
      <c r="AN618">
        <f t="shared" si="132"/>
        <v>0</v>
      </c>
      <c r="AO618">
        <f t="shared" si="132"/>
        <v>0</v>
      </c>
      <c r="AP618">
        <f t="shared" si="132"/>
        <v>0</v>
      </c>
      <c r="AQ618">
        <f t="shared" si="132"/>
        <v>0</v>
      </c>
      <c r="AR618">
        <f t="shared" si="132"/>
        <v>0</v>
      </c>
    </row>
    <row r="619" spans="5:44" x14ac:dyDescent="0.2">
      <c r="E619" s="1">
        <f>moment_rate!$AC619</f>
        <v>7.4493433161470389E-3</v>
      </c>
      <c r="F619" s="1">
        <f t="shared" si="128"/>
        <v>0</v>
      </c>
      <c r="G619">
        <f>moment_rate!I619-0.005</f>
        <v>6.119999999999914</v>
      </c>
      <c r="H619" s="1">
        <f t="shared" si="129"/>
        <v>0</v>
      </c>
      <c r="I619">
        <f t="shared" ref="I619:X634" si="137">IF(AND($G619&gt;=I$3,$G619&lt;I$4),$F619,0)</f>
        <v>0</v>
      </c>
      <c r="J619">
        <f t="shared" si="137"/>
        <v>0</v>
      </c>
      <c r="K619">
        <f t="shared" si="137"/>
        <v>0</v>
      </c>
      <c r="L619">
        <f t="shared" si="137"/>
        <v>0</v>
      </c>
      <c r="M619">
        <f t="shared" si="137"/>
        <v>0</v>
      </c>
      <c r="N619">
        <f t="shared" si="137"/>
        <v>0</v>
      </c>
      <c r="O619">
        <f t="shared" si="137"/>
        <v>0</v>
      </c>
      <c r="P619">
        <f t="shared" si="137"/>
        <v>0</v>
      </c>
      <c r="Q619">
        <f t="shared" si="137"/>
        <v>0</v>
      </c>
      <c r="R619">
        <f t="shared" si="137"/>
        <v>0</v>
      </c>
      <c r="S619">
        <f t="shared" si="137"/>
        <v>0</v>
      </c>
      <c r="T619">
        <f t="shared" si="137"/>
        <v>0</v>
      </c>
      <c r="U619">
        <f t="shared" si="137"/>
        <v>0</v>
      </c>
      <c r="V619">
        <f t="shared" si="137"/>
        <v>0</v>
      </c>
      <c r="W619">
        <f t="shared" si="137"/>
        <v>0</v>
      </c>
      <c r="X619">
        <f t="shared" si="137"/>
        <v>0</v>
      </c>
      <c r="Y619">
        <f t="shared" si="136"/>
        <v>0</v>
      </c>
      <c r="Z619">
        <f t="shared" si="135"/>
        <v>0</v>
      </c>
      <c r="AA619">
        <f t="shared" si="135"/>
        <v>0</v>
      </c>
      <c r="AB619">
        <f t="shared" si="135"/>
        <v>0</v>
      </c>
      <c r="AC619">
        <f t="shared" si="135"/>
        <v>0</v>
      </c>
      <c r="AD619">
        <f t="shared" si="135"/>
        <v>0</v>
      </c>
      <c r="AE619">
        <f t="shared" si="135"/>
        <v>0</v>
      </c>
      <c r="AF619">
        <f t="shared" si="135"/>
        <v>0</v>
      </c>
      <c r="AG619">
        <f t="shared" si="135"/>
        <v>0</v>
      </c>
      <c r="AH619">
        <f t="shared" si="135"/>
        <v>0</v>
      </c>
      <c r="AI619">
        <f t="shared" si="135"/>
        <v>0</v>
      </c>
      <c r="AJ619">
        <f t="shared" si="135"/>
        <v>0</v>
      </c>
      <c r="AK619">
        <f t="shared" si="132"/>
        <v>0</v>
      </c>
      <c r="AL619">
        <f t="shared" si="132"/>
        <v>0</v>
      </c>
      <c r="AM619">
        <f t="shared" si="132"/>
        <v>0</v>
      </c>
      <c r="AN619">
        <f t="shared" si="132"/>
        <v>0</v>
      </c>
      <c r="AO619">
        <f t="shared" si="132"/>
        <v>0</v>
      </c>
      <c r="AP619">
        <f t="shared" si="132"/>
        <v>0</v>
      </c>
      <c r="AQ619">
        <f t="shared" si="132"/>
        <v>0</v>
      </c>
      <c r="AR619">
        <f t="shared" si="132"/>
        <v>0</v>
      </c>
    </row>
    <row r="620" spans="5:44" x14ac:dyDescent="0.2">
      <c r="E620" s="1">
        <f>moment_rate!$AC620</f>
        <v>7.4493433161470389E-3</v>
      </c>
      <c r="F620" s="1">
        <f t="shared" si="128"/>
        <v>0</v>
      </c>
      <c r="G620">
        <f>moment_rate!I620-0.005</f>
        <v>6.1299999999999137</v>
      </c>
      <c r="H620" s="1">
        <f t="shared" si="129"/>
        <v>0</v>
      </c>
      <c r="I620">
        <f t="shared" si="137"/>
        <v>0</v>
      </c>
      <c r="J620">
        <f t="shared" si="137"/>
        <v>0</v>
      </c>
      <c r="K620">
        <f t="shared" si="137"/>
        <v>0</v>
      </c>
      <c r="L620">
        <f t="shared" si="137"/>
        <v>0</v>
      </c>
      <c r="M620">
        <f t="shared" si="137"/>
        <v>0</v>
      </c>
      <c r="N620">
        <f t="shared" si="137"/>
        <v>0</v>
      </c>
      <c r="O620">
        <f t="shared" si="137"/>
        <v>0</v>
      </c>
      <c r="P620">
        <f t="shared" si="137"/>
        <v>0</v>
      </c>
      <c r="Q620">
        <f t="shared" si="137"/>
        <v>0</v>
      </c>
      <c r="R620">
        <f t="shared" si="137"/>
        <v>0</v>
      </c>
      <c r="S620">
        <f t="shared" si="137"/>
        <v>0</v>
      </c>
      <c r="T620">
        <f t="shared" si="137"/>
        <v>0</v>
      </c>
      <c r="U620">
        <f t="shared" si="137"/>
        <v>0</v>
      </c>
      <c r="V620">
        <f t="shared" si="137"/>
        <v>0</v>
      </c>
      <c r="W620">
        <f t="shared" si="137"/>
        <v>0</v>
      </c>
      <c r="X620">
        <f t="shared" si="137"/>
        <v>0</v>
      </c>
      <c r="Y620">
        <f t="shared" si="136"/>
        <v>0</v>
      </c>
      <c r="Z620">
        <f t="shared" si="136"/>
        <v>0</v>
      </c>
      <c r="AA620">
        <f t="shared" si="136"/>
        <v>0</v>
      </c>
      <c r="AB620">
        <f t="shared" si="136"/>
        <v>0</v>
      </c>
      <c r="AC620">
        <f t="shared" si="136"/>
        <v>0</v>
      </c>
      <c r="AD620">
        <f t="shared" si="136"/>
        <v>0</v>
      </c>
      <c r="AE620">
        <f t="shared" si="136"/>
        <v>0</v>
      </c>
      <c r="AF620">
        <f t="shared" si="136"/>
        <v>0</v>
      </c>
      <c r="AG620">
        <f t="shared" si="136"/>
        <v>0</v>
      </c>
      <c r="AH620">
        <f t="shared" si="136"/>
        <v>0</v>
      </c>
      <c r="AI620">
        <f t="shared" si="136"/>
        <v>0</v>
      </c>
      <c r="AJ620">
        <f t="shared" si="136"/>
        <v>0</v>
      </c>
      <c r="AK620">
        <f t="shared" si="132"/>
        <v>0</v>
      </c>
      <c r="AL620">
        <f t="shared" si="132"/>
        <v>0</v>
      </c>
      <c r="AM620">
        <f t="shared" si="132"/>
        <v>0</v>
      </c>
      <c r="AN620">
        <f t="shared" si="132"/>
        <v>0</v>
      </c>
      <c r="AO620">
        <f t="shared" si="132"/>
        <v>0</v>
      </c>
      <c r="AP620">
        <f t="shared" si="132"/>
        <v>0</v>
      </c>
      <c r="AQ620">
        <f t="shared" si="132"/>
        <v>0</v>
      </c>
      <c r="AR620">
        <f t="shared" si="132"/>
        <v>0</v>
      </c>
    </row>
    <row r="621" spans="5:44" x14ac:dyDescent="0.2">
      <c r="E621" s="1">
        <f>moment_rate!$AC621</f>
        <v>7.4493433161470389E-3</v>
      </c>
      <c r="F621" s="1">
        <f t="shared" si="128"/>
        <v>0</v>
      </c>
      <c r="G621">
        <f>moment_rate!I621-0.005</f>
        <v>6.1399999999999135</v>
      </c>
      <c r="H621" s="1">
        <f t="shared" si="129"/>
        <v>0</v>
      </c>
      <c r="I621">
        <f t="shared" si="137"/>
        <v>0</v>
      </c>
      <c r="J621">
        <f t="shared" si="137"/>
        <v>0</v>
      </c>
      <c r="K621">
        <f t="shared" si="137"/>
        <v>0</v>
      </c>
      <c r="L621">
        <f t="shared" si="137"/>
        <v>0</v>
      </c>
      <c r="M621">
        <f t="shared" si="137"/>
        <v>0</v>
      </c>
      <c r="N621">
        <f t="shared" si="137"/>
        <v>0</v>
      </c>
      <c r="O621">
        <f t="shared" si="137"/>
        <v>0</v>
      </c>
      <c r="P621">
        <f t="shared" si="137"/>
        <v>0</v>
      </c>
      <c r="Q621">
        <f t="shared" si="137"/>
        <v>0</v>
      </c>
      <c r="R621">
        <f t="shared" si="137"/>
        <v>0</v>
      </c>
      <c r="S621">
        <f t="shared" si="137"/>
        <v>0</v>
      </c>
      <c r="T621">
        <f t="shared" si="137"/>
        <v>0</v>
      </c>
      <c r="U621">
        <f t="shared" si="137"/>
        <v>0</v>
      </c>
      <c r="V621">
        <f t="shared" si="137"/>
        <v>0</v>
      </c>
      <c r="W621">
        <f t="shared" si="137"/>
        <v>0</v>
      </c>
      <c r="X621">
        <f t="shared" si="137"/>
        <v>0</v>
      </c>
      <c r="Y621">
        <f t="shared" si="136"/>
        <v>0</v>
      </c>
      <c r="Z621">
        <f t="shared" si="136"/>
        <v>0</v>
      </c>
      <c r="AA621">
        <f t="shared" si="136"/>
        <v>0</v>
      </c>
      <c r="AB621">
        <f t="shared" si="136"/>
        <v>0</v>
      </c>
      <c r="AC621">
        <f t="shared" si="136"/>
        <v>0</v>
      </c>
      <c r="AD621">
        <f t="shared" si="136"/>
        <v>0</v>
      </c>
      <c r="AE621">
        <f t="shared" si="136"/>
        <v>0</v>
      </c>
      <c r="AF621">
        <f t="shared" si="136"/>
        <v>0</v>
      </c>
      <c r="AG621">
        <f t="shared" si="136"/>
        <v>0</v>
      </c>
      <c r="AH621">
        <f t="shared" si="136"/>
        <v>0</v>
      </c>
      <c r="AI621">
        <f t="shared" si="136"/>
        <v>0</v>
      </c>
      <c r="AJ621">
        <f t="shared" si="136"/>
        <v>0</v>
      </c>
      <c r="AK621">
        <f t="shared" si="132"/>
        <v>0</v>
      </c>
      <c r="AL621">
        <f t="shared" si="132"/>
        <v>0</v>
      </c>
      <c r="AM621">
        <f t="shared" si="132"/>
        <v>0</v>
      </c>
      <c r="AN621">
        <f t="shared" si="132"/>
        <v>0</v>
      </c>
      <c r="AO621">
        <f t="shared" si="132"/>
        <v>0</v>
      </c>
      <c r="AP621">
        <f t="shared" si="132"/>
        <v>0</v>
      </c>
      <c r="AQ621">
        <f t="shared" si="132"/>
        <v>0</v>
      </c>
      <c r="AR621">
        <f t="shared" si="132"/>
        <v>0</v>
      </c>
    </row>
    <row r="622" spans="5:44" x14ac:dyDescent="0.2">
      <c r="E622" s="1">
        <f>moment_rate!$AC622</f>
        <v>7.4493433161470389E-3</v>
      </c>
      <c r="F622" s="1">
        <f t="shared" si="128"/>
        <v>0</v>
      </c>
      <c r="G622">
        <f>moment_rate!I622-0.005</f>
        <v>6.1499999999999133</v>
      </c>
      <c r="H622" s="1">
        <f t="shared" si="129"/>
        <v>0</v>
      </c>
      <c r="I622">
        <f t="shared" si="137"/>
        <v>0</v>
      </c>
      <c r="J622">
        <f t="shared" si="137"/>
        <v>0</v>
      </c>
      <c r="K622">
        <f t="shared" si="137"/>
        <v>0</v>
      </c>
      <c r="L622">
        <f t="shared" si="137"/>
        <v>0</v>
      </c>
      <c r="M622">
        <f t="shared" si="137"/>
        <v>0</v>
      </c>
      <c r="N622">
        <f t="shared" si="137"/>
        <v>0</v>
      </c>
      <c r="O622">
        <f t="shared" si="137"/>
        <v>0</v>
      </c>
      <c r="P622">
        <f t="shared" si="137"/>
        <v>0</v>
      </c>
      <c r="Q622">
        <f t="shared" si="137"/>
        <v>0</v>
      </c>
      <c r="R622">
        <f t="shared" si="137"/>
        <v>0</v>
      </c>
      <c r="S622">
        <f t="shared" si="137"/>
        <v>0</v>
      </c>
      <c r="T622">
        <f t="shared" si="137"/>
        <v>0</v>
      </c>
      <c r="U622">
        <f t="shared" si="137"/>
        <v>0</v>
      </c>
      <c r="V622">
        <f t="shared" si="137"/>
        <v>0</v>
      </c>
      <c r="W622">
        <f t="shared" si="137"/>
        <v>0</v>
      </c>
      <c r="X622">
        <f t="shared" si="137"/>
        <v>0</v>
      </c>
      <c r="Y622">
        <f t="shared" si="136"/>
        <v>0</v>
      </c>
      <c r="Z622">
        <f t="shared" si="136"/>
        <v>0</v>
      </c>
      <c r="AA622">
        <f t="shared" si="136"/>
        <v>0</v>
      </c>
      <c r="AB622">
        <f t="shared" si="136"/>
        <v>0</v>
      </c>
      <c r="AC622">
        <f t="shared" si="136"/>
        <v>0</v>
      </c>
      <c r="AD622">
        <f t="shared" si="136"/>
        <v>0</v>
      </c>
      <c r="AE622">
        <f t="shared" si="136"/>
        <v>0</v>
      </c>
      <c r="AF622">
        <f t="shared" si="136"/>
        <v>0</v>
      </c>
      <c r="AG622">
        <f t="shared" si="136"/>
        <v>0</v>
      </c>
      <c r="AH622">
        <f t="shared" si="136"/>
        <v>0</v>
      </c>
      <c r="AI622">
        <f t="shared" si="136"/>
        <v>0</v>
      </c>
      <c r="AJ622">
        <f t="shared" si="136"/>
        <v>0</v>
      </c>
      <c r="AK622">
        <f t="shared" si="136"/>
        <v>0</v>
      </c>
      <c r="AL622">
        <f t="shared" si="136"/>
        <v>0</v>
      </c>
      <c r="AM622">
        <f t="shared" si="136"/>
        <v>0</v>
      </c>
      <c r="AN622">
        <f t="shared" si="132"/>
        <v>0</v>
      </c>
      <c r="AO622">
        <f t="shared" si="132"/>
        <v>0</v>
      </c>
      <c r="AP622">
        <f t="shared" si="132"/>
        <v>0</v>
      </c>
      <c r="AQ622">
        <f t="shared" si="132"/>
        <v>0</v>
      </c>
      <c r="AR622">
        <f t="shared" si="132"/>
        <v>0</v>
      </c>
    </row>
    <row r="623" spans="5:44" x14ac:dyDescent="0.2">
      <c r="E623" s="1">
        <f>moment_rate!$AC623</f>
        <v>7.4493433161470389E-3</v>
      </c>
      <c r="F623" s="1">
        <f t="shared" si="128"/>
        <v>0</v>
      </c>
      <c r="G623">
        <f>moment_rate!I623-0.005</f>
        <v>6.1599999999999131</v>
      </c>
      <c r="H623" s="1">
        <f t="shared" si="129"/>
        <v>0</v>
      </c>
      <c r="I623">
        <f t="shared" si="137"/>
        <v>0</v>
      </c>
      <c r="J623">
        <f t="shared" si="137"/>
        <v>0</v>
      </c>
      <c r="K623">
        <f t="shared" si="137"/>
        <v>0</v>
      </c>
      <c r="L623">
        <f t="shared" si="137"/>
        <v>0</v>
      </c>
      <c r="M623">
        <f t="shared" si="137"/>
        <v>0</v>
      </c>
      <c r="N623">
        <f t="shared" si="137"/>
        <v>0</v>
      </c>
      <c r="O623">
        <f t="shared" si="137"/>
        <v>0</v>
      </c>
      <c r="P623">
        <f t="shared" si="137"/>
        <v>0</v>
      </c>
      <c r="Q623">
        <f t="shared" si="137"/>
        <v>0</v>
      </c>
      <c r="R623">
        <f t="shared" si="137"/>
        <v>0</v>
      </c>
      <c r="S623">
        <f t="shared" si="137"/>
        <v>0</v>
      </c>
      <c r="T623">
        <f t="shared" si="137"/>
        <v>0</v>
      </c>
      <c r="U623">
        <f t="shared" si="137"/>
        <v>0</v>
      </c>
      <c r="V623">
        <f t="shared" si="137"/>
        <v>0</v>
      </c>
      <c r="W623">
        <f t="shared" si="137"/>
        <v>0</v>
      </c>
      <c r="X623">
        <f t="shared" si="137"/>
        <v>0</v>
      </c>
      <c r="Y623">
        <f t="shared" si="136"/>
        <v>0</v>
      </c>
      <c r="Z623">
        <f t="shared" si="136"/>
        <v>0</v>
      </c>
      <c r="AA623">
        <f t="shared" si="136"/>
        <v>0</v>
      </c>
      <c r="AB623">
        <f t="shared" si="136"/>
        <v>0</v>
      </c>
      <c r="AC623">
        <f t="shared" si="136"/>
        <v>0</v>
      </c>
      <c r="AD623">
        <f t="shared" si="136"/>
        <v>0</v>
      </c>
      <c r="AE623">
        <f t="shared" si="136"/>
        <v>0</v>
      </c>
      <c r="AF623">
        <f t="shared" si="136"/>
        <v>0</v>
      </c>
      <c r="AG623">
        <f t="shared" si="136"/>
        <v>0</v>
      </c>
      <c r="AH623">
        <f t="shared" si="136"/>
        <v>0</v>
      </c>
      <c r="AI623">
        <f t="shared" si="136"/>
        <v>0</v>
      </c>
      <c r="AJ623">
        <f t="shared" si="136"/>
        <v>0</v>
      </c>
      <c r="AK623">
        <f t="shared" si="136"/>
        <v>0</v>
      </c>
      <c r="AL623">
        <f t="shared" si="136"/>
        <v>0</v>
      </c>
      <c r="AM623">
        <f t="shared" si="136"/>
        <v>0</v>
      </c>
      <c r="AN623">
        <f t="shared" si="132"/>
        <v>0</v>
      </c>
      <c r="AO623">
        <f t="shared" si="132"/>
        <v>0</v>
      </c>
      <c r="AP623">
        <f t="shared" si="132"/>
        <v>0</v>
      </c>
      <c r="AQ623">
        <f t="shared" si="132"/>
        <v>0</v>
      </c>
      <c r="AR623">
        <f t="shared" si="132"/>
        <v>0</v>
      </c>
    </row>
    <row r="624" spans="5:44" x14ac:dyDescent="0.2">
      <c r="E624" s="1">
        <f>moment_rate!$AC624</f>
        <v>7.4493433161470389E-3</v>
      </c>
      <c r="F624" s="1">
        <f t="shared" si="128"/>
        <v>0</v>
      </c>
      <c r="G624">
        <f>moment_rate!I624-0.005</f>
        <v>6.1699999999999129</v>
      </c>
      <c r="H624" s="1">
        <f t="shared" si="129"/>
        <v>0</v>
      </c>
      <c r="I624">
        <f t="shared" si="137"/>
        <v>0</v>
      </c>
      <c r="J624">
        <f t="shared" si="137"/>
        <v>0</v>
      </c>
      <c r="K624">
        <f t="shared" si="137"/>
        <v>0</v>
      </c>
      <c r="L624">
        <f t="shared" si="137"/>
        <v>0</v>
      </c>
      <c r="M624">
        <f t="shared" si="137"/>
        <v>0</v>
      </c>
      <c r="N624">
        <f t="shared" si="137"/>
        <v>0</v>
      </c>
      <c r="O624">
        <f t="shared" si="137"/>
        <v>0</v>
      </c>
      <c r="P624">
        <f t="shared" si="137"/>
        <v>0</v>
      </c>
      <c r="Q624">
        <f t="shared" si="137"/>
        <v>0</v>
      </c>
      <c r="R624">
        <f t="shared" si="137"/>
        <v>0</v>
      </c>
      <c r="S624">
        <f t="shared" si="137"/>
        <v>0</v>
      </c>
      <c r="T624">
        <f t="shared" si="137"/>
        <v>0</v>
      </c>
      <c r="U624">
        <f t="shared" si="137"/>
        <v>0</v>
      </c>
      <c r="V624">
        <f t="shared" si="137"/>
        <v>0</v>
      </c>
      <c r="W624">
        <f t="shared" si="137"/>
        <v>0</v>
      </c>
      <c r="X624">
        <f t="shared" si="137"/>
        <v>0</v>
      </c>
      <c r="Y624">
        <f t="shared" si="136"/>
        <v>0</v>
      </c>
      <c r="Z624">
        <f t="shared" si="136"/>
        <v>0</v>
      </c>
      <c r="AA624">
        <f t="shared" si="136"/>
        <v>0</v>
      </c>
      <c r="AB624">
        <f t="shared" si="136"/>
        <v>0</v>
      </c>
      <c r="AC624">
        <f t="shared" si="136"/>
        <v>0</v>
      </c>
      <c r="AD624">
        <f t="shared" si="136"/>
        <v>0</v>
      </c>
      <c r="AE624">
        <f t="shared" si="136"/>
        <v>0</v>
      </c>
      <c r="AF624">
        <f t="shared" si="136"/>
        <v>0</v>
      </c>
      <c r="AG624">
        <f t="shared" si="136"/>
        <v>0</v>
      </c>
      <c r="AH624">
        <f t="shared" si="136"/>
        <v>0</v>
      </c>
      <c r="AI624">
        <f t="shared" si="136"/>
        <v>0</v>
      </c>
      <c r="AJ624">
        <f t="shared" si="136"/>
        <v>0</v>
      </c>
      <c r="AK624">
        <f t="shared" si="136"/>
        <v>0</v>
      </c>
      <c r="AL624">
        <f t="shared" si="136"/>
        <v>0</v>
      </c>
      <c r="AM624">
        <f t="shared" si="136"/>
        <v>0</v>
      </c>
      <c r="AN624">
        <f t="shared" si="132"/>
        <v>0</v>
      </c>
      <c r="AO624">
        <f t="shared" si="132"/>
        <v>0</v>
      </c>
      <c r="AP624">
        <f t="shared" si="132"/>
        <v>0</v>
      </c>
      <c r="AQ624">
        <f t="shared" si="132"/>
        <v>0</v>
      </c>
      <c r="AR624">
        <f t="shared" si="132"/>
        <v>0</v>
      </c>
    </row>
    <row r="625" spans="5:44" x14ac:dyDescent="0.2">
      <c r="E625" s="1">
        <f>moment_rate!$AC625</f>
        <v>7.4493433161470389E-3</v>
      </c>
      <c r="F625" s="1">
        <f t="shared" si="128"/>
        <v>0</v>
      </c>
      <c r="G625">
        <f>moment_rate!I625-0.005</f>
        <v>6.1799999999999127</v>
      </c>
      <c r="H625" s="1">
        <f t="shared" si="129"/>
        <v>0</v>
      </c>
      <c r="I625">
        <f t="shared" si="137"/>
        <v>0</v>
      </c>
      <c r="J625">
        <f t="shared" si="137"/>
        <v>0</v>
      </c>
      <c r="K625">
        <f t="shared" si="137"/>
        <v>0</v>
      </c>
      <c r="L625">
        <f t="shared" si="137"/>
        <v>0</v>
      </c>
      <c r="M625">
        <f t="shared" si="137"/>
        <v>0</v>
      </c>
      <c r="N625">
        <f t="shared" si="137"/>
        <v>0</v>
      </c>
      <c r="O625">
        <f t="shared" si="137"/>
        <v>0</v>
      </c>
      <c r="P625">
        <f t="shared" si="137"/>
        <v>0</v>
      </c>
      <c r="Q625">
        <f t="shared" si="137"/>
        <v>0</v>
      </c>
      <c r="R625">
        <f t="shared" si="137"/>
        <v>0</v>
      </c>
      <c r="S625">
        <f t="shared" si="137"/>
        <v>0</v>
      </c>
      <c r="T625">
        <f t="shared" si="137"/>
        <v>0</v>
      </c>
      <c r="U625">
        <f t="shared" si="137"/>
        <v>0</v>
      </c>
      <c r="V625">
        <f t="shared" si="137"/>
        <v>0</v>
      </c>
      <c r="W625">
        <f t="shared" si="137"/>
        <v>0</v>
      </c>
      <c r="X625">
        <f t="shared" si="137"/>
        <v>0</v>
      </c>
      <c r="Y625">
        <f t="shared" si="136"/>
        <v>0</v>
      </c>
      <c r="Z625">
        <f t="shared" si="136"/>
        <v>0</v>
      </c>
      <c r="AA625">
        <f t="shared" si="136"/>
        <v>0</v>
      </c>
      <c r="AB625">
        <f t="shared" si="136"/>
        <v>0</v>
      </c>
      <c r="AC625">
        <f t="shared" si="136"/>
        <v>0</v>
      </c>
      <c r="AD625">
        <f t="shared" si="136"/>
        <v>0</v>
      </c>
      <c r="AE625">
        <f t="shared" si="136"/>
        <v>0</v>
      </c>
      <c r="AF625">
        <f t="shared" si="136"/>
        <v>0</v>
      </c>
      <c r="AG625">
        <f t="shared" si="136"/>
        <v>0</v>
      </c>
      <c r="AH625">
        <f t="shared" si="136"/>
        <v>0</v>
      </c>
      <c r="AI625">
        <f t="shared" si="136"/>
        <v>0</v>
      </c>
      <c r="AJ625">
        <f t="shared" si="136"/>
        <v>0</v>
      </c>
      <c r="AK625">
        <f t="shared" si="136"/>
        <v>0</v>
      </c>
      <c r="AL625">
        <f t="shared" si="136"/>
        <v>0</v>
      </c>
      <c r="AM625">
        <f t="shared" si="136"/>
        <v>0</v>
      </c>
      <c r="AN625">
        <f t="shared" si="132"/>
        <v>0</v>
      </c>
      <c r="AO625">
        <f t="shared" si="132"/>
        <v>0</v>
      </c>
      <c r="AP625">
        <f t="shared" si="132"/>
        <v>0</v>
      </c>
      <c r="AQ625">
        <f t="shared" si="132"/>
        <v>0</v>
      </c>
      <c r="AR625">
        <f t="shared" si="132"/>
        <v>0</v>
      </c>
    </row>
    <row r="626" spans="5:44" x14ac:dyDescent="0.2">
      <c r="E626" s="1">
        <f>moment_rate!$AC626</f>
        <v>7.4493433161470389E-3</v>
      </c>
      <c r="F626" s="1">
        <f t="shared" si="128"/>
        <v>0</v>
      </c>
      <c r="G626">
        <f>moment_rate!I626-0.005</f>
        <v>6.1899999999999125</v>
      </c>
      <c r="H626" s="1">
        <f t="shared" si="129"/>
        <v>0</v>
      </c>
      <c r="I626">
        <f t="shared" si="137"/>
        <v>0</v>
      </c>
      <c r="J626">
        <f t="shared" si="137"/>
        <v>0</v>
      </c>
      <c r="K626">
        <f t="shared" si="137"/>
        <v>0</v>
      </c>
      <c r="L626">
        <f t="shared" si="137"/>
        <v>0</v>
      </c>
      <c r="M626">
        <f t="shared" si="137"/>
        <v>0</v>
      </c>
      <c r="N626">
        <f t="shared" si="137"/>
        <v>0</v>
      </c>
      <c r="O626">
        <f t="shared" si="137"/>
        <v>0</v>
      </c>
      <c r="P626">
        <f t="shared" si="137"/>
        <v>0</v>
      </c>
      <c r="Q626">
        <f t="shared" si="137"/>
        <v>0</v>
      </c>
      <c r="R626">
        <f t="shared" si="137"/>
        <v>0</v>
      </c>
      <c r="S626">
        <f t="shared" si="137"/>
        <v>0</v>
      </c>
      <c r="T626">
        <f t="shared" si="137"/>
        <v>0</v>
      </c>
      <c r="U626">
        <f t="shared" si="137"/>
        <v>0</v>
      </c>
      <c r="V626">
        <f t="shared" si="137"/>
        <v>0</v>
      </c>
      <c r="W626">
        <f t="shared" si="137"/>
        <v>0</v>
      </c>
      <c r="X626">
        <f t="shared" si="137"/>
        <v>0</v>
      </c>
      <c r="Y626">
        <f t="shared" si="136"/>
        <v>0</v>
      </c>
      <c r="Z626">
        <f t="shared" si="136"/>
        <v>0</v>
      </c>
      <c r="AA626">
        <f t="shared" si="136"/>
        <v>0</v>
      </c>
      <c r="AB626">
        <f t="shared" si="136"/>
        <v>0</v>
      </c>
      <c r="AC626">
        <f t="shared" si="136"/>
        <v>0</v>
      </c>
      <c r="AD626">
        <f t="shared" si="136"/>
        <v>0</v>
      </c>
      <c r="AE626">
        <f t="shared" si="136"/>
        <v>0</v>
      </c>
      <c r="AF626">
        <f t="shared" si="136"/>
        <v>0</v>
      </c>
      <c r="AG626">
        <f t="shared" si="136"/>
        <v>0</v>
      </c>
      <c r="AH626">
        <f t="shared" si="136"/>
        <v>0</v>
      </c>
      <c r="AI626">
        <f t="shared" si="136"/>
        <v>0</v>
      </c>
      <c r="AJ626">
        <f t="shared" si="136"/>
        <v>0</v>
      </c>
      <c r="AK626">
        <f t="shared" si="136"/>
        <v>0</v>
      </c>
      <c r="AL626">
        <f t="shared" si="136"/>
        <v>0</v>
      </c>
      <c r="AM626">
        <f t="shared" si="136"/>
        <v>0</v>
      </c>
      <c r="AN626">
        <f t="shared" si="132"/>
        <v>0</v>
      </c>
      <c r="AO626">
        <f t="shared" si="132"/>
        <v>0</v>
      </c>
      <c r="AP626">
        <f t="shared" si="132"/>
        <v>0</v>
      </c>
      <c r="AQ626">
        <f t="shared" si="132"/>
        <v>0</v>
      </c>
      <c r="AR626">
        <f t="shared" si="132"/>
        <v>0</v>
      </c>
    </row>
    <row r="627" spans="5:44" x14ac:dyDescent="0.2">
      <c r="E627" s="1">
        <f>moment_rate!$AC627</f>
        <v>7.4493433161470389E-3</v>
      </c>
      <c r="F627" s="1">
        <f t="shared" si="128"/>
        <v>0</v>
      </c>
      <c r="G627">
        <f>moment_rate!I627-0.005</f>
        <v>6.1999999999999122</v>
      </c>
      <c r="H627" s="1">
        <f t="shared" si="129"/>
        <v>0</v>
      </c>
      <c r="I627">
        <f t="shared" si="137"/>
        <v>0</v>
      </c>
      <c r="J627">
        <f t="shared" si="137"/>
        <v>0</v>
      </c>
      <c r="K627">
        <f t="shared" si="137"/>
        <v>0</v>
      </c>
      <c r="L627">
        <f t="shared" si="137"/>
        <v>0</v>
      </c>
      <c r="M627">
        <f t="shared" si="137"/>
        <v>0</v>
      </c>
      <c r="N627">
        <f t="shared" si="137"/>
        <v>0</v>
      </c>
      <c r="O627">
        <f t="shared" si="137"/>
        <v>0</v>
      </c>
      <c r="P627">
        <f t="shared" si="137"/>
        <v>0</v>
      </c>
      <c r="Q627">
        <f t="shared" si="137"/>
        <v>0</v>
      </c>
      <c r="R627">
        <f t="shared" si="137"/>
        <v>0</v>
      </c>
      <c r="S627">
        <f t="shared" si="137"/>
        <v>0</v>
      </c>
      <c r="T627">
        <f t="shared" si="137"/>
        <v>0</v>
      </c>
      <c r="U627">
        <f t="shared" si="137"/>
        <v>0</v>
      </c>
      <c r="V627">
        <f t="shared" si="137"/>
        <v>0</v>
      </c>
      <c r="W627">
        <f t="shared" si="137"/>
        <v>0</v>
      </c>
      <c r="X627">
        <f t="shared" si="137"/>
        <v>0</v>
      </c>
      <c r="Y627">
        <f t="shared" si="136"/>
        <v>0</v>
      </c>
      <c r="Z627">
        <f t="shared" si="136"/>
        <v>0</v>
      </c>
      <c r="AA627">
        <f t="shared" si="136"/>
        <v>0</v>
      </c>
      <c r="AB627">
        <f t="shared" si="136"/>
        <v>0</v>
      </c>
      <c r="AC627">
        <f t="shared" si="136"/>
        <v>0</v>
      </c>
      <c r="AD627">
        <f t="shared" si="136"/>
        <v>0</v>
      </c>
      <c r="AE627">
        <f t="shared" si="136"/>
        <v>0</v>
      </c>
      <c r="AF627">
        <f t="shared" si="136"/>
        <v>0</v>
      </c>
      <c r="AG627">
        <f t="shared" si="136"/>
        <v>0</v>
      </c>
      <c r="AH627">
        <f t="shared" si="136"/>
        <v>0</v>
      </c>
      <c r="AI627">
        <f t="shared" si="136"/>
        <v>0</v>
      </c>
      <c r="AJ627">
        <f t="shared" si="136"/>
        <v>0</v>
      </c>
      <c r="AK627">
        <f t="shared" si="136"/>
        <v>0</v>
      </c>
      <c r="AL627">
        <f t="shared" si="136"/>
        <v>0</v>
      </c>
      <c r="AM627">
        <f t="shared" si="136"/>
        <v>0</v>
      </c>
      <c r="AN627">
        <f t="shared" si="132"/>
        <v>0</v>
      </c>
      <c r="AO627">
        <f t="shared" si="132"/>
        <v>0</v>
      </c>
      <c r="AP627">
        <f t="shared" si="132"/>
        <v>0</v>
      </c>
      <c r="AQ627">
        <f t="shared" si="132"/>
        <v>0</v>
      </c>
      <c r="AR627">
        <f t="shared" si="132"/>
        <v>0</v>
      </c>
    </row>
    <row r="628" spans="5:44" x14ac:dyDescent="0.2">
      <c r="E628" s="1">
        <f>moment_rate!$AC628</f>
        <v>7.4493433161470389E-3</v>
      </c>
      <c r="F628" s="1">
        <f t="shared" si="128"/>
        <v>0</v>
      </c>
      <c r="G628">
        <f>moment_rate!I628-0.005</f>
        <v>6.209999999999912</v>
      </c>
      <c r="H628" s="1">
        <f t="shared" si="129"/>
        <v>0</v>
      </c>
      <c r="I628">
        <f t="shared" si="137"/>
        <v>0</v>
      </c>
      <c r="J628">
        <f t="shared" si="137"/>
        <v>0</v>
      </c>
      <c r="K628">
        <f t="shared" si="137"/>
        <v>0</v>
      </c>
      <c r="L628">
        <f t="shared" si="137"/>
        <v>0</v>
      </c>
      <c r="M628">
        <f t="shared" si="137"/>
        <v>0</v>
      </c>
      <c r="N628">
        <f t="shared" si="137"/>
        <v>0</v>
      </c>
      <c r="O628">
        <f t="shared" si="137"/>
        <v>0</v>
      </c>
      <c r="P628">
        <f t="shared" si="137"/>
        <v>0</v>
      </c>
      <c r="Q628">
        <f t="shared" si="137"/>
        <v>0</v>
      </c>
      <c r="R628">
        <f t="shared" si="137"/>
        <v>0</v>
      </c>
      <c r="S628">
        <f t="shared" si="137"/>
        <v>0</v>
      </c>
      <c r="T628">
        <f t="shared" si="137"/>
        <v>0</v>
      </c>
      <c r="U628">
        <f t="shared" si="137"/>
        <v>0</v>
      </c>
      <c r="V628">
        <f t="shared" si="137"/>
        <v>0</v>
      </c>
      <c r="W628">
        <f t="shared" si="137"/>
        <v>0</v>
      </c>
      <c r="X628">
        <f t="shared" si="137"/>
        <v>0</v>
      </c>
      <c r="Y628">
        <f t="shared" si="136"/>
        <v>0</v>
      </c>
      <c r="Z628">
        <f t="shared" si="136"/>
        <v>0</v>
      </c>
      <c r="AA628">
        <f t="shared" si="136"/>
        <v>0</v>
      </c>
      <c r="AB628">
        <f t="shared" si="136"/>
        <v>0</v>
      </c>
      <c r="AC628">
        <f t="shared" si="136"/>
        <v>0</v>
      </c>
      <c r="AD628">
        <f t="shared" si="136"/>
        <v>0</v>
      </c>
      <c r="AE628">
        <f t="shared" si="136"/>
        <v>0</v>
      </c>
      <c r="AF628">
        <f t="shared" si="136"/>
        <v>0</v>
      </c>
      <c r="AG628">
        <f t="shared" si="136"/>
        <v>0</v>
      </c>
      <c r="AH628">
        <f t="shared" si="136"/>
        <v>0</v>
      </c>
      <c r="AI628">
        <f t="shared" si="136"/>
        <v>0</v>
      </c>
      <c r="AJ628">
        <f t="shared" si="136"/>
        <v>0</v>
      </c>
      <c r="AK628">
        <f t="shared" si="136"/>
        <v>0</v>
      </c>
      <c r="AL628">
        <f t="shared" si="136"/>
        <v>0</v>
      </c>
      <c r="AM628">
        <f t="shared" si="136"/>
        <v>0</v>
      </c>
      <c r="AN628">
        <f t="shared" si="132"/>
        <v>0</v>
      </c>
      <c r="AO628">
        <f t="shared" si="132"/>
        <v>0</v>
      </c>
      <c r="AP628">
        <f t="shared" si="132"/>
        <v>0</v>
      </c>
      <c r="AQ628">
        <f t="shared" si="132"/>
        <v>0</v>
      </c>
      <c r="AR628">
        <f t="shared" si="132"/>
        <v>0</v>
      </c>
    </row>
    <row r="629" spans="5:44" x14ac:dyDescent="0.2">
      <c r="E629" s="1">
        <f>moment_rate!$AC629</f>
        <v>7.4493433161470389E-3</v>
      </c>
      <c r="F629" s="1">
        <f t="shared" si="128"/>
        <v>0</v>
      </c>
      <c r="G629">
        <f>moment_rate!I629-0.005</f>
        <v>6.2199999999999118</v>
      </c>
      <c r="H629" s="1">
        <f t="shared" si="129"/>
        <v>0</v>
      </c>
      <c r="I629">
        <f t="shared" si="137"/>
        <v>0</v>
      </c>
      <c r="J629">
        <f t="shared" si="137"/>
        <v>0</v>
      </c>
      <c r="K629">
        <f t="shared" si="137"/>
        <v>0</v>
      </c>
      <c r="L629">
        <f t="shared" si="137"/>
        <v>0</v>
      </c>
      <c r="M629">
        <f t="shared" si="137"/>
        <v>0</v>
      </c>
      <c r="N629">
        <f t="shared" si="137"/>
        <v>0</v>
      </c>
      <c r="O629">
        <f t="shared" si="137"/>
        <v>0</v>
      </c>
      <c r="P629">
        <f t="shared" si="137"/>
        <v>0</v>
      </c>
      <c r="Q629">
        <f t="shared" si="137"/>
        <v>0</v>
      </c>
      <c r="R629">
        <f t="shared" si="137"/>
        <v>0</v>
      </c>
      <c r="S629">
        <f t="shared" si="137"/>
        <v>0</v>
      </c>
      <c r="T629">
        <f t="shared" si="137"/>
        <v>0</v>
      </c>
      <c r="U629">
        <f t="shared" si="137"/>
        <v>0</v>
      </c>
      <c r="V629">
        <f t="shared" si="137"/>
        <v>0</v>
      </c>
      <c r="W629">
        <f t="shared" si="137"/>
        <v>0</v>
      </c>
      <c r="X629">
        <f t="shared" si="137"/>
        <v>0</v>
      </c>
      <c r="Y629">
        <f t="shared" si="136"/>
        <v>0</v>
      </c>
      <c r="Z629">
        <f t="shared" si="136"/>
        <v>0</v>
      </c>
      <c r="AA629">
        <f t="shared" si="136"/>
        <v>0</v>
      </c>
      <c r="AB629">
        <f t="shared" si="136"/>
        <v>0</v>
      </c>
      <c r="AC629">
        <f t="shared" si="136"/>
        <v>0</v>
      </c>
      <c r="AD629">
        <f t="shared" si="136"/>
        <v>0</v>
      </c>
      <c r="AE629">
        <f t="shared" si="136"/>
        <v>0</v>
      </c>
      <c r="AF629">
        <f t="shared" si="136"/>
        <v>0</v>
      </c>
      <c r="AG629">
        <f t="shared" si="136"/>
        <v>0</v>
      </c>
      <c r="AH629">
        <f t="shared" si="136"/>
        <v>0</v>
      </c>
      <c r="AI629">
        <f t="shared" si="136"/>
        <v>0</v>
      </c>
      <c r="AJ629">
        <f t="shared" si="136"/>
        <v>0</v>
      </c>
      <c r="AK629">
        <f t="shared" si="136"/>
        <v>0</v>
      </c>
      <c r="AL629">
        <f t="shared" si="136"/>
        <v>0</v>
      </c>
      <c r="AM629">
        <f t="shared" si="136"/>
        <v>0</v>
      </c>
      <c r="AN629">
        <f t="shared" si="132"/>
        <v>0</v>
      </c>
      <c r="AO629">
        <f t="shared" si="132"/>
        <v>0</v>
      </c>
      <c r="AP629">
        <f t="shared" si="132"/>
        <v>0</v>
      </c>
      <c r="AQ629">
        <f t="shared" si="132"/>
        <v>0</v>
      </c>
      <c r="AR629">
        <f t="shared" si="132"/>
        <v>0</v>
      </c>
    </row>
    <row r="630" spans="5:44" x14ac:dyDescent="0.2">
      <c r="E630" s="1">
        <f>moment_rate!$AC630</f>
        <v>7.4493433161470389E-3</v>
      </c>
      <c r="F630" s="1">
        <f t="shared" si="128"/>
        <v>0</v>
      </c>
      <c r="G630">
        <f>moment_rate!I630-0.005</f>
        <v>6.2299999999999116</v>
      </c>
      <c r="H630" s="1">
        <f t="shared" si="129"/>
        <v>0</v>
      </c>
      <c r="I630">
        <f t="shared" si="137"/>
        <v>0</v>
      </c>
      <c r="J630">
        <f t="shared" si="137"/>
        <v>0</v>
      </c>
      <c r="K630">
        <f t="shared" si="137"/>
        <v>0</v>
      </c>
      <c r="L630">
        <f t="shared" si="137"/>
        <v>0</v>
      </c>
      <c r="M630">
        <f t="shared" si="137"/>
        <v>0</v>
      </c>
      <c r="N630">
        <f t="shared" si="137"/>
        <v>0</v>
      </c>
      <c r="O630">
        <f t="shared" si="137"/>
        <v>0</v>
      </c>
      <c r="P630">
        <f t="shared" si="137"/>
        <v>0</v>
      </c>
      <c r="Q630">
        <f t="shared" si="137"/>
        <v>0</v>
      </c>
      <c r="R630">
        <f t="shared" si="137"/>
        <v>0</v>
      </c>
      <c r="S630">
        <f t="shared" si="137"/>
        <v>0</v>
      </c>
      <c r="T630">
        <f t="shared" si="137"/>
        <v>0</v>
      </c>
      <c r="U630">
        <f t="shared" si="137"/>
        <v>0</v>
      </c>
      <c r="V630">
        <f t="shared" si="137"/>
        <v>0</v>
      </c>
      <c r="W630">
        <f t="shared" si="137"/>
        <v>0</v>
      </c>
      <c r="X630">
        <f t="shared" si="137"/>
        <v>0</v>
      </c>
      <c r="Y630">
        <f t="shared" si="136"/>
        <v>0</v>
      </c>
      <c r="Z630">
        <f t="shared" si="136"/>
        <v>0</v>
      </c>
      <c r="AA630">
        <f t="shared" si="136"/>
        <v>0</v>
      </c>
      <c r="AB630">
        <f t="shared" si="136"/>
        <v>0</v>
      </c>
      <c r="AC630">
        <f t="shared" si="136"/>
        <v>0</v>
      </c>
      <c r="AD630">
        <f t="shared" si="136"/>
        <v>0</v>
      </c>
      <c r="AE630">
        <f t="shared" si="136"/>
        <v>0</v>
      </c>
      <c r="AF630">
        <f t="shared" si="136"/>
        <v>0</v>
      </c>
      <c r="AG630">
        <f t="shared" si="136"/>
        <v>0</v>
      </c>
      <c r="AH630">
        <f t="shared" si="136"/>
        <v>0</v>
      </c>
      <c r="AI630">
        <f t="shared" si="136"/>
        <v>0</v>
      </c>
      <c r="AJ630">
        <f t="shared" si="136"/>
        <v>0</v>
      </c>
      <c r="AK630">
        <f t="shared" si="136"/>
        <v>0</v>
      </c>
      <c r="AL630">
        <f t="shared" si="136"/>
        <v>0</v>
      </c>
      <c r="AM630">
        <f t="shared" si="136"/>
        <v>0</v>
      </c>
      <c r="AN630">
        <f t="shared" si="132"/>
        <v>0</v>
      </c>
      <c r="AO630">
        <f t="shared" si="132"/>
        <v>0</v>
      </c>
      <c r="AP630">
        <f t="shared" si="132"/>
        <v>0</v>
      </c>
      <c r="AQ630">
        <f t="shared" si="132"/>
        <v>0</v>
      </c>
      <c r="AR630">
        <f t="shared" si="132"/>
        <v>0</v>
      </c>
    </row>
    <row r="631" spans="5:44" x14ac:dyDescent="0.2">
      <c r="E631" s="1">
        <f>moment_rate!$AC631</f>
        <v>7.4493433161470389E-3</v>
      </c>
      <c r="F631" s="1">
        <f t="shared" si="128"/>
        <v>0</v>
      </c>
      <c r="G631">
        <f>moment_rate!I631-0.005</f>
        <v>6.2399999999999114</v>
      </c>
      <c r="H631" s="1">
        <f t="shared" si="129"/>
        <v>0</v>
      </c>
      <c r="I631">
        <f t="shared" si="137"/>
        <v>0</v>
      </c>
      <c r="J631">
        <f t="shared" si="137"/>
        <v>0</v>
      </c>
      <c r="K631">
        <f t="shared" si="137"/>
        <v>0</v>
      </c>
      <c r="L631">
        <f t="shared" si="137"/>
        <v>0</v>
      </c>
      <c r="M631">
        <f t="shared" si="137"/>
        <v>0</v>
      </c>
      <c r="N631">
        <f t="shared" si="137"/>
        <v>0</v>
      </c>
      <c r="O631">
        <f t="shared" si="137"/>
        <v>0</v>
      </c>
      <c r="P631">
        <f t="shared" si="137"/>
        <v>0</v>
      </c>
      <c r="Q631">
        <f t="shared" si="137"/>
        <v>0</v>
      </c>
      <c r="R631">
        <f t="shared" si="137"/>
        <v>0</v>
      </c>
      <c r="S631">
        <f t="shared" si="137"/>
        <v>0</v>
      </c>
      <c r="T631">
        <f t="shared" si="137"/>
        <v>0</v>
      </c>
      <c r="U631">
        <f t="shared" si="137"/>
        <v>0</v>
      </c>
      <c r="V631">
        <f t="shared" si="137"/>
        <v>0</v>
      </c>
      <c r="W631">
        <f t="shared" si="137"/>
        <v>0</v>
      </c>
      <c r="X631">
        <f t="shared" si="137"/>
        <v>0</v>
      </c>
      <c r="Y631">
        <f t="shared" si="136"/>
        <v>0</v>
      </c>
      <c r="Z631">
        <f t="shared" si="136"/>
        <v>0</v>
      </c>
      <c r="AA631">
        <f t="shared" si="136"/>
        <v>0</v>
      </c>
      <c r="AB631">
        <f t="shared" si="136"/>
        <v>0</v>
      </c>
      <c r="AC631">
        <f t="shared" si="136"/>
        <v>0</v>
      </c>
      <c r="AD631">
        <f t="shared" si="136"/>
        <v>0</v>
      </c>
      <c r="AE631">
        <f t="shared" si="136"/>
        <v>0</v>
      </c>
      <c r="AF631">
        <f t="shared" si="136"/>
        <v>0</v>
      </c>
      <c r="AG631">
        <f t="shared" si="136"/>
        <v>0</v>
      </c>
      <c r="AH631">
        <f t="shared" si="136"/>
        <v>0</v>
      </c>
      <c r="AI631">
        <f t="shared" si="136"/>
        <v>0</v>
      </c>
      <c r="AJ631">
        <f t="shared" si="136"/>
        <v>0</v>
      </c>
      <c r="AK631">
        <f t="shared" si="136"/>
        <v>0</v>
      </c>
      <c r="AL631">
        <f t="shared" si="136"/>
        <v>0</v>
      </c>
      <c r="AM631">
        <f t="shared" si="136"/>
        <v>0</v>
      </c>
      <c r="AN631">
        <f t="shared" si="132"/>
        <v>0</v>
      </c>
      <c r="AO631">
        <f t="shared" si="132"/>
        <v>0</v>
      </c>
      <c r="AP631">
        <f t="shared" si="132"/>
        <v>0</v>
      </c>
      <c r="AQ631">
        <f t="shared" si="132"/>
        <v>0</v>
      </c>
      <c r="AR631">
        <f t="shared" si="132"/>
        <v>0</v>
      </c>
    </row>
    <row r="632" spans="5:44" x14ac:dyDescent="0.2">
      <c r="E632" s="1">
        <f>moment_rate!$AC632</f>
        <v>7.4493433161470389E-3</v>
      </c>
      <c r="F632" s="1">
        <f t="shared" si="128"/>
        <v>0</v>
      </c>
      <c r="G632">
        <f>moment_rate!I632-0.005</f>
        <v>6.2499999999999112</v>
      </c>
      <c r="H632" s="1">
        <f t="shared" si="129"/>
        <v>0</v>
      </c>
      <c r="I632">
        <f t="shared" si="137"/>
        <v>0</v>
      </c>
      <c r="J632">
        <f t="shared" si="137"/>
        <v>0</v>
      </c>
      <c r="K632">
        <f t="shared" si="137"/>
        <v>0</v>
      </c>
      <c r="L632">
        <f t="shared" si="137"/>
        <v>0</v>
      </c>
      <c r="M632">
        <f t="shared" si="137"/>
        <v>0</v>
      </c>
      <c r="N632">
        <f t="shared" si="137"/>
        <v>0</v>
      </c>
      <c r="O632">
        <f t="shared" si="137"/>
        <v>0</v>
      </c>
      <c r="P632">
        <f t="shared" si="137"/>
        <v>0</v>
      </c>
      <c r="Q632">
        <f t="shared" si="137"/>
        <v>0</v>
      </c>
      <c r="R632">
        <f t="shared" si="137"/>
        <v>0</v>
      </c>
      <c r="S632">
        <f t="shared" si="137"/>
        <v>0</v>
      </c>
      <c r="T632">
        <f t="shared" si="137"/>
        <v>0</v>
      </c>
      <c r="U632">
        <f t="shared" si="137"/>
        <v>0</v>
      </c>
      <c r="V632">
        <f t="shared" si="137"/>
        <v>0</v>
      </c>
      <c r="W632">
        <f t="shared" si="137"/>
        <v>0</v>
      </c>
      <c r="X632">
        <f t="shared" si="137"/>
        <v>0</v>
      </c>
      <c r="Y632">
        <f t="shared" si="136"/>
        <v>0</v>
      </c>
      <c r="Z632">
        <f t="shared" si="136"/>
        <v>0</v>
      </c>
      <c r="AA632">
        <f t="shared" si="136"/>
        <v>0</v>
      </c>
      <c r="AB632">
        <f t="shared" si="136"/>
        <v>0</v>
      </c>
      <c r="AC632">
        <f t="shared" si="136"/>
        <v>0</v>
      </c>
      <c r="AD632">
        <f t="shared" si="136"/>
        <v>0</v>
      </c>
      <c r="AE632">
        <f t="shared" si="136"/>
        <v>0</v>
      </c>
      <c r="AF632">
        <f t="shared" si="136"/>
        <v>0</v>
      </c>
      <c r="AG632">
        <f t="shared" si="136"/>
        <v>0</v>
      </c>
      <c r="AH632">
        <f t="shared" si="136"/>
        <v>0</v>
      </c>
      <c r="AI632">
        <f t="shared" si="136"/>
        <v>0</v>
      </c>
      <c r="AJ632">
        <f t="shared" si="136"/>
        <v>0</v>
      </c>
      <c r="AK632">
        <f t="shared" si="136"/>
        <v>0</v>
      </c>
      <c r="AL632">
        <f t="shared" si="136"/>
        <v>0</v>
      </c>
      <c r="AM632">
        <f t="shared" si="136"/>
        <v>0</v>
      </c>
      <c r="AN632">
        <f t="shared" si="132"/>
        <v>0</v>
      </c>
      <c r="AO632">
        <f t="shared" si="132"/>
        <v>0</v>
      </c>
      <c r="AP632">
        <f t="shared" si="132"/>
        <v>0</v>
      </c>
      <c r="AQ632">
        <f t="shared" si="132"/>
        <v>0</v>
      </c>
      <c r="AR632">
        <f t="shared" si="132"/>
        <v>0</v>
      </c>
    </row>
    <row r="633" spans="5:44" x14ac:dyDescent="0.2">
      <c r="E633" s="1">
        <f>moment_rate!$AC633</f>
        <v>7.4493433161470389E-3</v>
      </c>
      <c r="F633" s="1">
        <f t="shared" si="128"/>
        <v>0</v>
      </c>
      <c r="G633">
        <f>moment_rate!I633-0.005</f>
        <v>6.259999999999911</v>
      </c>
      <c r="H633" s="1">
        <f t="shared" si="129"/>
        <v>0</v>
      </c>
      <c r="I633">
        <f t="shared" si="137"/>
        <v>0</v>
      </c>
      <c r="J633">
        <f t="shared" si="137"/>
        <v>0</v>
      </c>
      <c r="K633">
        <f t="shared" si="137"/>
        <v>0</v>
      </c>
      <c r="L633">
        <f t="shared" si="137"/>
        <v>0</v>
      </c>
      <c r="M633">
        <f t="shared" si="137"/>
        <v>0</v>
      </c>
      <c r="N633">
        <f t="shared" si="137"/>
        <v>0</v>
      </c>
      <c r="O633">
        <f t="shared" si="137"/>
        <v>0</v>
      </c>
      <c r="P633">
        <f t="shared" si="137"/>
        <v>0</v>
      </c>
      <c r="Q633">
        <f t="shared" si="137"/>
        <v>0</v>
      </c>
      <c r="R633">
        <f t="shared" si="137"/>
        <v>0</v>
      </c>
      <c r="S633">
        <f t="shared" si="137"/>
        <v>0</v>
      </c>
      <c r="T633">
        <f t="shared" si="137"/>
        <v>0</v>
      </c>
      <c r="U633">
        <f t="shared" si="137"/>
        <v>0</v>
      </c>
      <c r="V633">
        <f t="shared" si="137"/>
        <v>0</v>
      </c>
      <c r="W633">
        <f t="shared" si="137"/>
        <v>0</v>
      </c>
      <c r="X633">
        <f t="shared" si="137"/>
        <v>0</v>
      </c>
      <c r="Y633">
        <f t="shared" si="136"/>
        <v>0</v>
      </c>
      <c r="Z633">
        <f t="shared" si="136"/>
        <v>0</v>
      </c>
      <c r="AA633">
        <f t="shared" si="136"/>
        <v>0</v>
      </c>
      <c r="AB633">
        <f t="shared" si="136"/>
        <v>0</v>
      </c>
      <c r="AC633">
        <f t="shared" si="136"/>
        <v>0</v>
      </c>
      <c r="AD633">
        <f t="shared" si="136"/>
        <v>0</v>
      </c>
      <c r="AE633">
        <f t="shared" si="136"/>
        <v>0</v>
      </c>
      <c r="AF633">
        <f t="shared" si="136"/>
        <v>0</v>
      </c>
      <c r="AG633">
        <f t="shared" si="136"/>
        <v>0</v>
      </c>
      <c r="AH633">
        <f t="shared" si="136"/>
        <v>0</v>
      </c>
      <c r="AI633">
        <f t="shared" si="136"/>
        <v>0</v>
      </c>
      <c r="AJ633">
        <f t="shared" si="136"/>
        <v>0</v>
      </c>
      <c r="AK633">
        <f t="shared" si="136"/>
        <v>0</v>
      </c>
      <c r="AL633">
        <f t="shared" si="136"/>
        <v>0</v>
      </c>
      <c r="AM633">
        <f t="shared" si="136"/>
        <v>0</v>
      </c>
      <c r="AN633">
        <f t="shared" si="132"/>
        <v>0</v>
      </c>
      <c r="AO633">
        <f t="shared" si="132"/>
        <v>0</v>
      </c>
      <c r="AP633">
        <f t="shared" si="132"/>
        <v>0</v>
      </c>
      <c r="AQ633">
        <f t="shared" si="132"/>
        <v>0</v>
      </c>
      <c r="AR633">
        <f t="shared" si="132"/>
        <v>0</v>
      </c>
    </row>
    <row r="634" spans="5:44" x14ac:dyDescent="0.2">
      <c r="E634" s="1">
        <f>moment_rate!$AC634</f>
        <v>7.4493433161470389E-3</v>
      </c>
      <c r="F634" s="1">
        <f t="shared" si="128"/>
        <v>0</v>
      </c>
      <c r="G634">
        <f>moment_rate!I634-0.005</f>
        <v>6.2699999999999108</v>
      </c>
      <c r="H634" s="1">
        <f t="shared" si="129"/>
        <v>0</v>
      </c>
      <c r="I634">
        <f t="shared" si="137"/>
        <v>0</v>
      </c>
      <c r="J634">
        <f t="shared" si="137"/>
        <v>0</v>
      </c>
      <c r="K634">
        <f t="shared" si="137"/>
        <v>0</v>
      </c>
      <c r="L634">
        <f t="shared" si="137"/>
        <v>0</v>
      </c>
      <c r="M634">
        <f t="shared" si="137"/>
        <v>0</v>
      </c>
      <c r="N634">
        <f t="shared" si="137"/>
        <v>0</v>
      </c>
      <c r="O634">
        <f t="shared" si="137"/>
        <v>0</v>
      </c>
      <c r="P634">
        <f t="shared" si="137"/>
        <v>0</v>
      </c>
      <c r="Q634">
        <f t="shared" si="137"/>
        <v>0</v>
      </c>
      <c r="R634">
        <f t="shared" si="137"/>
        <v>0</v>
      </c>
      <c r="S634">
        <f t="shared" si="137"/>
        <v>0</v>
      </c>
      <c r="T634">
        <f t="shared" si="137"/>
        <v>0</v>
      </c>
      <c r="U634">
        <f t="shared" si="137"/>
        <v>0</v>
      </c>
      <c r="V634">
        <f t="shared" si="137"/>
        <v>0</v>
      </c>
      <c r="W634">
        <f t="shared" si="137"/>
        <v>0</v>
      </c>
      <c r="X634">
        <f t="shared" ref="X634:AM649" si="138">IF(AND($G634&gt;=X$3,$G634&lt;X$4),$F634,0)</f>
        <v>0</v>
      </c>
      <c r="Y634">
        <f t="shared" si="138"/>
        <v>0</v>
      </c>
      <c r="Z634">
        <f t="shared" si="138"/>
        <v>0</v>
      </c>
      <c r="AA634">
        <f t="shared" si="138"/>
        <v>0</v>
      </c>
      <c r="AB634">
        <f t="shared" si="138"/>
        <v>0</v>
      </c>
      <c r="AC634">
        <f t="shared" si="138"/>
        <v>0</v>
      </c>
      <c r="AD634">
        <f t="shared" si="138"/>
        <v>0</v>
      </c>
      <c r="AE634">
        <f t="shared" si="138"/>
        <v>0</v>
      </c>
      <c r="AF634">
        <f t="shared" si="138"/>
        <v>0</v>
      </c>
      <c r="AG634">
        <f t="shared" si="138"/>
        <v>0</v>
      </c>
      <c r="AH634">
        <f t="shared" si="138"/>
        <v>0</v>
      </c>
      <c r="AI634">
        <f t="shared" si="138"/>
        <v>0</v>
      </c>
      <c r="AJ634">
        <f t="shared" si="138"/>
        <v>0</v>
      </c>
      <c r="AK634">
        <f t="shared" si="138"/>
        <v>0</v>
      </c>
      <c r="AL634">
        <f t="shared" si="138"/>
        <v>0</v>
      </c>
      <c r="AM634">
        <f t="shared" si="138"/>
        <v>0</v>
      </c>
      <c r="AN634">
        <f t="shared" si="132"/>
        <v>0</v>
      </c>
      <c r="AO634">
        <f t="shared" si="132"/>
        <v>0</v>
      </c>
      <c r="AP634">
        <f t="shared" si="132"/>
        <v>0</v>
      </c>
      <c r="AQ634">
        <f t="shared" si="132"/>
        <v>0</v>
      </c>
      <c r="AR634">
        <f t="shared" si="132"/>
        <v>0</v>
      </c>
    </row>
    <row r="635" spans="5:44" x14ac:dyDescent="0.2">
      <c r="E635" s="1">
        <f>moment_rate!$AC635</f>
        <v>7.4493433161470389E-3</v>
      </c>
      <c r="F635" s="1">
        <f t="shared" si="128"/>
        <v>0</v>
      </c>
      <c r="G635">
        <f>moment_rate!I635-0.005</f>
        <v>6.2799999999999105</v>
      </c>
      <c r="H635" s="1">
        <f t="shared" si="129"/>
        <v>0</v>
      </c>
      <c r="I635">
        <f t="shared" ref="I635:X650" si="139">IF(AND($G635&gt;=I$3,$G635&lt;I$4),$F635,0)</f>
        <v>0</v>
      </c>
      <c r="J635">
        <f t="shared" si="139"/>
        <v>0</v>
      </c>
      <c r="K635">
        <f t="shared" si="139"/>
        <v>0</v>
      </c>
      <c r="L635">
        <f t="shared" si="139"/>
        <v>0</v>
      </c>
      <c r="M635">
        <f t="shared" si="139"/>
        <v>0</v>
      </c>
      <c r="N635">
        <f t="shared" si="139"/>
        <v>0</v>
      </c>
      <c r="O635">
        <f t="shared" si="139"/>
        <v>0</v>
      </c>
      <c r="P635">
        <f t="shared" si="139"/>
        <v>0</v>
      </c>
      <c r="Q635">
        <f t="shared" si="139"/>
        <v>0</v>
      </c>
      <c r="R635">
        <f t="shared" si="139"/>
        <v>0</v>
      </c>
      <c r="S635">
        <f t="shared" si="139"/>
        <v>0</v>
      </c>
      <c r="T635">
        <f t="shared" si="139"/>
        <v>0</v>
      </c>
      <c r="U635">
        <f t="shared" si="139"/>
        <v>0</v>
      </c>
      <c r="V635">
        <f t="shared" si="139"/>
        <v>0</v>
      </c>
      <c r="W635">
        <f t="shared" si="139"/>
        <v>0</v>
      </c>
      <c r="X635">
        <f t="shared" si="139"/>
        <v>0</v>
      </c>
      <c r="Y635">
        <f t="shared" si="138"/>
        <v>0</v>
      </c>
      <c r="Z635">
        <f t="shared" si="138"/>
        <v>0</v>
      </c>
      <c r="AA635">
        <f t="shared" si="138"/>
        <v>0</v>
      </c>
      <c r="AB635">
        <f t="shared" si="138"/>
        <v>0</v>
      </c>
      <c r="AC635">
        <f t="shared" si="138"/>
        <v>0</v>
      </c>
      <c r="AD635">
        <f t="shared" si="138"/>
        <v>0</v>
      </c>
      <c r="AE635">
        <f t="shared" si="138"/>
        <v>0</v>
      </c>
      <c r="AF635">
        <f t="shared" si="138"/>
        <v>0</v>
      </c>
      <c r="AG635">
        <f t="shared" si="138"/>
        <v>0</v>
      </c>
      <c r="AH635">
        <f t="shared" si="138"/>
        <v>0</v>
      </c>
      <c r="AI635">
        <f t="shared" si="138"/>
        <v>0</v>
      </c>
      <c r="AJ635">
        <f t="shared" si="138"/>
        <v>0</v>
      </c>
      <c r="AK635">
        <f t="shared" si="138"/>
        <v>0</v>
      </c>
      <c r="AL635">
        <f t="shared" si="138"/>
        <v>0</v>
      </c>
      <c r="AM635">
        <f t="shared" si="138"/>
        <v>0</v>
      </c>
      <c r="AN635">
        <f t="shared" si="132"/>
        <v>0</v>
      </c>
      <c r="AO635">
        <f t="shared" si="132"/>
        <v>0</v>
      </c>
      <c r="AP635">
        <f t="shared" si="132"/>
        <v>0</v>
      </c>
      <c r="AQ635">
        <f t="shared" si="132"/>
        <v>0</v>
      </c>
      <c r="AR635">
        <f t="shared" si="132"/>
        <v>0</v>
      </c>
    </row>
    <row r="636" spans="5:44" x14ac:dyDescent="0.2">
      <c r="E636" s="1">
        <f>moment_rate!$AC636</f>
        <v>7.4493433161470389E-3</v>
      </c>
      <c r="F636" s="1">
        <f t="shared" si="128"/>
        <v>0</v>
      </c>
      <c r="G636">
        <f>moment_rate!I636-0.005</f>
        <v>6.2899999999999103</v>
      </c>
      <c r="H636" s="1">
        <f t="shared" si="129"/>
        <v>0</v>
      </c>
      <c r="I636">
        <f t="shared" si="139"/>
        <v>0</v>
      </c>
      <c r="J636">
        <f t="shared" si="139"/>
        <v>0</v>
      </c>
      <c r="K636">
        <f t="shared" si="139"/>
        <v>0</v>
      </c>
      <c r="L636">
        <f t="shared" si="139"/>
        <v>0</v>
      </c>
      <c r="M636">
        <f t="shared" si="139"/>
        <v>0</v>
      </c>
      <c r="N636">
        <f t="shared" si="139"/>
        <v>0</v>
      </c>
      <c r="O636">
        <f t="shared" si="139"/>
        <v>0</v>
      </c>
      <c r="P636">
        <f t="shared" si="139"/>
        <v>0</v>
      </c>
      <c r="Q636">
        <f t="shared" si="139"/>
        <v>0</v>
      </c>
      <c r="R636">
        <f t="shared" si="139"/>
        <v>0</v>
      </c>
      <c r="S636">
        <f t="shared" si="139"/>
        <v>0</v>
      </c>
      <c r="T636">
        <f t="shared" si="139"/>
        <v>0</v>
      </c>
      <c r="U636">
        <f t="shared" si="139"/>
        <v>0</v>
      </c>
      <c r="V636">
        <f t="shared" si="139"/>
        <v>0</v>
      </c>
      <c r="W636">
        <f t="shared" si="139"/>
        <v>0</v>
      </c>
      <c r="X636">
        <f t="shared" si="139"/>
        <v>0</v>
      </c>
      <c r="Y636">
        <f t="shared" si="138"/>
        <v>0</v>
      </c>
      <c r="Z636">
        <f t="shared" si="138"/>
        <v>0</v>
      </c>
      <c r="AA636">
        <f t="shared" si="138"/>
        <v>0</v>
      </c>
      <c r="AB636">
        <f t="shared" si="138"/>
        <v>0</v>
      </c>
      <c r="AC636">
        <f t="shared" si="138"/>
        <v>0</v>
      </c>
      <c r="AD636">
        <f t="shared" si="138"/>
        <v>0</v>
      </c>
      <c r="AE636">
        <f t="shared" si="138"/>
        <v>0</v>
      </c>
      <c r="AF636">
        <f t="shared" si="138"/>
        <v>0</v>
      </c>
      <c r="AG636">
        <f t="shared" si="138"/>
        <v>0</v>
      </c>
      <c r="AH636">
        <f t="shared" si="138"/>
        <v>0</v>
      </c>
      <c r="AI636">
        <f t="shared" si="138"/>
        <v>0</v>
      </c>
      <c r="AJ636">
        <f t="shared" si="138"/>
        <v>0</v>
      </c>
      <c r="AK636">
        <f t="shared" si="138"/>
        <v>0</v>
      </c>
      <c r="AL636">
        <f t="shared" si="138"/>
        <v>0</v>
      </c>
      <c r="AM636">
        <f t="shared" si="138"/>
        <v>0</v>
      </c>
      <c r="AN636">
        <f t="shared" si="132"/>
        <v>0</v>
      </c>
      <c r="AO636">
        <f t="shared" si="132"/>
        <v>0</v>
      </c>
      <c r="AP636">
        <f t="shared" si="132"/>
        <v>0</v>
      </c>
      <c r="AQ636">
        <f t="shared" si="132"/>
        <v>0</v>
      </c>
      <c r="AR636">
        <f t="shared" si="132"/>
        <v>0</v>
      </c>
    </row>
    <row r="637" spans="5:44" x14ac:dyDescent="0.2">
      <c r="E637" s="1">
        <f>moment_rate!$AC637</f>
        <v>7.4493433161470389E-3</v>
      </c>
      <c r="F637" s="1">
        <f t="shared" si="128"/>
        <v>0</v>
      </c>
      <c r="G637">
        <f>moment_rate!I637-0.005</f>
        <v>6.2999999999999101</v>
      </c>
      <c r="H637" s="1">
        <f t="shared" si="129"/>
        <v>0</v>
      </c>
      <c r="I637">
        <f t="shared" si="139"/>
        <v>0</v>
      </c>
      <c r="J637">
        <f t="shared" si="139"/>
        <v>0</v>
      </c>
      <c r="K637">
        <f t="shared" si="139"/>
        <v>0</v>
      </c>
      <c r="L637">
        <f t="shared" si="139"/>
        <v>0</v>
      </c>
      <c r="M637">
        <f t="shared" si="139"/>
        <v>0</v>
      </c>
      <c r="N637">
        <f t="shared" si="139"/>
        <v>0</v>
      </c>
      <c r="O637">
        <f t="shared" si="139"/>
        <v>0</v>
      </c>
      <c r="P637">
        <f t="shared" si="139"/>
        <v>0</v>
      </c>
      <c r="Q637">
        <f t="shared" si="139"/>
        <v>0</v>
      </c>
      <c r="R637">
        <f t="shared" si="139"/>
        <v>0</v>
      </c>
      <c r="S637">
        <f t="shared" si="139"/>
        <v>0</v>
      </c>
      <c r="T637">
        <f t="shared" si="139"/>
        <v>0</v>
      </c>
      <c r="U637">
        <f t="shared" si="139"/>
        <v>0</v>
      </c>
      <c r="V637">
        <f t="shared" si="139"/>
        <v>0</v>
      </c>
      <c r="W637">
        <f t="shared" si="139"/>
        <v>0</v>
      </c>
      <c r="X637">
        <f t="shared" si="139"/>
        <v>0</v>
      </c>
      <c r="Y637">
        <f t="shared" si="138"/>
        <v>0</v>
      </c>
      <c r="Z637">
        <f t="shared" si="138"/>
        <v>0</v>
      </c>
      <c r="AA637">
        <f t="shared" si="138"/>
        <v>0</v>
      </c>
      <c r="AB637">
        <f t="shared" si="138"/>
        <v>0</v>
      </c>
      <c r="AC637">
        <f t="shared" si="138"/>
        <v>0</v>
      </c>
      <c r="AD637">
        <f t="shared" si="138"/>
        <v>0</v>
      </c>
      <c r="AE637">
        <f t="shared" si="138"/>
        <v>0</v>
      </c>
      <c r="AF637">
        <f t="shared" si="138"/>
        <v>0</v>
      </c>
      <c r="AG637">
        <f t="shared" si="138"/>
        <v>0</v>
      </c>
      <c r="AH637">
        <f t="shared" si="138"/>
        <v>0</v>
      </c>
      <c r="AI637">
        <f t="shared" si="138"/>
        <v>0</v>
      </c>
      <c r="AJ637">
        <f t="shared" si="138"/>
        <v>0</v>
      </c>
      <c r="AK637">
        <f t="shared" si="138"/>
        <v>0</v>
      </c>
      <c r="AL637">
        <f t="shared" si="138"/>
        <v>0</v>
      </c>
      <c r="AM637">
        <f t="shared" si="138"/>
        <v>0</v>
      </c>
      <c r="AN637">
        <f t="shared" si="132"/>
        <v>0</v>
      </c>
      <c r="AO637">
        <f t="shared" si="132"/>
        <v>0</v>
      </c>
      <c r="AP637">
        <f t="shared" si="132"/>
        <v>0</v>
      </c>
      <c r="AQ637">
        <f t="shared" si="132"/>
        <v>0</v>
      </c>
      <c r="AR637">
        <f t="shared" si="132"/>
        <v>0</v>
      </c>
    </row>
    <row r="638" spans="5:44" x14ac:dyDescent="0.2">
      <c r="E638" s="1">
        <f>moment_rate!$AC638</f>
        <v>7.4493433161470389E-3</v>
      </c>
      <c r="F638" s="1">
        <f t="shared" si="128"/>
        <v>0</v>
      </c>
      <c r="G638">
        <f>moment_rate!I638-0.005</f>
        <v>6.3099999999999099</v>
      </c>
      <c r="H638" s="1">
        <f t="shared" si="129"/>
        <v>0</v>
      </c>
      <c r="I638">
        <f t="shared" si="139"/>
        <v>0</v>
      </c>
      <c r="J638">
        <f t="shared" si="139"/>
        <v>0</v>
      </c>
      <c r="K638">
        <f t="shared" si="139"/>
        <v>0</v>
      </c>
      <c r="L638">
        <f t="shared" si="139"/>
        <v>0</v>
      </c>
      <c r="M638">
        <f t="shared" si="139"/>
        <v>0</v>
      </c>
      <c r="N638">
        <f t="shared" si="139"/>
        <v>0</v>
      </c>
      <c r="O638">
        <f t="shared" si="139"/>
        <v>0</v>
      </c>
      <c r="P638">
        <f t="shared" si="139"/>
        <v>0</v>
      </c>
      <c r="Q638">
        <f t="shared" si="139"/>
        <v>0</v>
      </c>
      <c r="R638">
        <f t="shared" si="139"/>
        <v>0</v>
      </c>
      <c r="S638">
        <f t="shared" si="139"/>
        <v>0</v>
      </c>
      <c r="T638">
        <f t="shared" si="139"/>
        <v>0</v>
      </c>
      <c r="U638">
        <f t="shared" si="139"/>
        <v>0</v>
      </c>
      <c r="V638">
        <f t="shared" si="139"/>
        <v>0</v>
      </c>
      <c r="W638">
        <f t="shared" si="139"/>
        <v>0</v>
      </c>
      <c r="X638">
        <f t="shared" si="139"/>
        <v>0</v>
      </c>
      <c r="Y638">
        <f t="shared" si="138"/>
        <v>0</v>
      </c>
      <c r="Z638">
        <f t="shared" si="138"/>
        <v>0</v>
      </c>
      <c r="AA638">
        <f t="shared" si="138"/>
        <v>0</v>
      </c>
      <c r="AB638">
        <f t="shared" si="138"/>
        <v>0</v>
      </c>
      <c r="AC638">
        <f t="shared" si="138"/>
        <v>0</v>
      </c>
      <c r="AD638">
        <f t="shared" si="138"/>
        <v>0</v>
      </c>
      <c r="AE638">
        <f t="shared" si="138"/>
        <v>0</v>
      </c>
      <c r="AF638">
        <f t="shared" si="138"/>
        <v>0</v>
      </c>
      <c r="AG638">
        <f t="shared" si="138"/>
        <v>0</v>
      </c>
      <c r="AH638">
        <f t="shared" si="138"/>
        <v>0</v>
      </c>
      <c r="AI638">
        <f t="shared" si="138"/>
        <v>0</v>
      </c>
      <c r="AJ638">
        <f t="shared" si="138"/>
        <v>0</v>
      </c>
      <c r="AK638">
        <f t="shared" si="138"/>
        <v>0</v>
      </c>
      <c r="AL638">
        <f t="shared" si="138"/>
        <v>0</v>
      </c>
      <c r="AM638">
        <f t="shared" si="138"/>
        <v>0</v>
      </c>
      <c r="AN638">
        <f t="shared" si="132"/>
        <v>0</v>
      </c>
      <c r="AO638">
        <f t="shared" si="132"/>
        <v>0</v>
      </c>
      <c r="AP638">
        <f t="shared" si="132"/>
        <v>0</v>
      </c>
      <c r="AQ638">
        <f t="shared" si="132"/>
        <v>0</v>
      </c>
      <c r="AR638">
        <f t="shared" si="132"/>
        <v>0</v>
      </c>
    </row>
    <row r="639" spans="5:44" x14ac:dyDescent="0.2">
      <c r="E639" s="1">
        <f>moment_rate!$AC639</f>
        <v>7.4493433161470389E-3</v>
      </c>
      <c r="F639" s="1">
        <f t="shared" si="128"/>
        <v>0</v>
      </c>
      <c r="G639">
        <f>moment_rate!I639-0.005</f>
        <v>6.3199999999999097</v>
      </c>
      <c r="H639" s="1">
        <f t="shared" si="129"/>
        <v>0</v>
      </c>
      <c r="I639">
        <f t="shared" si="139"/>
        <v>0</v>
      </c>
      <c r="J639">
        <f t="shared" si="139"/>
        <v>0</v>
      </c>
      <c r="K639">
        <f t="shared" si="139"/>
        <v>0</v>
      </c>
      <c r="L639">
        <f t="shared" si="139"/>
        <v>0</v>
      </c>
      <c r="M639">
        <f t="shared" si="139"/>
        <v>0</v>
      </c>
      <c r="N639">
        <f t="shared" si="139"/>
        <v>0</v>
      </c>
      <c r="O639">
        <f t="shared" si="139"/>
        <v>0</v>
      </c>
      <c r="P639">
        <f t="shared" si="139"/>
        <v>0</v>
      </c>
      <c r="Q639">
        <f t="shared" si="139"/>
        <v>0</v>
      </c>
      <c r="R639">
        <f t="shared" si="139"/>
        <v>0</v>
      </c>
      <c r="S639">
        <f t="shared" si="139"/>
        <v>0</v>
      </c>
      <c r="T639">
        <f t="shared" si="139"/>
        <v>0</v>
      </c>
      <c r="U639">
        <f t="shared" si="139"/>
        <v>0</v>
      </c>
      <c r="V639">
        <f t="shared" si="139"/>
        <v>0</v>
      </c>
      <c r="W639">
        <f t="shared" si="139"/>
        <v>0</v>
      </c>
      <c r="X639">
        <f t="shared" si="139"/>
        <v>0</v>
      </c>
      <c r="Y639">
        <f t="shared" si="138"/>
        <v>0</v>
      </c>
      <c r="Z639">
        <f t="shared" si="138"/>
        <v>0</v>
      </c>
      <c r="AA639">
        <f t="shared" si="138"/>
        <v>0</v>
      </c>
      <c r="AB639">
        <f t="shared" si="138"/>
        <v>0</v>
      </c>
      <c r="AC639">
        <f t="shared" si="138"/>
        <v>0</v>
      </c>
      <c r="AD639">
        <f t="shared" si="138"/>
        <v>0</v>
      </c>
      <c r="AE639">
        <f t="shared" si="138"/>
        <v>0</v>
      </c>
      <c r="AF639">
        <f t="shared" si="138"/>
        <v>0</v>
      </c>
      <c r="AG639">
        <f t="shared" si="138"/>
        <v>0</v>
      </c>
      <c r="AH639">
        <f t="shared" si="138"/>
        <v>0</v>
      </c>
      <c r="AI639">
        <f t="shared" si="138"/>
        <v>0</v>
      </c>
      <c r="AJ639">
        <f t="shared" si="138"/>
        <v>0</v>
      </c>
      <c r="AK639">
        <f t="shared" si="138"/>
        <v>0</v>
      </c>
      <c r="AL639">
        <f t="shared" si="138"/>
        <v>0</v>
      </c>
      <c r="AM639">
        <f t="shared" si="138"/>
        <v>0</v>
      </c>
      <c r="AN639">
        <f t="shared" si="132"/>
        <v>0</v>
      </c>
      <c r="AO639">
        <f t="shared" si="132"/>
        <v>0</v>
      </c>
      <c r="AP639">
        <f t="shared" si="132"/>
        <v>0</v>
      </c>
      <c r="AQ639">
        <f t="shared" si="132"/>
        <v>0</v>
      </c>
      <c r="AR639">
        <f t="shared" si="132"/>
        <v>0</v>
      </c>
    </row>
    <row r="640" spans="5:44" x14ac:dyDescent="0.2">
      <c r="E640" s="1">
        <f>moment_rate!$AC640</f>
        <v>7.4493433161470389E-3</v>
      </c>
      <c r="F640" s="1">
        <f t="shared" si="128"/>
        <v>0</v>
      </c>
      <c r="G640">
        <f>moment_rate!I640-0.005</f>
        <v>6.3299999999999095</v>
      </c>
      <c r="H640" s="1">
        <f t="shared" si="129"/>
        <v>0</v>
      </c>
      <c r="I640">
        <f t="shared" si="139"/>
        <v>0</v>
      </c>
      <c r="J640">
        <f t="shared" si="139"/>
        <v>0</v>
      </c>
      <c r="K640">
        <f t="shared" si="139"/>
        <v>0</v>
      </c>
      <c r="L640">
        <f t="shared" si="139"/>
        <v>0</v>
      </c>
      <c r="M640">
        <f t="shared" si="139"/>
        <v>0</v>
      </c>
      <c r="N640">
        <f t="shared" si="139"/>
        <v>0</v>
      </c>
      <c r="O640">
        <f t="shared" si="139"/>
        <v>0</v>
      </c>
      <c r="P640">
        <f t="shared" si="139"/>
        <v>0</v>
      </c>
      <c r="Q640">
        <f t="shared" si="139"/>
        <v>0</v>
      </c>
      <c r="R640">
        <f t="shared" si="139"/>
        <v>0</v>
      </c>
      <c r="S640">
        <f t="shared" si="139"/>
        <v>0</v>
      </c>
      <c r="T640">
        <f t="shared" si="139"/>
        <v>0</v>
      </c>
      <c r="U640">
        <f t="shared" si="139"/>
        <v>0</v>
      </c>
      <c r="V640">
        <f t="shared" si="139"/>
        <v>0</v>
      </c>
      <c r="W640">
        <f t="shared" si="139"/>
        <v>0</v>
      </c>
      <c r="X640">
        <f t="shared" si="139"/>
        <v>0</v>
      </c>
      <c r="Y640">
        <f t="shared" si="138"/>
        <v>0</v>
      </c>
      <c r="Z640">
        <f t="shared" si="138"/>
        <v>0</v>
      </c>
      <c r="AA640">
        <f t="shared" si="138"/>
        <v>0</v>
      </c>
      <c r="AB640">
        <f t="shared" si="138"/>
        <v>0</v>
      </c>
      <c r="AC640">
        <f t="shared" si="138"/>
        <v>0</v>
      </c>
      <c r="AD640">
        <f t="shared" si="138"/>
        <v>0</v>
      </c>
      <c r="AE640">
        <f t="shared" si="138"/>
        <v>0</v>
      </c>
      <c r="AF640">
        <f t="shared" si="138"/>
        <v>0</v>
      </c>
      <c r="AG640">
        <f t="shared" si="138"/>
        <v>0</v>
      </c>
      <c r="AH640">
        <f t="shared" si="138"/>
        <v>0</v>
      </c>
      <c r="AI640">
        <f t="shared" si="138"/>
        <v>0</v>
      </c>
      <c r="AJ640">
        <f t="shared" si="138"/>
        <v>0</v>
      </c>
      <c r="AK640">
        <f t="shared" si="138"/>
        <v>0</v>
      </c>
      <c r="AL640">
        <f t="shared" si="138"/>
        <v>0</v>
      </c>
      <c r="AM640">
        <f t="shared" si="138"/>
        <v>0</v>
      </c>
      <c r="AN640">
        <f t="shared" si="132"/>
        <v>0</v>
      </c>
      <c r="AO640">
        <f t="shared" si="132"/>
        <v>0</v>
      </c>
      <c r="AP640">
        <f>IF(AND($G640&gt;=AP$3,$G640&lt;AP$4),$F640,0)</f>
        <v>0</v>
      </c>
      <c r="AQ640">
        <f>IF(AND($G640&gt;=AQ$3,$G640&lt;AQ$4),$F640,0)</f>
        <v>0</v>
      </c>
      <c r="AR640">
        <f>IF(AND($G640&gt;=AR$3,$G640&lt;AR$4),$F640,0)</f>
        <v>0</v>
      </c>
    </row>
    <row r="641" spans="5:44" x14ac:dyDescent="0.2">
      <c r="E641" s="1">
        <f>moment_rate!$AC641</f>
        <v>7.4493433161470389E-3</v>
      </c>
      <c r="F641" s="1">
        <f t="shared" si="128"/>
        <v>0</v>
      </c>
      <c r="G641">
        <f>moment_rate!I641-0.005</f>
        <v>6.3399999999999093</v>
      </c>
      <c r="H641" s="1">
        <f t="shared" si="129"/>
        <v>0</v>
      </c>
      <c r="I641">
        <f t="shared" si="139"/>
        <v>0</v>
      </c>
      <c r="J641">
        <f t="shared" si="139"/>
        <v>0</v>
      </c>
      <c r="K641">
        <f t="shared" si="139"/>
        <v>0</v>
      </c>
      <c r="L641">
        <f t="shared" si="139"/>
        <v>0</v>
      </c>
      <c r="M641">
        <f t="shared" si="139"/>
        <v>0</v>
      </c>
      <c r="N641">
        <f t="shared" si="139"/>
        <v>0</v>
      </c>
      <c r="O641">
        <f t="shared" si="139"/>
        <v>0</v>
      </c>
      <c r="P641">
        <f t="shared" si="139"/>
        <v>0</v>
      </c>
      <c r="Q641">
        <f t="shared" si="139"/>
        <v>0</v>
      </c>
      <c r="R641">
        <f t="shared" si="139"/>
        <v>0</v>
      </c>
      <c r="S641">
        <f t="shared" si="139"/>
        <v>0</v>
      </c>
      <c r="T641">
        <f t="shared" si="139"/>
        <v>0</v>
      </c>
      <c r="U641">
        <f t="shared" si="139"/>
        <v>0</v>
      </c>
      <c r="V641">
        <f t="shared" si="139"/>
        <v>0</v>
      </c>
      <c r="W641">
        <f t="shared" si="139"/>
        <v>0</v>
      </c>
      <c r="X641">
        <f t="shared" si="139"/>
        <v>0</v>
      </c>
      <c r="Y641">
        <f t="shared" si="138"/>
        <v>0</v>
      </c>
      <c r="Z641">
        <f t="shared" si="138"/>
        <v>0</v>
      </c>
      <c r="AA641">
        <f t="shared" si="138"/>
        <v>0</v>
      </c>
      <c r="AB641">
        <f t="shared" si="138"/>
        <v>0</v>
      </c>
      <c r="AC641">
        <f t="shared" si="138"/>
        <v>0</v>
      </c>
      <c r="AD641">
        <f t="shared" si="138"/>
        <v>0</v>
      </c>
      <c r="AE641">
        <f t="shared" si="138"/>
        <v>0</v>
      </c>
      <c r="AF641">
        <f t="shared" si="138"/>
        <v>0</v>
      </c>
      <c r="AG641">
        <f t="shared" si="138"/>
        <v>0</v>
      </c>
      <c r="AH641">
        <f t="shared" si="138"/>
        <v>0</v>
      </c>
      <c r="AI641">
        <f t="shared" si="138"/>
        <v>0</v>
      </c>
      <c r="AJ641">
        <f t="shared" si="138"/>
        <v>0</v>
      </c>
      <c r="AK641">
        <f t="shared" si="138"/>
        <v>0</v>
      </c>
      <c r="AL641">
        <f t="shared" si="138"/>
        <v>0</v>
      </c>
      <c r="AM641">
        <f t="shared" si="138"/>
        <v>0</v>
      </c>
      <c r="AN641">
        <f t="shared" ref="AN641:AR656" si="140">IF(AND($G641&gt;=AN$3,$G641&lt;AN$4),$F641,0)</f>
        <v>0</v>
      </c>
      <c r="AO641">
        <f t="shared" si="140"/>
        <v>0</v>
      </c>
      <c r="AP641">
        <f t="shared" si="140"/>
        <v>0</v>
      </c>
      <c r="AQ641">
        <f t="shared" si="140"/>
        <v>0</v>
      </c>
      <c r="AR641">
        <f t="shared" si="140"/>
        <v>0</v>
      </c>
    </row>
    <row r="642" spans="5:44" x14ac:dyDescent="0.2">
      <c r="E642" s="1">
        <f>moment_rate!$AC642</f>
        <v>7.4493433161470389E-3</v>
      </c>
      <c r="F642" s="1">
        <f t="shared" si="128"/>
        <v>0</v>
      </c>
      <c r="G642">
        <f>moment_rate!I642-0.005</f>
        <v>6.3499999999999091</v>
      </c>
      <c r="H642" s="1">
        <f t="shared" si="129"/>
        <v>0</v>
      </c>
      <c r="I642">
        <f t="shared" si="139"/>
        <v>0</v>
      </c>
      <c r="J642">
        <f t="shared" si="139"/>
        <v>0</v>
      </c>
      <c r="K642">
        <f t="shared" si="139"/>
        <v>0</v>
      </c>
      <c r="L642">
        <f t="shared" si="139"/>
        <v>0</v>
      </c>
      <c r="M642">
        <f t="shared" si="139"/>
        <v>0</v>
      </c>
      <c r="N642">
        <f t="shared" si="139"/>
        <v>0</v>
      </c>
      <c r="O642">
        <f t="shared" si="139"/>
        <v>0</v>
      </c>
      <c r="P642">
        <f t="shared" si="139"/>
        <v>0</v>
      </c>
      <c r="Q642">
        <f t="shared" si="139"/>
        <v>0</v>
      </c>
      <c r="R642">
        <f t="shared" si="139"/>
        <v>0</v>
      </c>
      <c r="S642">
        <f t="shared" si="139"/>
        <v>0</v>
      </c>
      <c r="T642">
        <f t="shared" si="139"/>
        <v>0</v>
      </c>
      <c r="U642">
        <f t="shared" si="139"/>
        <v>0</v>
      </c>
      <c r="V642">
        <f t="shared" si="139"/>
        <v>0</v>
      </c>
      <c r="W642">
        <f t="shared" si="139"/>
        <v>0</v>
      </c>
      <c r="X642">
        <f t="shared" si="139"/>
        <v>0</v>
      </c>
      <c r="Y642">
        <f t="shared" si="138"/>
        <v>0</v>
      </c>
      <c r="Z642">
        <f t="shared" si="138"/>
        <v>0</v>
      </c>
      <c r="AA642">
        <f t="shared" si="138"/>
        <v>0</v>
      </c>
      <c r="AB642">
        <f t="shared" si="138"/>
        <v>0</v>
      </c>
      <c r="AC642">
        <f t="shared" si="138"/>
        <v>0</v>
      </c>
      <c r="AD642">
        <f t="shared" si="138"/>
        <v>0</v>
      </c>
      <c r="AE642">
        <f t="shared" si="138"/>
        <v>0</v>
      </c>
      <c r="AF642">
        <f t="shared" si="138"/>
        <v>0</v>
      </c>
      <c r="AG642">
        <f t="shared" si="138"/>
        <v>0</v>
      </c>
      <c r="AH642">
        <f t="shared" si="138"/>
        <v>0</v>
      </c>
      <c r="AI642">
        <f t="shared" si="138"/>
        <v>0</v>
      </c>
      <c r="AJ642">
        <f t="shared" si="138"/>
        <v>0</v>
      </c>
      <c r="AK642">
        <f t="shared" si="138"/>
        <v>0</v>
      </c>
      <c r="AL642">
        <f t="shared" si="138"/>
        <v>0</v>
      </c>
      <c r="AM642">
        <f t="shared" si="138"/>
        <v>0</v>
      </c>
      <c r="AN642">
        <f t="shared" si="140"/>
        <v>0</v>
      </c>
      <c r="AO642">
        <f t="shared" si="140"/>
        <v>0</v>
      </c>
      <c r="AP642">
        <f t="shared" si="140"/>
        <v>0</v>
      </c>
      <c r="AQ642">
        <f t="shared" si="140"/>
        <v>0</v>
      </c>
      <c r="AR642">
        <f t="shared" si="140"/>
        <v>0</v>
      </c>
    </row>
    <row r="643" spans="5:44" x14ac:dyDescent="0.2">
      <c r="E643" s="1">
        <f>moment_rate!$AC643</f>
        <v>7.4493433161470389E-3</v>
      </c>
      <c r="F643" s="1">
        <f t="shared" si="128"/>
        <v>0</v>
      </c>
      <c r="G643">
        <f>moment_rate!I643-0.005</f>
        <v>6.3599999999999088</v>
      </c>
      <c r="H643" s="1">
        <f t="shared" si="129"/>
        <v>0</v>
      </c>
      <c r="I643">
        <f t="shared" si="139"/>
        <v>0</v>
      </c>
      <c r="J643">
        <f t="shared" si="139"/>
        <v>0</v>
      </c>
      <c r="K643">
        <f t="shared" si="139"/>
        <v>0</v>
      </c>
      <c r="L643">
        <f t="shared" si="139"/>
        <v>0</v>
      </c>
      <c r="M643">
        <f t="shared" si="139"/>
        <v>0</v>
      </c>
      <c r="N643">
        <f t="shared" si="139"/>
        <v>0</v>
      </c>
      <c r="O643">
        <f t="shared" si="139"/>
        <v>0</v>
      </c>
      <c r="P643">
        <f t="shared" si="139"/>
        <v>0</v>
      </c>
      <c r="Q643">
        <f t="shared" si="139"/>
        <v>0</v>
      </c>
      <c r="R643">
        <f t="shared" si="139"/>
        <v>0</v>
      </c>
      <c r="S643">
        <f t="shared" si="139"/>
        <v>0</v>
      </c>
      <c r="T643">
        <f t="shared" si="139"/>
        <v>0</v>
      </c>
      <c r="U643">
        <f t="shared" si="139"/>
        <v>0</v>
      </c>
      <c r="V643">
        <f t="shared" si="139"/>
        <v>0</v>
      </c>
      <c r="W643">
        <f t="shared" si="139"/>
        <v>0</v>
      </c>
      <c r="X643">
        <f t="shared" si="139"/>
        <v>0</v>
      </c>
      <c r="Y643">
        <f t="shared" si="138"/>
        <v>0</v>
      </c>
      <c r="Z643">
        <f t="shared" si="138"/>
        <v>0</v>
      </c>
      <c r="AA643">
        <f t="shared" si="138"/>
        <v>0</v>
      </c>
      <c r="AB643">
        <f t="shared" si="138"/>
        <v>0</v>
      </c>
      <c r="AC643">
        <f t="shared" si="138"/>
        <v>0</v>
      </c>
      <c r="AD643">
        <f t="shared" si="138"/>
        <v>0</v>
      </c>
      <c r="AE643">
        <f t="shared" si="138"/>
        <v>0</v>
      </c>
      <c r="AF643">
        <f t="shared" si="138"/>
        <v>0</v>
      </c>
      <c r="AG643">
        <f t="shared" si="138"/>
        <v>0</v>
      </c>
      <c r="AH643">
        <f t="shared" si="138"/>
        <v>0</v>
      </c>
      <c r="AI643">
        <f t="shared" si="138"/>
        <v>0</v>
      </c>
      <c r="AJ643">
        <f t="shared" si="138"/>
        <v>0</v>
      </c>
      <c r="AK643">
        <f t="shared" si="138"/>
        <v>0</v>
      </c>
      <c r="AL643">
        <f t="shared" si="138"/>
        <v>0</v>
      </c>
      <c r="AM643">
        <f t="shared" si="138"/>
        <v>0</v>
      </c>
      <c r="AN643">
        <f t="shared" si="140"/>
        <v>0</v>
      </c>
      <c r="AO643">
        <f t="shared" si="140"/>
        <v>0</v>
      </c>
      <c r="AP643">
        <f t="shared" si="140"/>
        <v>0</v>
      </c>
      <c r="AQ643">
        <f t="shared" si="140"/>
        <v>0</v>
      </c>
      <c r="AR643">
        <f t="shared" si="140"/>
        <v>0</v>
      </c>
    </row>
    <row r="644" spans="5:44" x14ac:dyDescent="0.2">
      <c r="E644" s="1">
        <f>moment_rate!$AC644</f>
        <v>7.4493433161470389E-3</v>
      </c>
      <c r="F644" s="1">
        <f t="shared" si="128"/>
        <v>0</v>
      </c>
      <c r="G644">
        <f>moment_rate!I644-0.005</f>
        <v>6.3699999999999086</v>
      </c>
      <c r="H644" s="1">
        <f t="shared" si="129"/>
        <v>0</v>
      </c>
      <c r="I644">
        <f t="shared" si="139"/>
        <v>0</v>
      </c>
      <c r="J644">
        <f t="shared" si="139"/>
        <v>0</v>
      </c>
      <c r="K644">
        <f t="shared" si="139"/>
        <v>0</v>
      </c>
      <c r="L644">
        <f t="shared" si="139"/>
        <v>0</v>
      </c>
      <c r="M644">
        <f t="shared" si="139"/>
        <v>0</v>
      </c>
      <c r="N644">
        <f t="shared" si="139"/>
        <v>0</v>
      </c>
      <c r="O644">
        <f t="shared" si="139"/>
        <v>0</v>
      </c>
      <c r="P644">
        <f t="shared" si="139"/>
        <v>0</v>
      </c>
      <c r="Q644">
        <f t="shared" si="139"/>
        <v>0</v>
      </c>
      <c r="R644">
        <f t="shared" si="139"/>
        <v>0</v>
      </c>
      <c r="S644">
        <f t="shared" si="139"/>
        <v>0</v>
      </c>
      <c r="T644">
        <f t="shared" si="139"/>
        <v>0</v>
      </c>
      <c r="U644">
        <f t="shared" si="139"/>
        <v>0</v>
      </c>
      <c r="V644">
        <f t="shared" si="139"/>
        <v>0</v>
      </c>
      <c r="W644">
        <f t="shared" si="139"/>
        <v>0</v>
      </c>
      <c r="X644">
        <f t="shared" si="139"/>
        <v>0</v>
      </c>
      <c r="Y644">
        <f t="shared" si="138"/>
        <v>0</v>
      </c>
      <c r="Z644">
        <f t="shared" si="138"/>
        <v>0</v>
      </c>
      <c r="AA644">
        <f t="shared" si="138"/>
        <v>0</v>
      </c>
      <c r="AB644">
        <f t="shared" si="138"/>
        <v>0</v>
      </c>
      <c r="AC644">
        <f t="shared" si="138"/>
        <v>0</v>
      </c>
      <c r="AD644">
        <f t="shared" si="138"/>
        <v>0</v>
      </c>
      <c r="AE644">
        <f t="shared" si="138"/>
        <v>0</v>
      </c>
      <c r="AF644">
        <f t="shared" si="138"/>
        <v>0</v>
      </c>
      <c r="AG644">
        <f t="shared" si="138"/>
        <v>0</v>
      </c>
      <c r="AH644">
        <f t="shared" si="138"/>
        <v>0</v>
      </c>
      <c r="AI644">
        <f t="shared" si="138"/>
        <v>0</v>
      </c>
      <c r="AJ644">
        <f t="shared" si="138"/>
        <v>0</v>
      </c>
      <c r="AK644">
        <f t="shared" si="138"/>
        <v>0</v>
      </c>
      <c r="AL644">
        <f t="shared" si="138"/>
        <v>0</v>
      </c>
      <c r="AM644">
        <f t="shared" si="138"/>
        <v>0</v>
      </c>
      <c r="AN644">
        <f t="shared" si="140"/>
        <v>0</v>
      </c>
      <c r="AO644">
        <f t="shared" si="140"/>
        <v>0</v>
      </c>
      <c r="AP644">
        <f t="shared" si="140"/>
        <v>0</v>
      </c>
      <c r="AQ644">
        <f t="shared" si="140"/>
        <v>0</v>
      </c>
      <c r="AR644">
        <f t="shared" si="140"/>
        <v>0</v>
      </c>
    </row>
    <row r="645" spans="5:44" x14ac:dyDescent="0.2">
      <c r="E645" s="1">
        <f>moment_rate!$AC645</f>
        <v>7.4493433161470389E-3</v>
      </c>
      <c r="F645" s="1">
        <f t="shared" si="128"/>
        <v>0</v>
      </c>
      <c r="G645">
        <f>moment_rate!I645-0.005</f>
        <v>6.3799999999999084</v>
      </c>
      <c r="H645" s="1">
        <f t="shared" si="129"/>
        <v>0</v>
      </c>
      <c r="I645">
        <f t="shared" si="139"/>
        <v>0</v>
      </c>
      <c r="J645">
        <f t="shared" si="139"/>
        <v>0</v>
      </c>
      <c r="K645">
        <f t="shared" si="139"/>
        <v>0</v>
      </c>
      <c r="L645">
        <f t="shared" si="139"/>
        <v>0</v>
      </c>
      <c r="M645">
        <f t="shared" si="139"/>
        <v>0</v>
      </c>
      <c r="N645">
        <f t="shared" si="139"/>
        <v>0</v>
      </c>
      <c r="O645">
        <f t="shared" si="139"/>
        <v>0</v>
      </c>
      <c r="P645">
        <f t="shared" si="139"/>
        <v>0</v>
      </c>
      <c r="Q645">
        <f t="shared" si="139"/>
        <v>0</v>
      </c>
      <c r="R645">
        <f t="shared" si="139"/>
        <v>0</v>
      </c>
      <c r="S645">
        <f t="shared" si="139"/>
        <v>0</v>
      </c>
      <c r="T645">
        <f t="shared" si="139"/>
        <v>0</v>
      </c>
      <c r="U645">
        <f t="shared" si="139"/>
        <v>0</v>
      </c>
      <c r="V645">
        <f t="shared" si="139"/>
        <v>0</v>
      </c>
      <c r="W645">
        <f t="shared" si="139"/>
        <v>0</v>
      </c>
      <c r="X645">
        <f t="shared" si="139"/>
        <v>0</v>
      </c>
      <c r="Y645">
        <f t="shared" si="138"/>
        <v>0</v>
      </c>
      <c r="Z645">
        <f t="shared" si="138"/>
        <v>0</v>
      </c>
      <c r="AA645">
        <f t="shared" si="138"/>
        <v>0</v>
      </c>
      <c r="AB645">
        <f t="shared" si="138"/>
        <v>0</v>
      </c>
      <c r="AC645">
        <f t="shared" si="138"/>
        <v>0</v>
      </c>
      <c r="AD645">
        <f t="shared" si="138"/>
        <v>0</v>
      </c>
      <c r="AE645">
        <f t="shared" si="138"/>
        <v>0</v>
      </c>
      <c r="AF645">
        <f t="shared" si="138"/>
        <v>0</v>
      </c>
      <c r="AG645">
        <f t="shared" si="138"/>
        <v>0</v>
      </c>
      <c r="AH645">
        <f t="shared" si="138"/>
        <v>0</v>
      </c>
      <c r="AI645">
        <f t="shared" si="138"/>
        <v>0</v>
      </c>
      <c r="AJ645">
        <f t="shared" si="138"/>
        <v>0</v>
      </c>
      <c r="AK645">
        <f t="shared" si="138"/>
        <v>0</v>
      </c>
      <c r="AL645">
        <f t="shared" si="138"/>
        <v>0</v>
      </c>
      <c r="AM645">
        <f t="shared" si="138"/>
        <v>0</v>
      </c>
      <c r="AN645">
        <f t="shared" si="140"/>
        <v>0</v>
      </c>
      <c r="AO645">
        <f t="shared" si="140"/>
        <v>0</v>
      </c>
      <c r="AP645">
        <f t="shared" si="140"/>
        <v>0</v>
      </c>
      <c r="AQ645">
        <f t="shared" si="140"/>
        <v>0</v>
      </c>
      <c r="AR645">
        <f t="shared" si="140"/>
        <v>0</v>
      </c>
    </row>
    <row r="646" spans="5:44" x14ac:dyDescent="0.2">
      <c r="E646" s="1">
        <f>moment_rate!$AC646</f>
        <v>7.4493433161470389E-3</v>
      </c>
      <c r="F646" s="1">
        <f t="shared" si="128"/>
        <v>0</v>
      </c>
      <c r="G646">
        <f>moment_rate!I646-0.005</f>
        <v>6.3899999999999082</v>
      </c>
      <c r="H646" s="1">
        <f t="shared" si="129"/>
        <v>0</v>
      </c>
      <c r="I646">
        <f t="shared" si="139"/>
        <v>0</v>
      </c>
      <c r="J646">
        <f t="shared" si="139"/>
        <v>0</v>
      </c>
      <c r="K646">
        <f t="shared" si="139"/>
        <v>0</v>
      </c>
      <c r="L646">
        <f t="shared" si="139"/>
        <v>0</v>
      </c>
      <c r="M646">
        <f t="shared" si="139"/>
        <v>0</v>
      </c>
      <c r="N646">
        <f t="shared" si="139"/>
        <v>0</v>
      </c>
      <c r="O646">
        <f t="shared" si="139"/>
        <v>0</v>
      </c>
      <c r="P646">
        <f t="shared" si="139"/>
        <v>0</v>
      </c>
      <c r="Q646">
        <f t="shared" si="139"/>
        <v>0</v>
      </c>
      <c r="R646">
        <f t="shared" si="139"/>
        <v>0</v>
      </c>
      <c r="S646">
        <f t="shared" si="139"/>
        <v>0</v>
      </c>
      <c r="T646">
        <f t="shared" si="139"/>
        <v>0</v>
      </c>
      <c r="U646">
        <f t="shared" si="139"/>
        <v>0</v>
      </c>
      <c r="V646">
        <f t="shared" si="139"/>
        <v>0</v>
      </c>
      <c r="W646">
        <f t="shared" si="139"/>
        <v>0</v>
      </c>
      <c r="X646">
        <f t="shared" si="139"/>
        <v>0</v>
      </c>
      <c r="Y646">
        <f t="shared" si="138"/>
        <v>0</v>
      </c>
      <c r="Z646">
        <f t="shared" si="138"/>
        <v>0</v>
      </c>
      <c r="AA646">
        <f t="shared" si="138"/>
        <v>0</v>
      </c>
      <c r="AB646">
        <f t="shared" si="138"/>
        <v>0</v>
      </c>
      <c r="AC646">
        <f t="shared" si="138"/>
        <v>0</v>
      </c>
      <c r="AD646">
        <f t="shared" si="138"/>
        <v>0</v>
      </c>
      <c r="AE646">
        <f t="shared" si="138"/>
        <v>0</v>
      </c>
      <c r="AF646">
        <f t="shared" si="138"/>
        <v>0</v>
      </c>
      <c r="AG646">
        <f t="shared" si="138"/>
        <v>0</v>
      </c>
      <c r="AH646">
        <f t="shared" si="138"/>
        <v>0</v>
      </c>
      <c r="AI646">
        <f t="shared" si="138"/>
        <v>0</v>
      </c>
      <c r="AJ646">
        <f t="shared" si="138"/>
        <v>0</v>
      </c>
      <c r="AK646">
        <f t="shared" si="138"/>
        <v>0</v>
      </c>
      <c r="AL646">
        <f t="shared" si="138"/>
        <v>0</v>
      </c>
      <c r="AM646">
        <f t="shared" si="138"/>
        <v>0</v>
      </c>
      <c r="AN646">
        <f t="shared" si="140"/>
        <v>0</v>
      </c>
      <c r="AO646">
        <f t="shared" si="140"/>
        <v>0</v>
      </c>
      <c r="AP646">
        <f t="shared" si="140"/>
        <v>0</v>
      </c>
      <c r="AQ646">
        <f t="shared" si="140"/>
        <v>0</v>
      </c>
      <c r="AR646">
        <f t="shared" si="140"/>
        <v>0</v>
      </c>
    </row>
    <row r="647" spans="5:44" x14ac:dyDescent="0.2">
      <c r="E647" s="1">
        <f>moment_rate!$AC647</f>
        <v>7.4493433161470389E-3</v>
      </c>
      <c r="F647" s="1">
        <f t="shared" si="128"/>
        <v>0</v>
      </c>
      <c r="G647">
        <f>moment_rate!I647-0.005</f>
        <v>6.399999999999908</v>
      </c>
      <c r="H647" s="1">
        <f t="shared" si="129"/>
        <v>0</v>
      </c>
      <c r="I647">
        <f t="shared" si="139"/>
        <v>0</v>
      </c>
      <c r="J647">
        <f t="shared" si="139"/>
        <v>0</v>
      </c>
      <c r="K647">
        <f t="shared" si="139"/>
        <v>0</v>
      </c>
      <c r="L647">
        <f t="shared" si="139"/>
        <v>0</v>
      </c>
      <c r="M647">
        <f t="shared" si="139"/>
        <v>0</v>
      </c>
      <c r="N647">
        <f t="shared" si="139"/>
        <v>0</v>
      </c>
      <c r="O647">
        <f t="shared" si="139"/>
        <v>0</v>
      </c>
      <c r="P647">
        <f t="shared" si="139"/>
        <v>0</v>
      </c>
      <c r="Q647">
        <f t="shared" si="139"/>
        <v>0</v>
      </c>
      <c r="R647">
        <f t="shared" si="139"/>
        <v>0</v>
      </c>
      <c r="S647">
        <f t="shared" si="139"/>
        <v>0</v>
      </c>
      <c r="T647">
        <f t="shared" si="139"/>
        <v>0</v>
      </c>
      <c r="U647">
        <f t="shared" si="139"/>
        <v>0</v>
      </c>
      <c r="V647">
        <f t="shared" si="139"/>
        <v>0</v>
      </c>
      <c r="W647">
        <f t="shared" si="139"/>
        <v>0</v>
      </c>
      <c r="X647">
        <f t="shared" si="139"/>
        <v>0</v>
      </c>
      <c r="Y647">
        <f t="shared" si="138"/>
        <v>0</v>
      </c>
      <c r="Z647">
        <f t="shared" si="138"/>
        <v>0</v>
      </c>
      <c r="AA647">
        <f t="shared" si="138"/>
        <v>0</v>
      </c>
      <c r="AB647">
        <f t="shared" si="138"/>
        <v>0</v>
      </c>
      <c r="AC647">
        <f t="shared" si="138"/>
        <v>0</v>
      </c>
      <c r="AD647">
        <f t="shared" si="138"/>
        <v>0</v>
      </c>
      <c r="AE647">
        <f t="shared" si="138"/>
        <v>0</v>
      </c>
      <c r="AF647">
        <f t="shared" si="138"/>
        <v>0</v>
      </c>
      <c r="AG647">
        <f t="shared" si="138"/>
        <v>0</v>
      </c>
      <c r="AH647">
        <f t="shared" si="138"/>
        <v>0</v>
      </c>
      <c r="AI647">
        <f t="shared" si="138"/>
        <v>0</v>
      </c>
      <c r="AJ647">
        <f t="shared" si="138"/>
        <v>0</v>
      </c>
      <c r="AK647">
        <f t="shared" si="138"/>
        <v>0</v>
      </c>
      <c r="AL647">
        <f t="shared" si="138"/>
        <v>0</v>
      </c>
      <c r="AM647">
        <f t="shared" si="138"/>
        <v>0</v>
      </c>
      <c r="AN647">
        <f t="shared" si="140"/>
        <v>0</v>
      </c>
      <c r="AO647">
        <f t="shared" si="140"/>
        <v>0</v>
      </c>
      <c r="AP647">
        <f t="shared" si="140"/>
        <v>0</v>
      </c>
      <c r="AQ647">
        <f t="shared" si="140"/>
        <v>0</v>
      </c>
      <c r="AR647">
        <f t="shared" si="140"/>
        <v>0</v>
      </c>
    </row>
    <row r="648" spans="5:44" x14ac:dyDescent="0.2">
      <c r="E648" s="1">
        <f>moment_rate!$AC648</f>
        <v>7.4493433161470389E-3</v>
      </c>
      <c r="F648" s="1">
        <f t="shared" ref="F648:F711" si="141">E648-E649</f>
        <v>0</v>
      </c>
      <c r="G648">
        <f>moment_rate!I648-0.005</f>
        <v>6.4099999999999078</v>
      </c>
      <c r="H648" s="1">
        <f t="shared" ref="H648:H711" si="142">IF($G648&gt;=4.999,(E648-E649),0)</f>
        <v>0</v>
      </c>
      <c r="I648">
        <f t="shared" si="139"/>
        <v>0</v>
      </c>
      <c r="J648">
        <f t="shared" si="139"/>
        <v>0</v>
      </c>
      <c r="K648">
        <f t="shared" si="139"/>
        <v>0</v>
      </c>
      <c r="L648">
        <f t="shared" si="139"/>
        <v>0</v>
      </c>
      <c r="M648">
        <f t="shared" si="139"/>
        <v>0</v>
      </c>
      <c r="N648">
        <f t="shared" si="139"/>
        <v>0</v>
      </c>
      <c r="O648">
        <f t="shared" si="139"/>
        <v>0</v>
      </c>
      <c r="P648">
        <f t="shared" si="139"/>
        <v>0</v>
      </c>
      <c r="Q648">
        <f t="shared" si="139"/>
        <v>0</v>
      </c>
      <c r="R648">
        <f t="shared" si="139"/>
        <v>0</v>
      </c>
      <c r="S648">
        <f t="shared" si="139"/>
        <v>0</v>
      </c>
      <c r="T648">
        <f t="shared" si="139"/>
        <v>0</v>
      </c>
      <c r="U648">
        <f t="shared" si="139"/>
        <v>0</v>
      </c>
      <c r="V648">
        <f t="shared" si="139"/>
        <v>0</v>
      </c>
      <c r="W648">
        <f t="shared" si="139"/>
        <v>0</v>
      </c>
      <c r="X648">
        <f t="shared" si="139"/>
        <v>0</v>
      </c>
      <c r="Y648">
        <f t="shared" si="138"/>
        <v>0</v>
      </c>
      <c r="Z648">
        <f t="shared" si="138"/>
        <v>0</v>
      </c>
      <c r="AA648">
        <f t="shared" si="138"/>
        <v>0</v>
      </c>
      <c r="AB648">
        <f t="shared" si="138"/>
        <v>0</v>
      </c>
      <c r="AC648">
        <f t="shared" si="138"/>
        <v>0</v>
      </c>
      <c r="AD648">
        <f t="shared" si="138"/>
        <v>0</v>
      </c>
      <c r="AE648">
        <f t="shared" si="138"/>
        <v>0</v>
      </c>
      <c r="AF648">
        <f t="shared" si="138"/>
        <v>0</v>
      </c>
      <c r="AG648">
        <f t="shared" si="138"/>
        <v>0</v>
      </c>
      <c r="AH648">
        <f t="shared" si="138"/>
        <v>0</v>
      </c>
      <c r="AI648">
        <f t="shared" si="138"/>
        <v>0</v>
      </c>
      <c r="AJ648">
        <f t="shared" si="138"/>
        <v>0</v>
      </c>
      <c r="AK648">
        <f t="shared" si="138"/>
        <v>0</v>
      </c>
      <c r="AL648">
        <f t="shared" si="138"/>
        <v>0</v>
      </c>
      <c r="AM648">
        <f t="shared" si="138"/>
        <v>0</v>
      </c>
      <c r="AN648">
        <f t="shared" si="140"/>
        <v>0</v>
      </c>
      <c r="AO648">
        <f t="shared" si="140"/>
        <v>0</v>
      </c>
      <c r="AP648">
        <f t="shared" si="140"/>
        <v>0</v>
      </c>
      <c r="AQ648">
        <f t="shared" si="140"/>
        <v>0</v>
      </c>
      <c r="AR648">
        <f t="shared" si="140"/>
        <v>0</v>
      </c>
    </row>
    <row r="649" spans="5:44" x14ac:dyDescent="0.2">
      <c r="E649" s="1">
        <f>moment_rate!$AC649</f>
        <v>7.4493433161470389E-3</v>
      </c>
      <c r="F649" s="1">
        <f t="shared" si="141"/>
        <v>0</v>
      </c>
      <c r="G649">
        <f>moment_rate!I649-0.005</f>
        <v>6.4199999999999076</v>
      </c>
      <c r="H649" s="1">
        <f t="shared" si="142"/>
        <v>0</v>
      </c>
      <c r="I649">
        <f t="shared" si="139"/>
        <v>0</v>
      </c>
      <c r="J649">
        <f t="shared" si="139"/>
        <v>0</v>
      </c>
      <c r="K649">
        <f t="shared" si="139"/>
        <v>0</v>
      </c>
      <c r="L649">
        <f t="shared" si="139"/>
        <v>0</v>
      </c>
      <c r="M649">
        <f t="shared" si="139"/>
        <v>0</v>
      </c>
      <c r="N649">
        <f t="shared" si="139"/>
        <v>0</v>
      </c>
      <c r="O649">
        <f t="shared" si="139"/>
        <v>0</v>
      </c>
      <c r="P649">
        <f t="shared" si="139"/>
        <v>0</v>
      </c>
      <c r="Q649">
        <f t="shared" si="139"/>
        <v>0</v>
      </c>
      <c r="R649">
        <f t="shared" si="139"/>
        <v>0</v>
      </c>
      <c r="S649">
        <f t="shared" si="139"/>
        <v>0</v>
      </c>
      <c r="T649">
        <f t="shared" si="139"/>
        <v>0</v>
      </c>
      <c r="U649">
        <f t="shared" si="139"/>
        <v>0</v>
      </c>
      <c r="V649">
        <f t="shared" si="139"/>
        <v>0</v>
      </c>
      <c r="W649">
        <f t="shared" si="139"/>
        <v>0</v>
      </c>
      <c r="X649">
        <f t="shared" si="139"/>
        <v>0</v>
      </c>
      <c r="Y649">
        <f t="shared" si="138"/>
        <v>0</v>
      </c>
      <c r="Z649">
        <f t="shared" si="138"/>
        <v>0</v>
      </c>
      <c r="AA649">
        <f t="shared" si="138"/>
        <v>0</v>
      </c>
      <c r="AB649">
        <f t="shared" si="138"/>
        <v>0</v>
      </c>
      <c r="AC649">
        <f t="shared" si="138"/>
        <v>0</v>
      </c>
      <c r="AD649">
        <f t="shared" si="138"/>
        <v>0</v>
      </c>
      <c r="AE649">
        <f t="shared" si="138"/>
        <v>0</v>
      </c>
      <c r="AF649">
        <f t="shared" si="138"/>
        <v>0</v>
      </c>
      <c r="AG649">
        <f t="shared" si="138"/>
        <v>0</v>
      </c>
      <c r="AH649">
        <f t="shared" si="138"/>
        <v>0</v>
      </c>
      <c r="AI649">
        <f t="shared" si="138"/>
        <v>0</v>
      </c>
      <c r="AJ649">
        <f t="shared" si="138"/>
        <v>0</v>
      </c>
      <c r="AK649">
        <f t="shared" si="138"/>
        <v>0</v>
      </c>
      <c r="AL649">
        <f t="shared" si="138"/>
        <v>0</v>
      </c>
      <c r="AM649">
        <f t="shared" si="138"/>
        <v>0</v>
      </c>
      <c r="AN649">
        <f t="shared" si="140"/>
        <v>0</v>
      </c>
      <c r="AO649">
        <f t="shared" si="140"/>
        <v>0</v>
      </c>
      <c r="AP649">
        <f t="shared" si="140"/>
        <v>0</v>
      </c>
      <c r="AQ649">
        <f t="shared" si="140"/>
        <v>0</v>
      </c>
      <c r="AR649">
        <f t="shared" si="140"/>
        <v>0</v>
      </c>
    </row>
    <row r="650" spans="5:44" x14ac:dyDescent="0.2">
      <c r="E650" s="1">
        <f>moment_rate!$AC650</f>
        <v>7.4493433161470389E-3</v>
      </c>
      <c r="F650" s="1">
        <f t="shared" si="141"/>
        <v>0</v>
      </c>
      <c r="G650">
        <f>moment_rate!I650-0.005</f>
        <v>6.4299999999999073</v>
      </c>
      <c r="H650" s="1">
        <f t="shared" si="142"/>
        <v>0</v>
      </c>
      <c r="I650">
        <f t="shared" si="139"/>
        <v>0</v>
      </c>
      <c r="J650">
        <f t="shared" si="139"/>
        <v>0</v>
      </c>
      <c r="K650">
        <f t="shared" si="139"/>
        <v>0</v>
      </c>
      <c r="L650">
        <f t="shared" si="139"/>
        <v>0</v>
      </c>
      <c r="M650">
        <f t="shared" si="139"/>
        <v>0</v>
      </c>
      <c r="N650">
        <f t="shared" si="139"/>
        <v>0</v>
      </c>
      <c r="O650">
        <f t="shared" si="139"/>
        <v>0</v>
      </c>
      <c r="P650">
        <f t="shared" si="139"/>
        <v>0</v>
      </c>
      <c r="Q650">
        <f t="shared" si="139"/>
        <v>0</v>
      </c>
      <c r="R650">
        <f t="shared" si="139"/>
        <v>0</v>
      </c>
      <c r="S650">
        <f t="shared" si="139"/>
        <v>0</v>
      </c>
      <c r="T650">
        <f t="shared" si="139"/>
        <v>0</v>
      </c>
      <c r="U650">
        <f t="shared" si="139"/>
        <v>0</v>
      </c>
      <c r="V650">
        <f t="shared" si="139"/>
        <v>0</v>
      </c>
      <c r="W650">
        <f t="shared" si="139"/>
        <v>0</v>
      </c>
      <c r="X650">
        <f t="shared" ref="X650:AM665" si="143">IF(AND($G650&gt;=X$3,$G650&lt;X$4),$F650,0)</f>
        <v>0</v>
      </c>
      <c r="Y650">
        <f t="shared" si="143"/>
        <v>0</v>
      </c>
      <c r="Z650">
        <f t="shared" si="143"/>
        <v>0</v>
      </c>
      <c r="AA650">
        <f t="shared" si="143"/>
        <v>0</v>
      </c>
      <c r="AB650">
        <f t="shared" si="143"/>
        <v>0</v>
      </c>
      <c r="AC650">
        <f t="shared" si="143"/>
        <v>0</v>
      </c>
      <c r="AD650">
        <f t="shared" si="143"/>
        <v>0</v>
      </c>
      <c r="AE650">
        <f t="shared" si="143"/>
        <v>0</v>
      </c>
      <c r="AF650">
        <f t="shared" si="143"/>
        <v>0</v>
      </c>
      <c r="AG650">
        <f t="shared" si="143"/>
        <v>0</v>
      </c>
      <c r="AH650">
        <f t="shared" si="143"/>
        <v>0</v>
      </c>
      <c r="AI650">
        <f t="shared" si="143"/>
        <v>0</v>
      </c>
      <c r="AJ650">
        <f t="shared" si="143"/>
        <v>0</v>
      </c>
      <c r="AK650">
        <f t="shared" si="143"/>
        <v>0</v>
      </c>
      <c r="AL650">
        <f t="shared" si="143"/>
        <v>0</v>
      </c>
      <c r="AM650">
        <f t="shared" si="143"/>
        <v>0</v>
      </c>
      <c r="AN650">
        <f t="shared" si="140"/>
        <v>0</v>
      </c>
      <c r="AO650">
        <f t="shared" si="140"/>
        <v>0</v>
      </c>
      <c r="AP650">
        <f t="shared" si="140"/>
        <v>0</v>
      </c>
      <c r="AQ650">
        <f t="shared" si="140"/>
        <v>0</v>
      </c>
      <c r="AR650">
        <f t="shared" si="140"/>
        <v>0</v>
      </c>
    </row>
    <row r="651" spans="5:44" x14ac:dyDescent="0.2">
      <c r="E651" s="1">
        <f>moment_rate!$AC651</f>
        <v>7.4493433161470389E-3</v>
      </c>
      <c r="F651" s="1">
        <f t="shared" si="141"/>
        <v>0</v>
      </c>
      <c r="G651">
        <f>moment_rate!I651-0.005</f>
        <v>6.4399999999999071</v>
      </c>
      <c r="H651" s="1">
        <f t="shared" si="142"/>
        <v>0</v>
      </c>
      <c r="I651">
        <f t="shared" ref="I651:X666" si="144">IF(AND($G651&gt;=I$3,$G651&lt;I$4),$F651,0)</f>
        <v>0</v>
      </c>
      <c r="J651">
        <f t="shared" si="144"/>
        <v>0</v>
      </c>
      <c r="K651">
        <f t="shared" si="144"/>
        <v>0</v>
      </c>
      <c r="L651">
        <f t="shared" si="144"/>
        <v>0</v>
      </c>
      <c r="M651">
        <f t="shared" si="144"/>
        <v>0</v>
      </c>
      <c r="N651">
        <f t="shared" si="144"/>
        <v>0</v>
      </c>
      <c r="O651">
        <f t="shared" si="144"/>
        <v>0</v>
      </c>
      <c r="P651">
        <f t="shared" si="144"/>
        <v>0</v>
      </c>
      <c r="Q651">
        <f t="shared" si="144"/>
        <v>0</v>
      </c>
      <c r="R651">
        <f t="shared" si="144"/>
        <v>0</v>
      </c>
      <c r="S651">
        <f t="shared" si="144"/>
        <v>0</v>
      </c>
      <c r="T651">
        <f t="shared" si="144"/>
        <v>0</v>
      </c>
      <c r="U651">
        <f t="shared" si="144"/>
        <v>0</v>
      </c>
      <c r="V651">
        <f t="shared" si="144"/>
        <v>0</v>
      </c>
      <c r="W651">
        <f t="shared" si="144"/>
        <v>0</v>
      </c>
      <c r="X651">
        <f t="shared" si="144"/>
        <v>0</v>
      </c>
      <c r="Y651">
        <f t="shared" si="143"/>
        <v>0</v>
      </c>
      <c r="Z651">
        <f t="shared" si="143"/>
        <v>0</v>
      </c>
      <c r="AA651">
        <f t="shared" si="143"/>
        <v>0</v>
      </c>
      <c r="AB651">
        <f t="shared" si="143"/>
        <v>0</v>
      </c>
      <c r="AC651">
        <f t="shared" si="143"/>
        <v>0</v>
      </c>
      <c r="AD651">
        <f t="shared" si="143"/>
        <v>0</v>
      </c>
      <c r="AE651">
        <f t="shared" si="143"/>
        <v>0</v>
      </c>
      <c r="AF651">
        <f t="shared" si="143"/>
        <v>0</v>
      </c>
      <c r="AG651">
        <f t="shared" si="143"/>
        <v>0</v>
      </c>
      <c r="AH651">
        <f t="shared" si="143"/>
        <v>0</v>
      </c>
      <c r="AI651">
        <f t="shared" si="143"/>
        <v>0</v>
      </c>
      <c r="AJ651">
        <f t="shared" si="143"/>
        <v>0</v>
      </c>
      <c r="AK651">
        <f t="shared" si="143"/>
        <v>0</v>
      </c>
      <c r="AL651">
        <f t="shared" si="143"/>
        <v>0</v>
      </c>
      <c r="AM651">
        <f t="shared" si="143"/>
        <v>0</v>
      </c>
      <c r="AN651">
        <f t="shared" si="140"/>
        <v>0</v>
      </c>
      <c r="AO651">
        <f t="shared" si="140"/>
        <v>0</v>
      </c>
      <c r="AP651">
        <f t="shared" si="140"/>
        <v>0</v>
      </c>
      <c r="AQ651">
        <f t="shared" si="140"/>
        <v>0</v>
      </c>
      <c r="AR651">
        <f t="shared" si="140"/>
        <v>0</v>
      </c>
    </row>
    <row r="652" spans="5:44" x14ac:dyDescent="0.2">
      <c r="E652" s="1">
        <f>moment_rate!$AC652</f>
        <v>7.4493433161470389E-3</v>
      </c>
      <c r="F652" s="1">
        <f t="shared" si="141"/>
        <v>0</v>
      </c>
      <c r="G652">
        <f>moment_rate!I652-0.005</f>
        <v>6.4499999999999069</v>
      </c>
      <c r="H652" s="1">
        <f t="shared" si="142"/>
        <v>0</v>
      </c>
      <c r="I652">
        <f t="shared" si="144"/>
        <v>0</v>
      </c>
      <c r="J652">
        <f t="shared" si="144"/>
        <v>0</v>
      </c>
      <c r="K652">
        <f t="shared" si="144"/>
        <v>0</v>
      </c>
      <c r="L652">
        <f t="shared" si="144"/>
        <v>0</v>
      </c>
      <c r="M652">
        <f t="shared" si="144"/>
        <v>0</v>
      </c>
      <c r="N652">
        <f t="shared" si="144"/>
        <v>0</v>
      </c>
      <c r="O652">
        <f t="shared" si="144"/>
        <v>0</v>
      </c>
      <c r="P652">
        <f t="shared" si="144"/>
        <v>0</v>
      </c>
      <c r="Q652">
        <f t="shared" si="144"/>
        <v>0</v>
      </c>
      <c r="R652">
        <f t="shared" si="144"/>
        <v>0</v>
      </c>
      <c r="S652">
        <f t="shared" si="144"/>
        <v>0</v>
      </c>
      <c r="T652">
        <f t="shared" si="144"/>
        <v>0</v>
      </c>
      <c r="U652">
        <f t="shared" si="144"/>
        <v>0</v>
      </c>
      <c r="V652">
        <f t="shared" si="144"/>
        <v>0</v>
      </c>
      <c r="W652">
        <f t="shared" si="144"/>
        <v>0</v>
      </c>
      <c r="X652">
        <f t="shared" si="144"/>
        <v>0</v>
      </c>
      <c r="Y652">
        <f t="shared" si="143"/>
        <v>0</v>
      </c>
      <c r="Z652">
        <f t="shared" si="143"/>
        <v>0</v>
      </c>
      <c r="AA652">
        <f t="shared" si="143"/>
        <v>0</v>
      </c>
      <c r="AB652">
        <f t="shared" si="143"/>
        <v>0</v>
      </c>
      <c r="AC652">
        <f t="shared" si="143"/>
        <v>0</v>
      </c>
      <c r="AD652">
        <f t="shared" si="143"/>
        <v>0</v>
      </c>
      <c r="AE652">
        <f t="shared" si="143"/>
        <v>0</v>
      </c>
      <c r="AF652">
        <f t="shared" si="143"/>
        <v>0</v>
      </c>
      <c r="AG652">
        <f t="shared" si="143"/>
        <v>0</v>
      </c>
      <c r="AH652">
        <f t="shared" si="143"/>
        <v>0</v>
      </c>
      <c r="AI652">
        <f t="shared" si="143"/>
        <v>0</v>
      </c>
      <c r="AJ652">
        <f t="shared" si="143"/>
        <v>0</v>
      </c>
      <c r="AK652">
        <f t="shared" si="143"/>
        <v>0</v>
      </c>
      <c r="AL652">
        <f t="shared" si="143"/>
        <v>0</v>
      </c>
      <c r="AM652">
        <f t="shared" si="143"/>
        <v>0</v>
      </c>
      <c r="AN652">
        <f t="shared" si="140"/>
        <v>0</v>
      </c>
      <c r="AO652">
        <f t="shared" si="140"/>
        <v>0</v>
      </c>
      <c r="AP652">
        <f t="shared" si="140"/>
        <v>0</v>
      </c>
      <c r="AQ652">
        <f t="shared" si="140"/>
        <v>0</v>
      </c>
      <c r="AR652">
        <f t="shared" si="140"/>
        <v>0</v>
      </c>
    </row>
    <row r="653" spans="5:44" x14ac:dyDescent="0.2">
      <c r="E653" s="1">
        <f>moment_rate!$AC653</f>
        <v>7.4493433161470389E-3</v>
      </c>
      <c r="F653" s="1">
        <f t="shared" si="141"/>
        <v>0</v>
      </c>
      <c r="G653">
        <f>moment_rate!I653-0.005</f>
        <v>6.4599999999999067</v>
      </c>
      <c r="H653" s="1">
        <f t="shared" si="142"/>
        <v>0</v>
      </c>
      <c r="I653">
        <f t="shared" si="144"/>
        <v>0</v>
      </c>
      <c r="J653">
        <f t="shared" si="144"/>
        <v>0</v>
      </c>
      <c r="K653">
        <f t="shared" si="144"/>
        <v>0</v>
      </c>
      <c r="L653">
        <f t="shared" si="144"/>
        <v>0</v>
      </c>
      <c r="M653">
        <f t="shared" si="144"/>
        <v>0</v>
      </c>
      <c r="N653">
        <f t="shared" si="144"/>
        <v>0</v>
      </c>
      <c r="O653">
        <f t="shared" si="144"/>
        <v>0</v>
      </c>
      <c r="P653">
        <f t="shared" si="144"/>
        <v>0</v>
      </c>
      <c r="Q653">
        <f t="shared" si="144"/>
        <v>0</v>
      </c>
      <c r="R653">
        <f t="shared" si="144"/>
        <v>0</v>
      </c>
      <c r="S653">
        <f t="shared" si="144"/>
        <v>0</v>
      </c>
      <c r="T653">
        <f t="shared" si="144"/>
        <v>0</v>
      </c>
      <c r="U653">
        <f t="shared" si="144"/>
        <v>0</v>
      </c>
      <c r="V653">
        <f t="shared" si="144"/>
        <v>0</v>
      </c>
      <c r="W653">
        <f t="shared" si="144"/>
        <v>0</v>
      </c>
      <c r="X653">
        <f t="shared" si="144"/>
        <v>0</v>
      </c>
      <c r="Y653">
        <f t="shared" si="143"/>
        <v>0</v>
      </c>
      <c r="Z653">
        <f t="shared" si="143"/>
        <v>0</v>
      </c>
      <c r="AA653">
        <f t="shared" si="143"/>
        <v>0</v>
      </c>
      <c r="AB653">
        <f t="shared" si="143"/>
        <v>0</v>
      </c>
      <c r="AC653">
        <f t="shared" si="143"/>
        <v>0</v>
      </c>
      <c r="AD653">
        <f t="shared" si="143"/>
        <v>0</v>
      </c>
      <c r="AE653">
        <f t="shared" si="143"/>
        <v>0</v>
      </c>
      <c r="AF653">
        <f t="shared" si="143"/>
        <v>0</v>
      </c>
      <c r="AG653">
        <f t="shared" si="143"/>
        <v>0</v>
      </c>
      <c r="AH653">
        <f t="shared" si="143"/>
        <v>0</v>
      </c>
      <c r="AI653">
        <f t="shared" si="143"/>
        <v>0</v>
      </c>
      <c r="AJ653">
        <f t="shared" si="143"/>
        <v>0</v>
      </c>
      <c r="AK653">
        <f t="shared" si="143"/>
        <v>0</v>
      </c>
      <c r="AL653">
        <f t="shared" si="143"/>
        <v>0</v>
      </c>
      <c r="AM653">
        <f t="shared" si="143"/>
        <v>0</v>
      </c>
      <c r="AN653">
        <f t="shared" si="140"/>
        <v>0</v>
      </c>
      <c r="AO653">
        <f t="shared" si="140"/>
        <v>0</v>
      </c>
      <c r="AP653">
        <f t="shared" si="140"/>
        <v>0</v>
      </c>
      <c r="AQ653">
        <f t="shared" si="140"/>
        <v>0</v>
      </c>
      <c r="AR653">
        <f t="shared" si="140"/>
        <v>0</v>
      </c>
    </row>
    <row r="654" spans="5:44" x14ac:dyDescent="0.2">
      <c r="E654" s="1">
        <f>moment_rate!$AC654</f>
        <v>7.4493433161470389E-3</v>
      </c>
      <c r="F654" s="1">
        <f t="shared" si="141"/>
        <v>0</v>
      </c>
      <c r="G654">
        <f>moment_rate!I654-0.005</f>
        <v>6.4699999999999065</v>
      </c>
      <c r="H654" s="1">
        <f t="shared" si="142"/>
        <v>0</v>
      </c>
      <c r="I654">
        <f t="shared" si="144"/>
        <v>0</v>
      </c>
      <c r="J654">
        <f t="shared" si="144"/>
        <v>0</v>
      </c>
      <c r="K654">
        <f t="shared" si="144"/>
        <v>0</v>
      </c>
      <c r="L654">
        <f t="shared" si="144"/>
        <v>0</v>
      </c>
      <c r="M654">
        <f t="shared" si="144"/>
        <v>0</v>
      </c>
      <c r="N654">
        <f t="shared" si="144"/>
        <v>0</v>
      </c>
      <c r="O654">
        <f t="shared" si="144"/>
        <v>0</v>
      </c>
      <c r="P654">
        <f t="shared" si="144"/>
        <v>0</v>
      </c>
      <c r="Q654">
        <f t="shared" si="144"/>
        <v>0</v>
      </c>
      <c r="R654">
        <f t="shared" si="144"/>
        <v>0</v>
      </c>
      <c r="S654">
        <f t="shared" si="144"/>
        <v>0</v>
      </c>
      <c r="T654">
        <f t="shared" si="144"/>
        <v>0</v>
      </c>
      <c r="U654">
        <f t="shared" si="144"/>
        <v>0</v>
      </c>
      <c r="V654">
        <f t="shared" si="144"/>
        <v>0</v>
      </c>
      <c r="W654">
        <f t="shared" si="144"/>
        <v>0</v>
      </c>
      <c r="X654">
        <f t="shared" si="144"/>
        <v>0</v>
      </c>
      <c r="Y654">
        <f t="shared" si="143"/>
        <v>0</v>
      </c>
      <c r="Z654">
        <f t="shared" si="143"/>
        <v>0</v>
      </c>
      <c r="AA654">
        <f t="shared" si="143"/>
        <v>0</v>
      </c>
      <c r="AB654">
        <f t="shared" si="143"/>
        <v>0</v>
      </c>
      <c r="AC654">
        <f t="shared" si="143"/>
        <v>0</v>
      </c>
      <c r="AD654">
        <f t="shared" si="143"/>
        <v>0</v>
      </c>
      <c r="AE654">
        <f t="shared" si="143"/>
        <v>0</v>
      </c>
      <c r="AF654">
        <f t="shared" si="143"/>
        <v>0</v>
      </c>
      <c r="AG654">
        <f t="shared" si="143"/>
        <v>0</v>
      </c>
      <c r="AH654">
        <f t="shared" si="143"/>
        <v>0</v>
      </c>
      <c r="AI654">
        <f t="shared" si="143"/>
        <v>0</v>
      </c>
      <c r="AJ654">
        <f t="shared" si="143"/>
        <v>0</v>
      </c>
      <c r="AK654">
        <f t="shared" si="143"/>
        <v>0</v>
      </c>
      <c r="AL654">
        <f t="shared" si="143"/>
        <v>0</v>
      </c>
      <c r="AM654">
        <f t="shared" si="143"/>
        <v>0</v>
      </c>
      <c r="AN654">
        <f t="shared" si="140"/>
        <v>0</v>
      </c>
      <c r="AO654">
        <f t="shared" si="140"/>
        <v>0</v>
      </c>
      <c r="AP654">
        <f t="shared" si="140"/>
        <v>0</v>
      </c>
      <c r="AQ654">
        <f t="shared" si="140"/>
        <v>0</v>
      </c>
      <c r="AR654">
        <f t="shared" si="140"/>
        <v>0</v>
      </c>
    </row>
    <row r="655" spans="5:44" x14ac:dyDescent="0.2">
      <c r="E655" s="1">
        <f>moment_rate!$AC655</f>
        <v>7.4493433161470389E-3</v>
      </c>
      <c r="F655" s="1">
        <f t="shared" si="141"/>
        <v>0</v>
      </c>
      <c r="G655">
        <f>moment_rate!I655-0.005</f>
        <v>6.4799999999999063</v>
      </c>
      <c r="H655" s="1">
        <f t="shared" si="142"/>
        <v>0</v>
      </c>
      <c r="I655">
        <f t="shared" si="144"/>
        <v>0</v>
      </c>
      <c r="J655">
        <f t="shared" si="144"/>
        <v>0</v>
      </c>
      <c r="K655">
        <f t="shared" si="144"/>
        <v>0</v>
      </c>
      <c r="L655">
        <f t="shared" si="144"/>
        <v>0</v>
      </c>
      <c r="M655">
        <f t="shared" si="144"/>
        <v>0</v>
      </c>
      <c r="N655">
        <f t="shared" si="144"/>
        <v>0</v>
      </c>
      <c r="O655">
        <f t="shared" si="144"/>
        <v>0</v>
      </c>
      <c r="P655">
        <f t="shared" si="144"/>
        <v>0</v>
      </c>
      <c r="Q655">
        <f t="shared" si="144"/>
        <v>0</v>
      </c>
      <c r="R655">
        <f t="shared" si="144"/>
        <v>0</v>
      </c>
      <c r="S655">
        <f t="shared" si="144"/>
        <v>0</v>
      </c>
      <c r="T655">
        <f t="shared" si="144"/>
        <v>0</v>
      </c>
      <c r="U655">
        <f t="shared" si="144"/>
        <v>0</v>
      </c>
      <c r="V655">
        <f t="shared" si="144"/>
        <v>0</v>
      </c>
      <c r="W655">
        <f t="shared" si="144"/>
        <v>0</v>
      </c>
      <c r="X655">
        <f t="shared" si="144"/>
        <v>0</v>
      </c>
      <c r="Y655">
        <f t="shared" si="143"/>
        <v>0</v>
      </c>
      <c r="Z655">
        <f t="shared" si="143"/>
        <v>0</v>
      </c>
      <c r="AA655">
        <f t="shared" si="143"/>
        <v>0</v>
      </c>
      <c r="AB655">
        <f t="shared" si="143"/>
        <v>0</v>
      </c>
      <c r="AC655">
        <f t="shared" si="143"/>
        <v>0</v>
      </c>
      <c r="AD655">
        <f t="shared" si="143"/>
        <v>0</v>
      </c>
      <c r="AE655">
        <f t="shared" si="143"/>
        <v>0</v>
      </c>
      <c r="AF655">
        <f t="shared" si="143"/>
        <v>0</v>
      </c>
      <c r="AG655">
        <f t="shared" si="143"/>
        <v>0</v>
      </c>
      <c r="AH655">
        <f t="shared" si="143"/>
        <v>0</v>
      </c>
      <c r="AI655">
        <f t="shared" si="143"/>
        <v>0</v>
      </c>
      <c r="AJ655">
        <f t="shared" si="143"/>
        <v>0</v>
      </c>
      <c r="AK655">
        <f t="shared" si="143"/>
        <v>0</v>
      </c>
      <c r="AL655">
        <f t="shared" si="143"/>
        <v>0</v>
      </c>
      <c r="AM655">
        <f t="shared" si="143"/>
        <v>0</v>
      </c>
      <c r="AN655">
        <f t="shared" si="140"/>
        <v>0</v>
      </c>
      <c r="AO655">
        <f t="shared" si="140"/>
        <v>0</v>
      </c>
      <c r="AP655">
        <f t="shared" si="140"/>
        <v>0</v>
      </c>
      <c r="AQ655">
        <f t="shared" si="140"/>
        <v>0</v>
      </c>
      <c r="AR655">
        <f t="shared" si="140"/>
        <v>0</v>
      </c>
    </row>
    <row r="656" spans="5:44" x14ac:dyDescent="0.2">
      <c r="E656" s="1">
        <f>moment_rate!$AC656</f>
        <v>7.4493433161470389E-3</v>
      </c>
      <c r="F656" s="1">
        <f t="shared" si="141"/>
        <v>0</v>
      </c>
      <c r="G656">
        <f>moment_rate!I656-0.005</f>
        <v>6.4899999999999061</v>
      </c>
      <c r="H656" s="1">
        <f t="shared" si="142"/>
        <v>0</v>
      </c>
      <c r="I656">
        <f t="shared" si="144"/>
        <v>0</v>
      </c>
      <c r="J656">
        <f t="shared" si="144"/>
        <v>0</v>
      </c>
      <c r="K656">
        <f t="shared" si="144"/>
        <v>0</v>
      </c>
      <c r="L656">
        <f t="shared" si="144"/>
        <v>0</v>
      </c>
      <c r="M656">
        <f t="shared" si="144"/>
        <v>0</v>
      </c>
      <c r="N656">
        <f t="shared" si="144"/>
        <v>0</v>
      </c>
      <c r="O656">
        <f t="shared" si="144"/>
        <v>0</v>
      </c>
      <c r="P656">
        <f t="shared" si="144"/>
        <v>0</v>
      </c>
      <c r="Q656">
        <f t="shared" si="144"/>
        <v>0</v>
      </c>
      <c r="R656">
        <f t="shared" si="144"/>
        <v>0</v>
      </c>
      <c r="S656">
        <f t="shared" si="144"/>
        <v>0</v>
      </c>
      <c r="T656">
        <f t="shared" si="144"/>
        <v>0</v>
      </c>
      <c r="U656">
        <f t="shared" si="144"/>
        <v>0</v>
      </c>
      <c r="V656">
        <f t="shared" si="144"/>
        <v>0</v>
      </c>
      <c r="W656">
        <f t="shared" si="144"/>
        <v>0</v>
      </c>
      <c r="X656">
        <f t="shared" si="144"/>
        <v>0</v>
      </c>
      <c r="Y656">
        <f t="shared" si="143"/>
        <v>0</v>
      </c>
      <c r="Z656">
        <f t="shared" si="143"/>
        <v>0</v>
      </c>
      <c r="AA656">
        <f t="shared" si="143"/>
        <v>0</v>
      </c>
      <c r="AB656">
        <f t="shared" si="143"/>
        <v>0</v>
      </c>
      <c r="AC656">
        <f t="shared" si="143"/>
        <v>0</v>
      </c>
      <c r="AD656">
        <f t="shared" si="143"/>
        <v>0</v>
      </c>
      <c r="AE656">
        <f t="shared" si="143"/>
        <v>0</v>
      </c>
      <c r="AF656">
        <f t="shared" si="143"/>
        <v>0</v>
      </c>
      <c r="AG656">
        <f t="shared" si="143"/>
        <v>0</v>
      </c>
      <c r="AH656">
        <f t="shared" si="143"/>
        <v>0</v>
      </c>
      <c r="AI656">
        <f t="shared" si="143"/>
        <v>0</v>
      </c>
      <c r="AJ656">
        <f t="shared" si="143"/>
        <v>0</v>
      </c>
      <c r="AK656">
        <f t="shared" si="143"/>
        <v>0</v>
      </c>
      <c r="AL656">
        <f t="shared" si="143"/>
        <v>0</v>
      </c>
      <c r="AM656">
        <f t="shared" si="143"/>
        <v>0</v>
      </c>
      <c r="AN656">
        <f t="shared" si="140"/>
        <v>0</v>
      </c>
      <c r="AO656">
        <f t="shared" si="140"/>
        <v>0</v>
      </c>
      <c r="AP656">
        <f t="shared" si="140"/>
        <v>0</v>
      </c>
      <c r="AQ656">
        <f t="shared" si="140"/>
        <v>0</v>
      </c>
      <c r="AR656">
        <f t="shared" si="140"/>
        <v>0</v>
      </c>
    </row>
    <row r="657" spans="5:44" x14ac:dyDescent="0.2">
      <c r="E657" s="1">
        <f>moment_rate!$AC657</f>
        <v>7.4493433161470389E-3</v>
      </c>
      <c r="F657" s="1">
        <f t="shared" si="141"/>
        <v>0</v>
      </c>
      <c r="G657">
        <f>moment_rate!I657-0.005</f>
        <v>6.4999999999999059</v>
      </c>
      <c r="H657" s="1">
        <f t="shared" si="142"/>
        <v>0</v>
      </c>
      <c r="I657">
        <f t="shared" si="144"/>
        <v>0</v>
      </c>
      <c r="J657">
        <f t="shared" si="144"/>
        <v>0</v>
      </c>
      <c r="K657">
        <f t="shared" si="144"/>
        <v>0</v>
      </c>
      <c r="L657">
        <f t="shared" si="144"/>
        <v>0</v>
      </c>
      <c r="M657">
        <f t="shared" si="144"/>
        <v>0</v>
      </c>
      <c r="N657">
        <f t="shared" si="144"/>
        <v>0</v>
      </c>
      <c r="O657">
        <f t="shared" si="144"/>
        <v>0</v>
      </c>
      <c r="P657">
        <f t="shared" si="144"/>
        <v>0</v>
      </c>
      <c r="Q657">
        <f t="shared" si="144"/>
        <v>0</v>
      </c>
      <c r="R657">
        <f t="shared" si="144"/>
        <v>0</v>
      </c>
      <c r="S657">
        <f t="shared" si="144"/>
        <v>0</v>
      </c>
      <c r="T657">
        <f t="shared" si="144"/>
        <v>0</v>
      </c>
      <c r="U657">
        <f t="shared" si="144"/>
        <v>0</v>
      </c>
      <c r="V657">
        <f t="shared" si="144"/>
        <v>0</v>
      </c>
      <c r="W657">
        <f t="shared" si="144"/>
        <v>0</v>
      </c>
      <c r="X657">
        <f t="shared" si="144"/>
        <v>0</v>
      </c>
      <c r="Y657">
        <f t="shared" si="143"/>
        <v>0</v>
      </c>
      <c r="Z657">
        <f t="shared" si="143"/>
        <v>0</v>
      </c>
      <c r="AA657">
        <f t="shared" si="143"/>
        <v>0</v>
      </c>
      <c r="AB657">
        <f t="shared" si="143"/>
        <v>0</v>
      </c>
      <c r="AC657">
        <f t="shared" si="143"/>
        <v>0</v>
      </c>
      <c r="AD657">
        <f t="shared" si="143"/>
        <v>0</v>
      </c>
      <c r="AE657">
        <f t="shared" si="143"/>
        <v>0</v>
      </c>
      <c r="AF657">
        <f t="shared" si="143"/>
        <v>0</v>
      </c>
      <c r="AG657">
        <f t="shared" si="143"/>
        <v>0</v>
      </c>
      <c r="AH657">
        <f t="shared" si="143"/>
        <v>0</v>
      </c>
      <c r="AI657">
        <f t="shared" si="143"/>
        <v>0</v>
      </c>
      <c r="AJ657">
        <f t="shared" si="143"/>
        <v>0</v>
      </c>
      <c r="AK657">
        <f t="shared" si="143"/>
        <v>0</v>
      </c>
      <c r="AL657">
        <f t="shared" si="143"/>
        <v>0</v>
      </c>
      <c r="AM657">
        <f t="shared" si="143"/>
        <v>0</v>
      </c>
      <c r="AN657">
        <f t="shared" ref="AI657:AR695" si="145">IF(AND($G657&gt;=AN$3,$G657&lt;AN$4),$F657,0)</f>
        <v>0</v>
      </c>
      <c r="AO657">
        <f t="shared" si="145"/>
        <v>0</v>
      </c>
      <c r="AP657">
        <f t="shared" si="145"/>
        <v>0</v>
      </c>
      <c r="AQ657">
        <f t="shared" si="145"/>
        <v>0</v>
      </c>
      <c r="AR657">
        <f t="shared" si="145"/>
        <v>0</v>
      </c>
    </row>
    <row r="658" spans="5:44" x14ac:dyDescent="0.2">
      <c r="E658" s="1">
        <f>moment_rate!$AC658</f>
        <v>7.4493433161470389E-3</v>
      </c>
      <c r="F658" s="1">
        <f t="shared" si="141"/>
        <v>0</v>
      </c>
      <c r="G658">
        <f>moment_rate!I658-0.005</f>
        <v>6.5099999999999056</v>
      </c>
      <c r="H658" s="1">
        <f t="shared" si="142"/>
        <v>0</v>
      </c>
      <c r="I658">
        <f t="shared" si="144"/>
        <v>0</v>
      </c>
      <c r="J658">
        <f t="shared" si="144"/>
        <v>0</v>
      </c>
      <c r="K658">
        <f t="shared" si="144"/>
        <v>0</v>
      </c>
      <c r="L658">
        <f t="shared" si="144"/>
        <v>0</v>
      </c>
      <c r="M658">
        <f t="shared" si="144"/>
        <v>0</v>
      </c>
      <c r="N658">
        <f t="shared" si="144"/>
        <v>0</v>
      </c>
      <c r="O658">
        <f t="shared" si="144"/>
        <v>0</v>
      </c>
      <c r="P658">
        <f t="shared" si="144"/>
        <v>0</v>
      </c>
      <c r="Q658">
        <f t="shared" si="144"/>
        <v>0</v>
      </c>
      <c r="R658">
        <f t="shared" si="144"/>
        <v>0</v>
      </c>
      <c r="S658">
        <f t="shared" si="144"/>
        <v>0</v>
      </c>
      <c r="T658">
        <f t="shared" si="144"/>
        <v>0</v>
      </c>
      <c r="U658">
        <f t="shared" si="144"/>
        <v>0</v>
      </c>
      <c r="V658">
        <f t="shared" si="144"/>
        <v>0</v>
      </c>
      <c r="W658">
        <f t="shared" si="144"/>
        <v>0</v>
      </c>
      <c r="X658">
        <f t="shared" si="144"/>
        <v>0</v>
      </c>
      <c r="Y658">
        <f t="shared" si="143"/>
        <v>0</v>
      </c>
      <c r="Z658">
        <f t="shared" si="143"/>
        <v>0</v>
      </c>
      <c r="AA658">
        <f t="shared" si="143"/>
        <v>0</v>
      </c>
      <c r="AB658">
        <f t="shared" si="143"/>
        <v>0</v>
      </c>
      <c r="AC658">
        <f t="shared" si="143"/>
        <v>0</v>
      </c>
      <c r="AD658">
        <f t="shared" si="143"/>
        <v>0</v>
      </c>
      <c r="AE658">
        <f t="shared" si="143"/>
        <v>0</v>
      </c>
      <c r="AF658">
        <f t="shared" si="143"/>
        <v>0</v>
      </c>
      <c r="AG658">
        <f t="shared" si="143"/>
        <v>0</v>
      </c>
      <c r="AH658">
        <f t="shared" si="143"/>
        <v>0</v>
      </c>
      <c r="AI658">
        <f t="shared" si="145"/>
        <v>0</v>
      </c>
      <c r="AJ658">
        <f t="shared" si="145"/>
        <v>0</v>
      </c>
      <c r="AK658">
        <f t="shared" si="145"/>
        <v>0</v>
      </c>
      <c r="AL658">
        <f t="shared" si="145"/>
        <v>0</v>
      </c>
      <c r="AM658">
        <f t="shared" si="145"/>
        <v>0</v>
      </c>
      <c r="AN658">
        <f t="shared" si="145"/>
        <v>0</v>
      </c>
      <c r="AO658">
        <f t="shared" si="145"/>
        <v>0</v>
      </c>
      <c r="AP658">
        <f t="shared" si="145"/>
        <v>0</v>
      </c>
      <c r="AQ658">
        <f t="shared" si="145"/>
        <v>0</v>
      </c>
      <c r="AR658">
        <f t="shared" si="145"/>
        <v>0</v>
      </c>
    </row>
    <row r="659" spans="5:44" x14ac:dyDescent="0.2">
      <c r="E659" s="1">
        <f>moment_rate!$AC659</f>
        <v>7.4493433161470389E-3</v>
      </c>
      <c r="F659" s="1">
        <f t="shared" si="141"/>
        <v>0</v>
      </c>
      <c r="G659">
        <f>moment_rate!I659-0.005</f>
        <v>6.5199999999999054</v>
      </c>
      <c r="H659" s="1">
        <f t="shared" si="142"/>
        <v>0</v>
      </c>
      <c r="I659">
        <f t="shared" si="144"/>
        <v>0</v>
      </c>
      <c r="J659">
        <f t="shared" si="144"/>
        <v>0</v>
      </c>
      <c r="K659">
        <f t="shared" si="144"/>
        <v>0</v>
      </c>
      <c r="L659">
        <f t="shared" si="144"/>
        <v>0</v>
      </c>
      <c r="M659">
        <f t="shared" si="144"/>
        <v>0</v>
      </c>
      <c r="N659">
        <f t="shared" si="144"/>
        <v>0</v>
      </c>
      <c r="O659">
        <f t="shared" si="144"/>
        <v>0</v>
      </c>
      <c r="P659">
        <f t="shared" si="144"/>
        <v>0</v>
      </c>
      <c r="Q659">
        <f t="shared" si="144"/>
        <v>0</v>
      </c>
      <c r="R659">
        <f t="shared" si="144"/>
        <v>0</v>
      </c>
      <c r="S659">
        <f t="shared" si="144"/>
        <v>0</v>
      </c>
      <c r="T659">
        <f t="shared" si="144"/>
        <v>0</v>
      </c>
      <c r="U659">
        <f t="shared" si="144"/>
        <v>0</v>
      </c>
      <c r="V659">
        <f t="shared" si="144"/>
        <v>0</v>
      </c>
      <c r="W659">
        <f t="shared" si="144"/>
        <v>0</v>
      </c>
      <c r="X659">
        <f t="shared" si="144"/>
        <v>0</v>
      </c>
      <c r="Y659">
        <f t="shared" si="143"/>
        <v>0</v>
      </c>
      <c r="Z659">
        <f t="shared" si="143"/>
        <v>0</v>
      </c>
      <c r="AA659">
        <f t="shared" si="143"/>
        <v>0</v>
      </c>
      <c r="AB659">
        <f t="shared" si="143"/>
        <v>0</v>
      </c>
      <c r="AC659">
        <f t="shared" si="143"/>
        <v>0</v>
      </c>
      <c r="AD659">
        <f t="shared" si="143"/>
        <v>0</v>
      </c>
      <c r="AE659">
        <f t="shared" si="143"/>
        <v>0</v>
      </c>
      <c r="AF659">
        <f t="shared" si="143"/>
        <v>0</v>
      </c>
      <c r="AG659">
        <f t="shared" si="143"/>
        <v>0</v>
      </c>
      <c r="AH659">
        <f t="shared" si="143"/>
        <v>0</v>
      </c>
      <c r="AI659">
        <f t="shared" si="145"/>
        <v>0</v>
      </c>
      <c r="AJ659">
        <f t="shared" si="145"/>
        <v>0</v>
      </c>
      <c r="AK659">
        <f t="shared" si="145"/>
        <v>0</v>
      </c>
      <c r="AL659">
        <f t="shared" si="145"/>
        <v>0</v>
      </c>
      <c r="AM659">
        <f t="shared" si="145"/>
        <v>0</v>
      </c>
      <c r="AN659">
        <f t="shared" si="145"/>
        <v>0</v>
      </c>
      <c r="AO659">
        <f t="shared" si="145"/>
        <v>0</v>
      </c>
      <c r="AP659">
        <f t="shared" si="145"/>
        <v>0</v>
      </c>
      <c r="AQ659">
        <f t="shared" si="145"/>
        <v>0</v>
      </c>
      <c r="AR659">
        <f t="shared" si="145"/>
        <v>0</v>
      </c>
    </row>
    <row r="660" spans="5:44" x14ac:dyDescent="0.2">
      <c r="E660" s="1">
        <f>moment_rate!$AC660</f>
        <v>7.4493433161470389E-3</v>
      </c>
      <c r="F660" s="1">
        <f t="shared" si="141"/>
        <v>0</v>
      </c>
      <c r="G660">
        <f>moment_rate!I660-0.005</f>
        <v>6.5299999999999052</v>
      </c>
      <c r="H660" s="1">
        <f t="shared" si="142"/>
        <v>0</v>
      </c>
      <c r="I660">
        <f t="shared" si="144"/>
        <v>0</v>
      </c>
      <c r="J660">
        <f t="shared" si="144"/>
        <v>0</v>
      </c>
      <c r="K660">
        <f t="shared" si="144"/>
        <v>0</v>
      </c>
      <c r="L660">
        <f t="shared" si="144"/>
        <v>0</v>
      </c>
      <c r="M660">
        <f t="shared" si="144"/>
        <v>0</v>
      </c>
      <c r="N660">
        <f t="shared" si="144"/>
        <v>0</v>
      </c>
      <c r="O660">
        <f t="shared" si="144"/>
        <v>0</v>
      </c>
      <c r="P660">
        <f t="shared" si="144"/>
        <v>0</v>
      </c>
      <c r="Q660">
        <f t="shared" si="144"/>
        <v>0</v>
      </c>
      <c r="R660">
        <f t="shared" si="144"/>
        <v>0</v>
      </c>
      <c r="S660">
        <f t="shared" si="144"/>
        <v>0</v>
      </c>
      <c r="T660">
        <f t="shared" si="144"/>
        <v>0</v>
      </c>
      <c r="U660">
        <f t="shared" si="144"/>
        <v>0</v>
      </c>
      <c r="V660">
        <f t="shared" si="144"/>
        <v>0</v>
      </c>
      <c r="W660">
        <f t="shared" si="144"/>
        <v>0</v>
      </c>
      <c r="X660">
        <f t="shared" si="144"/>
        <v>0</v>
      </c>
      <c r="Y660">
        <f t="shared" si="143"/>
        <v>0</v>
      </c>
      <c r="Z660">
        <f t="shared" si="143"/>
        <v>0</v>
      </c>
      <c r="AA660">
        <f t="shared" si="143"/>
        <v>0</v>
      </c>
      <c r="AB660">
        <f t="shared" si="143"/>
        <v>0</v>
      </c>
      <c r="AC660">
        <f t="shared" si="143"/>
        <v>0</v>
      </c>
      <c r="AD660">
        <f t="shared" si="143"/>
        <v>0</v>
      </c>
      <c r="AE660">
        <f t="shared" si="143"/>
        <v>0</v>
      </c>
      <c r="AF660">
        <f t="shared" si="143"/>
        <v>0</v>
      </c>
      <c r="AG660">
        <f t="shared" si="143"/>
        <v>0</v>
      </c>
      <c r="AH660">
        <f t="shared" si="143"/>
        <v>0</v>
      </c>
      <c r="AI660">
        <f t="shared" si="145"/>
        <v>0</v>
      </c>
      <c r="AJ660">
        <f t="shared" si="145"/>
        <v>0</v>
      </c>
      <c r="AK660">
        <f t="shared" si="145"/>
        <v>0</v>
      </c>
      <c r="AL660">
        <f t="shared" si="145"/>
        <v>0</v>
      </c>
      <c r="AM660">
        <f t="shared" si="145"/>
        <v>0</v>
      </c>
      <c r="AN660">
        <f t="shared" si="145"/>
        <v>0</v>
      </c>
      <c r="AO660">
        <f t="shared" si="145"/>
        <v>0</v>
      </c>
      <c r="AP660">
        <f t="shared" si="145"/>
        <v>0</v>
      </c>
      <c r="AQ660">
        <f t="shared" si="145"/>
        <v>0</v>
      </c>
      <c r="AR660">
        <f t="shared" si="145"/>
        <v>0</v>
      </c>
    </row>
    <row r="661" spans="5:44" x14ac:dyDescent="0.2">
      <c r="E661" s="1">
        <f>moment_rate!$AC661</f>
        <v>7.4493433161470389E-3</v>
      </c>
      <c r="F661" s="1">
        <f t="shared" si="141"/>
        <v>0</v>
      </c>
      <c r="G661">
        <f>moment_rate!I661-0.005</f>
        <v>6.539999999999905</v>
      </c>
      <c r="H661" s="1">
        <f t="shared" si="142"/>
        <v>0</v>
      </c>
      <c r="I661">
        <f t="shared" si="144"/>
        <v>0</v>
      </c>
      <c r="J661">
        <f t="shared" si="144"/>
        <v>0</v>
      </c>
      <c r="K661">
        <f t="shared" si="144"/>
        <v>0</v>
      </c>
      <c r="L661">
        <f t="shared" si="144"/>
        <v>0</v>
      </c>
      <c r="M661">
        <f t="shared" si="144"/>
        <v>0</v>
      </c>
      <c r="N661">
        <f t="shared" si="144"/>
        <v>0</v>
      </c>
      <c r="O661">
        <f t="shared" si="144"/>
        <v>0</v>
      </c>
      <c r="P661">
        <f t="shared" si="144"/>
        <v>0</v>
      </c>
      <c r="Q661">
        <f t="shared" si="144"/>
        <v>0</v>
      </c>
      <c r="R661">
        <f t="shared" si="144"/>
        <v>0</v>
      </c>
      <c r="S661">
        <f t="shared" si="144"/>
        <v>0</v>
      </c>
      <c r="T661">
        <f t="shared" si="144"/>
        <v>0</v>
      </c>
      <c r="U661">
        <f t="shared" si="144"/>
        <v>0</v>
      </c>
      <c r="V661">
        <f t="shared" si="144"/>
        <v>0</v>
      </c>
      <c r="W661">
        <f t="shared" si="144"/>
        <v>0</v>
      </c>
      <c r="X661">
        <f t="shared" si="144"/>
        <v>0</v>
      </c>
      <c r="Y661">
        <f t="shared" si="143"/>
        <v>0</v>
      </c>
      <c r="Z661">
        <f t="shared" si="143"/>
        <v>0</v>
      </c>
      <c r="AA661">
        <f t="shared" si="143"/>
        <v>0</v>
      </c>
      <c r="AB661">
        <f t="shared" si="143"/>
        <v>0</v>
      </c>
      <c r="AC661">
        <f t="shared" si="143"/>
        <v>0</v>
      </c>
      <c r="AD661">
        <f t="shared" si="143"/>
        <v>0</v>
      </c>
      <c r="AE661">
        <f t="shared" si="143"/>
        <v>0</v>
      </c>
      <c r="AF661">
        <f t="shared" si="143"/>
        <v>0</v>
      </c>
      <c r="AG661">
        <f t="shared" si="143"/>
        <v>0</v>
      </c>
      <c r="AH661">
        <f t="shared" si="143"/>
        <v>0</v>
      </c>
      <c r="AI661">
        <f t="shared" si="145"/>
        <v>0</v>
      </c>
      <c r="AJ661">
        <f t="shared" si="145"/>
        <v>0</v>
      </c>
      <c r="AK661">
        <f t="shared" si="145"/>
        <v>0</v>
      </c>
      <c r="AL661">
        <f t="shared" si="145"/>
        <v>0</v>
      </c>
      <c r="AM661">
        <f t="shared" si="145"/>
        <v>0</v>
      </c>
      <c r="AN661">
        <f t="shared" si="145"/>
        <v>0</v>
      </c>
      <c r="AO661">
        <f t="shared" si="145"/>
        <v>0</v>
      </c>
      <c r="AP661">
        <f t="shared" si="145"/>
        <v>0</v>
      </c>
      <c r="AQ661">
        <f t="shared" si="145"/>
        <v>0</v>
      </c>
      <c r="AR661">
        <f t="shared" si="145"/>
        <v>0</v>
      </c>
    </row>
    <row r="662" spans="5:44" x14ac:dyDescent="0.2">
      <c r="E662" s="1">
        <f>moment_rate!$AC662</f>
        <v>7.4493433161470389E-3</v>
      </c>
      <c r="F662" s="1">
        <f t="shared" si="141"/>
        <v>0</v>
      </c>
      <c r="G662">
        <f>moment_rate!I662-0.005</f>
        <v>6.5499999999999048</v>
      </c>
      <c r="H662" s="1">
        <f t="shared" si="142"/>
        <v>0</v>
      </c>
      <c r="I662">
        <f t="shared" si="144"/>
        <v>0</v>
      </c>
      <c r="J662">
        <f t="shared" si="144"/>
        <v>0</v>
      </c>
      <c r="K662">
        <f t="shared" si="144"/>
        <v>0</v>
      </c>
      <c r="L662">
        <f t="shared" si="144"/>
        <v>0</v>
      </c>
      <c r="M662">
        <f t="shared" si="144"/>
        <v>0</v>
      </c>
      <c r="N662">
        <f t="shared" si="144"/>
        <v>0</v>
      </c>
      <c r="O662">
        <f t="shared" si="144"/>
        <v>0</v>
      </c>
      <c r="P662">
        <f t="shared" si="144"/>
        <v>0</v>
      </c>
      <c r="Q662">
        <f t="shared" si="144"/>
        <v>0</v>
      </c>
      <c r="R662">
        <f t="shared" si="144"/>
        <v>0</v>
      </c>
      <c r="S662">
        <f t="shared" si="144"/>
        <v>0</v>
      </c>
      <c r="T662">
        <f t="shared" si="144"/>
        <v>0</v>
      </c>
      <c r="U662">
        <f t="shared" si="144"/>
        <v>0</v>
      </c>
      <c r="V662">
        <f t="shared" si="144"/>
        <v>0</v>
      </c>
      <c r="W662">
        <f t="shared" si="144"/>
        <v>0</v>
      </c>
      <c r="X662">
        <f t="shared" si="144"/>
        <v>0</v>
      </c>
      <c r="Y662">
        <f t="shared" si="143"/>
        <v>0</v>
      </c>
      <c r="Z662">
        <f t="shared" si="143"/>
        <v>0</v>
      </c>
      <c r="AA662">
        <f t="shared" si="143"/>
        <v>0</v>
      </c>
      <c r="AB662">
        <f t="shared" si="143"/>
        <v>0</v>
      </c>
      <c r="AC662">
        <f t="shared" si="143"/>
        <v>0</v>
      </c>
      <c r="AD662">
        <f t="shared" si="143"/>
        <v>0</v>
      </c>
      <c r="AE662">
        <f t="shared" si="143"/>
        <v>0</v>
      </c>
      <c r="AF662">
        <f t="shared" si="143"/>
        <v>0</v>
      </c>
      <c r="AG662">
        <f t="shared" si="143"/>
        <v>0</v>
      </c>
      <c r="AH662">
        <f t="shared" si="143"/>
        <v>0</v>
      </c>
      <c r="AI662">
        <f t="shared" si="143"/>
        <v>0</v>
      </c>
      <c r="AJ662">
        <f t="shared" si="143"/>
        <v>0</v>
      </c>
      <c r="AK662">
        <f t="shared" si="143"/>
        <v>0</v>
      </c>
      <c r="AL662">
        <f t="shared" si="143"/>
        <v>0</v>
      </c>
      <c r="AM662">
        <f t="shared" si="143"/>
        <v>0</v>
      </c>
      <c r="AN662">
        <f t="shared" si="145"/>
        <v>0</v>
      </c>
      <c r="AO662">
        <f t="shared" si="145"/>
        <v>0</v>
      </c>
      <c r="AP662">
        <f t="shared" si="145"/>
        <v>0</v>
      </c>
      <c r="AQ662">
        <f t="shared" si="145"/>
        <v>0</v>
      </c>
      <c r="AR662">
        <f t="shared" si="145"/>
        <v>0</v>
      </c>
    </row>
    <row r="663" spans="5:44" x14ac:dyDescent="0.2">
      <c r="E663" s="1">
        <f>moment_rate!$AC663</f>
        <v>7.4493433161470389E-3</v>
      </c>
      <c r="F663" s="1">
        <f t="shared" si="141"/>
        <v>0</v>
      </c>
      <c r="G663">
        <f>moment_rate!I663-0.005</f>
        <v>6.5599999999999046</v>
      </c>
      <c r="H663" s="1">
        <f t="shared" si="142"/>
        <v>0</v>
      </c>
      <c r="I663">
        <f t="shared" si="144"/>
        <v>0</v>
      </c>
      <c r="J663">
        <f t="shared" si="144"/>
        <v>0</v>
      </c>
      <c r="K663">
        <f t="shared" si="144"/>
        <v>0</v>
      </c>
      <c r="L663">
        <f t="shared" si="144"/>
        <v>0</v>
      </c>
      <c r="M663">
        <f t="shared" si="144"/>
        <v>0</v>
      </c>
      <c r="N663">
        <f t="shared" si="144"/>
        <v>0</v>
      </c>
      <c r="O663">
        <f t="shared" si="144"/>
        <v>0</v>
      </c>
      <c r="P663">
        <f t="shared" si="144"/>
        <v>0</v>
      </c>
      <c r="Q663">
        <f t="shared" si="144"/>
        <v>0</v>
      </c>
      <c r="R663">
        <f t="shared" si="144"/>
        <v>0</v>
      </c>
      <c r="S663">
        <f t="shared" si="144"/>
        <v>0</v>
      </c>
      <c r="T663">
        <f t="shared" si="144"/>
        <v>0</v>
      </c>
      <c r="U663">
        <f t="shared" si="144"/>
        <v>0</v>
      </c>
      <c r="V663">
        <f t="shared" si="144"/>
        <v>0</v>
      </c>
      <c r="W663">
        <f t="shared" si="144"/>
        <v>0</v>
      </c>
      <c r="X663">
        <f t="shared" si="144"/>
        <v>0</v>
      </c>
      <c r="Y663">
        <f t="shared" si="143"/>
        <v>0</v>
      </c>
      <c r="Z663">
        <f t="shared" si="143"/>
        <v>0</v>
      </c>
      <c r="AA663">
        <f t="shared" si="143"/>
        <v>0</v>
      </c>
      <c r="AB663">
        <f t="shared" si="143"/>
        <v>0</v>
      </c>
      <c r="AC663">
        <f t="shared" si="143"/>
        <v>0</v>
      </c>
      <c r="AD663">
        <f t="shared" si="143"/>
        <v>0</v>
      </c>
      <c r="AE663">
        <f t="shared" si="143"/>
        <v>0</v>
      </c>
      <c r="AF663">
        <f t="shared" si="143"/>
        <v>0</v>
      </c>
      <c r="AG663">
        <f t="shared" si="143"/>
        <v>0</v>
      </c>
      <c r="AH663">
        <f t="shared" si="143"/>
        <v>0</v>
      </c>
      <c r="AI663">
        <f t="shared" si="143"/>
        <v>0</v>
      </c>
      <c r="AJ663">
        <f t="shared" si="143"/>
        <v>0</v>
      </c>
      <c r="AK663">
        <f t="shared" si="143"/>
        <v>0</v>
      </c>
      <c r="AL663">
        <f t="shared" si="143"/>
        <v>0</v>
      </c>
      <c r="AM663">
        <f t="shared" si="143"/>
        <v>0</v>
      </c>
      <c r="AN663">
        <f t="shared" si="145"/>
        <v>0</v>
      </c>
      <c r="AO663">
        <f t="shared" si="145"/>
        <v>0</v>
      </c>
      <c r="AP663">
        <f t="shared" si="145"/>
        <v>0</v>
      </c>
      <c r="AQ663">
        <f t="shared" si="145"/>
        <v>0</v>
      </c>
      <c r="AR663">
        <f t="shared" si="145"/>
        <v>0</v>
      </c>
    </row>
    <row r="664" spans="5:44" x14ac:dyDescent="0.2">
      <c r="E664" s="1">
        <f>moment_rate!$AC664</f>
        <v>7.4493433161470389E-3</v>
      </c>
      <c r="F664" s="1">
        <f t="shared" si="141"/>
        <v>0</v>
      </c>
      <c r="G664">
        <f>moment_rate!I664-0.005</f>
        <v>6.5699999999999044</v>
      </c>
      <c r="H664" s="1">
        <f t="shared" si="142"/>
        <v>0</v>
      </c>
      <c r="I664">
        <f t="shared" si="144"/>
        <v>0</v>
      </c>
      <c r="J664">
        <f t="shared" si="144"/>
        <v>0</v>
      </c>
      <c r="K664">
        <f t="shared" si="144"/>
        <v>0</v>
      </c>
      <c r="L664">
        <f t="shared" si="144"/>
        <v>0</v>
      </c>
      <c r="M664">
        <f t="shared" si="144"/>
        <v>0</v>
      </c>
      <c r="N664">
        <f t="shared" si="144"/>
        <v>0</v>
      </c>
      <c r="O664">
        <f t="shared" si="144"/>
        <v>0</v>
      </c>
      <c r="P664">
        <f t="shared" si="144"/>
        <v>0</v>
      </c>
      <c r="Q664">
        <f t="shared" si="144"/>
        <v>0</v>
      </c>
      <c r="R664">
        <f t="shared" si="144"/>
        <v>0</v>
      </c>
      <c r="S664">
        <f t="shared" si="144"/>
        <v>0</v>
      </c>
      <c r="T664">
        <f t="shared" si="144"/>
        <v>0</v>
      </c>
      <c r="U664">
        <f t="shared" si="144"/>
        <v>0</v>
      </c>
      <c r="V664">
        <f t="shared" si="144"/>
        <v>0</v>
      </c>
      <c r="W664">
        <f t="shared" si="144"/>
        <v>0</v>
      </c>
      <c r="X664">
        <f t="shared" si="144"/>
        <v>0</v>
      </c>
      <c r="Y664">
        <f t="shared" si="143"/>
        <v>0</v>
      </c>
      <c r="Z664">
        <f t="shared" si="143"/>
        <v>0</v>
      </c>
      <c r="AA664">
        <f t="shared" si="143"/>
        <v>0</v>
      </c>
      <c r="AB664">
        <f t="shared" si="143"/>
        <v>0</v>
      </c>
      <c r="AC664">
        <f t="shared" si="143"/>
        <v>0</v>
      </c>
      <c r="AD664">
        <f t="shared" si="143"/>
        <v>0</v>
      </c>
      <c r="AE664">
        <f t="shared" si="143"/>
        <v>0</v>
      </c>
      <c r="AF664">
        <f t="shared" si="143"/>
        <v>0</v>
      </c>
      <c r="AG664">
        <f t="shared" si="143"/>
        <v>0</v>
      </c>
      <c r="AH664">
        <f t="shared" si="143"/>
        <v>0</v>
      </c>
      <c r="AI664">
        <f t="shared" si="143"/>
        <v>0</v>
      </c>
      <c r="AJ664">
        <f t="shared" si="143"/>
        <v>0</v>
      </c>
      <c r="AK664">
        <f t="shared" si="143"/>
        <v>0</v>
      </c>
      <c r="AL664">
        <f t="shared" si="143"/>
        <v>0</v>
      </c>
      <c r="AM664">
        <f t="shared" si="143"/>
        <v>0</v>
      </c>
      <c r="AN664">
        <f t="shared" si="145"/>
        <v>0</v>
      </c>
      <c r="AO664">
        <f t="shared" si="145"/>
        <v>0</v>
      </c>
      <c r="AP664">
        <f t="shared" si="145"/>
        <v>0</v>
      </c>
      <c r="AQ664">
        <f t="shared" si="145"/>
        <v>0</v>
      </c>
      <c r="AR664">
        <f t="shared" si="145"/>
        <v>0</v>
      </c>
    </row>
    <row r="665" spans="5:44" x14ac:dyDescent="0.2">
      <c r="E665" s="1">
        <f>moment_rate!$AC665</f>
        <v>7.4493433161470389E-3</v>
      </c>
      <c r="F665" s="1">
        <f t="shared" si="141"/>
        <v>0</v>
      </c>
      <c r="G665">
        <f>moment_rate!I665-0.005</f>
        <v>6.5799999999999041</v>
      </c>
      <c r="H665" s="1">
        <f t="shared" si="142"/>
        <v>0</v>
      </c>
      <c r="I665">
        <f t="shared" si="144"/>
        <v>0</v>
      </c>
      <c r="J665">
        <f t="shared" si="144"/>
        <v>0</v>
      </c>
      <c r="K665">
        <f t="shared" si="144"/>
        <v>0</v>
      </c>
      <c r="L665">
        <f t="shared" si="144"/>
        <v>0</v>
      </c>
      <c r="M665">
        <f t="shared" si="144"/>
        <v>0</v>
      </c>
      <c r="N665">
        <f t="shared" si="144"/>
        <v>0</v>
      </c>
      <c r="O665">
        <f t="shared" si="144"/>
        <v>0</v>
      </c>
      <c r="P665">
        <f t="shared" si="144"/>
        <v>0</v>
      </c>
      <c r="Q665">
        <f t="shared" si="144"/>
        <v>0</v>
      </c>
      <c r="R665">
        <f t="shared" si="144"/>
        <v>0</v>
      </c>
      <c r="S665">
        <f t="shared" si="144"/>
        <v>0</v>
      </c>
      <c r="T665">
        <f t="shared" si="144"/>
        <v>0</v>
      </c>
      <c r="U665">
        <f t="shared" si="144"/>
        <v>0</v>
      </c>
      <c r="V665">
        <f t="shared" si="144"/>
        <v>0</v>
      </c>
      <c r="W665">
        <f t="shared" si="144"/>
        <v>0</v>
      </c>
      <c r="X665">
        <f t="shared" si="144"/>
        <v>0</v>
      </c>
      <c r="Y665">
        <f t="shared" si="143"/>
        <v>0</v>
      </c>
      <c r="Z665">
        <f t="shared" si="143"/>
        <v>0</v>
      </c>
      <c r="AA665">
        <f t="shared" si="143"/>
        <v>0</v>
      </c>
      <c r="AB665">
        <f t="shared" si="143"/>
        <v>0</v>
      </c>
      <c r="AC665">
        <f t="shared" si="143"/>
        <v>0</v>
      </c>
      <c r="AD665">
        <f t="shared" si="143"/>
        <v>0</v>
      </c>
      <c r="AE665">
        <f t="shared" si="143"/>
        <v>0</v>
      </c>
      <c r="AF665">
        <f t="shared" si="143"/>
        <v>0</v>
      </c>
      <c r="AG665">
        <f t="shared" si="143"/>
        <v>0</v>
      </c>
      <c r="AH665">
        <f t="shared" si="143"/>
        <v>0</v>
      </c>
      <c r="AI665">
        <f t="shared" si="143"/>
        <v>0</v>
      </c>
      <c r="AJ665">
        <f t="shared" si="143"/>
        <v>0</v>
      </c>
      <c r="AK665">
        <f t="shared" si="143"/>
        <v>0</v>
      </c>
      <c r="AL665">
        <f t="shared" si="143"/>
        <v>0</v>
      </c>
      <c r="AM665">
        <f t="shared" si="143"/>
        <v>0</v>
      </c>
      <c r="AN665">
        <f t="shared" si="145"/>
        <v>0</v>
      </c>
      <c r="AO665">
        <f t="shared" si="145"/>
        <v>0</v>
      </c>
      <c r="AP665">
        <f t="shared" si="145"/>
        <v>0</v>
      </c>
      <c r="AQ665">
        <f t="shared" si="145"/>
        <v>0</v>
      </c>
      <c r="AR665">
        <f t="shared" si="145"/>
        <v>0</v>
      </c>
    </row>
    <row r="666" spans="5:44" x14ac:dyDescent="0.2">
      <c r="E666" s="1">
        <f>moment_rate!$AC666</f>
        <v>7.4493433161470389E-3</v>
      </c>
      <c r="F666" s="1">
        <f t="shared" si="141"/>
        <v>0</v>
      </c>
      <c r="G666">
        <f>moment_rate!I666-0.005</f>
        <v>6.5899999999999039</v>
      </c>
      <c r="H666" s="1">
        <f t="shared" si="142"/>
        <v>0</v>
      </c>
      <c r="I666">
        <f t="shared" si="144"/>
        <v>0</v>
      </c>
      <c r="J666">
        <f t="shared" si="144"/>
        <v>0</v>
      </c>
      <c r="K666">
        <f t="shared" si="144"/>
        <v>0</v>
      </c>
      <c r="L666">
        <f t="shared" si="144"/>
        <v>0</v>
      </c>
      <c r="M666">
        <f t="shared" si="144"/>
        <v>0</v>
      </c>
      <c r="N666">
        <f t="shared" si="144"/>
        <v>0</v>
      </c>
      <c r="O666">
        <f t="shared" si="144"/>
        <v>0</v>
      </c>
      <c r="P666">
        <f t="shared" si="144"/>
        <v>0</v>
      </c>
      <c r="Q666">
        <f t="shared" si="144"/>
        <v>0</v>
      </c>
      <c r="R666">
        <f t="shared" si="144"/>
        <v>0</v>
      </c>
      <c r="S666">
        <f t="shared" si="144"/>
        <v>0</v>
      </c>
      <c r="T666">
        <f t="shared" si="144"/>
        <v>0</v>
      </c>
      <c r="U666">
        <f t="shared" si="144"/>
        <v>0</v>
      </c>
      <c r="V666">
        <f t="shared" si="144"/>
        <v>0</v>
      </c>
      <c r="W666">
        <f t="shared" si="144"/>
        <v>0</v>
      </c>
      <c r="X666">
        <f t="shared" ref="X666:AM685" si="146">IF(AND($G666&gt;=X$3,$G666&lt;X$4),$F666,0)</f>
        <v>0</v>
      </c>
      <c r="Y666">
        <f t="shared" si="146"/>
        <v>0</v>
      </c>
      <c r="Z666">
        <f t="shared" si="146"/>
        <v>0</v>
      </c>
      <c r="AA666">
        <f t="shared" si="146"/>
        <v>0</v>
      </c>
      <c r="AB666">
        <f t="shared" si="146"/>
        <v>0</v>
      </c>
      <c r="AC666">
        <f t="shared" si="146"/>
        <v>0</v>
      </c>
      <c r="AD666">
        <f t="shared" si="146"/>
        <v>0</v>
      </c>
      <c r="AE666">
        <f t="shared" si="146"/>
        <v>0</v>
      </c>
      <c r="AF666">
        <f t="shared" si="146"/>
        <v>0</v>
      </c>
      <c r="AG666">
        <f t="shared" si="146"/>
        <v>0</v>
      </c>
      <c r="AH666">
        <f t="shared" si="146"/>
        <v>0</v>
      </c>
      <c r="AI666">
        <f t="shared" si="146"/>
        <v>0</v>
      </c>
      <c r="AJ666">
        <f t="shared" si="146"/>
        <v>0</v>
      </c>
      <c r="AK666">
        <f t="shared" si="146"/>
        <v>0</v>
      </c>
      <c r="AL666">
        <f t="shared" si="146"/>
        <v>0</v>
      </c>
      <c r="AM666">
        <f t="shared" si="146"/>
        <v>0</v>
      </c>
      <c r="AN666">
        <f t="shared" si="145"/>
        <v>0</v>
      </c>
      <c r="AO666">
        <f t="shared" si="145"/>
        <v>0</v>
      </c>
      <c r="AP666">
        <f t="shared" si="145"/>
        <v>0</v>
      </c>
      <c r="AQ666">
        <f t="shared" si="145"/>
        <v>0</v>
      </c>
      <c r="AR666">
        <f t="shared" si="145"/>
        <v>0</v>
      </c>
    </row>
    <row r="667" spans="5:44" x14ac:dyDescent="0.2">
      <c r="E667" s="1">
        <f>moment_rate!$AC667</f>
        <v>7.4493433161470389E-3</v>
      </c>
      <c r="F667" s="1">
        <f t="shared" si="141"/>
        <v>2.2141245933451383E-5</v>
      </c>
      <c r="G667">
        <f>moment_rate!I667-0.005</f>
        <v>6.5999999999999037</v>
      </c>
      <c r="H667" s="1">
        <f t="shared" si="142"/>
        <v>2.2141245933451383E-5</v>
      </c>
      <c r="I667">
        <f t="shared" ref="I667:X682" si="147">IF(AND($G667&gt;=I$3,$G667&lt;I$4),$F667,0)</f>
        <v>0</v>
      </c>
      <c r="J667">
        <f t="shared" si="147"/>
        <v>0</v>
      </c>
      <c r="K667">
        <f t="shared" si="147"/>
        <v>0</v>
      </c>
      <c r="L667">
        <f t="shared" si="147"/>
        <v>0</v>
      </c>
      <c r="M667">
        <f t="shared" si="147"/>
        <v>0</v>
      </c>
      <c r="N667">
        <f t="shared" si="147"/>
        <v>0</v>
      </c>
      <c r="O667">
        <f t="shared" si="147"/>
        <v>0</v>
      </c>
      <c r="P667">
        <f t="shared" si="147"/>
        <v>0</v>
      </c>
      <c r="Q667">
        <f t="shared" si="147"/>
        <v>0</v>
      </c>
      <c r="R667">
        <f t="shared" si="147"/>
        <v>0</v>
      </c>
      <c r="S667">
        <f t="shared" si="147"/>
        <v>0</v>
      </c>
      <c r="T667">
        <f t="shared" si="147"/>
        <v>0</v>
      </c>
      <c r="U667">
        <f t="shared" si="147"/>
        <v>0</v>
      </c>
      <c r="V667">
        <f t="shared" si="147"/>
        <v>0</v>
      </c>
      <c r="W667">
        <f t="shared" si="147"/>
        <v>0</v>
      </c>
      <c r="X667">
        <f t="shared" si="147"/>
        <v>2.2141245933451383E-5</v>
      </c>
      <c r="Y667">
        <f t="shared" si="146"/>
        <v>0</v>
      </c>
      <c r="Z667">
        <f t="shared" si="146"/>
        <v>0</v>
      </c>
      <c r="AA667">
        <f t="shared" si="146"/>
        <v>0</v>
      </c>
      <c r="AB667">
        <f t="shared" si="146"/>
        <v>0</v>
      </c>
      <c r="AC667">
        <f t="shared" si="146"/>
        <v>0</v>
      </c>
      <c r="AD667">
        <f t="shared" si="146"/>
        <v>0</v>
      </c>
      <c r="AE667">
        <f t="shared" si="146"/>
        <v>0</v>
      </c>
      <c r="AF667">
        <f t="shared" si="146"/>
        <v>0</v>
      </c>
      <c r="AG667">
        <f t="shared" si="146"/>
        <v>0</v>
      </c>
      <c r="AH667">
        <f t="shared" si="146"/>
        <v>0</v>
      </c>
      <c r="AI667">
        <f t="shared" si="146"/>
        <v>0</v>
      </c>
      <c r="AJ667">
        <f t="shared" si="146"/>
        <v>0</v>
      </c>
      <c r="AK667">
        <f t="shared" si="146"/>
        <v>0</v>
      </c>
      <c r="AL667">
        <f t="shared" si="146"/>
        <v>0</v>
      </c>
      <c r="AM667">
        <f t="shared" si="146"/>
        <v>0</v>
      </c>
      <c r="AN667">
        <f t="shared" si="145"/>
        <v>0</v>
      </c>
      <c r="AO667">
        <f t="shared" si="145"/>
        <v>0</v>
      </c>
      <c r="AP667">
        <f t="shared" si="145"/>
        <v>0</v>
      </c>
      <c r="AQ667">
        <f t="shared" si="145"/>
        <v>0</v>
      </c>
      <c r="AR667">
        <f t="shared" si="145"/>
        <v>0</v>
      </c>
    </row>
    <row r="668" spans="5:44" x14ac:dyDescent="0.2">
      <c r="E668" s="1">
        <f>moment_rate!$AC668</f>
        <v>7.4272020702135875E-3</v>
      </c>
      <c r="F668" s="1">
        <f t="shared" si="141"/>
        <v>2.4408762847505719E-5</v>
      </c>
      <c r="G668">
        <f>moment_rate!I668-0.005</f>
        <v>6.6099999999999035</v>
      </c>
      <c r="H668" s="1">
        <f t="shared" si="142"/>
        <v>2.4408762847505719E-5</v>
      </c>
      <c r="I668">
        <f t="shared" si="147"/>
        <v>0</v>
      </c>
      <c r="J668">
        <f t="shared" si="147"/>
        <v>0</v>
      </c>
      <c r="K668">
        <f t="shared" si="147"/>
        <v>0</v>
      </c>
      <c r="L668">
        <f t="shared" si="147"/>
        <v>0</v>
      </c>
      <c r="M668">
        <f t="shared" si="147"/>
        <v>0</v>
      </c>
      <c r="N668">
        <f t="shared" si="147"/>
        <v>0</v>
      </c>
      <c r="O668">
        <f t="shared" si="147"/>
        <v>0</v>
      </c>
      <c r="P668">
        <f t="shared" si="147"/>
        <v>0</v>
      </c>
      <c r="Q668">
        <f t="shared" si="147"/>
        <v>0</v>
      </c>
      <c r="R668">
        <f t="shared" si="147"/>
        <v>0</v>
      </c>
      <c r="S668">
        <f t="shared" si="147"/>
        <v>0</v>
      </c>
      <c r="T668">
        <f t="shared" si="147"/>
        <v>0</v>
      </c>
      <c r="U668">
        <f t="shared" si="147"/>
        <v>0</v>
      </c>
      <c r="V668">
        <f t="shared" si="147"/>
        <v>0</v>
      </c>
      <c r="W668">
        <f t="shared" si="147"/>
        <v>0</v>
      </c>
      <c r="X668">
        <f t="shared" si="147"/>
        <v>0</v>
      </c>
      <c r="Y668">
        <f t="shared" si="146"/>
        <v>2.4408762847505719E-5</v>
      </c>
      <c r="Z668">
        <f t="shared" si="146"/>
        <v>0</v>
      </c>
      <c r="AA668">
        <f t="shared" si="146"/>
        <v>0</v>
      </c>
      <c r="AB668">
        <f t="shared" si="146"/>
        <v>0</v>
      </c>
      <c r="AC668">
        <f t="shared" si="146"/>
        <v>0</v>
      </c>
      <c r="AD668">
        <f t="shared" si="146"/>
        <v>0</v>
      </c>
      <c r="AE668">
        <f t="shared" si="146"/>
        <v>0</v>
      </c>
      <c r="AF668">
        <f t="shared" si="146"/>
        <v>0</v>
      </c>
      <c r="AG668">
        <f t="shared" si="146"/>
        <v>0</v>
      </c>
      <c r="AH668">
        <f t="shared" si="146"/>
        <v>0</v>
      </c>
      <c r="AI668">
        <f t="shared" si="146"/>
        <v>0</v>
      </c>
      <c r="AJ668">
        <f t="shared" si="146"/>
        <v>0</v>
      </c>
      <c r="AK668">
        <f t="shared" si="146"/>
        <v>0</v>
      </c>
      <c r="AL668">
        <f t="shared" si="146"/>
        <v>0</v>
      </c>
      <c r="AM668">
        <f t="shared" si="146"/>
        <v>0</v>
      </c>
      <c r="AN668">
        <f t="shared" si="145"/>
        <v>0</v>
      </c>
      <c r="AO668">
        <f t="shared" si="145"/>
        <v>0</v>
      </c>
      <c r="AP668">
        <f t="shared" si="145"/>
        <v>0</v>
      </c>
      <c r="AQ668">
        <f t="shared" si="145"/>
        <v>0</v>
      </c>
      <c r="AR668">
        <f t="shared" si="145"/>
        <v>0</v>
      </c>
    </row>
    <row r="669" spans="5:44" x14ac:dyDescent="0.2">
      <c r="E669" s="1">
        <f>moment_rate!$AC669</f>
        <v>7.4027933073660818E-3</v>
      </c>
      <c r="F669" s="1">
        <f t="shared" si="141"/>
        <v>2.6841312207933656E-5</v>
      </c>
      <c r="G669">
        <f>moment_rate!I669-0.005</f>
        <v>6.6199999999999033</v>
      </c>
      <c r="H669" s="1">
        <f t="shared" si="142"/>
        <v>2.6841312207933656E-5</v>
      </c>
      <c r="I669">
        <f t="shared" si="147"/>
        <v>0</v>
      </c>
      <c r="J669">
        <f t="shared" si="147"/>
        <v>0</v>
      </c>
      <c r="K669">
        <f t="shared" si="147"/>
        <v>0</v>
      </c>
      <c r="L669">
        <f t="shared" si="147"/>
        <v>0</v>
      </c>
      <c r="M669">
        <f t="shared" si="147"/>
        <v>0</v>
      </c>
      <c r="N669">
        <f t="shared" si="147"/>
        <v>0</v>
      </c>
      <c r="O669">
        <f t="shared" si="147"/>
        <v>0</v>
      </c>
      <c r="P669">
        <f t="shared" si="147"/>
        <v>0</v>
      </c>
      <c r="Q669">
        <f t="shared" si="147"/>
        <v>0</v>
      </c>
      <c r="R669">
        <f t="shared" si="147"/>
        <v>0</v>
      </c>
      <c r="S669">
        <f t="shared" si="147"/>
        <v>0</v>
      </c>
      <c r="T669">
        <f t="shared" si="147"/>
        <v>0</v>
      </c>
      <c r="U669">
        <f t="shared" si="147"/>
        <v>0</v>
      </c>
      <c r="V669">
        <f t="shared" si="147"/>
        <v>0</v>
      </c>
      <c r="W669">
        <f t="shared" si="147"/>
        <v>0</v>
      </c>
      <c r="X669">
        <f t="shared" si="147"/>
        <v>0</v>
      </c>
      <c r="Y669">
        <f t="shared" si="146"/>
        <v>2.6841312207933656E-5</v>
      </c>
      <c r="Z669">
        <f t="shared" si="146"/>
        <v>0</v>
      </c>
      <c r="AA669">
        <f t="shared" si="146"/>
        <v>0</v>
      </c>
      <c r="AB669">
        <f t="shared" si="146"/>
        <v>0</v>
      </c>
      <c r="AC669">
        <f t="shared" si="146"/>
        <v>0</v>
      </c>
      <c r="AD669">
        <f t="shared" si="146"/>
        <v>0</v>
      </c>
      <c r="AE669">
        <f t="shared" si="146"/>
        <v>0</v>
      </c>
      <c r="AF669">
        <f t="shared" si="146"/>
        <v>0</v>
      </c>
      <c r="AG669">
        <f t="shared" si="146"/>
        <v>0</v>
      </c>
      <c r="AH669">
        <f t="shared" si="146"/>
        <v>0</v>
      </c>
      <c r="AI669">
        <f t="shared" si="146"/>
        <v>0</v>
      </c>
      <c r="AJ669">
        <f t="shared" si="146"/>
        <v>0</v>
      </c>
      <c r="AK669">
        <f t="shared" si="146"/>
        <v>0</v>
      </c>
      <c r="AL669">
        <f t="shared" si="146"/>
        <v>0</v>
      </c>
      <c r="AM669">
        <f t="shared" si="146"/>
        <v>0</v>
      </c>
      <c r="AN669">
        <f t="shared" si="145"/>
        <v>0</v>
      </c>
      <c r="AO669">
        <f t="shared" si="145"/>
        <v>0</v>
      </c>
      <c r="AP669">
        <f t="shared" si="145"/>
        <v>0</v>
      </c>
      <c r="AQ669">
        <f t="shared" si="145"/>
        <v>0</v>
      </c>
      <c r="AR669">
        <f t="shared" si="145"/>
        <v>0</v>
      </c>
    </row>
    <row r="670" spans="5:44" x14ac:dyDescent="0.2">
      <c r="E670" s="1">
        <f>moment_rate!$AC670</f>
        <v>7.3759519951581481E-3</v>
      </c>
      <c r="F670" s="1">
        <f t="shared" si="141"/>
        <v>2.9442588097604652E-5</v>
      </c>
      <c r="G670">
        <f>moment_rate!I670-0.005</f>
        <v>6.6299999999999031</v>
      </c>
      <c r="H670" s="1">
        <f t="shared" si="142"/>
        <v>2.9442588097604652E-5</v>
      </c>
      <c r="I670">
        <f t="shared" si="147"/>
        <v>0</v>
      </c>
      <c r="J670">
        <f t="shared" si="147"/>
        <v>0</v>
      </c>
      <c r="K670">
        <f t="shared" si="147"/>
        <v>0</v>
      </c>
      <c r="L670">
        <f t="shared" si="147"/>
        <v>0</v>
      </c>
      <c r="M670">
        <f t="shared" si="147"/>
        <v>0</v>
      </c>
      <c r="N670">
        <f t="shared" si="147"/>
        <v>0</v>
      </c>
      <c r="O670">
        <f t="shared" si="147"/>
        <v>0</v>
      </c>
      <c r="P670">
        <f t="shared" si="147"/>
        <v>0</v>
      </c>
      <c r="Q670">
        <f t="shared" si="147"/>
        <v>0</v>
      </c>
      <c r="R670">
        <f t="shared" si="147"/>
        <v>0</v>
      </c>
      <c r="S670">
        <f t="shared" si="147"/>
        <v>0</v>
      </c>
      <c r="T670">
        <f t="shared" si="147"/>
        <v>0</v>
      </c>
      <c r="U670">
        <f t="shared" si="147"/>
        <v>0</v>
      </c>
      <c r="V670">
        <f t="shared" si="147"/>
        <v>0</v>
      </c>
      <c r="W670">
        <f t="shared" si="147"/>
        <v>0</v>
      </c>
      <c r="X670">
        <f t="shared" si="147"/>
        <v>0</v>
      </c>
      <c r="Y670">
        <f t="shared" si="146"/>
        <v>2.9442588097604652E-5</v>
      </c>
      <c r="Z670">
        <f t="shared" si="146"/>
        <v>0</v>
      </c>
      <c r="AA670">
        <f t="shared" si="146"/>
        <v>0</v>
      </c>
      <c r="AB670">
        <f t="shared" si="146"/>
        <v>0</v>
      </c>
      <c r="AC670">
        <f t="shared" si="146"/>
        <v>0</v>
      </c>
      <c r="AD670">
        <f t="shared" si="146"/>
        <v>0</v>
      </c>
      <c r="AE670">
        <f t="shared" si="146"/>
        <v>0</v>
      </c>
      <c r="AF670">
        <f t="shared" si="146"/>
        <v>0</v>
      </c>
      <c r="AG670">
        <f t="shared" si="146"/>
        <v>0</v>
      </c>
      <c r="AH670">
        <f t="shared" si="146"/>
        <v>0</v>
      </c>
      <c r="AI670">
        <f t="shared" si="146"/>
        <v>0</v>
      </c>
      <c r="AJ670">
        <f t="shared" si="146"/>
        <v>0</v>
      </c>
      <c r="AK670">
        <f t="shared" si="146"/>
        <v>0</v>
      </c>
      <c r="AL670">
        <f t="shared" si="146"/>
        <v>0</v>
      </c>
      <c r="AM670">
        <f t="shared" si="146"/>
        <v>0</v>
      </c>
      <c r="AN670">
        <f t="shared" si="145"/>
        <v>0</v>
      </c>
      <c r="AO670">
        <f t="shared" si="145"/>
        <v>0</v>
      </c>
      <c r="AP670">
        <f t="shared" si="145"/>
        <v>0</v>
      </c>
      <c r="AQ670">
        <f t="shared" si="145"/>
        <v>0</v>
      </c>
      <c r="AR670">
        <f t="shared" si="145"/>
        <v>0</v>
      </c>
    </row>
    <row r="671" spans="5:44" x14ac:dyDescent="0.2">
      <c r="E671" s="1">
        <f>moment_rate!$AC671</f>
        <v>7.3465094070605435E-3</v>
      </c>
      <c r="F671" s="1">
        <f t="shared" si="141"/>
        <v>3.2215322742124193E-5</v>
      </c>
      <c r="G671">
        <f>moment_rate!I671-0.005</f>
        <v>6.6399999999999029</v>
      </c>
      <c r="H671" s="1">
        <f t="shared" si="142"/>
        <v>3.2215322742124193E-5</v>
      </c>
      <c r="I671">
        <f t="shared" si="147"/>
        <v>0</v>
      </c>
      <c r="J671">
        <f t="shared" si="147"/>
        <v>0</v>
      </c>
      <c r="K671">
        <f t="shared" si="147"/>
        <v>0</v>
      </c>
      <c r="L671">
        <f t="shared" si="147"/>
        <v>0</v>
      </c>
      <c r="M671">
        <f t="shared" si="147"/>
        <v>0</v>
      </c>
      <c r="N671">
        <f t="shared" si="147"/>
        <v>0</v>
      </c>
      <c r="O671">
        <f t="shared" si="147"/>
        <v>0</v>
      </c>
      <c r="P671">
        <f t="shared" si="147"/>
        <v>0</v>
      </c>
      <c r="Q671">
        <f t="shared" si="147"/>
        <v>0</v>
      </c>
      <c r="R671">
        <f t="shared" si="147"/>
        <v>0</v>
      </c>
      <c r="S671">
        <f t="shared" si="147"/>
        <v>0</v>
      </c>
      <c r="T671">
        <f t="shared" si="147"/>
        <v>0</v>
      </c>
      <c r="U671">
        <f t="shared" si="147"/>
        <v>0</v>
      </c>
      <c r="V671">
        <f t="shared" si="147"/>
        <v>0</v>
      </c>
      <c r="W671">
        <f t="shared" si="147"/>
        <v>0</v>
      </c>
      <c r="X671">
        <f t="shared" si="147"/>
        <v>0</v>
      </c>
      <c r="Y671">
        <f t="shared" si="146"/>
        <v>3.2215322742124193E-5</v>
      </c>
      <c r="Z671">
        <f t="shared" si="146"/>
        <v>0</v>
      </c>
      <c r="AA671">
        <f t="shared" si="146"/>
        <v>0</v>
      </c>
      <c r="AB671">
        <f t="shared" si="146"/>
        <v>0</v>
      </c>
      <c r="AC671">
        <f t="shared" si="146"/>
        <v>0</v>
      </c>
      <c r="AD671">
        <f t="shared" si="146"/>
        <v>0</v>
      </c>
      <c r="AE671">
        <f t="shared" si="146"/>
        <v>0</v>
      </c>
      <c r="AF671">
        <f t="shared" si="146"/>
        <v>0</v>
      </c>
      <c r="AG671">
        <f t="shared" si="146"/>
        <v>0</v>
      </c>
      <c r="AH671">
        <f t="shared" si="146"/>
        <v>0</v>
      </c>
      <c r="AI671">
        <f t="shared" si="146"/>
        <v>0</v>
      </c>
      <c r="AJ671">
        <f t="shared" si="146"/>
        <v>0</v>
      </c>
      <c r="AK671">
        <f t="shared" si="146"/>
        <v>0</v>
      </c>
      <c r="AL671">
        <f t="shared" si="146"/>
        <v>0</v>
      </c>
      <c r="AM671">
        <f t="shared" si="146"/>
        <v>0</v>
      </c>
      <c r="AN671">
        <f t="shared" si="145"/>
        <v>0</v>
      </c>
      <c r="AO671">
        <f t="shared" si="145"/>
        <v>0</v>
      </c>
      <c r="AP671">
        <f t="shared" si="145"/>
        <v>0</v>
      </c>
      <c r="AQ671">
        <f t="shared" si="145"/>
        <v>0</v>
      </c>
      <c r="AR671">
        <f t="shared" si="145"/>
        <v>0</v>
      </c>
    </row>
    <row r="672" spans="5:44" x14ac:dyDescent="0.2">
      <c r="E672" s="1">
        <f>moment_rate!$AC672</f>
        <v>7.3142940843184193E-3</v>
      </c>
      <c r="F672" s="1">
        <f t="shared" si="141"/>
        <v>3.5161164803426681E-5</v>
      </c>
      <c r="G672">
        <f>moment_rate!I672-0.005</f>
        <v>6.6499999999999027</v>
      </c>
      <c r="H672" s="1">
        <f t="shared" si="142"/>
        <v>3.5161164803426681E-5</v>
      </c>
      <c r="I672">
        <f t="shared" si="147"/>
        <v>0</v>
      </c>
      <c r="J672">
        <f t="shared" si="147"/>
        <v>0</v>
      </c>
      <c r="K672">
        <f t="shared" si="147"/>
        <v>0</v>
      </c>
      <c r="L672">
        <f t="shared" si="147"/>
        <v>0</v>
      </c>
      <c r="M672">
        <f t="shared" si="147"/>
        <v>0</v>
      </c>
      <c r="N672">
        <f t="shared" si="147"/>
        <v>0</v>
      </c>
      <c r="O672">
        <f t="shared" si="147"/>
        <v>0</v>
      </c>
      <c r="P672">
        <f t="shared" si="147"/>
        <v>0</v>
      </c>
      <c r="Q672">
        <f t="shared" si="147"/>
        <v>0</v>
      </c>
      <c r="R672">
        <f t="shared" si="147"/>
        <v>0</v>
      </c>
      <c r="S672">
        <f t="shared" si="147"/>
        <v>0</v>
      </c>
      <c r="T672">
        <f t="shared" si="147"/>
        <v>0</v>
      </c>
      <c r="U672">
        <f t="shared" si="147"/>
        <v>0</v>
      </c>
      <c r="V672">
        <f t="shared" si="147"/>
        <v>0</v>
      </c>
      <c r="W672">
        <f t="shared" si="147"/>
        <v>0</v>
      </c>
      <c r="X672">
        <f t="shared" si="147"/>
        <v>0</v>
      </c>
      <c r="Y672">
        <f t="shared" si="146"/>
        <v>3.5161164803426681E-5</v>
      </c>
      <c r="Z672">
        <f t="shared" si="146"/>
        <v>0</v>
      </c>
      <c r="AA672">
        <f t="shared" si="146"/>
        <v>0</v>
      </c>
      <c r="AB672">
        <f t="shared" si="146"/>
        <v>0</v>
      </c>
      <c r="AC672">
        <f t="shared" si="146"/>
        <v>0</v>
      </c>
      <c r="AD672">
        <f t="shared" si="146"/>
        <v>0</v>
      </c>
      <c r="AE672">
        <f t="shared" si="146"/>
        <v>0</v>
      </c>
      <c r="AF672">
        <f t="shared" si="146"/>
        <v>0</v>
      </c>
      <c r="AG672">
        <f t="shared" si="146"/>
        <v>0</v>
      </c>
      <c r="AH672">
        <f t="shared" si="146"/>
        <v>0</v>
      </c>
      <c r="AI672">
        <f t="shared" si="146"/>
        <v>0</v>
      </c>
      <c r="AJ672">
        <f t="shared" si="146"/>
        <v>0</v>
      </c>
      <c r="AK672">
        <f t="shared" si="146"/>
        <v>0</v>
      </c>
      <c r="AL672">
        <f t="shared" si="146"/>
        <v>0</v>
      </c>
      <c r="AM672">
        <f t="shared" si="146"/>
        <v>0</v>
      </c>
      <c r="AN672">
        <f t="shared" si="145"/>
        <v>0</v>
      </c>
      <c r="AO672">
        <f t="shared" si="145"/>
        <v>0</v>
      </c>
      <c r="AP672">
        <f t="shared" si="145"/>
        <v>0</v>
      </c>
      <c r="AQ672">
        <f t="shared" si="145"/>
        <v>0</v>
      </c>
      <c r="AR672">
        <f t="shared" si="145"/>
        <v>0</v>
      </c>
    </row>
    <row r="673" spans="5:44" x14ac:dyDescent="0.2">
      <c r="E673" s="1">
        <f>moment_rate!$AC673</f>
        <v>7.2791329195149926E-3</v>
      </c>
      <c r="F673" s="1">
        <f t="shared" si="141"/>
        <v>3.8280560206486146E-5</v>
      </c>
      <c r="G673">
        <f>moment_rate!I673-0.005</f>
        <v>6.6599999999999024</v>
      </c>
      <c r="H673" s="1">
        <f t="shared" si="142"/>
        <v>3.8280560206486146E-5</v>
      </c>
      <c r="I673">
        <f t="shared" si="147"/>
        <v>0</v>
      </c>
      <c r="J673">
        <f t="shared" si="147"/>
        <v>0</v>
      </c>
      <c r="K673">
        <f t="shared" si="147"/>
        <v>0</v>
      </c>
      <c r="L673">
        <f t="shared" si="147"/>
        <v>0</v>
      </c>
      <c r="M673">
        <f t="shared" si="147"/>
        <v>0</v>
      </c>
      <c r="N673">
        <f t="shared" si="147"/>
        <v>0</v>
      </c>
      <c r="O673">
        <f t="shared" si="147"/>
        <v>0</v>
      </c>
      <c r="P673">
        <f t="shared" si="147"/>
        <v>0</v>
      </c>
      <c r="Q673">
        <f t="shared" si="147"/>
        <v>0</v>
      </c>
      <c r="R673">
        <f t="shared" si="147"/>
        <v>0</v>
      </c>
      <c r="S673">
        <f t="shared" si="147"/>
        <v>0</v>
      </c>
      <c r="T673">
        <f t="shared" si="147"/>
        <v>0</v>
      </c>
      <c r="U673">
        <f t="shared" si="147"/>
        <v>0</v>
      </c>
      <c r="V673">
        <f t="shared" si="147"/>
        <v>0</v>
      </c>
      <c r="W673">
        <f t="shared" si="147"/>
        <v>0</v>
      </c>
      <c r="X673">
        <f t="shared" si="147"/>
        <v>0</v>
      </c>
      <c r="Y673">
        <f t="shared" si="146"/>
        <v>3.8280560206486146E-5</v>
      </c>
      <c r="Z673">
        <f t="shared" si="146"/>
        <v>0</v>
      </c>
      <c r="AA673">
        <f t="shared" si="146"/>
        <v>0</v>
      </c>
      <c r="AB673">
        <f t="shared" si="146"/>
        <v>0</v>
      </c>
      <c r="AC673">
        <f t="shared" si="146"/>
        <v>0</v>
      </c>
      <c r="AD673">
        <f t="shared" si="146"/>
        <v>0</v>
      </c>
      <c r="AE673">
        <f t="shared" si="146"/>
        <v>0</v>
      </c>
      <c r="AF673">
        <f t="shared" si="146"/>
        <v>0</v>
      </c>
      <c r="AG673">
        <f t="shared" si="146"/>
        <v>0</v>
      </c>
      <c r="AH673">
        <f t="shared" si="146"/>
        <v>0</v>
      </c>
      <c r="AI673">
        <f t="shared" si="146"/>
        <v>0</v>
      </c>
      <c r="AJ673">
        <f t="shared" si="146"/>
        <v>0</v>
      </c>
      <c r="AK673">
        <f t="shared" si="146"/>
        <v>0</v>
      </c>
      <c r="AL673">
        <f t="shared" si="146"/>
        <v>0</v>
      </c>
      <c r="AM673">
        <f t="shared" si="146"/>
        <v>0</v>
      </c>
      <c r="AN673">
        <f t="shared" si="145"/>
        <v>0</v>
      </c>
      <c r="AO673">
        <f t="shared" si="145"/>
        <v>0</v>
      </c>
      <c r="AP673">
        <f t="shared" si="145"/>
        <v>0</v>
      </c>
      <c r="AQ673">
        <f t="shared" si="145"/>
        <v>0</v>
      </c>
      <c r="AR673">
        <f t="shared" si="145"/>
        <v>0</v>
      </c>
    </row>
    <row r="674" spans="5:44" x14ac:dyDescent="0.2">
      <c r="E674" s="1">
        <f>moment_rate!$AC674</f>
        <v>7.2408523593085064E-3</v>
      </c>
      <c r="F674" s="1">
        <f t="shared" si="141"/>
        <v>4.1572637602749381E-5</v>
      </c>
      <c r="G674">
        <f>moment_rate!I674-0.005</f>
        <v>6.6699999999999022</v>
      </c>
      <c r="H674" s="1">
        <f t="shared" si="142"/>
        <v>4.1572637602749381E-5</v>
      </c>
      <c r="I674">
        <f t="shared" si="147"/>
        <v>0</v>
      </c>
      <c r="J674">
        <f t="shared" si="147"/>
        <v>0</v>
      </c>
      <c r="K674">
        <f t="shared" si="147"/>
        <v>0</v>
      </c>
      <c r="L674">
        <f t="shared" si="147"/>
        <v>0</v>
      </c>
      <c r="M674">
        <f t="shared" si="147"/>
        <v>0</v>
      </c>
      <c r="N674">
        <f t="shared" si="147"/>
        <v>0</v>
      </c>
      <c r="O674">
        <f t="shared" si="147"/>
        <v>0</v>
      </c>
      <c r="P674">
        <f t="shared" si="147"/>
        <v>0</v>
      </c>
      <c r="Q674">
        <f t="shared" si="147"/>
        <v>0</v>
      </c>
      <c r="R674">
        <f t="shared" si="147"/>
        <v>0</v>
      </c>
      <c r="S674">
        <f t="shared" si="147"/>
        <v>0</v>
      </c>
      <c r="T674">
        <f t="shared" si="147"/>
        <v>0</v>
      </c>
      <c r="U674">
        <f t="shared" si="147"/>
        <v>0</v>
      </c>
      <c r="V674">
        <f t="shared" si="147"/>
        <v>0</v>
      </c>
      <c r="W674">
        <f t="shared" si="147"/>
        <v>0</v>
      </c>
      <c r="X674">
        <f t="shared" si="147"/>
        <v>0</v>
      </c>
      <c r="Y674">
        <f t="shared" si="146"/>
        <v>4.1572637602749381E-5</v>
      </c>
      <c r="Z674">
        <f t="shared" si="146"/>
        <v>0</v>
      </c>
      <c r="AA674">
        <f t="shared" si="146"/>
        <v>0</v>
      </c>
      <c r="AB674">
        <f t="shared" si="146"/>
        <v>0</v>
      </c>
      <c r="AC674">
        <f t="shared" si="146"/>
        <v>0</v>
      </c>
      <c r="AD674">
        <f t="shared" si="146"/>
        <v>0</v>
      </c>
      <c r="AE674">
        <f t="shared" si="146"/>
        <v>0</v>
      </c>
      <c r="AF674">
        <f t="shared" si="146"/>
        <v>0</v>
      </c>
      <c r="AG674">
        <f t="shared" si="146"/>
        <v>0</v>
      </c>
      <c r="AH674">
        <f t="shared" si="146"/>
        <v>0</v>
      </c>
      <c r="AI674">
        <f t="shared" si="146"/>
        <v>0</v>
      </c>
      <c r="AJ674">
        <f t="shared" si="146"/>
        <v>0</v>
      </c>
      <c r="AK674">
        <f t="shared" si="146"/>
        <v>0</v>
      </c>
      <c r="AL674">
        <f t="shared" si="146"/>
        <v>0</v>
      </c>
      <c r="AM674">
        <f t="shared" si="146"/>
        <v>0</v>
      </c>
      <c r="AN674">
        <f t="shared" si="145"/>
        <v>0</v>
      </c>
      <c r="AO674">
        <f t="shared" si="145"/>
        <v>0</v>
      </c>
      <c r="AP674">
        <f t="shared" si="145"/>
        <v>0</v>
      </c>
      <c r="AQ674">
        <f t="shared" si="145"/>
        <v>0</v>
      </c>
      <c r="AR674">
        <f t="shared" si="145"/>
        <v>0</v>
      </c>
    </row>
    <row r="675" spans="5:44" x14ac:dyDescent="0.2">
      <c r="E675" s="1">
        <f>moment_rate!$AC675</f>
        <v>7.1992797217057571E-3</v>
      </c>
      <c r="F675" s="1">
        <f t="shared" si="141"/>
        <v>4.5035100684195049E-5</v>
      </c>
      <c r="G675">
        <f>moment_rate!I675-0.005</f>
        <v>6.679999999999902</v>
      </c>
      <c r="H675" s="1">
        <f t="shared" si="142"/>
        <v>4.5035100684195049E-5</v>
      </c>
      <c r="I675">
        <f t="shared" si="147"/>
        <v>0</v>
      </c>
      <c r="J675">
        <f t="shared" si="147"/>
        <v>0</v>
      </c>
      <c r="K675">
        <f t="shared" si="147"/>
        <v>0</v>
      </c>
      <c r="L675">
        <f t="shared" si="147"/>
        <v>0</v>
      </c>
      <c r="M675">
        <f t="shared" si="147"/>
        <v>0</v>
      </c>
      <c r="N675">
        <f t="shared" si="147"/>
        <v>0</v>
      </c>
      <c r="O675">
        <f t="shared" si="147"/>
        <v>0</v>
      </c>
      <c r="P675">
        <f t="shared" si="147"/>
        <v>0</v>
      </c>
      <c r="Q675">
        <f t="shared" si="147"/>
        <v>0</v>
      </c>
      <c r="R675">
        <f t="shared" si="147"/>
        <v>0</v>
      </c>
      <c r="S675">
        <f t="shared" si="147"/>
        <v>0</v>
      </c>
      <c r="T675">
        <f t="shared" si="147"/>
        <v>0</v>
      </c>
      <c r="U675">
        <f t="shared" si="147"/>
        <v>0</v>
      </c>
      <c r="V675">
        <f t="shared" si="147"/>
        <v>0</v>
      </c>
      <c r="W675">
        <f t="shared" si="147"/>
        <v>0</v>
      </c>
      <c r="X675">
        <f t="shared" si="147"/>
        <v>0</v>
      </c>
      <c r="Y675">
        <f t="shared" si="146"/>
        <v>4.5035100684195049E-5</v>
      </c>
      <c r="Z675">
        <f t="shared" si="146"/>
        <v>0</v>
      </c>
      <c r="AA675">
        <f t="shared" si="146"/>
        <v>0</v>
      </c>
      <c r="AB675">
        <f t="shared" si="146"/>
        <v>0</v>
      </c>
      <c r="AC675">
        <f t="shared" si="146"/>
        <v>0</v>
      </c>
      <c r="AD675">
        <f t="shared" si="146"/>
        <v>0</v>
      </c>
      <c r="AE675">
        <f t="shared" si="146"/>
        <v>0</v>
      </c>
      <c r="AF675">
        <f t="shared" si="146"/>
        <v>0</v>
      </c>
      <c r="AG675">
        <f t="shared" si="146"/>
        <v>0</v>
      </c>
      <c r="AH675">
        <f t="shared" si="146"/>
        <v>0</v>
      </c>
      <c r="AI675">
        <f t="shared" si="146"/>
        <v>0</v>
      </c>
      <c r="AJ675">
        <f t="shared" si="146"/>
        <v>0</v>
      </c>
      <c r="AK675">
        <f t="shared" si="145"/>
        <v>0</v>
      </c>
      <c r="AL675">
        <f t="shared" si="145"/>
        <v>0</v>
      </c>
      <c r="AM675">
        <f t="shared" si="145"/>
        <v>0</v>
      </c>
      <c r="AN675">
        <f t="shared" si="145"/>
        <v>0</v>
      </c>
      <c r="AO675">
        <f t="shared" si="145"/>
        <v>0</v>
      </c>
      <c r="AP675">
        <f t="shared" si="145"/>
        <v>0</v>
      </c>
      <c r="AQ675">
        <f t="shared" si="145"/>
        <v>0</v>
      </c>
      <c r="AR675">
        <f t="shared" si="145"/>
        <v>0</v>
      </c>
    </row>
    <row r="676" spans="5:44" x14ac:dyDescent="0.2">
      <c r="E676" s="1">
        <f>moment_rate!$AC676</f>
        <v>7.154244621021562E-3</v>
      </c>
      <c r="F676" s="1">
        <f t="shared" si="141"/>
        <v>4.8664129636326325E-5</v>
      </c>
      <c r="G676">
        <f>moment_rate!I676-0.005</f>
        <v>6.6899999999999018</v>
      </c>
      <c r="H676" s="1">
        <f t="shared" si="142"/>
        <v>4.8664129636326325E-5</v>
      </c>
      <c r="I676">
        <f t="shared" si="147"/>
        <v>0</v>
      </c>
      <c r="J676">
        <f t="shared" si="147"/>
        <v>0</v>
      </c>
      <c r="K676">
        <f t="shared" si="147"/>
        <v>0</v>
      </c>
      <c r="L676">
        <f t="shared" si="147"/>
        <v>0</v>
      </c>
      <c r="M676">
        <f t="shared" si="147"/>
        <v>0</v>
      </c>
      <c r="N676">
        <f t="shared" si="147"/>
        <v>0</v>
      </c>
      <c r="O676">
        <f t="shared" si="147"/>
        <v>0</v>
      </c>
      <c r="P676">
        <f t="shared" si="147"/>
        <v>0</v>
      </c>
      <c r="Q676">
        <f t="shared" si="147"/>
        <v>0</v>
      </c>
      <c r="R676">
        <f t="shared" si="147"/>
        <v>0</v>
      </c>
      <c r="S676">
        <f t="shared" si="147"/>
        <v>0</v>
      </c>
      <c r="T676">
        <f t="shared" si="147"/>
        <v>0</v>
      </c>
      <c r="U676">
        <f t="shared" si="147"/>
        <v>0</v>
      </c>
      <c r="V676">
        <f t="shared" si="147"/>
        <v>0</v>
      </c>
      <c r="W676">
        <f t="shared" si="147"/>
        <v>0</v>
      </c>
      <c r="X676">
        <f t="shared" si="147"/>
        <v>0</v>
      </c>
      <c r="Y676">
        <f t="shared" si="146"/>
        <v>4.8664129636326325E-5</v>
      </c>
      <c r="Z676">
        <f t="shared" si="146"/>
        <v>0</v>
      </c>
      <c r="AA676">
        <f t="shared" si="146"/>
        <v>0</v>
      </c>
      <c r="AB676">
        <f t="shared" si="146"/>
        <v>0</v>
      </c>
      <c r="AC676">
        <f t="shared" si="146"/>
        <v>0</v>
      </c>
      <c r="AD676">
        <f t="shared" si="146"/>
        <v>0</v>
      </c>
      <c r="AE676">
        <f t="shared" si="146"/>
        <v>0</v>
      </c>
      <c r="AF676">
        <f t="shared" si="146"/>
        <v>0</v>
      </c>
      <c r="AG676">
        <f t="shared" si="146"/>
        <v>0</v>
      </c>
      <c r="AH676">
        <f t="shared" si="146"/>
        <v>0</v>
      </c>
      <c r="AI676">
        <f t="shared" si="146"/>
        <v>0</v>
      </c>
      <c r="AJ676">
        <f t="shared" si="146"/>
        <v>0</v>
      </c>
      <c r="AK676">
        <f t="shared" si="145"/>
        <v>0</v>
      </c>
      <c r="AL676">
        <f t="shared" si="145"/>
        <v>0</v>
      </c>
      <c r="AM676">
        <f t="shared" si="145"/>
        <v>0</v>
      </c>
      <c r="AN676">
        <f t="shared" si="145"/>
        <v>0</v>
      </c>
      <c r="AO676">
        <f t="shared" si="145"/>
        <v>0</v>
      </c>
      <c r="AP676">
        <f t="shared" si="145"/>
        <v>0</v>
      </c>
      <c r="AQ676">
        <f t="shared" si="145"/>
        <v>0</v>
      </c>
      <c r="AR676">
        <f t="shared" si="145"/>
        <v>0</v>
      </c>
    </row>
    <row r="677" spans="5:44" x14ac:dyDescent="0.2">
      <c r="E677" s="1">
        <f>moment_rate!$AC677</f>
        <v>7.1055804913852357E-3</v>
      </c>
      <c r="F677" s="1">
        <f t="shared" si="141"/>
        <v>5.2454294051592493E-5</v>
      </c>
      <c r="G677">
        <f>moment_rate!I677-0.005</f>
        <v>6.6999999999999016</v>
      </c>
      <c r="H677" s="1">
        <f t="shared" si="142"/>
        <v>5.2454294051592493E-5</v>
      </c>
      <c r="I677">
        <f t="shared" si="147"/>
        <v>0</v>
      </c>
      <c r="J677">
        <f t="shared" si="147"/>
        <v>0</v>
      </c>
      <c r="K677">
        <f t="shared" si="147"/>
        <v>0</v>
      </c>
      <c r="L677">
        <f t="shared" si="147"/>
        <v>0</v>
      </c>
      <c r="M677">
        <f t="shared" si="147"/>
        <v>0</v>
      </c>
      <c r="N677">
        <f t="shared" si="147"/>
        <v>0</v>
      </c>
      <c r="O677">
        <f t="shared" si="147"/>
        <v>0</v>
      </c>
      <c r="P677">
        <f t="shared" si="147"/>
        <v>0</v>
      </c>
      <c r="Q677">
        <f t="shared" si="147"/>
        <v>0</v>
      </c>
      <c r="R677">
        <f t="shared" si="147"/>
        <v>0</v>
      </c>
      <c r="S677">
        <f t="shared" si="147"/>
        <v>0</v>
      </c>
      <c r="T677">
        <f t="shared" si="147"/>
        <v>0</v>
      </c>
      <c r="U677">
        <f t="shared" si="147"/>
        <v>0</v>
      </c>
      <c r="V677">
        <f t="shared" si="147"/>
        <v>0</v>
      </c>
      <c r="W677">
        <f t="shared" si="147"/>
        <v>0</v>
      </c>
      <c r="X677">
        <f t="shared" si="147"/>
        <v>0</v>
      </c>
      <c r="Y677">
        <f t="shared" si="146"/>
        <v>5.2454294051592493E-5</v>
      </c>
      <c r="Z677">
        <f t="shared" si="146"/>
        <v>0</v>
      </c>
      <c r="AA677">
        <f t="shared" si="146"/>
        <v>0</v>
      </c>
      <c r="AB677">
        <f t="shared" si="146"/>
        <v>0</v>
      </c>
      <c r="AC677">
        <f t="shared" si="146"/>
        <v>0</v>
      </c>
      <c r="AD677">
        <f t="shared" si="146"/>
        <v>0</v>
      </c>
      <c r="AE677">
        <f t="shared" si="146"/>
        <v>0</v>
      </c>
      <c r="AF677">
        <f t="shared" si="146"/>
        <v>0</v>
      </c>
      <c r="AG677">
        <f t="shared" si="146"/>
        <v>0</v>
      </c>
      <c r="AH677">
        <f t="shared" si="146"/>
        <v>0</v>
      </c>
      <c r="AI677">
        <f t="shared" si="146"/>
        <v>0</v>
      </c>
      <c r="AJ677">
        <f t="shared" si="146"/>
        <v>0</v>
      </c>
      <c r="AK677">
        <f t="shared" si="145"/>
        <v>0</v>
      </c>
      <c r="AL677">
        <f t="shared" si="145"/>
        <v>0</v>
      </c>
      <c r="AM677">
        <f t="shared" si="145"/>
        <v>0</v>
      </c>
      <c r="AN677">
        <f t="shared" si="145"/>
        <v>0</v>
      </c>
      <c r="AO677">
        <f t="shared" si="145"/>
        <v>0</v>
      </c>
      <c r="AP677">
        <f t="shared" si="145"/>
        <v>0</v>
      </c>
      <c r="AQ677">
        <f t="shared" si="145"/>
        <v>0</v>
      </c>
      <c r="AR677">
        <f t="shared" si="145"/>
        <v>0</v>
      </c>
    </row>
    <row r="678" spans="5:44" x14ac:dyDescent="0.2">
      <c r="E678" s="1">
        <f>moment_rate!$AC678</f>
        <v>7.0531261973336432E-3</v>
      </c>
      <c r="F678" s="1">
        <f t="shared" si="141"/>
        <v>5.6398479612810443E-5</v>
      </c>
      <c r="G678">
        <f>moment_rate!I678-0.005</f>
        <v>6.7099999999999014</v>
      </c>
      <c r="H678" s="1">
        <f t="shared" si="142"/>
        <v>5.6398479612810443E-5</v>
      </c>
      <c r="I678">
        <f t="shared" si="147"/>
        <v>0</v>
      </c>
      <c r="J678">
        <f t="shared" si="147"/>
        <v>0</v>
      </c>
      <c r="K678">
        <f t="shared" si="147"/>
        <v>0</v>
      </c>
      <c r="L678">
        <f t="shared" si="147"/>
        <v>0</v>
      </c>
      <c r="M678">
        <f t="shared" si="147"/>
        <v>0</v>
      </c>
      <c r="N678">
        <f t="shared" si="147"/>
        <v>0</v>
      </c>
      <c r="O678">
        <f t="shared" si="147"/>
        <v>0</v>
      </c>
      <c r="P678">
        <f t="shared" si="147"/>
        <v>0</v>
      </c>
      <c r="Q678">
        <f t="shared" si="147"/>
        <v>0</v>
      </c>
      <c r="R678">
        <f t="shared" si="147"/>
        <v>0</v>
      </c>
      <c r="S678">
        <f t="shared" si="147"/>
        <v>0</v>
      </c>
      <c r="T678">
        <f t="shared" si="147"/>
        <v>0</v>
      </c>
      <c r="U678">
        <f t="shared" si="147"/>
        <v>0</v>
      </c>
      <c r="V678">
        <f t="shared" si="147"/>
        <v>0</v>
      </c>
      <c r="W678">
        <f t="shared" si="147"/>
        <v>0</v>
      </c>
      <c r="X678">
        <f t="shared" si="147"/>
        <v>0</v>
      </c>
      <c r="Y678">
        <f t="shared" si="146"/>
        <v>0</v>
      </c>
      <c r="Z678">
        <f t="shared" si="146"/>
        <v>5.6398479612810443E-5</v>
      </c>
      <c r="AA678">
        <f t="shared" si="146"/>
        <v>0</v>
      </c>
      <c r="AB678">
        <f t="shared" si="146"/>
        <v>0</v>
      </c>
      <c r="AC678">
        <f t="shared" si="146"/>
        <v>0</v>
      </c>
      <c r="AD678">
        <f t="shared" si="146"/>
        <v>0</v>
      </c>
      <c r="AE678">
        <f t="shared" si="146"/>
        <v>0</v>
      </c>
      <c r="AF678">
        <f t="shared" si="146"/>
        <v>0</v>
      </c>
      <c r="AG678">
        <f t="shared" si="146"/>
        <v>0</v>
      </c>
      <c r="AH678">
        <f t="shared" si="146"/>
        <v>0</v>
      </c>
      <c r="AI678">
        <f t="shared" si="146"/>
        <v>0</v>
      </c>
      <c r="AJ678">
        <f t="shared" si="146"/>
        <v>0</v>
      </c>
      <c r="AK678">
        <f t="shared" si="145"/>
        <v>0</v>
      </c>
      <c r="AL678">
        <f t="shared" si="145"/>
        <v>0</v>
      </c>
      <c r="AM678">
        <f t="shared" si="145"/>
        <v>0</v>
      </c>
      <c r="AN678">
        <f t="shared" si="145"/>
        <v>0</v>
      </c>
      <c r="AO678">
        <f t="shared" si="145"/>
        <v>0</v>
      </c>
      <c r="AP678">
        <f t="shared" si="145"/>
        <v>0</v>
      </c>
      <c r="AQ678">
        <f t="shared" si="145"/>
        <v>0</v>
      </c>
      <c r="AR678">
        <f t="shared" si="145"/>
        <v>0</v>
      </c>
    </row>
    <row r="679" spans="5:44" x14ac:dyDescent="0.2">
      <c r="E679" s="1">
        <f>moment_rate!$AC679</f>
        <v>6.9967277177208327E-3</v>
      </c>
      <c r="F679" s="1">
        <f t="shared" si="141"/>
        <v>6.0487830795040096E-5</v>
      </c>
      <c r="G679">
        <f>moment_rate!I679-0.005</f>
        <v>6.7199999999999012</v>
      </c>
      <c r="H679" s="1">
        <f t="shared" si="142"/>
        <v>6.0487830795040096E-5</v>
      </c>
      <c r="I679">
        <f t="shared" si="147"/>
        <v>0</v>
      </c>
      <c r="J679">
        <f t="shared" si="147"/>
        <v>0</v>
      </c>
      <c r="K679">
        <f t="shared" si="147"/>
        <v>0</v>
      </c>
      <c r="L679">
        <f t="shared" si="147"/>
        <v>0</v>
      </c>
      <c r="M679">
        <f t="shared" si="147"/>
        <v>0</v>
      </c>
      <c r="N679">
        <f t="shared" si="147"/>
        <v>0</v>
      </c>
      <c r="O679">
        <f t="shared" si="147"/>
        <v>0</v>
      </c>
      <c r="P679">
        <f t="shared" si="147"/>
        <v>0</v>
      </c>
      <c r="Q679">
        <f t="shared" si="147"/>
        <v>0</v>
      </c>
      <c r="R679">
        <f t="shared" si="147"/>
        <v>0</v>
      </c>
      <c r="S679">
        <f t="shared" si="147"/>
        <v>0</v>
      </c>
      <c r="T679">
        <f t="shared" si="147"/>
        <v>0</v>
      </c>
      <c r="U679">
        <f t="shared" si="147"/>
        <v>0</v>
      </c>
      <c r="V679">
        <f t="shared" si="147"/>
        <v>0</v>
      </c>
      <c r="W679">
        <f t="shared" si="147"/>
        <v>0</v>
      </c>
      <c r="X679">
        <f t="shared" si="147"/>
        <v>0</v>
      </c>
      <c r="Y679">
        <f t="shared" si="146"/>
        <v>0</v>
      </c>
      <c r="Z679">
        <f t="shared" si="146"/>
        <v>6.0487830795040096E-5</v>
      </c>
      <c r="AA679">
        <f t="shared" si="146"/>
        <v>0</v>
      </c>
      <c r="AB679">
        <f t="shared" si="146"/>
        <v>0</v>
      </c>
      <c r="AC679">
        <f t="shared" si="146"/>
        <v>0</v>
      </c>
      <c r="AD679">
        <f t="shared" si="146"/>
        <v>0</v>
      </c>
      <c r="AE679">
        <f t="shared" si="146"/>
        <v>0</v>
      </c>
      <c r="AF679">
        <f t="shared" si="146"/>
        <v>0</v>
      </c>
      <c r="AG679">
        <f t="shared" si="146"/>
        <v>0</v>
      </c>
      <c r="AH679">
        <f t="shared" si="146"/>
        <v>0</v>
      </c>
      <c r="AI679">
        <f t="shared" si="146"/>
        <v>0</v>
      </c>
      <c r="AJ679">
        <f t="shared" si="146"/>
        <v>0</v>
      </c>
      <c r="AK679">
        <f t="shared" si="145"/>
        <v>0</v>
      </c>
      <c r="AL679">
        <f t="shared" si="145"/>
        <v>0</v>
      </c>
      <c r="AM679">
        <f t="shared" si="145"/>
        <v>0</v>
      </c>
      <c r="AN679">
        <f t="shared" si="145"/>
        <v>0</v>
      </c>
      <c r="AO679">
        <f t="shared" si="145"/>
        <v>0</v>
      </c>
      <c r="AP679">
        <f t="shared" si="145"/>
        <v>0</v>
      </c>
      <c r="AQ679">
        <f t="shared" si="145"/>
        <v>0</v>
      </c>
      <c r="AR679">
        <f t="shared" si="145"/>
        <v>0</v>
      </c>
    </row>
    <row r="680" spans="5:44" x14ac:dyDescent="0.2">
      <c r="E680" s="1">
        <f>moment_rate!$AC680</f>
        <v>6.9362398869257927E-3</v>
      </c>
      <c r="F680" s="1">
        <f t="shared" si="141"/>
        <v>6.471171172197504E-5</v>
      </c>
      <c r="G680">
        <f>moment_rate!I680-0.005</f>
        <v>6.729999999999901</v>
      </c>
      <c r="H680" s="1">
        <f t="shared" si="142"/>
        <v>6.471171172197504E-5</v>
      </c>
      <c r="I680">
        <f t="shared" si="147"/>
        <v>0</v>
      </c>
      <c r="J680">
        <f t="shared" si="147"/>
        <v>0</v>
      </c>
      <c r="K680">
        <f t="shared" si="147"/>
        <v>0</v>
      </c>
      <c r="L680">
        <f t="shared" si="147"/>
        <v>0</v>
      </c>
      <c r="M680">
        <f t="shared" si="147"/>
        <v>0</v>
      </c>
      <c r="N680">
        <f t="shared" si="147"/>
        <v>0</v>
      </c>
      <c r="O680">
        <f t="shared" si="147"/>
        <v>0</v>
      </c>
      <c r="P680">
        <f t="shared" si="147"/>
        <v>0</v>
      </c>
      <c r="Q680">
        <f t="shared" si="147"/>
        <v>0</v>
      </c>
      <c r="R680">
        <f t="shared" si="147"/>
        <v>0</v>
      </c>
      <c r="S680">
        <f t="shared" si="147"/>
        <v>0</v>
      </c>
      <c r="T680">
        <f t="shared" si="147"/>
        <v>0</v>
      </c>
      <c r="U680">
        <f t="shared" si="147"/>
        <v>0</v>
      </c>
      <c r="V680">
        <f t="shared" si="147"/>
        <v>0</v>
      </c>
      <c r="W680">
        <f t="shared" si="147"/>
        <v>0</v>
      </c>
      <c r="X680">
        <f t="shared" si="147"/>
        <v>0</v>
      </c>
      <c r="Y680">
        <f t="shared" si="146"/>
        <v>0</v>
      </c>
      <c r="Z680">
        <f t="shared" si="146"/>
        <v>6.471171172197504E-5</v>
      </c>
      <c r="AA680">
        <f t="shared" si="146"/>
        <v>0</v>
      </c>
      <c r="AB680">
        <f t="shared" si="146"/>
        <v>0</v>
      </c>
      <c r="AC680">
        <f t="shared" si="146"/>
        <v>0</v>
      </c>
      <c r="AD680">
        <f t="shared" si="146"/>
        <v>0</v>
      </c>
      <c r="AE680">
        <f t="shared" si="146"/>
        <v>0</v>
      </c>
      <c r="AF680">
        <f t="shared" si="146"/>
        <v>0</v>
      </c>
      <c r="AG680">
        <f t="shared" si="146"/>
        <v>0</v>
      </c>
      <c r="AH680">
        <f t="shared" si="146"/>
        <v>0</v>
      </c>
      <c r="AI680">
        <f t="shared" si="146"/>
        <v>0</v>
      </c>
      <c r="AJ680">
        <f t="shared" si="146"/>
        <v>0</v>
      </c>
      <c r="AK680">
        <f t="shared" si="145"/>
        <v>0</v>
      </c>
      <c r="AL680">
        <f t="shared" si="145"/>
        <v>0</v>
      </c>
      <c r="AM680">
        <f t="shared" si="145"/>
        <v>0</v>
      </c>
      <c r="AN680">
        <f t="shared" si="145"/>
        <v>0</v>
      </c>
      <c r="AO680">
        <f t="shared" si="145"/>
        <v>0</v>
      </c>
      <c r="AP680">
        <f t="shared" si="145"/>
        <v>0</v>
      </c>
      <c r="AQ680">
        <f t="shared" si="145"/>
        <v>0</v>
      </c>
      <c r="AR680">
        <f t="shared" si="145"/>
        <v>0</v>
      </c>
    </row>
    <row r="681" spans="5:44" x14ac:dyDescent="0.2">
      <c r="E681" s="1">
        <f>moment_rate!$AC681</f>
        <v>6.8715281752038176E-3</v>
      </c>
      <c r="F681" s="1">
        <f t="shared" si="141"/>
        <v>6.9057687147452626E-5</v>
      </c>
      <c r="G681">
        <f>moment_rate!I681-0.005</f>
        <v>6.7399999999999007</v>
      </c>
      <c r="H681" s="1">
        <f t="shared" si="142"/>
        <v>6.9057687147452626E-5</v>
      </c>
      <c r="I681">
        <f t="shared" si="147"/>
        <v>0</v>
      </c>
      <c r="J681">
        <f t="shared" si="147"/>
        <v>0</v>
      </c>
      <c r="K681">
        <f t="shared" si="147"/>
        <v>0</v>
      </c>
      <c r="L681">
        <f t="shared" si="147"/>
        <v>0</v>
      </c>
      <c r="M681">
        <f t="shared" si="147"/>
        <v>0</v>
      </c>
      <c r="N681">
        <f t="shared" si="147"/>
        <v>0</v>
      </c>
      <c r="O681">
        <f t="shared" si="147"/>
        <v>0</v>
      </c>
      <c r="P681">
        <f t="shared" si="147"/>
        <v>0</v>
      </c>
      <c r="Q681">
        <f t="shared" si="147"/>
        <v>0</v>
      </c>
      <c r="R681">
        <f t="shared" si="147"/>
        <v>0</v>
      </c>
      <c r="S681">
        <f t="shared" si="147"/>
        <v>0</v>
      </c>
      <c r="T681">
        <f t="shared" si="147"/>
        <v>0</v>
      </c>
      <c r="U681">
        <f t="shared" si="147"/>
        <v>0</v>
      </c>
      <c r="V681">
        <f t="shared" si="147"/>
        <v>0</v>
      </c>
      <c r="W681">
        <f t="shared" si="147"/>
        <v>0</v>
      </c>
      <c r="X681">
        <f t="shared" si="147"/>
        <v>0</v>
      </c>
      <c r="Y681">
        <f t="shared" si="146"/>
        <v>0</v>
      </c>
      <c r="Z681">
        <f t="shared" si="146"/>
        <v>6.9057687147452626E-5</v>
      </c>
      <c r="AA681">
        <f t="shared" si="146"/>
        <v>0</v>
      </c>
      <c r="AB681">
        <f t="shared" si="146"/>
        <v>0</v>
      </c>
      <c r="AC681">
        <f t="shared" si="146"/>
        <v>0</v>
      </c>
      <c r="AD681">
        <f t="shared" si="146"/>
        <v>0</v>
      </c>
      <c r="AE681">
        <f t="shared" si="146"/>
        <v>0</v>
      </c>
      <c r="AF681">
        <f t="shared" si="146"/>
        <v>0</v>
      </c>
      <c r="AG681">
        <f t="shared" si="146"/>
        <v>0</v>
      </c>
      <c r="AH681">
        <f t="shared" si="146"/>
        <v>0</v>
      </c>
      <c r="AI681">
        <f t="shared" si="146"/>
        <v>0</v>
      </c>
      <c r="AJ681">
        <f t="shared" si="146"/>
        <v>0</v>
      </c>
      <c r="AK681">
        <f t="shared" si="145"/>
        <v>0</v>
      </c>
      <c r="AL681">
        <f t="shared" si="145"/>
        <v>0</v>
      </c>
      <c r="AM681">
        <f t="shared" si="145"/>
        <v>0</v>
      </c>
      <c r="AN681">
        <f t="shared" si="145"/>
        <v>0</v>
      </c>
      <c r="AO681">
        <f t="shared" si="145"/>
        <v>0</v>
      </c>
      <c r="AP681">
        <f t="shared" si="145"/>
        <v>0</v>
      </c>
      <c r="AQ681">
        <f t="shared" si="145"/>
        <v>0</v>
      </c>
      <c r="AR681">
        <f t="shared" si="145"/>
        <v>0</v>
      </c>
    </row>
    <row r="682" spans="5:44" x14ac:dyDescent="0.2">
      <c r="E682" s="1">
        <f>moment_rate!$AC682</f>
        <v>6.802470488056365E-3</v>
      </c>
      <c r="F682" s="1">
        <f t="shared" si="141"/>
        <v>7.3511525314150748E-5</v>
      </c>
      <c r="G682">
        <f>moment_rate!I682-0.005</f>
        <v>6.7499999999999005</v>
      </c>
      <c r="H682" s="1">
        <f t="shared" si="142"/>
        <v>7.3511525314150748E-5</v>
      </c>
      <c r="I682">
        <f t="shared" si="147"/>
        <v>0</v>
      </c>
      <c r="J682">
        <f t="shared" si="147"/>
        <v>0</v>
      </c>
      <c r="K682">
        <f t="shared" si="147"/>
        <v>0</v>
      </c>
      <c r="L682">
        <f t="shared" si="147"/>
        <v>0</v>
      </c>
      <c r="M682">
        <f t="shared" si="147"/>
        <v>0</v>
      </c>
      <c r="N682">
        <f t="shared" si="147"/>
        <v>0</v>
      </c>
      <c r="O682">
        <f t="shared" si="147"/>
        <v>0</v>
      </c>
      <c r="P682">
        <f t="shared" si="147"/>
        <v>0</v>
      </c>
      <c r="Q682">
        <f t="shared" si="147"/>
        <v>0</v>
      </c>
      <c r="R682">
        <f t="shared" si="147"/>
        <v>0</v>
      </c>
      <c r="S682">
        <f t="shared" si="147"/>
        <v>0</v>
      </c>
      <c r="T682">
        <f t="shared" si="147"/>
        <v>0</v>
      </c>
      <c r="U682">
        <f t="shared" si="147"/>
        <v>0</v>
      </c>
      <c r="V682">
        <f t="shared" si="147"/>
        <v>0</v>
      </c>
      <c r="W682">
        <f t="shared" si="147"/>
        <v>0</v>
      </c>
      <c r="X682">
        <f t="shared" ref="X682:AM697" si="148">IF(AND($G682&gt;=X$3,$G682&lt;X$4),$F682,0)</f>
        <v>0</v>
      </c>
      <c r="Y682">
        <f t="shared" si="148"/>
        <v>0</v>
      </c>
      <c r="Z682">
        <f t="shared" si="146"/>
        <v>7.3511525314150748E-5</v>
      </c>
      <c r="AA682">
        <f t="shared" si="146"/>
        <v>0</v>
      </c>
      <c r="AB682">
        <f t="shared" si="146"/>
        <v>0</v>
      </c>
      <c r="AC682">
        <f t="shared" si="146"/>
        <v>0</v>
      </c>
      <c r="AD682">
        <f t="shared" si="146"/>
        <v>0</v>
      </c>
      <c r="AE682">
        <f t="shared" si="146"/>
        <v>0</v>
      </c>
      <c r="AF682">
        <f t="shared" si="146"/>
        <v>0</v>
      </c>
      <c r="AG682">
        <f t="shared" si="146"/>
        <v>0</v>
      </c>
      <c r="AH682">
        <f t="shared" si="146"/>
        <v>0</v>
      </c>
      <c r="AI682">
        <f t="shared" si="146"/>
        <v>0</v>
      </c>
      <c r="AJ682">
        <f t="shared" si="146"/>
        <v>0</v>
      </c>
      <c r="AK682">
        <f t="shared" si="145"/>
        <v>0</v>
      </c>
      <c r="AL682">
        <f t="shared" si="145"/>
        <v>0</v>
      </c>
      <c r="AM682">
        <f t="shared" si="145"/>
        <v>0</v>
      </c>
      <c r="AN682">
        <f t="shared" si="145"/>
        <v>0</v>
      </c>
      <c r="AO682">
        <f t="shared" si="145"/>
        <v>0</v>
      </c>
      <c r="AP682">
        <f t="shared" si="145"/>
        <v>0</v>
      </c>
      <c r="AQ682">
        <f t="shared" si="145"/>
        <v>0</v>
      </c>
      <c r="AR682">
        <f t="shared" si="145"/>
        <v>0</v>
      </c>
    </row>
    <row r="683" spans="5:44" x14ac:dyDescent="0.2">
      <c r="E683" s="1">
        <f>moment_rate!$AC683</f>
        <v>6.7289589627422142E-3</v>
      </c>
      <c r="F683" s="1">
        <f t="shared" si="141"/>
        <v>7.8057224170859259E-5</v>
      </c>
      <c r="G683">
        <f>moment_rate!I683-0.005</f>
        <v>6.7599999999999003</v>
      </c>
      <c r="H683" s="1">
        <f t="shared" si="142"/>
        <v>7.8057224170859259E-5</v>
      </c>
      <c r="I683">
        <f t="shared" ref="I683:X698" si="149">IF(AND($G683&gt;=I$3,$G683&lt;I$4),$F683,0)</f>
        <v>0</v>
      </c>
      <c r="J683">
        <f t="shared" si="149"/>
        <v>0</v>
      </c>
      <c r="K683">
        <f t="shared" si="149"/>
        <v>0</v>
      </c>
      <c r="L683">
        <f t="shared" si="149"/>
        <v>0</v>
      </c>
      <c r="M683">
        <f t="shared" si="149"/>
        <v>0</v>
      </c>
      <c r="N683">
        <f t="shared" si="149"/>
        <v>0</v>
      </c>
      <c r="O683">
        <f t="shared" si="149"/>
        <v>0</v>
      </c>
      <c r="P683">
        <f t="shared" si="149"/>
        <v>0</v>
      </c>
      <c r="Q683">
        <f t="shared" si="149"/>
        <v>0</v>
      </c>
      <c r="R683">
        <f t="shared" si="149"/>
        <v>0</v>
      </c>
      <c r="S683">
        <f t="shared" si="149"/>
        <v>0</v>
      </c>
      <c r="T683">
        <f t="shared" si="149"/>
        <v>0</v>
      </c>
      <c r="U683">
        <f t="shared" si="149"/>
        <v>0</v>
      </c>
      <c r="V683">
        <f t="shared" si="149"/>
        <v>0</v>
      </c>
      <c r="W683">
        <f t="shared" si="149"/>
        <v>0</v>
      </c>
      <c r="X683">
        <f t="shared" si="149"/>
        <v>0</v>
      </c>
      <c r="Y683">
        <f t="shared" si="148"/>
        <v>0</v>
      </c>
      <c r="Z683">
        <f t="shared" si="146"/>
        <v>7.8057224170859259E-5</v>
      </c>
      <c r="AA683">
        <f t="shared" si="146"/>
        <v>0</v>
      </c>
      <c r="AB683">
        <f t="shared" si="146"/>
        <v>0</v>
      </c>
      <c r="AC683">
        <f t="shared" si="146"/>
        <v>0</v>
      </c>
      <c r="AD683">
        <f t="shared" si="146"/>
        <v>0</v>
      </c>
      <c r="AE683">
        <f t="shared" si="146"/>
        <v>0</v>
      </c>
      <c r="AF683">
        <f t="shared" si="146"/>
        <v>0</v>
      </c>
      <c r="AG683">
        <f t="shared" si="146"/>
        <v>0</v>
      </c>
      <c r="AH683">
        <f t="shared" si="146"/>
        <v>0</v>
      </c>
      <c r="AI683">
        <f t="shared" si="146"/>
        <v>0</v>
      </c>
      <c r="AJ683">
        <f t="shared" si="146"/>
        <v>0</v>
      </c>
      <c r="AK683">
        <f t="shared" si="145"/>
        <v>0</v>
      </c>
      <c r="AL683">
        <f t="shared" si="145"/>
        <v>0</v>
      </c>
      <c r="AM683">
        <f t="shared" si="145"/>
        <v>0</v>
      </c>
      <c r="AN683">
        <f t="shared" si="145"/>
        <v>0</v>
      </c>
      <c r="AO683">
        <f t="shared" si="145"/>
        <v>0</v>
      </c>
      <c r="AP683">
        <f t="shared" si="145"/>
        <v>0</v>
      </c>
      <c r="AQ683">
        <f t="shared" si="145"/>
        <v>0</v>
      </c>
      <c r="AR683">
        <f t="shared" si="145"/>
        <v>0</v>
      </c>
    </row>
    <row r="684" spans="5:44" x14ac:dyDescent="0.2">
      <c r="E684" s="1">
        <f>moment_rate!$AC684</f>
        <v>6.650901738571355E-3</v>
      </c>
      <c r="F684" s="1">
        <f t="shared" si="141"/>
        <v>8.267706210997143E-5</v>
      </c>
      <c r="G684">
        <f>moment_rate!I684-0.005</f>
        <v>6.7699999999999001</v>
      </c>
      <c r="H684" s="1">
        <f t="shared" si="142"/>
        <v>8.267706210997143E-5</v>
      </c>
      <c r="I684">
        <f t="shared" si="149"/>
        <v>0</v>
      </c>
      <c r="J684">
        <f t="shared" si="149"/>
        <v>0</v>
      </c>
      <c r="K684">
        <f t="shared" si="149"/>
        <v>0</v>
      </c>
      <c r="L684">
        <f t="shared" si="149"/>
        <v>0</v>
      </c>
      <c r="M684">
        <f t="shared" si="149"/>
        <v>0</v>
      </c>
      <c r="N684">
        <f t="shared" si="149"/>
        <v>0</v>
      </c>
      <c r="O684">
        <f t="shared" si="149"/>
        <v>0</v>
      </c>
      <c r="P684">
        <f t="shared" si="149"/>
        <v>0</v>
      </c>
      <c r="Q684">
        <f t="shared" si="149"/>
        <v>0</v>
      </c>
      <c r="R684">
        <f t="shared" si="149"/>
        <v>0</v>
      </c>
      <c r="S684">
        <f t="shared" si="149"/>
        <v>0</v>
      </c>
      <c r="T684">
        <f t="shared" si="149"/>
        <v>0</v>
      </c>
      <c r="U684">
        <f t="shared" si="149"/>
        <v>0</v>
      </c>
      <c r="V684">
        <f t="shared" si="149"/>
        <v>0</v>
      </c>
      <c r="W684">
        <f t="shared" si="149"/>
        <v>0</v>
      </c>
      <c r="X684">
        <f t="shared" si="149"/>
        <v>0</v>
      </c>
      <c r="Y684">
        <f t="shared" si="148"/>
        <v>0</v>
      </c>
      <c r="Z684">
        <f t="shared" si="146"/>
        <v>8.267706210997143E-5</v>
      </c>
      <c r="AA684">
        <f t="shared" si="146"/>
        <v>0</v>
      </c>
      <c r="AB684">
        <f t="shared" si="146"/>
        <v>0</v>
      </c>
      <c r="AC684">
        <f t="shared" si="146"/>
        <v>0</v>
      </c>
      <c r="AD684">
        <f t="shared" si="146"/>
        <v>0</v>
      </c>
      <c r="AE684">
        <f t="shared" si="146"/>
        <v>0</v>
      </c>
      <c r="AF684">
        <f t="shared" si="146"/>
        <v>0</v>
      </c>
      <c r="AG684">
        <f t="shared" si="146"/>
        <v>0</v>
      </c>
      <c r="AH684">
        <f t="shared" si="146"/>
        <v>0</v>
      </c>
      <c r="AI684">
        <f t="shared" si="146"/>
        <v>0</v>
      </c>
      <c r="AJ684">
        <f t="shared" si="146"/>
        <v>0</v>
      </c>
      <c r="AK684">
        <f t="shared" si="145"/>
        <v>0</v>
      </c>
      <c r="AL684">
        <f t="shared" si="145"/>
        <v>0</v>
      </c>
      <c r="AM684">
        <f t="shared" si="145"/>
        <v>0</v>
      </c>
      <c r="AN684">
        <f t="shared" si="145"/>
        <v>0</v>
      </c>
      <c r="AO684">
        <f t="shared" si="145"/>
        <v>0</v>
      </c>
      <c r="AP684">
        <f t="shared" si="145"/>
        <v>0</v>
      </c>
      <c r="AQ684">
        <f t="shared" si="145"/>
        <v>0</v>
      </c>
      <c r="AR684">
        <f t="shared" si="145"/>
        <v>0</v>
      </c>
    </row>
    <row r="685" spans="5:44" x14ac:dyDescent="0.2">
      <c r="E685" s="1">
        <f>moment_rate!$AC685</f>
        <v>6.5682246764613835E-3</v>
      </c>
      <c r="F685" s="1">
        <f t="shared" si="141"/>
        <v>8.7351674021235795E-5</v>
      </c>
      <c r="G685">
        <f>moment_rate!I685-0.005</f>
        <v>6.7799999999998999</v>
      </c>
      <c r="H685" s="1">
        <f t="shared" si="142"/>
        <v>8.7351674021235795E-5</v>
      </c>
      <c r="I685">
        <f t="shared" si="149"/>
        <v>0</v>
      </c>
      <c r="J685">
        <f t="shared" si="149"/>
        <v>0</v>
      </c>
      <c r="K685">
        <f t="shared" si="149"/>
        <v>0</v>
      </c>
      <c r="L685">
        <f t="shared" si="149"/>
        <v>0</v>
      </c>
      <c r="M685">
        <f t="shared" si="149"/>
        <v>0</v>
      </c>
      <c r="N685">
        <f t="shared" si="149"/>
        <v>0</v>
      </c>
      <c r="O685">
        <f t="shared" si="149"/>
        <v>0</v>
      </c>
      <c r="P685">
        <f t="shared" si="149"/>
        <v>0</v>
      </c>
      <c r="Q685">
        <f t="shared" si="149"/>
        <v>0</v>
      </c>
      <c r="R685">
        <f t="shared" si="149"/>
        <v>0</v>
      </c>
      <c r="S685">
        <f t="shared" si="149"/>
        <v>0</v>
      </c>
      <c r="T685">
        <f t="shared" si="149"/>
        <v>0</v>
      </c>
      <c r="U685">
        <f t="shared" si="149"/>
        <v>0</v>
      </c>
      <c r="V685">
        <f t="shared" si="149"/>
        <v>0</v>
      </c>
      <c r="W685">
        <f t="shared" si="149"/>
        <v>0</v>
      </c>
      <c r="X685">
        <f t="shared" si="149"/>
        <v>0</v>
      </c>
      <c r="Y685">
        <f t="shared" si="148"/>
        <v>0</v>
      </c>
      <c r="Z685">
        <f t="shared" si="146"/>
        <v>8.7351674021235795E-5</v>
      </c>
      <c r="AA685">
        <f t="shared" si="146"/>
        <v>0</v>
      </c>
      <c r="AB685">
        <f t="shared" ref="AB685:AJ685" si="150">IF(AND($G685&gt;=AB$3,$G685&lt;AB$4),$F685,0)</f>
        <v>0</v>
      </c>
      <c r="AC685">
        <f t="shared" si="150"/>
        <v>0</v>
      </c>
      <c r="AD685">
        <f t="shared" si="150"/>
        <v>0</v>
      </c>
      <c r="AE685">
        <f t="shared" si="150"/>
        <v>0</v>
      </c>
      <c r="AF685">
        <f t="shared" si="150"/>
        <v>0</v>
      </c>
      <c r="AG685">
        <f t="shared" si="150"/>
        <v>0</v>
      </c>
      <c r="AH685">
        <f t="shared" si="150"/>
        <v>0</v>
      </c>
      <c r="AI685">
        <f t="shared" si="150"/>
        <v>0</v>
      </c>
      <c r="AJ685">
        <f t="shared" si="150"/>
        <v>0</v>
      </c>
      <c r="AK685">
        <f t="shared" si="145"/>
        <v>0</v>
      </c>
      <c r="AL685">
        <f t="shared" si="145"/>
        <v>0</v>
      </c>
      <c r="AM685">
        <f t="shared" si="145"/>
        <v>0</v>
      </c>
      <c r="AN685">
        <f t="shared" si="145"/>
        <v>0</v>
      </c>
      <c r="AO685">
        <f t="shared" si="145"/>
        <v>0</v>
      </c>
      <c r="AP685">
        <f t="shared" si="145"/>
        <v>0</v>
      </c>
      <c r="AQ685">
        <f t="shared" si="145"/>
        <v>0</v>
      </c>
      <c r="AR685">
        <f t="shared" si="145"/>
        <v>0</v>
      </c>
    </row>
    <row r="686" spans="5:44" x14ac:dyDescent="0.2">
      <c r="E686" s="1">
        <f>moment_rate!$AC686</f>
        <v>6.4808730024401478E-3</v>
      </c>
      <c r="F686" s="1">
        <f t="shared" si="141"/>
        <v>9.2060153052830537E-5</v>
      </c>
      <c r="G686">
        <f>moment_rate!I686-0.005</f>
        <v>6.7899999999998997</v>
      </c>
      <c r="H686" s="1">
        <f t="shared" si="142"/>
        <v>9.2060153052830537E-5</v>
      </c>
      <c r="I686">
        <f t="shared" si="149"/>
        <v>0</v>
      </c>
      <c r="J686">
        <f t="shared" si="149"/>
        <v>0</v>
      </c>
      <c r="K686">
        <f t="shared" si="149"/>
        <v>0</v>
      </c>
      <c r="L686">
        <f t="shared" si="149"/>
        <v>0</v>
      </c>
      <c r="M686">
        <f t="shared" si="149"/>
        <v>0</v>
      </c>
      <c r="N686">
        <f t="shared" si="149"/>
        <v>0</v>
      </c>
      <c r="O686">
        <f t="shared" si="149"/>
        <v>0</v>
      </c>
      <c r="P686">
        <f t="shared" si="149"/>
        <v>0</v>
      </c>
      <c r="Q686">
        <f t="shared" si="149"/>
        <v>0</v>
      </c>
      <c r="R686">
        <f t="shared" si="149"/>
        <v>0</v>
      </c>
      <c r="S686">
        <f t="shared" si="149"/>
        <v>0</v>
      </c>
      <c r="T686">
        <f t="shared" si="149"/>
        <v>0</v>
      </c>
      <c r="U686">
        <f t="shared" si="149"/>
        <v>0</v>
      </c>
      <c r="V686">
        <f t="shared" si="149"/>
        <v>0</v>
      </c>
      <c r="W686">
        <f t="shared" si="149"/>
        <v>0</v>
      </c>
      <c r="X686">
        <f t="shared" si="149"/>
        <v>0</v>
      </c>
      <c r="Y686">
        <f t="shared" si="148"/>
        <v>0</v>
      </c>
      <c r="Z686">
        <f t="shared" si="148"/>
        <v>9.2060153052830537E-5</v>
      </c>
      <c r="AA686">
        <f t="shared" si="148"/>
        <v>0</v>
      </c>
      <c r="AB686">
        <f t="shared" si="148"/>
        <v>0</v>
      </c>
      <c r="AC686">
        <f t="shared" si="148"/>
        <v>0</v>
      </c>
      <c r="AD686">
        <f t="shared" si="148"/>
        <v>0</v>
      </c>
      <c r="AE686">
        <f t="shared" si="148"/>
        <v>0</v>
      </c>
      <c r="AF686">
        <f t="shared" si="148"/>
        <v>0</v>
      </c>
      <c r="AG686">
        <f t="shared" si="148"/>
        <v>0</v>
      </c>
      <c r="AH686">
        <f t="shared" si="148"/>
        <v>0</v>
      </c>
      <c r="AI686">
        <f t="shared" si="148"/>
        <v>0</v>
      </c>
      <c r="AJ686">
        <f t="shared" si="148"/>
        <v>0</v>
      </c>
      <c r="AK686">
        <f t="shared" si="148"/>
        <v>0</v>
      </c>
      <c r="AL686">
        <f t="shared" si="148"/>
        <v>0</v>
      </c>
      <c r="AM686">
        <f t="shared" si="148"/>
        <v>0</v>
      </c>
      <c r="AN686">
        <f t="shared" si="145"/>
        <v>0</v>
      </c>
      <c r="AO686">
        <f t="shared" si="145"/>
        <v>0</v>
      </c>
      <c r="AP686">
        <f t="shared" si="145"/>
        <v>0</v>
      </c>
      <c r="AQ686">
        <f t="shared" si="145"/>
        <v>0</v>
      </c>
      <c r="AR686">
        <f t="shared" si="145"/>
        <v>0</v>
      </c>
    </row>
    <row r="687" spans="5:44" x14ac:dyDescent="0.2">
      <c r="E687" s="1">
        <f>moment_rate!$AC687</f>
        <v>6.3888128493873172E-3</v>
      </c>
      <c r="F687" s="1">
        <f t="shared" si="141"/>
        <v>9.6780178032397288E-5</v>
      </c>
      <c r="G687">
        <f>moment_rate!I687-0.005</f>
        <v>6.7999999999998995</v>
      </c>
      <c r="H687" s="1">
        <f t="shared" si="142"/>
        <v>9.6780178032397288E-5</v>
      </c>
      <c r="I687">
        <f t="shared" si="149"/>
        <v>0</v>
      </c>
      <c r="J687">
        <f t="shared" si="149"/>
        <v>0</v>
      </c>
      <c r="K687">
        <f t="shared" si="149"/>
        <v>0</v>
      </c>
      <c r="L687">
        <f t="shared" si="149"/>
        <v>0</v>
      </c>
      <c r="M687">
        <f t="shared" si="149"/>
        <v>0</v>
      </c>
      <c r="N687">
        <f t="shared" si="149"/>
        <v>0</v>
      </c>
      <c r="O687">
        <f t="shared" si="149"/>
        <v>0</v>
      </c>
      <c r="P687">
        <f t="shared" si="149"/>
        <v>0</v>
      </c>
      <c r="Q687">
        <f t="shared" si="149"/>
        <v>0</v>
      </c>
      <c r="R687">
        <f t="shared" si="149"/>
        <v>0</v>
      </c>
      <c r="S687">
        <f t="shared" si="149"/>
        <v>0</v>
      </c>
      <c r="T687">
        <f t="shared" si="149"/>
        <v>0</v>
      </c>
      <c r="U687">
        <f t="shared" si="149"/>
        <v>0</v>
      </c>
      <c r="V687">
        <f t="shared" si="149"/>
        <v>0</v>
      </c>
      <c r="W687">
        <f t="shared" si="149"/>
        <v>0</v>
      </c>
      <c r="X687">
        <f t="shared" si="149"/>
        <v>0</v>
      </c>
      <c r="Y687">
        <f t="shared" si="148"/>
        <v>0</v>
      </c>
      <c r="Z687">
        <f t="shared" si="148"/>
        <v>9.6780178032397288E-5</v>
      </c>
      <c r="AA687">
        <f t="shared" si="148"/>
        <v>0</v>
      </c>
      <c r="AB687">
        <f t="shared" si="148"/>
        <v>0</v>
      </c>
      <c r="AC687">
        <f t="shared" si="148"/>
        <v>0</v>
      </c>
      <c r="AD687">
        <f t="shared" si="148"/>
        <v>0</v>
      </c>
      <c r="AE687">
        <f t="shared" si="148"/>
        <v>0</v>
      </c>
      <c r="AF687">
        <f t="shared" si="148"/>
        <v>0</v>
      </c>
      <c r="AG687">
        <f t="shared" si="148"/>
        <v>0</v>
      </c>
      <c r="AH687">
        <f t="shared" si="148"/>
        <v>0</v>
      </c>
      <c r="AI687">
        <f t="shared" si="148"/>
        <v>0</v>
      </c>
      <c r="AJ687">
        <f t="shared" si="148"/>
        <v>0</v>
      </c>
      <c r="AK687">
        <f t="shared" si="148"/>
        <v>0</v>
      </c>
      <c r="AL687">
        <f t="shared" si="148"/>
        <v>0</v>
      </c>
      <c r="AM687">
        <f t="shared" si="148"/>
        <v>0</v>
      </c>
      <c r="AN687">
        <f t="shared" si="145"/>
        <v>0</v>
      </c>
      <c r="AO687">
        <f t="shared" si="145"/>
        <v>0</v>
      </c>
      <c r="AP687">
        <f t="shared" si="145"/>
        <v>0</v>
      </c>
      <c r="AQ687">
        <f t="shared" si="145"/>
        <v>0</v>
      </c>
      <c r="AR687">
        <f t="shared" si="145"/>
        <v>0</v>
      </c>
    </row>
    <row r="688" spans="5:44" x14ac:dyDescent="0.2">
      <c r="E688" s="1">
        <f>moment_rate!$AC688</f>
        <v>6.2920326713549199E-3</v>
      </c>
      <c r="F688" s="1">
        <f t="shared" si="141"/>
        <v>1.0148816603751647E-4</v>
      </c>
      <c r="G688">
        <f>moment_rate!I688-0.005</f>
        <v>6.8099999999998992</v>
      </c>
      <c r="H688" s="1">
        <f t="shared" si="142"/>
        <v>1.0148816603751647E-4</v>
      </c>
      <c r="I688">
        <f t="shared" si="149"/>
        <v>0</v>
      </c>
      <c r="J688">
        <f t="shared" si="149"/>
        <v>0</v>
      </c>
      <c r="K688">
        <f t="shared" si="149"/>
        <v>0</v>
      </c>
      <c r="L688">
        <f t="shared" si="149"/>
        <v>0</v>
      </c>
      <c r="M688">
        <f t="shared" si="149"/>
        <v>0</v>
      </c>
      <c r="N688">
        <f t="shared" si="149"/>
        <v>0</v>
      </c>
      <c r="O688">
        <f t="shared" si="149"/>
        <v>0</v>
      </c>
      <c r="P688">
        <f t="shared" si="149"/>
        <v>0</v>
      </c>
      <c r="Q688">
        <f t="shared" si="149"/>
        <v>0</v>
      </c>
      <c r="R688">
        <f t="shared" si="149"/>
        <v>0</v>
      </c>
      <c r="S688">
        <f t="shared" si="149"/>
        <v>0</v>
      </c>
      <c r="T688">
        <f t="shared" si="149"/>
        <v>0</v>
      </c>
      <c r="U688">
        <f t="shared" si="149"/>
        <v>0</v>
      </c>
      <c r="V688">
        <f t="shared" si="149"/>
        <v>0</v>
      </c>
      <c r="W688">
        <f t="shared" si="149"/>
        <v>0</v>
      </c>
      <c r="X688">
        <f t="shared" si="149"/>
        <v>0</v>
      </c>
      <c r="Y688">
        <f t="shared" si="148"/>
        <v>0</v>
      </c>
      <c r="Z688">
        <f t="shared" si="148"/>
        <v>0</v>
      </c>
      <c r="AA688">
        <f t="shared" si="148"/>
        <v>1.0148816603751647E-4</v>
      </c>
      <c r="AB688">
        <f t="shared" si="148"/>
        <v>0</v>
      </c>
      <c r="AC688">
        <f t="shared" si="148"/>
        <v>0</v>
      </c>
      <c r="AD688">
        <f t="shared" si="148"/>
        <v>0</v>
      </c>
      <c r="AE688">
        <f t="shared" si="148"/>
        <v>0</v>
      </c>
      <c r="AF688">
        <f t="shared" si="148"/>
        <v>0</v>
      </c>
      <c r="AG688">
        <f t="shared" si="148"/>
        <v>0</v>
      </c>
      <c r="AH688">
        <f t="shared" si="148"/>
        <v>0</v>
      </c>
      <c r="AI688">
        <f t="shared" si="148"/>
        <v>0</v>
      </c>
      <c r="AJ688">
        <f t="shared" si="148"/>
        <v>0</v>
      </c>
      <c r="AK688">
        <f t="shared" si="148"/>
        <v>0</v>
      </c>
      <c r="AL688">
        <f t="shared" si="148"/>
        <v>0</v>
      </c>
      <c r="AM688">
        <f t="shared" si="148"/>
        <v>0</v>
      </c>
      <c r="AN688">
        <f t="shared" si="145"/>
        <v>0</v>
      </c>
      <c r="AO688">
        <f t="shared" si="145"/>
        <v>0</v>
      </c>
      <c r="AP688">
        <f t="shared" si="145"/>
        <v>0</v>
      </c>
      <c r="AQ688">
        <f t="shared" si="145"/>
        <v>0</v>
      </c>
      <c r="AR688">
        <f t="shared" si="145"/>
        <v>0</v>
      </c>
    </row>
    <row r="689" spans="5:44" x14ac:dyDescent="0.2">
      <c r="E689" s="1">
        <f>moment_rate!$AC689</f>
        <v>6.1905445053174035E-3</v>
      </c>
      <c r="F689" s="1">
        <f t="shared" si="141"/>
        <v>1.0615944912628714E-4</v>
      </c>
      <c r="G689">
        <f>moment_rate!I689-0.005</f>
        <v>6.819999999999899</v>
      </c>
      <c r="H689" s="1">
        <f t="shared" si="142"/>
        <v>1.0615944912628714E-4</v>
      </c>
      <c r="I689">
        <f t="shared" si="149"/>
        <v>0</v>
      </c>
      <c r="J689">
        <f t="shared" si="149"/>
        <v>0</v>
      </c>
      <c r="K689">
        <f t="shared" si="149"/>
        <v>0</v>
      </c>
      <c r="L689">
        <f t="shared" si="149"/>
        <v>0</v>
      </c>
      <c r="M689">
        <f t="shared" si="149"/>
        <v>0</v>
      </c>
      <c r="N689">
        <f t="shared" si="149"/>
        <v>0</v>
      </c>
      <c r="O689">
        <f t="shared" si="149"/>
        <v>0</v>
      </c>
      <c r="P689">
        <f t="shared" si="149"/>
        <v>0</v>
      </c>
      <c r="Q689">
        <f t="shared" si="149"/>
        <v>0</v>
      </c>
      <c r="R689">
        <f t="shared" si="149"/>
        <v>0</v>
      </c>
      <c r="S689">
        <f t="shared" si="149"/>
        <v>0</v>
      </c>
      <c r="T689">
        <f t="shared" si="149"/>
        <v>0</v>
      </c>
      <c r="U689">
        <f t="shared" si="149"/>
        <v>0</v>
      </c>
      <c r="V689">
        <f t="shared" si="149"/>
        <v>0</v>
      </c>
      <c r="W689">
        <f t="shared" si="149"/>
        <v>0</v>
      </c>
      <c r="X689">
        <f t="shared" si="149"/>
        <v>0</v>
      </c>
      <c r="Y689">
        <f t="shared" si="148"/>
        <v>0</v>
      </c>
      <c r="Z689">
        <f t="shared" si="148"/>
        <v>0</v>
      </c>
      <c r="AA689">
        <f t="shared" si="148"/>
        <v>1.0615944912628714E-4</v>
      </c>
      <c r="AB689">
        <f t="shared" si="148"/>
        <v>0</v>
      </c>
      <c r="AC689">
        <f t="shared" si="148"/>
        <v>0</v>
      </c>
      <c r="AD689">
        <f t="shared" si="148"/>
        <v>0</v>
      </c>
      <c r="AE689">
        <f t="shared" si="148"/>
        <v>0</v>
      </c>
      <c r="AF689">
        <f t="shared" si="148"/>
        <v>0</v>
      </c>
      <c r="AG689">
        <f t="shared" si="148"/>
        <v>0</v>
      </c>
      <c r="AH689">
        <f t="shared" si="148"/>
        <v>0</v>
      </c>
      <c r="AI689">
        <f t="shared" si="148"/>
        <v>0</v>
      </c>
      <c r="AJ689">
        <f t="shared" si="148"/>
        <v>0</v>
      </c>
      <c r="AK689">
        <f t="shared" si="148"/>
        <v>0</v>
      </c>
      <c r="AL689">
        <f t="shared" si="148"/>
        <v>0</v>
      </c>
      <c r="AM689">
        <f t="shared" si="148"/>
        <v>0</v>
      </c>
      <c r="AN689">
        <f t="shared" si="145"/>
        <v>0</v>
      </c>
      <c r="AO689">
        <f t="shared" si="145"/>
        <v>0</v>
      </c>
      <c r="AP689">
        <f t="shared" si="145"/>
        <v>0</v>
      </c>
      <c r="AQ689">
        <f t="shared" si="145"/>
        <v>0</v>
      </c>
      <c r="AR689">
        <f t="shared" si="145"/>
        <v>0</v>
      </c>
    </row>
    <row r="690" spans="5:44" x14ac:dyDescent="0.2">
      <c r="E690" s="1">
        <f>moment_rate!$AC690</f>
        <v>6.0843850561911163E-3</v>
      </c>
      <c r="F690" s="1">
        <f t="shared" si="141"/>
        <v>1.1076847375415637E-4</v>
      </c>
      <c r="G690">
        <f>moment_rate!I690-0.005</f>
        <v>6.8299999999998988</v>
      </c>
      <c r="H690" s="1">
        <f t="shared" si="142"/>
        <v>1.1076847375415637E-4</v>
      </c>
      <c r="I690">
        <f t="shared" si="149"/>
        <v>0</v>
      </c>
      <c r="J690">
        <f t="shared" si="149"/>
        <v>0</v>
      </c>
      <c r="K690">
        <f t="shared" si="149"/>
        <v>0</v>
      </c>
      <c r="L690">
        <f t="shared" si="149"/>
        <v>0</v>
      </c>
      <c r="M690">
        <f t="shared" si="149"/>
        <v>0</v>
      </c>
      <c r="N690">
        <f t="shared" si="149"/>
        <v>0</v>
      </c>
      <c r="O690">
        <f t="shared" si="149"/>
        <v>0</v>
      </c>
      <c r="P690">
        <f t="shared" si="149"/>
        <v>0</v>
      </c>
      <c r="Q690">
        <f t="shared" si="149"/>
        <v>0</v>
      </c>
      <c r="R690">
        <f t="shared" si="149"/>
        <v>0</v>
      </c>
      <c r="S690">
        <f t="shared" si="149"/>
        <v>0</v>
      </c>
      <c r="T690">
        <f t="shared" si="149"/>
        <v>0</v>
      </c>
      <c r="U690">
        <f t="shared" si="149"/>
        <v>0</v>
      </c>
      <c r="V690">
        <f t="shared" si="149"/>
        <v>0</v>
      </c>
      <c r="W690">
        <f t="shared" si="149"/>
        <v>0</v>
      </c>
      <c r="X690">
        <f t="shared" si="149"/>
        <v>0</v>
      </c>
      <c r="Y690">
        <f t="shared" si="148"/>
        <v>0</v>
      </c>
      <c r="Z690">
        <f t="shared" si="148"/>
        <v>0</v>
      </c>
      <c r="AA690">
        <f t="shared" si="148"/>
        <v>1.1076847375415637E-4</v>
      </c>
      <c r="AB690">
        <f t="shared" si="148"/>
        <v>0</v>
      </c>
      <c r="AC690">
        <f t="shared" si="148"/>
        <v>0</v>
      </c>
      <c r="AD690">
        <f t="shared" si="148"/>
        <v>0</v>
      </c>
      <c r="AE690">
        <f t="shared" si="148"/>
        <v>0</v>
      </c>
      <c r="AF690">
        <f t="shared" si="148"/>
        <v>0</v>
      </c>
      <c r="AG690">
        <f t="shared" si="148"/>
        <v>0</v>
      </c>
      <c r="AH690">
        <f t="shared" si="148"/>
        <v>0</v>
      </c>
      <c r="AI690">
        <f t="shared" si="148"/>
        <v>0</v>
      </c>
      <c r="AJ690">
        <f t="shared" si="148"/>
        <v>0</v>
      </c>
      <c r="AK690">
        <f t="shared" si="148"/>
        <v>0</v>
      </c>
      <c r="AL690">
        <f t="shared" si="148"/>
        <v>0</v>
      </c>
      <c r="AM690">
        <f t="shared" si="148"/>
        <v>0</v>
      </c>
      <c r="AN690">
        <f t="shared" si="145"/>
        <v>0</v>
      </c>
      <c r="AO690">
        <f t="shared" si="145"/>
        <v>0</v>
      </c>
      <c r="AP690">
        <f t="shared" si="145"/>
        <v>0</v>
      </c>
      <c r="AQ690">
        <f t="shared" si="145"/>
        <v>0</v>
      </c>
      <c r="AR690">
        <f t="shared" si="145"/>
        <v>0</v>
      </c>
    </row>
    <row r="691" spans="5:44" x14ac:dyDescent="0.2">
      <c r="E691" s="1">
        <f>moment_rate!$AC691</f>
        <v>5.9736165824369599E-3</v>
      </c>
      <c r="F691" s="1">
        <f t="shared" si="141"/>
        <v>1.1528902092417404E-4</v>
      </c>
      <c r="G691">
        <f>moment_rate!I691-0.005</f>
        <v>6.8399999999998986</v>
      </c>
      <c r="H691" s="1">
        <f t="shared" si="142"/>
        <v>1.1528902092417404E-4</v>
      </c>
      <c r="I691">
        <f t="shared" si="149"/>
        <v>0</v>
      </c>
      <c r="J691">
        <f t="shared" si="149"/>
        <v>0</v>
      </c>
      <c r="K691">
        <f t="shared" si="149"/>
        <v>0</v>
      </c>
      <c r="L691">
        <f t="shared" si="149"/>
        <v>0</v>
      </c>
      <c r="M691">
        <f t="shared" si="149"/>
        <v>0</v>
      </c>
      <c r="N691">
        <f t="shared" si="149"/>
        <v>0</v>
      </c>
      <c r="O691">
        <f t="shared" si="149"/>
        <v>0</v>
      </c>
      <c r="P691">
        <f t="shared" si="149"/>
        <v>0</v>
      </c>
      <c r="Q691">
        <f t="shared" si="149"/>
        <v>0</v>
      </c>
      <c r="R691">
        <f t="shared" si="149"/>
        <v>0</v>
      </c>
      <c r="S691">
        <f t="shared" si="149"/>
        <v>0</v>
      </c>
      <c r="T691">
        <f t="shared" si="149"/>
        <v>0</v>
      </c>
      <c r="U691">
        <f t="shared" si="149"/>
        <v>0</v>
      </c>
      <c r="V691">
        <f t="shared" si="149"/>
        <v>0</v>
      </c>
      <c r="W691">
        <f t="shared" si="149"/>
        <v>0</v>
      </c>
      <c r="X691">
        <f t="shared" si="149"/>
        <v>0</v>
      </c>
      <c r="Y691">
        <f t="shared" si="148"/>
        <v>0</v>
      </c>
      <c r="Z691">
        <f t="shared" si="148"/>
        <v>0</v>
      </c>
      <c r="AA691">
        <f t="shared" si="148"/>
        <v>1.1528902092417404E-4</v>
      </c>
      <c r="AB691">
        <f t="shared" si="148"/>
        <v>0</v>
      </c>
      <c r="AC691">
        <f t="shared" si="148"/>
        <v>0</v>
      </c>
      <c r="AD691">
        <f t="shared" si="148"/>
        <v>0</v>
      </c>
      <c r="AE691">
        <f t="shared" si="148"/>
        <v>0</v>
      </c>
      <c r="AF691">
        <f t="shared" si="148"/>
        <v>0</v>
      </c>
      <c r="AG691">
        <f t="shared" si="148"/>
        <v>0</v>
      </c>
      <c r="AH691">
        <f t="shared" si="148"/>
        <v>0</v>
      </c>
      <c r="AI691">
        <f t="shared" si="148"/>
        <v>0</v>
      </c>
      <c r="AJ691">
        <f t="shared" si="148"/>
        <v>0</v>
      </c>
      <c r="AK691">
        <f t="shared" si="148"/>
        <v>0</v>
      </c>
      <c r="AL691">
        <f t="shared" si="148"/>
        <v>0</v>
      </c>
      <c r="AM691">
        <f t="shared" si="148"/>
        <v>0</v>
      </c>
      <c r="AN691">
        <f t="shared" si="145"/>
        <v>0</v>
      </c>
      <c r="AO691">
        <f t="shared" si="145"/>
        <v>0</v>
      </c>
      <c r="AP691">
        <f t="shared" si="145"/>
        <v>0</v>
      </c>
      <c r="AQ691">
        <f t="shared" si="145"/>
        <v>0</v>
      </c>
      <c r="AR691">
        <f t="shared" si="145"/>
        <v>0</v>
      </c>
    </row>
    <row r="692" spans="5:44" x14ac:dyDescent="0.2">
      <c r="E692" s="1">
        <f>moment_rate!$AC692</f>
        <v>5.8583275615127859E-3</v>
      </c>
      <c r="F692" s="1">
        <f t="shared" si="141"/>
        <v>1.1969444465529874E-4</v>
      </c>
      <c r="G692">
        <f>moment_rate!I692-0.005</f>
        <v>6.8499999999998984</v>
      </c>
      <c r="H692" s="1">
        <f t="shared" si="142"/>
        <v>1.1969444465529874E-4</v>
      </c>
      <c r="I692">
        <f t="shared" si="149"/>
        <v>0</v>
      </c>
      <c r="J692">
        <f t="shared" si="149"/>
        <v>0</v>
      </c>
      <c r="K692">
        <f t="shared" si="149"/>
        <v>0</v>
      </c>
      <c r="L692">
        <f t="shared" si="149"/>
        <v>0</v>
      </c>
      <c r="M692">
        <f t="shared" si="149"/>
        <v>0</v>
      </c>
      <c r="N692">
        <f t="shared" si="149"/>
        <v>0</v>
      </c>
      <c r="O692">
        <f t="shared" si="149"/>
        <v>0</v>
      </c>
      <c r="P692">
        <f t="shared" si="149"/>
        <v>0</v>
      </c>
      <c r="Q692">
        <f t="shared" si="149"/>
        <v>0</v>
      </c>
      <c r="R692">
        <f t="shared" si="149"/>
        <v>0</v>
      </c>
      <c r="S692">
        <f t="shared" si="149"/>
        <v>0</v>
      </c>
      <c r="T692">
        <f t="shared" si="149"/>
        <v>0</v>
      </c>
      <c r="U692">
        <f t="shared" si="149"/>
        <v>0</v>
      </c>
      <c r="V692">
        <f t="shared" si="149"/>
        <v>0</v>
      </c>
      <c r="W692">
        <f t="shared" si="149"/>
        <v>0</v>
      </c>
      <c r="X692">
        <f t="shared" si="149"/>
        <v>0</v>
      </c>
      <c r="Y692">
        <f t="shared" si="148"/>
        <v>0</v>
      </c>
      <c r="Z692">
        <f t="shared" si="148"/>
        <v>0</v>
      </c>
      <c r="AA692">
        <f t="shared" si="148"/>
        <v>1.1969444465529874E-4</v>
      </c>
      <c r="AB692">
        <f t="shared" si="148"/>
        <v>0</v>
      </c>
      <c r="AC692">
        <f t="shared" si="148"/>
        <v>0</v>
      </c>
      <c r="AD692">
        <f t="shared" si="148"/>
        <v>0</v>
      </c>
      <c r="AE692">
        <f t="shared" si="148"/>
        <v>0</v>
      </c>
      <c r="AF692">
        <f t="shared" si="148"/>
        <v>0</v>
      </c>
      <c r="AG692">
        <f t="shared" si="148"/>
        <v>0</v>
      </c>
      <c r="AH692">
        <f t="shared" si="148"/>
        <v>0</v>
      </c>
      <c r="AI692">
        <f t="shared" si="148"/>
        <v>0</v>
      </c>
      <c r="AJ692">
        <f t="shared" si="148"/>
        <v>0</v>
      </c>
      <c r="AK692">
        <f t="shared" si="148"/>
        <v>0</v>
      </c>
      <c r="AL692">
        <f t="shared" si="148"/>
        <v>0</v>
      </c>
      <c r="AM692">
        <f t="shared" si="148"/>
        <v>0</v>
      </c>
      <c r="AN692">
        <f t="shared" si="145"/>
        <v>0</v>
      </c>
      <c r="AO692">
        <f t="shared" si="145"/>
        <v>0</v>
      </c>
      <c r="AP692">
        <f t="shared" si="145"/>
        <v>0</v>
      </c>
      <c r="AQ692">
        <f t="shared" si="145"/>
        <v>0</v>
      </c>
      <c r="AR692">
        <f t="shared" si="145"/>
        <v>0</v>
      </c>
    </row>
    <row r="693" spans="5:44" x14ac:dyDescent="0.2">
      <c r="E693" s="1">
        <f>moment_rate!$AC693</f>
        <v>5.7386331168574872E-3</v>
      </c>
      <c r="F693" s="1">
        <f t="shared" si="141"/>
        <v>1.239579259188564E-4</v>
      </c>
      <c r="G693">
        <f>moment_rate!I693-0.005</f>
        <v>6.8599999999998982</v>
      </c>
      <c r="H693" s="1">
        <f t="shared" si="142"/>
        <v>1.239579259188564E-4</v>
      </c>
      <c r="I693">
        <f t="shared" si="149"/>
        <v>0</v>
      </c>
      <c r="J693">
        <f t="shared" si="149"/>
        <v>0</v>
      </c>
      <c r="K693">
        <f t="shared" si="149"/>
        <v>0</v>
      </c>
      <c r="L693">
        <f t="shared" si="149"/>
        <v>0</v>
      </c>
      <c r="M693">
        <f t="shared" si="149"/>
        <v>0</v>
      </c>
      <c r="N693">
        <f t="shared" si="149"/>
        <v>0</v>
      </c>
      <c r="O693">
        <f t="shared" si="149"/>
        <v>0</v>
      </c>
      <c r="P693">
        <f t="shared" si="149"/>
        <v>0</v>
      </c>
      <c r="Q693">
        <f t="shared" si="149"/>
        <v>0</v>
      </c>
      <c r="R693">
        <f t="shared" si="149"/>
        <v>0</v>
      </c>
      <c r="S693">
        <f t="shared" si="149"/>
        <v>0</v>
      </c>
      <c r="T693">
        <f t="shared" si="149"/>
        <v>0</v>
      </c>
      <c r="U693">
        <f t="shared" si="149"/>
        <v>0</v>
      </c>
      <c r="V693">
        <f t="shared" si="149"/>
        <v>0</v>
      </c>
      <c r="W693">
        <f t="shared" si="149"/>
        <v>0</v>
      </c>
      <c r="X693">
        <f t="shared" si="149"/>
        <v>0</v>
      </c>
      <c r="Y693">
        <f t="shared" si="148"/>
        <v>0</v>
      </c>
      <c r="Z693">
        <f t="shared" si="148"/>
        <v>0</v>
      </c>
      <c r="AA693">
        <f t="shared" si="148"/>
        <v>1.239579259188564E-4</v>
      </c>
      <c r="AB693">
        <f t="shared" si="148"/>
        <v>0</v>
      </c>
      <c r="AC693">
        <f t="shared" si="148"/>
        <v>0</v>
      </c>
      <c r="AD693">
        <f t="shared" si="148"/>
        <v>0</v>
      </c>
      <c r="AE693">
        <f t="shared" si="148"/>
        <v>0</v>
      </c>
      <c r="AF693">
        <f t="shared" si="148"/>
        <v>0</v>
      </c>
      <c r="AG693">
        <f t="shared" si="148"/>
        <v>0</v>
      </c>
      <c r="AH693">
        <f t="shared" si="148"/>
        <v>0</v>
      </c>
      <c r="AI693">
        <f t="shared" si="148"/>
        <v>0</v>
      </c>
      <c r="AJ693">
        <f t="shared" si="148"/>
        <v>0</v>
      </c>
      <c r="AK693">
        <f t="shared" si="148"/>
        <v>0</v>
      </c>
      <c r="AL693">
        <f t="shared" si="148"/>
        <v>0</v>
      </c>
      <c r="AM693">
        <f t="shared" si="148"/>
        <v>0</v>
      </c>
      <c r="AN693">
        <f t="shared" si="145"/>
        <v>0</v>
      </c>
      <c r="AO693">
        <f t="shared" si="145"/>
        <v>0</v>
      </c>
      <c r="AP693">
        <f t="shared" si="145"/>
        <v>0</v>
      </c>
      <c r="AQ693">
        <f t="shared" si="145"/>
        <v>0</v>
      </c>
      <c r="AR693">
        <f t="shared" si="145"/>
        <v>0</v>
      </c>
    </row>
    <row r="694" spans="5:44" x14ac:dyDescent="0.2">
      <c r="E694" s="1">
        <f>moment_rate!$AC694</f>
        <v>5.6146751909386308E-3</v>
      </c>
      <c r="F694" s="1">
        <f t="shared" si="141"/>
        <v>1.2805273879801151E-4</v>
      </c>
      <c r="G694">
        <f>moment_rate!I694-0.005</f>
        <v>6.869999999999898</v>
      </c>
      <c r="H694" s="1">
        <f t="shared" si="142"/>
        <v>1.2805273879801151E-4</v>
      </c>
      <c r="I694">
        <f t="shared" si="149"/>
        <v>0</v>
      </c>
      <c r="J694">
        <f t="shared" si="149"/>
        <v>0</v>
      </c>
      <c r="K694">
        <f t="shared" si="149"/>
        <v>0</v>
      </c>
      <c r="L694">
        <f t="shared" si="149"/>
        <v>0</v>
      </c>
      <c r="M694">
        <f t="shared" si="149"/>
        <v>0</v>
      </c>
      <c r="N694">
        <f t="shared" si="149"/>
        <v>0</v>
      </c>
      <c r="O694">
        <f t="shared" si="149"/>
        <v>0</v>
      </c>
      <c r="P694">
        <f t="shared" si="149"/>
        <v>0</v>
      </c>
      <c r="Q694">
        <f t="shared" si="149"/>
        <v>0</v>
      </c>
      <c r="R694">
        <f t="shared" si="149"/>
        <v>0</v>
      </c>
      <c r="S694">
        <f t="shared" si="149"/>
        <v>0</v>
      </c>
      <c r="T694">
        <f t="shared" si="149"/>
        <v>0</v>
      </c>
      <c r="U694">
        <f t="shared" si="149"/>
        <v>0</v>
      </c>
      <c r="V694">
        <f t="shared" si="149"/>
        <v>0</v>
      </c>
      <c r="W694">
        <f t="shared" si="149"/>
        <v>0</v>
      </c>
      <c r="X694">
        <f t="shared" si="149"/>
        <v>0</v>
      </c>
      <c r="Y694">
        <f t="shared" si="148"/>
        <v>0</v>
      </c>
      <c r="Z694">
        <f t="shared" si="148"/>
        <v>0</v>
      </c>
      <c r="AA694">
        <f t="shared" si="148"/>
        <v>1.2805273879801151E-4</v>
      </c>
      <c r="AB694">
        <f t="shared" si="148"/>
        <v>0</v>
      </c>
      <c r="AC694">
        <f t="shared" si="148"/>
        <v>0</v>
      </c>
      <c r="AD694">
        <f t="shared" si="148"/>
        <v>0</v>
      </c>
      <c r="AE694">
        <f t="shared" si="148"/>
        <v>0</v>
      </c>
      <c r="AF694">
        <f t="shared" si="148"/>
        <v>0</v>
      </c>
      <c r="AG694">
        <f t="shared" si="148"/>
        <v>0</v>
      </c>
      <c r="AH694">
        <f t="shared" si="148"/>
        <v>0</v>
      </c>
      <c r="AI694">
        <f t="shared" si="145"/>
        <v>0</v>
      </c>
      <c r="AJ694">
        <f t="shared" si="145"/>
        <v>0</v>
      </c>
      <c r="AK694">
        <f t="shared" si="145"/>
        <v>0</v>
      </c>
      <c r="AL694">
        <f t="shared" si="145"/>
        <v>0</v>
      </c>
      <c r="AM694">
        <f t="shared" si="145"/>
        <v>0</v>
      </c>
      <c r="AN694">
        <f t="shared" si="145"/>
        <v>0</v>
      </c>
      <c r="AO694">
        <f t="shared" si="145"/>
        <v>0</v>
      </c>
      <c r="AP694">
        <f t="shared" si="145"/>
        <v>0</v>
      </c>
      <c r="AQ694">
        <f t="shared" si="145"/>
        <v>0</v>
      </c>
      <c r="AR694">
        <f t="shared" si="145"/>
        <v>0</v>
      </c>
    </row>
    <row r="695" spans="5:44" x14ac:dyDescent="0.2">
      <c r="E695" s="1">
        <f>moment_rate!$AC695</f>
        <v>5.4866224521406192E-3</v>
      </c>
      <c r="F695" s="1">
        <f t="shared" si="141"/>
        <v>1.319525252795788E-4</v>
      </c>
      <c r="G695">
        <f>moment_rate!I695-0.005</f>
        <v>6.8799999999998978</v>
      </c>
      <c r="H695" s="1">
        <f t="shared" si="142"/>
        <v>1.319525252795788E-4</v>
      </c>
      <c r="I695">
        <f t="shared" si="149"/>
        <v>0</v>
      </c>
      <c r="J695">
        <f t="shared" si="149"/>
        <v>0</v>
      </c>
      <c r="K695">
        <f t="shared" si="149"/>
        <v>0</v>
      </c>
      <c r="L695">
        <f t="shared" si="149"/>
        <v>0</v>
      </c>
      <c r="M695">
        <f t="shared" si="149"/>
        <v>0</v>
      </c>
      <c r="N695">
        <f t="shared" si="149"/>
        <v>0</v>
      </c>
      <c r="O695">
        <f t="shared" si="149"/>
        <v>0</v>
      </c>
      <c r="P695">
        <f t="shared" si="149"/>
        <v>0</v>
      </c>
      <c r="Q695">
        <f t="shared" si="149"/>
        <v>0</v>
      </c>
      <c r="R695">
        <f t="shared" si="149"/>
        <v>0</v>
      </c>
      <c r="S695">
        <f t="shared" si="149"/>
        <v>0</v>
      </c>
      <c r="T695">
        <f t="shared" si="149"/>
        <v>0</v>
      </c>
      <c r="U695">
        <f t="shared" si="149"/>
        <v>0</v>
      </c>
      <c r="V695">
        <f t="shared" si="149"/>
        <v>0</v>
      </c>
      <c r="W695">
        <f t="shared" si="149"/>
        <v>0</v>
      </c>
      <c r="X695">
        <f t="shared" si="149"/>
        <v>0</v>
      </c>
      <c r="Y695">
        <f t="shared" si="148"/>
        <v>0</v>
      </c>
      <c r="Z695">
        <f t="shared" si="148"/>
        <v>0</v>
      </c>
      <c r="AA695">
        <f t="shared" si="148"/>
        <v>1.319525252795788E-4</v>
      </c>
      <c r="AB695">
        <f t="shared" si="148"/>
        <v>0</v>
      </c>
      <c r="AC695">
        <f t="shared" si="148"/>
        <v>0</v>
      </c>
      <c r="AD695">
        <f t="shared" si="148"/>
        <v>0</v>
      </c>
      <c r="AE695">
        <f t="shared" si="148"/>
        <v>0</v>
      </c>
      <c r="AF695">
        <f t="shared" si="148"/>
        <v>0</v>
      </c>
      <c r="AG695">
        <f t="shared" si="148"/>
        <v>0</v>
      </c>
      <c r="AH695">
        <f t="shared" si="148"/>
        <v>0</v>
      </c>
      <c r="AI695">
        <f t="shared" si="145"/>
        <v>0</v>
      </c>
      <c r="AJ695">
        <f t="shared" si="145"/>
        <v>0</v>
      </c>
      <c r="AK695">
        <f t="shared" si="145"/>
        <v>0</v>
      </c>
      <c r="AL695">
        <f t="shared" si="145"/>
        <v>0</v>
      </c>
      <c r="AM695">
        <f t="shared" si="145"/>
        <v>0</v>
      </c>
      <c r="AN695">
        <f t="shared" si="145"/>
        <v>0</v>
      </c>
      <c r="AO695">
        <f t="shared" si="145"/>
        <v>0</v>
      </c>
      <c r="AP695">
        <f>IF(AND($G695&gt;=AP$3,$G695&lt;AP$4),$F695,0)</f>
        <v>0</v>
      </c>
      <c r="AQ695">
        <f>IF(AND($G695&gt;=AQ$3,$G695&lt;AQ$4),$F695,0)</f>
        <v>0</v>
      </c>
      <c r="AR695">
        <f>IF(AND($G695&gt;=AR$3,$G695&lt;AR$4),$F695,0)</f>
        <v>0</v>
      </c>
    </row>
    <row r="696" spans="5:44" x14ac:dyDescent="0.2">
      <c r="E696" s="1">
        <f>moment_rate!$AC696</f>
        <v>5.3546699268610404E-3</v>
      </c>
      <c r="F696" s="1">
        <f t="shared" si="141"/>
        <v>1.3563157480185779E-4</v>
      </c>
      <c r="G696">
        <f>moment_rate!I696-0.005</f>
        <v>6.8899999999998975</v>
      </c>
      <c r="H696" s="1">
        <f t="shared" si="142"/>
        <v>1.3563157480185779E-4</v>
      </c>
      <c r="I696">
        <f t="shared" si="149"/>
        <v>0</v>
      </c>
      <c r="J696">
        <f t="shared" si="149"/>
        <v>0</v>
      </c>
      <c r="K696">
        <f t="shared" si="149"/>
        <v>0</v>
      </c>
      <c r="L696">
        <f t="shared" si="149"/>
        <v>0</v>
      </c>
      <c r="M696">
        <f t="shared" si="149"/>
        <v>0</v>
      </c>
      <c r="N696">
        <f t="shared" si="149"/>
        <v>0</v>
      </c>
      <c r="O696">
        <f t="shared" si="149"/>
        <v>0</v>
      </c>
      <c r="P696">
        <f t="shared" si="149"/>
        <v>0</v>
      </c>
      <c r="Q696">
        <f t="shared" si="149"/>
        <v>0</v>
      </c>
      <c r="R696">
        <f t="shared" si="149"/>
        <v>0</v>
      </c>
      <c r="S696">
        <f t="shared" si="149"/>
        <v>0</v>
      </c>
      <c r="T696">
        <f t="shared" si="149"/>
        <v>0</v>
      </c>
      <c r="U696">
        <f t="shared" si="149"/>
        <v>0</v>
      </c>
      <c r="V696">
        <f t="shared" si="149"/>
        <v>0</v>
      </c>
      <c r="W696">
        <f t="shared" si="149"/>
        <v>0</v>
      </c>
      <c r="X696">
        <f t="shared" si="149"/>
        <v>0</v>
      </c>
      <c r="Y696">
        <f t="shared" si="148"/>
        <v>0</v>
      </c>
      <c r="Z696">
        <f t="shared" si="148"/>
        <v>0</v>
      </c>
      <c r="AA696">
        <f t="shared" si="148"/>
        <v>1.3563157480185779E-4</v>
      </c>
      <c r="AB696">
        <f t="shared" si="148"/>
        <v>0</v>
      </c>
      <c r="AC696">
        <f t="shared" si="148"/>
        <v>0</v>
      </c>
      <c r="AD696">
        <f t="shared" si="148"/>
        <v>0</v>
      </c>
      <c r="AE696">
        <f t="shared" si="148"/>
        <v>0</v>
      </c>
      <c r="AF696">
        <f t="shared" si="148"/>
        <v>0</v>
      </c>
      <c r="AG696">
        <f t="shared" si="148"/>
        <v>0</v>
      </c>
      <c r="AH696">
        <f t="shared" si="148"/>
        <v>0</v>
      </c>
      <c r="AI696">
        <f t="shared" si="148"/>
        <v>0</v>
      </c>
      <c r="AJ696">
        <f t="shared" si="148"/>
        <v>0</v>
      </c>
      <c r="AK696">
        <f t="shared" si="148"/>
        <v>0</v>
      </c>
      <c r="AL696">
        <f t="shared" si="148"/>
        <v>0</v>
      </c>
      <c r="AM696">
        <f t="shared" si="148"/>
        <v>0</v>
      </c>
      <c r="AN696">
        <f t="shared" ref="AI696:AR734" si="151">IF(AND($G696&gt;=AN$3,$G696&lt;AN$4),$F696,0)</f>
        <v>0</v>
      </c>
      <c r="AO696">
        <f t="shared" si="151"/>
        <v>0</v>
      </c>
      <c r="AP696">
        <f t="shared" si="151"/>
        <v>0</v>
      </c>
      <c r="AQ696">
        <f t="shared" si="151"/>
        <v>0</v>
      </c>
      <c r="AR696">
        <f t="shared" si="151"/>
        <v>0</v>
      </c>
    </row>
    <row r="697" spans="5:44" x14ac:dyDescent="0.2">
      <c r="E697" s="1">
        <f>moment_rate!$AC697</f>
        <v>5.2190383520591827E-3</v>
      </c>
      <c r="F697" s="1">
        <f t="shared" si="141"/>
        <v>1.3906510446488884E-4</v>
      </c>
      <c r="G697">
        <f>moment_rate!I697-0.005</f>
        <v>6.8999999999998973</v>
      </c>
      <c r="H697" s="1">
        <f t="shared" si="142"/>
        <v>1.3906510446488884E-4</v>
      </c>
      <c r="I697">
        <f t="shared" si="149"/>
        <v>0</v>
      </c>
      <c r="J697">
        <f t="shared" si="149"/>
        <v>0</v>
      </c>
      <c r="K697">
        <f t="shared" si="149"/>
        <v>0</v>
      </c>
      <c r="L697">
        <f t="shared" si="149"/>
        <v>0</v>
      </c>
      <c r="M697">
        <f t="shared" si="149"/>
        <v>0</v>
      </c>
      <c r="N697">
        <f t="shared" si="149"/>
        <v>0</v>
      </c>
      <c r="O697">
        <f t="shared" si="149"/>
        <v>0</v>
      </c>
      <c r="P697">
        <f t="shared" si="149"/>
        <v>0</v>
      </c>
      <c r="Q697">
        <f t="shared" si="149"/>
        <v>0</v>
      </c>
      <c r="R697">
        <f t="shared" si="149"/>
        <v>0</v>
      </c>
      <c r="S697">
        <f t="shared" si="149"/>
        <v>0</v>
      </c>
      <c r="T697">
        <f t="shared" si="149"/>
        <v>0</v>
      </c>
      <c r="U697">
        <f t="shared" si="149"/>
        <v>0</v>
      </c>
      <c r="V697">
        <f t="shared" si="149"/>
        <v>0</v>
      </c>
      <c r="W697">
        <f t="shared" si="149"/>
        <v>0</v>
      </c>
      <c r="X697">
        <f t="shared" si="149"/>
        <v>0</v>
      </c>
      <c r="Y697">
        <f t="shared" si="148"/>
        <v>0</v>
      </c>
      <c r="Z697">
        <f t="shared" si="148"/>
        <v>0</v>
      </c>
      <c r="AA697">
        <f t="shared" si="148"/>
        <v>1.3906510446488884E-4</v>
      </c>
      <c r="AB697">
        <f t="shared" si="148"/>
        <v>0</v>
      </c>
      <c r="AC697">
        <f t="shared" si="148"/>
        <v>0</v>
      </c>
      <c r="AD697">
        <f t="shared" si="148"/>
        <v>0</v>
      </c>
      <c r="AE697">
        <f t="shared" si="148"/>
        <v>0</v>
      </c>
      <c r="AF697">
        <f t="shared" si="148"/>
        <v>0</v>
      </c>
      <c r="AG697">
        <f t="shared" si="148"/>
        <v>0</v>
      </c>
      <c r="AH697">
        <f t="shared" si="148"/>
        <v>0</v>
      </c>
      <c r="AI697">
        <f t="shared" si="151"/>
        <v>0</v>
      </c>
      <c r="AJ697">
        <f t="shared" si="151"/>
        <v>0</v>
      </c>
      <c r="AK697">
        <f t="shared" si="151"/>
        <v>0</v>
      </c>
      <c r="AL697">
        <f t="shared" si="151"/>
        <v>0</v>
      </c>
      <c r="AM697">
        <f t="shared" si="151"/>
        <v>0</v>
      </c>
      <c r="AN697">
        <f t="shared" si="151"/>
        <v>0</v>
      </c>
      <c r="AO697">
        <f t="shared" si="151"/>
        <v>0</v>
      </c>
      <c r="AP697">
        <f t="shared" si="151"/>
        <v>0</v>
      </c>
      <c r="AQ697">
        <f t="shared" si="151"/>
        <v>0</v>
      </c>
      <c r="AR697">
        <f t="shared" si="151"/>
        <v>0</v>
      </c>
    </row>
    <row r="698" spans="5:44" x14ac:dyDescent="0.2">
      <c r="E698" s="1">
        <f>moment_rate!$AC698</f>
        <v>5.0799732475942938E-3</v>
      </c>
      <c r="F698" s="1">
        <f t="shared" si="141"/>
        <v>1.4222953566807306E-4</v>
      </c>
      <c r="G698">
        <f>moment_rate!I698-0.005</f>
        <v>6.9099999999998971</v>
      </c>
      <c r="H698" s="1">
        <f t="shared" si="142"/>
        <v>1.4222953566807306E-4</v>
      </c>
      <c r="I698">
        <f t="shared" si="149"/>
        <v>0</v>
      </c>
      <c r="J698">
        <f t="shared" si="149"/>
        <v>0</v>
      </c>
      <c r="K698">
        <f t="shared" si="149"/>
        <v>0</v>
      </c>
      <c r="L698">
        <f t="shared" si="149"/>
        <v>0</v>
      </c>
      <c r="M698">
        <f t="shared" si="149"/>
        <v>0</v>
      </c>
      <c r="N698">
        <f t="shared" si="149"/>
        <v>0</v>
      </c>
      <c r="O698">
        <f t="shared" si="149"/>
        <v>0</v>
      </c>
      <c r="P698">
        <f t="shared" si="149"/>
        <v>0</v>
      </c>
      <c r="Q698">
        <f t="shared" si="149"/>
        <v>0</v>
      </c>
      <c r="R698">
        <f t="shared" si="149"/>
        <v>0</v>
      </c>
      <c r="S698">
        <f t="shared" si="149"/>
        <v>0</v>
      </c>
      <c r="T698">
        <f t="shared" si="149"/>
        <v>0</v>
      </c>
      <c r="U698">
        <f t="shared" si="149"/>
        <v>0</v>
      </c>
      <c r="V698">
        <f t="shared" si="149"/>
        <v>0</v>
      </c>
      <c r="W698">
        <f t="shared" si="149"/>
        <v>0</v>
      </c>
      <c r="X698">
        <f t="shared" ref="X698:AM713" si="152">IF(AND($G698&gt;=X$3,$G698&lt;X$4),$F698,0)</f>
        <v>0</v>
      </c>
      <c r="Y698">
        <f t="shared" si="152"/>
        <v>0</v>
      </c>
      <c r="Z698">
        <f t="shared" si="152"/>
        <v>0</v>
      </c>
      <c r="AA698">
        <f t="shared" si="152"/>
        <v>0</v>
      </c>
      <c r="AB698">
        <f t="shared" si="152"/>
        <v>1.4222953566807306E-4</v>
      </c>
      <c r="AC698">
        <f t="shared" si="152"/>
        <v>0</v>
      </c>
      <c r="AD698">
        <f t="shared" si="152"/>
        <v>0</v>
      </c>
      <c r="AE698">
        <f t="shared" si="152"/>
        <v>0</v>
      </c>
      <c r="AF698">
        <f t="shared" si="152"/>
        <v>0</v>
      </c>
      <c r="AG698">
        <f t="shared" si="152"/>
        <v>0</v>
      </c>
      <c r="AH698">
        <f t="shared" si="152"/>
        <v>0</v>
      </c>
      <c r="AI698">
        <f t="shared" si="151"/>
        <v>0</v>
      </c>
      <c r="AJ698">
        <f t="shared" si="151"/>
        <v>0</v>
      </c>
      <c r="AK698">
        <f t="shared" si="151"/>
        <v>0</v>
      </c>
      <c r="AL698">
        <f t="shared" si="151"/>
        <v>0</v>
      </c>
      <c r="AM698">
        <f t="shared" si="151"/>
        <v>0</v>
      </c>
      <c r="AN698">
        <f t="shared" si="151"/>
        <v>0</v>
      </c>
      <c r="AO698">
        <f t="shared" si="151"/>
        <v>0</v>
      </c>
      <c r="AP698">
        <f t="shared" si="151"/>
        <v>0</v>
      </c>
      <c r="AQ698">
        <f t="shared" si="151"/>
        <v>0</v>
      </c>
      <c r="AR698">
        <f t="shared" si="151"/>
        <v>0</v>
      </c>
    </row>
    <row r="699" spans="5:44" x14ac:dyDescent="0.2">
      <c r="E699" s="1">
        <f>moment_rate!$AC699</f>
        <v>4.9377437119262207E-3</v>
      </c>
      <c r="F699" s="1">
        <f t="shared" si="141"/>
        <v>1.4510276287995477E-4</v>
      </c>
      <c r="G699">
        <f>moment_rate!I699-0.005</f>
        <v>6.9199999999998969</v>
      </c>
      <c r="H699" s="1">
        <f t="shared" si="142"/>
        <v>1.4510276287995477E-4</v>
      </c>
      <c r="I699">
        <f t="shared" ref="I699:X714" si="153">IF(AND($G699&gt;=I$3,$G699&lt;I$4),$F699,0)</f>
        <v>0</v>
      </c>
      <c r="J699">
        <f t="shared" si="153"/>
        <v>0</v>
      </c>
      <c r="K699">
        <f t="shared" si="153"/>
        <v>0</v>
      </c>
      <c r="L699">
        <f t="shared" si="153"/>
        <v>0</v>
      </c>
      <c r="M699">
        <f t="shared" si="153"/>
        <v>0</v>
      </c>
      <c r="N699">
        <f t="shared" si="153"/>
        <v>0</v>
      </c>
      <c r="O699">
        <f t="shared" si="153"/>
        <v>0</v>
      </c>
      <c r="P699">
        <f t="shared" si="153"/>
        <v>0</v>
      </c>
      <c r="Q699">
        <f t="shared" si="153"/>
        <v>0</v>
      </c>
      <c r="R699">
        <f t="shared" si="153"/>
        <v>0</v>
      </c>
      <c r="S699">
        <f t="shared" si="153"/>
        <v>0</v>
      </c>
      <c r="T699">
        <f t="shared" si="153"/>
        <v>0</v>
      </c>
      <c r="U699">
        <f t="shared" si="153"/>
        <v>0</v>
      </c>
      <c r="V699">
        <f t="shared" si="153"/>
        <v>0</v>
      </c>
      <c r="W699">
        <f t="shared" si="153"/>
        <v>0</v>
      </c>
      <c r="X699">
        <f t="shared" si="153"/>
        <v>0</v>
      </c>
      <c r="Y699">
        <f t="shared" si="152"/>
        <v>0</v>
      </c>
      <c r="Z699">
        <f t="shared" si="152"/>
        <v>0</v>
      </c>
      <c r="AA699">
        <f t="shared" si="152"/>
        <v>0</v>
      </c>
      <c r="AB699">
        <f t="shared" si="152"/>
        <v>1.4510276287995477E-4</v>
      </c>
      <c r="AC699">
        <f t="shared" si="152"/>
        <v>0</v>
      </c>
      <c r="AD699">
        <f t="shared" si="152"/>
        <v>0</v>
      </c>
      <c r="AE699">
        <f t="shared" si="152"/>
        <v>0</v>
      </c>
      <c r="AF699">
        <f t="shared" si="152"/>
        <v>0</v>
      </c>
      <c r="AG699">
        <f t="shared" si="152"/>
        <v>0</v>
      </c>
      <c r="AH699">
        <f t="shared" si="152"/>
        <v>0</v>
      </c>
      <c r="AI699">
        <f t="shared" si="151"/>
        <v>0</v>
      </c>
      <c r="AJ699">
        <f t="shared" si="151"/>
        <v>0</v>
      </c>
      <c r="AK699">
        <f t="shared" si="151"/>
        <v>0</v>
      </c>
      <c r="AL699">
        <f t="shared" si="151"/>
        <v>0</v>
      </c>
      <c r="AM699">
        <f t="shared" si="151"/>
        <v>0</v>
      </c>
      <c r="AN699">
        <f t="shared" si="151"/>
        <v>0</v>
      </c>
      <c r="AO699">
        <f t="shared" si="151"/>
        <v>0</v>
      </c>
      <c r="AP699">
        <f t="shared" si="151"/>
        <v>0</v>
      </c>
      <c r="AQ699">
        <f t="shared" si="151"/>
        <v>0</v>
      </c>
      <c r="AR699">
        <f t="shared" si="151"/>
        <v>0</v>
      </c>
    </row>
    <row r="700" spans="5:44" x14ac:dyDescent="0.2">
      <c r="E700" s="1">
        <f>moment_rate!$AC700</f>
        <v>4.792640949046266E-3</v>
      </c>
      <c r="F700" s="1">
        <f t="shared" si="141"/>
        <v>1.4766441026997819E-4</v>
      </c>
      <c r="G700">
        <f>moment_rate!I700-0.005</f>
        <v>6.9299999999998967</v>
      </c>
      <c r="H700" s="1">
        <f t="shared" si="142"/>
        <v>1.4766441026997819E-4</v>
      </c>
      <c r="I700">
        <f t="shared" si="153"/>
        <v>0</v>
      </c>
      <c r="J700">
        <f t="shared" si="153"/>
        <v>0</v>
      </c>
      <c r="K700">
        <f t="shared" si="153"/>
        <v>0</v>
      </c>
      <c r="L700">
        <f t="shared" si="153"/>
        <v>0</v>
      </c>
      <c r="M700">
        <f t="shared" si="153"/>
        <v>0</v>
      </c>
      <c r="N700">
        <f t="shared" si="153"/>
        <v>0</v>
      </c>
      <c r="O700">
        <f t="shared" si="153"/>
        <v>0</v>
      </c>
      <c r="P700">
        <f t="shared" si="153"/>
        <v>0</v>
      </c>
      <c r="Q700">
        <f t="shared" si="153"/>
        <v>0</v>
      </c>
      <c r="R700">
        <f t="shared" si="153"/>
        <v>0</v>
      </c>
      <c r="S700">
        <f t="shared" si="153"/>
        <v>0</v>
      </c>
      <c r="T700">
        <f t="shared" si="153"/>
        <v>0</v>
      </c>
      <c r="U700">
        <f t="shared" si="153"/>
        <v>0</v>
      </c>
      <c r="V700">
        <f t="shared" si="153"/>
        <v>0</v>
      </c>
      <c r="W700">
        <f t="shared" si="153"/>
        <v>0</v>
      </c>
      <c r="X700">
        <f t="shared" si="153"/>
        <v>0</v>
      </c>
      <c r="Y700">
        <f t="shared" si="152"/>
        <v>0</v>
      </c>
      <c r="Z700">
        <f t="shared" si="152"/>
        <v>0</v>
      </c>
      <c r="AA700">
        <f t="shared" si="152"/>
        <v>0</v>
      </c>
      <c r="AB700">
        <f t="shared" si="152"/>
        <v>1.4766441026997819E-4</v>
      </c>
      <c r="AC700">
        <f t="shared" si="152"/>
        <v>0</v>
      </c>
      <c r="AD700">
        <f t="shared" si="152"/>
        <v>0</v>
      </c>
      <c r="AE700">
        <f t="shared" si="152"/>
        <v>0</v>
      </c>
      <c r="AF700">
        <f t="shared" si="152"/>
        <v>0</v>
      </c>
      <c r="AG700">
        <f t="shared" si="152"/>
        <v>0</v>
      </c>
      <c r="AH700">
        <f t="shared" si="152"/>
        <v>0</v>
      </c>
      <c r="AI700">
        <f t="shared" si="151"/>
        <v>0</v>
      </c>
      <c r="AJ700">
        <f t="shared" si="151"/>
        <v>0</v>
      </c>
      <c r="AK700">
        <f t="shared" si="151"/>
        <v>0</v>
      </c>
      <c r="AL700">
        <f t="shared" si="151"/>
        <v>0</v>
      </c>
      <c r="AM700">
        <f t="shared" si="151"/>
        <v>0</v>
      </c>
      <c r="AN700">
        <f t="shared" si="151"/>
        <v>0</v>
      </c>
      <c r="AO700">
        <f t="shared" si="151"/>
        <v>0</v>
      </c>
      <c r="AP700">
        <f t="shared" si="151"/>
        <v>0</v>
      </c>
      <c r="AQ700">
        <f t="shared" si="151"/>
        <v>0</v>
      </c>
      <c r="AR700">
        <f t="shared" si="151"/>
        <v>0</v>
      </c>
    </row>
    <row r="701" spans="5:44" x14ac:dyDescent="0.2">
      <c r="E701" s="1">
        <f>moment_rate!$AC701</f>
        <v>4.6449765387762878E-3</v>
      </c>
      <c r="F701" s="1">
        <f t="shared" si="141"/>
        <v>1.498960720438345E-4</v>
      </c>
      <c r="G701">
        <f>moment_rate!I701-0.005</f>
        <v>6.9399999999998965</v>
      </c>
      <c r="H701" s="1">
        <f t="shared" si="142"/>
        <v>1.498960720438345E-4</v>
      </c>
      <c r="I701">
        <f t="shared" si="153"/>
        <v>0</v>
      </c>
      <c r="J701">
        <f t="shared" si="153"/>
        <v>0</v>
      </c>
      <c r="K701">
        <f t="shared" si="153"/>
        <v>0</v>
      </c>
      <c r="L701">
        <f t="shared" si="153"/>
        <v>0</v>
      </c>
      <c r="M701">
        <f t="shared" si="153"/>
        <v>0</v>
      </c>
      <c r="N701">
        <f t="shared" si="153"/>
        <v>0</v>
      </c>
      <c r="O701">
        <f t="shared" si="153"/>
        <v>0</v>
      </c>
      <c r="P701">
        <f t="shared" si="153"/>
        <v>0</v>
      </c>
      <c r="Q701">
        <f t="shared" si="153"/>
        <v>0</v>
      </c>
      <c r="R701">
        <f t="shared" si="153"/>
        <v>0</v>
      </c>
      <c r="S701">
        <f t="shared" si="153"/>
        <v>0</v>
      </c>
      <c r="T701">
        <f t="shared" si="153"/>
        <v>0</v>
      </c>
      <c r="U701">
        <f t="shared" si="153"/>
        <v>0</v>
      </c>
      <c r="V701">
        <f t="shared" si="153"/>
        <v>0</v>
      </c>
      <c r="W701">
        <f t="shared" si="153"/>
        <v>0</v>
      </c>
      <c r="X701">
        <f t="shared" si="153"/>
        <v>0</v>
      </c>
      <c r="Y701">
        <f t="shared" si="152"/>
        <v>0</v>
      </c>
      <c r="Z701">
        <f t="shared" si="152"/>
        <v>0</v>
      </c>
      <c r="AA701">
        <f t="shared" si="152"/>
        <v>0</v>
      </c>
      <c r="AB701">
        <f t="shared" si="152"/>
        <v>1.498960720438345E-4</v>
      </c>
      <c r="AC701">
        <f t="shared" si="152"/>
        <v>0</v>
      </c>
      <c r="AD701">
        <f t="shared" si="152"/>
        <v>0</v>
      </c>
      <c r="AE701">
        <f t="shared" si="152"/>
        <v>0</v>
      </c>
      <c r="AF701">
        <f t="shared" si="152"/>
        <v>0</v>
      </c>
      <c r="AG701">
        <f t="shared" si="152"/>
        <v>0</v>
      </c>
      <c r="AH701">
        <f t="shared" si="152"/>
        <v>0</v>
      </c>
      <c r="AI701">
        <f t="shared" si="151"/>
        <v>0</v>
      </c>
      <c r="AJ701">
        <f t="shared" si="151"/>
        <v>0</v>
      </c>
      <c r="AK701">
        <f t="shared" si="151"/>
        <v>0</v>
      </c>
      <c r="AL701">
        <f t="shared" si="151"/>
        <v>0</v>
      </c>
      <c r="AM701">
        <f t="shared" si="151"/>
        <v>0</v>
      </c>
      <c r="AN701">
        <f t="shared" si="151"/>
        <v>0</v>
      </c>
      <c r="AO701">
        <f t="shared" si="151"/>
        <v>0</v>
      </c>
      <c r="AP701">
        <f t="shared" si="151"/>
        <v>0</v>
      </c>
      <c r="AQ701">
        <f t="shared" si="151"/>
        <v>0</v>
      </c>
      <c r="AR701">
        <f t="shared" si="151"/>
        <v>0</v>
      </c>
    </row>
    <row r="702" spans="5:44" x14ac:dyDescent="0.2">
      <c r="E702" s="1">
        <f>moment_rate!$AC702</f>
        <v>4.4950804667324533E-3</v>
      </c>
      <c r="F702" s="1">
        <f t="shared" si="141"/>
        <v>1.517815325221732E-4</v>
      </c>
      <c r="G702">
        <f>moment_rate!I702-0.005</f>
        <v>6.9499999999998963</v>
      </c>
      <c r="H702" s="1">
        <f t="shared" si="142"/>
        <v>1.517815325221732E-4</v>
      </c>
      <c r="I702">
        <f t="shared" si="153"/>
        <v>0</v>
      </c>
      <c r="J702">
        <f t="shared" si="153"/>
        <v>0</v>
      </c>
      <c r="K702">
        <f t="shared" si="153"/>
        <v>0</v>
      </c>
      <c r="L702">
        <f t="shared" si="153"/>
        <v>0</v>
      </c>
      <c r="M702">
        <f t="shared" si="153"/>
        <v>0</v>
      </c>
      <c r="N702">
        <f t="shared" si="153"/>
        <v>0</v>
      </c>
      <c r="O702">
        <f t="shared" si="153"/>
        <v>0</v>
      </c>
      <c r="P702">
        <f t="shared" si="153"/>
        <v>0</v>
      </c>
      <c r="Q702">
        <f t="shared" si="153"/>
        <v>0</v>
      </c>
      <c r="R702">
        <f t="shared" si="153"/>
        <v>0</v>
      </c>
      <c r="S702">
        <f t="shared" si="153"/>
        <v>0</v>
      </c>
      <c r="T702">
        <f t="shared" si="153"/>
        <v>0</v>
      </c>
      <c r="U702">
        <f t="shared" si="153"/>
        <v>0</v>
      </c>
      <c r="V702">
        <f t="shared" si="153"/>
        <v>0</v>
      </c>
      <c r="W702">
        <f t="shared" si="153"/>
        <v>0</v>
      </c>
      <c r="X702">
        <f t="shared" si="153"/>
        <v>0</v>
      </c>
      <c r="Y702">
        <f t="shared" si="152"/>
        <v>0</v>
      </c>
      <c r="Z702">
        <f t="shared" si="152"/>
        <v>0</v>
      </c>
      <c r="AA702">
        <f t="shared" si="152"/>
        <v>0</v>
      </c>
      <c r="AB702">
        <f t="shared" si="152"/>
        <v>1.517815325221732E-4</v>
      </c>
      <c r="AC702">
        <f t="shared" si="152"/>
        <v>0</v>
      </c>
      <c r="AD702">
        <f t="shared" si="152"/>
        <v>0</v>
      </c>
      <c r="AE702">
        <f t="shared" si="152"/>
        <v>0</v>
      </c>
      <c r="AF702">
        <f t="shared" si="152"/>
        <v>0</v>
      </c>
      <c r="AG702">
        <f t="shared" si="152"/>
        <v>0</v>
      </c>
      <c r="AH702">
        <f t="shared" si="152"/>
        <v>0</v>
      </c>
      <c r="AI702">
        <f t="shared" si="151"/>
        <v>0</v>
      </c>
      <c r="AJ702">
        <f t="shared" si="151"/>
        <v>0</v>
      </c>
      <c r="AK702">
        <f t="shared" si="151"/>
        <v>0</v>
      </c>
      <c r="AL702">
        <f t="shared" si="151"/>
        <v>0</v>
      </c>
      <c r="AM702">
        <f t="shared" si="151"/>
        <v>0</v>
      </c>
      <c r="AN702">
        <f t="shared" si="151"/>
        <v>0</v>
      </c>
      <c r="AO702">
        <f t="shared" si="151"/>
        <v>0</v>
      </c>
      <c r="AP702">
        <f t="shared" si="151"/>
        <v>0</v>
      </c>
      <c r="AQ702">
        <f t="shared" si="151"/>
        <v>0</v>
      </c>
      <c r="AR702">
        <f t="shared" si="151"/>
        <v>0</v>
      </c>
    </row>
    <row r="703" spans="5:44" x14ac:dyDescent="0.2">
      <c r="E703" s="1">
        <f>moment_rate!$AC703</f>
        <v>4.3432989342102801E-3</v>
      </c>
      <c r="F703" s="1">
        <f t="shared" si="141"/>
        <v>1.5330696228431535E-4</v>
      </c>
      <c r="G703">
        <f>moment_rate!I703-0.005</f>
        <v>6.959999999999896</v>
      </c>
      <c r="H703" s="1">
        <f t="shared" si="142"/>
        <v>1.5330696228431535E-4</v>
      </c>
      <c r="I703">
        <f t="shared" si="153"/>
        <v>0</v>
      </c>
      <c r="J703">
        <f t="shared" si="153"/>
        <v>0</v>
      </c>
      <c r="K703">
        <f t="shared" si="153"/>
        <v>0</v>
      </c>
      <c r="L703">
        <f t="shared" si="153"/>
        <v>0</v>
      </c>
      <c r="M703">
        <f t="shared" si="153"/>
        <v>0</v>
      </c>
      <c r="N703">
        <f t="shared" si="153"/>
        <v>0</v>
      </c>
      <c r="O703">
        <f t="shared" si="153"/>
        <v>0</v>
      </c>
      <c r="P703">
        <f t="shared" si="153"/>
        <v>0</v>
      </c>
      <c r="Q703">
        <f t="shared" si="153"/>
        <v>0</v>
      </c>
      <c r="R703">
        <f t="shared" si="153"/>
        <v>0</v>
      </c>
      <c r="S703">
        <f t="shared" si="153"/>
        <v>0</v>
      </c>
      <c r="T703">
        <f t="shared" si="153"/>
        <v>0</v>
      </c>
      <c r="U703">
        <f t="shared" si="153"/>
        <v>0</v>
      </c>
      <c r="V703">
        <f t="shared" si="153"/>
        <v>0</v>
      </c>
      <c r="W703">
        <f t="shared" si="153"/>
        <v>0</v>
      </c>
      <c r="X703">
        <f t="shared" si="153"/>
        <v>0</v>
      </c>
      <c r="Y703">
        <f t="shared" si="152"/>
        <v>0</v>
      </c>
      <c r="Z703">
        <f t="shared" si="152"/>
        <v>0</v>
      </c>
      <c r="AA703">
        <f t="shared" si="152"/>
        <v>0</v>
      </c>
      <c r="AB703">
        <f t="shared" si="152"/>
        <v>1.5330696228431535E-4</v>
      </c>
      <c r="AC703">
        <f t="shared" si="152"/>
        <v>0</v>
      </c>
      <c r="AD703">
        <f t="shared" si="152"/>
        <v>0</v>
      </c>
      <c r="AE703">
        <f t="shared" si="152"/>
        <v>0</v>
      </c>
      <c r="AF703">
        <f t="shared" si="152"/>
        <v>0</v>
      </c>
      <c r="AG703">
        <f t="shared" si="152"/>
        <v>0</v>
      </c>
      <c r="AH703">
        <f t="shared" si="152"/>
        <v>0</v>
      </c>
      <c r="AI703">
        <f t="shared" si="151"/>
        <v>0</v>
      </c>
      <c r="AJ703">
        <f t="shared" si="151"/>
        <v>0</v>
      </c>
      <c r="AK703">
        <f t="shared" si="151"/>
        <v>0</v>
      </c>
      <c r="AL703">
        <f t="shared" si="151"/>
        <v>0</v>
      </c>
      <c r="AM703">
        <f t="shared" si="151"/>
        <v>0</v>
      </c>
      <c r="AN703">
        <f t="shared" si="151"/>
        <v>0</v>
      </c>
      <c r="AO703">
        <f t="shared" si="151"/>
        <v>0</v>
      </c>
      <c r="AP703">
        <f t="shared" si="151"/>
        <v>0</v>
      </c>
      <c r="AQ703">
        <f t="shared" si="151"/>
        <v>0</v>
      </c>
      <c r="AR703">
        <f t="shared" si="151"/>
        <v>0</v>
      </c>
    </row>
    <row r="704" spans="5:44" x14ac:dyDescent="0.2">
      <c r="E704" s="1">
        <f>moment_rate!$AC704</f>
        <v>4.1899919719259647E-3</v>
      </c>
      <c r="F704" s="1">
        <f t="shared" si="141"/>
        <v>1.5446108705940379E-4</v>
      </c>
      <c r="G704">
        <f>moment_rate!I704-0.005</f>
        <v>6.9699999999998958</v>
      </c>
      <c r="H704" s="1">
        <f t="shared" si="142"/>
        <v>1.5446108705940379E-4</v>
      </c>
      <c r="I704">
        <f t="shared" si="153"/>
        <v>0</v>
      </c>
      <c r="J704">
        <f t="shared" si="153"/>
        <v>0</v>
      </c>
      <c r="K704">
        <f t="shared" si="153"/>
        <v>0</v>
      </c>
      <c r="L704">
        <f t="shared" si="153"/>
        <v>0</v>
      </c>
      <c r="M704">
        <f t="shared" si="153"/>
        <v>0</v>
      </c>
      <c r="N704">
        <f t="shared" si="153"/>
        <v>0</v>
      </c>
      <c r="O704">
        <f t="shared" si="153"/>
        <v>0</v>
      </c>
      <c r="P704">
        <f t="shared" si="153"/>
        <v>0</v>
      </c>
      <c r="Q704">
        <f t="shared" si="153"/>
        <v>0</v>
      </c>
      <c r="R704">
        <f t="shared" si="153"/>
        <v>0</v>
      </c>
      <c r="S704">
        <f t="shared" si="153"/>
        <v>0</v>
      </c>
      <c r="T704">
        <f t="shared" si="153"/>
        <v>0</v>
      </c>
      <c r="U704">
        <f t="shared" si="153"/>
        <v>0</v>
      </c>
      <c r="V704">
        <f t="shared" si="153"/>
        <v>0</v>
      </c>
      <c r="W704">
        <f t="shared" si="153"/>
        <v>0</v>
      </c>
      <c r="X704">
        <f t="shared" si="153"/>
        <v>0</v>
      </c>
      <c r="Y704">
        <f t="shared" si="152"/>
        <v>0</v>
      </c>
      <c r="Z704">
        <f t="shared" si="152"/>
        <v>0</v>
      </c>
      <c r="AA704">
        <f t="shared" si="152"/>
        <v>0</v>
      </c>
      <c r="AB704">
        <f t="shared" si="152"/>
        <v>1.5446108705940379E-4</v>
      </c>
      <c r="AC704">
        <f t="shared" si="152"/>
        <v>0</v>
      </c>
      <c r="AD704">
        <f t="shared" si="152"/>
        <v>0</v>
      </c>
      <c r="AE704">
        <f t="shared" si="152"/>
        <v>0</v>
      </c>
      <c r="AF704">
        <f t="shared" si="152"/>
        <v>0</v>
      </c>
      <c r="AG704">
        <f t="shared" si="152"/>
        <v>0</v>
      </c>
      <c r="AH704">
        <f t="shared" si="152"/>
        <v>0</v>
      </c>
      <c r="AI704">
        <f t="shared" si="151"/>
        <v>0</v>
      </c>
      <c r="AJ704">
        <f t="shared" si="151"/>
        <v>0</v>
      </c>
      <c r="AK704">
        <f t="shared" si="151"/>
        <v>0</v>
      </c>
      <c r="AL704">
        <f t="shared" si="151"/>
        <v>0</v>
      </c>
      <c r="AM704">
        <f t="shared" si="151"/>
        <v>0</v>
      </c>
      <c r="AN704">
        <f t="shared" si="151"/>
        <v>0</v>
      </c>
      <c r="AO704">
        <f t="shared" si="151"/>
        <v>0</v>
      </c>
      <c r="AP704">
        <f t="shared" si="151"/>
        <v>0</v>
      </c>
      <c r="AQ704">
        <f t="shared" si="151"/>
        <v>0</v>
      </c>
      <c r="AR704">
        <f t="shared" si="151"/>
        <v>0</v>
      </c>
    </row>
    <row r="705" spans="5:44" x14ac:dyDescent="0.2">
      <c r="E705" s="1">
        <f>moment_rate!$AC705</f>
        <v>4.0355308848665609E-3</v>
      </c>
      <c r="F705" s="1">
        <f t="shared" si="141"/>
        <v>1.5523532648025916E-4</v>
      </c>
      <c r="G705">
        <f>moment_rate!I705-0.005</f>
        <v>6.9799999999998956</v>
      </c>
      <c r="H705" s="1">
        <f t="shared" si="142"/>
        <v>1.5523532648025916E-4</v>
      </c>
      <c r="I705">
        <f t="shared" si="153"/>
        <v>0</v>
      </c>
      <c r="J705">
        <f t="shared" si="153"/>
        <v>0</v>
      </c>
      <c r="K705">
        <f t="shared" si="153"/>
        <v>0</v>
      </c>
      <c r="L705">
        <f t="shared" si="153"/>
        <v>0</v>
      </c>
      <c r="M705">
        <f t="shared" si="153"/>
        <v>0</v>
      </c>
      <c r="N705">
        <f t="shared" si="153"/>
        <v>0</v>
      </c>
      <c r="O705">
        <f t="shared" si="153"/>
        <v>0</v>
      </c>
      <c r="P705">
        <f t="shared" si="153"/>
        <v>0</v>
      </c>
      <c r="Q705">
        <f t="shared" si="153"/>
        <v>0</v>
      </c>
      <c r="R705">
        <f t="shared" si="153"/>
        <v>0</v>
      </c>
      <c r="S705">
        <f t="shared" si="153"/>
        <v>0</v>
      </c>
      <c r="T705">
        <f t="shared" si="153"/>
        <v>0</v>
      </c>
      <c r="U705">
        <f t="shared" si="153"/>
        <v>0</v>
      </c>
      <c r="V705">
        <f t="shared" si="153"/>
        <v>0</v>
      </c>
      <c r="W705">
        <f t="shared" si="153"/>
        <v>0</v>
      </c>
      <c r="X705">
        <f t="shared" si="153"/>
        <v>0</v>
      </c>
      <c r="Y705">
        <f t="shared" si="152"/>
        <v>0</v>
      </c>
      <c r="Z705">
        <f t="shared" si="152"/>
        <v>0</v>
      </c>
      <c r="AA705">
        <f t="shared" si="152"/>
        <v>0</v>
      </c>
      <c r="AB705">
        <f t="shared" si="152"/>
        <v>1.5523532648025916E-4</v>
      </c>
      <c r="AC705">
        <f t="shared" si="152"/>
        <v>0</v>
      </c>
      <c r="AD705">
        <f t="shared" si="152"/>
        <v>0</v>
      </c>
      <c r="AE705">
        <f t="shared" si="152"/>
        <v>0</v>
      </c>
      <c r="AF705">
        <f t="shared" si="152"/>
        <v>0</v>
      </c>
      <c r="AG705">
        <f t="shared" si="152"/>
        <v>0</v>
      </c>
      <c r="AH705">
        <f t="shared" si="152"/>
        <v>0</v>
      </c>
      <c r="AI705">
        <f t="shared" si="151"/>
        <v>0</v>
      </c>
      <c r="AJ705">
        <f t="shared" si="151"/>
        <v>0</v>
      </c>
      <c r="AK705">
        <f t="shared" si="151"/>
        <v>0</v>
      </c>
      <c r="AL705">
        <f t="shared" si="151"/>
        <v>0</v>
      </c>
      <c r="AM705">
        <f t="shared" si="151"/>
        <v>0</v>
      </c>
      <c r="AN705">
        <f t="shared" si="151"/>
        <v>0</v>
      </c>
      <c r="AO705">
        <f t="shared" si="151"/>
        <v>0</v>
      </c>
      <c r="AP705">
        <f t="shared" si="151"/>
        <v>0</v>
      </c>
      <c r="AQ705">
        <f t="shared" si="151"/>
        <v>0</v>
      </c>
      <c r="AR705">
        <f t="shared" si="151"/>
        <v>0</v>
      </c>
    </row>
    <row r="706" spans="5:44" x14ac:dyDescent="0.2">
      <c r="E706" s="1">
        <f>moment_rate!$AC706</f>
        <v>3.8802955583863018E-3</v>
      </c>
      <c r="F706" s="1">
        <f t="shared" si="141"/>
        <v>1.5562390031137029E-4</v>
      </c>
      <c r="G706">
        <f>moment_rate!I706-0.005</f>
        <v>6.9899999999998954</v>
      </c>
      <c r="H706" s="1">
        <f t="shared" si="142"/>
        <v>1.5562390031137029E-4</v>
      </c>
      <c r="I706">
        <f t="shared" si="153"/>
        <v>0</v>
      </c>
      <c r="J706">
        <f t="shared" si="153"/>
        <v>0</v>
      </c>
      <c r="K706">
        <f t="shared" si="153"/>
        <v>0</v>
      </c>
      <c r="L706">
        <f t="shared" si="153"/>
        <v>0</v>
      </c>
      <c r="M706">
        <f t="shared" si="153"/>
        <v>0</v>
      </c>
      <c r="N706">
        <f t="shared" si="153"/>
        <v>0</v>
      </c>
      <c r="O706">
        <f t="shared" si="153"/>
        <v>0</v>
      </c>
      <c r="P706">
        <f t="shared" si="153"/>
        <v>0</v>
      </c>
      <c r="Q706">
        <f t="shared" si="153"/>
        <v>0</v>
      </c>
      <c r="R706">
        <f t="shared" si="153"/>
        <v>0</v>
      </c>
      <c r="S706">
        <f t="shared" si="153"/>
        <v>0</v>
      </c>
      <c r="T706">
        <f t="shared" si="153"/>
        <v>0</v>
      </c>
      <c r="U706">
        <f t="shared" si="153"/>
        <v>0</v>
      </c>
      <c r="V706">
        <f t="shared" si="153"/>
        <v>0</v>
      </c>
      <c r="W706">
        <f t="shared" si="153"/>
        <v>0</v>
      </c>
      <c r="X706">
        <f t="shared" si="153"/>
        <v>0</v>
      </c>
      <c r="Y706">
        <f t="shared" si="152"/>
        <v>0</v>
      </c>
      <c r="Z706">
        <f t="shared" si="152"/>
        <v>0</v>
      </c>
      <c r="AA706">
        <f t="shared" si="152"/>
        <v>0</v>
      </c>
      <c r="AB706">
        <f t="shared" si="152"/>
        <v>1.5562390031137029E-4</v>
      </c>
      <c r="AC706">
        <f t="shared" si="152"/>
        <v>0</v>
      </c>
      <c r="AD706">
        <f t="shared" si="152"/>
        <v>0</v>
      </c>
      <c r="AE706">
        <f t="shared" si="152"/>
        <v>0</v>
      </c>
      <c r="AF706">
        <f t="shared" si="152"/>
        <v>0</v>
      </c>
      <c r="AG706">
        <f t="shared" si="152"/>
        <v>0</v>
      </c>
      <c r="AH706">
        <f t="shared" si="152"/>
        <v>0</v>
      </c>
      <c r="AI706">
        <f t="shared" si="151"/>
        <v>0</v>
      </c>
      <c r="AJ706">
        <f t="shared" si="151"/>
        <v>0</v>
      </c>
      <c r="AK706">
        <f t="shared" si="151"/>
        <v>0</v>
      </c>
      <c r="AL706">
        <f t="shared" si="151"/>
        <v>0</v>
      </c>
      <c r="AM706">
        <f t="shared" si="151"/>
        <v>0</v>
      </c>
      <c r="AN706">
        <f t="shared" si="151"/>
        <v>0</v>
      </c>
      <c r="AO706">
        <f t="shared" si="151"/>
        <v>0</v>
      </c>
      <c r="AP706">
        <f t="shared" si="151"/>
        <v>0</v>
      </c>
      <c r="AQ706">
        <f t="shared" si="151"/>
        <v>0</v>
      </c>
      <c r="AR706">
        <f t="shared" si="151"/>
        <v>0</v>
      </c>
    </row>
    <row r="707" spans="5:44" x14ac:dyDescent="0.2">
      <c r="E707" s="1">
        <f>moment_rate!$AC707</f>
        <v>3.7246716580749315E-3</v>
      </c>
      <c r="F707" s="1">
        <f t="shared" si="141"/>
        <v>1.5562390031137463E-4</v>
      </c>
      <c r="G707">
        <f>moment_rate!I707-0.005</f>
        <v>6.9999999999998952</v>
      </c>
      <c r="H707" s="1">
        <f t="shared" si="142"/>
        <v>1.5562390031137463E-4</v>
      </c>
      <c r="I707">
        <f t="shared" si="153"/>
        <v>0</v>
      </c>
      <c r="J707">
        <f t="shared" si="153"/>
        <v>0</v>
      </c>
      <c r="K707">
        <f t="shared" si="153"/>
        <v>0</v>
      </c>
      <c r="L707">
        <f t="shared" si="153"/>
        <v>0</v>
      </c>
      <c r="M707">
        <f t="shared" si="153"/>
        <v>0</v>
      </c>
      <c r="N707">
        <f t="shared" si="153"/>
        <v>0</v>
      </c>
      <c r="O707">
        <f t="shared" si="153"/>
        <v>0</v>
      </c>
      <c r="P707">
        <f t="shared" si="153"/>
        <v>0</v>
      </c>
      <c r="Q707">
        <f t="shared" si="153"/>
        <v>0</v>
      </c>
      <c r="R707">
        <f t="shared" si="153"/>
        <v>0</v>
      </c>
      <c r="S707">
        <f t="shared" si="153"/>
        <v>0</v>
      </c>
      <c r="T707">
        <f t="shared" si="153"/>
        <v>0</v>
      </c>
      <c r="U707">
        <f t="shared" si="153"/>
        <v>0</v>
      </c>
      <c r="V707">
        <f t="shared" si="153"/>
        <v>0</v>
      </c>
      <c r="W707">
        <f t="shared" si="153"/>
        <v>0</v>
      </c>
      <c r="X707">
        <f t="shared" si="153"/>
        <v>0</v>
      </c>
      <c r="Y707">
        <f t="shared" si="152"/>
        <v>0</v>
      </c>
      <c r="Z707">
        <f t="shared" si="152"/>
        <v>0</v>
      </c>
      <c r="AA707">
        <f t="shared" si="152"/>
        <v>0</v>
      </c>
      <c r="AB707">
        <f t="shared" si="152"/>
        <v>1.5562390031137463E-4</v>
      </c>
      <c r="AC707">
        <f t="shared" si="152"/>
        <v>0</v>
      </c>
      <c r="AD707">
        <f t="shared" si="152"/>
        <v>0</v>
      </c>
      <c r="AE707">
        <f t="shared" si="152"/>
        <v>0</v>
      </c>
      <c r="AF707">
        <f t="shared" si="152"/>
        <v>0</v>
      </c>
      <c r="AG707">
        <f t="shared" si="152"/>
        <v>0</v>
      </c>
      <c r="AH707">
        <f t="shared" si="152"/>
        <v>0</v>
      </c>
      <c r="AI707">
        <f t="shared" si="151"/>
        <v>0</v>
      </c>
      <c r="AJ707">
        <f t="shared" si="151"/>
        <v>0</v>
      </c>
      <c r="AK707">
        <f t="shared" si="151"/>
        <v>0</v>
      </c>
      <c r="AL707">
        <f t="shared" si="151"/>
        <v>0</v>
      </c>
      <c r="AM707">
        <f t="shared" si="151"/>
        <v>0</v>
      </c>
      <c r="AN707">
        <f t="shared" si="151"/>
        <v>0</v>
      </c>
      <c r="AO707">
        <f t="shared" si="151"/>
        <v>0</v>
      </c>
      <c r="AP707">
        <f t="shared" si="151"/>
        <v>0</v>
      </c>
      <c r="AQ707">
        <f t="shared" si="151"/>
        <v>0</v>
      </c>
      <c r="AR707">
        <f t="shared" si="151"/>
        <v>0</v>
      </c>
    </row>
    <row r="708" spans="5:44" x14ac:dyDescent="0.2">
      <c r="E708" s="1">
        <f>moment_rate!$AC708</f>
        <v>3.5690477577635569E-3</v>
      </c>
      <c r="F708" s="1">
        <f t="shared" si="141"/>
        <v>1.5523532648027173E-4</v>
      </c>
      <c r="G708">
        <f>moment_rate!I708-0.005</f>
        <v>7.009999999999895</v>
      </c>
      <c r="H708" s="1">
        <f t="shared" si="142"/>
        <v>1.5523532648027173E-4</v>
      </c>
      <c r="I708">
        <f t="shared" si="153"/>
        <v>0</v>
      </c>
      <c r="J708">
        <f t="shared" si="153"/>
        <v>0</v>
      </c>
      <c r="K708">
        <f t="shared" si="153"/>
        <v>0</v>
      </c>
      <c r="L708">
        <f t="shared" si="153"/>
        <v>0</v>
      </c>
      <c r="M708">
        <f t="shared" si="153"/>
        <v>0</v>
      </c>
      <c r="N708">
        <f t="shared" si="153"/>
        <v>0</v>
      </c>
      <c r="O708">
        <f t="shared" si="153"/>
        <v>0</v>
      </c>
      <c r="P708">
        <f t="shared" si="153"/>
        <v>0</v>
      </c>
      <c r="Q708">
        <f t="shared" si="153"/>
        <v>0</v>
      </c>
      <c r="R708">
        <f t="shared" si="153"/>
        <v>0</v>
      </c>
      <c r="S708">
        <f t="shared" si="153"/>
        <v>0</v>
      </c>
      <c r="T708">
        <f t="shared" si="153"/>
        <v>0</v>
      </c>
      <c r="U708">
        <f t="shared" si="153"/>
        <v>0</v>
      </c>
      <c r="V708">
        <f t="shared" si="153"/>
        <v>0</v>
      </c>
      <c r="W708">
        <f t="shared" si="153"/>
        <v>0</v>
      </c>
      <c r="X708">
        <f t="shared" si="153"/>
        <v>0</v>
      </c>
      <c r="Y708">
        <f t="shared" si="152"/>
        <v>0</v>
      </c>
      <c r="Z708">
        <f t="shared" si="152"/>
        <v>0</v>
      </c>
      <c r="AA708">
        <f t="shared" si="152"/>
        <v>0</v>
      </c>
      <c r="AB708">
        <f t="shared" si="152"/>
        <v>0</v>
      </c>
      <c r="AC708">
        <f t="shared" si="152"/>
        <v>1.5523532648027173E-4</v>
      </c>
      <c r="AD708">
        <f t="shared" si="152"/>
        <v>0</v>
      </c>
      <c r="AE708">
        <f t="shared" si="152"/>
        <v>0</v>
      </c>
      <c r="AF708">
        <f t="shared" si="152"/>
        <v>0</v>
      </c>
      <c r="AG708">
        <f t="shared" si="152"/>
        <v>0</v>
      </c>
      <c r="AH708">
        <f t="shared" si="152"/>
        <v>0</v>
      </c>
      <c r="AI708">
        <f t="shared" si="151"/>
        <v>0</v>
      </c>
      <c r="AJ708">
        <f t="shared" si="151"/>
        <v>0</v>
      </c>
      <c r="AK708">
        <f t="shared" si="151"/>
        <v>0</v>
      </c>
      <c r="AL708">
        <f t="shared" si="151"/>
        <v>0</v>
      </c>
      <c r="AM708">
        <f t="shared" si="151"/>
        <v>0</v>
      </c>
      <c r="AN708">
        <f t="shared" si="151"/>
        <v>0</v>
      </c>
      <c r="AO708">
        <f t="shared" si="151"/>
        <v>0</v>
      </c>
      <c r="AP708">
        <f t="shared" si="151"/>
        <v>0</v>
      </c>
      <c r="AQ708">
        <f t="shared" si="151"/>
        <v>0</v>
      </c>
      <c r="AR708">
        <f t="shared" si="151"/>
        <v>0</v>
      </c>
    </row>
    <row r="709" spans="5:44" x14ac:dyDescent="0.2">
      <c r="E709" s="1">
        <f>moment_rate!$AC709</f>
        <v>3.4138124312832851E-3</v>
      </c>
      <c r="F709" s="1">
        <f t="shared" si="141"/>
        <v>1.5446108705942417E-4</v>
      </c>
      <c r="G709">
        <f>moment_rate!I709-0.005</f>
        <v>7.0199999999998948</v>
      </c>
      <c r="H709" s="1">
        <f t="shared" si="142"/>
        <v>1.5446108705942417E-4</v>
      </c>
      <c r="I709">
        <f t="shared" si="153"/>
        <v>0</v>
      </c>
      <c r="J709">
        <f t="shared" si="153"/>
        <v>0</v>
      </c>
      <c r="K709">
        <f t="shared" si="153"/>
        <v>0</v>
      </c>
      <c r="L709">
        <f t="shared" si="153"/>
        <v>0</v>
      </c>
      <c r="M709">
        <f t="shared" si="153"/>
        <v>0</v>
      </c>
      <c r="N709">
        <f t="shared" si="153"/>
        <v>0</v>
      </c>
      <c r="O709">
        <f t="shared" si="153"/>
        <v>0</v>
      </c>
      <c r="P709">
        <f t="shared" si="153"/>
        <v>0</v>
      </c>
      <c r="Q709">
        <f t="shared" si="153"/>
        <v>0</v>
      </c>
      <c r="R709">
        <f t="shared" si="153"/>
        <v>0</v>
      </c>
      <c r="S709">
        <f t="shared" si="153"/>
        <v>0</v>
      </c>
      <c r="T709">
        <f t="shared" si="153"/>
        <v>0</v>
      </c>
      <c r="U709">
        <f t="shared" si="153"/>
        <v>0</v>
      </c>
      <c r="V709">
        <f t="shared" si="153"/>
        <v>0</v>
      </c>
      <c r="W709">
        <f t="shared" si="153"/>
        <v>0</v>
      </c>
      <c r="X709">
        <f t="shared" si="153"/>
        <v>0</v>
      </c>
      <c r="Y709">
        <f t="shared" si="152"/>
        <v>0</v>
      </c>
      <c r="Z709">
        <f t="shared" si="152"/>
        <v>0</v>
      </c>
      <c r="AA709">
        <f t="shared" si="152"/>
        <v>0</v>
      </c>
      <c r="AB709">
        <f t="shared" si="152"/>
        <v>0</v>
      </c>
      <c r="AC709">
        <f t="shared" si="152"/>
        <v>1.5446108705942417E-4</v>
      </c>
      <c r="AD709">
        <f t="shared" si="152"/>
        <v>0</v>
      </c>
      <c r="AE709">
        <f t="shared" si="152"/>
        <v>0</v>
      </c>
      <c r="AF709">
        <f t="shared" si="152"/>
        <v>0</v>
      </c>
      <c r="AG709">
        <f t="shared" si="152"/>
        <v>0</v>
      </c>
      <c r="AH709">
        <f t="shared" si="152"/>
        <v>0</v>
      </c>
      <c r="AI709">
        <f t="shared" si="152"/>
        <v>0</v>
      </c>
      <c r="AJ709">
        <f t="shared" si="152"/>
        <v>0</v>
      </c>
      <c r="AK709">
        <f t="shared" si="152"/>
        <v>0</v>
      </c>
      <c r="AL709">
        <f t="shared" si="152"/>
        <v>0</v>
      </c>
      <c r="AM709">
        <f t="shared" si="152"/>
        <v>0</v>
      </c>
      <c r="AN709">
        <f t="shared" si="151"/>
        <v>0</v>
      </c>
      <c r="AO709">
        <f t="shared" si="151"/>
        <v>0</v>
      </c>
      <c r="AP709">
        <f t="shared" si="151"/>
        <v>0</v>
      </c>
      <c r="AQ709">
        <f t="shared" si="151"/>
        <v>0</v>
      </c>
      <c r="AR709">
        <f t="shared" si="151"/>
        <v>0</v>
      </c>
    </row>
    <row r="710" spans="5:44" x14ac:dyDescent="0.2">
      <c r="E710" s="1">
        <f>moment_rate!$AC710</f>
        <v>3.259351344223861E-3</v>
      </c>
      <c r="F710" s="1">
        <f t="shared" si="141"/>
        <v>1.5330696228434398E-4</v>
      </c>
      <c r="G710">
        <f>moment_rate!I710-0.005</f>
        <v>7.0299999999998946</v>
      </c>
      <c r="H710" s="1">
        <f t="shared" si="142"/>
        <v>1.5330696228434398E-4</v>
      </c>
      <c r="I710">
        <f t="shared" si="153"/>
        <v>0</v>
      </c>
      <c r="J710">
        <f t="shared" si="153"/>
        <v>0</v>
      </c>
      <c r="K710">
        <f t="shared" si="153"/>
        <v>0</v>
      </c>
      <c r="L710">
        <f t="shared" si="153"/>
        <v>0</v>
      </c>
      <c r="M710">
        <f t="shared" si="153"/>
        <v>0</v>
      </c>
      <c r="N710">
        <f t="shared" si="153"/>
        <v>0</v>
      </c>
      <c r="O710">
        <f t="shared" si="153"/>
        <v>0</v>
      </c>
      <c r="P710">
        <f t="shared" si="153"/>
        <v>0</v>
      </c>
      <c r="Q710">
        <f t="shared" si="153"/>
        <v>0</v>
      </c>
      <c r="R710">
        <f t="shared" si="153"/>
        <v>0</v>
      </c>
      <c r="S710">
        <f t="shared" si="153"/>
        <v>0</v>
      </c>
      <c r="T710">
        <f t="shared" si="153"/>
        <v>0</v>
      </c>
      <c r="U710">
        <f t="shared" si="153"/>
        <v>0</v>
      </c>
      <c r="V710">
        <f t="shared" si="153"/>
        <v>0</v>
      </c>
      <c r="W710">
        <f t="shared" si="153"/>
        <v>0</v>
      </c>
      <c r="X710">
        <f t="shared" si="153"/>
        <v>0</v>
      </c>
      <c r="Y710">
        <f t="shared" si="152"/>
        <v>0</v>
      </c>
      <c r="Z710">
        <f t="shared" si="152"/>
        <v>0</v>
      </c>
      <c r="AA710">
        <f t="shared" si="152"/>
        <v>0</v>
      </c>
      <c r="AB710">
        <f t="shared" si="152"/>
        <v>0</v>
      </c>
      <c r="AC710">
        <f t="shared" si="152"/>
        <v>1.5330696228434398E-4</v>
      </c>
      <c r="AD710">
        <f t="shared" si="152"/>
        <v>0</v>
      </c>
      <c r="AE710">
        <f t="shared" si="152"/>
        <v>0</v>
      </c>
      <c r="AF710">
        <f t="shared" si="152"/>
        <v>0</v>
      </c>
      <c r="AG710">
        <f t="shared" si="152"/>
        <v>0</v>
      </c>
      <c r="AH710">
        <f t="shared" si="152"/>
        <v>0</v>
      </c>
      <c r="AI710">
        <f t="shared" si="152"/>
        <v>0</v>
      </c>
      <c r="AJ710">
        <f t="shared" si="152"/>
        <v>0</v>
      </c>
      <c r="AK710">
        <f t="shared" si="152"/>
        <v>0</v>
      </c>
      <c r="AL710">
        <f t="shared" si="152"/>
        <v>0</v>
      </c>
      <c r="AM710">
        <f t="shared" si="152"/>
        <v>0</v>
      </c>
      <c r="AN710">
        <f t="shared" si="151"/>
        <v>0</v>
      </c>
      <c r="AO710">
        <f t="shared" si="151"/>
        <v>0</v>
      </c>
      <c r="AP710">
        <f t="shared" si="151"/>
        <v>0</v>
      </c>
      <c r="AQ710">
        <f t="shared" si="151"/>
        <v>0</v>
      </c>
      <c r="AR710">
        <f t="shared" si="151"/>
        <v>0</v>
      </c>
    </row>
    <row r="711" spans="5:44" x14ac:dyDescent="0.2">
      <c r="E711" s="1">
        <f>moment_rate!$AC711</f>
        <v>3.106044381939517E-3</v>
      </c>
      <c r="F711" s="1">
        <f t="shared" si="141"/>
        <v>1.5178153252220876E-4</v>
      </c>
      <c r="G711">
        <f>moment_rate!I711-0.005</f>
        <v>7.0399999999998943</v>
      </c>
      <c r="H711" s="1">
        <f t="shared" si="142"/>
        <v>1.5178153252220876E-4</v>
      </c>
      <c r="I711">
        <f t="shared" si="153"/>
        <v>0</v>
      </c>
      <c r="J711">
        <f t="shared" si="153"/>
        <v>0</v>
      </c>
      <c r="K711">
        <f t="shared" si="153"/>
        <v>0</v>
      </c>
      <c r="L711">
        <f t="shared" si="153"/>
        <v>0</v>
      </c>
      <c r="M711">
        <f t="shared" si="153"/>
        <v>0</v>
      </c>
      <c r="N711">
        <f t="shared" si="153"/>
        <v>0</v>
      </c>
      <c r="O711">
        <f t="shared" si="153"/>
        <v>0</v>
      </c>
      <c r="P711">
        <f t="shared" si="153"/>
        <v>0</v>
      </c>
      <c r="Q711">
        <f t="shared" si="153"/>
        <v>0</v>
      </c>
      <c r="R711">
        <f t="shared" si="153"/>
        <v>0</v>
      </c>
      <c r="S711">
        <f t="shared" si="153"/>
        <v>0</v>
      </c>
      <c r="T711">
        <f t="shared" si="153"/>
        <v>0</v>
      </c>
      <c r="U711">
        <f t="shared" si="153"/>
        <v>0</v>
      </c>
      <c r="V711">
        <f t="shared" si="153"/>
        <v>0</v>
      </c>
      <c r="W711">
        <f t="shared" si="153"/>
        <v>0</v>
      </c>
      <c r="X711">
        <f t="shared" si="153"/>
        <v>0</v>
      </c>
      <c r="Y711">
        <f t="shared" si="152"/>
        <v>0</v>
      </c>
      <c r="Z711">
        <f t="shared" si="152"/>
        <v>0</v>
      </c>
      <c r="AA711">
        <f t="shared" si="152"/>
        <v>0</v>
      </c>
      <c r="AB711">
        <f t="shared" si="152"/>
        <v>0</v>
      </c>
      <c r="AC711">
        <f t="shared" si="152"/>
        <v>1.5178153252220876E-4</v>
      </c>
      <c r="AD711">
        <f t="shared" si="152"/>
        <v>0</v>
      </c>
      <c r="AE711">
        <f t="shared" si="152"/>
        <v>0</v>
      </c>
      <c r="AF711">
        <f t="shared" si="152"/>
        <v>0</v>
      </c>
      <c r="AG711">
        <f t="shared" si="152"/>
        <v>0</v>
      </c>
      <c r="AH711">
        <f t="shared" si="152"/>
        <v>0</v>
      </c>
      <c r="AI711">
        <f t="shared" si="152"/>
        <v>0</v>
      </c>
      <c r="AJ711">
        <f t="shared" si="152"/>
        <v>0</v>
      </c>
      <c r="AK711">
        <f t="shared" si="152"/>
        <v>0</v>
      </c>
      <c r="AL711">
        <f t="shared" si="152"/>
        <v>0</v>
      </c>
      <c r="AM711">
        <f t="shared" si="152"/>
        <v>0</v>
      </c>
      <c r="AN711">
        <f t="shared" si="151"/>
        <v>0</v>
      </c>
      <c r="AO711">
        <f t="shared" si="151"/>
        <v>0</v>
      </c>
      <c r="AP711">
        <f t="shared" si="151"/>
        <v>0</v>
      </c>
      <c r="AQ711">
        <f t="shared" si="151"/>
        <v>0</v>
      </c>
      <c r="AR711">
        <f t="shared" si="151"/>
        <v>0</v>
      </c>
    </row>
    <row r="712" spans="5:44" x14ac:dyDescent="0.2">
      <c r="E712" s="1">
        <f>moment_rate!$AC712</f>
        <v>2.9542628494173082E-3</v>
      </c>
      <c r="F712" s="1">
        <f t="shared" ref="F712:F775" si="154">E712-E713</f>
        <v>1.4989607204387786E-4</v>
      </c>
      <c r="G712">
        <f>moment_rate!I712-0.005</f>
        <v>7.0499999999998941</v>
      </c>
      <c r="H712" s="1">
        <f t="shared" ref="H712:H775" si="155">IF($G712&gt;=4.999,(E712-E713),0)</f>
        <v>1.4989607204387786E-4</v>
      </c>
      <c r="I712">
        <f t="shared" si="153"/>
        <v>0</v>
      </c>
      <c r="J712">
        <f t="shared" si="153"/>
        <v>0</v>
      </c>
      <c r="K712">
        <f t="shared" si="153"/>
        <v>0</v>
      </c>
      <c r="L712">
        <f t="shared" si="153"/>
        <v>0</v>
      </c>
      <c r="M712">
        <f t="shared" si="153"/>
        <v>0</v>
      </c>
      <c r="N712">
        <f t="shared" si="153"/>
        <v>0</v>
      </c>
      <c r="O712">
        <f t="shared" si="153"/>
        <v>0</v>
      </c>
      <c r="P712">
        <f t="shared" si="153"/>
        <v>0</v>
      </c>
      <c r="Q712">
        <f t="shared" si="153"/>
        <v>0</v>
      </c>
      <c r="R712">
        <f t="shared" si="153"/>
        <v>0</v>
      </c>
      <c r="S712">
        <f t="shared" si="153"/>
        <v>0</v>
      </c>
      <c r="T712">
        <f t="shared" si="153"/>
        <v>0</v>
      </c>
      <c r="U712">
        <f t="shared" si="153"/>
        <v>0</v>
      </c>
      <c r="V712">
        <f t="shared" si="153"/>
        <v>0</v>
      </c>
      <c r="W712">
        <f t="shared" si="153"/>
        <v>0</v>
      </c>
      <c r="X712">
        <f t="shared" si="153"/>
        <v>0</v>
      </c>
      <c r="Y712">
        <f t="shared" si="152"/>
        <v>0</v>
      </c>
      <c r="Z712">
        <f t="shared" si="152"/>
        <v>0</v>
      </c>
      <c r="AA712">
        <f t="shared" si="152"/>
        <v>0</v>
      </c>
      <c r="AB712">
        <f t="shared" si="152"/>
        <v>0</v>
      </c>
      <c r="AC712">
        <f t="shared" si="152"/>
        <v>1.4989607204387786E-4</v>
      </c>
      <c r="AD712">
        <f t="shared" si="152"/>
        <v>0</v>
      </c>
      <c r="AE712">
        <f t="shared" si="152"/>
        <v>0</v>
      </c>
      <c r="AF712">
        <f t="shared" si="152"/>
        <v>0</v>
      </c>
      <c r="AG712">
        <f t="shared" si="152"/>
        <v>0</v>
      </c>
      <c r="AH712">
        <f t="shared" si="152"/>
        <v>0</v>
      </c>
      <c r="AI712">
        <f t="shared" si="152"/>
        <v>0</v>
      </c>
      <c r="AJ712">
        <f t="shared" si="152"/>
        <v>0</v>
      </c>
      <c r="AK712">
        <f t="shared" si="152"/>
        <v>0</v>
      </c>
      <c r="AL712">
        <f t="shared" si="152"/>
        <v>0</v>
      </c>
      <c r="AM712">
        <f t="shared" si="152"/>
        <v>0</v>
      </c>
      <c r="AN712">
        <f t="shared" si="151"/>
        <v>0</v>
      </c>
      <c r="AO712">
        <f t="shared" si="151"/>
        <v>0</v>
      </c>
      <c r="AP712">
        <f t="shared" si="151"/>
        <v>0</v>
      </c>
      <c r="AQ712">
        <f t="shared" si="151"/>
        <v>0</v>
      </c>
      <c r="AR712">
        <f t="shared" si="151"/>
        <v>0</v>
      </c>
    </row>
    <row r="713" spans="5:44" x14ac:dyDescent="0.2">
      <c r="E713" s="1">
        <f>moment_rate!$AC713</f>
        <v>2.8043667773734304E-3</v>
      </c>
      <c r="F713" s="1">
        <f t="shared" si="154"/>
        <v>1.476644102700285E-4</v>
      </c>
      <c r="G713">
        <f>moment_rate!I713-0.005</f>
        <v>7.0599999999998939</v>
      </c>
      <c r="H713" s="1">
        <f t="shared" si="155"/>
        <v>1.476644102700285E-4</v>
      </c>
      <c r="I713">
        <f t="shared" si="153"/>
        <v>0</v>
      </c>
      <c r="J713">
        <f t="shared" si="153"/>
        <v>0</v>
      </c>
      <c r="K713">
        <f t="shared" si="153"/>
        <v>0</v>
      </c>
      <c r="L713">
        <f t="shared" si="153"/>
        <v>0</v>
      </c>
      <c r="M713">
        <f t="shared" si="153"/>
        <v>0</v>
      </c>
      <c r="N713">
        <f t="shared" si="153"/>
        <v>0</v>
      </c>
      <c r="O713">
        <f t="shared" si="153"/>
        <v>0</v>
      </c>
      <c r="P713">
        <f t="shared" si="153"/>
        <v>0</v>
      </c>
      <c r="Q713">
        <f t="shared" si="153"/>
        <v>0</v>
      </c>
      <c r="R713">
        <f t="shared" si="153"/>
        <v>0</v>
      </c>
      <c r="S713">
        <f t="shared" si="153"/>
        <v>0</v>
      </c>
      <c r="T713">
        <f t="shared" si="153"/>
        <v>0</v>
      </c>
      <c r="U713">
        <f t="shared" si="153"/>
        <v>0</v>
      </c>
      <c r="V713">
        <f t="shared" si="153"/>
        <v>0</v>
      </c>
      <c r="W713">
        <f t="shared" si="153"/>
        <v>0</v>
      </c>
      <c r="X713">
        <f t="shared" si="153"/>
        <v>0</v>
      </c>
      <c r="Y713">
        <f t="shared" si="152"/>
        <v>0</v>
      </c>
      <c r="Z713">
        <f t="shared" si="152"/>
        <v>0</v>
      </c>
      <c r="AA713">
        <f t="shared" si="152"/>
        <v>0</v>
      </c>
      <c r="AB713">
        <f t="shared" si="152"/>
        <v>0</v>
      </c>
      <c r="AC713">
        <f t="shared" si="152"/>
        <v>1.476644102700285E-4</v>
      </c>
      <c r="AD713">
        <f t="shared" si="152"/>
        <v>0</v>
      </c>
      <c r="AE713">
        <f t="shared" si="152"/>
        <v>0</v>
      </c>
      <c r="AF713">
        <f t="shared" si="152"/>
        <v>0</v>
      </c>
      <c r="AG713">
        <f t="shared" si="152"/>
        <v>0</v>
      </c>
      <c r="AH713">
        <f t="shared" si="152"/>
        <v>0</v>
      </c>
      <c r="AI713">
        <f t="shared" si="152"/>
        <v>0</v>
      </c>
      <c r="AJ713">
        <f t="shared" si="152"/>
        <v>0</v>
      </c>
      <c r="AK713">
        <f t="shared" si="152"/>
        <v>0</v>
      </c>
      <c r="AL713">
        <f t="shared" si="152"/>
        <v>0</v>
      </c>
      <c r="AM713">
        <f t="shared" si="152"/>
        <v>0</v>
      </c>
      <c r="AN713">
        <f t="shared" si="151"/>
        <v>0</v>
      </c>
      <c r="AO713">
        <f t="shared" si="151"/>
        <v>0</v>
      </c>
      <c r="AP713">
        <f t="shared" si="151"/>
        <v>0</v>
      </c>
      <c r="AQ713">
        <f t="shared" si="151"/>
        <v>0</v>
      </c>
      <c r="AR713">
        <f t="shared" si="151"/>
        <v>0</v>
      </c>
    </row>
    <row r="714" spans="5:44" x14ac:dyDescent="0.2">
      <c r="E714" s="1">
        <f>moment_rate!$AC714</f>
        <v>2.6567023671034019E-3</v>
      </c>
      <c r="F714" s="1">
        <f t="shared" si="154"/>
        <v>1.4510276288001202E-4</v>
      </c>
      <c r="G714">
        <f>moment_rate!I714-0.005</f>
        <v>7.0699999999998937</v>
      </c>
      <c r="H714" s="1">
        <f t="shared" si="155"/>
        <v>1.4510276288001202E-4</v>
      </c>
      <c r="I714">
        <f t="shared" si="153"/>
        <v>0</v>
      </c>
      <c r="J714">
        <f t="shared" si="153"/>
        <v>0</v>
      </c>
      <c r="K714">
        <f t="shared" si="153"/>
        <v>0</v>
      </c>
      <c r="L714">
        <f t="shared" si="153"/>
        <v>0</v>
      </c>
      <c r="M714">
        <f t="shared" si="153"/>
        <v>0</v>
      </c>
      <c r="N714">
        <f t="shared" si="153"/>
        <v>0</v>
      </c>
      <c r="O714">
        <f t="shared" si="153"/>
        <v>0</v>
      </c>
      <c r="P714">
        <f t="shared" si="153"/>
        <v>0</v>
      </c>
      <c r="Q714">
        <f t="shared" si="153"/>
        <v>0</v>
      </c>
      <c r="R714">
        <f t="shared" si="153"/>
        <v>0</v>
      </c>
      <c r="S714">
        <f t="shared" si="153"/>
        <v>0</v>
      </c>
      <c r="T714">
        <f t="shared" si="153"/>
        <v>0</v>
      </c>
      <c r="U714">
        <f t="shared" si="153"/>
        <v>0</v>
      </c>
      <c r="V714">
        <f t="shared" si="153"/>
        <v>0</v>
      </c>
      <c r="W714">
        <f t="shared" si="153"/>
        <v>0</v>
      </c>
      <c r="X714">
        <f t="shared" ref="X714:AM729" si="156">IF(AND($G714&gt;=X$3,$G714&lt;X$4),$F714,0)</f>
        <v>0</v>
      </c>
      <c r="Y714">
        <f t="shared" si="156"/>
        <v>0</v>
      </c>
      <c r="Z714">
        <f t="shared" si="156"/>
        <v>0</v>
      </c>
      <c r="AA714">
        <f t="shared" si="156"/>
        <v>0</v>
      </c>
      <c r="AB714">
        <f t="shared" si="156"/>
        <v>0</v>
      </c>
      <c r="AC714">
        <f t="shared" si="156"/>
        <v>1.4510276288001202E-4</v>
      </c>
      <c r="AD714">
        <f t="shared" si="156"/>
        <v>0</v>
      </c>
      <c r="AE714">
        <f t="shared" si="156"/>
        <v>0</v>
      </c>
      <c r="AF714">
        <f t="shared" si="156"/>
        <v>0</v>
      </c>
      <c r="AG714">
        <f t="shared" si="156"/>
        <v>0</v>
      </c>
      <c r="AH714">
        <f t="shared" si="156"/>
        <v>0</v>
      </c>
      <c r="AI714">
        <f t="shared" si="156"/>
        <v>0</v>
      </c>
      <c r="AJ714">
        <f t="shared" si="156"/>
        <v>0</v>
      </c>
      <c r="AK714">
        <f t="shared" si="156"/>
        <v>0</v>
      </c>
      <c r="AL714">
        <f t="shared" si="156"/>
        <v>0</v>
      </c>
      <c r="AM714">
        <f t="shared" si="156"/>
        <v>0</v>
      </c>
      <c r="AN714">
        <f t="shared" si="151"/>
        <v>0</v>
      </c>
      <c r="AO714">
        <f t="shared" si="151"/>
        <v>0</v>
      </c>
      <c r="AP714">
        <f t="shared" si="151"/>
        <v>0</v>
      </c>
      <c r="AQ714">
        <f t="shared" si="151"/>
        <v>0</v>
      </c>
      <c r="AR714">
        <f t="shared" si="151"/>
        <v>0</v>
      </c>
    </row>
    <row r="715" spans="5:44" x14ac:dyDescent="0.2">
      <c r="E715" s="1">
        <f>moment_rate!$AC715</f>
        <v>2.5115996042233898E-3</v>
      </c>
      <c r="F715" s="1">
        <f t="shared" si="154"/>
        <v>1.4222953566813638E-4</v>
      </c>
      <c r="G715">
        <f>moment_rate!I715-0.005</f>
        <v>7.0799999999998935</v>
      </c>
      <c r="H715" s="1">
        <f t="shared" si="155"/>
        <v>1.4222953566813638E-4</v>
      </c>
      <c r="I715">
        <f t="shared" ref="I715:X730" si="157">IF(AND($G715&gt;=I$3,$G715&lt;I$4),$F715,0)</f>
        <v>0</v>
      </c>
      <c r="J715">
        <f t="shared" si="157"/>
        <v>0</v>
      </c>
      <c r="K715">
        <f t="shared" si="157"/>
        <v>0</v>
      </c>
      <c r="L715">
        <f t="shared" si="157"/>
        <v>0</v>
      </c>
      <c r="M715">
        <f t="shared" si="157"/>
        <v>0</v>
      </c>
      <c r="N715">
        <f t="shared" si="157"/>
        <v>0</v>
      </c>
      <c r="O715">
        <f t="shared" si="157"/>
        <v>0</v>
      </c>
      <c r="P715">
        <f t="shared" si="157"/>
        <v>0</v>
      </c>
      <c r="Q715">
        <f t="shared" si="157"/>
        <v>0</v>
      </c>
      <c r="R715">
        <f t="shared" si="157"/>
        <v>0</v>
      </c>
      <c r="S715">
        <f t="shared" si="157"/>
        <v>0</v>
      </c>
      <c r="T715">
        <f t="shared" si="157"/>
        <v>0</v>
      </c>
      <c r="U715">
        <f t="shared" si="157"/>
        <v>0</v>
      </c>
      <c r="V715">
        <f t="shared" si="157"/>
        <v>0</v>
      </c>
      <c r="W715">
        <f t="shared" si="157"/>
        <v>0</v>
      </c>
      <c r="X715">
        <f t="shared" si="157"/>
        <v>0</v>
      </c>
      <c r="Y715">
        <f t="shared" si="156"/>
        <v>0</v>
      </c>
      <c r="Z715">
        <f t="shared" si="156"/>
        <v>0</v>
      </c>
      <c r="AA715">
        <f t="shared" si="156"/>
        <v>0</v>
      </c>
      <c r="AB715">
        <f t="shared" si="156"/>
        <v>0</v>
      </c>
      <c r="AC715">
        <f t="shared" si="156"/>
        <v>1.4222953566813638E-4</v>
      </c>
      <c r="AD715">
        <f t="shared" si="156"/>
        <v>0</v>
      </c>
      <c r="AE715">
        <f t="shared" si="156"/>
        <v>0</v>
      </c>
      <c r="AF715">
        <f t="shared" si="156"/>
        <v>0</v>
      </c>
      <c r="AG715">
        <f t="shared" si="156"/>
        <v>0</v>
      </c>
      <c r="AH715">
        <f t="shared" si="156"/>
        <v>0</v>
      </c>
      <c r="AI715">
        <f t="shared" si="156"/>
        <v>0</v>
      </c>
      <c r="AJ715">
        <f t="shared" si="156"/>
        <v>0</v>
      </c>
      <c r="AK715">
        <f t="shared" si="156"/>
        <v>0</v>
      </c>
      <c r="AL715">
        <f t="shared" si="156"/>
        <v>0</v>
      </c>
      <c r="AM715">
        <f t="shared" si="156"/>
        <v>0</v>
      </c>
      <c r="AN715">
        <f t="shared" si="151"/>
        <v>0</v>
      </c>
      <c r="AO715">
        <f t="shared" si="151"/>
        <v>0</v>
      </c>
      <c r="AP715">
        <f t="shared" si="151"/>
        <v>0</v>
      </c>
      <c r="AQ715">
        <f t="shared" si="151"/>
        <v>0</v>
      </c>
      <c r="AR715">
        <f t="shared" si="151"/>
        <v>0</v>
      </c>
    </row>
    <row r="716" spans="5:44" x14ac:dyDescent="0.2">
      <c r="E716" s="1">
        <f>moment_rate!$AC716</f>
        <v>2.3693700685552535E-3</v>
      </c>
      <c r="F716" s="1">
        <f t="shared" si="154"/>
        <v>1.3906510446495823E-4</v>
      </c>
      <c r="G716">
        <f>moment_rate!I716-0.005</f>
        <v>7.0899999999998933</v>
      </c>
      <c r="H716" s="1">
        <f t="shared" si="155"/>
        <v>1.3906510446495823E-4</v>
      </c>
      <c r="I716">
        <f t="shared" si="157"/>
        <v>0</v>
      </c>
      <c r="J716">
        <f t="shared" si="157"/>
        <v>0</v>
      </c>
      <c r="K716">
        <f t="shared" si="157"/>
        <v>0</v>
      </c>
      <c r="L716">
        <f t="shared" si="157"/>
        <v>0</v>
      </c>
      <c r="M716">
        <f t="shared" si="157"/>
        <v>0</v>
      </c>
      <c r="N716">
        <f t="shared" si="157"/>
        <v>0</v>
      </c>
      <c r="O716">
        <f t="shared" si="157"/>
        <v>0</v>
      </c>
      <c r="P716">
        <f t="shared" si="157"/>
        <v>0</v>
      </c>
      <c r="Q716">
        <f t="shared" si="157"/>
        <v>0</v>
      </c>
      <c r="R716">
        <f t="shared" si="157"/>
        <v>0</v>
      </c>
      <c r="S716">
        <f t="shared" si="157"/>
        <v>0</v>
      </c>
      <c r="T716">
        <f t="shared" si="157"/>
        <v>0</v>
      </c>
      <c r="U716">
        <f t="shared" si="157"/>
        <v>0</v>
      </c>
      <c r="V716">
        <f t="shared" si="157"/>
        <v>0</v>
      </c>
      <c r="W716">
        <f t="shared" si="157"/>
        <v>0</v>
      </c>
      <c r="X716">
        <f t="shared" si="157"/>
        <v>0</v>
      </c>
      <c r="Y716">
        <f t="shared" si="156"/>
        <v>0</v>
      </c>
      <c r="Z716">
        <f t="shared" si="156"/>
        <v>0</v>
      </c>
      <c r="AA716">
        <f t="shared" si="156"/>
        <v>0</v>
      </c>
      <c r="AB716">
        <f t="shared" si="156"/>
        <v>0</v>
      </c>
      <c r="AC716">
        <f t="shared" si="156"/>
        <v>1.3906510446495823E-4</v>
      </c>
      <c r="AD716">
        <f t="shared" si="156"/>
        <v>0</v>
      </c>
      <c r="AE716">
        <f t="shared" si="156"/>
        <v>0</v>
      </c>
      <c r="AF716">
        <f t="shared" si="156"/>
        <v>0</v>
      </c>
      <c r="AG716">
        <f t="shared" si="156"/>
        <v>0</v>
      </c>
      <c r="AH716">
        <f t="shared" si="156"/>
        <v>0</v>
      </c>
      <c r="AI716">
        <f t="shared" si="156"/>
        <v>0</v>
      </c>
      <c r="AJ716">
        <f t="shared" si="156"/>
        <v>0</v>
      </c>
      <c r="AK716">
        <f t="shared" si="156"/>
        <v>0</v>
      </c>
      <c r="AL716">
        <f t="shared" si="156"/>
        <v>0</v>
      </c>
      <c r="AM716">
        <f t="shared" si="156"/>
        <v>0</v>
      </c>
      <c r="AN716">
        <f t="shared" si="151"/>
        <v>0</v>
      </c>
      <c r="AO716">
        <f t="shared" si="151"/>
        <v>0</v>
      </c>
      <c r="AP716">
        <f t="shared" si="151"/>
        <v>0</v>
      </c>
      <c r="AQ716">
        <f t="shared" si="151"/>
        <v>0</v>
      </c>
      <c r="AR716">
        <f t="shared" si="151"/>
        <v>0</v>
      </c>
    </row>
    <row r="717" spans="5:44" x14ac:dyDescent="0.2">
      <c r="E717" s="1">
        <f>moment_rate!$AC717</f>
        <v>2.2303049640902952E-3</v>
      </c>
      <c r="F717" s="1">
        <f t="shared" si="154"/>
        <v>1.3563157480193239E-4</v>
      </c>
      <c r="G717">
        <f>moment_rate!I717-0.005</f>
        <v>7.0999999999998931</v>
      </c>
      <c r="H717" s="1">
        <f t="shared" si="155"/>
        <v>1.3563157480193239E-4</v>
      </c>
      <c r="I717">
        <f t="shared" si="157"/>
        <v>0</v>
      </c>
      <c r="J717">
        <f t="shared" si="157"/>
        <v>0</v>
      </c>
      <c r="K717">
        <f t="shared" si="157"/>
        <v>0</v>
      </c>
      <c r="L717">
        <f t="shared" si="157"/>
        <v>0</v>
      </c>
      <c r="M717">
        <f t="shared" si="157"/>
        <v>0</v>
      </c>
      <c r="N717">
        <f t="shared" si="157"/>
        <v>0</v>
      </c>
      <c r="O717">
        <f t="shared" si="157"/>
        <v>0</v>
      </c>
      <c r="P717">
        <f t="shared" si="157"/>
        <v>0</v>
      </c>
      <c r="Q717">
        <f t="shared" si="157"/>
        <v>0</v>
      </c>
      <c r="R717">
        <f t="shared" si="157"/>
        <v>0</v>
      </c>
      <c r="S717">
        <f t="shared" si="157"/>
        <v>0</v>
      </c>
      <c r="T717">
        <f t="shared" si="157"/>
        <v>0</v>
      </c>
      <c r="U717">
        <f t="shared" si="157"/>
        <v>0</v>
      </c>
      <c r="V717">
        <f t="shared" si="157"/>
        <v>0</v>
      </c>
      <c r="W717">
        <f t="shared" si="157"/>
        <v>0</v>
      </c>
      <c r="X717">
        <f t="shared" si="157"/>
        <v>0</v>
      </c>
      <c r="Y717">
        <f t="shared" si="156"/>
        <v>0</v>
      </c>
      <c r="Z717">
        <f t="shared" si="156"/>
        <v>0</v>
      </c>
      <c r="AA717">
        <f t="shared" si="156"/>
        <v>0</v>
      </c>
      <c r="AB717">
        <f t="shared" si="156"/>
        <v>0</v>
      </c>
      <c r="AC717">
        <f t="shared" si="156"/>
        <v>1.3563157480193239E-4</v>
      </c>
      <c r="AD717">
        <f t="shared" si="156"/>
        <v>0</v>
      </c>
      <c r="AE717">
        <f t="shared" si="156"/>
        <v>0</v>
      </c>
      <c r="AF717">
        <f t="shared" si="156"/>
        <v>0</v>
      </c>
      <c r="AG717">
        <f t="shared" si="156"/>
        <v>0</v>
      </c>
      <c r="AH717">
        <f t="shared" si="156"/>
        <v>0</v>
      </c>
      <c r="AI717">
        <f t="shared" si="156"/>
        <v>0</v>
      </c>
      <c r="AJ717">
        <f t="shared" si="156"/>
        <v>0</v>
      </c>
      <c r="AK717">
        <f t="shared" si="156"/>
        <v>0</v>
      </c>
      <c r="AL717">
        <f t="shared" si="156"/>
        <v>0</v>
      </c>
      <c r="AM717">
        <f t="shared" si="156"/>
        <v>0</v>
      </c>
      <c r="AN717">
        <f t="shared" si="151"/>
        <v>0</v>
      </c>
      <c r="AO717">
        <f t="shared" si="151"/>
        <v>0</v>
      </c>
      <c r="AP717">
        <f t="shared" si="151"/>
        <v>0</v>
      </c>
      <c r="AQ717">
        <f t="shared" si="151"/>
        <v>0</v>
      </c>
      <c r="AR717">
        <f t="shared" si="151"/>
        <v>0</v>
      </c>
    </row>
    <row r="718" spans="5:44" x14ac:dyDescent="0.2">
      <c r="E718" s="1">
        <f>moment_rate!$AC718</f>
        <v>2.0946733892883629E-3</v>
      </c>
      <c r="F718" s="1">
        <f t="shared" si="154"/>
        <v>1.3195252527965903E-4</v>
      </c>
      <c r="G718">
        <f>moment_rate!I718-0.005</f>
        <v>7.1099999999998929</v>
      </c>
      <c r="H718" s="1">
        <f t="shared" si="155"/>
        <v>1.3195252527965903E-4</v>
      </c>
      <c r="I718">
        <f t="shared" si="157"/>
        <v>0</v>
      </c>
      <c r="J718">
        <f t="shared" si="157"/>
        <v>0</v>
      </c>
      <c r="K718">
        <f t="shared" si="157"/>
        <v>0</v>
      </c>
      <c r="L718">
        <f t="shared" si="157"/>
        <v>0</v>
      </c>
      <c r="M718">
        <f t="shared" si="157"/>
        <v>0</v>
      </c>
      <c r="N718">
        <f t="shared" si="157"/>
        <v>0</v>
      </c>
      <c r="O718">
        <f t="shared" si="157"/>
        <v>0</v>
      </c>
      <c r="P718">
        <f t="shared" si="157"/>
        <v>0</v>
      </c>
      <c r="Q718">
        <f t="shared" si="157"/>
        <v>0</v>
      </c>
      <c r="R718">
        <f t="shared" si="157"/>
        <v>0</v>
      </c>
      <c r="S718">
        <f t="shared" si="157"/>
        <v>0</v>
      </c>
      <c r="T718">
        <f t="shared" si="157"/>
        <v>0</v>
      </c>
      <c r="U718">
        <f t="shared" si="157"/>
        <v>0</v>
      </c>
      <c r="V718">
        <f t="shared" si="157"/>
        <v>0</v>
      </c>
      <c r="W718">
        <f t="shared" si="157"/>
        <v>0</v>
      </c>
      <c r="X718">
        <f t="shared" si="157"/>
        <v>0</v>
      </c>
      <c r="Y718">
        <f t="shared" si="156"/>
        <v>0</v>
      </c>
      <c r="Z718">
        <f t="shared" si="156"/>
        <v>0</v>
      </c>
      <c r="AA718">
        <f t="shared" si="156"/>
        <v>0</v>
      </c>
      <c r="AB718">
        <f t="shared" si="156"/>
        <v>0</v>
      </c>
      <c r="AC718">
        <f t="shared" si="156"/>
        <v>0</v>
      </c>
      <c r="AD718">
        <f t="shared" si="156"/>
        <v>1.3195252527965903E-4</v>
      </c>
      <c r="AE718">
        <f t="shared" si="156"/>
        <v>0</v>
      </c>
      <c r="AF718">
        <f t="shared" si="156"/>
        <v>0</v>
      </c>
      <c r="AG718">
        <f t="shared" si="156"/>
        <v>0</v>
      </c>
      <c r="AH718">
        <f t="shared" si="156"/>
        <v>0</v>
      </c>
      <c r="AI718">
        <f t="shared" si="156"/>
        <v>0</v>
      </c>
      <c r="AJ718">
        <f t="shared" si="156"/>
        <v>0</v>
      </c>
      <c r="AK718">
        <f t="shared" si="156"/>
        <v>0</v>
      </c>
      <c r="AL718">
        <f t="shared" si="156"/>
        <v>0</v>
      </c>
      <c r="AM718">
        <f t="shared" si="156"/>
        <v>0</v>
      </c>
      <c r="AN718">
        <f t="shared" si="151"/>
        <v>0</v>
      </c>
      <c r="AO718">
        <f t="shared" si="151"/>
        <v>0</v>
      </c>
      <c r="AP718">
        <f t="shared" si="151"/>
        <v>0</v>
      </c>
      <c r="AQ718">
        <f t="shared" si="151"/>
        <v>0</v>
      </c>
      <c r="AR718">
        <f t="shared" si="151"/>
        <v>0</v>
      </c>
    </row>
    <row r="719" spans="5:44" x14ac:dyDescent="0.2">
      <c r="E719" s="1">
        <f>moment_rate!$AC719</f>
        <v>1.9627208640087038E-3</v>
      </c>
      <c r="F719" s="1">
        <f t="shared" si="154"/>
        <v>1.2805273879809456E-4</v>
      </c>
      <c r="G719">
        <f>moment_rate!I719-0.005</f>
        <v>7.1199999999998926</v>
      </c>
      <c r="H719" s="1">
        <f t="shared" si="155"/>
        <v>1.2805273879809456E-4</v>
      </c>
      <c r="I719">
        <f t="shared" si="157"/>
        <v>0</v>
      </c>
      <c r="J719">
        <f t="shared" si="157"/>
        <v>0</v>
      </c>
      <c r="K719">
        <f t="shared" si="157"/>
        <v>0</v>
      </c>
      <c r="L719">
        <f t="shared" si="157"/>
        <v>0</v>
      </c>
      <c r="M719">
        <f t="shared" si="157"/>
        <v>0</v>
      </c>
      <c r="N719">
        <f t="shared" si="157"/>
        <v>0</v>
      </c>
      <c r="O719">
        <f t="shared" si="157"/>
        <v>0</v>
      </c>
      <c r="P719">
        <f t="shared" si="157"/>
        <v>0</v>
      </c>
      <c r="Q719">
        <f t="shared" si="157"/>
        <v>0</v>
      </c>
      <c r="R719">
        <f t="shared" si="157"/>
        <v>0</v>
      </c>
      <c r="S719">
        <f t="shared" si="157"/>
        <v>0</v>
      </c>
      <c r="T719">
        <f t="shared" si="157"/>
        <v>0</v>
      </c>
      <c r="U719">
        <f t="shared" si="157"/>
        <v>0</v>
      </c>
      <c r="V719">
        <f t="shared" si="157"/>
        <v>0</v>
      </c>
      <c r="W719">
        <f t="shared" si="157"/>
        <v>0</v>
      </c>
      <c r="X719">
        <f t="shared" si="157"/>
        <v>0</v>
      </c>
      <c r="Y719">
        <f t="shared" si="156"/>
        <v>0</v>
      </c>
      <c r="Z719">
        <f t="shared" si="156"/>
        <v>0</v>
      </c>
      <c r="AA719">
        <f t="shared" si="156"/>
        <v>0</v>
      </c>
      <c r="AB719">
        <f t="shared" si="156"/>
        <v>0</v>
      </c>
      <c r="AC719">
        <f t="shared" si="156"/>
        <v>0</v>
      </c>
      <c r="AD719">
        <f t="shared" si="156"/>
        <v>1.2805273879809456E-4</v>
      </c>
      <c r="AE719">
        <f t="shared" si="156"/>
        <v>0</v>
      </c>
      <c r="AF719">
        <f t="shared" si="156"/>
        <v>0</v>
      </c>
      <c r="AG719">
        <f t="shared" si="156"/>
        <v>0</v>
      </c>
      <c r="AH719">
        <f t="shared" si="156"/>
        <v>0</v>
      </c>
      <c r="AI719">
        <f t="shared" si="156"/>
        <v>0</v>
      </c>
      <c r="AJ719">
        <f t="shared" si="156"/>
        <v>0</v>
      </c>
      <c r="AK719">
        <f t="shared" si="156"/>
        <v>0</v>
      </c>
      <c r="AL719">
        <f t="shared" si="156"/>
        <v>0</v>
      </c>
      <c r="AM719">
        <f t="shared" si="156"/>
        <v>0</v>
      </c>
      <c r="AN719">
        <f t="shared" si="151"/>
        <v>0</v>
      </c>
      <c r="AO719">
        <f t="shared" si="151"/>
        <v>0</v>
      </c>
      <c r="AP719">
        <f t="shared" si="151"/>
        <v>0</v>
      </c>
      <c r="AQ719">
        <f t="shared" si="151"/>
        <v>0</v>
      </c>
      <c r="AR719">
        <f t="shared" si="151"/>
        <v>0</v>
      </c>
    </row>
    <row r="720" spans="5:44" x14ac:dyDescent="0.2">
      <c r="E720" s="1">
        <f>moment_rate!$AC720</f>
        <v>1.8346681252106093E-3</v>
      </c>
      <c r="F720" s="1">
        <f t="shared" si="154"/>
        <v>1.2395792591894401E-4</v>
      </c>
      <c r="G720">
        <f>moment_rate!I720-0.005</f>
        <v>7.1299999999998924</v>
      </c>
      <c r="H720" s="1">
        <f t="shared" si="155"/>
        <v>1.2395792591894401E-4</v>
      </c>
      <c r="I720">
        <f t="shared" si="157"/>
        <v>0</v>
      </c>
      <c r="J720">
        <f t="shared" si="157"/>
        <v>0</v>
      </c>
      <c r="K720">
        <f t="shared" si="157"/>
        <v>0</v>
      </c>
      <c r="L720">
        <f t="shared" si="157"/>
        <v>0</v>
      </c>
      <c r="M720">
        <f t="shared" si="157"/>
        <v>0</v>
      </c>
      <c r="N720">
        <f t="shared" si="157"/>
        <v>0</v>
      </c>
      <c r="O720">
        <f t="shared" si="157"/>
        <v>0</v>
      </c>
      <c r="P720">
        <f t="shared" si="157"/>
        <v>0</v>
      </c>
      <c r="Q720">
        <f t="shared" si="157"/>
        <v>0</v>
      </c>
      <c r="R720">
        <f t="shared" si="157"/>
        <v>0</v>
      </c>
      <c r="S720">
        <f t="shared" si="157"/>
        <v>0</v>
      </c>
      <c r="T720">
        <f t="shared" si="157"/>
        <v>0</v>
      </c>
      <c r="U720">
        <f t="shared" si="157"/>
        <v>0</v>
      </c>
      <c r="V720">
        <f t="shared" si="157"/>
        <v>0</v>
      </c>
      <c r="W720">
        <f t="shared" si="157"/>
        <v>0</v>
      </c>
      <c r="X720">
        <f t="shared" si="157"/>
        <v>0</v>
      </c>
      <c r="Y720">
        <f t="shared" si="156"/>
        <v>0</v>
      </c>
      <c r="Z720">
        <f t="shared" si="156"/>
        <v>0</v>
      </c>
      <c r="AA720">
        <f t="shared" si="156"/>
        <v>0</v>
      </c>
      <c r="AB720">
        <f t="shared" si="156"/>
        <v>0</v>
      </c>
      <c r="AC720">
        <f t="shared" si="156"/>
        <v>0</v>
      </c>
      <c r="AD720">
        <f t="shared" si="156"/>
        <v>1.2395792591894401E-4</v>
      </c>
      <c r="AE720">
        <f t="shared" si="156"/>
        <v>0</v>
      </c>
      <c r="AF720">
        <f t="shared" si="156"/>
        <v>0</v>
      </c>
      <c r="AG720">
        <f t="shared" si="156"/>
        <v>0</v>
      </c>
      <c r="AH720">
        <f t="shared" si="156"/>
        <v>0</v>
      </c>
      <c r="AI720">
        <f t="shared" si="156"/>
        <v>0</v>
      </c>
      <c r="AJ720">
        <f t="shared" si="156"/>
        <v>0</v>
      </c>
      <c r="AK720">
        <f t="shared" si="156"/>
        <v>0</v>
      </c>
      <c r="AL720">
        <f t="shared" si="156"/>
        <v>0</v>
      </c>
      <c r="AM720">
        <f t="shared" si="156"/>
        <v>0</v>
      </c>
      <c r="AN720">
        <f t="shared" si="151"/>
        <v>0</v>
      </c>
      <c r="AO720">
        <f t="shared" si="151"/>
        <v>0</v>
      </c>
      <c r="AP720">
        <f t="shared" si="151"/>
        <v>0</v>
      </c>
      <c r="AQ720">
        <f t="shared" si="151"/>
        <v>0</v>
      </c>
      <c r="AR720">
        <f t="shared" si="151"/>
        <v>0</v>
      </c>
    </row>
    <row r="721" spans="5:44" x14ac:dyDescent="0.2">
      <c r="E721" s="1">
        <f>moment_rate!$AC721</f>
        <v>1.7107101992916653E-3</v>
      </c>
      <c r="F721" s="1">
        <f t="shared" si="154"/>
        <v>1.196944446553896E-4</v>
      </c>
      <c r="G721">
        <f>moment_rate!I721-0.005</f>
        <v>7.1399999999998922</v>
      </c>
      <c r="H721" s="1">
        <f t="shared" si="155"/>
        <v>1.196944446553896E-4</v>
      </c>
      <c r="I721">
        <f t="shared" si="157"/>
        <v>0</v>
      </c>
      <c r="J721">
        <f t="shared" si="157"/>
        <v>0</v>
      </c>
      <c r="K721">
        <f t="shared" si="157"/>
        <v>0</v>
      </c>
      <c r="L721">
        <f t="shared" si="157"/>
        <v>0</v>
      </c>
      <c r="M721">
        <f t="shared" si="157"/>
        <v>0</v>
      </c>
      <c r="N721">
        <f t="shared" si="157"/>
        <v>0</v>
      </c>
      <c r="O721">
        <f t="shared" si="157"/>
        <v>0</v>
      </c>
      <c r="P721">
        <f t="shared" si="157"/>
        <v>0</v>
      </c>
      <c r="Q721">
        <f t="shared" si="157"/>
        <v>0</v>
      </c>
      <c r="R721">
        <f t="shared" si="157"/>
        <v>0</v>
      </c>
      <c r="S721">
        <f t="shared" si="157"/>
        <v>0</v>
      </c>
      <c r="T721">
        <f t="shared" si="157"/>
        <v>0</v>
      </c>
      <c r="U721">
        <f t="shared" si="157"/>
        <v>0</v>
      </c>
      <c r="V721">
        <f t="shared" si="157"/>
        <v>0</v>
      </c>
      <c r="W721">
        <f t="shared" si="157"/>
        <v>0</v>
      </c>
      <c r="X721">
        <f t="shared" si="157"/>
        <v>0</v>
      </c>
      <c r="Y721">
        <f t="shared" si="156"/>
        <v>0</v>
      </c>
      <c r="Z721">
        <f t="shared" si="156"/>
        <v>0</v>
      </c>
      <c r="AA721">
        <f t="shared" si="156"/>
        <v>0</v>
      </c>
      <c r="AB721">
        <f t="shared" si="156"/>
        <v>0</v>
      </c>
      <c r="AC721">
        <f t="shared" si="156"/>
        <v>0</v>
      </c>
      <c r="AD721">
        <f t="shared" si="156"/>
        <v>1.196944446553896E-4</v>
      </c>
      <c r="AE721">
        <f t="shared" si="156"/>
        <v>0</v>
      </c>
      <c r="AF721">
        <f t="shared" si="156"/>
        <v>0</v>
      </c>
      <c r="AG721">
        <f t="shared" si="156"/>
        <v>0</v>
      </c>
      <c r="AH721">
        <f t="shared" si="156"/>
        <v>0</v>
      </c>
      <c r="AI721">
        <f t="shared" si="156"/>
        <v>0</v>
      </c>
      <c r="AJ721">
        <f t="shared" si="156"/>
        <v>0</v>
      </c>
      <c r="AK721">
        <f t="shared" si="156"/>
        <v>0</v>
      </c>
      <c r="AL721">
        <f t="shared" si="156"/>
        <v>0</v>
      </c>
      <c r="AM721">
        <f t="shared" si="156"/>
        <v>0</v>
      </c>
      <c r="AN721">
        <f t="shared" si="151"/>
        <v>0</v>
      </c>
      <c r="AO721">
        <f t="shared" si="151"/>
        <v>0</v>
      </c>
      <c r="AP721">
        <f t="shared" si="151"/>
        <v>0</v>
      </c>
      <c r="AQ721">
        <f t="shared" si="151"/>
        <v>0</v>
      </c>
      <c r="AR721">
        <f t="shared" si="151"/>
        <v>0</v>
      </c>
    </row>
    <row r="722" spans="5:44" x14ac:dyDescent="0.2">
      <c r="E722" s="1">
        <f>moment_rate!$AC722</f>
        <v>1.5910157546362757E-3</v>
      </c>
      <c r="F722" s="1">
        <f t="shared" si="154"/>
        <v>1.1528902092426815E-4</v>
      </c>
      <c r="G722">
        <f>moment_rate!I722-0.005</f>
        <v>7.149999999999892</v>
      </c>
      <c r="H722" s="1">
        <f t="shared" si="155"/>
        <v>1.1528902092426815E-4</v>
      </c>
      <c r="I722">
        <f t="shared" si="157"/>
        <v>0</v>
      </c>
      <c r="J722">
        <f t="shared" si="157"/>
        <v>0</v>
      </c>
      <c r="K722">
        <f t="shared" si="157"/>
        <v>0</v>
      </c>
      <c r="L722">
        <f t="shared" si="157"/>
        <v>0</v>
      </c>
      <c r="M722">
        <f t="shared" si="157"/>
        <v>0</v>
      </c>
      <c r="N722">
        <f t="shared" si="157"/>
        <v>0</v>
      </c>
      <c r="O722">
        <f t="shared" si="157"/>
        <v>0</v>
      </c>
      <c r="P722">
        <f t="shared" si="157"/>
        <v>0</v>
      </c>
      <c r="Q722">
        <f t="shared" si="157"/>
        <v>0</v>
      </c>
      <c r="R722">
        <f t="shared" si="157"/>
        <v>0</v>
      </c>
      <c r="S722">
        <f t="shared" si="157"/>
        <v>0</v>
      </c>
      <c r="T722">
        <f t="shared" si="157"/>
        <v>0</v>
      </c>
      <c r="U722">
        <f t="shared" si="157"/>
        <v>0</v>
      </c>
      <c r="V722">
        <f t="shared" si="157"/>
        <v>0</v>
      </c>
      <c r="W722">
        <f t="shared" si="157"/>
        <v>0</v>
      </c>
      <c r="X722">
        <f t="shared" si="157"/>
        <v>0</v>
      </c>
      <c r="Y722">
        <f t="shared" si="156"/>
        <v>0</v>
      </c>
      <c r="Z722">
        <f t="shared" si="156"/>
        <v>0</v>
      </c>
      <c r="AA722">
        <f t="shared" si="156"/>
        <v>0</v>
      </c>
      <c r="AB722">
        <f t="shared" si="156"/>
        <v>0</v>
      </c>
      <c r="AC722">
        <f t="shared" si="156"/>
        <v>0</v>
      </c>
      <c r="AD722">
        <f t="shared" si="156"/>
        <v>1.1528902092426815E-4</v>
      </c>
      <c r="AE722">
        <f t="shared" si="156"/>
        <v>0</v>
      </c>
      <c r="AF722">
        <f t="shared" si="156"/>
        <v>0</v>
      </c>
      <c r="AG722">
        <f t="shared" si="156"/>
        <v>0</v>
      </c>
      <c r="AH722">
        <f t="shared" si="156"/>
        <v>0</v>
      </c>
      <c r="AI722">
        <f t="shared" si="156"/>
        <v>0</v>
      </c>
      <c r="AJ722">
        <f t="shared" si="156"/>
        <v>0</v>
      </c>
      <c r="AK722">
        <f t="shared" si="156"/>
        <v>0</v>
      </c>
      <c r="AL722">
        <f t="shared" si="156"/>
        <v>0</v>
      </c>
      <c r="AM722">
        <f t="shared" si="156"/>
        <v>0</v>
      </c>
      <c r="AN722">
        <f t="shared" si="151"/>
        <v>0</v>
      </c>
      <c r="AO722">
        <f t="shared" si="151"/>
        <v>0</v>
      </c>
      <c r="AP722">
        <f t="shared" si="151"/>
        <v>0</v>
      </c>
      <c r="AQ722">
        <f t="shared" si="151"/>
        <v>0</v>
      </c>
      <c r="AR722">
        <f t="shared" si="151"/>
        <v>0</v>
      </c>
    </row>
    <row r="723" spans="5:44" x14ac:dyDescent="0.2">
      <c r="E723" s="1">
        <f>moment_rate!$AC723</f>
        <v>1.4757267337120075E-3</v>
      </c>
      <c r="F723" s="1">
        <f t="shared" si="154"/>
        <v>1.1076847375425134E-4</v>
      </c>
      <c r="G723">
        <f>moment_rate!I723-0.005</f>
        <v>7.1599999999998918</v>
      </c>
      <c r="H723" s="1">
        <f t="shared" si="155"/>
        <v>1.1076847375425134E-4</v>
      </c>
      <c r="I723">
        <f t="shared" si="157"/>
        <v>0</v>
      </c>
      <c r="J723">
        <f t="shared" si="157"/>
        <v>0</v>
      </c>
      <c r="K723">
        <f t="shared" si="157"/>
        <v>0</v>
      </c>
      <c r="L723">
        <f t="shared" si="157"/>
        <v>0</v>
      </c>
      <c r="M723">
        <f t="shared" si="157"/>
        <v>0</v>
      </c>
      <c r="N723">
        <f t="shared" si="157"/>
        <v>0</v>
      </c>
      <c r="O723">
        <f t="shared" si="157"/>
        <v>0</v>
      </c>
      <c r="P723">
        <f t="shared" si="157"/>
        <v>0</v>
      </c>
      <c r="Q723">
        <f t="shared" si="157"/>
        <v>0</v>
      </c>
      <c r="R723">
        <f t="shared" si="157"/>
        <v>0</v>
      </c>
      <c r="S723">
        <f t="shared" si="157"/>
        <v>0</v>
      </c>
      <c r="T723">
        <f t="shared" si="157"/>
        <v>0</v>
      </c>
      <c r="U723">
        <f t="shared" si="157"/>
        <v>0</v>
      </c>
      <c r="V723">
        <f t="shared" si="157"/>
        <v>0</v>
      </c>
      <c r="W723">
        <f t="shared" si="157"/>
        <v>0</v>
      </c>
      <c r="X723">
        <f t="shared" si="157"/>
        <v>0</v>
      </c>
      <c r="Y723">
        <f t="shared" si="156"/>
        <v>0</v>
      </c>
      <c r="Z723">
        <f t="shared" si="156"/>
        <v>0</v>
      </c>
      <c r="AA723">
        <f t="shared" si="156"/>
        <v>0</v>
      </c>
      <c r="AB723">
        <f t="shared" si="156"/>
        <v>0</v>
      </c>
      <c r="AC723">
        <f t="shared" si="156"/>
        <v>0</v>
      </c>
      <c r="AD723">
        <f t="shared" si="156"/>
        <v>1.1076847375425134E-4</v>
      </c>
      <c r="AE723">
        <f t="shared" si="156"/>
        <v>0</v>
      </c>
      <c r="AF723">
        <f t="shared" si="156"/>
        <v>0</v>
      </c>
      <c r="AG723">
        <f t="shared" si="156"/>
        <v>0</v>
      </c>
      <c r="AH723">
        <f t="shared" si="156"/>
        <v>0</v>
      </c>
      <c r="AI723">
        <f t="shared" si="156"/>
        <v>0</v>
      </c>
      <c r="AJ723">
        <f t="shared" si="156"/>
        <v>0</v>
      </c>
      <c r="AK723">
        <f t="shared" si="156"/>
        <v>0</v>
      </c>
      <c r="AL723">
        <f t="shared" si="156"/>
        <v>0</v>
      </c>
      <c r="AM723">
        <f t="shared" si="156"/>
        <v>0</v>
      </c>
      <c r="AN723">
        <f t="shared" si="151"/>
        <v>0</v>
      </c>
      <c r="AO723">
        <f t="shared" si="151"/>
        <v>0</v>
      </c>
      <c r="AP723">
        <f t="shared" si="151"/>
        <v>0</v>
      </c>
      <c r="AQ723">
        <f t="shared" si="151"/>
        <v>0</v>
      </c>
      <c r="AR723">
        <f t="shared" si="151"/>
        <v>0</v>
      </c>
    </row>
    <row r="724" spans="5:44" x14ac:dyDescent="0.2">
      <c r="E724" s="1">
        <f>moment_rate!$AC724</f>
        <v>1.3649582599577562E-3</v>
      </c>
      <c r="F724" s="1">
        <f t="shared" si="154"/>
        <v>1.0615944912638472E-4</v>
      </c>
      <c r="G724">
        <f>moment_rate!I724-0.005</f>
        <v>7.1699999999998916</v>
      </c>
      <c r="H724" s="1">
        <f t="shared" si="155"/>
        <v>1.0615944912638472E-4</v>
      </c>
      <c r="I724">
        <f t="shared" si="157"/>
        <v>0</v>
      </c>
      <c r="J724">
        <f t="shared" si="157"/>
        <v>0</v>
      </c>
      <c r="K724">
        <f t="shared" si="157"/>
        <v>0</v>
      </c>
      <c r="L724">
        <f t="shared" si="157"/>
        <v>0</v>
      </c>
      <c r="M724">
        <f t="shared" si="157"/>
        <v>0</v>
      </c>
      <c r="N724">
        <f t="shared" si="157"/>
        <v>0</v>
      </c>
      <c r="O724">
        <f t="shared" si="157"/>
        <v>0</v>
      </c>
      <c r="P724">
        <f t="shared" si="157"/>
        <v>0</v>
      </c>
      <c r="Q724">
        <f t="shared" si="157"/>
        <v>0</v>
      </c>
      <c r="R724">
        <f t="shared" si="157"/>
        <v>0</v>
      </c>
      <c r="S724">
        <f t="shared" si="157"/>
        <v>0</v>
      </c>
      <c r="T724">
        <f t="shared" si="157"/>
        <v>0</v>
      </c>
      <c r="U724">
        <f t="shared" si="157"/>
        <v>0</v>
      </c>
      <c r="V724">
        <f t="shared" si="157"/>
        <v>0</v>
      </c>
      <c r="W724">
        <f t="shared" si="157"/>
        <v>0</v>
      </c>
      <c r="X724">
        <f t="shared" si="157"/>
        <v>0</v>
      </c>
      <c r="Y724">
        <f t="shared" si="156"/>
        <v>0</v>
      </c>
      <c r="Z724">
        <f t="shared" si="156"/>
        <v>0</v>
      </c>
      <c r="AA724">
        <f t="shared" si="156"/>
        <v>0</v>
      </c>
      <c r="AB724">
        <f t="shared" si="156"/>
        <v>0</v>
      </c>
      <c r="AC724">
        <f t="shared" si="156"/>
        <v>0</v>
      </c>
      <c r="AD724">
        <f t="shared" si="156"/>
        <v>1.0615944912638472E-4</v>
      </c>
      <c r="AE724">
        <f t="shared" si="156"/>
        <v>0</v>
      </c>
      <c r="AF724">
        <f t="shared" si="156"/>
        <v>0</v>
      </c>
      <c r="AG724">
        <f t="shared" si="156"/>
        <v>0</v>
      </c>
      <c r="AH724">
        <f t="shared" si="156"/>
        <v>0</v>
      </c>
      <c r="AI724">
        <f t="shared" si="156"/>
        <v>0</v>
      </c>
      <c r="AJ724">
        <f t="shared" si="156"/>
        <v>0</v>
      </c>
      <c r="AK724">
        <f t="shared" si="156"/>
        <v>0</v>
      </c>
      <c r="AL724">
        <f t="shared" si="156"/>
        <v>0</v>
      </c>
      <c r="AM724">
        <f t="shared" si="156"/>
        <v>0</v>
      </c>
      <c r="AN724">
        <f t="shared" si="151"/>
        <v>0</v>
      </c>
      <c r="AO724">
        <f t="shared" si="151"/>
        <v>0</v>
      </c>
      <c r="AP724">
        <f t="shared" si="151"/>
        <v>0</v>
      </c>
      <c r="AQ724">
        <f t="shared" si="151"/>
        <v>0</v>
      </c>
      <c r="AR724">
        <f t="shared" si="151"/>
        <v>0</v>
      </c>
    </row>
    <row r="725" spans="5:44" x14ac:dyDescent="0.2">
      <c r="E725" s="1">
        <f>moment_rate!$AC725</f>
        <v>1.2587988108313714E-3</v>
      </c>
      <c r="F725" s="1">
        <f t="shared" si="154"/>
        <v>1.0148816603761579E-4</v>
      </c>
      <c r="G725">
        <f>moment_rate!I725-0.005</f>
        <v>7.1799999999998914</v>
      </c>
      <c r="H725" s="1">
        <f t="shared" si="155"/>
        <v>1.0148816603761579E-4</v>
      </c>
      <c r="I725">
        <f t="shared" si="157"/>
        <v>0</v>
      </c>
      <c r="J725">
        <f t="shared" si="157"/>
        <v>0</v>
      </c>
      <c r="K725">
        <f t="shared" si="157"/>
        <v>0</v>
      </c>
      <c r="L725">
        <f t="shared" si="157"/>
        <v>0</v>
      </c>
      <c r="M725">
        <f t="shared" si="157"/>
        <v>0</v>
      </c>
      <c r="N725">
        <f t="shared" si="157"/>
        <v>0</v>
      </c>
      <c r="O725">
        <f t="shared" si="157"/>
        <v>0</v>
      </c>
      <c r="P725">
        <f t="shared" si="157"/>
        <v>0</v>
      </c>
      <c r="Q725">
        <f t="shared" si="157"/>
        <v>0</v>
      </c>
      <c r="R725">
        <f t="shared" si="157"/>
        <v>0</v>
      </c>
      <c r="S725">
        <f t="shared" si="157"/>
        <v>0</v>
      </c>
      <c r="T725">
        <f t="shared" si="157"/>
        <v>0</v>
      </c>
      <c r="U725">
        <f t="shared" si="157"/>
        <v>0</v>
      </c>
      <c r="V725">
        <f t="shared" si="157"/>
        <v>0</v>
      </c>
      <c r="W725">
        <f t="shared" si="157"/>
        <v>0</v>
      </c>
      <c r="X725">
        <f t="shared" si="157"/>
        <v>0</v>
      </c>
      <c r="Y725">
        <f t="shared" si="156"/>
        <v>0</v>
      </c>
      <c r="Z725">
        <f t="shared" si="156"/>
        <v>0</v>
      </c>
      <c r="AA725">
        <f t="shared" si="156"/>
        <v>0</v>
      </c>
      <c r="AB725">
        <f t="shared" si="156"/>
        <v>0</v>
      </c>
      <c r="AC725">
        <f t="shared" si="156"/>
        <v>0</v>
      </c>
      <c r="AD725">
        <f t="shared" si="156"/>
        <v>1.0148816603761579E-4</v>
      </c>
      <c r="AE725">
        <f t="shared" si="156"/>
        <v>0</v>
      </c>
      <c r="AF725">
        <f t="shared" si="156"/>
        <v>0</v>
      </c>
      <c r="AG725">
        <f t="shared" si="156"/>
        <v>0</v>
      </c>
      <c r="AH725">
        <f t="shared" si="156"/>
        <v>0</v>
      </c>
      <c r="AI725">
        <f t="shared" si="156"/>
        <v>0</v>
      </c>
      <c r="AJ725">
        <f t="shared" si="156"/>
        <v>0</v>
      </c>
      <c r="AK725">
        <f t="shared" si="156"/>
        <v>0</v>
      </c>
      <c r="AL725">
        <f t="shared" si="156"/>
        <v>0</v>
      </c>
      <c r="AM725">
        <f t="shared" si="156"/>
        <v>0</v>
      </c>
      <c r="AN725">
        <f t="shared" si="151"/>
        <v>0</v>
      </c>
      <c r="AO725">
        <f t="shared" si="151"/>
        <v>0</v>
      </c>
      <c r="AP725">
        <f t="shared" si="151"/>
        <v>0</v>
      </c>
      <c r="AQ725">
        <f t="shared" si="151"/>
        <v>0</v>
      </c>
      <c r="AR725">
        <f t="shared" si="151"/>
        <v>0</v>
      </c>
    </row>
    <row r="726" spans="5:44" x14ac:dyDescent="0.2">
      <c r="E726" s="1">
        <f>moment_rate!$AC726</f>
        <v>1.1573106447937557E-3</v>
      </c>
      <c r="F726" s="1">
        <f t="shared" si="154"/>
        <v>9.6780178032495733E-5</v>
      </c>
      <c r="G726">
        <f>moment_rate!I726-0.005</f>
        <v>7.1899999999998911</v>
      </c>
      <c r="H726" s="1">
        <f t="shared" si="155"/>
        <v>9.6780178032495733E-5</v>
      </c>
      <c r="I726">
        <f t="shared" si="157"/>
        <v>0</v>
      </c>
      <c r="J726">
        <f t="shared" si="157"/>
        <v>0</v>
      </c>
      <c r="K726">
        <f t="shared" si="157"/>
        <v>0</v>
      </c>
      <c r="L726">
        <f t="shared" si="157"/>
        <v>0</v>
      </c>
      <c r="M726">
        <f t="shared" si="157"/>
        <v>0</v>
      </c>
      <c r="N726">
        <f t="shared" si="157"/>
        <v>0</v>
      </c>
      <c r="O726">
        <f t="shared" si="157"/>
        <v>0</v>
      </c>
      <c r="P726">
        <f t="shared" si="157"/>
        <v>0</v>
      </c>
      <c r="Q726">
        <f t="shared" si="157"/>
        <v>0</v>
      </c>
      <c r="R726">
        <f t="shared" si="157"/>
        <v>0</v>
      </c>
      <c r="S726">
        <f t="shared" si="157"/>
        <v>0</v>
      </c>
      <c r="T726">
        <f t="shared" si="157"/>
        <v>0</v>
      </c>
      <c r="U726">
        <f t="shared" si="157"/>
        <v>0</v>
      </c>
      <c r="V726">
        <f t="shared" si="157"/>
        <v>0</v>
      </c>
      <c r="W726">
        <f t="shared" si="157"/>
        <v>0</v>
      </c>
      <c r="X726">
        <f t="shared" si="157"/>
        <v>0</v>
      </c>
      <c r="Y726">
        <f t="shared" si="156"/>
        <v>0</v>
      </c>
      <c r="Z726">
        <f t="shared" si="156"/>
        <v>0</v>
      </c>
      <c r="AA726">
        <f t="shared" si="156"/>
        <v>0</v>
      </c>
      <c r="AB726">
        <f t="shared" si="156"/>
        <v>0</v>
      </c>
      <c r="AC726">
        <f t="shared" si="156"/>
        <v>0</v>
      </c>
      <c r="AD726">
        <f t="shared" si="156"/>
        <v>9.6780178032495733E-5</v>
      </c>
      <c r="AE726">
        <f t="shared" si="156"/>
        <v>0</v>
      </c>
      <c r="AF726">
        <f t="shared" si="156"/>
        <v>0</v>
      </c>
      <c r="AG726">
        <f t="shared" si="156"/>
        <v>0</v>
      </c>
      <c r="AH726">
        <f t="shared" si="156"/>
        <v>0</v>
      </c>
      <c r="AI726">
        <f t="shared" si="156"/>
        <v>0</v>
      </c>
      <c r="AJ726">
        <f t="shared" si="156"/>
        <v>0</v>
      </c>
      <c r="AK726">
        <f t="shared" si="156"/>
        <v>0</v>
      </c>
      <c r="AL726">
        <f t="shared" si="156"/>
        <v>0</v>
      </c>
      <c r="AM726">
        <f t="shared" si="156"/>
        <v>0</v>
      </c>
      <c r="AN726">
        <f t="shared" si="151"/>
        <v>0</v>
      </c>
      <c r="AO726">
        <f t="shared" si="151"/>
        <v>0</v>
      </c>
      <c r="AP726">
        <f t="shared" si="151"/>
        <v>0</v>
      </c>
      <c r="AQ726">
        <f t="shared" si="151"/>
        <v>0</v>
      </c>
      <c r="AR726">
        <f t="shared" si="151"/>
        <v>0</v>
      </c>
    </row>
    <row r="727" spans="5:44" x14ac:dyDescent="0.2">
      <c r="E727" s="1">
        <f>moment_rate!$AC727</f>
        <v>1.0605304667612599E-3</v>
      </c>
      <c r="F727" s="1">
        <f t="shared" si="154"/>
        <v>9.2060153052930392E-5</v>
      </c>
      <c r="G727">
        <f>moment_rate!I727-0.005</f>
        <v>7.1999999999998909</v>
      </c>
      <c r="H727" s="1">
        <f t="shared" si="155"/>
        <v>9.2060153052930392E-5</v>
      </c>
      <c r="I727">
        <f t="shared" si="157"/>
        <v>0</v>
      </c>
      <c r="J727">
        <f t="shared" si="157"/>
        <v>0</v>
      </c>
      <c r="K727">
        <f t="shared" si="157"/>
        <v>0</v>
      </c>
      <c r="L727">
        <f t="shared" si="157"/>
        <v>0</v>
      </c>
      <c r="M727">
        <f t="shared" si="157"/>
        <v>0</v>
      </c>
      <c r="N727">
        <f t="shared" si="157"/>
        <v>0</v>
      </c>
      <c r="O727">
        <f t="shared" si="157"/>
        <v>0</v>
      </c>
      <c r="P727">
        <f t="shared" si="157"/>
        <v>0</v>
      </c>
      <c r="Q727">
        <f t="shared" si="157"/>
        <v>0</v>
      </c>
      <c r="R727">
        <f t="shared" si="157"/>
        <v>0</v>
      </c>
      <c r="S727">
        <f t="shared" si="157"/>
        <v>0</v>
      </c>
      <c r="T727">
        <f t="shared" si="157"/>
        <v>0</v>
      </c>
      <c r="U727">
        <f t="shared" si="157"/>
        <v>0</v>
      </c>
      <c r="V727">
        <f t="shared" si="157"/>
        <v>0</v>
      </c>
      <c r="W727">
        <f t="shared" si="157"/>
        <v>0</v>
      </c>
      <c r="X727">
        <f t="shared" si="157"/>
        <v>0</v>
      </c>
      <c r="Y727">
        <f t="shared" si="156"/>
        <v>0</v>
      </c>
      <c r="Z727">
        <f t="shared" si="156"/>
        <v>0</v>
      </c>
      <c r="AA727">
        <f t="shared" si="156"/>
        <v>0</v>
      </c>
      <c r="AB727">
        <f t="shared" si="156"/>
        <v>0</v>
      </c>
      <c r="AC727">
        <f t="shared" si="156"/>
        <v>0</v>
      </c>
      <c r="AD727">
        <f t="shared" si="156"/>
        <v>9.2060153052930392E-5</v>
      </c>
      <c r="AE727">
        <f t="shared" si="156"/>
        <v>0</v>
      </c>
      <c r="AF727">
        <f t="shared" si="156"/>
        <v>0</v>
      </c>
      <c r="AG727">
        <f t="shared" si="156"/>
        <v>0</v>
      </c>
      <c r="AH727">
        <f t="shared" si="156"/>
        <v>0</v>
      </c>
      <c r="AI727">
        <f t="shared" si="156"/>
        <v>0</v>
      </c>
      <c r="AJ727">
        <f t="shared" si="156"/>
        <v>0</v>
      </c>
      <c r="AK727">
        <f t="shared" si="156"/>
        <v>0</v>
      </c>
      <c r="AL727">
        <f t="shared" si="156"/>
        <v>0</v>
      </c>
      <c r="AM727">
        <f t="shared" si="156"/>
        <v>0</v>
      </c>
      <c r="AN727">
        <f t="shared" si="151"/>
        <v>0</v>
      </c>
      <c r="AO727">
        <f t="shared" si="151"/>
        <v>0</v>
      </c>
      <c r="AP727">
        <f t="shared" si="151"/>
        <v>0</v>
      </c>
      <c r="AQ727">
        <f t="shared" si="151"/>
        <v>0</v>
      </c>
      <c r="AR727">
        <f t="shared" si="151"/>
        <v>0</v>
      </c>
    </row>
    <row r="728" spans="5:44" x14ac:dyDescent="0.2">
      <c r="E728" s="1">
        <f>moment_rate!$AC728</f>
        <v>9.6847031370832953E-4</v>
      </c>
      <c r="F728" s="1">
        <f t="shared" si="154"/>
        <v>8.7351674021333807E-5</v>
      </c>
      <c r="G728">
        <f>moment_rate!I728-0.005</f>
        <v>7.2099999999998907</v>
      </c>
      <c r="H728" s="1">
        <f t="shared" si="155"/>
        <v>8.7351674021333807E-5</v>
      </c>
      <c r="I728">
        <f t="shared" si="157"/>
        <v>0</v>
      </c>
      <c r="J728">
        <f t="shared" si="157"/>
        <v>0</v>
      </c>
      <c r="K728">
        <f t="shared" si="157"/>
        <v>0</v>
      </c>
      <c r="L728">
        <f t="shared" si="157"/>
        <v>0</v>
      </c>
      <c r="M728">
        <f t="shared" si="157"/>
        <v>0</v>
      </c>
      <c r="N728">
        <f t="shared" si="157"/>
        <v>0</v>
      </c>
      <c r="O728">
        <f t="shared" si="157"/>
        <v>0</v>
      </c>
      <c r="P728">
        <f t="shared" si="157"/>
        <v>0</v>
      </c>
      <c r="Q728">
        <f t="shared" si="157"/>
        <v>0</v>
      </c>
      <c r="R728">
        <f t="shared" si="157"/>
        <v>0</v>
      </c>
      <c r="S728">
        <f t="shared" si="157"/>
        <v>0</v>
      </c>
      <c r="T728">
        <f t="shared" si="157"/>
        <v>0</v>
      </c>
      <c r="U728">
        <f t="shared" si="157"/>
        <v>0</v>
      </c>
      <c r="V728">
        <f t="shared" si="157"/>
        <v>0</v>
      </c>
      <c r="W728">
        <f t="shared" si="157"/>
        <v>0</v>
      </c>
      <c r="X728">
        <f t="shared" si="157"/>
        <v>0</v>
      </c>
      <c r="Y728">
        <f t="shared" si="156"/>
        <v>0</v>
      </c>
      <c r="Z728">
        <f t="shared" si="156"/>
        <v>0</v>
      </c>
      <c r="AA728">
        <f t="shared" si="156"/>
        <v>0</v>
      </c>
      <c r="AB728">
        <f t="shared" si="156"/>
        <v>0</v>
      </c>
      <c r="AC728">
        <f t="shared" si="156"/>
        <v>0</v>
      </c>
      <c r="AD728">
        <f t="shared" si="156"/>
        <v>0</v>
      </c>
      <c r="AE728">
        <f t="shared" si="156"/>
        <v>8.7351674021333807E-5</v>
      </c>
      <c r="AF728">
        <f t="shared" si="156"/>
        <v>0</v>
      </c>
      <c r="AG728">
        <f t="shared" si="156"/>
        <v>0</v>
      </c>
      <c r="AH728">
        <f t="shared" si="156"/>
        <v>0</v>
      </c>
      <c r="AI728">
        <f t="shared" si="156"/>
        <v>0</v>
      </c>
      <c r="AJ728">
        <f t="shared" si="156"/>
        <v>0</v>
      </c>
      <c r="AK728">
        <f t="shared" si="156"/>
        <v>0</v>
      </c>
      <c r="AL728">
        <f t="shared" si="156"/>
        <v>0</v>
      </c>
      <c r="AM728">
        <f t="shared" si="156"/>
        <v>0</v>
      </c>
      <c r="AN728">
        <f t="shared" si="151"/>
        <v>0</v>
      </c>
      <c r="AO728">
        <f t="shared" si="151"/>
        <v>0</v>
      </c>
      <c r="AP728">
        <f t="shared" si="151"/>
        <v>0</v>
      </c>
      <c r="AQ728">
        <f t="shared" si="151"/>
        <v>0</v>
      </c>
      <c r="AR728">
        <f t="shared" si="151"/>
        <v>0</v>
      </c>
    </row>
    <row r="729" spans="5:44" x14ac:dyDescent="0.2">
      <c r="E729" s="1">
        <f>moment_rate!$AC729</f>
        <v>8.8111863968699572E-4</v>
      </c>
      <c r="F729" s="1">
        <f t="shared" si="154"/>
        <v>8.2677062110069117E-5</v>
      </c>
      <c r="G729">
        <f>moment_rate!I729-0.005</f>
        <v>7.2199999999998905</v>
      </c>
      <c r="H729" s="1">
        <f t="shared" si="155"/>
        <v>8.2677062110069117E-5</v>
      </c>
      <c r="I729">
        <f t="shared" si="157"/>
        <v>0</v>
      </c>
      <c r="J729">
        <f t="shared" si="157"/>
        <v>0</v>
      </c>
      <c r="K729">
        <f t="shared" si="157"/>
        <v>0</v>
      </c>
      <c r="L729">
        <f t="shared" si="157"/>
        <v>0</v>
      </c>
      <c r="M729">
        <f t="shared" si="157"/>
        <v>0</v>
      </c>
      <c r="N729">
        <f t="shared" si="157"/>
        <v>0</v>
      </c>
      <c r="O729">
        <f t="shared" si="157"/>
        <v>0</v>
      </c>
      <c r="P729">
        <f t="shared" si="157"/>
        <v>0</v>
      </c>
      <c r="Q729">
        <f t="shared" si="157"/>
        <v>0</v>
      </c>
      <c r="R729">
        <f t="shared" si="157"/>
        <v>0</v>
      </c>
      <c r="S729">
        <f t="shared" si="157"/>
        <v>0</v>
      </c>
      <c r="T729">
        <f t="shared" si="157"/>
        <v>0</v>
      </c>
      <c r="U729">
        <f t="shared" si="157"/>
        <v>0</v>
      </c>
      <c r="V729">
        <f t="shared" si="157"/>
        <v>0</v>
      </c>
      <c r="W729">
        <f t="shared" si="157"/>
        <v>0</v>
      </c>
      <c r="X729">
        <f t="shared" si="157"/>
        <v>0</v>
      </c>
      <c r="Y729">
        <f t="shared" si="156"/>
        <v>0</v>
      </c>
      <c r="Z729">
        <f t="shared" si="156"/>
        <v>0</v>
      </c>
      <c r="AA729">
        <f t="shared" si="156"/>
        <v>0</v>
      </c>
      <c r="AB729">
        <f t="shared" si="156"/>
        <v>0</v>
      </c>
      <c r="AC729">
        <f t="shared" si="156"/>
        <v>0</v>
      </c>
      <c r="AD729">
        <f t="shared" si="156"/>
        <v>0</v>
      </c>
      <c r="AE729">
        <f t="shared" si="156"/>
        <v>8.2677062110069117E-5</v>
      </c>
      <c r="AF729">
        <f t="shared" si="156"/>
        <v>0</v>
      </c>
      <c r="AG729">
        <f t="shared" si="156"/>
        <v>0</v>
      </c>
      <c r="AH729">
        <f t="shared" si="156"/>
        <v>0</v>
      </c>
      <c r="AI729">
        <f t="shared" si="156"/>
        <v>0</v>
      </c>
      <c r="AJ729">
        <f t="shared" si="156"/>
        <v>0</v>
      </c>
      <c r="AK729">
        <f t="shared" si="156"/>
        <v>0</v>
      </c>
      <c r="AL729">
        <f t="shared" si="156"/>
        <v>0</v>
      </c>
      <c r="AM729">
        <f t="shared" si="156"/>
        <v>0</v>
      </c>
      <c r="AN729">
        <f t="shared" si="151"/>
        <v>0</v>
      </c>
      <c r="AO729">
        <f t="shared" si="151"/>
        <v>0</v>
      </c>
      <c r="AP729">
        <f t="shared" si="151"/>
        <v>0</v>
      </c>
      <c r="AQ729">
        <f t="shared" si="151"/>
        <v>0</v>
      </c>
      <c r="AR729">
        <f t="shared" si="151"/>
        <v>0</v>
      </c>
    </row>
    <row r="730" spans="5:44" x14ac:dyDescent="0.2">
      <c r="E730" s="1">
        <f>moment_rate!$AC730</f>
        <v>7.984415775769266E-4</v>
      </c>
      <c r="F730" s="1">
        <f t="shared" si="154"/>
        <v>7.8057224170956295E-5</v>
      </c>
      <c r="G730">
        <f>moment_rate!I730-0.005</f>
        <v>7.2299999999998903</v>
      </c>
      <c r="H730" s="1">
        <f t="shared" si="155"/>
        <v>7.8057224170956295E-5</v>
      </c>
      <c r="I730">
        <f t="shared" si="157"/>
        <v>0</v>
      </c>
      <c r="J730">
        <f t="shared" si="157"/>
        <v>0</v>
      </c>
      <c r="K730">
        <f t="shared" si="157"/>
        <v>0</v>
      </c>
      <c r="L730">
        <f t="shared" si="157"/>
        <v>0</v>
      </c>
      <c r="M730">
        <f t="shared" si="157"/>
        <v>0</v>
      </c>
      <c r="N730">
        <f t="shared" si="157"/>
        <v>0</v>
      </c>
      <c r="O730">
        <f t="shared" si="157"/>
        <v>0</v>
      </c>
      <c r="P730">
        <f t="shared" si="157"/>
        <v>0</v>
      </c>
      <c r="Q730">
        <f t="shared" si="157"/>
        <v>0</v>
      </c>
      <c r="R730">
        <f t="shared" si="157"/>
        <v>0</v>
      </c>
      <c r="S730">
        <f t="shared" si="157"/>
        <v>0</v>
      </c>
      <c r="T730">
        <f t="shared" si="157"/>
        <v>0</v>
      </c>
      <c r="U730">
        <f t="shared" si="157"/>
        <v>0</v>
      </c>
      <c r="V730">
        <f t="shared" si="157"/>
        <v>0</v>
      </c>
      <c r="W730">
        <f t="shared" si="157"/>
        <v>0</v>
      </c>
      <c r="X730">
        <f t="shared" ref="X730:AM750" si="158">IF(AND($G730&gt;=X$3,$G730&lt;X$4),$F730,0)</f>
        <v>0</v>
      </c>
      <c r="Y730">
        <f t="shared" si="158"/>
        <v>0</v>
      </c>
      <c r="Z730">
        <f t="shared" si="158"/>
        <v>0</v>
      </c>
      <c r="AA730">
        <f t="shared" si="158"/>
        <v>0</v>
      </c>
      <c r="AB730">
        <f t="shared" si="158"/>
        <v>0</v>
      </c>
      <c r="AC730">
        <f t="shared" si="158"/>
        <v>0</v>
      </c>
      <c r="AD730">
        <f t="shared" si="158"/>
        <v>0</v>
      </c>
      <c r="AE730">
        <f t="shared" si="158"/>
        <v>7.8057224170956295E-5</v>
      </c>
      <c r="AF730">
        <f t="shared" si="158"/>
        <v>0</v>
      </c>
      <c r="AG730">
        <f t="shared" si="158"/>
        <v>0</v>
      </c>
      <c r="AH730">
        <f t="shared" si="158"/>
        <v>0</v>
      </c>
      <c r="AI730">
        <f t="shared" si="158"/>
        <v>0</v>
      </c>
      <c r="AJ730">
        <f t="shared" si="158"/>
        <v>0</v>
      </c>
      <c r="AK730">
        <f t="shared" si="158"/>
        <v>0</v>
      </c>
      <c r="AL730">
        <f t="shared" si="158"/>
        <v>0</v>
      </c>
      <c r="AM730">
        <f t="shared" si="158"/>
        <v>0</v>
      </c>
      <c r="AN730">
        <f t="shared" si="151"/>
        <v>0</v>
      </c>
      <c r="AO730">
        <f t="shared" si="151"/>
        <v>0</v>
      </c>
      <c r="AP730">
        <f t="shared" si="151"/>
        <v>0</v>
      </c>
      <c r="AQ730">
        <f t="shared" si="151"/>
        <v>0</v>
      </c>
      <c r="AR730">
        <f t="shared" si="151"/>
        <v>0</v>
      </c>
    </row>
    <row r="731" spans="5:44" x14ac:dyDescent="0.2">
      <c r="E731" s="1">
        <f>moment_rate!$AC731</f>
        <v>7.2038435340597031E-4</v>
      </c>
      <c r="F731" s="1">
        <f t="shared" si="154"/>
        <v>7.3511525314243881E-5</v>
      </c>
      <c r="G731">
        <f>moment_rate!I731-0.005</f>
        <v>7.2399999999998901</v>
      </c>
      <c r="H731" s="1">
        <f t="shared" si="155"/>
        <v>7.3511525314243881E-5</v>
      </c>
      <c r="I731">
        <f t="shared" ref="I731:X746" si="159">IF(AND($G731&gt;=I$3,$G731&lt;I$4),$F731,0)</f>
        <v>0</v>
      </c>
      <c r="J731">
        <f t="shared" si="159"/>
        <v>0</v>
      </c>
      <c r="K731">
        <f t="shared" si="159"/>
        <v>0</v>
      </c>
      <c r="L731">
        <f t="shared" si="159"/>
        <v>0</v>
      </c>
      <c r="M731">
        <f t="shared" si="159"/>
        <v>0</v>
      </c>
      <c r="N731">
        <f t="shared" si="159"/>
        <v>0</v>
      </c>
      <c r="O731">
        <f t="shared" si="159"/>
        <v>0</v>
      </c>
      <c r="P731">
        <f t="shared" si="159"/>
        <v>0</v>
      </c>
      <c r="Q731">
        <f t="shared" si="159"/>
        <v>0</v>
      </c>
      <c r="R731">
        <f t="shared" si="159"/>
        <v>0</v>
      </c>
      <c r="S731">
        <f t="shared" si="159"/>
        <v>0</v>
      </c>
      <c r="T731">
        <f t="shared" si="159"/>
        <v>0</v>
      </c>
      <c r="U731">
        <f t="shared" si="159"/>
        <v>0</v>
      </c>
      <c r="V731">
        <f t="shared" si="159"/>
        <v>0</v>
      </c>
      <c r="W731">
        <f t="shared" si="159"/>
        <v>0</v>
      </c>
      <c r="X731">
        <f t="shared" si="159"/>
        <v>0</v>
      </c>
      <c r="Y731">
        <f t="shared" si="158"/>
        <v>0</v>
      </c>
      <c r="Z731">
        <f t="shared" si="158"/>
        <v>0</v>
      </c>
      <c r="AA731">
        <f t="shared" si="158"/>
        <v>0</v>
      </c>
      <c r="AB731">
        <f t="shared" si="158"/>
        <v>0</v>
      </c>
      <c r="AC731">
        <f t="shared" si="158"/>
        <v>0</v>
      </c>
      <c r="AD731">
        <f t="shared" si="158"/>
        <v>0</v>
      </c>
      <c r="AE731">
        <f t="shared" si="158"/>
        <v>7.3511525314243881E-5</v>
      </c>
      <c r="AF731">
        <f t="shared" si="158"/>
        <v>0</v>
      </c>
      <c r="AG731">
        <f t="shared" si="158"/>
        <v>0</v>
      </c>
      <c r="AH731">
        <f t="shared" si="158"/>
        <v>0</v>
      </c>
      <c r="AI731">
        <f t="shared" si="158"/>
        <v>0</v>
      </c>
      <c r="AJ731">
        <f t="shared" si="158"/>
        <v>0</v>
      </c>
      <c r="AK731">
        <f t="shared" si="158"/>
        <v>0</v>
      </c>
      <c r="AL731">
        <f t="shared" si="158"/>
        <v>0</v>
      </c>
      <c r="AM731">
        <f t="shared" si="158"/>
        <v>0</v>
      </c>
      <c r="AN731">
        <f t="shared" si="151"/>
        <v>0</v>
      </c>
      <c r="AO731">
        <f t="shared" si="151"/>
        <v>0</v>
      </c>
      <c r="AP731">
        <f t="shared" si="151"/>
        <v>0</v>
      </c>
      <c r="AQ731">
        <f t="shared" si="151"/>
        <v>0</v>
      </c>
      <c r="AR731">
        <f t="shared" si="151"/>
        <v>0</v>
      </c>
    </row>
    <row r="732" spans="5:44" x14ac:dyDescent="0.2">
      <c r="E732" s="1">
        <f>moment_rate!$AC732</f>
        <v>6.4687282809172643E-4</v>
      </c>
      <c r="F732" s="1">
        <f t="shared" si="154"/>
        <v>6.9057687147546193E-5</v>
      </c>
      <c r="G732">
        <f>moment_rate!I732-0.005</f>
        <v>7.2499999999998899</v>
      </c>
      <c r="H732" s="1">
        <f t="shared" si="155"/>
        <v>6.9057687147546193E-5</v>
      </c>
      <c r="I732">
        <f t="shared" si="159"/>
        <v>0</v>
      </c>
      <c r="J732">
        <f t="shared" si="159"/>
        <v>0</v>
      </c>
      <c r="K732">
        <f t="shared" si="159"/>
        <v>0</v>
      </c>
      <c r="L732">
        <f t="shared" si="159"/>
        <v>0</v>
      </c>
      <c r="M732">
        <f t="shared" si="159"/>
        <v>0</v>
      </c>
      <c r="N732">
        <f t="shared" si="159"/>
        <v>0</v>
      </c>
      <c r="O732">
        <f t="shared" si="159"/>
        <v>0</v>
      </c>
      <c r="P732">
        <f t="shared" si="159"/>
        <v>0</v>
      </c>
      <c r="Q732">
        <f t="shared" si="159"/>
        <v>0</v>
      </c>
      <c r="R732">
        <f t="shared" si="159"/>
        <v>0</v>
      </c>
      <c r="S732">
        <f t="shared" si="159"/>
        <v>0</v>
      </c>
      <c r="T732">
        <f t="shared" si="159"/>
        <v>0</v>
      </c>
      <c r="U732">
        <f t="shared" si="159"/>
        <v>0</v>
      </c>
      <c r="V732">
        <f t="shared" si="159"/>
        <v>0</v>
      </c>
      <c r="W732">
        <f t="shared" si="159"/>
        <v>0</v>
      </c>
      <c r="X732">
        <f t="shared" si="159"/>
        <v>0</v>
      </c>
      <c r="Y732">
        <f t="shared" si="158"/>
        <v>0</v>
      </c>
      <c r="Z732">
        <f t="shared" si="158"/>
        <v>0</v>
      </c>
      <c r="AA732">
        <f t="shared" si="158"/>
        <v>0</v>
      </c>
      <c r="AB732">
        <f t="shared" si="158"/>
        <v>0</v>
      </c>
      <c r="AC732">
        <f t="shared" si="158"/>
        <v>0</v>
      </c>
      <c r="AD732">
        <f t="shared" si="158"/>
        <v>0</v>
      </c>
      <c r="AE732">
        <f t="shared" si="158"/>
        <v>6.9057687147546193E-5</v>
      </c>
      <c r="AF732">
        <f t="shared" si="158"/>
        <v>0</v>
      </c>
      <c r="AG732">
        <f t="shared" si="158"/>
        <v>0</v>
      </c>
      <c r="AH732">
        <f t="shared" si="158"/>
        <v>0</v>
      </c>
      <c r="AI732">
        <f t="shared" si="158"/>
        <v>0</v>
      </c>
      <c r="AJ732">
        <f t="shared" si="158"/>
        <v>0</v>
      </c>
      <c r="AK732">
        <f t="shared" si="158"/>
        <v>0</v>
      </c>
      <c r="AL732">
        <f t="shared" si="158"/>
        <v>0</v>
      </c>
      <c r="AM732">
        <f t="shared" si="158"/>
        <v>0</v>
      </c>
      <c r="AN732">
        <f t="shared" si="151"/>
        <v>0</v>
      </c>
      <c r="AO732">
        <f t="shared" si="151"/>
        <v>0</v>
      </c>
      <c r="AP732">
        <f t="shared" si="151"/>
        <v>0</v>
      </c>
      <c r="AQ732">
        <f t="shared" si="151"/>
        <v>0</v>
      </c>
      <c r="AR732">
        <f t="shared" si="151"/>
        <v>0</v>
      </c>
    </row>
    <row r="733" spans="5:44" x14ac:dyDescent="0.2">
      <c r="E733" s="1">
        <f>moment_rate!$AC733</f>
        <v>5.7781514094418023E-4</v>
      </c>
      <c r="F733" s="1">
        <f t="shared" si="154"/>
        <v>6.4711711722063403E-5</v>
      </c>
      <c r="G733">
        <f>moment_rate!I733-0.005</f>
        <v>7.2599999999998897</v>
      </c>
      <c r="H733" s="1">
        <f t="shared" si="155"/>
        <v>6.4711711722063403E-5</v>
      </c>
      <c r="I733">
        <f t="shared" si="159"/>
        <v>0</v>
      </c>
      <c r="J733">
        <f t="shared" si="159"/>
        <v>0</v>
      </c>
      <c r="K733">
        <f t="shared" si="159"/>
        <v>0</v>
      </c>
      <c r="L733">
        <f t="shared" si="159"/>
        <v>0</v>
      </c>
      <c r="M733">
        <f t="shared" si="159"/>
        <v>0</v>
      </c>
      <c r="N733">
        <f t="shared" si="159"/>
        <v>0</v>
      </c>
      <c r="O733">
        <f t="shared" si="159"/>
        <v>0</v>
      </c>
      <c r="P733">
        <f t="shared" si="159"/>
        <v>0</v>
      </c>
      <c r="Q733">
        <f t="shared" si="159"/>
        <v>0</v>
      </c>
      <c r="R733">
        <f t="shared" si="159"/>
        <v>0</v>
      </c>
      <c r="S733">
        <f t="shared" si="159"/>
        <v>0</v>
      </c>
      <c r="T733">
        <f t="shared" si="159"/>
        <v>0</v>
      </c>
      <c r="U733">
        <f t="shared" si="159"/>
        <v>0</v>
      </c>
      <c r="V733">
        <f t="shared" si="159"/>
        <v>0</v>
      </c>
      <c r="W733">
        <f t="shared" si="159"/>
        <v>0</v>
      </c>
      <c r="X733">
        <f t="shared" si="159"/>
        <v>0</v>
      </c>
      <c r="Y733">
        <f t="shared" si="158"/>
        <v>0</v>
      </c>
      <c r="Z733">
        <f t="shared" si="158"/>
        <v>0</v>
      </c>
      <c r="AA733">
        <f t="shared" si="158"/>
        <v>0</v>
      </c>
      <c r="AB733">
        <f t="shared" si="158"/>
        <v>0</v>
      </c>
      <c r="AC733">
        <f t="shared" si="158"/>
        <v>0</v>
      </c>
      <c r="AD733">
        <f t="shared" si="158"/>
        <v>0</v>
      </c>
      <c r="AE733">
        <f t="shared" si="158"/>
        <v>6.4711711722063403E-5</v>
      </c>
      <c r="AF733">
        <f t="shared" si="158"/>
        <v>0</v>
      </c>
      <c r="AG733">
        <f t="shared" si="158"/>
        <v>0</v>
      </c>
      <c r="AH733">
        <f t="shared" si="158"/>
        <v>0</v>
      </c>
      <c r="AI733">
        <f t="shared" si="158"/>
        <v>0</v>
      </c>
      <c r="AJ733">
        <f t="shared" si="158"/>
        <v>0</v>
      </c>
      <c r="AK733">
        <f t="shared" si="158"/>
        <v>0</v>
      </c>
      <c r="AL733">
        <f t="shared" si="158"/>
        <v>0</v>
      </c>
      <c r="AM733">
        <f t="shared" si="158"/>
        <v>0</v>
      </c>
      <c r="AN733">
        <f t="shared" si="151"/>
        <v>0</v>
      </c>
      <c r="AO733">
        <f t="shared" si="151"/>
        <v>0</v>
      </c>
      <c r="AP733">
        <f t="shared" si="151"/>
        <v>0</v>
      </c>
      <c r="AQ733">
        <f t="shared" si="151"/>
        <v>0</v>
      </c>
      <c r="AR733">
        <f t="shared" si="151"/>
        <v>0</v>
      </c>
    </row>
    <row r="734" spans="5:44" x14ac:dyDescent="0.2">
      <c r="E734" s="1">
        <f>moment_rate!$AC734</f>
        <v>5.1310342922211683E-4</v>
      </c>
      <c r="F734" s="1">
        <f t="shared" si="154"/>
        <v>6.0487830795127374E-5</v>
      </c>
      <c r="G734">
        <f>moment_rate!I734-0.005</f>
        <v>7.2699999999998894</v>
      </c>
      <c r="H734" s="1">
        <f t="shared" si="155"/>
        <v>6.0487830795127374E-5</v>
      </c>
      <c r="I734">
        <f t="shared" si="159"/>
        <v>0</v>
      </c>
      <c r="J734">
        <f t="shared" si="159"/>
        <v>0</v>
      </c>
      <c r="K734">
        <f t="shared" si="159"/>
        <v>0</v>
      </c>
      <c r="L734">
        <f t="shared" si="159"/>
        <v>0</v>
      </c>
      <c r="M734">
        <f t="shared" si="159"/>
        <v>0</v>
      </c>
      <c r="N734">
        <f t="shared" si="159"/>
        <v>0</v>
      </c>
      <c r="O734">
        <f t="shared" si="159"/>
        <v>0</v>
      </c>
      <c r="P734">
        <f t="shared" si="159"/>
        <v>0</v>
      </c>
      <c r="Q734">
        <f t="shared" si="159"/>
        <v>0</v>
      </c>
      <c r="R734">
        <f t="shared" si="159"/>
        <v>0</v>
      </c>
      <c r="S734">
        <f t="shared" si="159"/>
        <v>0</v>
      </c>
      <c r="T734">
        <f t="shared" si="159"/>
        <v>0</v>
      </c>
      <c r="U734">
        <f t="shared" si="159"/>
        <v>0</v>
      </c>
      <c r="V734">
        <f t="shared" si="159"/>
        <v>0</v>
      </c>
      <c r="W734">
        <f t="shared" si="159"/>
        <v>0</v>
      </c>
      <c r="X734">
        <f t="shared" si="159"/>
        <v>0</v>
      </c>
      <c r="Y734">
        <f t="shared" si="158"/>
        <v>0</v>
      </c>
      <c r="Z734">
        <f t="shared" si="158"/>
        <v>0</v>
      </c>
      <c r="AA734">
        <f t="shared" si="158"/>
        <v>0</v>
      </c>
      <c r="AB734">
        <f t="shared" si="158"/>
        <v>0</v>
      </c>
      <c r="AC734">
        <f t="shared" si="158"/>
        <v>0</v>
      </c>
      <c r="AD734">
        <f t="shared" si="158"/>
        <v>0</v>
      </c>
      <c r="AE734">
        <f t="shared" si="158"/>
        <v>6.0487830795127374E-5</v>
      </c>
      <c r="AF734">
        <f t="shared" si="158"/>
        <v>0</v>
      </c>
      <c r="AG734">
        <f t="shared" si="158"/>
        <v>0</v>
      </c>
      <c r="AH734">
        <f t="shared" si="158"/>
        <v>0</v>
      </c>
      <c r="AI734">
        <f t="shared" si="158"/>
        <v>0</v>
      </c>
      <c r="AJ734">
        <f t="shared" si="158"/>
        <v>0</v>
      </c>
      <c r="AK734">
        <f t="shared" si="158"/>
        <v>0</v>
      </c>
      <c r="AL734">
        <f t="shared" si="158"/>
        <v>0</v>
      </c>
      <c r="AM734">
        <f t="shared" si="158"/>
        <v>0</v>
      </c>
      <c r="AN734">
        <f t="shared" si="151"/>
        <v>0</v>
      </c>
      <c r="AO734">
        <f t="shared" si="151"/>
        <v>0</v>
      </c>
      <c r="AP734">
        <f t="shared" si="151"/>
        <v>0</v>
      </c>
      <c r="AQ734">
        <f t="shared" si="151"/>
        <v>0</v>
      </c>
      <c r="AR734">
        <f t="shared" si="151"/>
        <v>0</v>
      </c>
    </row>
    <row r="735" spans="5:44" x14ac:dyDescent="0.2">
      <c r="E735" s="1">
        <f>moment_rate!$AC735</f>
        <v>4.5261559842698946E-4</v>
      </c>
      <c r="F735" s="1">
        <f t="shared" si="154"/>
        <v>5.6398479612895227E-5</v>
      </c>
      <c r="G735">
        <f>moment_rate!I735-0.005</f>
        <v>7.2799999999998892</v>
      </c>
      <c r="H735" s="1">
        <f t="shared" si="155"/>
        <v>5.6398479612895227E-5</v>
      </c>
      <c r="I735">
        <f t="shared" si="159"/>
        <v>0</v>
      </c>
      <c r="J735">
        <f t="shared" si="159"/>
        <v>0</v>
      </c>
      <c r="K735">
        <f t="shared" si="159"/>
        <v>0</v>
      </c>
      <c r="L735">
        <f t="shared" si="159"/>
        <v>0</v>
      </c>
      <c r="M735">
        <f t="shared" si="159"/>
        <v>0</v>
      </c>
      <c r="N735">
        <f t="shared" si="159"/>
        <v>0</v>
      </c>
      <c r="O735">
        <f t="shared" si="159"/>
        <v>0</v>
      </c>
      <c r="P735">
        <f t="shared" si="159"/>
        <v>0</v>
      </c>
      <c r="Q735">
        <f t="shared" si="159"/>
        <v>0</v>
      </c>
      <c r="R735">
        <f t="shared" si="159"/>
        <v>0</v>
      </c>
      <c r="S735">
        <f t="shared" si="159"/>
        <v>0</v>
      </c>
      <c r="T735">
        <f t="shared" si="159"/>
        <v>0</v>
      </c>
      <c r="U735">
        <f t="shared" si="159"/>
        <v>0</v>
      </c>
      <c r="V735">
        <f t="shared" si="159"/>
        <v>0</v>
      </c>
      <c r="W735">
        <f t="shared" si="159"/>
        <v>0</v>
      </c>
      <c r="X735">
        <f t="shared" si="159"/>
        <v>0</v>
      </c>
      <c r="Y735">
        <f t="shared" si="158"/>
        <v>0</v>
      </c>
      <c r="Z735">
        <f t="shared" si="158"/>
        <v>0</v>
      </c>
      <c r="AA735">
        <f t="shared" si="158"/>
        <v>0</v>
      </c>
      <c r="AB735">
        <f t="shared" si="158"/>
        <v>0</v>
      </c>
      <c r="AC735">
        <f t="shared" si="158"/>
        <v>0</v>
      </c>
      <c r="AD735">
        <f t="shared" si="158"/>
        <v>0</v>
      </c>
      <c r="AE735">
        <f t="shared" si="158"/>
        <v>5.6398479612895227E-5</v>
      </c>
      <c r="AF735">
        <f t="shared" si="158"/>
        <v>0</v>
      </c>
      <c r="AG735">
        <f t="shared" si="158"/>
        <v>0</v>
      </c>
      <c r="AH735">
        <f t="shared" si="158"/>
        <v>0</v>
      </c>
      <c r="AI735">
        <f t="shared" si="158"/>
        <v>0</v>
      </c>
      <c r="AJ735">
        <f t="shared" si="158"/>
        <v>0</v>
      </c>
      <c r="AK735">
        <f t="shared" si="158"/>
        <v>0</v>
      </c>
      <c r="AL735">
        <f t="shared" si="158"/>
        <v>0</v>
      </c>
      <c r="AM735">
        <f t="shared" si="158"/>
        <v>0</v>
      </c>
      <c r="AN735">
        <f t="shared" ref="AN735:AR749" si="160">IF(AND($G735&gt;=AN$3,$G735&lt;AN$4),$F735,0)</f>
        <v>0</v>
      </c>
      <c r="AO735">
        <f t="shared" si="160"/>
        <v>0</v>
      </c>
      <c r="AP735">
        <f t="shared" si="160"/>
        <v>0</v>
      </c>
      <c r="AQ735">
        <f t="shared" si="160"/>
        <v>0</v>
      </c>
      <c r="AR735">
        <f t="shared" si="160"/>
        <v>0</v>
      </c>
    </row>
    <row r="736" spans="5:44" x14ac:dyDescent="0.2">
      <c r="E736" s="1">
        <f>moment_rate!$AC736</f>
        <v>3.9621711881409423E-4</v>
      </c>
      <c r="F736" s="1">
        <f t="shared" si="154"/>
        <v>5.2454294051673374E-5</v>
      </c>
      <c r="G736">
        <f>moment_rate!I736-0.005</f>
        <v>7.289999999999889</v>
      </c>
      <c r="H736" s="1">
        <f t="shared" si="155"/>
        <v>5.2454294051673374E-5</v>
      </c>
      <c r="I736">
        <f t="shared" si="159"/>
        <v>0</v>
      </c>
      <c r="J736">
        <f t="shared" si="159"/>
        <v>0</v>
      </c>
      <c r="K736">
        <f t="shared" si="159"/>
        <v>0</v>
      </c>
      <c r="L736">
        <f t="shared" si="159"/>
        <v>0</v>
      </c>
      <c r="M736">
        <f t="shared" si="159"/>
        <v>0</v>
      </c>
      <c r="N736">
        <f t="shared" si="159"/>
        <v>0</v>
      </c>
      <c r="O736">
        <f t="shared" si="159"/>
        <v>0</v>
      </c>
      <c r="P736">
        <f t="shared" si="159"/>
        <v>0</v>
      </c>
      <c r="Q736">
        <f t="shared" si="159"/>
        <v>0</v>
      </c>
      <c r="R736">
        <f t="shared" si="159"/>
        <v>0</v>
      </c>
      <c r="S736">
        <f t="shared" si="159"/>
        <v>0</v>
      </c>
      <c r="T736">
        <f t="shared" si="159"/>
        <v>0</v>
      </c>
      <c r="U736">
        <f t="shared" si="159"/>
        <v>0</v>
      </c>
      <c r="V736">
        <f t="shared" si="159"/>
        <v>0</v>
      </c>
      <c r="W736">
        <f t="shared" si="159"/>
        <v>0</v>
      </c>
      <c r="X736">
        <f t="shared" si="159"/>
        <v>0</v>
      </c>
      <c r="Y736">
        <f t="shared" si="158"/>
        <v>0</v>
      </c>
      <c r="Z736">
        <f t="shared" si="158"/>
        <v>0</v>
      </c>
      <c r="AA736">
        <f t="shared" si="158"/>
        <v>0</v>
      </c>
      <c r="AB736">
        <f t="shared" si="158"/>
        <v>0</v>
      </c>
      <c r="AC736">
        <f t="shared" si="158"/>
        <v>0</v>
      </c>
      <c r="AD736">
        <f t="shared" si="158"/>
        <v>0</v>
      </c>
      <c r="AE736">
        <f t="shared" si="158"/>
        <v>5.2454294051673374E-5</v>
      </c>
      <c r="AF736">
        <f t="shared" si="158"/>
        <v>0</v>
      </c>
      <c r="AG736">
        <f t="shared" si="158"/>
        <v>0</v>
      </c>
      <c r="AH736">
        <f t="shared" si="158"/>
        <v>0</v>
      </c>
      <c r="AI736">
        <f t="shared" si="158"/>
        <v>0</v>
      </c>
      <c r="AJ736">
        <f t="shared" si="158"/>
        <v>0</v>
      </c>
      <c r="AK736">
        <f t="shared" si="158"/>
        <v>0</v>
      </c>
      <c r="AL736">
        <f t="shared" si="158"/>
        <v>0</v>
      </c>
      <c r="AM736">
        <f t="shared" si="158"/>
        <v>0</v>
      </c>
      <c r="AN736">
        <f t="shared" si="160"/>
        <v>0</v>
      </c>
      <c r="AO736">
        <f t="shared" si="160"/>
        <v>0</v>
      </c>
      <c r="AP736">
        <f t="shared" si="160"/>
        <v>0</v>
      </c>
      <c r="AQ736">
        <f t="shared" si="160"/>
        <v>0</v>
      </c>
      <c r="AR736">
        <f t="shared" si="160"/>
        <v>0</v>
      </c>
    </row>
    <row r="737" spans="5:44" x14ac:dyDescent="0.2">
      <c r="E737" s="1">
        <f>moment_rate!$AC737</f>
        <v>3.4376282476242085E-4</v>
      </c>
      <c r="F737" s="1">
        <f t="shared" si="154"/>
        <v>4.8664129636404008E-5</v>
      </c>
      <c r="G737">
        <f>moment_rate!I737-0.005</f>
        <v>7.2999999999998888</v>
      </c>
      <c r="H737" s="1">
        <f t="shared" si="155"/>
        <v>4.8664129636404008E-5</v>
      </c>
      <c r="I737">
        <f t="shared" si="159"/>
        <v>0</v>
      </c>
      <c r="J737">
        <f t="shared" si="159"/>
        <v>0</v>
      </c>
      <c r="K737">
        <f t="shared" si="159"/>
        <v>0</v>
      </c>
      <c r="L737">
        <f t="shared" si="159"/>
        <v>0</v>
      </c>
      <c r="M737">
        <f t="shared" si="159"/>
        <v>0</v>
      </c>
      <c r="N737">
        <f t="shared" si="159"/>
        <v>0</v>
      </c>
      <c r="O737">
        <f t="shared" si="159"/>
        <v>0</v>
      </c>
      <c r="P737">
        <f t="shared" si="159"/>
        <v>0</v>
      </c>
      <c r="Q737">
        <f t="shared" si="159"/>
        <v>0</v>
      </c>
      <c r="R737">
        <f t="shared" si="159"/>
        <v>0</v>
      </c>
      <c r="S737">
        <f t="shared" si="159"/>
        <v>0</v>
      </c>
      <c r="T737">
        <f t="shared" si="159"/>
        <v>0</v>
      </c>
      <c r="U737">
        <f t="shared" si="159"/>
        <v>0</v>
      </c>
      <c r="V737">
        <f t="shared" si="159"/>
        <v>0</v>
      </c>
      <c r="W737">
        <f t="shared" si="159"/>
        <v>0</v>
      </c>
      <c r="X737">
        <f t="shared" si="159"/>
        <v>0</v>
      </c>
      <c r="Y737">
        <f t="shared" si="158"/>
        <v>0</v>
      </c>
      <c r="Z737">
        <f t="shared" si="158"/>
        <v>0</v>
      </c>
      <c r="AA737">
        <f t="shared" si="158"/>
        <v>0</v>
      </c>
      <c r="AB737">
        <f t="shared" si="158"/>
        <v>0</v>
      </c>
      <c r="AC737">
        <f t="shared" si="158"/>
        <v>0</v>
      </c>
      <c r="AD737">
        <f t="shared" si="158"/>
        <v>0</v>
      </c>
      <c r="AE737">
        <f t="shared" si="158"/>
        <v>4.8664129636404008E-5</v>
      </c>
      <c r="AF737">
        <f t="shared" si="158"/>
        <v>0</v>
      </c>
      <c r="AG737">
        <f t="shared" si="158"/>
        <v>0</v>
      </c>
      <c r="AH737">
        <f t="shared" si="158"/>
        <v>0</v>
      </c>
      <c r="AI737">
        <f t="shared" si="158"/>
        <v>0</v>
      </c>
      <c r="AJ737">
        <f t="shared" si="158"/>
        <v>0</v>
      </c>
      <c r="AK737">
        <f t="shared" si="158"/>
        <v>0</v>
      </c>
      <c r="AL737">
        <f t="shared" si="158"/>
        <v>0</v>
      </c>
      <c r="AM737">
        <f t="shared" si="158"/>
        <v>0</v>
      </c>
      <c r="AN737">
        <f t="shared" si="160"/>
        <v>0</v>
      </c>
      <c r="AO737">
        <f t="shared" si="160"/>
        <v>0</v>
      </c>
      <c r="AP737">
        <f t="shared" si="160"/>
        <v>0</v>
      </c>
      <c r="AQ737">
        <f t="shared" si="160"/>
        <v>0</v>
      </c>
      <c r="AR737">
        <f t="shared" si="160"/>
        <v>0</v>
      </c>
    </row>
    <row r="738" spans="5:44" x14ac:dyDescent="0.2">
      <c r="E738" s="1">
        <f>moment_rate!$AC738</f>
        <v>2.9509869512601685E-4</v>
      </c>
      <c r="F738" s="1">
        <f t="shared" si="154"/>
        <v>4.5035100684270835E-5</v>
      </c>
      <c r="G738">
        <f>moment_rate!I738-0.005</f>
        <v>7.3099999999998886</v>
      </c>
      <c r="H738" s="1">
        <f t="shared" si="155"/>
        <v>4.5035100684270835E-5</v>
      </c>
      <c r="I738">
        <f t="shared" si="159"/>
        <v>0</v>
      </c>
      <c r="J738">
        <f t="shared" si="159"/>
        <v>0</v>
      </c>
      <c r="K738">
        <f t="shared" si="159"/>
        <v>0</v>
      </c>
      <c r="L738">
        <f t="shared" si="159"/>
        <v>0</v>
      </c>
      <c r="M738">
        <f t="shared" si="159"/>
        <v>0</v>
      </c>
      <c r="N738">
        <f t="shared" si="159"/>
        <v>0</v>
      </c>
      <c r="O738">
        <f t="shared" si="159"/>
        <v>0</v>
      </c>
      <c r="P738">
        <f t="shared" si="159"/>
        <v>0</v>
      </c>
      <c r="Q738">
        <f t="shared" si="159"/>
        <v>0</v>
      </c>
      <c r="R738">
        <f t="shared" si="159"/>
        <v>0</v>
      </c>
      <c r="S738">
        <f t="shared" si="159"/>
        <v>0</v>
      </c>
      <c r="T738">
        <f t="shared" si="159"/>
        <v>0</v>
      </c>
      <c r="U738">
        <f t="shared" si="159"/>
        <v>0</v>
      </c>
      <c r="V738">
        <f t="shared" si="159"/>
        <v>0</v>
      </c>
      <c r="W738">
        <f t="shared" si="159"/>
        <v>0</v>
      </c>
      <c r="X738">
        <f t="shared" si="159"/>
        <v>0</v>
      </c>
      <c r="Y738">
        <f t="shared" si="158"/>
        <v>0</v>
      </c>
      <c r="Z738">
        <f t="shared" si="158"/>
        <v>0</v>
      </c>
      <c r="AA738">
        <f t="shared" si="158"/>
        <v>0</v>
      </c>
      <c r="AB738">
        <f t="shared" si="158"/>
        <v>0</v>
      </c>
      <c r="AC738">
        <f t="shared" si="158"/>
        <v>0</v>
      </c>
      <c r="AD738">
        <f t="shared" si="158"/>
        <v>0</v>
      </c>
      <c r="AE738">
        <f t="shared" si="158"/>
        <v>0</v>
      </c>
      <c r="AF738">
        <f t="shared" si="158"/>
        <v>4.5035100684270835E-5</v>
      </c>
      <c r="AG738">
        <f t="shared" si="158"/>
        <v>0</v>
      </c>
      <c r="AH738">
        <f t="shared" si="158"/>
        <v>0</v>
      </c>
      <c r="AI738">
        <f t="shared" si="158"/>
        <v>0</v>
      </c>
      <c r="AJ738">
        <f t="shared" si="158"/>
        <v>0</v>
      </c>
      <c r="AK738">
        <f t="shared" si="158"/>
        <v>0</v>
      </c>
      <c r="AL738">
        <f t="shared" si="158"/>
        <v>0</v>
      </c>
      <c r="AM738">
        <f t="shared" si="158"/>
        <v>0</v>
      </c>
      <c r="AN738">
        <f t="shared" si="160"/>
        <v>0</v>
      </c>
      <c r="AO738">
        <f t="shared" si="160"/>
        <v>0</v>
      </c>
      <c r="AP738">
        <f t="shared" si="160"/>
        <v>0</v>
      </c>
      <c r="AQ738">
        <f t="shared" si="160"/>
        <v>0</v>
      </c>
      <c r="AR738">
        <f t="shared" si="160"/>
        <v>0</v>
      </c>
    </row>
    <row r="739" spans="5:44" x14ac:dyDescent="0.2">
      <c r="E739" s="1">
        <f>moment_rate!$AC739</f>
        <v>2.5006359444174601E-4</v>
      </c>
      <c r="F739" s="1">
        <f t="shared" si="154"/>
        <v>4.157263760281961E-5</v>
      </c>
      <c r="G739">
        <f>moment_rate!I739-0.005</f>
        <v>7.3199999999998884</v>
      </c>
      <c r="H739" s="1">
        <f t="shared" si="155"/>
        <v>4.157263760281961E-5</v>
      </c>
      <c r="I739">
        <f t="shared" si="159"/>
        <v>0</v>
      </c>
      <c r="J739">
        <f t="shared" si="159"/>
        <v>0</v>
      </c>
      <c r="K739">
        <f t="shared" si="159"/>
        <v>0</v>
      </c>
      <c r="L739">
        <f t="shared" si="159"/>
        <v>0</v>
      </c>
      <c r="M739">
        <f t="shared" si="159"/>
        <v>0</v>
      </c>
      <c r="N739">
        <f t="shared" si="159"/>
        <v>0</v>
      </c>
      <c r="O739">
        <f t="shared" si="159"/>
        <v>0</v>
      </c>
      <c r="P739">
        <f t="shared" si="159"/>
        <v>0</v>
      </c>
      <c r="Q739">
        <f t="shared" si="159"/>
        <v>0</v>
      </c>
      <c r="R739">
        <f t="shared" si="159"/>
        <v>0</v>
      </c>
      <c r="S739">
        <f t="shared" si="159"/>
        <v>0</v>
      </c>
      <c r="T739">
        <f t="shared" si="159"/>
        <v>0</v>
      </c>
      <c r="U739">
        <f t="shared" si="159"/>
        <v>0</v>
      </c>
      <c r="V739">
        <f t="shared" si="159"/>
        <v>0</v>
      </c>
      <c r="W739">
        <f t="shared" si="159"/>
        <v>0</v>
      </c>
      <c r="X739">
        <f t="shared" si="159"/>
        <v>0</v>
      </c>
      <c r="Y739">
        <f t="shared" si="158"/>
        <v>0</v>
      </c>
      <c r="Z739">
        <f t="shared" si="158"/>
        <v>0</v>
      </c>
      <c r="AA739">
        <f t="shared" si="158"/>
        <v>0</v>
      </c>
      <c r="AB739">
        <f t="shared" si="158"/>
        <v>0</v>
      </c>
      <c r="AC739">
        <f t="shared" si="158"/>
        <v>0</v>
      </c>
      <c r="AD739">
        <f t="shared" si="158"/>
        <v>0</v>
      </c>
      <c r="AE739">
        <f t="shared" si="158"/>
        <v>0</v>
      </c>
      <c r="AF739">
        <f t="shared" si="158"/>
        <v>4.157263760281961E-5</v>
      </c>
      <c r="AG739">
        <f t="shared" si="158"/>
        <v>0</v>
      </c>
      <c r="AH739">
        <f t="shared" si="158"/>
        <v>0</v>
      </c>
      <c r="AI739">
        <f t="shared" si="158"/>
        <v>0</v>
      </c>
      <c r="AJ739">
        <f t="shared" si="158"/>
        <v>0</v>
      </c>
      <c r="AK739">
        <f t="shared" si="158"/>
        <v>0</v>
      </c>
      <c r="AL739">
        <f t="shared" si="158"/>
        <v>0</v>
      </c>
      <c r="AM739">
        <f t="shared" si="158"/>
        <v>0</v>
      </c>
      <c r="AN739">
        <f t="shared" si="160"/>
        <v>0</v>
      </c>
      <c r="AO739">
        <f t="shared" si="160"/>
        <v>0</v>
      </c>
      <c r="AP739">
        <f t="shared" si="160"/>
        <v>0</v>
      </c>
      <c r="AQ739">
        <f t="shared" si="160"/>
        <v>0</v>
      </c>
      <c r="AR739">
        <f t="shared" si="160"/>
        <v>0</v>
      </c>
    </row>
    <row r="740" spans="5:44" x14ac:dyDescent="0.2">
      <c r="E740" s="1">
        <f>moment_rate!$AC740</f>
        <v>2.084909568389264E-4</v>
      </c>
      <c r="F740" s="1">
        <f t="shared" si="154"/>
        <v>3.8280560206553339E-5</v>
      </c>
      <c r="G740">
        <f>moment_rate!I740-0.005</f>
        <v>7.3299999999998882</v>
      </c>
      <c r="H740" s="1">
        <f t="shared" si="155"/>
        <v>3.8280560206553339E-5</v>
      </c>
      <c r="I740">
        <f t="shared" si="159"/>
        <v>0</v>
      </c>
      <c r="J740">
        <f t="shared" si="159"/>
        <v>0</v>
      </c>
      <c r="K740">
        <f t="shared" si="159"/>
        <v>0</v>
      </c>
      <c r="L740">
        <f t="shared" si="159"/>
        <v>0</v>
      </c>
      <c r="M740">
        <f t="shared" si="159"/>
        <v>0</v>
      </c>
      <c r="N740">
        <f t="shared" si="159"/>
        <v>0</v>
      </c>
      <c r="O740">
        <f t="shared" si="159"/>
        <v>0</v>
      </c>
      <c r="P740">
        <f t="shared" si="159"/>
        <v>0</v>
      </c>
      <c r="Q740">
        <f t="shared" si="159"/>
        <v>0</v>
      </c>
      <c r="R740">
        <f t="shared" si="159"/>
        <v>0</v>
      </c>
      <c r="S740">
        <f t="shared" si="159"/>
        <v>0</v>
      </c>
      <c r="T740">
        <f t="shared" si="159"/>
        <v>0</v>
      </c>
      <c r="U740">
        <f t="shared" si="159"/>
        <v>0</v>
      </c>
      <c r="V740">
        <f t="shared" si="159"/>
        <v>0</v>
      </c>
      <c r="W740">
        <f t="shared" si="159"/>
        <v>0</v>
      </c>
      <c r="X740">
        <f t="shared" si="159"/>
        <v>0</v>
      </c>
      <c r="Y740">
        <f t="shared" si="158"/>
        <v>0</v>
      </c>
      <c r="Z740">
        <f t="shared" si="158"/>
        <v>0</v>
      </c>
      <c r="AA740">
        <f t="shared" si="158"/>
        <v>0</v>
      </c>
      <c r="AB740">
        <f t="shared" si="158"/>
        <v>0</v>
      </c>
      <c r="AC740">
        <f t="shared" si="158"/>
        <v>0</v>
      </c>
      <c r="AD740">
        <f t="shared" si="158"/>
        <v>0</v>
      </c>
      <c r="AE740">
        <f t="shared" si="158"/>
        <v>0</v>
      </c>
      <c r="AF740">
        <f t="shared" si="158"/>
        <v>3.8280560206553339E-5</v>
      </c>
      <c r="AG740">
        <f t="shared" si="158"/>
        <v>0</v>
      </c>
      <c r="AH740">
        <f t="shared" si="158"/>
        <v>0</v>
      </c>
      <c r="AI740">
        <f t="shared" si="158"/>
        <v>0</v>
      </c>
      <c r="AJ740">
        <f t="shared" si="158"/>
        <v>0</v>
      </c>
      <c r="AK740">
        <f t="shared" si="158"/>
        <v>0</v>
      </c>
      <c r="AL740">
        <f t="shared" si="158"/>
        <v>0</v>
      </c>
      <c r="AM740">
        <f t="shared" si="158"/>
        <v>0</v>
      </c>
      <c r="AN740">
        <f t="shared" si="160"/>
        <v>0</v>
      </c>
      <c r="AO740">
        <f t="shared" si="160"/>
        <v>0</v>
      </c>
      <c r="AP740">
        <f t="shared" si="160"/>
        <v>0</v>
      </c>
      <c r="AQ740">
        <f t="shared" si="160"/>
        <v>0</v>
      </c>
      <c r="AR740">
        <f t="shared" si="160"/>
        <v>0</v>
      </c>
    </row>
    <row r="741" spans="5:44" x14ac:dyDescent="0.2">
      <c r="E741" s="1">
        <f>moment_rate!$AC741</f>
        <v>1.7021039663237306E-4</v>
      </c>
      <c r="F741" s="1">
        <f t="shared" si="154"/>
        <v>3.516116480348989E-5</v>
      </c>
      <c r="G741">
        <f>moment_rate!I741-0.005</f>
        <v>7.3399999999998879</v>
      </c>
      <c r="H741" s="1">
        <f t="shared" si="155"/>
        <v>3.516116480348989E-5</v>
      </c>
      <c r="I741">
        <f t="shared" si="159"/>
        <v>0</v>
      </c>
      <c r="J741">
        <f t="shared" si="159"/>
        <v>0</v>
      </c>
      <c r="K741">
        <f t="shared" si="159"/>
        <v>0</v>
      </c>
      <c r="L741">
        <f t="shared" si="159"/>
        <v>0</v>
      </c>
      <c r="M741">
        <f t="shared" si="159"/>
        <v>0</v>
      </c>
      <c r="N741">
        <f t="shared" si="159"/>
        <v>0</v>
      </c>
      <c r="O741">
        <f t="shared" si="159"/>
        <v>0</v>
      </c>
      <c r="P741">
        <f t="shared" si="159"/>
        <v>0</v>
      </c>
      <c r="Q741">
        <f t="shared" si="159"/>
        <v>0</v>
      </c>
      <c r="R741">
        <f t="shared" si="159"/>
        <v>0</v>
      </c>
      <c r="S741">
        <f t="shared" si="159"/>
        <v>0</v>
      </c>
      <c r="T741">
        <f t="shared" si="159"/>
        <v>0</v>
      </c>
      <c r="U741">
        <f t="shared" si="159"/>
        <v>0</v>
      </c>
      <c r="V741">
        <f t="shared" si="159"/>
        <v>0</v>
      </c>
      <c r="W741">
        <f t="shared" si="159"/>
        <v>0</v>
      </c>
      <c r="X741">
        <f t="shared" si="159"/>
        <v>0</v>
      </c>
      <c r="Y741">
        <f t="shared" si="158"/>
        <v>0</v>
      </c>
      <c r="Z741">
        <f t="shared" si="158"/>
        <v>0</v>
      </c>
      <c r="AA741">
        <f t="shared" si="158"/>
        <v>0</v>
      </c>
      <c r="AB741">
        <f t="shared" si="158"/>
        <v>0</v>
      </c>
      <c r="AC741">
        <f t="shared" si="158"/>
        <v>0</v>
      </c>
      <c r="AD741">
        <f t="shared" si="158"/>
        <v>0</v>
      </c>
      <c r="AE741">
        <f t="shared" si="158"/>
        <v>0</v>
      </c>
      <c r="AF741">
        <f t="shared" si="158"/>
        <v>3.516116480348989E-5</v>
      </c>
      <c r="AG741">
        <f t="shared" si="158"/>
        <v>0</v>
      </c>
      <c r="AH741">
        <f t="shared" si="158"/>
        <v>0</v>
      </c>
      <c r="AI741">
        <f t="shared" si="158"/>
        <v>0</v>
      </c>
      <c r="AJ741">
        <f t="shared" si="158"/>
        <v>0</v>
      </c>
      <c r="AK741">
        <f t="shared" si="158"/>
        <v>0</v>
      </c>
      <c r="AL741">
        <f t="shared" si="158"/>
        <v>0</v>
      </c>
      <c r="AM741">
        <f t="shared" si="158"/>
        <v>0</v>
      </c>
      <c r="AN741">
        <f t="shared" si="160"/>
        <v>0</v>
      </c>
      <c r="AO741">
        <f t="shared" si="160"/>
        <v>0</v>
      </c>
      <c r="AP741">
        <f t="shared" si="160"/>
        <v>0</v>
      </c>
      <c r="AQ741">
        <f t="shared" si="160"/>
        <v>0</v>
      </c>
      <c r="AR741">
        <f t="shared" si="160"/>
        <v>0</v>
      </c>
    </row>
    <row r="742" spans="5:44" x14ac:dyDescent="0.2">
      <c r="E742" s="1">
        <f>moment_rate!$AC742</f>
        <v>1.3504923182888317E-4</v>
      </c>
      <c r="F742" s="1">
        <f t="shared" si="154"/>
        <v>3.221532274218503E-5</v>
      </c>
      <c r="G742">
        <f>moment_rate!I742-0.005</f>
        <v>7.3499999999998877</v>
      </c>
      <c r="H742" s="1">
        <f t="shared" si="155"/>
        <v>3.221532274218503E-5</v>
      </c>
      <c r="I742">
        <f t="shared" si="159"/>
        <v>0</v>
      </c>
      <c r="J742">
        <f t="shared" si="159"/>
        <v>0</v>
      </c>
      <c r="K742">
        <f t="shared" si="159"/>
        <v>0</v>
      </c>
      <c r="L742">
        <f t="shared" si="159"/>
        <v>0</v>
      </c>
      <c r="M742">
        <f t="shared" si="159"/>
        <v>0</v>
      </c>
      <c r="N742">
        <f t="shared" si="159"/>
        <v>0</v>
      </c>
      <c r="O742">
        <f t="shared" si="159"/>
        <v>0</v>
      </c>
      <c r="P742">
        <f t="shared" si="159"/>
        <v>0</v>
      </c>
      <c r="Q742">
        <f t="shared" si="159"/>
        <v>0</v>
      </c>
      <c r="R742">
        <f t="shared" si="159"/>
        <v>0</v>
      </c>
      <c r="S742">
        <f t="shared" si="159"/>
        <v>0</v>
      </c>
      <c r="T742">
        <f t="shared" si="159"/>
        <v>0</v>
      </c>
      <c r="U742">
        <f t="shared" si="159"/>
        <v>0</v>
      </c>
      <c r="V742">
        <f t="shared" si="159"/>
        <v>0</v>
      </c>
      <c r="W742">
        <f t="shared" si="159"/>
        <v>0</v>
      </c>
      <c r="X742">
        <f t="shared" si="159"/>
        <v>0</v>
      </c>
      <c r="Y742">
        <f t="shared" si="158"/>
        <v>0</v>
      </c>
      <c r="Z742">
        <f t="shared" si="158"/>
        <v>0</v>
      </c>
      <c r="AA742">
        <f t="shared" si="158"/>
        <v>0</v>
      </c>
      <c r="AB742">
        <f t="shared" si="158"/>
        <v>0</v>
      </c>
      <c r="AC742">
        <f t="shared" si="158"/>
        <v>0</v>
      </c>
      <c r="AD742">
        <f t="shared" si="158"/>
        <v>0</v>
      </c>
      <c r="AE742">
        <f t="shared" si="158"/>
        <v>0</v>
      </c>
      <c r="AF742">
        <f t="shared" si="158"/>
        <v>3.221532274218503E-5</v>
      </c>
      <c r="AG742">
        <f t="shared" si="158"/>
        <v>0</v>
      </c>
      <c r="AH742">
        <f t="shared" si="158"/>
        <v>0</v>
      </c>
      <c r="AI742">
        <f t="shared" si="158"/>
        <v>0</v>
      </c>
      <c r="AJ742">
        <f t="shared" si="158"/>
        <v>0</v>
      </c>
      <c r="AK742">
        <f t="shared" si="158"/>
        <v>0</v>
      </c>
      <c r="AL742">
        <f t="shared" si="158"/>
        <v>0</v>
      </c>
      <c r="AM742">
        <f t="shared" si="158"/>
        <v>0</v>
      </c>
      <c r="AN742">
        <f t="shared" si="160"/>
        <v>0</v>
      </c>
      <c r="AO742">
        <f t="shared" si="160"/>
        <v>0</v>
      </c>
      <c r="AP742">
        <f t="shared" si="160"/>
        <v>0</v>
      </c>
      <c r="AQ742">
        <f t="shared" si="160"/>
        <v>0</v>
      </c>
      <c r="AR742">
        <f t="shared" si="160"/>
        <v>0</v>
      </c>
    </row>
    <row r="743" spans="5:44" x14ac:dyDescent="0.2">
      <c r="E743" s="1">
        <f>moment_rate!$AC743</f>
        <v>1.0283390908669814E-4</v>
      </c>
      <c r="F743" s="1">
        <f t="shared" si="154"/>
        <v>2.9442588097661166E-5</v>
      </c>
      <c r="G743">
        <f>moment_rate!I743-0.005</f>
        <v>7.3599999999998875</v>
      </c>
      <c r="H743" s="1">
        <f t="shared" si="155"/>
        <v>2.9442588097661166E-5</v>
      </c>
      <c r="I743">
        <f t="shared" si="159"/>
        <v>0</v>
      </c>
      <c r="J743">
        <f t="shared" si="159"/>
        <v>0</v>
      </c>
      <c r="K743">
        <f t="shared" si="159"/>
        <v>0</v>
      </c>
      <c r="L743">
        <f t="shared" si="159"/>
        <v>0</v>
      </c>
      <c r="M743">
        <f t="shared" si="159"/>
        <v>0</v>
      </c>
      <c r="N743">
        <f t="shared" si="159"/>
        <v>0</v>
      </c>
      <c r="O743">
        <f t="shared" si="159"/>
        <v>0</v>
      </c>
      <c r="P743">
        <f t="shared" si="159"/>
        <v>0</v>
      </c>
      <c r="Q743">
        <f t="shared" si="159"/>
        <v>0</v>
      </c>
      <c r="R743">
        <f t="shared" si="159"/>
        <v>0</v>
      </c>
      <c r="S743">
        <f t="shared" si="159"/>
        <v>0</v>
      </c>
      <c r="T743">
        <f t="shared" si="159"/>
        <v>0</v>
      </c>
      <c r="U743">
        <f t="shared" si="159"/>
        <v>0</v>
      </c>
      <c r="V743">
        <f t="shared" si="159"/>
        <v>0</v>
      </c>
      <c r="W743">
        <f t="shared" si="159"/>
        <v>0</v>
      </c>
      <c r="X743">
        <f t="shared" si="159"/>
        <v>0</v>
      </c>
      <c r="Y743">
        <f t="shared" si="158"/>
        <v>0</v>
      </c>
      <c r="Z743">
        <f t="shared" si="158"/>
        <v>0</v>
      </c>
      <c r="AA743">
        <f t="shared" si="158"/>
        <v>0</v>
      </c>
      <c r="AB743">
        <f t="shared" si="158"/>
        <v>0</v>
      </c>
      <c r="AC743">
        <f t="shared" si="158"/>
        <v>0</v>
      </c>
      <c r="AD743">
        <f t="shared" si="158"/>
        <v>0</v>
      </c>
      <c r="AE743">
        <f t="shared" si="158"/>
        <v>0</v>
      </c>
      <c r="AF743">
        <f t="shared" si="158"/>
        <v>2.9442588097661166E-5</v>
      </c>
      <c r="AG743">
        <f t="shared" si="158"/>
        <v>0</v>
      </c>
      <c r="AH743">
        <f t="shared" si="158"/>
        <v>0</v>
      </c>
      <c r="AI743">
        <f t="shared" si="158"/>
        <v>0</v>
      </c>
      <c r="AJ743">
        <f t="shared" si="158"/>
        <v>0</v>
      </c>
      <c r="AK743">
        <f t="shared" si="158"/>
        <v>0</v>
      </c>
      <c r="AL743">
        <f t="shared" si="158"/>
        <v>0</v>
      </c>
      <c r="AM743">
        <f t="shared" si="158"/>
        <v>0</v>
      </c>
      <c r="AN743">
        <f t="shared" si="160"/>
        <v>0</v>
      </c>
      <c r="AO743">
        <f t="shared" si="160"/>
        <v>0</v>
      </c>
      <c r="AP743">
        <f t="shared" si="160"/>
        <v>0</v>
      </c>
      <c r="AQ743">
        <f t="shared" si="160"/>
        <v>0</v>
      </c>
      <c r="AR743">
        <f t="shared" si="160"/>
        <v>0</v>
      </c>
    </row>
    <row r="744" spans="5:44" x14ac:dyDescent="0.2">
      <c r="E744" s="1">
        <f>moment_rate!$AC744</f>
        <v>7.3391320989036975E-5</v>
      </c>
      <c r="F744" s="1">
        <f t="shared" si="154"/>
        <v>2.6841312207985277E-5</v>
      </c>
      <c r="G744">
        <f>moment_rate!I744-0.005</f>
        <v>7.3699999999998873</v>
      </c>
      <c r="H744" s="1">
        <f t="shared" si="155"/>
        <v>2.6841312207985277E-5</v>
      </c>
      <c r="I744">
        <f t="shared" si="159"/>
        <v>0</v>
      </c>
      <c r="J744">
        <f t="shared" si="159"/>
        <v>0</v>
      </c>
      <c r="K744">
        <f t="shared" si="159"/>
        <v>0</v>
      </c>
      <c r="L744">
        <f t="shared" si="159"/>
        <v>0</v>
      </c>
      <c r="M744">
        <f t="shared" si="159"/>
        <v>0</v>
      </c>
      <c r="N744">
        <f t="shared" si="159"/>
        <v>0</v>
      </c>
      <c r="O744">
        <f t="shared" si="159"/>
        <v>0</v>
      </c>
      <c r="P744">
        <f t="shared" si="159"/>
        <v>0</v>
      </c>
      <c r="Q744">
        <f t="shared" si="159"/>
        <v>0</v>
      </c>
      <c r="R744">
        <f t="shared" si="159"/>
        <v>0</v>
      </c>
      <c r="S744">
        <f t="shared" si="159"/>
        <v>0</v>
      </c>
      <c r="T744">
        <f t="shared" si="159"/>
        <v>0</v>
      </c>
      <c r="U744">
        <f t="shared" si="159"/>
        <v>0</v>
      </c>
      <c r="V744">
        <f t="shared" si="159"/>
        <v>0</v>
      </c>
      <c r="W744">
        <f t="shared" si="159"/>
        <v>0</v>
      </c>
      <c r="X744">
        <f t="shared" si="159"/>
        <v>0</v>
      </c>
      <c r="Y744">
        <f t="shared" si="158"/>
        <v>0</v>
      </c>
      <c r="Z744">
        <f t="shared" si="158"/>
        <v>0</v>
      </c>
      <c r="AA744">
        <f t="shared" si="158"/>
        <v>0</v>
      </c>
      <c r="AB744">
        <f t="shared" si="158"/>
        <v>0</v>
      </c>
      <c r="AC744">
        <f t="shared" si="158"/>
        <v>0</v>
      </c>
      <c r="AD744">
        <f t="shared" si="158"/>
        <v>0</v>
      </c>
      <c r="AE744">
        <f t="shared" si="158"/>
        <v>0</v>
      </c>
      <c r="AF744">
        <f t="shared" si="158"/>
        <v>2.6841312207985277E-5</v>
      </c>
      <c r="AG744">
        <f t="shared" si="158"/>
        <v>0</v>
      </c>
      <c r="AH744">
        <f t="shared" si="158"/>
        <v>0</v>
      </c>
      <c r="AI744">
        <f t="shared" si="158"/>
        <v>0</v>
      </c>
      <c r="AJ744">
        <f t="shared" si="158"/>
        <v>0</v>
      </c>
      <c r="AK744">
        <f t="shared" si="158"/>
        <v>0</v>
      </c>
      <c r="AL744">
        <f t="shared" si="158"/>
        <v>0</v>
      </c>
      <c r="AM744">
        <f t="shared" si="158"/>
        <v>0</v>
      </c>
      <c r="AN744">
        <f t="shared" si="160"/>
        <v>0</v>
      </c>
      <c r="AO744">
        <f t="shared" si="160"/>
        <v>0</v>
      </c>
      <c r="AP744">
        <f t="shared" si="160"/>
        <v>0</v>
      </c>
      <c r="AQ744">
        <f t="shared" si="160"/>
        <v>0</v>
      </c>
      <c r="AR744">
        <f t="shared" si="160"/>
        <v>0</v>
      </c>
    </row>
    <row r="745" spans="5:44" x14ac:dyDescent="0.2">
      <c r="E745" s="1">
        <f>moment_rate!$AC745</f>
        <v>4.6550008781051698E-5</v>
      </c>
      <c r="F745" s="1">
        <f t="shared" si="154"/>
        <v>2.4408762847554281E-5</v>
      </c>
      <c r="G745">
        <f>moment_rate!I745-0.005</f>
        <v>7.3799999999998871</v>
      </c>
      <c r="H745" s="1">
        <f t="shared" si="155"/>
        <v>2.4408762847554281E-5</v>
      </c>
      <c r="I745">
        <f t="shared" si="159"/>
        <v>0</v>
      </c>
      <c r="J745">
        <f t="shared" si="159"/>
        <v>0</v>
      </c>
      <c r="K745">
        <f t="shared" si="159"/>
        <v>0</v>
      </c>
      <c r="L745">
        <f t="shared" si="159"/>
        <v>0</v>
      </c>
      <c r="M745">
        <f t="shared" si="159"/>
        <v>0</v>
      </c>
      <c r="N745">
        <f t="shared" si="159"/>
        <v>0</v>
      </c>
      <c r="O745">
        <f t="shared" si="159"/>
        <v>0</v>
      </c>
      <c r="P745">
        <f t="shared" si="159"/>
        <v>0</v>
      </c>
      <c r="Q745">
        <f t="shared" si="159"/>
        <v>0</v>
      </c>
      <c r="R745">
        <f t="shared" si="159"/>
        <v>0</v>
      </c>
      <c r="S745">
        <f t="shared" si="159"/>
        <v>0</v>
      </c>
      <c r="T745">
        <f t="shared" si="159"/>
        <v>0</v>
      </c>
      <c r="U745">
        <f t="shared" si="159"/>
        <v>0</v>
      </c>
      <c r="V745">
        <f t="shared" si="159"/>
        <v>0</v>
      </c>
      <c r="W745">
        <f t="shared" si="159"/>
        <v>0</v>
      </c>
      <c r="X745">
        <f t="shared" si="159"/>
        <v>0</v>
      </c>
      <c r="Y745">
        <f t="shared" si="158"/>
        <v>0</v>
      </c>
      <c r="Z745">
        <f t="shared" si="158"/>
        <v>0</v>
      </c>
      <c r="AA745">
        <f t="shared" si="158"/>
        <v>0</v>
      </c>
      <c r="AB745">
        <f t="shared" si="158"/>
        <v>0</v>
      </c>
      <c r="AC745">
        <f t="shared" si="158"/>
        <v>0</v>
      </c>
      <c r="AD745">
        <f t="shared" si="158"/>
        <v>0</v>
      </c>
      <c r="AE745">
        <f t="shared" si="158"/>
        <v>0</v>
      </c>
      <c r="AF745">
        <f t="shared" si="158"/>
        <v>2.4408762847554281E-5</v>
      </c>
      <c r="AG745">
        <f t="shared" si="158"/>
        <v>0</v>
      </c>
      <c r="AH745">
        <f t="shared" si="158"/>
        <v>0</v>
      </c>
      <c r="AI745">
        <f t="shared" si="158"/>
        <v>0</v>
      </c>
      <c r="AJ745">
        <f t="shared" si="158"/>
        <v>0</v>
      </c>
      <c r="AK745">
        <f t="shared" si="158"/>
        <v>0</v>
      </c>
      <c r="AL745">
        <f t="shared" si="158"/>
        <v>0</v>
      </c>
      <c r="AM745">
        <f t="shared" si="158"/>
        <v>0</v>
      </c>
      <c r="AN745">
        <f t="shared" si="160"/>
        <v>0</v>
      </c>
      <c r="AO745">
        <f t="shared" si="160"/>
        <v>0</v>
      </c>
      <c r="AP745">
        <f t="shared" si="160"/>
        <v>0</v>
      </c>
      <c r="AQ745">
        <f t="shared" si="160"/>
        <v>0</v>
      </c>
      <c r="AR745">
        <f t="shared" si="160"/>
        <v>0</v>
      </c>
    </row>
    <row r="746" spans="5:44" x14ac:dyDescent="0.2">
      <c r="E746" s="1">
        <f>moment_rate!$AC746</f>
        <v>2.2141245933497417E-5</v>
      </c>
      <c r="F746" s="1">
        <f t="shared" si="154"/>
        <v>2.2141245933497417E-5</v>
      </c>
      <c r="G746">
        <f>moment_rate!I746-0.005</f>
        <v>7.3899999999998869</v>
      </c>
      <c r="H746" s="1">
        <f t="shared" si="155"/>
        <v>2.2141245933497417E-5</v>
      </c>
      <c r="I746">
        <f t="shared" si="159"/>
        <v>0</v>
      </c>
      <c r="J746">
        <f t="shared" si="159"/>
        <v>0</v>
      </c>
      <c r="K746">
        <f t="shared" si="159"/>
        <v>0</v>
      </c>
      <c r="L746">
        <f t="shared" si="159"/>
        <v>0</v>
      </c>
      <c r="M746">
        <f t="shared" si="159"/>
        <v>0</v>
      </c>
      <c r="N746">
        <f t="shared" si="159"/>
        <v>0</v>
      </c>
      <c r="O746">
        <f t="shared" si="159"/>
        <v>0</v>
      </c>
      <c r="P746">
        <f t="shared" si="159"/>
        <v>0</v>
      </c>
      <c r="Q746">
        <f t="shared" si="159"/>
        <v>0</v>
      </c>
      <c r="R746">
        <f t="shared" si="159"/>
        <v>0</v>
      </c>
      <c r="S746">
        <f t="shared" si="159"/>
        <v>0</v>
      </c>
      <c r="T746">
        <f t="shared" si="159"/>
        <v>0</v>
      </c>
      <c r="U746">
        <f t="shared" si="159"/>
        <v>0</v>
      </c>
      <c r="V746">
        <f t="shared" si="159"/>
        <v>0</v>
      </c>
      <c r="W746">
        <f t="shared" si="159"/>
        <v>0</v>
      </c>
      <c r="X746">
        <f t="shared" ref="X746:AJ761" si="161">IF(AND($G746&gt;=X$3,$G746&lt;X$4),$F746,0)</f>
        <v>0</v>
      </c>
      <c r="Y746">
        <f t="shared" si="161"/>
        <v>0</v>
      </c>
      <c r="Z746">
        <f t="shared" si="161"/>
        <v>0</v>
      </c>
      <c r="AA746">
        <f t="shared" si="161"/>
        <v>0</v>
      </c>
      <c r="AB746">
        <f t="shared" si="161"/>
        <v>0</v>
      </c>
      <c r="AC746">
        <f t="shared" si="161"/>
        <v>0</v>
      </c>
      <c r="AD746">
        <f t="shared" si="161"/>
        <v>0</v>
      </c>
      <c r="AE746">
        <f t="shared" si="161"/>
        <v>0</v>
      </c>
      <c r="AF746">
        <f t="shared" si="161"/>
        <v>2.2141245933497417E-5</v>
      </c>
      <c r="AG746">
        <f t="shared" si="161"/>
        <v>0</v>
      </c>
      <c r="AH746">
        <f t="shared" si="161"/>
        <v>0</v>
      </c>
      <c r="AI746">
        <f t="shared" si="161"/>
        <v>0</v>
      </c>
      <c r="AJ746">
        <f t="shared" si="161"/>
        <v>0</v>
      </c>
      <c r="AK746">
        <f t="shared" si="158"/>
        <v>0</v>
      </c>
      <c r="AL746">
        <f t="shared" si="158"/>
        <v>0</v>
      </c>
      <c r="AM746">
        <f t="shared" si="158"/>
        <v>0</v>
      </c>
      <c r="AN746">
        <f t="shared" si="160"/>
        <v>0</v>
      </c>
      <c r="AO746">
        <f t="shared" si="160"/>
        <v>0</v>
      </c>
      <c r="AP746">
        <f t="shared" si="160"/>
        <v>0</v>
      </c>
      <c r="AQ746">
        <f t="shared" si="160"/>
        <v>0</v>
      </c>
      <c r="AR746">
        <f t="shared" si="160"/>
        <v>0</v>
      </c>
    </row>
    <row r="747" spans="5:44" x14ac:dyDescent="0.2">
      <c r="E747" s="1">
        <f>moment_rate!$AC747</f>
        <v>0</v>
      </c>
      <c r="F747" s="1">
        <f t="shared" si="154"/>
        <v>0</v>
      </c>
      <c r="G747">
        <f>moment_rate!I747-0.005</f>
        <v>7.3999999999998867</v>
      </c>
      <c r="H747" s="1">
        <f t="shared" si="155"/>
        <v>0</v>
      </c>
      <c r="I747">
        <f t="shared" ref="I747:X762" si="162">IF(AND($G747&gt;=I$3,$G747&lt;I$4),$F747,0)</f>
        <v>0</v>
      </c>
      <c r="J747">
        <f t="shared" si="162"/>
        <v>0</v>
      </c>
      <c r="K747">
        <f t="shared" si="162"/>
        <v>0</v>
      </c>
      <c r="L747">
        <f t="shared" si="162"/>
        <v>0</v>
      </c>
      <c r="M747">
        <f t="shared" si="162"/>
        <v>0</v>
      </c>
      <c r="N747">
        <f t="shared" si="162"/>
        <v>0</v>
      </c>
      <c r="O747">
        <f t="shared" si="162"/>
        <v>0</v>
      </c>
      <c r="P747">
        <f t="shared" si="162"/>
        <v>0</v>
      </c>
      <c r="Q747">
        <f t="shared" si="162"/>
        <v>0</v>
      </c>
      <c r="R747">
        <f t="shared" si="162"/>
        <v>0</v>
      </c>
      <c r="S747">
        <f t="shared" si="162"/>
        <v>0</v>
      </c>
      <c r="T747">
        <f t="shared" si="162"/>
        <v>0</v>
      </c>
      <c r="U747">
        <f t="shared" si="162"/>
        <v>0</v>
      </c>
      <c r="V747">
        <f t="shared" si="162"/>
        <v>0</v>
      </c>
      <c r="W747">
        <f t="shared" si="162"/>
        <v>0</v>
      </c>
      <c r="X747">
        <f t="shared" si="162"/>
        <v>0</v>
      </c>
      <c r="Y747">
        <f t="shared" si="161"/>
        <v>0</v>
      </c>
      <c r="Z747">
        <f t="shared" si="161"/>
        <v>0</v>
      </c>
      <c r="AA747">
        <f t="shared" si="161"/>
        <v>0</v>
      </c>
      <c r="AB747">
        <f t="shared" si="161"/>
        <v>0</v>
      </c>
      <c r="AC747">
        <f t="shared" si="161"/>
        <v>0</v>
      </c>
      <c r="AD747">
        <f t="shared" si="161"/>
        <v>0</v>
      </c>
      <c r="AE747">
        <f t="shared" si="161"/>
        <v>0</v>
      </c>
      <c r="AF747">
        <f t="shared" si="161"/>
        <v>0</v>
      </c>
      <c r="AG747">
        <f t="shared" si="161"/>
        <v>0</v>
      </c>
      <c r="AH747">
        <f t="shared" si="161"/>
        <v>0</v>
      </c>
      <c r="AI747">
        <f t="shared" si="161"/>
        <v>0</v>
      </c>
      <c r="AJ747">
        <f t="shared" si="161"/>
        <v>0</v>
      </c>
      <c r="AK747">
        <f t="shared" si="158"/>
        <v>0</v>
      </c>
      <c r="AL747">
        <f t="shared" si="158"/>
        <v>0</v>
      </c>
      <c r="AM747">
        <f t="shared" si="158"/>
        <v>0</v>
      </c>
      <c r="AN747">
        <f t="shared" si="160"/>
        <v>0</v>
      </c>
      <c r="AO747">
        <f t="shared" si="160"/>
        <v>0</v>
      </c>
      <c r="AP747">
        <f t="shared" si="160"/>
        <v>0</v>
      </c>
      <c r="AQ747">
        <f t="shared" si="160"/>
        <v>0</v>
      </c>
      <c r="AR747">
        <f t="shared" si="160"/>
        <v>0</v>
      </c>
    </row>
    <row r="748" spans="5:44" x14ac:dyDescent="0.2">
      <c r="E748" s="1">
        <f>moment_rate!$AC748</f>
        <v>0</v>
      </c>
      <c r="F748" s="1">
        <f t="shared" si="154"/>
        <v>0</v>
      </c>
      <c r="G748">
        <f>moment_rate!I748-0.005</f>
        <v>7.4099999999998865</v>
      </c>
      <c r="H748" s="1">
        <f t="shared" si="155"/>
        <v>0</v>
      </c>
      <c r="I748">
        <f t="shared" si="162"/>
        <v>0</v>
      </c>
      <c r="J748">
        <f t="shared" si="162"/>
        <v>0</v>
      </c>
      <c r="K748">
        <f t="shared" si="162"/>
        <v>0</v>
      </c>
      <c r="L748">
        <f t="shared" si="162"/>
        <v>0</v>
      </c>
      <c r="M748">
        <f t="shared" si="162"/>
        <v>0</v>
      </c>
      <c r="N748">
        <f t="shared" si="162"/>
        <v>0</v>
      </c>
      <c r="O748">
        <f t="shared" si="162"/>
        <v>0</v>
      </c>
      <c r="P748">
        <f t="shared" si="162"/>
        <v>0</v>
      </c>
      <c r="Q748">
        <f t="shared" si="162"/>
        <v>0</v>
      </c>
      <c r="R748">
        <f t="shared" si="162"/>
        <v>0</v>
      </c>
      <c r="S748">
        <f t="shared" si="162"/>
        <v>0</v>
      </c>
      <c r="T748">
        <f t="shared" si="162"/>
        <v>0</v>
      </c>
      <c r="U748">
        <f t="shared" si="162"/>
        <v>0</v>
      </c>
      <c r="V748">
        <f t="shared" si="162"/>
        <v>0</v>
      </c>
      <c r="W748">
        <f t="shared" si="162"/>
        <v>0</v>
      </c>
      <c r="X748">
        <f t="shared" si="162"/>
        <v>0</v>
      </c>
      <c r="Y748">
        <f t="shared" si="161"/>
        <v>0</v>
      </c>
      <c r="Z748">
        <f t="shared" si="161"/>
        <v>0</v>
      </c>
      <c r="AA748">
        <f t="shared" si="161"/>
        <v>0</v>
      </c>
      <c r="AB748">
        <f t="shared" si="161"/>
        <v>0</v>
      </c>
      <c r="AC748">
        <f t="shared" si="161"/>
        <v>0</v>
      </c>
      <c r="AD748">
        <f t="shared" si="161"/>
        <v>0</v>
      </c>
      <c r="AE748">
        <f t="shared" si="161"/>
        <v>0</v>
      </c>
      <c r="AF748">
        <f t="shared" si="161"/>
        <v>0</v>
      </c>
      <c r="AG748">
        <f t="shared" si="161"/>
        <v>0</v>
      </c>
      <c r="AH748">
        <f t="shared" si="161"/>
        <v>0</v>
      </c>
      <c r="AI748">
        <f t="shared" si="161"/>
        <v>0</v>
      </c>
      <c r="AJ748">
        <f t="shared" si="161"/>
        <v>0</v>
      </c>
      <c r="AK748">
        <f t="shared" si="158"/>
        <v>0</v>
      </c>
      <c r="AL748">
        <f t="shared" si="158"/>
        <v>0</v>
      </c>
      <c r="AM748">
        <f t="shared" si="158"/>
        <v>0</v>
      </c>
      <c r="AN748">
        <f t="shared" si="160"/>
        <v>0</v>
      </c>
      <c r="AO748">
        <f t="shared" si="160"/>
        <v>0</v>
      </c>
      <c r="AP748">
        <f t="shared" si="160"/>
        <v>0</v>
      </c>
      <c r="AQ748">
        <f t="shared" si="160"/>
        <v>0</v>
      </c>
      <c r="AR748">
        <f t="shared" si="160"/>
        <v>0</v>
      </c>
    </row>
    <row r="749" spans="5:44" x14ac:dyDescent="0.2">
      <c r="E749" s="1">
        <f>moment_rate!$AC749</f>
        <v>0</v>
      </c>
      <c r="F749" s="1">
        <f t="shared" si="154"/>
        <v>0</v>
      </c>
      <c r="G749">
        <f>moment_rate!I749-0.005</f>
        <v>7.4199999999998862</v>
      </c>
      <c r="H749" s="1">
        <f t="shared" si="155"/>
        <v>0</v>
      </c>
      <c r="I749">
        <f t="shared" si="162"/>
        <v>0</v>
      </c>
      <c r="J749">
        <f t="shared" si="162"/>
        <v>0</v>
      </c>
      <c r="K749">
        <f t="shared" si="162"/>
        <v>0</v>
      </c>
      <c r="L749">
        <f t="shared" si="162"/>
        <v>0</v>
      </c>
      <c r="M749">
        <f t="shared" si="162"/>
        <v>0</v>
      </c>
      <c r="N749">
        <f t="shared" si="162"/>
        <v>0</v>
      </c>
      <c r="O749">
        <f t="shared" si="162"/>
        <v>0</v>
      </c>
      <c r="P749">
        <f t="shared" si="162"/>
        <v>0</v>
      </c>
      <c r="Q749">
        <f t="shared" si="162"/>
        <v>0</v>
      </c>
      <c r="R749">
        <f t="shared" si="162"/>
        <v>0</v>
      </c>
      <c r="S749">
        <f t="shared" si="162"/>
        <v>0</v>
      </c>
      <c r="T749">
        <f t="shared" si="162"/>
        <v>0</v>
      </c>
      <c r="U749">
        <f t="shared" si="162"/>
        <v>0</v>
      </c>
      <c r="V749">
        <f t="shared" si="162"/>
        <v>0</v>
      </c>
      <c r="W749">
        <f t="shared" si="162"/>
        <v>0</v>
      </c>
      <c r="X749">
        <f t="shared" si="162"/>
        <v>0</v>
      </c>
      <c r="Y749">
        <f t="shared" si="161"/>
        <v>0</v>
      </c>
      <c r="Z749">
        <f t="shared" si="161"/>
        <v>0</v>
      </c>
      <c r="AA749">
        <f t="shared" si="161"/>
        <v>0</v>
      </c>
      <c r="AB749">
        <f t="shared" si="161"/>
        <v>0</v>
      </c>
      <c r="AC749">
        <f t="shared" si="161"/>
        <v>0</v>
      </c>
      <c r="AD749">
        <f t="shared" si="161"/>
        <v>0</v>
      </c>
      <c r="AE749">
        <f t="shared" si="161"/>
        <v>0</v>
      </c>
      <c r="AF749">
        <f t="shared" si="161"/>
        <v>0</v>
      </c>
      <c r="AG749">
        <f t="shared" si="161"/>
        <v>0</v>
      </c>
      <c r="AH749">
        <f t="shared" si="161"/>
        <v>0</v>
      </c>
      <c r="AI749">
        <f t="shared" si="161"/>
        <v>0</v>
      </c>
      <c r="AJ749">
        <f t="shared" si="161"/>
        <v>0</v>
      </c>
      <c r="AK749">
        <f t="shared" si="158"/>
        <v>0</v>
      </c>
      <c r="AL749">
        <f t="shared" si="158"/>
        <v>0</v>
      </c>
      <c r="AM749">
        <f t="shared" si="158"/>
        <v>0</v>
      </c>
      <c r="AN749">
        <f t="shared" si="160"/>
        <v>0</v>
      </c>
      <c r="AO749">
        <f t="shared" si="160"/>
        <v>0</v>
      </c>
      <c r="AP749">
        <f t="shared" si="160"/>
        <v>0</v>
      </c>
      <c r="AQ749">
        <f t="shared" si="160"/>
        <v>0</v>
      </c>
      <c r="AR749">
        <f t="shared" si="160"/>
        <v>0</v>
      </c>
    </row>
    <row r="750" spans="5:44" x14ac:dyDescent="0.2">
      <c r="E750" s="1">
        <f>moment_rate!$AC750</f>
        <v>0</v>
      </c>
      <c r="F750" s="1">
        <f t="shared" si="154"/>
        <v>0</v>
      </c>
      <c r="G750">
        <f>moment_rate!I750-0.005</f>
        <v>7.429999999999886</v>
      </c>
      <c r="H750" s="1">
        <f t="shared" si="155"/>
        <v>0</v>
      </c>
      <c r="I750">
        <f t="shared" si="162"/>
        <v>0</v>
      </c>
      <c r="J750">
        <f t="shared" si="162"/>
        <v>0</v>
      </c>
      <c r="K750">
        <f t="shared" si="162"/>
        <v>0</v>
      </c>
      <c r="L750">
        <f t="shared" si="162"/>
        <v>0</v>
      </c>
      <c r="M750">
        <f t="shared" si="162"/>
        <v>0</v>
      </c>
      <c r="N750">
        <f t="shared" si="162"/>
        <v>0</v>
      </c>
      <c r="O750">
        <f t="shared" si="162"/>
        <v>0</v>
      </c>
      <c r="P750">
        <f t="shared" si="162"/>
        <v>0</v>
      </c>
      <c r="Q750">
        <f t="shared" si="162"/>
        <v>0</v>
      </c>
      <c r="R750">
        <f t="shared" si="162"/>
        <v>0</v>
      </c>
      <c r="S750">
        <f t="shared" si="162"/>
        <v>0</v>
      </c>
      <c r="T750">
        <f t="shared" si="162"/>
        <v>0</v>
      </c>
      <c r="U750">
        <f t="shared" si="162"/>
        <v>0</v>
      </c>
      <c r="V750">
        <f t="shared" si="162"/>
        <v>0</v>
      </c>
      <c r="W750">
        <f t="shared" si="162"/>
        <v>0</v>
      </c>
      <c r="X750">
        <f t="shared" si="162"/>
        <v>0</v>
      </c>
      <c r="Y750">
        <f t="shared" si="161"/>
        <v>0</v>
      </c>
      <c r="Z750">
        <f t="shared" si="161"/>
        <v>0</v>
      </c>
      <c r="AA750">
        <f t="shared" si="161"/>
        <v>0</v>
      </c>
      <c r="AB750">
        <f t="shared" si="161"/>
        <v>0</v>
      </c>
      <c r="AC750">
        <f t="shared" si="161"/>
        <v>0</v>
      </c>
      <c r="AD750">
        <f t="shared" si="161"/>
        <v>0</v>
      </c>
      <c r="AE750">
        <f t="shared" si="161"/>
        <v>0</v>
      </c>
      <c r="AF750">
        <f t="shared" si="161"/>
        <v>0</v>
      </c>
      <c r="AG750">
        <f t="shared" si="161"/>
        <v>0</v>
      </c>
      <c r="AH750">
        <f t="shared" si="161"/>
        <v>0</v>
      </c>
      <c r="AI750">
        <f t="shared" si="161"/>
        <v>0</v>
      </c>
      <c r="AJ750">
        <f t="shared" si="161"/>
        <v>0</v>
      </c>
      <c r="AK750">
        <f t="shared" si="158"/>
        <v>0</v>
      </c>
      <c r="AL750">
        <f t="shared" si="158"/>
        <v>0</v>
      </c>
      <c r="AM750">
        <f t="shared" ref="AI750:AR788" si="163">IF(AND($G750&gt;=AM$3,$G750&lt;AM$4),$F750,0)</f>
        <v>0</v>
      </c>
      <c r="AN750">
        <f t="shared" si="163"/>
        <v>0</v>
      </c>
      <c r="AO750">
        <f t="shared" si="163"/>
        <v>0</v>
      </c>
      <c r="AP750">
        <f t="shared" si="163"/>
        <v>0</v>
      </c>
      <c r="AQ750">
        <f t="shared" si="163"/>
        <v>0</v>
      </c>
      <c r="AR750">
        <f t="shared" si="163"/>
        <v>0</v>
      </c>
    </row>
    <row r="751" spans="5:44" x14ac:dyDescent="0.2">
      <c r="E751" s="1">
        <f>moment_rate!$AC751</f>
        <v>0</v>
      </c>
      <c r="F751" s="1">
        <f t="shared" si="154"/>
        <v>0</v>
      </c>
      <c r="G751">
        <f>moment_rate!I751-0.005</f>
        <v>7.4399999999998858</v>
      </c>
      <c r="H751" s="1">
        <f t="shared" si="155"/>
        <v>0</v>
      </c>
      <c r="I751">
        <f t="shared" si="162"/>
        <v>0</v>
      </c>
      <c r="J751">
        <f t="shared" si="162"/>
        <v>0</v>
      </c>
      <c r="K751">
        <f t="shared" si="162"/>
        <v>0</v>
      </c>
      <c r="L751">
        <f t="shared" si="162"/>
        <v>0</v>
      </c>
      <c r="M751">
        <f t="shared" si="162"/>
        <v>0</v>
      </c>
      <c r="N751">
        <f t="shared" si="162"/>
        <v>0</v>
      </c>
      <c r="O751">
        <f t="shared" si="162"/>
        <v>0</v>
      </c>
      <c r="P751">
        <f t="shared" si="162"/>
        <v>0</v>
      </c>
      <c r="Q751">
        <f t="shared" si="162"/>
        <v>0</v>
      </c>
      <c r="R751">
        <f t="shared" si="162"/>
        <v>0</v>
      </c>
      <c r="S751">
        <f t="shared" si="162"/>
        <v>0</v>
      </c>
      <c r="T751">
        <f t="shared" si="162"/>
        <v>0</v>
      </c>
      <c r="U751">
        <f t="shared" si="162"/>
        <v>0</v>
      </c>
      <c r="V751">
        <f t="shared" si="162"/>
        <v>0</v>
      </c>
      <c r="W751">
        <f t="shared" si="162"/>
        <v>0</v>
      </c>
      <c r="X751">
        <f t="shared" si="162"/>
        <v>0</v>
      </c>
      <c r="Y751">
        <f t="shared" si="161"/>
        <v>0</v>
      </c>
      <c r="Z751">
        <f t="shared" si="161"/>
        <v>0</v>
      </c>
      <c r="AA751">
        <f t="shared" si="161"/>
        <v>0</v>
      </c>
      <c r="AB751">
        <f t="shared" si="161"/>
        <v>0</v>
      </c>
      <c r="AC751">
        <f t="shared" si="161"/>
        <v>0</v>
      </c>
      <c r="AD751">
        <f t="shared" si="161"/>
        <v>0</v>
      </c>
      <c r="AE751">
        <f t="shared" si="161"/>
        <v>0</v>
      </c>
      <c r="AF751">
        <f t="shared" si="161"/>
        <v>0</v>
      </c>
      <c r="AG751">
        <f t="shared" si="161"/>
        <v>0</v>
      </c>
      <c r="AH751">
        <f t="shared" si="161"/>
        <v>0</v>
      </c>
      <c r="AI751">
        <f t="shared" si="161"/>
        <v>0</v>
      </c>
      <c r="AJ751">
        <f t="shared" si="161"/>
        <v>0</v>
      </c>
      <c r="AK751">
        <f t="shared" si="163"/>
        <v>0</v>
      </c>
      <c r="AL751">
        <f t="shared" si="163"/>
        <v>0</v>
      </c>
      <c r="AM751">
        <f t="shared" si="163"/>
        <v>0</v>
      </c>
      <c r="AN751">
        <f t="shared" si="163"/>
        <v>0</v>
      </c>
      <c r="AO751">
        <f t="shared" si="163"/>
        <v>0</v>
      </c>
      <c r="AP751">
        <f t="shared" si="163"/>
        <v>0</v>
      </c>
      <c r="AQ751">
        <f t="shared" si="163"/>
        <v>0</v>
      </c>
      <c r="AR751">
        <f t="shared" si="163"/>
        <v>0</v>
      </c>
    </row>
    <row r="752" spans="5:44" x14ac:dyDescent="0.2">
      <c r="E752" s="1">
        <f>moment_rate!$AC752</f>
        <v>0</v>
      </c>
      <c r="F752" s="1">
        <f t="shared" si="154"/>
        <v>0</v>
      </c>
      <c r="G752">
        <f>moment_rate!I752-0.005</f>
        <v>7.4499999999998856</v>
      </c>
      <c r="H752" s="1">
        <f t="shared" si="155"/>
        <v>0</v>
      </c>
      <c r="I752">
        <f t="shared" si="162"/>
        <v>0</v>
      </c>
      <c r="J752">
        <f t="shared" si="162"/>
        <v>0</v>
      </c>
      <c r="K752">
        <f t="shared" si="162"/>
        <v>0</v>
      </c>
      <c r="L752">
        <f t="shared" si="162"/>
        <v>0</v>
      </c>
      <c r="M752">
        <f t="shared" si="162"/>
        <v>0</v>
      </c>
      <c r="N752">
        <f t="shared" si="162"/>
        <v>0</v>
      </c>
      <c r="O752">
        <f t="shared" si="162"/>
        <v>0</v>
      </c>
      <c r="P752">
        <f t="shared" si="162"/>
        <v>0</v>
      </c>
      <c r="Q752">
        <f t="shared" si="162"/>
        <v>0</v>
      </c>
      <c r="R752">
        <f t="shared" si="162"/>
        <v>0</v>
      </c>
      <c r="S752">
        <f t="shared" si="162"/>
        <v>0</v>
      </c>
      <c r="T752">
        <f t="shared" si="162"/>
        <v>0</v>
      </c>
      <c r="U752">
        <f t="shared" si="162"/>
        <v>0</v>
      </c>
      <c r="V752">
        <f t="shared" si="162"/>
        <v>0</v>
      </c>
      <c r="W752">
        <f t="shared" si="162"/>
        <v>0</v>
      </c>
      <c r="X752">
        <f t="shared" si="162"/>
        <v>0</v>
      </c>
      <c r="Y752">
        <f t="shared" si="161"/>
        <v>0</v>
      </c>
      <c r="Z752">
        <f t="shared" si="161"/>
        <v>0</v>
      </c>
      <c r="AA752">
        <f t="shared" si="161"/>
        <v>0</v>
      </c>
      <c r="AB752">
        <f t="shared" si="161"/>
        <v>0</v>
      </c>
      <c r="AC752">
        <f t="shared" si="161"/>
        <v>0</v>
      </c>
      <c r="AD752">
        <f t="shared" si="161"/>
        <v>0</v>
      </c>
      <c r="AE752">
        <f t="shared" si="161"/>
        <v>0</v>
      </c>
      <c r="AF752">
        <f t="shared" si="161"/>
        <v>0</v>
      </c>
      <c r="AG752">
        <f t="shared" si="161"/>
        <v>0</v>
      </c>
      <c r="AH752">
        <f t="shared" si="161"/>
        <v>0</v>
      </c>
      <c r="AI752">
        <f t="shared" si="161"/>
        <v>0</v>
      </c>
      <c r="AJ752">
        <f t="shared" si="161"/>
        <v>0</v>
      </c>
      <c r="AK752">
        <f t="shared" si="163"/>
        <v>0</v>
      </c>
      <c r="AL752">
        <f t="shared" si="163"/>
        <v>0</v>
      </c>
      <c r="AM752">
        <f t="shared" si="163"/>
        <v>0</v>
      </c>
      <c r="AN752">
        <f t="shared" si="163"/>
        <v>0</v>
      </c>
      <c r="AO752">
        <f t="shared" si="163"/>
        <v>0</v>
      </c>
      <c r="AP752">
        <f t="shared" si="163"/>
        <v>0</v>
      </c>
      <c r="AQ752">
        <f t="shared" si="163"/>
        <v>0</v>
      </c>
      <c r="AR752">
        <f t="shared" si="163"/>
        <v>0</v>
      </c>
    </row>
    <row r="753" spans="5:44" x14ac:dyDescent="0.2">
      <c r="E753" s="1">
        <f>moment_rate!$AC753</f>
        <v>0</v>
      </c>
      <c r="F753" s="1">
        <f t="shared" si="154"/>
        <v>0</v>
      </c>
      <c r="G753">
        <f>moment_rate!I753-0.005</f>
        <v>7.4599999999998854</v>
      </c>
      <c r="H753" s="1">
        <f t="shared" si="155"/>
        <v>0</v>
      </c>
      <c r="I753">
        <f t="shared" si="162"/>
        <v>0</v>
      </c>
      <c r="J753">
        <f t="shared" si="162"/>
        <v>0</v>
      </c>
      <c r="K753">
        <f t="shared" si="162"/>
        <v>0</v>
      </c>
      <c r="L753">
        <f t="shared" si="162"/>
        <v>0</v>
      </c>
      <c r="M753">
        <f t="shared" si="162"/>
        <v>0</v>
      </c>
      <c r="N753">
        <f t="shared" si="162"/>
        <v>0</v>
      </c>
      <c r="O753">
        <f t="shared" si="162"/>
        <v>0</v>
      </c>
      <c r="P753">
        <f t="shared" si="162"/>
        <v>0</v>
      </c>
      <c r="Q753">
        <f t="shared" si="162"/>
        <v>0</v>
      </c>
      <c r="R753">
        <f t="shared" si="162"/>
        <v>0</v>
      </c>
      <c r="S753">
        <f t="shared" si="162"/>
        <v>0</v>
      </c>
      <c r="T753">
        <f t="shared" si="162"/>
        <v>0</v>
      </c>
      <c r="U753">
        <f t="shared" si="162"/>
        <v>0</v>
      </c>
      <c r="V753">
        <f t="shared" si="162"/>
        <v>0</v>
      </c>
      <c r="W753">
        <f t="shared" si="162"/>
        <v>0</v>
      </c>
      <c r="X753">
        <f t="shared" si="162"/>
        <v>0</v>
      </c>
      <c r="Y753">
        <f t="shared" si="161"/>
        <v>0</v>
      </c>
      <c r="Z753">
        <f t="shared" si="161"/>
        <v>0</v>
      </c>
      <c r="AA753">
        <f t="shared" si="161"/>
        <v>0</v>
      </c>
      <c r="AB753">
        <f t="shared" si="161"/>
        <v>0</v>
      </c>
      <c r="AC753">
        <f t="shared" si="161"/>
        <v>0</v>
      </c>
      <c r="AD753">
        <f t="shared" si="161"/>
        <v>0</v>
      </c>
      <c r="AE753">
        <f t="shared" si="161"/>
        <v>0</v>
      </c>
      <c r="AF753">
        <f t="shared" si="161"/>
        <v>0</v>
      </c>
      <c r="AG753">
        <f t="shared" si="161"/>
        <v>0</v>
      </c>
      <c r="AH753">
        <f t="shared" si="161"/>
        <v>0</v>
      </c>
      <c r="AI753">
        <f t="shared" si="161"/>
        <v>0</v>
      </c>
      <c r="AJ753">
        <f t="shared" si="161"/>
        <v>0</v>
      </c>
      <c r="AK753">
        <f t="shared" si="163"/>
        <v>0</v>
      </c>
      <c r="AL753">
        <f t="shared" si="163"/>
        <v>0</v>
      </c>
      <c r="AM753">
        <f t="shared" si="163"/>
        <v>0</v>
      </c>
      <c r="AN753">
        <f t="shared" si="163"/>
        <v>0</v>
      </c>
      <c r="AO753">
        <f t="shared" si="163"/>
        <v>0</v>
      </c>
      <c r="AP753">
        <f t="shared" si="163"/>
        <v>0</v>
      </c>
      <c r="AQ753">
        <f t="shared" si="163"/>
        <v>0</v>
      </c>
      <c r="AR753">
        <f t="shared" si="163"/>
        <v>0</v>
      </c>
    </row>
    <row r="754" spans="5:44" x14ac:dyDescent="0.2">
      <c r="E754" s="1">
        <f>moment_rate!$AC754</f>
        <v>0</v>
      </c>
      <c r="F754" s="1">
        <f t="shared" si="154"/>
        <v>0</v>
      </c>
      <c r="G754">
        <f>moment_rate!I754-0.005</f>
        <v>7.4699999999998852</v>
      </c>
      <c r="H754" s="1">
        <f t="shared" si="155"/>
        <v>0</v>
      </c>
      <c r="I754">
        <f t="shared" si="162"/>
        <v>0</v>
      </c>
      <c r="J754">
        <f t="shared" si="162"/>
        <v>0</v>
      </c>
      <c r="K754">
        <f t="shared" si="162"/>
        <v>0</v>
      </c>
      <c r="L754">
        <f t="shared" si="162"/>
        <v>0</v>
      </c>
      <c r="M754">
        <f t="shared" si="162"/>
        <v>0</v>
      </c>
      <c r="N754">
        <f t="shared" si="162"/>
        <v>0</v>
      </c>
      <c r="O754">
        <f t="shared" si="162"/>
        <v>0</v>
      </c>
      <c r="P754">
        <f t="shared" si="162"/>
        <v>0</v>
      </c>
      <c r="Q754">
        <f t="shared" si="162"/>
        <v>0</v>
      </c>
      <c r="R754">
        <f t="shared" si="162"/>
        <v>0</v>
      </c>
      <c r="S754">
        <f t="shared" si="162"/>
        <v>0</v>
      </c>
      <c r="T754">
        <f t="shared" si="162"/>
        <v>0</v>
      </c>
      <c r="U754">
        <f t="shared" si="162"/>
        <v>0</v>
      </c>
      <c r="V754">
        <f t="shared" si="162"/>
        <v>0</v>
      </c>
      <c r="W754">
        <f t="shared" si="162"/>
        <v>0</v>
      </c>
      <c r="X754">
        <f t="shared" si="162"/>
        <v>0</v>
      </c>
      <c r="Y754">
        <f t="shared" si="161"/>
        <v>0</v>
      </c>
      <c r="Z754">
        <f t="shared" si="161"/>
        <v>0</v>
      </c>
      <c r="AA754">
        <f t="shared" si="161"/>
        <v>0</v>
      </c>
      <c r="AB754">
        <f t="shared" si="161"/>
        <v>0</v>
      </c>
      <c r="AC754">
        <f t="shared" si="161"/>
        <v>0</v>
      </c>
      <c r="AD754">
        <f t="shared" si="161"/>
        <v>0</v>
      </c>
      <c r="AE754">
        <f t="shared" si="161"/>
        <v>0</v>
      </c>
      <c r="AF754">
        <f t="shared" si="161"/>
        <v>0</v>
      </c>
      <c r="AG754">
        <f t="shared" si="161"/>
        <v>0</v>
      </c>
      <c r="AH754">
        <f t="shared" si="161"/>
        <v>0</v>
      </c>
      <c r="AI754">
        <f t="shared" si="161"/>
        <v>0</v>
      </c>
      <c r="AJ754">
        <f t="shared" si="161"/>
        <v>0</v>
      </c>
      <c r="AK754">
        <f t="shared" si="163"/>
        <v>0</v>
      </c>
      <c r="AL754">
        <f t="shared" si="163"/>
        <v>0</v>
      </c>
      <c r="AM754">
        <f t="shared" si="163"/>
        <v>0</v>
      </c>
      <c r="AN754">
        <f t="shared" si="163"/>
        <v>0</v>
      </c>
      <c r="AO754">
        <f t="shared" si="163"/>
        <v>0</v>
      </c>
      <c r="AP754">
        <f t="shared" si="163"/>
        <v>0</v>
      </c>
      <c r="AQ754">
        <f t="shared" si="163"/>
        <v>0</v>
      </c>
      <c r="AR754">
        <f t="shared" si="163"/>
        <v>0</v>
      </c>
    </row>
    <row r="755" spans="5:44" x14ac:dyDescent="0.2">
      <c r="E755" s="1">
        <f>moment_rate!$AC755</f>
        <v>0</v>
      </c>
      <c r="F755" s="1">
        <f t="shared" si="154"/>
        <v>0</v>
      </c>
      <c r="G755">
        <f>moment_rate!I755-0.005</f>
        <v>7.479999999999885</v>
      </c>
      <c r="H755" s="1">
        <f t="shared" si="155"/>
        <v>0</v>
      </c>
      <c r="I755">
        <f t="shared" si="162"/>
        <v>0</v>
      </c>
      <c r="J755">
        <f t="shared" si="162"/>
        <v>0</v>
      </c>
      <c r="K755">
        <f t="shared" si="162"/>
        <v>0</v>
      </c>
      <c r="L755">
        <f t="shared" si="162"/>
        <v>0</v>
      </c>
      <c r="M755">
        <f t="shared" si="162"/>
        <v>0</v>
      </c>
      <c r="N755">
        <f t="shared" si="162"/>
        <v>0</v>
      </c>
      <c r="O755">
        <f t="shared" si="162"/>
        <v>0</v>
      </c>
      <c r="P755">
        <f t="shared" si="162"/>
        <v>0</v>
      </c>
      <c r="Q755">
        <f t="shared" si="162"/>
        <v>0</v>
      </c>
      <c r="R755">
        <f t="shared" si="162"/>
        <v>0</v>
      </c>
      <c r="S755">
        <f t="shared" si="162"/>
        <v>0</v>
      </c>
      <c r="T755">
        <f t="shared" si="162"/>
        <v>0</v>
      </c>
      <c r="U755">
        <f t="shared" si="162"/>
        <v>0</v>
      </c>
      <c r="V755">
        <f t="shared" si="162"/>
        <v>0</v>
      </c>
      <c r="W755">
        <f t="shared" si="162"/>
        <v>0</v>
      </c>
      <c r="X755">
        <f t="shared" si="162"/>
        <v>0</v>
      </c>
      <c r="Y755">
        <f t="shared" si="161"/>
        <v>0</v>
      </c>
      <c r="Z755">
        <f t="shared" si="161"/>
        <v>0</v>
      </c>
      <c r="AA755">
        <f t="shared" si="161"/>
        <v>0</v>
      </c>
      <c r="AB755">
        <f t="shared" si="161"/>
        <v>0</v>
      </c>
      <c r="AC755">
        <f t="shared" si="161"/>
        <v>0</v>
      </c>
      <c r="AD755">
        <f t="shared" si="161"/>
        <v>0</v>
      </c>
      <c r="AE755">
        <f t="shared" si="161"/>
        <v>0</v>
      </c>
      <c r="AF755">
        <f t="shared" si="161"/>
        <v>0</v>
      </c>
      <c r="AG755">
        <f t="shared" si="161"/>
        <v>0</v>
      </c>
      <c r="AH755">
        <f t="shared" si="161"/>
        <v>0</v>
      </c>
      <c r="AI755">
        <f t="shared" si="161"/>
        <v>0</v>
      </c>
      <c r="AJ755">
        <f t="shared" si="161"/>
        <v>0</v>
      </c>
      <c r="AK755">
        <f t="shared" si="163"/>
        <v>0</v>
      </c>
      <c r="AL755">
        <f t="shared" si="163"/>
        <v>0</v>
      </c>
      <c r="AM755">
        <f t="shared" si="163"/>
        <v>0</v>
      </c>
      <c r="AN755">
        <f t="shared" si="163"/>
        <v>0</v>
      </c>
      <c r="AO755">
        <f t="shared" si="163"/>
        <v>0</v>
      </c>
      <c r="AP755">
        <f t="shared" si="163"/>
        <v>0</v>
      </c>
      <c r="AQ755">
        <f t="shared" si="163"/>
        <v>0</v>
      </c>
      <c r="AR755">
        <f t="shared" si="163"/>
        <v>0</v>
      </c>
    </row>
    <row r="756" spans="5:44" x14ac:dyDescent="0.2">
      <c r="E756" s="1">
        <f>moment_rate!$AC756</f>
        <v>0</v>
      </c>
      <c r="F756" s="1">
        <f t="shared" si="154"/>
        <v>0</v>
      </c>
      <c r="G756">
        <f>moment_rate!I756-0.005</f>
        <v>7.4899999999998847</v>
      </c>
      <c r="H756" s="1">
        <f t="shared" si="155"/>
        <v>0</v>
      </c>
      <c r="I756">
        <f t="shared" si="162"/>
        <v>0</v>
      </c>
      <c r="J756">
        <f t="shared" si="162"/>
        <v>0</v>
      </c>
      <c r="K756">
        <f t="shared" si="162"/>
        <v>0</v>
      </c>
      <c r="L756">
        <f t="shared" si="162"/>
        <v>0</v>
      </c>
      <c r="M756">
        <f t="shared" si="162"/>
        <v>0</v>
      </c>
      <c r="N756">
        <f t="shared" si="162"/>
        <v>0</v>
      </c>
      <c r="O756">
        <f t="shared" si="162"/>
        <v>0</v>
      </c>
      <c r="P756">
        <f t="shared" si="162"/>
        <v>0</v>
      </c>
      <c r="Q756">
        <f t="shared" si="162"/>
        <v>0</v>
      </c>
      <c r="R756">
        <f t="shared" si="162"/>
        <v>0</v>
      </c>
      <c r="S756">
        <f t="shared" si="162"/>
        <v>0</v>
      </c>
      <c r="T756">
        <f t="shared" si="162"/>
        <v>0</v>
      </c>
      <c r="U756">
        <f t="shared" si="162"/>
        <v>0</v>
      </c>
      <c r="V756">
        <f t="shared" si="162"/>
        <v>0</v>
      </c>
      <c r="W756">
        <f t="shared" si="162"/>
        <v>0</v>
      </c>
      <c r="X756">
        <f t="shared" si="162"/>
        <v>0</v>
      </c>
      <c r="Y756">
        <f t="shared" si="161"/>
        <v>0</v>
      </c>
      <c r="Z756">
        <f t="shared" si="161"/>
        <v>0</v>
      </c>
      <c r="AA756">
        <f t="shared" si="161"/>
        <v>0</v>
      </c>
      <c r="AB756">
        <f t="shared" si="161"/>
        <v>0</v>
      </c>
      <c r="AC756">
        <f t="shared" si="161"/>
        <v>0</v>
      </c>
      <c r="AD756">
        <f t="shared" si="161"/>
        <v>0</v>
      </c>
      <c r="AE756">
        <f t="shared" si="161"/>
        <v>0</v>
      </c>
      <c r="AF756">
        <f t="shared" si="161"/>
        <v>0</v>
      </c>
      <c r="AG756">
        <f t="shared" si="161"/>
        <v>0</v>
      </c>
      <c r="AH756">
        <f t="shared" si="161"/>
        <v>0</v>
      </c>
      <c r="AI756">
        <f t="shared" si="161"/>
        <v>0</v>
      </c>
      <c r="AJ756">
        <f t="shared" si="161"/>
        <v>0</v>
      </c>
      <c r="AK756">
        <f t="shared" si="163"/>
        <v>0</v>
      </c>
      <c r="AL756">
        <f t="shared" si="163"/>
        <v>0</v>
      </c>
      <c r="AM756">
        <f t="shared" si="163"/>
        <v>0</v>
      </c>
      <c r="AN756">
        <f t="shared" si="163"/>
        <v>0</v>
      </c>
      <c r="AO756">
        <f t="shared" si="163"/>
        <v>0</v>
      </c>
      <c r="AP756">
        <f t="shared" si="163"/>
        <v>0</v>
      </c>
      <c r="AQ756">
        <f t="shared" si="163"/>
        <v>0</v>
      </c>
      <c r="AR756">
        <f t="shared" si="163"/>
        <v>0</v>
      </c>
    </row>
    <row r="757" spans="5:44" x14ac:dyDescent="0.2">
      <c r="E757" s="1">
        <f>moment_rate!$AC757</f>
        <v>0</v>
      </c>
      <c r="F757" s="1">
        <f t="shared" si="154"/>
        <v>0</v>
      </c>
      <c r="G757">
        <f>moment_rate!I757-0.005</f>
        <v>7.4999999999998845</v>
      </c>
      <c r="H757" s="1">
        <f t="shared" si="155"/>
        <v>0</v>
      </c>
      <c r="I757">
        <f t="shared" si="162"/>
        <v>0</v>
      </c>
      <c r="J757">
        <f t="shared" si="162"/>
        <v>0</v>
      </c>
      <c r="K757">
        <f t="shared" si="162"/>
        <v>0</v>
      </c>
      <c r="L757">
        <f t="shared" si="162"/>
        <v>0</v>
      </c>
      <c r="M757">
        <f t="shared" si="162"/>
        <v>0</v>
      </c>
      <c r="N757">
        <f t="shared" si="162"/>
        <v>0</v>
      </c>
      <c r="O757">
        <f t="shared" si="162"/>
        <v>0</v>
      </c>
      <c r="P757">
        <f t="shared" si="162"/>
        <v>0</v>
      </c>
      <c r="Q757">
        <f t="shared" si="162"/>
        <v>0</v>
      </c>
      <c r="R757">
        <f t="shared" si="162"/>
        <v>0</v>
      </c>
      <c r="S757">
        <f t="shared" si="162"/>
        <v>0</v>
      </c>
      <c r="T757">
        <f t="shared" si="162"/>
        <v>0</v>
      </c>
      <c r="U757">
        <f t="shared" si="162"/>
        <v>0</v>
      </c>
      <c r="V757">
        <f t="shared" si="162"/>
        <v>0</v>
      </c>
      <c r="W757">
        <f t="shared" si="162"/>
        <v>0</v>
      </c>
      <c r="X757">
        <f t="shared" si="162"/>
        <v>0</v>
      </c>
      <c r="Y757">
        <f t="shared" si="161"/>
        <v>0</v>
      </c>
      <c r="Z757">
        <f t="shared" si="161"/>
        <v>0</v>
      </c>
      <c r="AA757">
        <f t="shared" si="161"/>
        <v>0</v>
      </c>
      <c r="AB757">
        <f t="shared" si="161"/>
        <v>0</v>
      </c>
      <c r="AC757">
        <f t="shared" si="161"/>
        <v>0</v>
      </c>
      <c r="AD757">
        <f t="shared" si="161"/>
        <v>0</v>
      </c>
      <c r="AE757">
        <f t="shared" si="161"/>
        <v>0</v>
      </c>
      <c r="AF757">
        <f t="shared" si="161"/>
        <v>0</v>
      </c>
      <c r="AG757">
        <f t="shared" si="161"/>
        <v>0</v>
      </c>
      <c r="AH757">
        <f t="shared" si="161"/>
        <v>0</v>
      </c>
      <c r="AI757">
        <f t="shared" si="161"/>
        <v>0</v>
      </c>
      <c r="AJ757">
        <f t="shared" si="161"/>
        <v>0</v>
      </c>
      <c r="AK757">
        <f t="shared" si="163"/>
        <v>0</v>
      </c>
      <c r="AL757">
        <f t="shared" si="163"/>
        <v>0</v>
      </c>
      <c r="AM757">
        <f t="shared" si="163"/>
        <v>0</v>
      </c>
      <c r="AN757">
        <f t="shared" si="163"/>
        <v>0</v>
      </c>
      <c r="AO757">
        <f t="shared" si="163"/>
        <v>0</v>
      </c>
      <c r="AP757">
        <f t="shared" si="163"/>
        <v>0</v>
      </c>
      <c r="AQ757">
        <f t="shared" si="163"/>
        <v>0</v>
      </c>
      <c r="AR757">
        <f t="shared" si="163"/>
        <v>0</v>
      </c>
    </row>
    <row r="758" spans="5:44" x14ac:dyDescent="0.2">
      <c r="E758" s="1">
        <f>moment_rate!$AC758</f>
        <v>0</v>
      </c>
      <c r="F758" s="1">
        <f t="shared" si="154"/>
        <v>0</v>
      </c>
      <c r="G758">
        <f>moment_rate!I758-0.005</f>
        <v>7.5099999999998843</v>
      </c>
      <c r="H758" s="1">
        <f t="shared" si="155"/>
        <v>0</v>
      </c>
      <c r="I758">
        <f t="shared" si="162"/>
        <v>0</v>
      </c>
      <c r="J758">
        <f t="shared" si="162"/>
        <v>0</v>
      </c>
      <c r="K758">
        <f t="shared" si="162"/>
        <v>0</v>
      </c>
      <c r="L758">
        <f t="shared" si="162"/>
        <v>0</v>
      </c>
      <c r="M758">
        <f t="shared" si="162"/>
        <v>0</v>
      </c>
      <c r="N758">
        <f t="shared" si="162"/>
        <v>0</v>
      </c>
      <c r="O758">
        <f t="shared" si="162"/>
        <v>0</v>
      </c>
      <c r="P758">
        <f t="shared" si="162"/>
        <v>0</v>
      </c>
      <c r="Q758">
        <f t="shared" si="162"/>
        <v>0</v>
      </c>
      <c r="R758">
        <f t="shared" si="162"/>
        <v>0</v>
      </c>
      <c r="S758">
        <f t="shared" si="162"/>
        <v>0</v>
      </c>
      <c r="T758">
        <f t="shared" si="162"/>
        <v>0</v>
      </c>
      <c r="U758">
        <f t="shared" si="162"/>
        <v>0</v>
      </c>
      <c r="V758">
        <f t="shared" si="162"/>
        <v>0</v>
      </c>
      <c r="W758">
        <f t="shared" si="162"/>
        <v>0</v>
      </c>
      <c r="X758">
        <f t="shared" si="162"/>
        <v>0</v>
      </c>
      <c r="Y758">
        <f t="shared" si="161"/>
        <v>0</v>
      </c>
      <c r="Z758">
        <f t="shared" si="161"/>
        <v>0</v>
      </c>
      <c r="AA758">
        <f t="shared" si="161"/>
        <v>0</v>
      </c>
      <c r="AB758">
        <f t="shared" si="161"/>
        <v>0</v>
      </c>
      <c r="AC758">
        <f t="shared" si="161"/>
        <v>0</v>
      </c>
      <c r="AD758">
        <f t="shared" si="161"/>
        <v>0</v>
      </c>
      <c r="AE758">
        <f t="shared" si="161"/>
        <v>0</v>
      </c>
      <c r="AF758">
        <f t="shared" si="161"/>
        <v>0</v>
      </c>
      <c r="AG758">
        <f t="shared" si="161"/>
        <v>0</v>
      </c>
      <c r="AH758">
        <f t="shared" si="161"/>
        <v>0</v>
      </c>
      <c r="AI758">
        <f t="shared" si="161"/>
        <v>0</v>
      </c>
      <c r="AJ758">
        <f t="shared" si="161"/>
        <v>0</v>
      </c>
      <c r="AK758">
        <f t="shared" si="163"/>
        <v>0</v>
      </c>
      <c r="AL758">
        <f t="shared" si="163"/>
        <v>0</v>
      </c>
      <c r="AM758">
        <f t="shared" si="163"/>
        <v>0</v>
      </c>
      <c r="AN758">
        <f t="shared" si="163"/>
        <v>0</v>
      </c>
      <c r="AO758">
        <f t="shared" si="163"/>
        <v>0</v>
      </c>
      <c r="AP758">
        <f t="shared" si="163"/>
        <v>0</v>
      </c>
      <c r="AQ758">
        <f t="shared" si="163"/>
        <v>0</v>
      </c>
      <c r="AR758">
        <f t="shared" si="163"/>
        <v>0</v>
      </c>
    </row>
    <row r="759" spans="5:44" x14ac:dyDescent="0.2">
      <c r="E759" s="1">
        <f>moment_rate!$AC759</f>
        <v>0</v>
      </c>
      <c r="F759" s="1">
        <f t="shared" si="154"/>
        <v>0</v>
      </c>
      <c r="G759">
        <f>moment_rate!I759-0.005</f>
        <v>7.5199999999998841</v>
      </c>
      <c r="H759" s="1">
        <f t="shared" si="155"/>
        <v>0</v>
      </c>
      <c r="I759">
        <f t="shared" si="162"/>
        <v>0</v>
      </c>
      <c r="J759">
        <f t="shared" si="162"/>
        <v>0</v>
      </c>
      <c r="K759">
        <f t="shared" si="162"/>
        <v>0</v>
      </c>
      <c r="L759">
        <f t="shared" si="162"/>
        <v>0</v>
      </c>
      <c r="M759">
        <f t="shared" si="162"/>
        <v>0</v>
      </c>
      <c r="N759">
        <f t="shared" si="162"/>
        <v>0</v>
      </c>
      <c r="O759">
        <f t="shared" si="162"/>
        <v>0</v>
      </c>
      <c r="P759">
        <f t="shared" si="162"/>
        <v>0</v>
      </c>
      <c r="Q759">
        <f t="shared" si="162"/>
        <v>0</v>
      </c>
      <c r="R759">
        <f t="shared" si="162"/>
        <v>0</v>
      </c>
      <c r="S759">
        <f t="shared" si="162"/>
        <v>0</v>
      </c>
      <c r="T759">
        <f t="shared" si="162"/>
        <v>0</v>
      </c>
      <c r="U759">
        <f t="shared" si="162"/>
        <v>0</v>
      </c>
      <c r="V759">
        <f t="shared" si="162"/>
        <v>0</v>
      </c>
      <c r="W759">
        <f t="shared" si="162"/>
        <v>0</v>
      </c>
      <c r="X759">
        <f t="shared" si="162"/>
        <v>0</v>
      </c>
      <c r="Y759">
        <f t="shared" si="161"/>
        <v>0</v>
      </c>
      <c r="Z759">
        <f t="shared" si="161"/>
        <v>0</v>
      </c>
      <c r="AA759">
        <f t="shared" si="161"/>
        <v>0</v>
      </c>
      <c r="AB759">
        <f t="shared" si="161"/>
        <v>0</v>
      </c>
      <c r="AC759">
        <f t="shared" si="161"/>
        <v>0</v>
      </c>
      <c r="AD759">
        <f t="shared" si="161"/>
        <v>0</v>
      </c>
      <c r="AE759">
        <f t="shared" si="161"/>
        <v>0</v>
      </c>
      <c r="AF759">
        <f t="shared" si="161"/>
        <v>0</v>
      </c>
      <c r="AG759">
        <f t="shared" si="161"/>
        <v>0</v>
      </c>
      <c r="AH759">
        <f t="shared" si="161"/>
        <v>0</v>
      </c>
      <c r="AI759">
        <f t="shared" si="161"/>
        <v>0</v>
      </c>
      <c r="AJ759">
        <f t="shared" si="161"/>
        <v>0</v>
      </c>
      <c r="AK759">
        <f t="shared" si="163"/>
        <v>0</v>
      </c>
      <c r="AL759">
        <f t="shared" si="163"/>
        <v>0</v>
      </c>
      <c r="AM759">
        <f t="shared" si="163"/>
        <v>0</v>
      </c>
      <c r="AN759">
        <f t="shared" si="163"/>
        <v>0</v>
      </c>
      <c r="AO759">
        <f t="shared" si="163"/>
        <v>0</v>
      </c>
      <c r="AP759">
        <f t="shared" si="163"/>
        <v>0</v>
      </c>
      <c r="AQ759">
        <f t="shared" si="163"/>
        <v>0</v>
      </c>
      <c r="AR759">
        <f t="shared" si="163"/>
        <v>0</v>
      </c>
    </row>
    <row r="760" spans="5:44" x14ac:dyDescent="0.2">
      <c r="E760" s="1">
        <f>moment_rate!$AC760</f>
        <v>0</v>
      </c>
      <c r="F760" s="1">
        <f t="shared" si="154"/>
        <v>0</v>
      </c>
      <c r="G760">
        <f>moment_rate!I760-0.005</f>
        <v>7.5299999999998839</v>
      </c>
      <c r="H760" s="1">
        <f t="shared" si="155"/>
        <v>0</v>
      </c>
      <c r="I760">
        <f t="shared" si="162"/>
        <v>0</v>
      </c>
      <c r="J760">
        <f t="shared" si="162"/>
        <v>0</v>
      </c>
      <c r="K760">
        <f t="shared" si="162"/>
        <v>0</v>
      </c>
      <c r="L760">
        <f t="shared" si="162"/>
        <v>0</v>
      </c>
      <c r="M760">
        <f t="shared" si="162"/>
        <v>0</v>
      </c>
      <c r="N760">
        <f t="shared" si="162"/>
        <v>0</v>
      </c>
      <c r="O760">
        <f t="shared" si="162"/>
        <v>0</v>
      </c>
      <c r="P760">
        <f t="shared" si="162"/>
        <v>0</v>
      </c>
      <c r="Q760">
        <f t="shared" si="162"/>
        <v>0</v>
      </c>
      <c r="R760">
        <f t="shared" si="162"/>
        <v>0</v>
      </c>
      <c r="S760">
        <f t="shared" si="162"/>
        <v>0</v>
      </c>
      <c r="T760">
        <f t="shared" si="162"/>
        <v>0</v>
      </c>
      <c r="U760">
        <f t="shared" si="162"/>
        <v>0</v>
      </c>
      <c r="V760">
        <f t="shared" si="162"/>
        <v>0</v>
      </c>
      <c r="W760">
        <f t="shared" si="162"/>
        <v>0</v>
      </c>
      <c r="X760">
        <f t="shared" si="162"/>
        <v>0</v>
      </c>
      <c r="Y760">
        <f t="shared" si="161"/>
        <v>0</v>
      </c>
      <c r="Z760">
        <f t="shared" si="161"/>
        <v>0</v>
      </c>
      <c r="AA760">
        <f t="shared" si="161"/>
        <v>0</v>
      </c>
      <c r="AB760">
        <f t="shared" si="161"/>
        <v>0</v>
      </c>
      <c r="AC760">
        <f t="shared" si="161"/>
        <v>0</v>
      </c>
      <c r="AD760">
        <f t="shared" si="161"/>
        <v>0</v>
      </c>
      <c r="AE760">
        <f t="shared" si="161"/>
        <v>0</v>
      </c>
      <c r="AF760">
        <f t="shared" si="161"/>
        <v>0</v>
      </c>
      <c r="AG760">
        <f t="shared" si="161"/>
        <v>0</v>
      </c>
      <c r="AH760">
        <f t="shared" si="161"/>
        <v>0</v>
      </c>
      <c r="AI760">
        <f t="shared" si="161"/>
        <v>0</v>
      </c>
      <c r="AJ760">
        <f t="shared" si="161"/>
        <v>0</v>
      </c>
      <c r="AK760">
        <f t="shared" si="163"/>
        <v>0</v>
      </c>
      <c r="AL760">
        <f t="shared" si="163"/>
        <v>0</v>
      </c>
      <c r="AM760">
        <f t="shared" si="163"/>
        <v>0</v>
      </c>
      <c r="AN760">
        <f t="shared" si="163"/>
        <v>0</v>
      </c>
      <c r="AO760">
        <f t="shared" si="163"/>
        <v>0</v>
      </c>
      <c r="AP760">
        <f t="shared" si="163"/>
        <v>0</v>
      </c>
      <c r="AQ760">
        <f t="shared" si="163"/>
        <v>0</v>
      </c>
      <c r="AR760">
        <f t="shared" si="163"/>
        <v>0</v>
      </c>
    </row>
    <row r="761" spans="5:44" x14ac:dyDescent="0.2">
      <c r="E761" s="1">
        <f>moment_rate!$AC761</f>
        <v>0</v>
      </c>
      <c r="F761" s="1">
        <f t="shared" si="154"/>
        <v>0</v>
      </c>
      <c r="G761">
        <f>moment_rate!I761-0.005</f>
        <v>7.5399999999998837</v>
      </c>
      <c r="H761" s="1">
        <f t="shared" si="155"/>
        <v>0</v>
      </c>
      <c r="I761">
        <f t="shared" si="162"/>
        <v>0</v>
      </c>
      <c r="J761">
        <f t="shared" si="162"/>
        <v>0</v>
      </c>
      <c r="K761">
        <f t="shared" si="162"/>
        <v>0</v>
      </c>
      <c r="L761">
        <f t="shared" si="162"/>
        <v>0</v>
      </c>
      <c r="M761">
        <f t="shared" si="162"/>
        <v>0</v>
      </c>
      <c r="N761">
        <f t="shared" si="162"/>
        <v>0</v>
      </c>
      <c r="O761">
        <f t="shared" si="162"/>
        <v>0</v>
      </c>
      <c r="P761">
        <f t="shared" si="162"/>
        <v>0</v>
      </c>
      <c r="Q761">
        <f t="shared" si="162"/>
        <v>0</v>
      </c>
      <c r="R761">
        <f t="shared" si="162"/>
        <v>0</v>
      </c>
      <c r="S761">
        <f t="shared" si="162"/>
        <v>0</v>
      </c>
      <c r="T761">
        <f t="shared" si="162"/>
        <v>0</v>
      </c>
      <c r="U761">
        <f t="shared" si="162"/>
        <v>0</v>
      </c>
      <c r="V761">
        <f t="shared" si="162"/>
        <v>0</v>
      </c>
      <c r="W761">
        <f t="shared" si="162"/>
        <v>0</v>
      </c>
      <c r="X761">
        <f t="shared" si="162"/>
        <v>0</v>
      </c>
      <c r="Y761">
        <f t="shared" si="161"/>
        <v>0</v>
      </c>
      <c r="Z761">
        <f t="shared" si="161"/>
        <v>0</v>
      </c>
      <c r="AA761">
        <f t="shared" si="161"/>
        <v>0</v>
      </c>
      <c r="AB761">
        <f t="shared" si="161"/>
        <v>0</v>
      </c>
      <c r="AC761">
        <f t="shared" si="161"/>
        <v>0</v>
      </c>
      <c r="AD761">
        <f t="shared" si="161"/>
        <v>0</v>
      </c>
      <c r="AE761">
        <f t="shared" si="161"/>
        <v>0</v>
      </c>
      <c r="AF761">
        <f t="shared" si="161"/>
        <v>0</v>
      </c>
      <c r="AG761">
        <f t="shared" si="161"/>
        <v>0</v>
      </c>
      <c r="AH761">
        <f t="shared" si="161"/>
        <v>0</v>
      </c>
      <c r="AI761">
        <f t="shared" si="161"/>
        <v>0</v>
      </c>
      <c r="AJ761">
        <f t="shared" si="161"/>
        <v>0</v>
      </c>
      <c r="AK761">
        <f t="shared" si="163"/>
        <v>0</v>
      </c>
      <c r="AL761">
        <f t="shared" si="163"/>
        <v>0</v>
      </c>
      <c r="AM761">
        <f t="shared" si="163"/>
        <v>0</v>
      </c>
      <c r="AN761">
        <f t="shared" si="163"/>
        <v>0</v>
      </c>
      <c r="AO761">
        <f t="shared" si="163"/>
        <v>0</v>
      </c>
      <c r="AP761">
        <f t="shared" si="163"/>
        <v>0</v>
      </c>
      <c r="AQ761">
        <f t="shared" si="163"/>
        <v>0</v>
      </c>
      <c r="AR761">
        <f t="shared" si="163"/>
        <v>0</v>
      </c>
    </row>
    <row r="762" spans="5:44" x14ac:dyDescent="0.2">
      <c r="E762" s="1">
        <f>moment_rate!$AC762</f>
        <v>0</v>
      </c>
      <c r="F762" s="1">
        <f t="shared" si="154"/>
        <v>0</v>
      </c>
      <c r="G762">
        <f>moment_rate!I762-0.005</f>
        <v>7.5499999999998835</v>
      </c>
      <c r="H762" s="1">
        <f t="shared" si="155"/>
        <v>0</v>
      </c>
      <c r="I762">
        <f t="shared" si="162"/>
        <v>0</v>
      </c>
      <c r="J762">
        <f t="shared" si="162"/>
        <v>0</v>
      </c>
      <c r="K762">
        <f t="shared" si="162"/>
        <v>0</v>
      </c>
      <c r="L762">
        <f t="shared" si="162"/>
        <v>0</v>
      </c>
      <c r="M762">
        <f t="shared" si="162"/>
        <v>0</v>
      </c>
      <c r="N762">
        <f t="shared" si="162"/>
        <v>0</v>
      </c>
      <c r="O762">
        <f t="shared" si="162"/>
        <v>0</v>
      </c>
      <c r="P762">
        <f t="shared" si="162"/>
        <v>0</v>
      </c>
      <c r="Q762">
        <f t="shared" si="162"/>
        <v>0</v>
      </c>
      <c r="R762">
        <f t="shared" si="162"/>
        <v>0</v>
      </c>
      <c r="S762">
        <f t="shared" si="162"/>
        <v>0</v>
      </c>
      <c r="T762">
        <f t="shared" si="162"/>
        <v>0</v>
      </c>
      <c r="U762">
        <f t="shared" si="162"/>
        <v>0</v>
      </c>
      <c r="V762">
        <f t="shared" si="162"/>
        <v>0</v>
      </c>
      <c r="W762">
        <f t="shared" si="162"/>
        <v>0</v>
      </c>
      <c r="X762">
        <f t="shared" ref="X762:AM777" si="164">IF(AND($G762&gt;=X$3,$G762&lt;X$4),$F762,0)</f>
        <v>0</v>
      </c>
      <c r="Y762">
        <f t="shared" si="164"/>
        <v>0</v>
      </c>
      <c r="Z762">
        <f t="shared" si="164"/>
        <v>0</v>
      </c>
      <c r="AA762">
        <f t="shared" si="164"/>
        <v>0</v>
      </c>
      <c r="AB762">
        <f t="shared" si="164"/>
        <v>0</v>
      </c>
      <c r="AC762">
        <f t="shared" si="164"/>
        <v>0</v>
      </c>
      <c r="AD762">
        <f t="shared" si="164"/>
        <v>0</v>
      </c>
      <c r="AE762">
        <f t="shared" si="164"/>
        <v>0</v>
      </c>
      <c r="AF762">
        <f t="shared" si="164"/>
        <v>0</v>
      </c>
      <c r="AG762">
        <f t="shared" si="164"/>
        <v>0</v>
      </c>
      <c r="AH762">
        <f t="shared" si="164"/>
        <v>0</v>
      </c>
      <c r="AI762">
        <f t="shared" si="164"/>
        <v>0</v>
      </c>
      <c r="AJ762">
        <f t="shared" si="164"/>
        <v>0</v>
      </c>
      <c r="AK762">
        <f t="shared" si="164"/>
        <v>0</v>
      </c>
      <c r="AL762">
        <f t="shared" si="164"/>
        <v>0</v>
      </c>
      <c r="AM762">
        <f t="shared" si="164"/>
        <v>0</v>
      </c>
      <c r="AN762">
        <f t="shared" si="163"/>
        <v>0</v>
      </c>
      <c r="AO762">
        <f t="shared" si="163"/>
        <v>0</v>
      </c>
      <c r="AP762">
        <f t="shared" si="163"/>
        <v>0</v>
      </c>
      <c r="AQ762">
        <f t="shared" si="163"/>
        <v>0</v>
      </c>
      <c r="AR762">
        <f t="shared" si="163"/>
        <v>0</v>
      </c>
    </row>
    <row r="763" spans="5:44" x14ac:dyDescent="0.2">
      <c r="E763" s="1">
        <f>moment_rate!$AC763</f>
        <v>0</v>
      </c>
      <c r="F763" s="1">
        <f t="shared" si="154"/>
        <v>0</v>
      </c>
      <c r="G763">
        <f>moment_rate!I763-0.005</f>
        <v>7.5599999999998833</v>
      </c>
      <c r="H763" s="1">
        <f t="shared" si="155"/>
        <v>0</v>
      </c>
      <c r="I763">
        <f t="shared" ref="I763:X778" si="165">IF(AND($G763&gt;=I$3,$G763&lt;I$4),$F763,0)</f>
        <v>0</v>
      </c>
      <c r="J763">
        <f t="shared" si="165"/>
        <v>0</v>
      </c>
      <c r="K763">
        <f t="shared" si="165"/>
        <v>0</v>
      </c>
      <c r="L763">
        <f t="shared" si="165"/>
        <v>0</v>
      </c>
      <c r="M763">
        <f t="shared" si="165"/>
        <v>0</v>
      </c>
      <c r="N763">
        <f t="shared" si="165"/>
        <v>0</v>
      </c>
      <c r="O763">
        <f t="shared" si="165"/>
        <v>0</v>
      </c>
      <c r="P763">
        <f t="shared" si="165"/>
        <v>0</v>
      </c>
      <c r="Q763">
        <f t="shared" si="165"/>
        <v>0</v>
      </c>
      <c r="R763">
        <f t="shared" si="165"/>
        <v>0</v>
      </c>
      <c r="S763">
        <f t="shared" si="165"/>
        <v>0</v>
      </c>
      <c r="T763">
        <f t="shared" si="165"/>
        <v>0</v>
      </c>
      <c r="U763">
        <f t="shared" si="165"/>
        <v>0</v>
      </c>
      <c r="V763">
        <f t="shared" si="165"/>
        <v>0</v>
      </c>
      <c r="W763">
        <f t="shared" si="165"/>
        <v>0</v>
      </c>
      <c r="X763">
        <f t="shared" si="165"/>
        <v>0</v>
      </c>
      <c r="Y763">
        <f t="shared" si="164"/>
        <v>0</v>
      </c>
      <c r="Z763">
        <f t="shared" si="164"/>
        <v>0</v>
      </c>
      <c r="AA763">
        <f t="shared" si="164"/>
        <v>0</v>
      </c>
      <c r="AB763">
        <f t="shared" si="164"/>
        <v>0</v>
      </c>
      <c r="AC763">
        <f t="shared" si="164"/>
        <v>0</v>
      </c>
      <c r="AD763">
        <f t="shared" si="164"/>
        <v>0</v>
      </c>
      <c r="AE763">
        <f t="shared" si="164"/>
        <v>0</v>
      </c>
      <c r="AF763">
        <f t="shared" si="164"/>
        <v>0</v>
      </c>
      <c r="AG763">
        <f t="shared" si="164"/>
        <v>0</v>
      </c>
      <c r="AH763">
        <f t="shared" si="164"/>
        <v>0</v>
      </c>
      <c r="AI763">
        <f t="shared" si="164"/>
        <v>0</v>
      </c>
      <c r="AJ763">
        <f t="shared" si="164"/>
        <v>0</v>
      </c>
      <c r="AK763">
        <f t="shared" si="164"/>
        <v>0</v>
      </c>
      <c r="AL763">
        <f t="shared" si="164"/>
        <v>0</v>
      </c>
      <c r="AM763">
        <f t="shared" si="164"/>
        <v>0</v>
      </c>
      <c r="AN763">
        <f t="shared" si="163"/>
        <v>0</v>
      </c>
      <c r="AO763">
        <f t="shared" si="163"/>
        <v>0</v>
      </c>
      <c r="AP763">
        <f t="shared" si="163"/>
        <v>0</v>
      </c>
      <c r="AQ763">
        <f t="shared" si="163"/>
        <v>0</v>
      </c>
      <c r="AR763">
        <f t="shared" si="163"/>
        <v>0</v>
      </c>
    </row>
    <row r="764" spans="5:44" x14ac:dyDescent="0.2">
      <c r="E764" s="1">
        <f>moment_rate!$AC764</f>
        <v>0</v>
      </c>
      <c r="F764" s="1">
        <f t="shared" si="154"/>
        <v>0</v>
      </c>
      <c r="G764">
        <f>moment_rate!I764-0.005</f>
        <v>7.569999999999883</v>
      </c>
      <c r="H764" s="1">
        <f t="shared" si="155"/>
        <v>0</v>
      </c>
      <c r="I764">
        <f t="shared" si="165"/>
        <v>0</v>
      </c>
      <c r="J764">
        <f t="shared" si="165"/>
        <v>0</v>
      </c>
      <c r="K764">
        <f t="shared" si="165"/>
        <v>0</v>
      </c>
      <c r="L764">
        <f t="shared" si="165"/>
        <v>0</v>
      </c>
      <c r="M764">
        <f t="shared" si="165"/>
        <v>0</v>
      </c>
      <c r="N764">
        <f t="shared" si="165"/>
        <v>0</v>
      </c>
      <c r="O764">
        <f t="shared" si="165"/>
        <v>0</v>
      </c>
      <c r="P764">
        <f t="shared" si="165"/>
        <v>0</v>
      </c>
      <c r="Q764">
        <f t="shared" si="165"/>
        <v>0</v>
      </c>
      <c r="R764">
        <f t="shared" si="165"/>
        <v>0</v>
      </c>
      <c r="S764">
        <f t="shared" si="165"/>
        <v>0</v>
      </c>
      <c r="T764">
        <f t="shared" si="165"/>
        <v>0</v>
      </c>
      <c r="U764">
        <f t="shared" si="165"/>
        <v>0</v>
      </c>
      <c r="V764">
        <f t="shared" si="165"/>
        <v>0</v>
      </c>
      <c r="W764">
        <f t="shared" si="165"/>
        <v>0</v>
      </c>
      <c r="X764">
        <f t="shared" si="165"/>
        <v>0</v>
      </c>
      <c r="Y764">
        <f t="shared" si="164"/>
        <v>0</v>
      </c>
      <c r="Z764">
        <f t="shared" si="164"/>
        <v>0</v>
      </c>
      <c r="AA764">
        <f t="shared" si="164"/>
        <v>0</v>
      </c>
      <c r="AB764">
        <f t="shared" si="164"/>
        <v>0</v>
      </c>
      <c r="AC764">
        <f t="shared" si="164"/>
        <v>0</v>
      </c>
      <c r="AD764">
        <f t="shared" si="164"/>
        <v>0</v>
      </c>
      <c r="AE764">
        <f t="shared" si="164"/>
        <v>0</v>
      </c>
      <c r="AF764">
        <f t="shared" si="164"/>
        <v>0</v>
      </c>
      <c r="AG764">
        <f t="shared" si="164"/>
        <v>0</v>
      </c>
      <c r="AH764">
        <f t="shared" si="164"/>
        <v>0</v>
      </c>
      <c r="AI764">
        <f t="shared" si="164"/>
        <v>0</v>
      </c>
      <c r="AJ764">
        <f t="shared" si="164"/>
        <v>0</v>
      </c>
      <c r="AK764">
        <f t="shared" si="164"/>
        <v>0</v>
      </c>
      <c r="AL764">
        <f t="shared" si="164"/>
        <v>0</v>
      </c>
      <c r="AM764">
        <f t="shared" si="164"/>
        <v>0</v>
      </c>
      <c r="AN764">
        <f t="shared" si="163"/>
        <v>0</v>
      </c>
      <c r="AO764">
        <f t="shared" si="163"/>
        <v>0</v>
      </c>
      <c r="AP764">
        <f t="shared" si="163"/>
        <v>0</v>
      </c>
      <c r="AQ764">
        <f t="shared" si="163"/>
        <v>0</v>
      </c>
      <c r="AR764">
        <f t="shared" si="163"/>
        <v>0</v>
      </c>
    </row>
    <row r="765" spans="5:44" x14ac:dyDescent="0.2">
      <c r="E765" s="1">
        <f>moment_rate!$AC765</f>
        <v>0</v>
      </c>
      <c r="F765" s="1">
        <f t="shared" si="154"/>
        <v>0</v>
      </c>
      <c r="G765">
        <f>moment_rate!I765-0.005</f>
        <v>7.5799999999998828</v>
      </c>
      <c r="H765" s="1">
        <f t="shared" si="155"/>
        <v>0</v>
      </c>
      <c r="I765">
        <f t="shared" si="165"/>
        <v>0</v>
      </c>
      <c r="J765">
        <f t="shared" si="165"/>
        <v>0</v>
      </c>
      <c r="K765">
        <f t="shared" si="165"/>
        <v>0</v>
      </c>
      <c r="L765">
        <f t="shared" si="165"/>
        <v>0</v>
      </c>
      <c r="M765">
        <f t="shared" si="165"/>
        <v>0</v>
      </c>
      <c r="N765">
        <f t="shared" si="165"/>
        <v>0</v>
      </c>
      <c r="O765">
        <f t="shared" si="165"/>
        <v>0</v>
      </c>
      <c r="P765">
        <f t="shared" si="165"/>
        <v>0</v>
      </c>
      <c r="Q765">
        <f t="shared" si="165"/>
        <v>0</v>
      </c>
      <c r="R765">
        <f t="shared" si="165"/>
        <v>0</v>
      </c>
      <c r="S765">
        <f t="shared" si="165"/>
        <v>0</v>
      </c>
      <c r="T765">
        <f t="shared" si="165"/>
        <v>0</v>
      </c>
      <c r="U765">
        <f t="shared" si="165"/>
        <v>0</v>
      </c>
      <c r="V765">
        <f t="shared" si="165"/>
        <v>0</v>
      </c>
      <c r="W765">
        <f t="shared" si="165"/>
        <v>0</v>
      </c>
      <c r="X765">
        <f t="shared" si="165"/>
        <v>0</v>
      </c>
      <c r="Y765">
        <f t="shared" si="164"/>
        <v>0</v>
      </c>
      <c r="Z765">
        <f t="shared" si="164"/>
        <v>0</v>
      </c>
      <c r="AA765">
        <f t="shared" si="164"/>
        <v>0</v>
      </c>
      <c r="AB765">
        <f t="shared" si="164"/>
        <v>0</v>
      </c>
      <c r="AC765">
        <f t="shared" si="164"/>
        <v>0</v>
      </c>
      <c r="AD765">
        <f t="shared" si="164"/>
        <v>0</v>
      </c>
      <c r="AE765">
        <f t="shared" si="164"/>
        <v>0</v>
      </c>
      <c r="AF765">
        <f t="shared" si="164"/>
        <v>0</v>
      </c>
      <c r="AG765">
        <f t="shared" si="164"/>
        <v>0</v>
      </c>
      <c r="AH765">
        <f t="shared" si="164"/>
        <v>0</v>
      </c>
      <c r="AI765">
        <f t="shared" si="164"/>
        <v>0</v>
      </c>
      <c r="AJ765">
        <f t="shared" si="164"/>
        <v>0</v>
      </c>
      <c r="AK765">
        <f t="shared" si="164"/>
        <v>0</v>
      </c>
      <c r="AL765">
        <f t="shared" si="164"/>
        <v>0</v>
      </c>
      <c r="AM765">
        <f t="shared" si="164"/>
        <v>0</v>
      </c>
      <c r="AN765">
        <f t="shared" si="163"/>
        <v>0</v>
      </c>
      <c r="AO765">
        <f t="shared" si="163"/>
        <v>0</v>
      </c>
      <c r="AP765">
        <f t="shared" si="163"/>
        <v>0</v>
      </c>
      <c r="AQ765">
        <f t="shared" si="163"/>
        <v>0</v>
      </c>
      <c r="AR765">
        <f t="shared" si="163"/>
        <v>0</v>
      </c>
    </row>
    <row r="766" spans="5:44" x14ac:dyDescent="0.2">
      <c r="E766" s="1">
        <f>moment_rate!$AC766</f>
        <v>0</v>
      </c>
      <c r="F766" s="1">
        <f t="shared" si="154"/>
        <v>0</v>
      </c>
      <c r="G766">
        <f>moment_rate!I766-0.005</f>
        <v>7.5899999999998826</v>
      </c>
      <c r="H766" s="1">
        <f t="shared" si="155"/>
        <v>0</v>
      </c>
      <c r="I766">
        <f t="shared" si="165"/>
        <v>0</v>
      </c>
      <c r="J766">
        <f t="shared" si="165"/>
        <v>0</v>
      </c>
      <c r="K766">
        <f t="shared" si="165"/>
        <v>0</v>
      </c>
      <c r="L766">
        <f t="shared" si="165"/>
        <v>0</v>
      </c>
      <c r="M766">
        <f t="shared" si="165"/>
        <v>0</v>
      </c>
      <c r="N766">
        <f t="shared" si="165"/>
        <v>0</v>
      </c>
      <c r="O766">
        <f t="shared" si="165"/>
        <v>0</v>
      </c>
      <c r="P766">
        <f t="shared" si="165"/>
        <v>0</v>
      </c>
      <c r="Q766">
        <f t="shared" si="165"/>
        <v>0</v>
      </c>
      <c r="R766">
        <f t="shared" si="165"/>
        <v>0</v>
      </c>
      <c r="S766">
        <f t="shared" si="165"/>
        <v>0</v>
      </c>
      <c r="T766">
        <f t="shared" si="165"/>
        <v>0</v>
      </c>
      <c r="U766">
        <f t="shared" si="165"/>
        <v>0</v>
      </c>
      <c r="V766">
        <f t="shared" si="165"/>
        <v>0</v>
      </c>
      <c r="W766">
        <f t="shared" si="165"/>
        <v>0</v>
      </c>
      <c r="X766">
        <f t="shared" si="165"/>
        <v>0</v>
      </c>
      <c r="Y766">
        <f t="shared" si="164"/>
        <v>0</v>
      </c>
      <c r="Z766">
        <f t="shared" si="164"/>
        <v>0</v>
      </c>
      <c r="AA766">
        <f t="shared" si="164"/>
        <v>0</v>
      </c>
      <c r="AB766">
        <f t="shared" si="164"/>
        <v>0</v>
      </c>
      <c r="AC766">
        <f t="shared" si="164"/>
        <v>0</v>
      </c>
      <c r="AD766">
        <f t="shared" si="164"/>
        <v>0</v>
      </c>
      <c r="AE766">
        <f t="shared" si="164"/>
        <v>0</v>
      </c>
      <c r="AF766">
        <f t="shared" si="164"/>
        <v>0</v>
      </c>
      <c r="AG766">
        <f t="shared" si="164"/>
        <v>0</v>
      </c>
      <c r="AH766">
        <f t="shared" si="164"/>
        <v>0</v>
      </c>
      <c r="AI766">
        <f t="shared" si="164"/>
        <v>0</v>
      </c>
      <c r="AJ766">
        <f t="shared" si="164"/>
        <v>0</v>
      </c>
      <c r="AK766">
        <f t="shared" si="164"/>
        <v>0</v>
      </c>
      <c r="AL766">
        <f t="shared" si="164"/>
        <v>0</v>
      </c>
      <c r="AM766">
        <f t="shared" si="164"/>
        <v>0</v>
      </c>
      <c r="AN766">
        <f t="shared" si="163"/>
        <v>0</v>
      </c>
      <c r="AO766">
        <f t="shared" si="163"/>
        <v>0</v>
      </c>
      <c r="AP766">
        <f t="shared" si="163"/>
        <v>0</v>
      </c>
      <c r="AQ766">
        <f t="shared" si="163"/>
        <v>0</v>
      </c>
      <c r="AR766">
        <f t="shared" si="163"/>
        <v>0</v>
      </c>
    </row>
    <row r="767" spans="5:44" x14ac:dyDescent="0.2">
      <c r="E767" s="1">
        <f>moment_rate!$AC767</f>
        <v>0</v>
      </c>
      <c r="F767" s="1">
        <f t="shared" si="154"/>
        <v>0</v>
      </c>
      <c r="G767">
        <f>moment_rate!I767-0.005</f>
        <v>7.5999999999998824</v>
      </c>
      <c r="H767" s="1">
        <f t="shared" si="155"/>
        <v>0</v>
      </c>
      <c r="I767">
        <f t="shared" si="165"/>
        <v>0</v>
      </c>
      <c r="J767">
        <f t="shared" si="165"/>
        <v>0</v>
      </c>
      <c r="K767">
        <f t="shared" si="165"/>
        <v>0</v>
      </c>
      <c r="L767">
        <f t="shared" si="165"/>
        <v>0</v>
      </c>
      <c r="M767">
        <f t="shared" si="165"/>
        <v>0</v>
      </c>
      <c r="N767">
        <f t="shared" si="165"/>
        <v>0</v>
      </c>
      <c r="O767">
        <f t="shared" si="165"/>
        <v>0</v>
      </c>
      <c r="P767">
        <f t="shared" si="165"/>
        <v>0</v>
      </c>
      <c r="Q767">
        <f t="shared" si="165"/>
        <v>0</v>
      </c>
      <c r="R767">
        <f t="shared" si="165"/>
        <v>0</v>
      </c>
      <c r="S767">
        <f t="shared" si="165"/>
        <v>0</v>
      </c>
      <c r="T767">
        <f t="shared" si="165"/>
        <v>0</v>
      </c>
      <c r="U767">
        <f t="shared" si="165"/>
        <v>0</v>
      </c>
      <c r="V767">
        <f t="shared" si="165"/>
        <v>0</v>
      </c>
      <c r="W767">
        <f t="shared" si="165"/>
        <v>0</v>
      </c>
      <c r="X767">
        <f t="shared" si="165"/>
        <v>0</v>
      </c>
      <c r="Y767">
        <f t="shared" si="164"/>
        <v>0</v>
      </c>
      <c r="Z767">
        <f t="shared" si="164"/>
        <v>0</v>
      </c>
      <c r="AA767">
        <f t="shared" si="164"/>
        <v>0</v>
      </c>
      <c r="AB767">
        <f t="shared" si="164"/>
        <v>0</v>
      </c>
      <c r="AC767">
        <f t="shared" si="164"/>
        <v>0</v>
      </c>
      <c r="AD767">
        <f t="shared" si="164"/>
        <v>0</v>
      </c>
      <c r="AE767">
        <f t="shared" si="164"/>
        <v>0</v>
      </c>
      <c r="AF767">
        <f t="shared" si="164"/>
        <v>0</v>
      </c>
      <c r="AG767">
        <f t="shared" si="164"/>
        <v>0</v>
      </c>
      <c r="AH767">
        <f t="shared" si="164"/>
        <v>0</v>
      </c>
      <c r="AI767">
        <f t="shared" si="164"/>
        <v>0</v>
      </c>
      <c r="AJ767">
        <f t="shared" si="164"/>
        <v>0</v>
      </c>
      <c r="AK767">
        <f t="shared" si="164"/>
        <v>0</v>
      </c>
      <c r="AL767">
        <f t="shared" si="164"/>
        <v>0</v>
      </c>
      <c r="AM767">
        <f t="shared" si="164"/>
        <v>0</v>
      </c>
      <c r="AN767">
        <f t="shared" si="163"/>
        <v>0</v>
      </c>
      <c r="AO767">
        <f t="shared" si="163"/>
        <v>0</v>
      </c>
      <c r="AP767">
        <f t="shared" si="163"/>
        <v>0</v>
      </c>
      <c r="AQ767">
        <f t="shared" si="163"/>
        <v>0</v>
      </c>
      <c r="AR767">
        <f t="shared" si="163"/>
        <v>0</v>
      </c>
    </row>
    <row r="768" spans="5:44" x14ac:dyDescent="0.2">
      <c r="E768" s="1">
        <f>moment_rate!$AC768</f>
        <v>0</v>
      </c>
      <c r="F768" s="1">
        <f t="shared" si="154"/>
        <v>0</v>
      </c>
      <c r="G768">
        <f>moment_rate!I768-0.005</f>
        <v>7.6099999999998822</v>
      </c>
      <c r="H768" s="1">
        <f t="shared" si="155"/>
        <v>0</v>
      </c>
      <c r="I768">
        <f t="shared" si="165"/>
        <v>0</v>
      </c>
      <c r="J768">
        <f t="shared" si="165"/>
        <v>0</v>
      </c>
      <c r="K768">
        <f t="shared" si="165"/>
        <v>0</v>
      </c>
      <c r="L768">
        <f t="shared" si="165"/>
        <v>0</v>
      </c>
      <c r="M768">
        <f t="shared" si="165"/>
        <v>0</v>
      </c>
      <c r="N768">
        <f t="shared" si="165"/>
        <v>0</v>
      </c>
      <c r="O768">
        <f t="shared" si="165"/>
        <v>0</v>
      </c>
      <c r="P768">
        <f t="shared" si="165"/>
        <v>0</v>
      </c>
      <c r="Q768">
        <f t="shared" si="165"/>
        <v>0</v>
      </c>
      <c r="R768">
        <f t="shared" si="165"/>
        <v>0</v>
      </c>
      <c r="S768">
        <f t="shared" si="165"/>
        <v>0</v>
      </c>
      <c r="T768">
        <f t="shared" si="165"/>
        <v>0</v>
      </c>
      <c r="U768">
        <f t="shared" si="165"/>
        <v>0</v>
      </c>
      <c r="V768">
        <f t="shared" si="165"/>
        <v>0</v>
      </c>
      <c r="W768">
        <f t="shared" si="165"/>
        <v>0</v>
      </c>
      <c r="X768">
        <f t="shared" si="165"/>
        <v>0</v>
      </c>
      <c r="Y768">
        <f t="shared" si="164"/>
        <v>0</v>
      </c>
      <c r="Z768">
        <f t="shared" si="164"/>
        <v>0</v>
      </c>
      <c r="AA768">
        <f t="shared" si="164"/>
        <v>0</v>
      </c>
      <c r="AB768">
        <f t="shared" si="164"/>
        <v>0</v>
      </c>
      <c r="AC768">
        <f t="shared" si="164"/>
        <v>0</v>
      </c>
      <c r="AD768">
        <f t="shared" si="164"/>
        <v>0</v>
      </c>
      <c r="AE768">
        <f t="shared" si="164"/>
        <v>0</v>
      </c>
      <c r="AF768">
        <f t="shared" si="164"/>
        <v>0</v>
      </c>
      <c r="AG768">
        <f t="shared" si="164"/>
        <v>0</v>
      </c>
      <c r="AH768">
        <f t="shared" si="164"/>
        <v>0</v>
      </c>
      <c r="AI768">
        <f t="shared" si="164"/>
        <v>0</v>
      </c>
      <c r="AJ768">
        <f t="shared" si="164"/>
        <v>0</v>
      </c>
      <c r="AK768">
        <f t="shared" si="164"/>
        <v>0</v>
      </c>
      <c r="AL768">
        <f t="shared" si="164"/>
        <v>0</v>
      </c>
      <c r="AM768">
        <f t="shared" si="164"/>
        <v>0</v>
      </c>
      <c r="AN768">
        <f t="shared" si="163"/>
        <v>0</v>
      </c>
      <c r="AO768">
        <f t="shared" si="163"/>
        <v>0</v>
      </c>
      <c r="AP768">
        <f t="shared" si="163"/>
        <v>0</v>
      </c>
      <c r="AQ768">
        <f t="shared" si="163"/>
        <v>0</v>
      </c>
      <c r="AR768">
        <f t="shared" si="163"/>
        <v>0</v>
      </c>
    </row>
    <row r="769" spans="5:44" x14ac:dyDescent="0.2">
      <c r="E769" s="1">
        <f>moment_rate!$AC769</f>
        <v>0</v>
      </c>
      <c r="F769" s="1">
        <f t="shared" si="154"/>
        <v>0</v>
      </c>
      <c r="G769">
        <f>moment_rate!I769-0.005</f>
        <v>7.619999999999882</v>
      </c>
      <c r="H769" s="1">
        <f t="shared" si="155"/>
        <v>0</v>
      </c>
      <c r="I769">
        <f t="shared" si="165"/>
        <v>0</v>
      </c>
      <c r="J769">
        <f t="shared" si="165"/>
        <v>0</v>
      </c>
      <c r="K769">
        <f t="shared" si="165"/>
        <v>0</v>
      </c>
      <c r="L769">
        <f t="shared" si="165"/>
        <v>0</v>
      </c>
      <c r="M769">
        <f t="shared" si="165"/>
        <v>0</v>
      </c>
      <c r="N769">
        <f t="shared" si="165"/>
        <v>0</v>
      </c>
      <c r="O769">
        <f t="shared" si="165"/>
        <v>0</v>
      </c>
      <c r="P769">
        <f t="shared" si="165"/>
        <v>0</v>
      </c>
      <c r="Q769">
        <f t="shared" si="165"/>
        <v>0</v>
      </c>
      <c r="R769">
        <f t="shared" si="165"/>
        <v>0</v>
      </c>
      <c r="S769">
        <f t="shared" si="165"/>
        <v>0</v>
      </c>
      <c r="T769">
        <f t="shared" si="165"/>
        <v>0</v>
      </c>
      <c r="U769">
        <f t="shared" si="165"/>
        <v>0</v>
      </c>
      <c r="V769">
        <f t="shared" si="165"/>
        <v>0</v>
      </c>
      <c r="W769">
        <f t="shared" si="165"/>
        <v>0</v>
      </c>
      <c r="X769">
        <f t="shared" si="165"/>
        <v>0</v>
      </c>
      <c r="Y769">
        <f t="shared" si="164"/>
        <v>0</v>
      </c>
      <c r="Z769">
        <f t="shared" si="164"/>
        <v>0</v>
      </c>
      <c r="AA769">
        <f t="shared" si="164"/>
        <v>0</v>
      </c>
      <c r="AB769">
        <f t="shared" si="164"/>
        <v>0</v>
      </c>
      <c r="AC769">
        <f t="shared" si="164"/>
        <v>0</v>
      </c>
      <c r="AD769">
        <f t="shared" si="164"/>
        <v>0</v>
      </c>
      <c r="AE769">
        <f t="shared" si="164"/>
        <v>0</v>
      </c>
      <c r="AF769">
        <f t="shared" si="164"/>
        <v>0</v>
      </c>
      <c r="AG769">
        <f t="shared" si="164"/>
        <v>0</v>
      </c>
      <c r="AH769">
        <f t="shared" si="164"/>
        <v>0</v>
      </c>
      <c r="AI769">
        <f t="shared" si="164"/>
        <v>0</v>
      </c>
      <c r="AJ769">
        <f t="shared" si="164"/>
        <v>0</v>
      </c>
      <c r="AK769">
        <f t="shared" si="164"/>
        <v>0</v>
      </c>
      <c r="AL769">
        <f t="shared" si="164"/>
        <v>0</v>
      </c>
      <c r="AM769">
        <f t="shared" si="164"/>
        <v>0</v>
      </c>
      <c r="AN769">
        <f t="shared" si="163"/>
        <v>0</v>
      </c>
      <c r="AO769">
        <f t="shared" si="163"/>
        <v>0</v>
      </c>
      <c r="AP769">
        <f t="shared" si="163"/>
        <v>0</v>
      </c>
      <c r="AQ769">
        <f t="shared" si="163"/>
        <v>0</v>
      </c>
      <c r="AR769">
        <f t="shared" si="163"/>
        <v>0</v>
      </c>
    </row>
    <row r="770" spans="5:44" x14ac:dyDescent="0.2">
      <c r="E770" s="1">
        <f>moment_rate!$AC770</f>
        <v>0</v>
      </c>
      <c r="F770" s="1">
        <f t="shared" si="154"/>
        <v>0</v>
      </c>
      <c r="G770">
        <f>moment_rate!I770-0.005</f>
        <v>7.6299999999998818</v>
      </c>
      <c r="H770" s="1">
        <f t="shared" si="155"/>
        <v>0</v>
      </c>
      <c r="I770">
        <f t="shared" si="165"/>
        <v>0</v>
      </c>
      <c r="J770">
        <f t="shared" si="165"/>
        <v>0</v>
      </c>
      <c r="K770">
        <f t="shared" si="165"/>
        <v>0</v>
      </c>
      <c r="L770">
        <f t="shared" si="165"/>
        <v>0</v>
      </c>
      <c r="M770">
        <f t="shared" si="165"/>
        <v>0</v>
      </c>
      <c r="N770">
        <f t="shared" si="165"/>
        <v>0</v>
      </c>
      <c r="O770">
        <f t="shared" si="165"/>
        <v>0</v>
      </c>
      <c r="P770">
        <f t="shared" si="165"/>
        <v>0</v>
      </c>
      <c r="Q770">
        <f t="shared" si="165"/>
        <v>0</v>
      </c>
      <c r="R770">
        <f t="shared" si="165"/>
        <v>0</v>
      </c>
      <c r="S770">
        <f t="shared" si="165"/>
        <v>0</v>
      </c>
      <c r="T770">
        <f t="shared" si="165"/>
        <v>0</v>
      </c>
      <c r="U770">
        <f t="shared" si="165"/>
        <v>0</v>
      </c>
      <c r="V770">
        <f t="shared" si="165"/>
        <v>0</v>
      </c>
      <c r="W770">
        <f t="shared" si="165"/>
        <v>0</v>
      </c>
      <c r="X770">
        <f t="shared" si="165"/>
        <v>0</v>
      </c>
      <c r="Y770">
        <f t="shared" si="164"/>
        <v>0</v>
      </c>
      <c r="Z770">
        <f t="shared" si="164"/>
        <v>0</v>
      </c>
      <c r="AA770">
        <f t="shared" si="164"/>
        <v>0</v>
      </c>
      <c r="AB770">
        <f t="shared" si="164"/>
        <v>0</v>
      </c>
      <c r="AC770">
        <f t="shared" si="164"/>
        <v>0</v>
      </c>
      <c r="AD770">
        <f t="shared" si="164"/>
        <v>0</v>
      </c>
      <c r="AE770">
        <f t="shared" si="164"/>
        <v>0</v>
      </c>
      <c r="AF770">
        <f t="shared" si="164"/>
        <v>0</v>
      </c>
      <c r="AG770">
        <f t="shared" si="164"/>
        <v>0</v>
      </c>
      <c r="AH770">
        <f t="shared" si="164"/>
        <v>0</v>
      </c>
      <c r="AI770">
        <f t="shared" si="164"/>
        <v>0</v>
      </c>
      <c r="AJ770">
        <f t="shared" si="164"/>
        <v>0</v>
      </c>
      <c r="AK770">
        <f t="shared" si="164"/>
        <v>0</v>
      </c>
      <c r="AL770">
        <f t="shared" si="164"/>
        <v>0</v>
      </c>
      <c r="AM770">
        <f t="shared" si="164"/>
        <v>0</v>
      </c>
      <c r="AN770">
        <f t="shared" si="163"/>
        <v>0</v>
      </c>
      <c r="AO770">
        <f t="shared" si="163"/>
        <v>0</v>
      </c>
      <c r="AP770">
        <f t="shared" si="163"/>
        <v>0</v>
      </c>
      <c r="AQ770">
        <f t="shared" si="163"/>
        <v>0</v>
      </c>
      <c r="AR770">
        <f t="shared" si="163"/>
        <v>0</v>
      </c>
    </row>
    <row r="771" spans="5:44" x14ac:dyDescent="0.2">
      <c r="E771" s="1">
        <f>moment_rate!$AC771</f>
        <v>0</v>
      </c>
      <c r="F771" s="1">
        <f t="shared" si="154"/>
        <v>0</v>
      </c>
      <c r="G771">
        <f>moment_rate!I771-0.005</f>
        <v>7.6399999999998816</v>
      </c>
      <c r="H771" s="1">
        <f t="shared" si="155"/>
        <v>0</v>
      </c>
      <c r="I771">
        <f t="shared" si="165"/>
        <v>0</v>
      </c>
      <c r="J771">
        <f t="shared" si="165"/>
        <v>0</v>
      </c>
      <c r="K771">
        <f t="shared" si="165"/>
        <v>0</v>
      </c>
      <c r="L771">
        <f t="shared" si="165"/>
        <v>0</v>
      </c>
      <c r="M771">
        <f t="shared" si="165"/>
        <v>0</v>
      </c>
      <c r="N771">
        <f t="shared" si="165"/>
        <v>0</v>
      </c>
      <c r="O771">
        <f t="shared" si="165"/>
        <v>0</v>
      </c>
      <c r="P771">
        <f t="shared" si="165"/>
        <v>0</v>
      </c>
      <c r="Q771">
        <f t="shared" si="165"/>
        <v>0</v>
      </c>
      <c r="R771">
        <f t="shared" si="165"/>
        <v>0</v>
      </c>
      <c r="S771">
        <f t="shared" si="165"/>
        <v>0</v>
      </c>
      <c r="T771">
        <f t="shared" si="165"/>
        <v>0</v>
      </c>
      <c r="U771">
        <f t="shared" si="165"/>
        <v>0</v>
      </c>
      <c r="V771">
        <f t="shared" si="165"/>
        <v>0</v>
      </c>
      <c r="W771">
        <f t="shared" si="165"/>
        <v>0</v>
      </c>
      <c r="X771">
        <f t="shared" si="165"/>
        <v>0</v>
      </c>
      <c r="Y771">
        <f t="shared" si="164"/>
        <v>0</v>
      </c>
      <c r="Z771">
        <f t="shared" si="164"/>
        <v>0</v>
      </c>
      <c r="AA771">
        <f t="shared" si="164"/>
        <v>0</v>
      </c>
      <c r="AB771">
        <f t="shared" si="164"/>
        <v>0</v>
      </c>
      <c r="AC771">
        <f t="shared" si="164"/>
        <v>0</v>
      </c>
      <c r="AD771">
        <f t="shared" si="164"/>
        <v>0</v>
      </c>
      <c r="AE771">
        <f t="shared" si="164"/>
        <v>0</v>
      </c>
      <c r="AF771">
        <f t="shared" si="164"/>
        <v>0</v>
      </c>
      <c r="AG771">
        <f t="shared" si="164"/>
        <v>0</v>
      </c>
      <c r="AH771">
        <f t="shared" si="164"/>
        <v>0</v>
      </c>
      <c r="AI771">
        <f t="shared" si="164"/>
        <v>0</v>
      </c>
      <c r="AJ771">
        <f t="shared" si="164"/>
        <v>0</v>
      </c>
      <c r="AK771">
        <f t="shared" si="164"/>
        <v>0</v>
      </c>
      <c r="AL771">
        <f t="shared" si="164"/>
        <v>0</v>
      </c>
      <c r="AM771">
        <f t="shared" si="164"/>
        <v>0</v>
      </c>
      <c r="AN771">
        <f t="shared" si="163"/>
        <v>0</v>
      </c>
      <c r="AO771">
        <f t="shared" si="163"/>
        <v>0</v>
      </c>
      <c r="AP771">
        <f t="shared" si="163"/>
        <v>0</v>
      </c>
      <c r="AQ771">
        <f t="shared" si="163"/>
        <v>0</v>
      </c>
      <c r="AR771">
        <f t="shared" si="163"/>
        <v>0</v>
      </c>
    </row>
    <row r="772" spans="5:44" x14ac:dyDescent="0.2">
      <c r="E772" s="1">
        <f>moment_rate!$AC772</f>
        <v>0</v>
      </c>
      <c r="F772" s="1">
        <f t="shared" si="154"/>
        <v>0</v>
      </c>
      <c r="G772">
        <f>moment_rate!I772-0.005</f>
        <v>7.6499999999998813</v>
      </c>
      <c r="H772" s="1">
        <f t="shared" si="155"/>
        <v>0</v>
      </c>
      <c r="I772">
        <f t="shared" si="165"/>
        <v>0</v>
      </c>
      <c r="J772">
        <f t="shared" si="165"/>
        <v>0</v>
      </c>
      <c r="K772">
        <f t="shared" si="165"/>
        <v>0</v>
      </c>
      <c r="L772">
        <f t="shared" si="165"/>
        <v>0</v>
      </c>
      <c r="M772">
        <f t="shared" si="165"/>
        <v>0</v>
      </c>
      <c r="N772">
        <f t="shared" si="165"/>
        <v>0</v>
      </c>
      <c r="O772">
        <f t="shared" si="165"/>
        <v>0</v>
      </c>
      <c r="P772">
        <f t="shared" si="165"/>
        <v>0</v>
      </c>
      <c r="Q772">
        <f t="shared" si="165"/>
        <v>0</v>
      </c>
      <c r="R772">
        <f t="shared" si="165"/>
        <v>0</v>
      </c>
      <c r="S772">
        <f t="shared" si="165"/>
        <v>0</v>
      </c>
      <c r="T772">
        <f t="shared" si="165"/>
        <v>0</v>
      </c>
      <c r="U772">
        <f t="shared" si="165"/>
        <v>0</v>
      </c>
      <c r="V772">
        <f t="shared" si="165"/>
        <v>0</v>
      </c>
      <c r="W772">
        <f t="shared" si="165"/>
        <v>0</v>
      </c>
      <c r="X772">
        <f t="shared" si="165"/>
        <v>0</v>
      </c>
      <c r="Y772">
        <f t="shared" si="164"/>
        <v>0</v>
      </c>
      <c r="Z772">
        <f t="shared" si="164"/>
        <v>0</v>
      </c>
      <c r="AA772">
        <f t="shared" si="164"/>
        <v>0</v>
      </c>
      <c r="AB772">
        <f t="shared" si="164"/>
        <v>0</v>
      </c>
      <c r="AC772">
        <f t="shared" si="164"/>
        <v>0</v>
      </c>
      <c r="AD772">
        <f t="shared" si="164"/>
        <v>0</v>
      </c>
      <c r="AE772">
        <f t="shared" si="164"/>
        <v>0</v>
      </c>
      <c r="AF772">
        <f t="shared" si="164"/>
        <v>0</v>
      </c>
      <c r="AG772">
        <f t="shared" si="164"/>
        <v>0</v>
      </c>
      <c r="AH772">
        <f t="shared" si="164"/>
        <v>0</v>
      </c>
      <c r="AI772">
        <f t="shared" si="164"/>
        <v>0</v>
      </c>
      <c r="AJ772">
        <f t="shared" si="164"/>
        <v>0</v>
      </c>
      <c r="AK772">
        <f t="shared" si="164"/>
        <v>0</v>
      </c>
      <c r="AL772">
        <f t="shared" si="164"/>
        <v>0</v>
      </c>
      <c r="AM772">
        <f t="shared" si="164"/>
        <v>0</v>
      </c>
      <c r="AN772">
        <f t="shared" si="163"/>
        <v>0</v>
      </c>
      <c r="AO772">
        <f t="shared" si="163"/>
        <v>0</v>
      </c>
      <c r="AP772">
        <f t="shared" si="163"/>
        <v>0</v>
      </c>
      <c r="AQ772">
        <f t="shared" si="163"/>
        <v>0</v>
      </c>
      <c r="AR772">
        <f t="shared" si="163"/>
        <v>0</v>
      </c>
    </row>
    <row r="773" spans="5:44" x14ac:dyDescent="0.2">
      <c r="E773" s="1">
        <f>moment_rate!$AC773</f>
        <v>0</v>
      </c>
      <c r="F773" s="1">
        <f t="shared" si="154"/>
        <v>0</v>
      </c>
      <c r="G773">
        <f>moment_rate!I773-0.005</f>
        <v>7.6599999999998811</v>
      </c>
      <c r="H773" s="1">
        <f t="shared" si="155"/>
        <v>0</v>
      </c>
      <c r="I773">
        <f t="shared" si="165"/>
        <v>0</v>
      </c>
      <c r="J773">
        <f t="shared" si="165"/>
        <v>0</v>
      </c>
      <c r="K773">
        <f t="shared" si="165"/>
        <v>0</v>
      </c>
      <c r="L773">
        <f t="shared" si="165"/>
        <v>0</v>
      </c>
      <c r="M773">
        <f t="shared" si="165"/>
        <v>0</v>
      </c>
      <c r="N773">
        <f t="shared" si="165"/>
        <v>0</v>
      </c>
      <c r="O773">
        <f t="shared" si="165"/>
        <v>0</v>
      </c>
      <c r="P773">
        <f t="shared" si="165"/>
        <v>0</v>
      </c>
      <c r="Q773">
        <f t="shared" si="165"/>
        <v>0</v>
      </c>
      <c r="R773">
        <f t="shared" si="165"/>
        <v>0</v>
      </c>
      <c r="S773">
        <f t="shared" si="165"/>
        <v>0</v>
      </c>
      <c r="T773">
        <f t="shared" si="165"/>
        <v>0</v>
      </c>
      <c r="U773">
        <f t="shared" si="165"/>
        <v>0</v>
      </c>
      <c r="V773">
        <f t="shared" si="165"/>
        <v>0</v>
      </c>
      <c r="W773">
        <f t="shared" si="165"/>
        <v>0</v>
      </c>
      <c r="X773">
        <f t="shared" si="165"/>
        <v>0</v>
      </c>
      <c r="Y773">
        <f t="shared" si="164"/>
        <v>0</v>
      </c>
      <c r="Z773">
        <f t="shared" si="164"/>
        <v>0</v>
      </c>
      <c r="AA773">
        <f t="shared" si="164"/>
        <v>0</v>
      </c>
      <c r="AB773">
        <f t="shared" si="164"/>
        <v>0</v>
      </c>
      <c r="AC773">
        <f t="shared" si="164"/>
        <v>0</v>
      </c>
      <c r="AD773">
        <f t="shared" si="164"/>
        <v>0</v>
      </c>
      <c r="AE773">
        <f t="shared" si="164"/>
        <v>0</v>
      </c>
      <c r="AF773">
        <f t="shared" si="164"/>
        <v>0</v>
      </c>
      <c r="AG773">
        <f t="shared" si="164"/>
        <v>0</v>
      </c>
      <c r="AH773">
        <f t="shared" si="164"/>
        <v>0</v>
      </c>
      <c r="AI773">
        <f t="shared" si="164"/>
        <v>0</v>
      </c>
      <c r="AJ773">
        <f t="shared" si="164"/>
        <v>0</v>
      </c>
      <c r="AK773">
        <f t="shared" si="164"/>
        <v>0</v>
      </c>
      <c r="AL773">
        <f t="shared" si="164"/>
        <v>0</v>
      </c>
      <c r="AM773">
        <f t="shared" si="164"/>
        <v>0</v>
      </c>
      <c r="AN773">
        <f t="shared" si="163"/>
        <v>0</v>
      </c>
      <c r="AO773">
        <f t="shared" si="163"/>
        <v>0</v>
      </c>
      <c r="AP773">
        <f t="shared" si="163"/>
        <v>0</v>
      </c>
      <c r="AQ773">
        <f t="shared" si="163"/>
        <v>0</v>
      </c>
      <c r="AR773">
        <f t="shared" si="163"/>
        <v>0</v>
      </c>
    </row>
    <row r="774" spans="5:44" x14ac:dyDescent="0.2">
      <c r="E774" s="1">
        <f>moment_rate!$AC774</f>
        <v>0</v>
      </c>
      <c r="F774" s="1">
        <f t="shared" si="154"/>
        <v>0</v>
      </c>
      <c r="G774">
        <f>moment_rate!I774-0.005</f>
        <v>7.6699999999998809</v>
      </c>
      <c r="H774" s="1">
        <f t="shared" si="155"/>
        <v>0</v>
      </c>
      <c r="I774">
        <f t="shared" si="165"/>
        <v>0</v>
      </c>
      <c r="J774">
        <f t="shared" si="165"/>
        <v>0</v>
      </c>
      <c r="K774">
        <f t="shared" si="165"/>
        <v>0</v>
      </c>
      <c r="L774">
        <f t="shared" si="165"/>
        <v>0</v>
      </c>
      <c r="M774">
        <f t="shared" si="165"/>
        <v>0</v>
      </c>
      <c r="N774">
        <f t="shared" si="165"/>
        <v>0</v>
      </c>
      <c r="O774">
        <f t="shared" si="165"/>
        <v>0</v>
      </c>
      <c r="P774">
        <f t="shared" si="165"/>
        <v>0</v>
      </c>
      <c r="Q774">
        <f t="shared" si="165"/>
        <v>0</v>
      </c>
      <c r="R774">
        <f t="shared" si="165"/>
        <v>0</v>
      </c>
      <c r="S774">
        <f t="shared" si="165"/>
        <v>0</v>
      </c>
      <c r="T774">
        <f t="shared" si="165"/>
        <v>0</v>
      </c>
      <c r="U774">
        <f t="shared" si="165"/>
        <v>0</v>
      </c>
      <c r="V774">
        <f t="shared" si="165"/>
        <v>0</v>
      </c>
      <c r="W774">
        <f t="shared" si="165"/>
        <v>0</v>
      </c>
      <c r="X774">
        <f t="shared" si="165"/>
        <v>0</v>
      </c>
      <c r="Y774">
        <f t="shared" si="164"/>
        <v>0</v>
      </c>
      <c r="Z774">
        <f t="shared" si="164"/>
        <v>0</v>
      </c>
      <c r="AA774">
        <f t="shared" si="164"/>
        <v>0</v>
      </c>
      <c r="AB774">
        <f t="shared" si="164"/>
        <v>0</v>
      </c>
      <c r="AC774">
        <f t="shared" si="164"/>
        <v>0</v>
      </c>
      <c r="AD774">
        <f t="shared" si="164"/>
        <v>0</v>
      </c>
      <c r="AE774">
        <f t="shared" si="164"/>
        <v>0</v>
      </c>
      <c r="AF774">
        <f t="shared" si="164"/>
        <v>0</v>
      </c>
      <c r="AG774">
        <f t="shared" si="164"/>
        <v>0</v>
      </c>
      <c r="AH774">
        <f t="shared" si="164"/>
        <v>0</v>
      </c>
      <c r="AI774">
        <f t="shared" si="164"/>
        <v>0</v>
      </c>
      <c r="AJ774">
        <f t="shared" si="164"/>
        <v>0</v>
      </c>
      <c r="AK774">
        <f t="shared" si="164"/>
        <v>0</v>
      </c>
      <c r="AL774">
        <f t="shared" si="164"/>
        <v>0</v>
      </c>
      <c r="AM774">
        <f t="shared" si="164"/>
        <v>0</v>
      </c>
      <c r="AN774">
        <f t="shared" si="163"/>
        <v>0</v>
      </c>
      <c r="AO774">
        <f t="shared" si="163"/>
        <v>0</v>
      </c>
      <c r="AP774">
        <f t="shared" si="163"/>
        <v>0</v>
      </c>
      <c r="AQ774">
        <f t="shared" si="163"/>
        <v>0</v>
      </c>
      <c r="AR774">
        <f t="shared" si="163"/>
        <v>0</v>
      </c>
    </row>
    <row r="775" spans="5:44" x14ac:dyDescent="0.2">
      <c r="E775" s="1">
        <f>moment_rate!$AC775</f>
        <v>0</v>
      </c>
      <c r="F775" s="1">
        <f t="shared" si="154"/>
        <v>0</v>
      </c>
      <c r="G775">
        <f>moment_rate!I775-0.005</f>
        <v>7.6799999999998807</v>
      </c>
      <c r="H775" s="1">
        <f t="shared" si="155"/>
        <v>0</v>
      </c>
      <c r="I775">
        <f t="shared" si="165"/>
        <v>0</v>
      </c>
      <c r="J775">
        <f t="shared" si="165"/>
        <v>0</v>
      </c>
      <c r="K775">
        <f t="shared" si="165"/>
        <v>0</v>
      </c>
      <c r="L775">
        <f t="shared" si="165"/>
        <v>0</v>
      </c>
      <c r="M775">
        <f t="shared" si="165"/>
        <v>0</v>
      </c>
      <c r="N775">
        <f t="shared" si="165"/>
        <v>0</v>
      </c>
      <c r="O775">
        <f t="shared" si="165"/>
        <v>0</v>
      </c>
      <c r="P775">
        <f t="shared" si="165"/>
        <v>0</v>
      </c>
      <c r="Q775">
        <f t="shared" si="165"/>
        <v>0</v>
      </c>
      <c r="R775">
        <f t="shared" si="165"/>
        <v>0</v>
      </c>
      <c r="S775">
        <f t="shared" si="165"/>
        <v>0</v>
      </c>
      <c r="T775">
        <f t="shared" si="165"/>
        <v>0</v>
      </c>
      <c r="U775">
        <f t="shared" si="165"/>
        <v>0</v>
      </c>
      <c r="V775">
        <f t="shared" si="165"/>
        <v>0</v>
      </c>
      <c r="W775">
        <f t="shared" si="165"/>
        <v>0</v>
      </c>
      <c r="X775">
        <f t="shared" si="165"/>
        <v>0</v>
      </c>
      <c r="Y775">
        <f t="shared" si="164"/>
        <v>0</v>
      </c>
      <c r="Z775">
        <f t="shared" si="164"/>
        <v>0</v>
      </c>
      <c r="AA775">
        <f t="shared" si="164"/>
        <v>0</v>
      </c>
      <c r="AB775">
        <f t="shared" si="164"/>
        <v>0</v>
      </c>
      <c r="AC775">
        <f t="shared" si="164"/>
        <v>0</v>
      </c>
      <c r="AD775">
        <f t="shared" si="164"/>
        <v>0</v>
      </c>
      <c r="AE775">
        <f t="shared" si="164"/>
        <v>0</v>
      </c>
      <c r="AF775">
        <f t="shared" si="164"/>
        <v>0</v>
      </c>
      <c r="AG775">
        <f t="shared" si="164"/>
        <v>0</v>
      </c>
      <c r="AH775">
        <f t="shared" si="164"/>
        <v>0</v>
      </c>
      <c r="AI775">
        <f t="shared" si="164"/>
        <v>0</v>
      </c>
      <c r="AJ775">
        <f t="shared" si="164"/>
        <v>0</v>
      </c>
      <c r="AK775">
        <f t="shared" si="164"/>
        <v>0</v>
      </c>
      <c r="AL775">
        <f t="shared" si="164"/>
        <v>0</v>
      </c>
      <c r="AM775">
        <f t="shared" si="164"/>
        <v>0</v>
      </c>
      <c r="AN775">
        <f t="shared" si="163"/>
        <v>0</v>
      </c>
      <c r="AO775">
        <f t="shared" si="163"/>
        <v>0</v>
      </c>
      <c r="AP775">
        <f t="shared" si="163"/>
        <v>0</v>
      </c>
      <c r="AQ775">
        <f t="shared" si="163"/>
        <v>0</v>
      </c>
      <c r="AR775">
        <f t="shared" si="163"/>
        <v>0</v>
      </c>
    </row>
    <row r="776" spans="5:44" x14ac:dyDescent="0.2">
      <c r="E776" s="1">
        <f>moment_rate!$AC776</f>
        <v>0</v>
      </c>
      <c r="F776" s="1">
        <f t="shared" ref="F776:F839" si="166">E776-E777</f>
        <v>0</v>
      </c>
      <c r="G776">
        <f>moment_rate!I776-0.005</f>
        <v>7.6899999999998805</v>
      </c>
      <c r="H776" s="1">
        <f t="shared" ref="H776:H839" si="167">IF($G776&gt;=4.999,(E776-E777),0)</f>
        <v>0</v>
      </c>
      <c r="I776">
        <f t="shared" si="165"/>
        <v>0</v>
      </c>
      <c r="J776">
        <f t="shared" si="165"/>
        <v>0</v>
      </c>
      <c r="K776">
        <f t="shared" si="165"/>
        <v>0</v>
      </c>
      <c r="L776">
        <f t="shared" si="165"/>
        <v>0</v>
      </c>
      <c r="M776">
        <f t="shared" si="165"/>
        <v>0</v>
      </c>
      <c r="N776">
        <f t="shared" si="165"/>
        <v>0</v>
      </c>
      <c r="O776">
        <f t="shared" si="165"/>
        <v>0</v>
      </c>
      <c r="P776">
        <f t="shared" si="165"/>
        <v>0</v>
      </c>
      <c r="Q776">
        <f t="shared" si="165"/>
        <v>0</v>
      </c>
      <c r="R776">
        <f t="shared" si="165"/>
        <v>0</v>
      </c>
      <c r="S776">
        <f t="shared" si="165"/>
        <v>0</v>
      </c>
      <c r="T776">
        <f t="shared" si="165"/>
        <v>0</v>
      </c>
      <c r="U776">
        <f t="shared" si="165"/>
        <v>0</v>
      </c>
      <c r="V776">
        <f t="shared" si="165"/>
        <v>0</v>
      </c>
      <c r="W776">
        <f t="shared" si="165"/>
        <v>0</v>
      </c>
      <c r="X776">
        <f t="shared" si="165"/>
        <v>0</v>
      </c>
      <c r="Y776">
        <f t="shared" si="164"/>
        <v>0</v>
      </c>
      <c r="Z776">
        <f t="shared" si="164"/>
        <v>0</v>
      </c>
      <c r="AA776">
        <f t="shared" si="164"/>
        <v>0</v>
      </c>
      <c r="AB776">
        <f t="shared" si="164"/>
        <v>0</v>
      </c>
      <c r="AC776">
        <f t="shared" si="164"/>
        <v>0</v>
      </c>
      <c r="AD776">
        <f t="shared" si="164"/>
        <v>0</v>
      </c>
      <c r="AE776">
        <f t="shared" si="164"/>
        <v>0</v>
      </c>
      <c r="AF776">
        <f t="shared" si="164"/>
        <v>0</v>
      </c>
      <c r="AG776">
        <f t="shared" si="164"/>
        <v>0</v>
      </c>
      <c r="AH776">
        <f t="shared" si="164"/>
        <v>0</v>
      </c>
      <c r="AI776">
        <f t="shared" si="164"/>
        <v>0</v>
      </c>
      <c r="AJ776">
        <f t="shared" si="164"/>
        <v>0</v>
      </c>
      <c r="AK776">
        <f t="shared" si="164"/>
        <v>0</v>
      </c>
      <c r="AL776">
        <f t="shared" si="164"/>
        <v>0</v>
      </c>
      <c r="AM776">
        <f t="shared" si="164"/>
        <v>0</v>
      </c>
      <c r="AN776">
        <f t="shared" si="163"/>
        <v>0</v>
      </c>
      <c r="AO776">
        <f t="shared" si="163"/>
        <v>0</v>
      </c>
      <c r="AP776">
        <f t="shared" si="163"/>
        <v>0</v>
      </c>
      <c r="AQ776">
        <f t="shared" si="163"/>
        <v>0</v>
      </c>
      <c r="AR776">
        <f t="shared" si="163"/>
        <v>0</v>
      </c>
    </row>
    <row r="777" spans="5:44" x14ac:dyDescent="0.2">
      <c r="E777" s="1">
        <f>moment_rate!$AC777</f>
        <v>0</v>
      </c>
      <c r="F777" s="1">
        <f t="shared" si="166"/>
        <v>0</v>
      </c>
      <c r="G777">
        <f>moment_rate!I777-0.005</f>
        <v>7.6999999999998803</v>
      </c>
      <c r="H777" s="1">
        <f t="shared" si="167"/>
        <v>0</v>
      </c>
      <c r="I777">
        <f t="shared" si="165"/>
        <v>0</v>
      </c>
      <c r="J777">
        <f t="shared" si="165"/>
        <v>0</v>
      </c>
      <c r="K777">
        <f t="shared" si="165"/>
        <v>0</v>
      </c>
      <c r="L777">
        <f t="shared" si="165"/>
        <v>0</v>
      </c>
      <c r="M777">
        <f t="shared" si="165"/>
        <v>0</v>
      </c>
      <c r="N777">
        <f t="shared" si="165"/>
        <v>0</v>
      </c>
      <c r="O777">
        <f t="shared" si="165"/>
        <v>0</v>
      </c>
      <c r="P777">
        <f t="shared" si="165"/>
        <v>0</v>
      </c>
      <c r="Q777">
        <f t="shared" si="165"/>
        <v>0</v>
      </c>
      <c r="R777">
        <f t="shared" si="165"/>
        <v>0</v>
      </c>
      <c r="S777">
        <f t="shared" si="165"/>
        <v>0</v>
      </c>
      <c r="T777">
        <f t="shared" si="165"/>
        <v>0</v>
      </c>
      <c r="U777">
        <f t="shared" si="165"/>
        <v>0</v>
      </c>
      <c r="V777">
        <f t="shared" si="165"/>
        <v>0</v>
      </c>
      <c r="W777">
        <f t="shared" si="165"/>
        <v>0</v>
      </c>
      <c r="X777">
        <f t="shared" si="165"/>
        <v>0</v>
      </c>
      <c r="Y777">
        <f t="shared" si="164"/>
        <v>0</v>
      </c>
      <c r="Z777">
        <f t="shared" si="164"/>
        <v>0</v>
      </c>
      <c r="AA777">
        <f t="shared" si="164"/>
        <v>0</v>
      </c>
      <c r="AB777">
        <f t="shared" si="164"/>
        <v>0</v>
      </c>
      <c r="AC777">
        <f t="shared" si="164"/>
        <v>0</v>
      </c>
      <c r="AD777">
        <f t="shared" si="164"/>
        <v>0</v>
      </c>
      <c r="AE777">
        <f t="shared" si="164"/>
        <v>0</v>
      </c>
      <c r="AF777">
        <f t="shared" si="164"/>
        <v>0</v>
      </c>
      <c r="AG777">
        <f t="shared" si="164"/>
        <v>0</v>
      </c>
      <c r="AH777">
        <f t="shared" si="164"/>
        <v>0</v>
      </c>
      <c r="AI777">
        <f t="shared" si="164"/>
        <v>0</v>
      </c>
      <c r="AJ777">
        <f t="shared" si="164"/>
        <v>0</v>
      </c>
      <c r="AK777">
        <f t="shared" si="164"/>
        <v>0</v>
      </c>
      <c r="AL777">
        <f t="shared" si="164"/>
        <v>0</v>
      </c>
      <c r="AM777">
        <f t="shared" si="164"/>
        <v>0</v>
      </c>
      <c r="AN777">
        <f t="shared" si="163"/>
        <v>0</v>
      </c>
      <c r="AO777">
        <f t="shared" si="163"/>
        <v>0</v>
      </c>
      <c r="AP777">
        <f t="shared" si="163"/>
        <v>0</v>
      </c>
      <c r="AQ777">
        <f t="shared" si="163"/>
        <v>0</v>
      </c>
      <c r="AR777">
        <f t="shared" si="163"/>
        <v>0</v>
      </c>
    </row>
    <row r="778" spans="5:44" x14ac:dyDescent="0.2">
      <c r="E778" s="1">
        <f>moment_rate!$AC778</f>
        <v>0</v>
      </c>
      <c r="F778" s="1">
        <f t="shared" si="166"/>
        <v>0</v>
      </c>
      <c r="G778">
        <f>moment_rate!I778-0.005</f>
        <v>7.7099999999998801</v>
      </c>
      <c r="H778" s="1">
        <f t="shared" si="167"/>
        <v>0</v>
      </c>
      <c r="I778">
        <f t="shared" si="165"/>
        <v>0</v>
      </c>
      <c r="J778">
        <f t="shared" si="165"/>
        <v>0</v>
      </c>
      <c r="K778">
        <f t="shared" si="165"/>
        <v>0</v>
      </c>
      <c r="L778">
        <f t="shared" si="165"/>
        <v>0</v>
      </c>
      <c r="M778">
        <f t="shared" si="165"/>
        <v>0</v>
      </c>
      <c r="N778">
        <f t="shared" si="165"/>
        <v>0</v>
      </c>
      <c r="O778">
        <f t="shared" si="165"/>
        <v>0</v>
      </c>
      <c r="P778">
        <f t="shared" si="165"/>
        <v>0</v>
      </c>
      <c r="Q778">
        <f t="shared" si="165"/>
        <v>0</v>
      </c>
      <c r="R778">
        <f t="shared" si="165"/>
        <v>0</v>
      </c>
      <c r="S778">
        <f t="shared" si="165"/>
        <v>0</v>
      </c>
      <c r="T778">
        <f t="shared" si="165"/>
        <v>0</v>
      </c>
      <c r="U778">
        <f t="shared" si="165"/>
        <v>0</v>
      </c>
      <c r="V778">
        <f t="shared" si="165"/>
        <v>0</v>
      </c>
      <c r="W778">
        <f t="shared" si="165"/>
        <v>0</v>
      </c>
      <c r="X778">
        <f t="shared" ref="X778:AM793" si="168">IF(AND($G778&gt;=X$3,$G778&lt;X$4),$F778,0)</f>
        <v>0</v>
      </c>
      <c r="Y778">
        <f t="shared" si="168"/>
        <v>0</v>
      </c>
      <c r="Z778">
        <f t="shared" si="168"/>
        <v>0</v>
      </c>
      <c r="AA778">
        <f t="shared" si="168"/>
        <v>0</v>
      </c>
      <c r="AB778">
        <f t="shared" si="168"/>
        <v>0</v>
      </c>
      <c r="AC778">
        <f t="shared" si="168"/>
        <v>0</v>
      </c>
      <c r="AD778">
        <f t="shared" si="168"/>
        <v>0</v>
      </c>
      <c r="AE778">
        <f t="shared" si="168"/>
        <v>0</v>
      </c>
      <c r="AF778">
        <f t="shared" si="168"/>
        <v>0</v>
      </c>
      <c r="AG778">
        <f t="shared" si="168"/>
        <v>0</v>
      </c>
      <c r="AH778">
        <f t="shared" si="168"/>
        <v>0</v>
      </c>
      <c r="AI778">
        <f t="shared" si="168"/>
        <v>0</v>
      </c>
      <c r="AJ778">
        <f t="shared" si="168"/>
        <v>0</v>
      </c>
      <c r="AK778">
        <f t="shared" si="168"/>
        <v>0</v>
      </c>
      <c r="AL778">
        <f t="shared" si="168"/>
        <v>0</v>
      </c>
      <c r="AM778">
        <f t="shared" si="168"/>
        <v>0</v>
      </c>
      <c r="AN778">
        <f t="shared" si="163"/>
        <v>0</v>
      </c>
      <c r="AO778">
        <f t="shared" si="163"/>
        <v>0</v>
      </c>
      <c r="AP778">
        <f t="shared" si="163"/>
        <v>0</v>
      </c>
      <c r="AQ778">
        <f t="shared" si="163"/>
        <v>0</v>
      </c>
      <c r="AR778">
        <f t="shared" si="163"/>
        <v>0</v>
      </c>
    </row>
    <row r="779" spans="5:44" x14ac:dyDescent="0.2">
      <c r="E779" s="1">
        <f>moment_rate!$AC779</f>
        <v>0</v>
      </c>
      <c r="F779" s="1">
        <f t="shared" si="166"/>
        <v>0</v>
      </c>
      <c r="G779">
        <f>moment_rate!I779-0.005</f>
        <v>7.7199999999998798</v>
      </c>
      <c r="H779" s="1">
        <f t="shared" si="167"/>
        <v>0</v>
      </c>
      <c r="I779">
        <f t="shared" ref="I779:X794" si="169">IF(AND($G779&gt;=I$3,$G779&lt;I$4),$F779,0)</f>
        <v>0</v>
      </c>
      <c r="J779">
        <f t="shared" si="169"/>
        <v>0</v>
      </c>
      <c r="K779">
        <f t="shared" si="169"/>
        <v>0</v>
      </c>
      <c r="L779">
        <f t="shared" si="169"/>
        <v>0</v>
      </c>
      <c r="M779">
        <f t="shared" si="169"/>
        <v>0</v>
      </c>
      <c r="N779">
        <f t="shared" si="169"/>
        <v>0</v>
      </c>
      <c r="O779">
        <f t="shared" si="169"/>
        <v>0</v>
      </c>
      <c r="P779">
        <f t="shared" si="169"/>
        <v>0</v>
      </c>
      <c r="Q779">
        <f t="shared" si="169"/>
        <v>0</v>
      </c>
      <c r="R779">
        <f t="shared" si="169"/>
        <v>0</v>
      </c>
      <c r="S779">
        <f t="shared" si="169"/>
        <v>0</v>
      </c>
      <c r="T779">
        <f t="shared" si="169"/>
        <v>0</v>
      </c>
      <c r="U779">
        <f t="shared" si="169"/>
        <v>0</v>
      </c>
      <c r="V779">
        <f t="shared" si="169"/>
        <v>0</v>
      </c>
      <c r="W779">
        <f t="shared" si="169"/>
        <v>0</v>
      </c>
      <c r="X779">
        <f t="shared" si="169"/>
        <v>0</v>
      </c>
      <c r="Y779">
        <f t="shared" si="168"/>
        <v>0</v>
      </c>
      <c r="Z779">
        <f t="shared" si="168"/>
        <v>0</v>
      </c>
      <c r="AA779">
        <f t="shared" si="168"/>
        <v>0</v>
      </c>
      <c r="AB779">
        <f t="shared" si="168"/>
        <v>0</v>
      </c>
      <c r="AC779">
        <f t="shared" si="168"/>
        <v>0</v>
      </c>
      <c r="AD779">
        <f t="shared" si="168"/>
        <v>0</v>
      </c>
      <c r="AE779">
        <f t="shared" si="168"/>
        <v>0</v>
      </c>
      <c r="AF779">
        <f t="shared" si="168"/>
        <v>0</v>
      </c>
      <c r="AG779">
        <f t="shared" si="168"/>
        <v>0</v>
      </c>
      <c r="AH779">
        <f t="shared" si="168"/>
        <v>0</v>
      </c>
      <c r="AI779">
        <f t="shared" si="168"/>
        <v>0</v>
      </c>
      <c r="AJ779">
        <f t="shared" si="168"/>
        <v>0</v>
      </c>
      <c r="AK779">
        <f t="shared" si="168"/>
        <v>0</v>
      </c>
      <c r="AL779">
        <f t="shared" si="168"/>
        <v>0</v>
      </c>
      <c r="AM779">
        <f t="shared" si="168"/>
        <v>0</v>
      </c>
      <c r="AN779">
        <f t="shared" si="163"/>
        <v>0</v>
      </c>
      <c r="AO779">
        <f t="shared" si="163"/>
        <v>0</v>
      </c>
      <c r="AP779">
        <f t="shared" si="163"/>
        <v>0</v>
      </c>
      <c r="AQ779">
        <f t="shared" si="163"/>
        <v>0</v>
      </c>
      <c r="AR779">
        <f t="shared" si="163"/>
        <v>0</v>
      </c>
    </row>
    <row r="780" spans="5:44" x14ac:dyDescent="0.2">
      <c r="E780" s="1">
        <f>moment_rate!$AC780</f>
        <v>0</v>
      </c>
      <c r="F780" s="1">
        <f t="shared" si="166"/>
        <v>0</v>
      </c>
      <c r="G780">
        <f>moment_rate!I780-0.005</f>
        <v>7.7299999999998796</v>
      </c>
      <c r="H780" s="1">
        <f t="shared" si="167"/>
        <v>0</v>
      </c>
      <c r="I780">
        <f t="shared" si="169"/>
        <v>0</v>
      </c>
      <c r="J780">
        <f t="shared" si="169"/>
        <v>0</v>
      </c>
      <c r="K780">
        <f t="shared" si="169"/>
        <v>0</v>
      </c>
      <c r="L780">
        <f t="shared" si="169"/>
        <v>0</v>
      </c>
      <c r="M780">
        <f t="shared" si="169"/>
        <v>0</v>
      </c>
      <c r="N780">
        <f t="shared" si="169"/>
        <v>0</v>
      </c>
      <c r="O780">
        <f t="shared" si="169"/>
        <v>0</v>
      </c>
      <c r="P780">
        <f t="shared" si="169"/>
        <v>0</v>
      </c>
      <c r="Q780">
        <f t="shared" si="169"/>
        <v>0</v>
      </c>
      <c r="R780">
        <f t="shared" si="169"/>
        <v>0</v>
      </c>
      <c r="S780">
        <f t="shared" si="169"/>
        <v>0</v>
      </c>
      <c r="T780">
        <f t="shared" si="169"/>
        <v>0</v>
      </c>
      <c r="U780">
        <f t="shared" si="169"/>
        <v>0</v>
      </c>
      <c r="V780">
        <f t="shared" si="169"/>
        <v>0</v>
      </c>
      <c r="W780">
        <f t="shared" si="169"/>
        <v>0</v>
      </c>
      <c r="X780">
        <f t="shared" si="169"/>
        <v>0</v>
      </c>
      <c r="Y780">
        <f t="shared" si="168"/>
        <v>0</v>
      </c>
      <c r="Z780">
        <f t="shared" si="168"/>
        <v>0</v>
      </c>
      <c r="AA780">
        <f t="shared" si="168"/>
        <v>0</v>
      </c>
      <c r="AB780">
        <f t="shared" si="168"/>
        <v>0</v>
      </c>
      <c r="AC780">
        <f t="shared" si="168"/>
        <v>0</v>
      </c>
      <c r="AD780">
        <f t="shared" si="168"/>
        <v>0</v>
      </c>
      <c r="AE780">
        <f t="shared" si="168"/>
        <v>0</v>
      </c>
      <c r="AF780">
        <f t="shared" si="168"/>
        <v>0</v>
      </c>
      <c r="AG780">
        <f t="shared" si="168"/>
        <v>0</v>
      </c>
      <c r="AH780">
        <f t="shared" si="168"/>
        <v>0</v>
      </c>
      <c r="AI780">
        <f t="shared" si="168"/>
        <v>0</v>
      </c>
      <c r="AJ780">
        <f t="shared" si="168"/>
        <v>0</v>
      </c>
      <c r="AK780">
        <f t="shared" si="168"/>
        <v>0</v>
      </c>
      <c r="AL780">
        <f t="shared" si="168"/>
        <v>0</v>
      </c>
      <c r="AM780">
        <f t="shared" si="168"/>
        <v>0</v>
      </c>
      <c r="AN780">
        <f t="shared" si="163"/>
        <v>0</v>
      </c>
      <c r="AO780">
        <f t="shared" si="163"/>
        <v>0</v>
      </c>
      <c r="AP780">
        <f t="shared" si="163"/>
        <v>0</v>
      </c>
      <c r="AQ780">
        <f t="shared" si="163"/>
        <v>0</v>
      </c>
      <c r="AR780">
        <f t="shared" si="163"/>
        <v>0</v>
      </c>
    </row>
    <row r="781" spans="5:44" x14ac:dyDescent="0.2">
      <c r="E781" s="1">
        <f>moment_rate!$AC781</f>
        <v>0</v>
      </c>
      <c r="F781" s="1">
        <f t="shared" si="166"/>
        <v>0</v>
      </c>
      <c r="G781">
        <f>moment_rate!I781-0.005</f>
        <v>7.7399999999998794</v>
      </c>
      <c r="H781" s="1">
        <f t="shared" si="167"/>
        <v>0</v>
      </c>
      <c r="I781">
        <f t="shared" si="169"/>
        <v>0</v>
      </c>
      <c r="J781">
        <f t="shared" si="169"/>
        <v>0</v>
      </c>
      <c r="K781">
        <f t="shared" si="169"/>
        <v>0</v>
      </c>
      <c r="L781">
        <f t="shared" si="169"/>
        <v>0</v>
      </c>
      <c r="M781">
        <f t="shared" si="169"/>
        <v>0</v>
      </c>
      <c r="N781">
        <f t="shared" si="169"/>
        <v>0</v>
      </c>
      <c r="O781">
        <f t="shared" si="169"/>
        <v>0</v>
      </c>
      <c r="P781">
        <f t="shared" si="169"/>
        <v>0</v>
      </c>
      <c r="Q781">
        <f t="shared" si="169"/>
        <v>0</v>
      </c>
      <c r="R781">
        <f t="shared" si="169"/>
        <v>0</v>
      </c>
      <c r="S781">
        <f t="shared" si="169"/>
        <v>0</v>
      </c>
      <c r="T781">
        <f t="shared" si="169"/>
        <v>0</v>
      </c>
      <c r="U781">
        <f t="shared" si="169"/>
        <v>0</v>
      </c>
      <c r="V781">
        <f t="shared" si="169"/>
        <v>0</v>
      </c>
      <c r="W781">
        <f t="shared" si="169"/>
        <v>0</v>
      </c>
      <c r="X781">
        <f t="shared" si="169"/>
        <v>0</v>
      </c>
      <c r="Y781">
        <f t="shared" si="168"/>
        <v>0</v>
      </c>
      <c r="Z781">
        <f t="shared" si="168"/>
        <v>0</v>
      </c>
      <c r="AA781">
        <f t="shared" si="168"/>
        <v>0</v>
      </c>
      <c r="AB781">
        <f t="shared" si="168"/>
        <v>0</v>
      </c>
      <c r="AC781">
        <f t="shared" si="168"/>
        <v>0</v>
      </c>
      <c r="AD781">
        <f t="shared" si="168"/>
        <v>0</v>
      </c>
      <c r="AE781">
        <f t="shared" si="168"/>
        <v>0</v>
      </c>
      <c r="AF781">
        <f t="shared" si="168"/>
        <v>0</v>
      </c>
      <c r="AG781">
        <f t="shared" si="168"/>
        <v>0</v>
      </c>
      <c r="AH781">
        <f t="shared" si="168"/>
        <v>0</v>
      </c>
      <c r="AI781">
        <f t="shared" si="168"/>
        <v>0</v>
      </c>
      <c r="AJ781">
        <f t="shared" si="168"/>
        <v>0</v>
      </c>
      <c r="AK781">
        <f t="shared" si="168"/>
        <v>0</v>
      </c>
      <c r="AL781">
        <f t="shared" si="168"/>
        <v>0</v>
      </c>
      <c r="AM781">
        <f t="shared" si="168"/>
        <v>0</v>
      </c>
      <c r="AN781">
        <f t="shared" si="163"/>
        <v>0</v>
      </c>
      <c r="AO781">
        <f t="shared" si="163"/>
        <v>0</v>
      </c>
      <c r="AP781">
        <f t="shared" si="163"/>
        <v>0</v>
      </c>
      <c r="AQ781">
        <f t="shared" si="163"/>
        <v>0</v>
      </c>
      <c r="AR781">
        <f t="shared" si="163"/>
        <v>0</v>
      </c>
    </row>
    <row r="782" spans="5:44" x14ac:dyDescent="0.2">
      <c r="E782" s="1">
        <f>moment_rate!$AC782</f>
        <v>0</v>
      </c>
      <c r="F782" s="1">
        <f t="shared" si="166"/>
        <v>0</v>
      </c>
      <c r="G782">
        <f>moment_rate!I782-0.005</f>
        <v>7.7499999999998792</v>
      </c>
      <c r="H782" s="1">
        <f t="shared" si="167"/>
        <v>0</v>
      </c>
      <c r="I782">
        <f t="shared" si="169"/>
        <v>0</v>
      </c>
      <c r="J782">
        <f t="shared" si="169"/>
        <v>0</v>
      </c>
      <c r="K782">
        <f t="shared" si="169"/>
        <v>0</v>
      </c>
      <c r="L782">
        <f t="shared" si="169"/>
        <v>0</v>
      </c>
      <c r="M782">
        <f t="shared" si="169"/>
        <v>0</v>
      </c>
      <c r="N782">
        <f t="shared" si="169"/>
        <v>0</v>
      </c>
      <c r="O782">
        <f t="shared" si="169"/>
        <v>0</v>
      </c>
      <c r="P782">
        <f t="shared" si="169"/>
        <v>0</v>
      </c>
      <c r="Q782">
        <f t="shared" si="169"/>
        <v>0</v>
      </c>
      <c r="R782">
        <f t="shared" si="169"/>
        <v>0</v>
      </c>
      <c r="S782">
        <f t="shared" si="169"/>
        <v>0</v>
      </c>
      <c r="T782">
        <f t="shared" si="169"/>
        <v>0</v>
      </c>
      <c r="U782">
        <f t="shared" si="169"/>
        <v>0</v>
      </c>
      <c r="V782">
        <f t="shared" si="169"/>
        <v>0</v>
      </c>
      <c r="W782">
        <f t="shared" si="169"/>
        <v>0</v>
      </c>
      <c r="X782">
        <f t="shared" si="169"/>
        <v>0</v>
      </c>
      <c r="Y782">
        <f t="shared" si="168"/>
        <v>0</v>
      </c>
      <c r="Z782">
        <f t="shared" si="168"/>
        <v>0</v>
      </c>
      <c r="AA782">
        <f t="shared" si="168"/>
        <v>0</v>
      </c>
      <c r="AB782">
        <f t="shared" si="168"/>
        <v>0</v>
      </c>
      <c r="AC782">
        <f t="shared" si="168"/>
        <v>0</v>
      </c>
      <c r="AD782">
        <f t="shared" si="168"/>
        <v>0</v>
      </c>
      <c r="AE782">
        <f t="shared" si="168"/>
        <v>0</v>
      </c>
      <c r="AF782">
        <f t="shared" si="168"/>
        <v>0</v>
      </c>
      <c r="AG782">
        <f t="shared" si="168"/>
        <v>0</v>
      </c>
      <c r="AH782">
        <f t="shared" si="168"/>
        <v>0</v>
      </c>
      <c r="AI782">
        <f t="shared" si="168"/>
        <v>0</v>
      </c>
      <c r="AJ782">
        <f t="shared" si="168"/>
        <v>0</v>
      </c>
      <c r="AK782">
        <f t="shared" si="168"/>
        <v>0</v>
      </c>
      <c r="AL782">
        <f t="shared" si="168"/>
        <v>0</v>
      </c>
      <c r="AM782">
        <f t="shared" si="168"/>
        <v>0</v>
      </c>
      <c r="AN782">
        <f t="shared" si="163"/>
        <v>0</v>
      </c>
      <c r="AO782">
        <f t="shared" si="163"/>
        <v>0</v>
      </c>
      <c r="AP782">
        <f t="shared" si="163"/>
        <v>0</v>
      </c>
      <c r="AQ782">
        <f t="shared" si="163"/>
        <v>0</v>
      </c>
      <c r="AR782">
        <f t="shared" si="163"/>
        <v>0</v>
      </c>
    </row>
    <row r="783" spans="5:44" x14ac:dyDescent="0.2">
      <c r="E783" s="1">
        <f>moment_rate!$AC783</f>
        <v>0</v>
      </c>
      <c r="F783" s="1">
        <f t="shared" si="166"/>
        <v>0</v>
      </c>
      <c r="G783">
        <f>moment_rate!I783-0.005</f>
        <v>7.759999999999879</v>
      </c>
      <c r="H783" s="1">
        <f t="shared" si="167"/>
        <v>0</v>
      </c>
      <c r="I783">
        <f t="shared" si="169"/>
        <v>0</v>
      </c>
      <c r="J783">
        <f t="shared" si="169"/>
        <v>0</v>
      </c>
      <c r="K783">
        <f t="shared" si="169"/>
        <v>0</v>
      </c>
      <c r="L783">
        <f t="shared" si="169"/>
        <v>0</v>
      </c>
      <c r="M783">
        <f t="shared" si="169"/>
        <v>0</v>
      </c>
      <c r="N783">
        <f t="shared" si="169"/>
        <v>0</v>
      </c>
      <c r="O783">
        <f t="shared" si="169"/>
        <v>0</v>
      </c>
      <c r="P783">
        <f t="shared" si="169"/>
        <v>0</v>
      </c>
      <c r="Q783">
        <f t="shared" si="169"/>
        <v>0</v>
      </c>
      <c r="R783">
        <f t="shared" si="169"/>
        <v>0</v>
      </c>
      <c r="S783">
        <f t="shared" si="169"/>
        <v>0</v>
      </c>
      <c r="T783">
        <f t="shared" si="169"/>
        <v>0</v>
      </c>
      <c r="U783">
        <f t="shared" si="169"/>
        <v>0</v>
      </c>
      <c r="V783">
        <f t="shared" si="169"/>
        <v>0</v>
      </c>
      <c r="W783">
        <f t="shared" si="169"/>
        <v>0</v>
      </c>
      <c r="X783">
        <f t="shared" si="169"/>
        <v>0</v>
      </c>
      <c r="Y783">
        <f t="shared" si="168"/>
        <v>0</v>
      </c>
      <c r="Z783">
        <f t="shared" si="168"/>
        <v>0</v>
      </c>
      <c r="AA783">
        <f t="shared" si="168"/>
        <v>0</v>
      </c>
      <c r="AB783">
        <f t="shared" si="168"/>
        <v>0</v>
      </c>
      <c r="AC783">
        <f t="shared" si="168"/>
        <v>0</v>
      </c>
      <c r="AD783">
        <f t="shared" si="168"/>
        <v>0</v>
      </c>
      <c r="AE783">
        <f t="shared" si="168"/>
        <v>0</v>
      </c>
      <c r="AF783">
        <f t="shared" si="168"/>
        <v>0</v>
      </c>
      <c r="AG783">
        <f t="shared" si="168"/>
        <v>0</v>
      </c>
      <c r="AH783">
        <f t="shared" si="168"/>
        <v>0</v>
      </c>
      <c r="AI783">
        <f t="shared" si="168"/>
        <v>0</v>
      </c>
      <c r="AJ783">
        <f t="shared" si="168"/>
        <v>0</v>
      </c>
      <c r="AK783">
        <f t="shared" si="168"/>
        <v>0</v>
      </c>
      <c r="AL783">
        <f t="shared" si="168"/>
        <v>0</v>
      </c>
      <c r="AM783">
        <f t="shared" si="168"/>
        <v>0</v>
      </c>
      <c r="AN783">
        <f t="shared" si="163"/>
        <v>0</v>
      </c>
      <c r="AO783">
        <f t="shared" si="163"/>
        <v>0</v>
      </c>
      <c r="AP783">
        <f t="shared" si="163"/>
        <v>0</v>
      </c>
      <c r="AQ783">
        <f t="shared" si="163"/>
        <v>0</v>
      </c>
      <c r="AR783">
        <f t="shared" si="163"/>
        <v>0</v>
      </c>
    </row>
    <row r="784" spans="5:44" x14ac:dyDescent="0.2">
      <c r="E784" s="1">
        <f>moment_rate!$AC784</f>
        <v>0</v>
      </c>
      <c r="F784" s="1">
        <f t="shared" si="166"/>
        <v>0</v>
      </c>
      <c r="G784">
        <f>moment_rate!I784-0.005</f>
        <v>7.7699999999998788</v>
      </c>
      <c r="H784" s="1">
        <f t="shared" si="167"/>
        <v>0</v>
      </c>
      <c r="I784">
        <f t="shared" si="169"/>
        <v>0</v>
      </c>
      <c r="J784">
        <f t="shared" si="169"/>
        <v>0</v>
      </c>
      <c r="K784">
        <f t="shared" si="169"/>
        <v>0</v>
      </c>
      <c r="L784">
        <f t="shared" si="169"/>
        <v>0</v>
      </c>
      <c r="M784">
        <f t="shared" si="169"/>
        <v>0</v>
      </c>
      <c r="N784">
        <f t="shared" si="169"/>
        <v>0</v>
      </c>
      <c r="O784">
        <f t="shared" si="169"/>
        <v>0</v>
      </c>
      <c r="P784">
        <f t="shared" si="169"/>
        <v>0</v>
      </c>
      <c r="Q784">
        <f t="shared" si="169"/>
        <v>0</v>
      </c>
      <c r="R784">
        <f t="shared" si="169"/>
        <v>0</v>
      </c>
      <c r="S784">
        <f t="shared" si="169"/>
        <v>0</v>
      </c>
      <c r="T784">
        <f t="shared" si="169"/>
        <v>0</v>
      </c>
      <c r="U784">
        <f t="shared" si="169"/>
        <v>0</v>
      </c>
      <c r="V784">
        <f t="shared" si="169"/>
        <v>0</v>
      </c>
      <c r="W784">
        <f t="shared" si="169"/>
        <v>0</v>
      </c>
      <c r="X784">
        <f t="shared" si="169"/>
        <v>0</v>
      </c>
      <c r="Y784">
        <f t="shared" si="168"/>
        <v>0</v>
      </c>
      <c r="Z784">
        <f t="shared" si="168"/>
        <v>0</v>
      </c>
      <c r="AA784">
        <f t="shared" si="168"/>
        <v>0</v>
      </c>
      <c r="AB784">
        <f t="shared" si="168"/>
        <v>0</v>
      </c>
      <c r="AC784">
        <f t="shared" si="168"/>
        <v>0</v>
      </c>
      <c r="AD784">
        <f t="shared" si="168"/>
        <v>0</v>
      </c>
      <c r="AE784">
        <f t="shared" si="168"/>
        <v>0</v>
      </c>
      <c r="AF784">
        <f t="shared" si="168"/>
        <v>0</v>
      </c>
      <c r="AG784">
        <f t="shared" si="168"/>
        <v>0</v>
      </c>
      <c r="AH784">
        <f t="shared" si="168"/>
        <v>0</v>
      </c>
      <c r="AI784">
        <f t="shared" si="168"/>
        <v>0</v>
      </c>
      <c r="AJ784">
        <f t="shared" si="168"/>
        <v>0</v>
      </c>
      <c r="AK784">
        <f t="shared" si="168"/>
        <v>0</v>
      </c>
      <c r="AL784">
        <f t="shared" si="168"/>
        <v>0</v>
      </c>
      <c r="AM784">
        <f t="shared" si="168"/>
        <v>0</v>
      </c>
      <c r="AN784">
        <f t="shared" si="163"/>
        <v>0</v>
      </c>
      <c r="AO784">
        <f t="shared" si="163"/>
        <v>0</v>
      </c>
      <c r="AP784">
        <f t="shared" si="163"/>
        <v>0</v>
      </c>
      <c r="AQ784">
        <f t="shared" si="163"/>
        <v>0</v>
      </c>
      <c r="AR784">
        <f t="shared" si="163"/>
        <v>0</v>
      </c>
    </row>
    <row r="785" spans="5:44" x14ac:dyDescent="0.2">
      <c r="E785" s="1">
        <f>moment_rate!$AC785</f>
        <v>0</v>
      </c>
      <c r="F785" s="1">
        <f t="shared" si="166"/>
        <v>0</v>
      </c>
      <c r="G785">
        <f>moment_rate!I785-0.005</f>
        <v>7.7799999999998786</v>
      </c>
      <c r="H785" s="1">
        <f t="shared" si="167"/>
        <v>0</v>
      </c>
      <c r="I785">
        <f t="shared" si="169"/>
        <v>0</v>
      </c>
      <c r="J785">
        <f t="shared" si="169"/>
        <v>0</v>
      </c>
      <c r="K785">
        <f t="shared" si="169"/>
        <v>0</v>
      </c>
      <c r="L785">
        <f t="shared" si="169"/>
        <v>0</v>
      </c>
      <c r="M785">
        <f t="shared" si="169"/>
        <v>0</v>
      </c>
      <c r="N785">
        <f t="shared" si="169"/>
        <v>0</v>
      </c>
      <c r="O785">
        <f t="shared" si="169"/>
        <v>0</v>
      </c>
      <c r="P785">
        <f t="shared" si="169"/>
        <v>0</v>
      </c>
      <c r="Q785">
        <f t="shared" si="169"/>
        <v>0</v>
      </c>
      <c r="R785">
        <f t="shared" si="169"/>
        <v>0</v>
      </c>
      <c r="S785">
        <f t="shared" si="169"/>
        <v>0</v>
      </c>
      <c r="T785">
        <f t="shared" si="169"/>
        <v>0</v>
      </c>
      <c r="U785">
        <f t="shared" si="169"/>
        <v>0</v>
      </c>
      <c r="V785">
        <f t="shared" si="169"/>
        <v>0</v>
      </c>
      <c r="W785">
        <f t="shared" si="169"/>
        <v>0</v>
      </c>
      <c r="X785">
        <f t="shared" si="169"/>
        <v>0</v>
      </c>
      <c r="Y785">
        <f t="shared" si="168"/>
        <v>0</v>
      </c>
      <c r="Z785">
        <f t="shared" si="168"/>
        <v>0</v>
      </c>
      <c r="AA785">
        <f t="shared" si="168"/>
        <v>0</v>
      </c>
      <c r="AB785">
        <f t="shared" si="168"/>
        <v>0</v>
      </c>
      <c r="AC785">
        <f t="shared" si="168"/>
        <v>0</v>
      </c>
      <c r="AD785">
        <f t="shared" si="168"/>
        <v>0</v>
      </c>
      <c r="AE785">
        <f t="shared" si="168"/>
        <v>0</v>
      </c>
      <c r="AF785">
        <f t="shared" si="168"/>
        <v>0</v>
      </c>
      <c r="AG785">
        <f t="shared" si="168"/>
        <v>0</v>
      </c>
      <c r="AH785">
        <f t="shared" si="168"/>
        <v>0</v>
      </c>
      <c r="AI785">
        <f t="shared" si="168"/>
        <v>0</v>
      </c>
      <c r="AJ785">
        <f t="shared" si="168"/>
        <v>0</v>
      </c>
      <c r="AK785">
        <f t="shared" si="168"/>
        <v>0</v>
      </c>
      <c r="AL785">
        <f t="shared" si="168"/>
        <v>0</v>
      </c>
      <c r="AM785">
        <f t="shared" si="168"/>
        <v>0</v>
      </c>
      <c r="AN785">
        <f t="shared" si="163"/>
        <v>0</v>
      </c>
      <c r="AO785">
        <f t="shared" si="163"/>
        <v>0</v>
      </c>
      <c r="AP785">
        <f t="shared" si="163"/>
        <v>0</v>
      </c>
      <c r="AQ785">
        <f t="shared" si="163"/>
        <v>0</v>
      </c>
      <c r="AR785">
        <f t="shared" si="163"/>
        <v>0</v>
      </c>
    </row>
    <row r="786" spans="5:44" x14ac:dyDescent="0.2">
      <c r="E786" s="1">
        <f>moment_rate!$AC786</f>
        <v>0</v>
      </c>
      <c r="F786" s="1">
        <f t="shared" si="166"/>
        <v>0</v>
      </c>
      <c r="G786">
        <f>moment_rate!I786-0.005</f>
        <v>7.7899999999998784</v>
      </c>
      <c r="H786" s="1">
        <f t="shared" si="167"/>
        <v>0</v>
      </c>
      <c r="I786">
        <f t="shared" si="169"/>
        <v>0</v>
      </c>
      <c r="J786">
        <f t="shared" si="169"/>
        <v>0</v>
      </c>
      <c r="K786">
        <f t="shared" si="169"/>
        <v>0</v>
      </c>
      <c r="L786">
        <f t="shared" si="169"/>
        <v>0</v>
      </c>
      <c r="M786">
        <f t="shared" si="169"/>
        <v>0</v>
      </c>
      <c r="N786">
        <f t="shared" si="169"/>
        <v>0</v>
      </c>
      <c r="O786">
        <f t="shared" si="169"/>
        <v>0</v>
      </c>
      <c r="P786">
        <f t="shared" si="169"/>
        <v>0</v>
      </c>
      <c r="Q786">
        <f t="shared" si="169"/>
        <v>0</v>
      </c>
      <c r="R786">
        <f t="shared" si="169"/>
        <v>0</v>
      </c>
      <c r="S786">
        <f t="shared" si="169"/>
        <v>0</v>
      </c>
      <c r="T786">
        <f t="shared" si="169"/>
        <v>0</v>
      </c>
      <c r="U786">
        <f t="shared" si="169"/>
        <v>0</v>
      </c>
      <c r="V786">
        <f t="shared" si="169"/>
        <v>0</v>
      </c>
      <c r="W786">
        <f t="shared" si="169"/>
        <v>0</v>
      </c>
      <c r="X786">
        <f t="shared" si="169"/>
        <v>0</v>
      </c>
      <c r="Y786">
        <f t="shared" si="168"/>
        <v>0</v>
      </c>
      <c r="Z786">
        <f t="shared" si="168"/>
        <v>0</v>
      </c>
      <c r="AA786">
        <f t="shared" si="168"/>
        <v>0</v>
      </c>
      <c r="AB786">
        <f t="shared" si="168"/>
        <v>0</v>
      </c>
      <c r="AC786">
        <f t="shared" si="168"/>
        <v>0</v>
      </c>
      <c r="AD786">
        <f t="shared" si="168"/>
        <v>0</v>
      </c>
      <c r="AE786">
        <f t="shared" si="168"/>
        <v>0</v>
      </c>
      <c r="AF786">
        <f t="shared" si="168"/>
        <v>0</v>
      </c>
      <c r="AG786">
        <f t="shared" si="168"/>
        <v>0</v>
      </c>
      <c r="AH786">
        <f t="shared" si="168"/>
        <v>0</v>
      </c>
      <c r="AI786">
        <f t="shared" si="168"/>
        <v>0</v>
      </c>
      <c r="AJ786">
        <f t="shared" si="168"/>
        <v>0</v>
      </c>
      <c r="AK786">
        <f t="shared" si="168"/>
        <v>0</v>
      </c>
      <c r="AL786">
        <f t="shared" si="168"/>
        <v>0</v>
      </c>
      <c r="AM786">
        <f t="shared" si="168"/>
        <v>0</v>
      </c>
      <c r="AN786">
        <f t="shared" si="163"/>
        <v>0</v>
      </c>
      <c r="AO786">
        <f t="shared" si="163"/>
        <v>0</v>
      </c>
      <c r="AP786">
        <f t="shared" si="163"/>
        <v>0</v>
      </c>
      <c r="AQ786">
        <f t="shared" si="163"/>
        <v>0</v>
      </c>
      <c r="AR786">
        <f t="shared" si="163"/>
        <v>0</v>
      </c>
    </row>
    <row r="787" spans="5:44" x14ac:dyDescent="0.2">
      <c r="E787" s="1">
        <f>moment_rate!$AC787</f>
        <v>0</v>
      </c>
      <c r="F787" s="1">
        <f t="shared" si="166"/>
        <v>0</v>
      </c>
      <c r="G787">
        <f>moment_rate!I787-0.005</f>
        <v>7.7999999999998781</v>
      </c>
      <c r="H787" s="1">
        <f t="shared" si="167"/>
        <v>0</v>
      </c>
      <c r="I787">
        <f t="shared" si="169"/>
        <v>0</v>
      </c>
      <c r="J787">
        <f t="shared" si="169"/>
        <v>0</v>
      </c>
      <c r="K787">
        <f t="shared" si="169"/>
        <v>0</v>
      </c>
      <c r="L787">
        <f t="shared" si="169"/>
        <v>0</v>
      </c>
      <c r="M787">
        <f t="shared" si="169"/>
        <v>0</v>
      </c>
      <c r="N787">
        <f t="shared" si="169"/>
        <v>0</v>
      </c>
      <c r="O787">
        <f t="shared" si="169"/>
        <v>0</v>
      </c>
      <c r="P787">
        <f t="shared" si="169"/>
        <v>0</v>
      </c>
      <c r="Q787">
        <f t="shared" si="169"/>
        <v>0</v>
      </c>
      <c r="R787">
        <f t="shared" si="169"/>
        <v>0</v>
      </c>
      <c r="S787">
        <f t="shared" si="169"/>
        <v>0</v>
      </c>
      <c r="T787">
        <f t="shared" si="169"/>
        <v>0</v>
      </c>
      <c r="U787">
        <f t="shared" si="169"/>
        <v>0</v>
      </c>
      <c r="V787">
        <f t="shared" si="169"/>
        <v>0</v>
      </c>
      <c r="W787">
        <f t="shared" si="169"/>
        <v>0</v>
      </c>
      <c r="X787">
        <f t="shared" si="169"/>
        <v>0</v>
      </c>
      <c r="Y787">
        <f t="shared" si="168"/>
        <v>0</v>
      </c>
      <c r="Z787">
        <f t="shared" si="168"/>
        <v>0</v>
      </c>
      <c r="AA787">
        <f t="shared" si="168"/>
        <v>0</v>
      </c>
      <c r="AB787">
        <f t="shared" si="168"/>
        <v>0</v>
      </c>
      <c r="AC787">
        <f t="shared" si="168"/>
        <v>0</v>
      </c>
      <c r="AD787">
        <f t="shared" si="168"/>
        <v>0</v>
      </c>
      <c r="AE787">
        <f t="shared" si="168"/>
        <v>0</v>
      </c>
      <c r="AF787">
        <f t="shared" si="168"/>
        <v>0</v>
      </c>
      <c r="AG787">
        <f t="shared" si="168"/>
        <v>0</v>
      </c>
      <c r="AH787">
        <f t="shared" si="168"/>
        <v>0</v>
      </c>
      <c r="AI787">
        <f t="shared" si="163"/>
        <v>0</v>
      </c>
      <c r="AJ787">
        <f t="shared" si="163"/>
        <v>0</v>
      </c>
      <c r="AK787">
        <f t="shared" si="163"/>
        <v>0</v>
      </c>
      <c r="AL787">
        <f t="shared" si="163"/>
        <v>0</v>
      </c>
      <c r="AM787">
        <f t="shared" si="163"/>
        <v>0</v>
      </c>
      <c r="AN787">
        <f t="shared" si="163"/>
        <v>0</v>
      </c>
      <c r="AO787">
        <f t="shared" si="163"/>
        <v>0</v>
      </c>
      <c r="AP787">
        <f t="shared" si="163"/>
        <v>0</v>
      </c>
      <c r="AQ787">
        <f t="shared" si="163"/>
        <v>0</v>
      </c>
      <c r="AR787">
        <f t="shared" si="163"/>
        <v>0</v>
      </c>
    </row>
    <row r="788" spans="5:44" x14ac:dyDescent="0.2">
      <c r="E788" s="1">
        <f>moment_rate!$AC788</f>
        <v>0</v>
      </c>
      <c r="F788" s="1">
        <f t="shared" si="166"/>
        <v>0</v>
      </c>
      <c r="G788">
        <f>moment_rate!I788-0.005</f>
        <v>7.8099999999998779</v>
      </c>
      <c r="H788" s="1">
        <f t="shared" si="167"/>
        <v>0</v>
      </c>
      <c r="I788">
        <f t="shared" si="169"/>
        <v>0</v>
      </c>
      <c r="J788">
        <f t="shared" si="169"/>
        <v>0</v>
      </c>
      <c r="K788">
        <f t="shared" si="169"/>
        <v>0</v>
      </c>
      <c r="L788">
        <f t="shared" si="169"/>
        <v>0</v>
      </c>
      <c r="M788">
        <f t="shared" si="169"/>
        <v>0</v>
      </c>
      <c r="N788">
        <f t="shared" si="169"/>
        <v>0</v>
      </c>
      <c r="O788">
        <f t="shared" si="169"/>
        <v>0</v>
      </c>
      <c r="P788">
        <f t="shared" si="169"/>
        <v>0</v>
      </c>
      <c r="Q788">
        <f t="shared" si="169"/>
        <v>0</v>
      </c>
      <c r="R788">
        <f t="shared" si="169"/>
        <v>0</v>
      </c>
      <c r="S788">
        <f t="shared" si="169"/>
        <v>0</v>
      </c>
      <c r="T788">
        <f t="shared" si="169"/>
        <v>0</v>
      </c>
      <c r="U788">
        <f t="shared" si="169"/>
        <v>0</v>
      </c>
      <c r="V788">
        <f t="shared" si="169"/>
        <v>0</v>
      </c>
      <c r="W788">
        <f t="shared" si="169"/>
        <v>0</v>
      </c>
      <c r="X788">
        <f t="shared" si="169"/>
        <v>0</v>
      </c>
      <c r="Y788">
        <f t="shared" si="168"/>
        <v>0</v>
      </c>
      <c r="Z788">
        <f t="shared" si="168"/>
        <v>0</v>
      </c>
      <c r="AA788">
        <f t="shared" si="168"/>
        <v>0</v>
      </c>
      <c r="AB788">
        <f t="shared" si="168"/>
        <v>0</v>
      </c>
      <c r="AC788">
        <f t="shared" si="168"/>
        <v>0</v>
      </c>
      <c r="AD788">
        <f t="shared" si="168"/>
        <v>0</v>
      </c>
      <c r="AE788">
        <f t="shared" si="168"/>
        <v>0</v>
      </c>
      <c r="AF788">
        <f t="shared" si="168"/>
        <v>0</v>
      </c>
      <c r="AG788">
        <f t="shared" si="168"/>
        <v>0</v>
      </c>
      <c r="AH788">
        <f t="shared" si="168"/>
        <v>0</v>
      </c>
      <c r="AI788">
        <f t="shared" si="163"/>
        <v>0</v>
      </c>
      <c r="AJ788">
        <f t="shared" si="163"/>
        <v>0</v>
      </c>
      <c r="AK788">
        <f t="shared" si="163"/>
        <v>0</v>
      </c>
      <c r="AL788">
        <f t="shared" si="163"/>
        <v>0</v>
      </c>
      <c r="AM788">
        <f t="shared" si="163"/>
        <v>0</v>
      </c>
      <c r="AN788">
        <f t="shared" si="163"/>
        <v>0</v>
      </c>
      <c r="AO788">
        <f t="shared" si="163"/>
        <v>0</v>
      </c>
      <c r="AP788">
        <f t="shared" si="163"/>
        <v>0</v>
      </c>
      <c r="AQ788">
        <f t="shared" si="163"/>
        <v>0</v>
      </c>
      <c r="AR788">
        <f t="shared" si="163"/>
        <v>0</v>
      </c>
    </row>
    <row r="789" spans="5:44" x14ac:dyDescent="0.2">
      <c r="E789" s="1">
        <f>moment_rate!$AC789</f>
        <v>0</v>
      </c>
      <c r="F789" s="1">
        <f t="shared" si="166"/>
        <v>0</v>
      </c>
      <c r="G789">
        <f>moment_rate!I789-0.005</f>
        <v>7.8199999999998777</v>
      </c>
      <c r="H789" s="1">
        <f t="shared" si="167"/>
        <v>0</v>
      </c>
      <c r="I789">
        <f t="shared" si="169"/>
        <v>0</v>
      </c>
      <c r="J789">
        <f t="shared" si="169"/>
        <v>0</v>
      </c>
      <c r="K789">
        <f t="shared" si="169"/>
        <v>0</v>
      </c>
      <c r="L789">
        <f t="shared" si="169"/>
        <v>0</v>
      </c>
      <c r="M789">
        <f t="shared" si="169"/>
        <v>0</v>
      </c>
      <c r="N789">
        <f t="shared" si="169"/>
        <v>0</v>
      </c>
      <c r="O789">
        <f t="shared" si="169"/>
        <v>0</v>
      </c>
      <c r="P789">
        <f t="shared" si="169"/>
        <v>0</v>
      </c>
      <c r="Q789">
        <f t="shared" si="169"/>
        <v>0</v>
      </c>
      <c r="R789">
        <f t="shared" si="169"/>
        <v>0</v>
      </c>
      <c r="S789">
        <f t="shared" si="169"/>
        <v>0</v>
      </c>
      <c r="T789">
        <f t="shared" si="169"/>
        <v>0</v>
      </c>
      <c r="U789">
        <f t="shared" si="169"/>
        <v>0</v>
      </c>
      <c r="V789">
        <f t="shared" si="169"/>
        <v>0</v>
      </c>
      <c r="W789">
        <f t="shared" si="169"/>
        <v>0</v>
      </c>
      <c r="X789">
        <f t="shared" si="169"/>
        <v>0</v>
      </c>
      <c r="Y789">
        <f t="shared" si="168"/>
        <v>0</v>
      </c>
      <c r="Z789">
        <f t="shared" si="168"/>
        <v>0</v>
      </c>
      <c r="AA789">
        <f t="shared" si="168"/>
        <v>0</v>
      </c>
      <c r="AB789">
        <f t="shared" si="168"/>
        <v>0</v>
      </c>
      <c r="AC789">
        <f t="shared" si="168"/>
        <v>0</v>
      </c>
      <c r="AD789">
        <f t="shared" si="168"/>
        <v>0</v>
      </c>
      <c r="AE789">
        <f t="shared" si="168"/>
        <v>0</v>
      </c>
      <c r="AF789">
        <f t="shared" si="168"/>
        <v>0</v>
      </c>
      <c r="AG789">
        <f t="shared" si="168"/>
        <v>0</v>
      </c>
      <c r="AH789">
        <f t="shared" si="168"/>
        <v>0</v>
      </c>
      <c r="AI789">
        <f t="shared" si="168"/>
        <v>0</v>
      </c>
      <c r="AJ789">
        <f t="shared" si="168"/>
        <v>0</v>
      </c>
      <c r="AK789">
        <f t="shared" si="168"/>
        <v>0</v>
      </c>
      <c r="AL789">
        <f t="shared" si="168"/>
        <v>0</v>
      </c>
      <c r="AM789">
        <f t="shared" si="168"/>
        <v>0</v>
      </c>
      <c r="AN789">
        <f t="shared" ref="AI789:AR817" si="170">IF(AND($G789&gt;=AN$3,$G789&lt;AN$4),$F789,0)</f>
        <v>0</v>
      </c>
      <c r="AO789">
        <f t="shared" si="170"/>
        <v>0</v>
      </c>
      <c r="AP789">
        <f t="shared" si="170"/>
        <v>0</v>
      </c>
      <c r="AQ789">
        <f t="shared" si="170"/>
        <v>0</v>
      </c>
      <c r="AR789">
        <f t="shared" si="170"/>
        <v>0</v>
      </c>
    </row>
    <row r="790" spans="5:44" x14ac:dyDescent="0.2">
      <c r="E790" s="1">
        <f>moment_rate!$AC790</f>
        <v>0</v>
      </c>
      <c r="F790" s="1">
        <f t="shared" si="166"/>
        <v>0</v>
      </c>
      <c r="G790">
        <f>moment_rate!I790-0.005</f>
        <v>7.8299999999998775</v>
      </c>
      <c r="H790" s="1">
        <f t="shared" si="167"/>
        <v>0</v>
      </c>
      <c r="I790">
        <f t="shared" si="169"/>
        <v>0</v>
      </c>
      <c r="J790">
        <f t="shared" si="169"/>
        <v>0</v>
      </c>
      <c r="K790">
        <f t="shared" si="169"/>
        <v>0</v>
      </c>
      <c r="L790">
        <f t="shared" si="169"/>
        <v>0</v>
      </c>
      <c r="M790">
        <f t="shared" si="169"/>
        <v>0</v>
      </c>
      <c r="N790">
        <f t="shared" si="169"/>
        <v>0</v>
      </c>
      <c r="O790">
        <f t="shared" si="169"/>
        <v>0</v>
      </c>
      <c r="P790">
        <f t="shared" si="169"/>
        <v>0</v>
      </c>
      <c r="Q790">
        <f t="shared" si="169"/>
        <v>0</v>
      </c>
      <c r="R790">
        <f t="shared" si="169"/>
        <v>0</v>
      </c>
      <c r="S790">
        <f t="shared" si="169"/>
        <v>0</v>
      </c>
      <c r="T790">
        <f t="shared" si="169"/>
        <v>0</v>
      </c>
      <c r="U790">
        <f t="shared" si="169"/>
        <v>0</v>
      </c>
      <c r="V790">
        <f t="shared" si="169"/>
        <v>0</v>
      </c>
      <c r="W790">
        <f t="shared" si="169"/>
        <v>0</v>
      </c>
      <c r="X790">
        <f t="shared" si="169"/>
        <v>0</v>
      </c>
      <c r="Y790">
        <f t="shared" si="168"/>
        <v>0</v>
      </c>
      <c r="Z790">
        <f t="shared" si="168"/>
        <v>0</v>
      </c>
      <c r="AA790">
        <f t="shared" si="168"/>
        <v>0</v>
      </c>
      <c r="AB790">
        <f t="shared" si="168"/>
        <v>0</v>
      </c>
      <c r="AC790">
        <f t="shared" si="168"/>
        <v>0</v>
      </c>
      <c r="AD790">
        <f t="shared" si="168"/>
        <v>0</v>
      </c>
      <c r="AE790">
        <f t="shared" si="168"/>
        <v>0</v>
      </c>
      <c r="AF790">
        <f t="shared" si="168"/>
        <v>0</v>
      </c>
      <c r="AG790">
        <f t="shared" si="168"/>
        <v>0</v>
      </c>
      <c r="AH790">
        <f t="shared" si="168"/>
        <v>0</v>
      </c>
      <c r="AI790">
        <f t="shared" si="170"/>
        <v>0</v>
      </c>
      <c r="AJ790">
        <f t="shared" si="170"/>
        <v>0</v>
      </c>
      <c r="AK790">
        <f t="shared" si="170"/>
        <v>0</v>
      </c>
      <c r="AL790">
        <f t="shared" si="170"/>
        <v>0</v>
      </c>
      <c r="AM790">
        <f t="shared" si="170"/>
        <v>0</v>
      </c>
      <c r="AN790">
        <f t="shared" si="170"/>
        <v>0</v>
      </c>
      <c r="AO790">
        <f t="shared" si="170"/>
        <v>0</v>
      </c>
      <c r="AP790">
        <f t="shared" si="170"/>
        <v>0</v>
      </c>
      <c r="AQ790">
        <f t="shared" si="170"/>
        <v>0</v>
      </c>
      <c r="AR790">
        <f t="shared" si="170"/>
        <v>0</v>
      </c>
    </row>
    <row r="791" spans="5:44" x14ac:dyDescent="0.2">
      <c r="E791" s="1">
        <f>moment_rate!$AC791</f>
        <v>0</v>
      </c>
      <c r="F791" s="1">
        <f t="shared" si="166"/>
        <v>0</v>
      </c>
      <c r="G791">
        <f>moment_rate!I791-0.005</f>
        <v>7.8399999999998773</v>
      </c>
      <c r="H791" s="1">
        <f t="shared" si="167"/>
        <v>0</v>
      </c>
      <c r="I791">
        <f t="shared" si="169"/>
        <v>0</v>
      </c>
      <c r="J791">
        <f t="shared" si="169"/>
        <v>0</v>
      </c>
      <c r="K791">
        <f t="shared" si="169"/>
        <v>0</v>
      </c>
      <c r="L791">
        <f t="shared" si="169"/>
        <v>0</v>
      </c>
      <c r="M791">
        <f t="shared" si="169"/>
        <v>0</v>
      </c>
      <c r="N791">
        <f t="shared" si="169"/>
        <v>0</v>
      </c>
      <c r="O791">
        <f t="shared" si="169"/>
        <v>0</v>
      </c>
      <c r="P791">
        <f t="shared" si="169"/>
        <v>0</v>
      </c>
      <c r="Q791">
        <f t="shared" si="169"/>
        <v>0</v>
      </c>
      <c r="R791">
        <f t="shared" si="169"/>
        <v>0</v>
      </c>
      <c r="S791">
        <f t="shared" si="169"/>
        <v>0</v>
      </c>
      <c r="T791">
        <f t="shared" si="169"/>
        <v>0</v>
      </c>
      <c r="U791">
        <f t="shared" si="169"/>
        <v>0</v>
      </c>
      <c r="V791">
        <f t="shared" si="169"/>
        <v>0</v>
      </c>
      <c r="W791">
        <f t="shared" si="169"/>
        <v>0</v>
      </c>
      <c r="X791">
        <f t="shared" si="169"/>
        <v>0</v>
      </c>
      <c r="Y791">
        <f t="shared" si="168"/>
        <v>0</v>
      </c>
      <c r="Z791">
        <f t="shared" si="168"/>
        <v>0</v>
      </c>
      <c r="AA791">
        <f t="shared" si="168"/>
        <v>0</v>
      </c>
      <c r="AB791">
        <f t="shared" si="168"/>
        <v>0</v>
      </c>
      <c r="AC791">
        <f t="shared" si="168"/>
        <v>0</v>
      </c>
      <c r="AD791">
        <f t="shared" si="168"/>
        <v>0</v>
      </c>
      <c r="AE791">
        <f t="shared" si="168"/>
        <v>0</v>
      </c>
      <c r="AF791">
        <f t="shared" si="168"/>
        <v>0</v>
      </c>
      <c r="AG791">
        <f t="shared" si="168"/>
        <v>0</v>
      </c>
      <c r="AH791">
        <f t="shared" si="168"/>
        <v>0</v>
      </c>
      <c r="AI791">
        <f t="shared" si="170"/>
        <v>0</v>
      </c>
      <c r="AJ791">
        <f t="shared" si="170"/>
        <v>0</v>
      </c>
      <c r="AK791">
        <f t="shared" si="170"/>
        <v>0</v>
      </c>
      <c r="AL791">
        <f t="shared" si="170"/>
        <v>0</v>
      </c>
      <c r="AM791">
        <f t="shared" si="170"/>
        <v>0</v>
      </c>
      <c r="AN791">
        <f t="shared" si="170"/>
        <v>0</v>
      </c>
      <c r="AO791">
        <f t="shared" si="170"/>
        <v>0</v>
      </c>
      <c r="AP791">
        <f t="shared" si="170"/>
        <v>0</v>
      </c>
      <c r="AQ791">
        <f t="shared" si="170"/>
        <v>0</v>
      </c>
      <c r="AR791">
        <f t="shared" si="170"/>
        <v>0</v>
      </c>
    </row>
    <row r="792" spans="5:44" x14ac:dyDescent="0.2">
      <c r="E792" s="1">
        <f>moment_rate!$AC792</f>
        <v>0</v>
      </c>
      <c r="F792" s="1">
        <f t="shared" si="166"/>
        <v>0</v>
      </c>
      <c r="G792">
        <f>moment_rate!I792-0.005</f>
        <v>7.8499999999998771</v>
      </c>
      <c r="H792" s="1">
        <f t="shared" si="167"/>
        <v>0</v>
      </c>
      <c r="I792">
        <f t="shared" si="169"/>
        <v>0</v>
      </c>
      <c r="J792">
        <f t="shared" si="169"/>
        <v>0</v>
      </c>
      <c r="K792">
        <f t="shared" si="169"/>
        <v>0</v>
      </c>
      <c r="L792">
        <f t="shared" si="169"/>
        <v>0</v>
      </c>
      <c r="M792">
        <f t="shared" si="169"/>
        <v>0</v>
      </c>
      <c r="N792">
        <f t="shared" si="169"/>
        <v>0</v>
      </c>
      <c r="O792">
        <f t="shared" si="169"/>
        <v>0</v>
      </c>
      <c r="P792">
        <f t="shared" si="169"/>
        <v>0</v>
      </c>
      <c r="Q792">
        <f t="shared" si="169"/>
        <v>0</v>
      </c>
      <c r="R792">
        <f t="shared" si="169"/>
        <v>0</v>
      </c>
      <c r="S792">
        <f t="shared" si="169"/>
        <v>0</v>
      </c>
      <c r="T792">
        <f t="shared" si="169"/>
        <v>0</v>
      </c>
      <c r="U792">
        <f t="shared" si="169"/>
        <v>0</v>
      </c>
      <c r="V792">
        <f t="shared" si="169"/>
        <v>0</v>
      </c>
      <c r="W792">
        <f t="shared" si="169"/>
        <v>0</v>
      </c>
      <c r="X792">
        <f t="shared" si="169"/>
        <v>0</v>
      </c>
      <c r="Y792">
        <f t="shared" si="168"/>
        <v>0</v>
      </c>
      <c r="Z792">
        <f t="shared" si="168"/>
        <v>0</v>
      </c>
      <c r="AA792">
        <f t="shared" si="168"/>
        <v>0</v>
      </c>
      <c r="AB792">
        <f t="shared" si="168"/>
        <v>0</v>
      </c>
      <c r="AC792">
        <f t="shared" si="168"/>
        <v>0</v>
      </c>
      <c r="AD792">
        <f t="shared" si="168"/>
        <v>0</v>
      </c>
      <c r="AE792">
        <f t="shared" si="168"/>
        <v>0</v>
      </c>
      <c r="AF792">
        <f t="shared" si="168"/>
        <v>0</v>
      </c>
      <c r="AG792">
        <f t="shared" si="168"/>
        <v>0</v>
      </c>
      <c r="AH792">
        <f t="shared" si="168"/>
        <v>0</v>
      </c>
      <c r="AI792">
        <f t="shared" si="170"/>
        <v>0</v>
      </c>
      <c r="AJ792">
        <f t="shared" si="170"/>
        <v>0</v>
      </c>
      <c r="AK792">
        <f t="shared" si="170"/>
        <v>0</v>
      </c>
      <c r="AL792">
        <f t="shared" si="170"/>
        <v>0</v>
      </c>
      <c r="AM792">
        <f t="shared" si="170"/>
        <v>0</v>
      </c>
      <c r="AN792">
        <f t="shared" si="170"/>
        <v>0</v>
      </c>
      <c r="AO792">
        <f t="shared" si="170"/>
        <v>0</v>
      </c>
      <c r="AP792">
        <f t="shared" si="170"/>
        <v>0</v>
      </c>
      <c r="AQ792">
        <f t="shared" si="170"/>
        <v>0</v>
      </c>
      <c r="AR792">
        <f t="shared" si="170"/>
        <v>0</v>
      </c>
    </row>
    <row r="793" spans="5:44" x14ac:dyDescent="0.2">
      <c r="E793" s="1">
        <f>moment_rate!$AC793</f>
        <v>0</v>
      </c>
      <c r="F793" s="1">
        <f t="shared" si="166"/>
        <v>0</v>
      </c>
      <c r="G793">
        <f>moment_rate!I793-0.005</f>
        <v>7.8599999999998769</v>
      </c>
      <c r="H793" s="1">
        <f t="shared" si="167"/>
        <v>0</v>
      </c>
      <c r="I793">
        <f t="shared" si="169"/>
        <v>0</v>
      </c>
      <c r="J793">
        <f t="shared" si="169"/>
        <v>0</v>
      </c>
      <c r="K793">
        <f t="shared" si="169"/>
        <v>0</v>
      </c>
      <c r="L793">
        <f t="shared" si="169"/>
        <v>0</v>
      </c>
      <c r="M793">
        <f t="shared" si="169"/>
        <v>0</v>
      </c>
      <c r="N793">
        <f t="shared" si="169"/>
        <v>0</v>
      </c>
      <c r="O793">
        <f t="shared" si="169"/>
        <v>0</v>
      </c>
      <c r="P793">
        <f t="shared" si="169"/>
        <v>0</v>
      </c>
      <c r="Q793">
        <f t="shared" si="169"/>
        <v>0</v>
      </c>
      <c r="R793">
        <f t="shared" si="169"/>
        <v>0</v>
      </c>
      <c r="S793">
        <f t="shared" si="169"/>
        <v>0</v>
      </c>
      <c r="T793">
        <f t="shared" si="169"/>
        <v>0</v>
      </c>
      <c r="U793">
        <f t="shared" si="169"/>
        <v>0</v>
      </c>
      <c r="V793">
        <f t="shared" si="169"/>
        <v>0</v>
      </c>
      <c r="W793">
        <f t="shared" si="169"/>
        <v>0</v>
      </c>
      <c r="X793">
        <f t="shared" si="169"/>
        <v>0</v>
      </c>
      <c r="Y793">
        <f t="shared" si="168"/>
        <v>0</v>
      </c>
      <c r="Z793">
        <f t="shared" si="168"/>
        <v>0</v>
      </c>
      <c r="AA793">
        <f t="shared" si="168"/>
        <v>0</v>
      </c>
      <c r="AB793">
        <f t="shared" si="168"/>
        <v>0</v>
      </c>
      <c r="AC793">
        <f t="shared" si="168"/>
        <v>0</v>
      </c>
      <c r="AD793">
        <f t="shared" si="168"/>
        <v>0</v>
      </c>
      <c r="AE793">
        <f t="shared" si="168"/>
        <v>0</v>
      </c>
      <c r="AF793">
        <f t="shared" si="168"/>
        <v>0</v>
      </c>
      <c r="AG793">
        <f t="shared" si="168"/>
        <v>0</v>
      </c>
      <c r="AH793">
        <f t="shared" si="168"/>
        <v>0</v>
      </c>
      <c r="AI793">
        <f t="shared" si="170"/>
        <v>0</v>
      </c>
      <c r="AJ793">
        <f t="shared" si="170"/>
        <v>0</v>
      </c>
      <c r="AK793">
        <f t="shared" si="170"/>
        <v>0</v>
      </c>
      <c r="AL793">
        <f t="shared" si="170"/>
        <v>0</v>
      </c>
      <c r="AM793">
        <f t="shared" si="170"/>
        <v>0</v>
      </c>
      <c r="AN793">
        <f t="shared" si="170"/>
        <v>0</v>
      </c>
      <c r="AO793">
        <f t="shared" si="170"/>
        <v>0</v>
      </c>
      <c r="AP793">
        <f t="shared" si="170"/>
        <v>0</v>
      </c>
      <c r="AQ793">
        <f t="shared" si="170"/>
        <v>0</v>
      </c>
      <c r="AR793">
        <f t="shared" si="170"/>
        <v>0</v>
      </c>
    </row>
    <row r="794" spans="5:44" x14ac:dyDescent="0.2">
      <c r="E794" s="1">
        <f>moment_rate!$AC794</f>
        <v>0</v>
      </c>
      <c r="F794" s="1">
        <f t="shared" si="166"/>
        <v>0</v>
      </c>
      <c r="G794">
        <f>moment_rate!I794-0.005</f>
        <v>7.8699999999998766</v>
      </c>
      <c r="H794" s="1">
        <f t="shared" si="167"/>
        <v>0</v>
      </c>
      <c r="I794">
        <f t="shared" si="169"/>
        <v>0</v>
      </c>
      <c r="J794">
        <f t="shared" si="169"/>
        <v>0</v>
      </c>
      <c r="K794">
        <f t="shared" si="169"/>
        <v>0</v>
      </c>
      <c r="L794">
        <f t="shared" si="169"/>
        <v>0</v>
      </c>
      <c r="M794">
        <f t="shared" si="169"/>
        <v>0</v>
      </c>
      <c r="N794">
        <f t="shared" si="169"/>
        <v>0</v>
      </c>
      <c r="O794">
        <f t="shared" si="169"/>
        <v>0</v>
      </c>
      <c r="P794">
        <f t="shared" si="169"/>
        <v>0</v>
      </c>
      <c r="Q794">
        <f t="shared" si="169"/>
        <v>0</v>
      </c>
      <c r="R794">
        <f t="shared" si="169"/>
        <v>0</v>
      </c>
      <c r="S794">
        <f t="shared" si="169"/>
        <v>0</v>
      </c>
      <c r="T794">
        <f t="shared" si="169"/>
        <v>0</v>
      </c>
      <c r="U794">
        <f t="shared" si="169"/>
        <v>0</v>
      </c>
      <c r="V794">
        <f t="shared" si="169"/>
        <v>0</v>
      </c>
      <c r="W794">
        <f t="shared" si="169"/>
        <v>0</v>
      </c>
      <c r="X794">
        <f t="shared" ref="X794:AJ814" si="171">IF(AND($G794&gt;=X$3,$G794&lt;X$4),$F794,0)</f>
        <v>0</v>
      </c>
      <c r="Y794">
        <f t="shared" si="171"/>
        <v>0</v>
      </c>
      <c r="Z794">
        <f t="shared" si="171"/>
        <v>0</v>
      </c>
      <c r="AA794">
        <f t="shared" si="171"/>
        <v>0</v>
      </c>
      <c r="AB794">
        <f t="shared" si="171"/>
        <v>0</v>
      </c>
      <c r="AC794">
        <f t="shared" si="171"/>
        <v>0</v>
      </c>
      <c r="AD794">
        <f t="shared" si="171"/>
        <v>0</v>
      </c>
      <c r="AE794">
        <f t="shared" si="171"/>
        <v>0</v>
      </c>
      <c r="AF794">
        <f t="shared" si="171"/>
        <v>0</v>
      </c>
      <c r="AG794">
        <f t="shared" si="171"/>
        <v>0</v>
      </c>
      <c r="AH794">
        <f t="shared" si="171"/>
        <v>0</v>
      </c>
      <c r="AI794">
        <f t="shared" si="170"/>
        <v>0</v>
      </c>
      <c r="AJ794">
        <f t="shared" si="170"/>
        <v>0</v>
      </c>
      <c r="AK794">
        <f t="shared" si="170"/>
        <v>0</v>
      </c>
      <c r="AL794">
        <f t="shared" si="170"/>
        <v>0</v>
      </c>
      <c r="AM794">
        <f t="shared" si="170"/>
        <v>0</v>
      </c>
      <c r="AN794">
        <f t="shared" si="170"/>
        <v>0</v>
      </c>
      <c r="AO794">
        <f t="shared" si="170"/>
        <v>0</v>
      </c>
      <c r="AP794">
        <f t="shared" si="170"/>
        <v>0</v>
      </c>
      <c r="AQ794">
        <f t="shared" si="170"/>
        <v>0</v>
      </c>
      <c r="AR794">
        <f t="shared" si="170"/>
        <v>0</v>
      </c>
    </row>
    <row r="795" spans="5:44" x14ac:dyDescent="0.2">
      <c r="E795" s="1">
        <f>moment_rate!$AC795</f>
        <v>0</v>
      </c>
      <c r="F795" s="1">
        <f t="shared" si="166"/>
        <v>0</v>
      </c>
      <c r="G795">
        <f>moment_rate!I795-0.005</f>
        <v>7.8799999999998764</v>
      </c>
      <c r="H795" s="1">
        <f t="shared" si="167"/>
        <v>0</v>
      </c>
      <c r="I795">
        <f t="shared" ref="I795:X810" si="172">IF(AND($G795&gt;=I$3,$G795&lt;I$4),$F795,0)</f>
        <v>0</v>
      </c>
      <c r="J795">
        <f t="shared" si="172"/>
        <v>0</v>
      </c>
      <c r="K795">
        <f t="shared" si="172"/>
        <v>0</v>
      </c>
      <c r="L795">
        <f t="shared" si="172"/>
        <v>0</v>
      </c>
      <c r="M795">
        <f t="shared" si="172"/>
        <v>0</v>
      </c>
      <c r="N795">
        <f t="shared" si="172"/>
        <v>0</v>
      </c>
      <c r="O795">
        <f t="shared" si="172"/>
        <v>0</v>
      </c>
      <c r="P795">
        <f t="shared" si="172"/>
        <v>0</v>
      </c>
      <c r="Q795">
        <f t="shared" si="172"/>
        <v>0</v>
      </c>
      <c r="R795">
        <f t="shared" si="172"/>
        <v>0</v>
      </c>
      <c r="S795">
        <f t="shared" si="172"/>
        <v>0</v>
      </c>
      <c r="T795">
        <f t="shared" si="172"/>
        <v>0</v>
      </c>
      <c r="U795">
        <f t="shared" si="172"/>
        <v>0</v>
      </c>
      <c r="V795">
        <f t="shared" si="172"/>
        <v>0</v>
      </c>
      <c r="W795">
        <f t="shared" si="172"/>
        <v>0</v>
      </c>
      <c r="X795">
        <f t="shared" si="172"/>
        <v>0</v>
      </c>
      <c r="Y795">
        <f t="shared" si="171"/>
        <v>0</v>
      </c>
      <c r="Z795">
        <f t="shared" si="171"/>
        <v>0</v>
      </c>
      <c r="AA795">
        <f t="shared" si="171"/>
        <v>0</v>
      </c>
      <c r="AB795">
        <f t="shared" si="171"/>
        <v>0</v>
      </c>
      <c r="AC795">
        <f t="shared" si="171"/>
        <v>0</v>
      </c>
      <c r="AD795">
        <f t="shared" si="171"/>
        <v>0</v>
      </c>
      <c r="AE795">
        <f t="shared" si="171"/>
        <v>0</v>
      </c>
      <c r="AF795">
        <f t="shared" si="171"/>
        <v>0</v>
      </c>
      <c r="AG795">
        <f t="shared" si="171"/>
        <v>0</v>
      </c>
      <c r="AH795">
        <f t="shared" si="171"/>
        <v>0</v>
      </c>
      <c r="AI795">
        <f t="shared" si="170"/>
        <v>0</v>
      </c>
      <c r="AJ795">
        <f t="shared" si="170"/>
        <v>0</v>
      </c>
      <c r="AK795">
        <f t="shared" si="170"/>
        <v>0</v>
      </c>
      <c r="AL795">
        <f t="shared" si="170"/>
        <v>0</v>
      </c>
      <c r="AM795">
        <f t="shared" si="170"/>
        <v>0</v>
      </c>
      <c r="AN795">
        <f t="shared" si="170"/>
        <v>0</v>
      </c>
      <c r="AO795">
        <f t="shared" si="170"/>
        <v>0</v>
      </c>
      <c r="AP795">
        <f t="shared" si="170"/>
        <v>0</v>
      </c>
      <c r="AQ795">
        <f t="shared" si="170"/>
        <v>0</v>
      </c>
      <c r="AR795">
        <f t="shared" si="170"/>
        <v>0</v>
      </c>
    </row>
    <row r="796" spans="5:44" x14ac:dyDescent="0.2">
      <c r="E796" s="1">
        <f>moment_rate!$AC796</f>
        <v>0</v>
      </c>
      <c r="F796" s="1">
        <f t="shared" si="166"/>
        <v>0</v>
      </c>
      <c r="G796">
        <f>moment_rate!I796-0.005</f>
        <v>7.8899999999998762</v>
      </c>
      <c r="H796" s="1">
        <f t="shared" si="167"/>
        <v>0</v>
      </c>
      <c r="I796">
        <f t="shared" si="172"/>
        <v>0</v>
      </c>
      <c r="J796">
        <f t="shared" si="172"/>
        <v>0</v>
      </c>
      <c r="K796">
        <f t="shared" si="172"/>
        <v>0</v>
      </c>
      <c r="L796">
        <f t="shared" si="172"/>
        <v>0</v>
      </c>
      <c r="M796">
        <f t="shared" si="172"/>
        <v>0</v>
      </c>
      <c r="N796">
        <f t="shared" si="172"/>
        <v>0</v>
      </c>
      <c r="O796">
        <f t="shared" si="172"/>
        <v>0</v>
      </c>
      <c r="P796">
        <f t="shared" si="172"/>
        <v>0</v>
      </c>
      <c r="Q796">
        <f t="shared" si="172"/>
        <v>0</v>
      </c>
      <c r="R796">
        <f t="shared" si="172"/>
        <v>0</v>
      </c>
      <c r="S796">
        <f t="shared" si="172"/>
        <v>0</v>
      </c>
      <c r="T796">
        <f t="shared" si="172"/>
        <v>0</v>
      </c>
      <c r="U796">
        <f t="shared" si="172"/>
        <v>0</v>
      </c>
      <c r="V796">
        <f t="shared" si="172"/>
        <v>0</v>
      </c>
      <c r="W796">
        <f t="shared" si="172"/>
        <v>0</v>
      </c>
      <c r="X796">
        <f t="shared" si="172"/>
        <v>0</v>
      </c>
      <c r="Y796">
        <f t="shared" si="171"/>
        <v>0</v>
      </c>
      <c r="Z796">
        <f t="shared" si="171"/>
        <v>0</v>
      </c>
      <c r="AA796">
        <f t="shared" si="171"/>
        <v>0</v>
      </c>
      <c r="AB796">
        <f t="shared" si="171"/>
        <v>0</v>
      </c>
      <c r="AC796">
        <f t="shared" si="171"/>
        <v>0</v>
      </c>
      <c r="AD796">
        <f t="shared" si="171"/>
        <v>0</v>
      </c>
      <c r="AE796">
        <f t="shared" si="171"/>
        <v>0</v>
      </c>
      <c r="AF796">
        <f t="shared" si="171"/>
        <v>0</v>
      </c>
      <c r="AG796">
        <f t="shared" si="171"/>
        <v>0</v>
      </c>
      <c r="AH796">
        <f t="shared" si="171"/>
        <v>0</v>
      </c>
      <c r="AI796">
        <f t="shared" si="170"/>
        <v>0</v>
      </c>
      <c r="AJ796">
        <f t="shared" si="170"/>
        <v>0</v>
      </c>
      <c r="AK796">
        <f t="shared" si="170"/>
        <v>0</v>
      </c>
      <c r="AL796">
        <f t="shared" si="170"/>
        <v>0</v>
      </c>
      <c r="AM796">
        <f t="shared" si="170"/>
        <v>0</v>
      </c>
      <c r="AN796">
        <f t="shared" si="170"/>
        <v>0</v>
      </c>
      <c r="AO796">
        <f t="shared" si="170"/>
        <v>0</v>
      </c>
      <c r="AP796">
        <f t="shared" si="170"/>
        <v>0</v>
      </c>
      <c r="AQ796">
        <f t="shared" si="170"/>
        <v>0</v>
      </c>
      <c r="AR796">
        <f t="shared" si="170"/>
        <v>0</v>
      </c>
    </row>
    <row r="797" spans="5:44" x14ac:dyDescent="0.2">
      <c r="E797" s="1">
        <f>moment_rate!$AC797</f>
        <v>0</v>
      </c>
      <c r="F797" s="1">
        <f t="shared" si="166"/>
        <v>0</v>
      </c>
      <c r="G797">
        <f>moment_rate!I797-0.005</f>
        <v>7.899999999999876</v>
      </c>
      <c r="H797" s="1">
        <f t="shared" si="167"/>
        <v>0</v>
      </c>
      <c r="I797">
        <f t="shared" si="172"/>
        <v>0</v>
      </c>
      <c r="J797">
        <f t="shared" si="172"/>
        <v>0</v>
      </c>
      <c r="K797">
        <f t="shared" si="172"/>
        <v>0</v>
      </c>
      <c r="L797">
        <f t="shared" si="172"/>
        <v>0</v>
      </c>
      <c r="M797">
        <f t="shared" si="172"/>
        <v>0</v>
      </c>
      <c r="N797">
        <f t="shared" si="172"/>
        <v>0</v>
      </c>
      <c r="O797">
        <f t="shared" si="172"/>
        <v>0</v>
      </c>
      <c r="P797">
        <f t="shared" si="172"/>
        <v>0</v>
      </c>
      <c r="Q797">
        <f t="shared" si="172"/>
        <v>0</v>
      </c>
      <c r="R797">
        <f t="shared" si="172"/>
        <v>0</v>
      </c>
      <c r="S797">
        <f t="shared" si="172"/>
        <v>0</v>
      </c>
      <c r="T797">
        <f t="shared" si="172"/>
        <v>0</v>
      </c>
      <c r="U797">
        <f t="shared" si="172"/>
        <v>0</v>
      </c>
      <c r="V797">
        <f t="shared" si="172"/>
        <v>0</v>
      </c>
      <c r="W797">
        <f t="shared" si="172"/>
        <v>0</v>
      </c>
      <c r="X797">
        <f t="shared" si="172"/>
        <v>0</v>
      </c>
      <c r="Y797">
        <f t="shared" si="171"/>
        <v>0</v>
      </c>
      <c r="Z797">
        <f t="shared" si="171"/>
        <v>0</v>
      </c>
      <c r="AA797">
        <f t="shared" si="171"/>
        <v>0</v>
      </c>
      <c r="AB797">
        <f t="shared" si="171"/>
        <v>0</v>
      </c>
      <c r="AC797">
        <f t="shared" si="171"/>
        <v>0</v>
      </c>
      <c r="AD797">
        <f t="shared" si="171"/>
        <v>0</v>
      </c>
      <c r="AE797">
        <f t="shared" si="171"/>
        <v>0</v>
      </c>
      <c r="AF797">
        <f t="shared" si="171"/>
        <v>0</v>
      </c>
      <c r="AG797">
        <f t="shared" si="171"/>
        <v>0</v>
      </c>
      <c r="AH797">
        <f t="shared" si="171"/>
        <v>0</v>
      </c>
      <c r="AI797">
        <f t="shared" si="170"/>
        <v>0</v>
      </c>
      <c r="AJ797">
        <f t="shared" si="170"/>
        <v>0</v>
      </c>
      <c r="AK797">
        <f t="shared" si="170"/>
        <v>0</v>
      </c>
      <c r="AL797">
        <f t="shared" si="170"/>
        <v>0</v>
      </c>
      <c r="AM797">
        <f t="shared" si="170"/>
        <v>0</v>
      </c>
      <c r="AN797">
        <f t="shared" si="170"/>
        <v>0</v>
      </c>
      <c r="AO797">
        <f t="shared" si="170"/>
        <v>0</v>
      </c>
      <c r="AP797">
        <f t="shared" si="170"/>
        <v>0</v>
      </c>
      <c r="AQ797">
        <f t="shared" si="170"/>
        <v>0</v>
      </c>
      <c r="AR797">
        <f t="shared" si="170"/>
        <v>0</v>
      </c>
    </row>
    <row r="798" spans="5:44" x14ac:dyDescent="0.2">
      <c r="E798" s="1">
        <f>moment_rate!$AC798</f>
        <v>0</v>
      </c>
      <c r="F798" s="1">
        <f t="shared" si="166"/>
        <v>0</v>
      </c>
      <c r="G798">
        <f>moment_rate!I798-0.005</f>
        <v>7.9099999999998758</v>
      </c>
      <c r="H798" s="1">
        <f t="shared" si="167"/>
        <v>0</v>
      </c>
      <c r="I798">
        <f t="shared" si="172"/>
        <v>0</v>
      </c>
      <c r="J798">
        <f t="shared" si="172"/>
        <v>0</v>
      </c>
      <c r="K798">
        <f t="shared" si="172"/>
        <v>0</v>
      </c>
      <c r="L798">
        <f t="shared" si="172"/>
        <v>0</v>
      </c>
      <c r="M798">
        <f t="shared" si="172"/>
        <v>0</v>
      </c>
      <c r="N798">
        <f t="shared" si="172"/>
        <v>0</v>
      </c>
      <c r="O798">
        <f t="shared" si="172"/>
        <v>0</v>
      </c>
      <c r="P798">
        <f t="shared" si="172"/>
        <v>0</v>
      </c>
      <c r="Q798">
        <f t="shared" si="172"/>
        <v>0</v>
      </c>
      <c r="R798">
        <f t="shared" si="172"/>
        <v>0</v>
      </c>
      <c r="S798">
        <f t="shared" si="172"/>
        <v>0</v>
      </c>
      <c r="T798">
        <f t="shared" si="172"/>
        <v>0</v>
      </c>
      <c r="U798">
        <f t="shared" si="172"/>
        <v>0</v>
      </c>
      <c r="V798">
        <f t="shared" si="172"/>
        <v>0</v>
      </c>
      <c r="W798">
        <f t="shared" si="172"/>
        <v>0</v>
      </c>
      <c r="X798">
        <f t="shared" si="172"/>
        <v>0</v>
      </c>
      <c r="Y798">
        <f t="shared" si="171"/>
        <v>0</v>
      </c>
      <c r="Z798">
        <f t="shared" si="171"/>
        <v>0</v>
      </c>
      <c r="AA798">
        <f t="shared" si="171"/>
        <v>0</v>
      </c>
      <c r="AB798">
        <f t="shared" si="171"/>
        <v>0</v>
      </c>
      <c r="AC798">
        <f t="shared" si="171"/>
        <v>0</v>
      </c>
      <c r="AD798">
        <f t="shared" si="171"/>
        <v>0</v>
      </c>
      <c r="AE798">
        <f t="shared" si="171"/>
        <v>0</v>
      </c>
      <c r="AF798">
        <f t="shared" si="171"/>
        <v>0</v>
      </c>
      <c r="AG798">
        <f t="shared" si="171"/>
        <v>0</v>
      </c>
      <c r="AH798">
        <f t="shared" si="171"/>
        <v>0</v>
      </c>
      <c r="AI798">
        <f t="shared" si="170"/>
        <v>0</v>
      </c>
      <c r="AJ798">
        <f t="shared" si="170"/>
        <v>0</v>
      </c>
      <c r="AK798">
        <f t="shared" si="170"/>
        <v>0</v>
      </c>
      <c r="AL798">
        <f t="shared" si="170"/>
        <v>0</v>
      </c>
      <c r="AM798">
        <f t="shared" si="170"/>
        <v>0</v>
      </c>
      <c r="AN798">
        <f t="shared" si="170"/>
        <v>0</v>
      </c>
      <c r="AO798">
        <f t="shared" si="170"/>
        <v>0</v>
      </c>
      <c r="AP798">
        <f t="shared" si="170"/>
        <v>0</v>
      </c>
      <c r="AQ798">
        <f t="shared" si="170"/>
        <v>0</v>
      </c>
      <c r="AR798">
        <f t="shared" si="170"/>
        <v>0</v>
      </c>
    </row>
    <row r="799" spans="5:44" x14ac:dyDescent="0.2">
      <c r="E799" s="1">
        <f>moment_rate!$AC799</f>
        <v>0</v>
      </c>
      <c r="F799" s="1">
        <f t="shared" si="166"/>
        <v>0</v>
      </c>
      <c r="G799">
        <f>moment_rate!I799-0.005</f>
        <v>7.9199999999998756</v>
      </c>
      <c r="H799" s="1">
        <f t="shared" si="167"/>
        <v>0</v>
      </c>
      <c r="I799">
        <f t="shared" si="172"/>
        <v>0</v>
      </c>
      <c r="J799">
        <f t="shared" si="172"/>
        <v>0</v>
      </c>
      <c r="K799">
        <f t="shared" si="172"/>
        <v>0</v>
      </c>
      <c r="L799">
        <f t="shared" si="172"/>
        <v>0</v>
      </c>
      <c r="M799">
        <f t="shared" si="172"/>
        <v>0</v>
      </c>
      <c r="N799">
        <f t="shared" si="172"/>
        <v>0</v>
      </c>
      <c r="O799">
        <f t="shared" si="172"/>
        <v>0</v>
      </c>
      <c r="P799">
        <f t="shared" si="172"/>
        <v>0</v>
      </c>
      <c r="Q799">
        <f t="shared" si="172"/>
        <v>0</v>
      </c>
      <c r="R799">
        <f t="shared" si="172"/>
        <v>0</v>
      </c>
      <c r="S799">
        <f t="shared" si="172"/>
        <v>0</v>
      </c>
      <c r="T799">
        <f t="shared" si="172"/>
        <v>0</v>
      </c>
      <c r="U799">
        <f t="shared" si="172"/>
        <v>0</v>
      </c>
      <c r="V799">
        <f t="shared" si="172"/>
        <v>0</v>
      </c>
      <c r="W799">
        <f t="shared" si="172"/>
        <v>0</v>
      </c>
      <c r="X799">
        <f t="shared" si="172"/>
        <v>0</v>
      </c>
      <c r="Y799">
        <f t="shared" si="171"/>
        <v>0</v>
      </c>
      <c r="Z799">
        <f t="shared" si="171"/>
        <v>0</v>
      </c>
      <c r="AA799">
        <f t="shared" si="171"/>
        <v>0</v>
      </c>
      <c r="AB799">
        <f t="shared" si="171"/>
        <v>0</v>
      </c>
      <c r="AC799">
        <f t="shared" si="171"/>
        <v>0</v>
      </c>
      <c r="AD799">
        <f t="shared" si="171"/>
        <v>0</v>
      </c>
      <c r="AE799">
        <f t="shared" si="171"/>
        <v>0</v>
      </c>
      <c r="AF799">
        <f t="shared" si="171"/>
        <v>0</v>
      </c>
      <c r="AG799">
        <f t="shared" si="171"/>
        <v>0</v>
      </c>
      <c r="AH799">
        <f t="shared" si="171"/>
        <v>0</v>
      </c>
      <c r="AI799">
        <f t="shared" si="171"/>
        <v>0</v>
      </c>
      <c r="AJ799">
        <f t="shared" si="171"/>
        <v>0</v>
      </c>
      <c r="AK799">
        <f t="shared" si="170"/>
        <v>0</v>
      </c>
      <c r="AL799">
        <f t="shared" si="170"/>
        <v>0</v>
      </c>
      <c r="AM799">
        <f t="shared" si="170"/>
        <v>0</v>
      </c>
      <c r="AN799">
        <f t="shared" si="170"/>
        <v>0</v>
      </c>
      <c r="AO799">
        <f t="shared" si="170"/>
        <v>0</v>
      </c>
      <c r="AP799">
        <f t="shared" si="170"/>
        <v>0</v>
      </c>
      <c r="AQ799">
        <f t="shared" si="170"/>
        <v>0</v>
      </c>
      <c r="AR799">
        <f t="shared" si="170"/>
        <v>0</v>
      </c>
    </row>
    <row r="800" spans="5:44" x14ac:dyDescent="0.2">
      <c r="E800" s="1">
        <f>moment_rate!$AC800</f>
        <v>0</v>
      </c>
      <c r="F800" s="1">
        <f t="shared" si="166"/>
        <v>0</v>
      </c>
      <c r="G800">
        <f>moment_rate!I800-0.005</f>
        <v>7.9299999999998754</v>
      </c>
      <c r="H800" s="1">
        <f t="shared" si="167"/>
        <v>0</v>
      </c>
      <c r="I800">
        <f t="shared" si="172"/>
        <v>0</v>
      </c>
      <c r="J800">
        <f t="shared" si="172"/>
        <v>0</v>
      </c>
      <c r="K800">
        <f t="shared" si="172"/>
        <v>0</v>
      </c>
      <c r="L800">
        <f t="shared" si="172"/>
        <v>0</v>
      </c>
      <c r="M800">
        <f t="shared" si="172"/>
        <v>0</v>
      </c>
      <c r="N800">
        <f t="shared" si="172"/>
        <v>0</v>
      </c>
      <c r="O800">
        <f t="shared" si="172"/>
        <v>0</v>
      </c>
      <c r="P800">
        <f t="shared" si="172"/>
        <v>0</v>
      </c>
      <c r="Q800">
        <f t="shared" si="172"/>
        <v>0</v>
      </c>
      <c r="R800">
        <f t="shared" si="172"/>
        <v>0</v>
      </c>
      <c r="S800">
        <f t="shared" si="172"/>
        <v>0</v>
      </c>
      <c r="T800">
        <f t="shared" si="172"/>
        <v>0</v>
      </c>
      <c r="U800">
        <f t="shared" si="172"/>
        <v>0</v>
      </c>
      <c r="V800">
        <f t="shared" si="172"/>
        <v>0</v>
      </c>
      <c r="W800">
        <f t="shared" si="172"/>
        <v>0</v>
      </c>
      <c r="X800">
        <f t="shared" si="172"/>
        <v>0</v>
      </c>
      <c r="Y800">
        <f t="shared" si="171"/>
        <v>0</v>
      </c>
      <c r="Z800">
        <f t="shared" si="171"/>
        <v>0</v>
      </c>
      <c r="AA800">
        <f t="shared" si="171"/>
        <v>0</v>
      </c>
      <c r="AB800">
        <f t="shared" si="171"/>
        <v>0</v>
      </c>
      <c r="AC800">
        <f t="shared" si="171"/>
        <v>0</v>
      </c>
      <c r="AD800">
        <f t="shared" si="171"/>
        <v>0</v>
      </c>
      <c r="AE800">
        <f t="shared" si="171"/>
        <v>0</v>
      </c>
      <c r="AF800">
        <f t="shared" si="171"/>
        <v>0</v>
      </c>
      <c r="AG800">
        <f t="shared" si="171"/>
        <v>0</v>
      </c>
      <c r="AH800">
        <f t="shared" si="171"/>
        <v>0</v>
      </c>
      <c r="AI800">
        <f t="shared" si="171"/>
        <v>0</v>
      </c>
      <c r="AJ800">
        <f t="shared" si="171"/>
        <v>0</v>
      </c>
      <c r="AK800">
        <f t="shared" si="170"/>
        <v>0</v>
      </c>
      <c r="AL800">
        <f t="shared" si="170"/>
        <v>0</v>
      </c>
      <c r="AM800">
        <f t="shared" si="170"/>
        <v>0</v>
      </c>
      <c r="AN800">
        <f t="shared" si="170"/>
        <v>0</v>
      </c>
      <c r="AO800">
        <f t="shared" si="170"/>
        <v>0</v>
      </c>
      <c r="AP800">
        <f t="shared" si="170"/>
        <v>0</v>
      </c>
      <c r="AQ800">
        <f t="shared" si="170"/>
        <v>0</v>
      </c>
      <c r="AR800">
        <f t="shared" si="170"/>
        <v>0</v>
      </c>
    </row>
    <row r="801" spans="5:44" x14ac:dyDescent="0.2">
      <c r="E801" s="1">
        <f>moment_rate!$AC801</f>
        <v>0</v>
      </c>
      <c r="F801" s="1">
        <f t="shared" si="166"/>
        <v>0</v>
      </c>
      <c r="G801">
        <f>moment_rate!I801-0.005</f>
        <v>7.9399999999998752</v>
      </c>
      <c r="H801" s="1">
        <f t="shared" si="167"/>
        <v>0</v>
      </c>
      <c r="I801">
        <f t="shared" si="172"/>
        <v>0</v>
      </c>
      <c r="J801">
        <f t="shared" si="172"/>
        <v>0</v>
      </c>
      <c r="K801">
        <f t="shared" si="172"/>
        <v>0</v>
      </c>
      <c r="L801">
        <f t="shared" si="172"/>
        <v>0</v>
      </c>
      <c r="M801">
        <f t="shared" si="172"/>
        <v>0</v>
      </c>
      <c r="N801">
        <f t="shared" si="172"/>
        <v>0</v>
      </c>
      <c r="O801">
        <f t="shared" si="172"/>
        <v>0</v>
      </c>
      <c r="P801">
        <f t="shared" si="172"/>
        <v>0</v>
      </c>
      <c r="Q801">
        <f t="shared" si="172"/>
        <v>0</v>
      </c>
      <c r="R801">
        <f t="shared" si="172"/>
        <v>0</v>
      </c>
      <c r="S801">
        <f t="shared" si="172"/>
        <v>0</v>
      </c>
      <c r="T801">
        <f t="shared" si="172"/>
        <v>0</v>
      </c>
      <c r="U801">
        <f t="shared" si="172"/>
        <v>0</v>
      </c>
      <c r="V801">
        <f t="shared" si="172"/>
        <v>0</v>
      </c>
      <c r="W801">
        <f t="shared" si="172"/>
        <v>0</v>
      </c>
      <c r="X801">
        <f t="shared" si="172"/>
        <v>0</v>
      </c>
      <c r="Y801">
        <f t="shared" si="171"/>
        <v>0</v>
      </c>
      <c r="Z801">
        <f t="shared" si="171"/>
        <v>0</v>
      </c>
      <c r="AA801">
        <f t="shared" si="171"/>
        <v>0</v>
      </c>
      <c r="AB801">
        <f t="shared" si="171"/>
        <v>0</v>
      </c>
      <c r="AC801">
        <f t="shared" si="171"/>
        <v>0</v>
      </c>
      <c r="AD801">
        <f t="shared" si="171"/>
        <v>0</v>
      </c>
      <c r="AE801">
        <f t="shared" si="171"/>
        <v>0</v>
      </c>
      <c r="AF801">
        <f t="shared" si="171"/>
        <v>0</v>
      </c>
      <c r="AG801">
        <f t="shared" si="171"/>
        <v>0</v>
      </c>
      <c r="AH801">
        <f t="shared" si="171"/>
        <v>0</v>
      </c>
      <c r="AI801">
        <f t="shared" si="171"/>
        <v>0</v>
      </c>
      <c r="AJ801">
        <f t="shared" si="171"/>
        <v>0</v>
      </c>
      <c r="AK801">
        <f t="shared" si="170"/>
        <v>0</v>
      </c>
      <c r="AL801">
        <f t="shared" si="170"/>
        <v>0</v>
      </c>
      <c r="AM801">
        <f t="shared" si="170"/>
        <v>0</v>
      </c>
      <c r="AN801">
        <f t="shared" si="170"/>
        <v>0</v>
      </c>
      <c r="AO801">
        <f t="shared" si="170"/>
        <v>0</v>
      </c>
      <c r="AP801">
        <f t="shared" si="170"/>
        <v>0</v>
      </c>
      <c r="AQ801">
        <f t="shared" si="170"/>
        <v>0</v>
      </c>
      <c r="AR801">
        <f t="shared" si="170"/>
        <v>0</v>
      </c>
    </row>
    <row r="802" spans="5:44" x14ac:dyDescent="0.2">
      <c r="E802" s="1">
        <f>moment_rate!$AC802</f>
        <v>0</v>
      </c>
      <c r="F802" s="1">
        <f t="shared" si="166"/>
        <v>0</v>
      </c>
      <c r="G802">
        <f>moment_rate!I802-0.005</f>
        <v>7.9499999999998749</v>
      </c>
      <c r="H802" s="1">
        <f t="shared" si="167"/>
        <v>0</v>
      </c>
      <c r="I802">
        <f t="shared" si="172"/>
        <v>0</v>
      </c>
      <c r="J802">
        <f t="shared" si="172"/>
        <v>0</v>
      </c>
      <c r="K802">
        <f t="shared" si="172"/>
        <v>0</v>
      </c>
      <c r="L802">
        <f t="shared" si="172"/>
        <v>0</v>
      </c>
      <c r="M802">
        <f t="shared" si="172"/>
        <v>0</v>
      </c>
      <c r="N802">
        <f t="shared" si="172"/>
        <v>0</v>
      </c>
      <c r="O802">
        <f t="shared" si="172"/>
        <v>0</v>
      </c>
      <c r="P802">
        <f t="shared" si="172"/>
        <v>0</v>
      </c>
      <c r="Q802">
        <f t="shared" si="172"/>
        <v>0</v>
      </c>
      <c r="R802">
        <f t="shared" si="172"/>
        <v>0</v>
      </c>
      <c r="S802">
        <f t="shared" si="172"/>
        <v>0</v>
      </c>
      <c r="T802">
        <f t="shared" si="172"/>
        <v>0</v>
      </c>
      <c r="U802">
        <f t="shared" si="172"/>
        <v>0</v>
      </c>
      <c r="V802">
        <f t="shared" si="172"/>
        <v>0</v>
      </c>
      <c r="W802">
        <f t="shared" si="172"/>
        <v>0</v>
      </c>
      <c r="X802">
        <f t="shared" si="172"/>
        <v>0</v>
      </c>
      <c r="Y802">
        <f t="shared" si="171"/>
        <v>0</v>
      </c>
      <c r="Z802">
        <f t="shared" si="171"/>
        <v>0</v>
      </c>
      <c r="AA802">
        <f t="shared" si="171"/>
        <v>0</v>
      </c>
      <c r="AB802">
        <f t="shared" si="171"/>
        <v>0</v>
      </c>
      <c r="AC802">
        <f t="shared" si="171"/>
        <v>0</v>
      </c>
      <c r="AD802">
        <f t="shared" si="171"/>
        <v>0</v>
      </c>
      <c r="AE802">
        <f t="shared" si="171"/>
        <v>0</v>
      </c>
      <c r="AF802">
        <f t="shared" si="171"/>
        <v>0</v>
      </c>
      <c r="AG802">
        <f t="shared" si="171"/>
        <v>0</v>
      </c>
      <c r="AH802">
        <f t="shared" si="171"/>
        <v>0</v>
      </c>
      <c r="AI802">
        <f t="shared" si="171"/>
        <v>0</v>
      </c>
      <c r="AJ802">
        <f t="shared" si="171"/>
        <v>0</v>
      </c>
      <c r="AK802">
        <f t="shared" si="170"/>
        <v>0</v>
      </c>
      <c r="AL802">
        <f t="shared" si="170"/>
        <v>0</v>
      </c>
      <c r="AM802">
        <f t="shared" si="170"/>
        <v>0</v>
      </c>
      <c r="AN802">
        <f t="shared" si="170"/>
        <v>0</v>
      </c>
      <c r="AO802">
        <f t="shared" si="170"/>
        <v>0</v>
      </c>
      <c r="AP802">
        <f t="shared" si="170"/>
        <v>0</v>
      </c>
      <c r="AQ802">
        <f t="shared" si="170"/>
        <v>0</v>
      </c>
      <c r="AR802">
        <f t="shared" si="170"/>
        <v>0</v>
      </c>
    </row>
    <row r="803" spans="5:44" x14ac:dyDescent="0.2">
      <c r="E803" s="1">
        <f>moment_rate!$AC803</f>
        <v>0</v>
      </c>
      <c r="F803" s="1">
        <f t="shared" si="166"/>
        <v>0</v>
      </c>
      <c r="G803">
        <f>moment_rate!I803-0.005</f>
        <v>7.9599999999998747</v>
      </c>
      <c r="H803" s="1">
        <f t="shared" si="167"/>
        <v>0</v>
      </c>
      <c r="I803">
        <f t="shared" si="172"/>
        <v>0</v>
      </c>
      <c r="J803">
        <f t="shared" si="172"/>
        <v>0</v>
      </c>
      <c r="K803">
        <f t="shared" si="172"/>
        <v>0</v>
      </c>
      <c r="L803">
        <f t="shared" si="172"/>
        <v>0</v>
      </c>
      <c r="M803">
        <f t="shared" si="172"/>
        <v>0</v>
      </c>
      <c r="N803">
        <f t="shared" si="172"/>
        <v>0</v>
      </c>
      <c r="O803">
        <f t="shared" si="172"/>
        <v>0</v>
      </c>
      <c r="P803">
        <f t="shared" si="172"/>
        <v>0</v>
      </c>
      <c r="Q803">
        <f t="shared" si="172"/>
        <v>0</v>
      </c>
      <c r="R803">
        <f t="shared" si="172"/>
        <v>0</v>
      </c>
      <c r="S803">
        <f t="shared" si="172"/>
        <v>0</v>
      </c>
      <c r="T803">
        <f t="shared" si="172"/>
        <v>0</v>
      </c>
      <c r="U803">
        <f t="shared" si="172"/>
        <v>0</v>
      </c>
      <c r="V803">
        <f t="shared" si="172"/>
        <v>0</v>
      </c>
      <c r="W803">
        <f t="shared" si="172"/>
        <v>0</v>
      </c>
      <c r="X803">
        <f t="shared" si="172"/>
        <v>0</v>
      </c>
      <c r="Y803">
        <f t="shared" si="171"/>
        <v>0</v>
      </c>
      <c r="Z803">
        <f t="shared" si="171"/>
        <v>0</v>
      </c>
      <c r="AA803">
        <f t="shared" si="171"/>
        <v>0</v>
      </c>
      <c r="AB803">
        <f t="shared" si="171"/>
        <v>0</v>
      </c>
      <c r="AC803">
        <f t="shared" si="171"/>
        <v>0</v>
      </c>
      <c r="AD803">
        <f t="shared" si="171"/>
        <v>0</v>
      </c>
      <c r="AE803">
        <f t="shared" si="171"/>
        <v>0</v>
      </c>
      <c r="AF803">
        <f t="shared" si="171"/>
        <v>0</v>
      </c>
      <c r="AG803">
        <f t="shared" si="171"/>
        <v>0</v>
      </c>
      <c r="AH803">
        <f t="shared" si="171"/>
        <v>0</v>
      </c>
      <c r="AI803">
        <f t="shared" si="171"/>
        <v>0</v>
      </c>
      <c r="AJ803">
        <f t="shared" si="171"/>
        <v>0</v>
      </c>
      <c r="AK803">
        <f t="shared" si="170"/>
        <v>0</v>
      </c>
      <c r="AL803">
        <f t="shared" si="170"/>
        <v>0</v>
      </c>
      <c r="AM803">
        <f t="shared" si="170"/>
        <v>0</v>
      </c>
      <c r="AN803">
        <f t="shared" si="170"/>
        <v>0</v>
      </c>
      <c r="AO803">
        <f t="shared" si="170"/>
        <v>0</v>
      </c>
      <c r="AP803">
        <f t="shared" si="170"/>
        <v>0</v>
      </c>
      <c r="AQ803">
        <f t="shared" si="170"/>
        <v>0</v>
      </c>
      <c r="AR803">
        <f t="shared" si="170"/>
        <v>0</v>
      </c>
    </row>
    <row r="804" spans="5:44" x14ac:dyDescent="0.2">
      <c r="E804" s="1">
        <f>moment_rate!$AC804</f>
        <v>0</v>
      </c>
      <c r="F804" s="1">
        <f t="shared" si="166"/>
        <v>0</v>
      </c>
      <c r="G804">
        <f>moment_rate!I804-0.005</f>
        <v>7.9699999999998745</v>
      </c>
      <c r="H804" s="1">
        <f t="shared" si="167"/>
        <v>0</v>
      </c>
      <c r="I804">
        <f t="shared" si="172"/>
        <v>0</v>
      </c>
      <c r="J804">
        <f t="shared" si="172"/>
        <v>0</v>
      </c>
      <c r="K804">
        <f t="shared" si="172"/>
        <v>0</v>
      </c>
      <c r="L804">
        <f t="shared" si="172"/>
        <v>0</v>
      </c>
      <c r="M804">
        <f t="shared" si="172"/>
        <v>0</v>
      </c>
      <c r="N804">
        <f t="shared" si="172"/>
        <v>0</v>
      </c>
      <c r="O804">
        <f t="shared" si="172"/>
        <v>0</v>
      </c>
      <c r="P804">
        <f t="shared" si="172"/>
        <v>0</v>
      </c>
      <c r="Q804">
        <f t="shared" si="172"/>
        <v>0</v>
      </c>
      <c r="R804">
        <f t="shared" si="172"/>
        <v>0</v>
      </c>
      <c r="S804">
        <f t="shared" si="172"/>
        <v>0</v>
      </c>
      <c r="T804">
        <f t="shared" si="172"/>
        <v>0</v>
      </c>
      <c r="U804">
        <f t="shared" si="172"/>
        <v>0</v>
      </c>
      <c r="V804">
        <f t="shared" si="172"/>
        <v>0</v>
      </c>
      <c r="W804">
        <f t="shared" si="172"/>
        <v>0</v>
      </c>
      <c r="X804">
        <f t="shared" si="172"/>
        <v>0</v>
      </c>
      <c r="Y804">
        <f t="shared" si="171"/>
        <v>0</v>
      </c>
      <c r="Z804">
        <f t="shared" si="171"/>
        <v>0</v>
      </c>
      <c r="AA804">
        <f t="shared" si="171"/>
        <v>0</v>
      </c>
      <c r="AB804">
        <f t="shared" si="171"/>
        <v>0</v>
      </c>
      <c r="AC804">
        <f t="shared" si="171"/>
        <v>0</v>
      </c>
      <c r="AD804">
        <f t="shared" si="171"/>
        <v>0</v>
      </c>
      <c r="AE804">
        <f t="shared" si="171"/>
        <v>0</v>
      </c>
      <c r="AF804">
        <f t="shared" si="171"/>
        <v>0</v>
      </c>
      <c r="AG804">
        <f t="shared" si="171"/>
        <v>0</v>
      </c>
      <c r="AH804">
        <f t="shared" si="171"/>
        <v>0</v>
      </c>
      <c r="AI804">
        <f t="shared" si="171"/>
        <v>0</v>
      </c>
      <c r="AJ804">
        <f t="shared" si="171"/>
        <v>0</v>
      </c>
      <c r="AK804">
        <f t="shared" si="170"/>
        <v>0</v>
      </c>
      <c r="AL804">
        <f t="shared" si="170"/>
        <v>0</v>
      </c>
      <c r="AM804">
        <f t="shared" si="170"/>
        <v>0</v>
      </c>
      <c r="AN804">
        <f t="shared" si="170"/>
        <v>0</v>
      </c>
      <c r="AO804">
        <f t="shared" si="170"/>
        <v>0</v>
      </c>
      <c r="AP804">
        <f t="shared" si="170"/>
        <v>0</v>
      </c>
      <c r="AQ804">
        <f t="shared" si="170"/>
        <v>0</v>
      </c>
      <c r="AR804">
        <f t="shared" si="170"/>
        <v>0</v>
      </c>
    </row>
    <row r="805" spans="5:44" x14ac:dyDescent="0.2">
      <c r="E805" s="1">
        <f>moment_rate!$AC805</f>
        <v>0</v>
      </c>
      <c r="F805" s="1">
        <f t="shared" si="166"/>
        <v>0</v>
      </c>
      <c r="G805">
        <f>moment_rate!I805-0.005</f>
        <v>7.9799999999998743</v>
      </c>
      <c r="H805" s="1">
        <f t="shared" si="167"/>
        <v>0</v>
      </c>
      <c r="I805">
        <f t="shared" si="172"/>
        <v>0</v>
      </c>
      <c r="J805">
        <f t="shared" si="172"/>
        <v>0</v>
      </c>
      <c r="K805">
        <f t="shared" si="172"/>
        <v>0</v>
      </c>
      <c r="L805">
        <f t="shared" si="172"/>
        <v>0</v>
      </c>
      <c r="M805">
        <f t="shared" si="172"/>
        <v>0</v>
      </c>
      <c r="N805">
        <f t="shared" si="172"/>
        <v>0</v>
      </c>
      <c r="O805">
        <f t="shared" si="172"/>
        <v>0</v>
      </c>
      <c r="P805">
        <f t="shared" si="172"/>
        <v>0</v>
      </c>
      <c r="Q805">
        <f t="shared" si="172"/>
        <v>0</v>
      </c>
      <c r="R805">
        <f t="shared" si="172"/>
        <v>0</v>
      </c>
      <c r="S805">
        <f t="shared" si="172"/>
        <v>0</v>
      </c>
      <c r="T805">
        <f t="shared" si="172"/>
        <v>0</v>
      </c>
      <c r="U805">
        <f t="shared" si="172"/>
        <v>0</v>
      </c>
      <c r="V805">
        <f t="shared" si="172"/>
        <v>0</v>
      </c>
      <c r="W805">
        <f t="shared" si="172"/>
        <v>0</v>
      </c>
      <c r="X805">
        <f t="shared" si="172"/>
        <v>0</v>
      </c>
      <c r="Y805">
        <f t="shared" si="171"/>
        <v>0</v>
      </c>
      <c r="Z805">
        <f t="shared" si="171"/>
        <v>0</v>
      </c>
      <c r="AA805">
        <f t="shared" si="171"/>
        <v>0</v>
      </c>
      <c r="AB805">
        <f t="shared" si="171"/>
        <v>0</v>
      </c>
      <c r="AC805">
        <f t="shared" si="171"/>
        <v>0</v>
      </c>
      <c r="AD805">
        <f t="shared" si="171"/>
        <v>0</v>
      </c>
      <c r="AE805">
        <f t="shared" si="171"/>
        <v>0</v>
      </c>
      <c r="AF805">
        <f t="shared" si="171"/>
        <v>0</v>
      </c>
      <c r="AG805">
        <f t="shared" si="171"/>
        <v>0</v>
      </c>
      <c r="AH805">
        <f t="shared" si="171"/>
        <v>0</v>
      </c>
      <c r="AI805">
        <f t="shared" si="171"/>
        <v>0</v>
      </c>
      <c r="AJ805">
        <f t="shared" si="171"/>
        <v>0</v>
      </c>
      <c r="AK805">
        <f t="shared" si="170"/>
        <v>0</v>
      </c>
      <c r="AL805">
        <f t="shared" si="170"/>
        <v>0</v>
      </c>
      <c r="AM805">
        <f t="shared" si="170"/>
        <v>0</v>
      </c>
      <c r="AN805">
        <f t="shared" si="170"/>
        <v>0</v>
      </c>
      <c r="AO805">
        <f t="shared" si="170"/>
        <v>0</v>
      </c>
      <c r="AP805">
        <f t="shared" si="170"/>
        <v>0</v>
      </c>
      <c r="AQ805">
        <f t="shared" si="170"/>
        <v>0</v>
      </c>
      <c r="AR805">
        <f t="shared" si="170"/>
        <v>0</v>
      </c>
    </row>
    <row r="806" spans="5:44" x14ac:dyDescent="0.2">
      <c r="E806" s="1">
        <f>moment_rate!$AC806</f>
        <v>0</v>
      </c>
      <c r="F806" s="1">
        <f t="shared" si="166"/>
        <v>0</v>
      </c>
      <c r="G806">
        <f>moment_rate!I806-0.005</f>
        <v>7.9899999999998741</v>
      </c>
      <c r="H806" s="1">
        <f t="shared" si="167"/>
        <v>0</v>
      </c>
      <c r="I806">
        <f t="shared" si="172"/>
        <v>0</v>
      </c>
      <c r="J806">
        <f t="shared" si="172"/>
        <v>0</v>
      </c>
      <c r="K806">
        <f t="shared" si="172"/>
        <v>0</v>
      </c>
      <c r="L806">
        <f t="shared" si="172"/>
        <v>0</v>
      </c>
      <c r="M806">
        <f t="shared" si="172"/>
        <v>0</v>
      </c>
      <c r="N806">
        <f t="shared" si="172"/>
        <v>0</v>
      </c>
      <c r="O806">
        <f t="shared" si="172"/>
        <v>0</v>
      </c>
      <c r="P806">
        <f t="shared" si="172"/>
        <v>0</v>
      </c>
      <c r="Q806">
        <f t="shared" si="172"/>
        <v>0</v>
      </c>
      <c r="R806">
        <f t="shared" si="172"/>
        <v>0</v>
      </c>
      <c r="S806">
        <f t="shared" si="172"/>
        <v>0</v>
      </c>
      <c r="T806">
        <f t="shared" si="172"/>
        <v>0</v>
      </c>
      <c r="U806">
        <f t="shared" si="172"/>
        <v>0</v>
      </c>
      <c r="V806">
        <f t="shared" si="172"/>
        <v>0</v>
      </c>
      <c r="W806">
        <f t="shared" si="172"/>
        <v>0</v>
      </c>
      <c r="X806">
        <f t="shared" si="172"/>
        <v>0</v>
      </c>
      <c r="Y806">
        <f t="shared" si="171"/>
        <v>0</v>
      </c>
      <c r="Z806">
        <f t="shared" si="171"/>
        <v>0</v>
      </c>
      <c r="AA806">
        <f t="shared" si="171"/>
        <v>0</v>
      </c>
      <c r="AB806">
        <f t="shared" si="171"/>
        <v>0</v>
      </c>
      <c r="AC806">
        <f t="shared" si="171"/>
        <v>0</v>
      </c>
      <c r="AD806">
        <f t="shared" si="171"/>
        <v>0</v>
      </c>
      <c r="AE806">
        <f t="shared" si="171"/>
        <v>0</v>
      </c>
      <c r="AF806">
        <f t="shared" si="171"/>
        <v>0</v>
      </c>
      <c r="AG806">
        <f t="shared" si="171"/>
        <v>0</v>
      </c>
      <c r="AH806">
        <f t="shared" si="171"/>
        <v>0</v>
      </c>
      <c r="AI806">
        <f t="shared" si="171"/>
        <v>0</v>
      </c>
      <c r="AJ806">
        <f t="shared" si="171"/>
        <v>0</v>
      </c>
      <c r="AK806">
        <f t="shared" si="170"/>
        <v>0</v>
      </c>
      <c r="AL806">
        <f t="shared" si="170"/>
        <v>0</v>
      </c>
      <c r="AM806">
        <f t="shared" si="170"/>
        <v>0</v>
      </c>
      <c r="AN806">
        <f t="shared" si="170"/>
        <v>0</v>
      </c>
      <c r="AO806">
        <f t="shared" si="170"/>
        <v>0</v>
      </c>
      <c r="AP806">
        <f t="shared" si="170"/>
        <v>0</v>
      </c>
      <c r="AQ806">
        <f t="shared" si="170"/>
        <v>0</v>
      </c>
      <c r="AR806">
        <f t="shared" si="170"/>
        <v>0</v>
      </c>
    </row>
    <row r="807" spans="5:44" x14ac:dyDescent="0.2">
      <c r="E807" s="1">
        <f>moment_rate!$AC807</f>
        <v>0</v>
      </c>
      <c r="F807" s="1">
        <f t="shared" si="166"/>
        <v>0</v>
      </c>
      <c r="G807">
        <f>moment_rate!I807-0.005</f>
        <v>7.9999999999998748</v>
      </c>
      <c r="H807" s="1">
        <f t="shared" si="167"/>
        <v>0</v>
      </c>
      <c r="I807">
        <f t="shared" si="172"/>
        <v>0</v>
      </c>
      <c r="J807">
        <f t="shared" si="172"/>
        <v>0</v>
      </c>
      <c r="K807">
        <f t="shared" si="172"/>
        <v>0</v>
      </c>
      <c r="L807">
        <f t="shared" si="172"/>
        <v>0</v>
      </c>
      <c r="M807">
        <f t="shared" si="172"/>
        <v>0</v>
      </c>
      <c r="N807">
        <f t="shared" si="172"/>
        <v>0</v>
      </c>
      <c r="O807">
        <f t="shared" si="172"/>
        <v>0</v>
      </c>
      <c r="P807">
        <f t="shared" si="172"/>
        <v>0</v>
      </c>
      <c r="Q807">
        <f t="shared" si="172"/>
        <v>0</v>
      </c>
      <c r="R807">
        <f t="shared" si="172"/>
        <v>0</v>
      </c>
      <c r="S807">
        <f t="shared" si="172"/>
        <v>0</v>
      </c>
      <c r="T807">
        <f t="shared" si="172"/>
        <v>0</v>
      </c>
      <c r="U807">
        <f t="shared" si="172"/>
        <v>0</v>
      </c>
      <c r="V807">
        <f t="shared" si="172"/>
        <v>0</v>
      </c>
      <c r="W807">
        <f t="shared" si="172"/>
        <v>0</v>
      </c>
      <c r="X807">
        <f t="shared" si="172"/>
        <v>0</v>
      </c>
      <c r="Y807">
        <f t="shared" si="171"/>
        <v>0</v>
      </c>
      <c r="Z807">
        <f t="shared" si="171"/>
        <v>0</v>
      </c>
      <c r="AA807">
        <f t="shared" si="171"/>
        <v>0</v>
      </c>
      <c r="AB807">
        <f t="shared" si="171"/>
        <v>0</v>
      </c>
      <c r="AC807">
        <f t="shared" si="171"/>
        <v>0</v>
      </c>
      <c r="AD807">
        <f t="shared" si="171"/>
        <v>0</v>
      </c>
      <c r="AE807">
        <f t="shared" si="171"/>
        <v>0</v>
      </c>
      <c r="AF807">
        <f t="shared" si="171"/>
        <v>0</v>
      </c>
      <c r="AG807">
        <f t="shared" si="171"/>
        <v>0</v>
      </c>
      <c r="AH807">
        <f t="shared" si="171"/>
        <v>0</v>
      </c>
      <c r="AI807">
        <f t="shared" si="171"/>
        <v>0</v>
      </c>
      <c r="AJ807">
        <f t="shared" si="171"/>
        <v>0</v>
      </c>
      <c r="AK807">
        <f t="shared" si="170"/>
        <v>0</v>
      </c>
      <c r="AL807">
        <f t="shared" si="170"/>
        <v>0</v>
      </c>
      <c r="AM807">
        <f t="shared" si="170"/>
        <v>0</v>
      </c>
      <c r="AN807">
        <f t="shared" si="170"/>
        <v>0</v>
      </c>
      <c r="AO807">
        <f t="shared" si="170"/>
        <v>0</v>
      </c>
      <c r="AP807">
        <f t="shared" si="170"/>
        <v>0</v>
      </c>
      <c r="AQ807">
        <f t="shared" si="170"/>
        <v>0</v>
      </c>
      <c r="AR807">
        <f t="shared" si="170"/>
        <v>0</v>
      </c>
    </row>
    <row r="808" spans="5:44" x14ac:dyDescent="0.2">
      <c r="E808" s="1">
        <f>moment_rate!$AC808</f>
        <v>0</v>
      </c>
      <c r="F808" s="1">
        <f t="shared" si="166"/>
        <v>0</v>
      </c>
      <c r="G808">
        <f>moment_rate!I808-0.005</f>
        <v>8.0099999999998737</v>
      </c>
      <c r="H808" s="1">
        <f t="shared" si="167"/>
        <v>0</v>
      </c>
      <c r="I808">
        <f t="shared" si="172"/>
        <v>0</v>
      </c>
      <c r="J808">
        <f t="shared" si="172"/>
        <v>0</v>
      </c>
      <c r="K808">
        <f t="shared" si="172"/>
        <v>0</v>
      </c>
      <c r="L808">
        <f t="shared" si="172"/>
        <v>0</v>
      </c>
      <c r="M808">
        <f t="shared" si="172"/>
        <v>0</v>
      </c>
      <c r="N808">
        <f t="shared" si="172"/>
        <v>0</v>
      </c>
      <c r="O808">
        <f t="shared" si="172"/>
        <v>0</v>
      </c>
      <c r="P808">
        <f t="shared" si="172"/>
        <v>0</v>
      </c>
      <c r="Q808">
        <f t="shared" si="172"/>
        <v>0</v>
      </c>
      <c r="R808">
        <f t="shared" si="172"/>
        <v>0</v>
      </c>
      <c r="S808">
        <f t="shared" si="172"/>
        <v>0</v>
      </c>
      <c r="T808">
        <f t="shared" si="172"/>
        <v>0</v>
      </c>
      <c r="U808">
        <f t="shared" si="172"/>
        <v>0</v>
      </c>
      <c r="V808">
        <f t="shared" si="172"/>
        <v>0</v>
      </c>
      <c r="W808">
        <f t="shared" si="172"/>
        <v>0</v>
      </c>
      <c r="X808">
        <f t="shared" si="172"/>
        <v>0</v>
      </c>
      <c r="Y808">
        <f t="shared" si="171"/>
        <v>0</v>
      </c>
      <c r="Z808">
        <f t="shared" si="171"/>
        <v>0</v>
      </c>
      <c r="AA808">
        <f t="shared" si="171"/>
        <v>0</v>
      </c>
      <c r="AB808">
        <f t="shared" si="171"/>
        <v>0</v>
      </c>
      <c r="AC808">
        <f t="shared" si="171"/>
        <v>0</v>
      </c>
      <c r="AD808">
        <f t="shared" si="171"/>
        <v>0</v>
      </c>
      <c r="AE808">
        <f t="shared" si="171"/>
        <v>0</v>
      </c>
      <c r="AF808">
        <f t="shared" si="171"/>
        <v>0</v>
      </c>
      <c r="AG808">
        <f t="shared" si="171"/>
        <v>0</v>
      </c>
      <c r="AH808">
        <f t="shared" si="171"/>
        <v>0</v>
      </c>
      <c r="AI808">
        <f t="shared" si="171"/>
        <v>0</v>
      </c>
      <c r="AJ808">
        <f t="shared" si="171"/>
        <v>0</v>
      </c>
      <c r="AK808">
        <f t="shared" si="170"/>
        <v>0</v>
      </c>
      <c r="AL808">
        <f t="shared" si="170"/>
        <v>0</v>
      </c>
      <c r="AM808">
        <f t="shared" si="170"/>
        <v>0</v>
      </c>
      <c r="AN808">
        <f t="shared" si="170"/>
        <v>0</v>
      </c>
      <c r="AO808">
        <f t="shared" si="170"/>
        <v>0</v>
      </c>
      <c r="AP808">
        <f t="shared" si="170"/>
        <v>0</v>
      </c>
      <c r="AQ808">
        <f t="shared" si="170"/>
        <v>0</v>
      </c>
      <c r="AR808">
        <f t="shared" si="170"/>
        <v>0</v>
      </c>
    </row>
    <row r="809" spans="5:44" x14ac:dyDescent="0.2">
      <c r="E809" s="1">
        <f>moment_rate!$AC809</f>
        <v>0</v>
      </c>
      <c r="F809" s="1">
        <f t="shared" si="166"/>
        <v>0</v>
      </c>
      <c r="G809">
        <f>moment_rate!I809-0.005</f>
        <v>8.0199999999998735</v>
      </c>
      <c r="H809" s="1">
        <f t="shared" si="167"/>
        <v>0</v>
      </c>
      <c r="I809">
        <f t="shared" si="172"/>
        <v>0</v>
      </c>
      <c r="J809">
        <f t="shared" si="172"/>
        <v>0</v>
      </c>
      <c r="K809">
        <f t="shared" si="172"/>
        <v>0</v>
      </c>
      <c r="L809">
        <f t="shared" si="172"/>
        <v>0</v>
      </c>
      <c r="M809">
        <f t="shared" si="172"/>
        <v>0</v>
      </c>
      <c r="N809">
        <f t="shared" si="172"/>
        <v>0</v>
      </c>
      <c r="O809">
        <f t="shared" si="172"/>
        <v>0</v>
      </c>
      <c r="P809">
        <f t="shared" si="172"/>
        <v>0</v>
      </c>
      <c r="Q809">
        <f t="shared" si="172"/>
        <v>0</v>
      </c>
      <c r="R809">
        <f t="shared" si="172"/>
        <v>0</v>
      </c>
      <c r="S809">
        <f t="shared" si="172"/>
        <v>0</v>
      </c>
      <c r="T809">
        <f t="shared" si="172"/>
        <v>0</v>
      </c>
      <c r="U809">
        <f t="shared" si="172"/>
        <v>0</v>
      </c>
      <c r="V809">
        <f t="shared" si="172"/>
        <v>0</v>
      </c>
      <c r="W809">
        <f t="shared" si="172"/>
        <v>0</v>
      </c>
      <c r="X809">
        <f t="shared" si="172"/>
        <v>0</v>
      </c>
      <c r="Y809">
        <f t="shared" si="171"/>
        <v>0</v>
      </c>
      <c r="Z809">
        <f t="shared" si="171"/>
        <v>0</v>
      </c>
      <c r="AA809">
        <f t="shared" si="171"/>
        <v>0</v>
      </c>
      <c r="AB809">
        <f t="shared" si="171"/>
        <v>0</v>
      </c>
      <c r="AC809">
        <f t="shared" si="171"/>
        <v>0</v>
      </c>
      <c r="AD809">
        <f t="shared" si="171"/>
        <v>0</v>
      </c>
      <c r="AE809">
        <f t="shared" si="171"/>
        <v>0</v>
      </c>
      <c r="AF809">
        <f t="shared" si="171"/>
        <v>0</v>
      </c>
      <c r="AG809">
        <f t="shared" si="171"/>
        <v>0</v>
      </c>
      <c r="AH809">
        <f t="shared" si="171"/>
        <v>0</v>
      </c>
      <c r="AI809">
        <f t="shared" si="171"/>
        <v>0</v>
      </c>
      <c r="AJ809">
        <f t="shared" si="171"/>
        <v>0</v>
      </c>
      <c r="AK809">
        <f t="shared" si="170"/>
        <v>0</v>
      </c>
      <c r="AL809">
        <f t="shared" si="170"/>
        <v>0</v>
      </c>
      <c r="AM809">
        <f t="shared" si="170"/>
        <v>0</v>
      </c>
      <c r="AN809">
        <f t="shared" si="170"/>
        <v>0</v>
      </c>
      <c r="AO809">
        <f t="shared" si="170"/>
        <v>0</v>
      </c>
      <c r="AP809">
        <f t="shared" si="170"/>
        <v>0</v>
      </c>
      <c r="AQ809">
        <f t="shared" si="170"/>
        <v>0</v>
      </c>
      <c r="AR809">
        <f t="shared" si="170"/>
        <v>0</v>
      </c>
    </row>
    <row r="810" spans="5:44" x14ac:dyDescent="0.2">
      <c r="E810" s="1">
        <f>moment_rate!$AC810</f>
        <v>0</v>
      </c>
      <c r="F810" s="1">
        <f t="shared" si="166"/>
        <v>0</v>
      </c>
      <c r="G810">
        <f>moment_rate!I810-0.005</f>
        <v>8.0299999999998732</v>
      </c>
      <c r="H810" s="1">
        <f t="shared" si="167"/>
        <v>0</v>
      </c>
      <c r="I810">
        <f t="shared" si="172"/>
        <v>0</v>
      </c>
      <c r="J810">
        <f t="shared" si="172"/>
        <v>0</v>
      </c>
      <c r="K810">
        <f t="shared" si="172"/>
        <v>0</v>
      </c>
      <c r="L810">
        <f t="shared" si="172"/>
        <v>0</v>
      </c>
      <c r="M810">
        <f t="shared" si="172"/>
        <v>0</v>
      </c>
      <c r="N810">
        <f t="shared" si="172"/>
        <v>0</v>
      </c>
      <c r="O810">
        <f t="shared" si="172"/>
        <v>0</v>
      </c>
      <c r="P810">
        <f t="shared" si="172"/>
        <v>0</v>
      </c>
      <c r="Q810">
        <f t="shared" si="172"/>
        <v>0</v>
      </c>
      <c r="R810">
        <f t="shared" si="172"/>
        <v>0</v>
      </c>
      <c r="S810">
        <f t="shared" si="172"/>
        <v>0</v>
      </c>
      <c r="T810">
        <f t="shared" si="172"/>
        <v>0</v>
      </c>
      <c r="U810">
        <f t="shared" si="172"/>
        <v>0</v>
      </c>
      <c r="V810">
        <f t="shared" si="172"/>
        <v>0</v>
      </c>
      <c r="W810">
        <f t="shared" si="172"/>
        <v>0</v>
      </c>
      <c r="X810">
        <f t="shared" ref="X810:AM825" si="173">IF(AND($G810&gt;=X$3,$G810&lt;X$4),$F810,0)</f>
        <v>0</v>
      </c>
      <c r="Y810">
        <f t="shared" si="173"/>
        <v>0</v>
      </c>
      <c r="Z810">
        <f t="shared" si="171"/>
        <v>0</v>
      </c>
      <c r="AA810">
        <f t="shared" si="171"/>
        <v>0</v>
      </c>
      <c r="AB810">
        <f t="shared" si="171"/>
        <v>0</v>
      </c>
      <c r="AC810">
        <f t="shared" si="171"/>
        <v>0</v>
      </c>
      <c r="AD810">
        <f t="shared" si="171"/>
        <v>0</v>
      </c>
      <c r="AE810">
        <f t="shared" si="171"/>
        <v>0</v>
      </c>
      <c r="AF810">
        <f t="shared" si="171"/>
        <v>0</v>
      </c>
      <c r="AG810">
        <f t="shared" si="171"/>
        <v>0</v>
      </c>
      <c r="AH810">
        <f t="shared" si="171"/>
        <v>0</v>
      </c>
      <c r="AI810">
        <f t="shared" si="171"/>
        <v>0</v>
      </c>
      <c r="AJ810">
        <f t="shared" si="171"/>
        <v>0</v>
      </c>
      <c r="AK810">
        <f t="shared" si="170"/>
        <v>0</v>
      </c>
      <c r="AL810">
        <f t="shared" si="170"/>
        <v>0</v>
      </c>
      <c r="AM810">
        <f t="shared" si="170"/>
        <v>0</v>
      </c>
      <c r="AN810">
        <f t="shared" si="170"/>
        <v>0</v>
      </c>
      <c r="AO810">
        <f t="shared" si="170"/>
        <v>0</v>
      </c>
      <c r="AP810">
        <f t="shared" si="170"/>
        <v>0</v>
      </c>
      <c r="AQ810">
        <f t="shared" si="170"/>
        <v>0</v>
      </c>
      <c r="AR810">
        <f t="shared" si="170"/>
        <v>0</v>
      </c>
    </row>
    <row r="811" spans="5:44" x14ac:dyDescent="0.2">
      <c r="E811" s="1">
        <f>moment_rate!$AC811</f>
        <v>0</v>
      </c>
      <c r="F811" s="1">
        <f t="shared" si="166"/>
        <v>0</v>
      </c>
      <c r="G811">
        <f>moment_rate!I811-0.005</f>
        <v>8.039999999999873</v>
      </c>
      <c r="H811" s="1">
        <f t="shared" si="167"/>
        <v>0</v>
      </c>
      <c r="I811">
        <f t="shared" ref="I811:X826" si="174">IF(AND($G811&gt;=I$3,$G811&lt;I$4),$F811,0)</f>
        <v>0</v>
      </c>
      <c r="J811">
        <f t="shared" si="174"/>
        <v>0</v>
      </c>
      <c r="K811">
        <f t="shared" si="174"/>
        <v>0</v>
      </c>
      <c r="L811">
        <f t="shared" si="174"/>
        <v>0</v>
      </c>
      <c r="M811">
        <f t="shared" si="174"/>
        <v>0</v>
      </c>
      <c r="N811">
        <f t="shared" si="174"/>
        <v>0</v>
      </c>
      <c r="O811">
        <f t="shared" si="174"/>
        <v>0</v>
      </c>
      <c r="P811">
        <f t="shared" si="174"/>
        <v>0</v>
      </c>
      <c r="Q811">
        <f t="shared" si="174"/>
        <v>0</v>
      </c>
      <c r="R811">
        <f t="shared" si="174"/>
        <v>0</v>
      </c>
      <c r="S811">
        <f t="shared" si="174"/>
        <v>0</v>
      </c>
      <c r="T811">
        <f t="shared" si="174"/>
        <v>0</v>
      </c>
      <c r="U811">
        <f t="shared" si="174"/>
        <v>0</v>
      </c>
      <c r="V811">
        <f t="shared" si="174"/>
        <v>0</v>
      </c>
      <c r="W811">
        <f t="shared" si="174"/>
        <v>0</v>
      </c>
      <c r="X811">
        <f t="shared" si="174"/>
        <v>0</v>
      </c>
      <c r="Y811">
        <f t="shared" si="173"/>
        <v>0</v>
      </c>
      <c r="Z811">
        <f t="shared" si="171"/>
        <v>0</v>
      </c>
      <c r="AA811">
        <f t="shared" si="171"/>
        <v>0</v>
      </c>
      <c r="AB811">
        <f t="shared" si="171"/>
        <v>0</v>
      </c>
      <c r="AC811">
        <f t="shared" si="171"/>
        <v>0</v>
      </c>
      <c r="AD811">
        <f t="shared" si="171"/>
        <v>0</v>
      </c>
      <c r="AE811">
        <f t="shared" si="171"/>
        <v>0</v>
      </c>
      <c r="AF811">
        <f t="shared" si="171"/>
        <v>0</v>
      </c>
      <c r="AG811">
        <f t="shared" si="171"/>
        <v>0</v>
      </c>
      <c r="AH811">
        <f t="shared" si="171"/>
        <v>0</v>
      </c>
      <c r="AI811">
        <f t="shared" si="171"/>
        <v>0</v>
      </c>
      <c r="AJ811">
        <f t="shared" si="171"/>
        <v>0</v>
      </c>
      <c r="AK811">
        <f t="shared" si="170"/>
        <v>0</v>
      </c>
      <c r="AL811">
        <f t="shared" si="170"/>
        <v>0</v>
      </c>
      <c r="AM811">
        <f t="shared" si="170"/>
        <v>0</v>
      </c>
      <c r="AN811">
        <f t="shared" si="170"/>
        <v>0</v>
      </c>
      <c r="AO811">
        <f t="shared" si="170"/>
        <v>0</v>
      </c>
      <c r="AP811">
        <f t="shared" si="170"/>
        <v>0</v>
      </c>
      <c r="AQ811">
        <f t="shared" si="170"/>
        <v>0</v>
      </c>
      <c r="AR811">
        <f t="shared" si="170"/>
        <v>0</v>
      </c>
    </row>
    <row r="812" spans="5:44" x14ac:dyDescent="0.2">
      <c r="E812" s="1">
        <f>moment_rate!$AC812</f>
        <v>0</v>
      </c>
      <c r="F812" s="1">
        <f t="shared" si="166"/>
        <v>0</v>
      </c>
      <c r="G812">
        <f>moment_rate!I812-0.005</f>
        <v>8.0499999999998728</v>
      </c>
      <c r="H812" s="1">
        <f t="shared" si="167"/>
        <v>0</v>
      </c>
      <c r="I812">
        <f t="shared" si="174"/>
        <v>0</v>
      </c>
      <c r="J812">
        <f t="shared" si="174"/>
        <v>0</v>
      </c>
      <c r="K812">
        <f t="shared" si="174"/>
        <v>0</v>
      </c>
      <c r="L812">
        <f t="shared" si="174"/>
        <v>0</v>
      </c>
      <c r="M812">
        <f t="shared" si="174"/>
        <v>0</v>
      </c>
      <c r="N812">
        <f t="shared" si="174"/>
        <v>0</v>
      </c>
      <c r="O812">
        <f t="shared" si="174"/>
        <v>0</v>
      </c>
      <c r="P812">
        <f t="shared" si="174"/>
        <v>0</v>
      </c>
      <c r="Q812">
        <f t="shared" si="174"/>
        <v>0</v>
      </c>
      <c r="R812">
        <f t="shared" si="174"/>
        <v>0</v>
      </c>
      <c r="S812">
        <f t="shared" si="174"/>
        <v>0</v>
      </c>
      <c r="T812">
        <f t="shared" si="174"/>
        <v>0</v>
      </c>
      <c r="U812">
        <f t="shared" si="174"/>
        <v>0</v>
      </c>
      <c r="V812">
        <f t="shared" si="174"/>
        <v>0</v>
      </c>
      <c r="W812">
        <f t="shared" si="174"/>
        <v>0</v>
      </c>
      <c r="X812">
        <f t="shared" si="174"/>
        <v>0</v>
      </c>
      <c r="Y812">
        <f t="shared" si="173"/>
        <v>0</v>
      </c>
      <c r="Z812">
        <f t="shared" si="171"/>
        <v>0</v>
      </c>
      <c r="AA812">
        <f t="shared" si="171"/>
        <v>0</v>
      </c>
      <c r="AB812">
        <f t="shared" si="171"/>
        <v>0</v>
      </c>
      <c r="AC812">
        <f t="shared" si="171"/>
        <v>0</v>
      </c>
      <c r="AD812">
        <f t="shared" si="171"/>
        <v>0</v>
      </c>
      <c r="AE812">
        <f t="shared" si="171"/>
        <v>0</v>
      </c>
      <c r="AF812">
        <f t="shared" si="171"/>
        <v>0</v>
      </c>
      <c r="AG812">
        <f t="shared" si="171"/>
        <v>0</v>
      </c>
      <c r="AH812">
        <f t="shared" si="171"/>
        <v>0</v>
      </c>
      <c r="AI812">
        <f t="shared" si="171"/>
        <v>0</v>
      </c>
      <c r="AJ812">
        <f t="shared" si="171"/>
        <v>0</v>
      </c>
      <c r="AK812">
        <f t="shared" si="170"/>
        <v>0</v>
      </c>
      <c r="AL812">
        <f t="shared" si="170"/>
        <v>0</v>
      </c>
      <c r="AM812">
        <f t="shared" si="170"/>
        <v>0</v>
      </c>
      <c r="AN812">
        <f t="shared" si="170"/>
        <v>0</v>
      </c>
      <c r="AO812">
        <f t="shared" si="170"/>
        <v>0</v>
      </c>
      <c r="AP812">
        <f t="shared" si="170"/>
        <v>0</v>
      </c>
      <c r="AQ812">
        <f t="shared" si="170"/>
        <v>0</v>
      </c>
      <c r="AR812">
        <f t="shared" si="170"/>
        <v>0</v>
      </c>
    </row>
    <row r="813" spans="5:44" x14ac:dyDescent="0.2">
      <c r="E813" s="1">
        <f>moment_rate!$AC813</f>
        <v>0</v>
      </c>
      <c r="F813" s="1">
        <f t="shared" si="166"/>
        <v>0</v>
      </c>
      <c r="G813">
        <f>moment_rate!I813-0.005</f>
        <v>8.0599999999998726</v>
      </c>
      <c r="H813" s="1">
        <f t="shared" si="167"/>
        <v>0</v>
      </c>
      <c r="I813">
        <f t="shared" si="174"/>
        <v>0</v>
      </c>
      <c r="J813">
        <f t="shared" si="174"/>
        <v>0</v>
      </c>
      <c r="K813">
        <f t="shared" si="174"/>
        <v>0</v>
      </c>
      <c r="L813">
        <f t="shared" si="174"/>
        <v>0</v>
      </c>
      <c r="M813">
        <f t="shared" si="174"/>
        <v>0</v>
      </c>
      <c r="N813">
        <f t="shared" si="174"/>
        <v>0</v>
      </c>
      <c r="O813">
        <f t="shared" si="174"/>
        <v>0</v>
      </c>
      <c r="P813">
        <f t="shared" si="174"/>
        <v>0</v>
      </c>
      <c r="Q813">
        <f t="shared" si="174"/>
        <v>0</v>
      </c>
      <c r="R813">
        <f t="shared" si="174"/>
        <v>0</v>
      </c>
      <c r="S813">
        <f t="shared" si="174"/>
        <v>0</v>
      </c>
      <c r="T813">
        <f t="shared" si="174"/>
        <v>0</v>
      </c>
      <c r="U813">
        <f t="shared" si="174"/>
        <v>0</v>
      </c>
      <c r="V813">
        <f t="shared" si="174"/>
        <v>0</v>
      </c>
      <c r="W813">
        <f t="shared" si="174"/>
        <v>0</v>
      </c>
      <c r="X813">
        <f t="shared" si="174"/>
        <v>0</v>
      </c>
      <c r="Y813">
        <f t="shared" si="173"/>
        <v>0</v>
      </c>
      <c r="Z813">
        <f t="shared" si="171"/>
        <v>0</v>
      </c>
      <c r="AA813">
        <f t="shared" si="171"/>
        <v>0</v>
      </c>
      <c r="AB813">
        <f t="shared" si="171"/>
        <v>0</v>
      </c>
      <c r="AC813">
        <f t="shared" si="171"/>
        <v>0</v>
      </c>
      <c r="AD813">
        <f t="shared" si="171"/>
        <v>0</v>
      </c>
      <c r="AE813">
        <f t="shared" si="171"/>
        <v>0</v>
      </c>
      <c r="AF813">
        <f t="shared" si="171"/>
        <v>0</v>
      </c>
      <c r="AG813">
        <f t="shared" si="171"/>
        <v>0</v>
      </c>
      <c r="AH813">
        <f t="shared" si="171"/>
        <v>0</v>
      </c>
      <c r="AI813">
        <f t="shared" si="171"/>
        <v>0</v>
      </c>
      <c r="AJ813">
        <f t="shared" si="171"/>
        <v>0</v>
      </c>
      <c r="AK813">
        <f t="shared" si="170"/>
        <v>0</v>
      </c>
      <c r="AL813">
        <f t="shared" si="170"/>
        <v>0</v>
      </c>
      <c r="AM813">
        <f t="shared" si="170"/>
        <v>0</v>
      </c>
      <c r="AN813">
        <f t="shared" si="170"/>
        <v>0</v>
      </c>
      <c r="AO813">
        <f t="shared" si="170"/>
        <v>0</v>
      </c>
      <c r="AP813">
        <f t="shared" si="170"/>
        <v>0</v>
      </c>
      <c r="AQ813">
        <f t="shared" si="170"/>
        <v>0</v>
      </c>
      <c r="AR813">
        <f t="shared" si="170"/>
        <v>0</v>
      </c>
    </row>
    <row r="814" spans="5:44" x14ac:dyDescent="0.2">
      <c r="E814" s="1">
        <f>moment_rate!$AC814</f>
        <v>0</v>
      </c>
      <c r="F814" s="1">
        <f t="shared" si="166"/>
        <v>0</v>
      </c>
      <c r="G814">
        <f>moment_rate!I814-0.005</f>
        <v>8.0699999999998724</v>
      </c>
      <c r="H814" s="1">
        <f t="shared" si="167"/>
        <v>0</v>
      </c>
      <c r="I814">
        <f t="shared" si="174"/>
        <v>0</v>
      </c>
      <c r="J814">
        <f t="shared" si="174"/>
        <v>0</v>
      </c>
      <c r="K814">
        <f t="shared" si="174"/>
        <v>0</v>
      </c>
      <c r="L814">
        <f t="shared" si="174"/>
        <v>0</v>
      </c>
      <c r="M814">
        <f t="shared" si="174"/>
        <v>0</v>
      </c>
      <c r="N814">
        <f t="shared" si="174"/>
        <v>0</v>
      </c>
      <c r="O814">
        <f t="shared" si="174"/>
        <v>0</v>
      </c>
      <c r="P814">
        <f t="shared" si="174"/>
        <v>0</v>
      </c>
      <c r="Q814">
        <f t="shared" si="174"/>
        <v>0</v>
      </c>
      <c r="R814">
        <f t="shared" si="174"/>
        <v>0</v>
      </c>
      <c r="S814">
        <f t="shared" si="174"/>
        <v>0</v>
      </c>
      <c r="T814">
        <f t="shared" si="174"/>
        <v>0</v>
      </c>
      <c r="U814">
        <f t="shared" si="174"/>
        <v>0</v>
      </c>
      <c r="V814">
        <f t="shared" si="174"/>
        <v>0</v>
      </c>
      <c r="W814">
        <f t="shared" si="174"/>
        <v>0</v>
      </c>
      <c r="X814">
        <f t="shared" si="174"/>
        <v>0</v>
      </c>
      <c r="Y814">
        <f t="shared" si="173"/>
        <v>0</v>
      </c>
      <c r="Z814">
        <f t="shared" si="171"/>
        <v>0</v>
      </c>
      <c r="AA814">
        <f t="shared" si="171"/>
        <v>0</v>
      </c>
      <c r="AB814">
        <f t="shared" si="171"/>
        <v>0</v>
      </c>
      <c r="AC814">
        <f t="shared" si="171"/>
        <v>0</v>
      </c>
      <c r="AD814">
        <f t="shared" si="171"/>
        <v>0</v>
      </c>
      <c r="AE814">
        <f t="shared" si="171"/>
        <v>0</v>
      </c>
      <c r="AF814">
        <f t="shared" si="171"/>
        <v>0</v>
      </c>
      <c r="AG814">
        <f t="shared" si="171"/>
        <v>0</v>
      </c>
      <c r="AH814">
        <f t="shared" si="171"/>
        <v>0</v>
      </c>
      <c r="AI814">
        <f t="shared" si="171"/>
        <v>0</v>
      </c>
      <c r="AJ814">
        <f t="shared" si="171"/>
        <v>0</v>
      </c>
      <c r="AK814">
        <f t="shared" si="170"/>
        <v>0</v>
      </c>
      <c r="AL814">
        <f t="shared" si="170"/>
        <v>0</v>
      </c>
      <c r="AM814">
        <f t="shared" si="170"/>
        <v>0</v>
      </c>
      <c r="AN814">
        <f t="shared" si="170"/>
        <v>0</v>
      </c>
      <c r="AO814">
        <f t="shared" si="170"/>
        <v>0</v>
      </c>
      <c r="AP814">
        <f t="shared" si="170"/>
        <v>0</v>
      </c>
      <c r="AQ814">
        <f t="shared" si="170"/>
        <v>0</v>
      </c>
      <c r="AR814">
        <f t="shared" si="170"/>
        <v>0</v>
      </c>
    </row>
    <row r="815" spans="5:44" x14ac:dyDescent="0.2">
      <c r="E815" s="1">
        <f>moment_rate!$AC815</f>
        <v>0</v>
      </c>
      <c r="F815" s="1">
        <f t="shared" si="166"/>
        <v>0</v>
      </c>
      <c r="G815">
        <f>moment_rate!I815-0.005</f>
        <v>8.0799999999998722</v>
      </c>
      <c r="H815" s="1">
        <f t="shared" si="167"/>
        <v>0</v>
      </c>
      <c r="I815">
        <f t="shared" si="174"/>
        <v>0</v>
      </c>
      <c r="J815">
        <f t="shared" si="174"/>
        <v>0</v>
      </c>
      <c r="K815">
        <f t="shared" si="174"/>
        <v>0</v>
      </c>
      <c r="L815">
        <f t="shared" si="174"/>
        <v>0</v>
      </c>
      <c r="M815">
        <f t="shared" si="174"/>
        <v>0</v>
      </c>
      <c r="N815">
        <f t="shared" si="174"/>
        <v>0</v>
      </c>
      <c r="O815">
        <f t="shared" si="174"/>
        <v>0</v>
      </c>
      <c r="P815">
        <f t="shared" si="174"/>
        <v>0</v>
      </c>
      <c r="Q815">
        <f t="shared" si="174"/>
        <v>0</v>
      </c>
      <c r="R815">
        <f t="shared" si="174"/>
        <v>0</v>
      </c>
      <c r="S815">
        <f t="shared" si="174"/>
        <v>0</v>
      </c>
      <c r="T815">
        <f t="shared" si="174"/>
        <v>0</v>
      </c>
      <c r="U815">
        <f t="shared" si="174"/>
        <v>0</v>
      </c>
      <c r="V815">
        <f t="shared" si="174"/>
        <v>0</v>
      </c>
      <c r="W815">
        <f t="shared" si="174"/>
        <v>0</v>
      </c>
      <c r="X815">
        <f t="shared" si="174"/>
        <v>0</v>
      </c>
      <c r="Y815">
        <f t="shared" si="173"/>
        <v>0</v>
      </c>
      <c r="Z815">
        <f t="shared" si="173"/>
        <v>0</v>
      </c>
      <c r="AA815">
        <f t="shared" si="173"/>
        <v>0</v>
      </c>
      <c r="AB815">
        <f t="shared" si="173"/>
        <v>0</v>
      </c>
      <c r="AC815">
        <f t="shared" si="173"/>
        <v>0</v>
      </c>
      <c r="AD815">
        <f t="shared" si="173"/>
        <v>0</v>
      </c>
      <c r="AE815">
        <f t="shared" si="173"/>
        <v>0</v>
      </c>
      <c r="AF815">
        <f t="shared" si="173"/>
        <v>0</v>
      </c>
      <c r="AG815">
        <f t="shared" si="173"/>
        <v>0</v>
      </c>
      <c r="AH815">
        <f t="shared" si="173"/>
        <v>0</v>
      </c>
      <c r="AI815">
        <f t="shared" si="173"/>
        <v>0</v>
      </c>
      <c r="AJ815">
        <f t="shared" si="173"/>
        <v>0</v>
      </c>
      <c r="AK815">
        <f t="shared" si="173"/>
        <v>0</v>
      </c>
      <c r="AL815">
        <f t="shared" si="173"/>
        <v>0</v>
      </c>
      <c r="AM815">
        <f t="shared" si="173"/>
        <v>0</v>
      </c>
      <c r="AN815">
        <f t="shared" si="170"/>
        <v>0</v>
      </c>
      <c r="AO815">
        <f t="shared" si="170"/>
        <v>0</v>
      </c>
      <c r="AP815">
        <f t="shared" si="170"/>
        <v>0</v>
      </c>
      <c r="AQ815">
        <f t="shared" si="170"/>
        <v>0</v>
      </c>
      <c r="AR815">
        <f t="shared" si="170"/>
        <v>0</v>
      </c>
    </row>
    <row r="816" spans="5:44" x14ac:dyDescent="0.2">
      <c r="E816" s="1">
        <f>moment_rate!$AC816</f>
        <v>0</v>
      </c>
      <c r="F816" s="1">
        <f t="shared" si="166"/>
        <v>0</v>
      </c>
      <c r="G816">
        <f>moment_rate!I816-0.005</f>
        <v>8.089999999999872</v>
      </c>
      <c r="H816" s="1">
        <f t="shared" si="167"/>
        <v>0</v>
      </c>
      <c r="I816">
        <f t="shared" si="174"/>
        <v>0</v>
      </c>
      <c r="J816">
        <f t="shared" si="174"/>
        <v>0</v>
      </c>
      <c r="K816">
        <f t="shared" si="174"/>
        <v>0</v>
      </c>
      <c r="L816">
        <f t="shared" si="174"/>
        <v>0</v>
      </c>
      <c r="M816">
        <f t="shared" si="174"/>
        <v>0</v>
      </c>
      <c r="N816">
        <f t="shared" si="174"/>
        <v>0</v>
      </c>
      <c r="O816">
        <f t="shared" si="174"/>
        <v>0</v>
      </c>
      <c r="P816">
        <f t="shared" si="174"/>
        <v>0</v>
      </c>
      <c r="Q816">
        <f t="shared" si="174"/>
        <v>0</v>
      </c>
      <c r="R816">
        <f t="shared" si="174"/>
        <v>0</v>
      </c>
      <c r="S816">
        <f t="shared" si="174"/>
        <v>0</v>
      </c>
      <c r="T816">
        <f t="shared" si="174"/>
        <v>0</v>
      </c>
      <c r="U816">
        <f t="shared" si="174"/>
        <v>0</v>
      </c>
      <c r="V816">
        <f t="shared" si="174"/>
        <v>0</v>
      </c>
      <c r="W816">
        <f t="shared" si="174"/>
        <v>0</v>
      </c>
      <c r="X816">
        <f t="shared" si="174"/>
        <v>0</v>
      </c>
      <c r="Y816">
        <f t="shared" si="173"/>
        <v>0</v>
      </c>
      <c r="Z816">
        <f t="shared" si="173"/>
        <v>0</v>
      </c>
      <c r="AA816">
        <f t="shared" si="173"/>
        <v>0</v>
      </c>
      <c r="AB816">
        <f t="shared" si="173"/>
        <v>0</v>
      </c>
      <c r="AC816">
        <f t="shared" si="173"/>
        <v>0</v>
      </c>
      <c r="AD816">
        <f t="shared" si="173"/>
        <v>0</v>
      </c>
      <c r="AE816">
        <f t="shared" si="173"/>
        <v>0</v>
      </c>
      <c r="AF816">
        <f t="shared" si="173"/>
        <v>0</v>
      </c>
      <c r="AG816">
        <f t="shared" si="173"/>
        <v>0</v>
      </c>
      <c r="AH816">
        <f t="shared" si="173"/>
        <v>0</v>
      </c>
      <c r="AI816">
        <f t="shared" si="173"/>
        <v>0</v>
      </c>
      <c r="AJ816">
        <f t="shared" si="173"/>
        <v>0</v>
      </c>
      <c r="AK816">
        <f t="shared" si="173"/>
        <v>0</v>
      </c>
      <c r="AL816">
        <f t="shared" si="173"/>
        <v>0</v>
      </c>
      <c r="AM816">
        <f t="shared" si="173"/>
        <v>0</v>
      </c>
      <c r="AN816">
        <f t="shared" si="170"/>
        <v>0</v>
      </c>
      <c r="AO816">
        <f t="shared" si="170"/>
        <v>0</v>
      </c>
      <c r="AP816">
        <f t="shared" si="170"/>
        <v>0</v>
      </c>
      <c r="AQ816">
        <f t="shared" si="170"/>
        <v>0</v>
      </c>
      <c r="AR816">
        <f t="shared" si="170"/>
        <v>0</v>
      </c>
    </row>
    <row r="817" spans="5:44" x14ac:dyDescent="0.2">
      <c r="E817" s="1">
        <f>moment_rate!$AC817</f>
        <v>0</v>
      </c>
      <c r="F817" s="1">
        <f t="shared" si="166"/>
        <v>0</v>
      </c>
      <c r="G817">
        <f>moment_rate!I817-0.005</f>
        <v>8.0999999999998717</v>
      </c>
      <c r="H817" s="1">
        <f t="shared" si="167"/>
        <v>0</v>
      </c>
      <c r="I817">
        <f t="shared" si="174"/>
        <v>0</v>
      </c>
      <c r="J817">
        <f t="shared" si="174"/>
        <v>0</v>
      </c>
      <c r="K817">
        <f t="shared" si="174"/>
        <v>0</v>
      </c>
      <c r="L817">
        <f t="shared" si="174"/>
        <v>0</v>
      </c>
      <c r="M817">
        <f t="shared" si="174"/>
        <v>0</v>
      </c>
      <c r="N817">
        <f t="shared" si="174"/>
        <v>0</v>
      </c>
      <c r="O817">
        <f t="shared" si="174"/>
        <v>0</v>
      </c>
      <c r="P817">
        <f t="shared" si="174"/>
        <v>0</v>
      </c>
      <c r="Q817">
        <f t="shared" si="174"/>
        <v>0</v>
      </c>
      <c r="R817">
        <f t="shared" si="174"/>
        <v>0</v>
      </c>
      <c r="S817">
        <f t="shared" si="174"/>
        <v>0</v>
      </c>
      <c r="T817">
        <f t="shared" si="174"/>
        <v>0</v>
      </c>
      <c r="U817">
        <f t="shared" si="174"/>
        <v>0</v>
      </c>
      <c r="V817">
        <f t="shared" si="174"/>
        <v>0</v>
      </c>
      <c r="W817">
        <f t="shared" si="174"/>
        <v>0</v>
      </c>
      <c r="X817">
        <f t="shared" si="174"/>
        <v>0</v>
      </c>
      <c r="Y817">
        <f t="shared" si="173"/>
        <v>0</v>
      </c>
      <c r="Z817">
        <f t="shared" si="173"/>
        <v>0</v>
      </c>
      <c r="AA817">
        <f t="shared" si="173"/>
        <v>0</v>
      </c>
      <c r="AB817">
        <f t="shared" si="173"/>
        <v>0</v>
      </c>
      <c r="AC817">
        <f t="shared" si="173"/>
        <v>0</v>
      </c>
      <c r="AD817">
        <f t="shared" si="173"/>
        <v>0</v>
      </c>
      <c r="AE817">
        <f t="shared" si="173"/>
        <v>0</v>
      </c>
      <c r="AF817">
        <f t="shared" si="173"/>
        <v>0</v>
      </c>
      <c r="AG817">
        <f t="shared" si="173"/>
        <v>0</v>
      </c>
      <c r="AH817">
        <f t="shared" si="173"/>
        <v>0</v>
      </c>
      <c r="AI817">
        <f t="shared" si="173"/>
        <v>0</v>
      </c>
      <c r="AJ817">
        <f t="shared" si="173"/>
        <v>0</v>
      </c>
      <c r="AK817">
        <f t="shared" si="173"/>
        <v>0</v>
      </c>
      <c r="AL817">
        <f t="shared" si="173"/>
        <v>0</v>
      </c>
      <c r="AM817">
        <f t="shared" si="173"/>
        <v>0</v>
      </c>
      <c r="AN817">
        <f t="shared" si="170"/>
        <v>0</v>
      </c>
      <c r="AO817">
        <f t="shared" si="170"/>
        <v>0</v>
      </c>
      <c r="AP817">
        <f t="shared" si="170"/>
        <v>0</v>
      </c>
      <c r="AQ817">
        <f t="shared" si="170"/>
        <v>0</v>
      </c>
      <c r="AR817">
        <f t="shared" si="170"/>
        <v>0</v>
      </c>
    </row>
    <row r="818" spans="5:44" x14ac:dyDescent="0.2">
      <c r="E818" s="1">
        <f>moment_rate!$AC818</f>
        <v>0</v>
      </c>
      <c r="F818" s="1">
        <f t="shared" si="166"/>
        <v>0</v>
      </c>
      <c r="G818">
        <f>moment_rate!I818-0.005</f>
        <v>8.1099999999998715</v>
      </c>
      <c r="H818" s="1">
        <f t="shared" si="167"/>
        <v>0</v>
      </c>
      <c r="I818">
        <f t="shared" si="174"/>
        <v>0</v>
      </c>
      <c r="J818">
        <f t="shared" si="174"/>
        <v>0</v>
      </c>
      <c r="K818">
        <f t="shared" si="174"/>
        <v>0</v>
      </c>
      <c r="L818">
        <f t="shared" si="174"/>
        <v>0</v>
      </c>
      <c r="M818">
        <f t="shared" si="174"/>
        <v>0</v>
      </c>
      <c r="N818">
        <f t="shared" si="174"/>
        <v>0</v>
      </c>
      <c r="O818">
        <f t="shared" si="174"/>
        <v>0</v>
      </c>
      <c r="P818">
        <f t="shared" si="174"/>
        <v>0</v>
      </c>
      <c r="Q818">
        <f t="shared" si="174"/>
        <v>0</v>
      </c>
      <c r="R818">
        <f t="shared" si="174"/>
        <v>0</v>
      </c>
      <c r="S818">
        <f t="shared" si="174"/>
        <v>0</v>
      </c>
      <c r="T818">
        <f t="shared" si="174"/>
        <v>0</v>
      </c>
      <c r="U818">
        <f t="shared" si="174"/>
        <v>0</v>
      </c>
      <c r="V818">
        <f t="shared" si="174"/>
        <v>0</v>
      </c>
      <c r="W818">
        <f t="shared" si="174"/>
        <v>0</v>
      </c>
      <c r="X818">
        <f t="shared" si="174"/>
        <v>0</v>
      </c>
      <c r="Y818">
        <f t="shared" si="173"/>
        <v>0</v>
      </c>
      <c r="Z818">
        <f t="shared" si="173"/>
        <v>0</v>
      </c>
      <c r="AA818">
        <f t="shared" si="173"/>
        <v>0</v>
      </c>
      <c r="AB818">
        <f t="shared" si="173"/>
        <v>0</v>
      </c>
      <c r="AC818">
        <f t="shared" si="173"/>
        <v>0</v>
      </c>
      <c r="AD818">
        <f t="shared" si="173"/>
        <v>0</v>
      </c>
      <c r="AE818">
        <f t="shared" si="173"/>
        <v>0</v>
      </c>
      <c r="AF818">
        <f t="shared" si="173"/>
        <v>0</v>
      </c>
      <c r="AG818">
        <f t="shared" si="173"/>
        <v>0</v>
      </c>
      <c r="AH818">
        <f t="shared" si="173"/>
        <v>0</v>
      </c>
      <c r="AI818">
        <f t="shared" si="173"/>
        <v>0</v>
      </c>
      <c r="AJ818">
        <f t="shared" si="173"/>
        <v>0</v>
      </c>
      <c r="AK818">
        <f t="shared" si="173"/>
        <v>0</v>
      </c>
      <c r="AL818">
        <f t="shared" si="173"/>
        <v>0</v>
      </c>
      <c r="AM818">
        <f t="shared" si="173"/>
        <v>0</v>
      </c>
      <c r="AN818">
        <f t="shared" ref="AN818:AR833" si="175">IF(AND($G818&gt;=AN$3,$G818&lt;AN$4),$F818,0)</f>
        <v>0</v>
      </c>
      <c r="AO818">
        <f t="shared" si="175"/>
        <v>0</v>
      </c>
      <c r="AP818">
        <f t="shared" si="175"/>
        <v>0</v>
      </c>
      <c r="AQ818">
        <f t="shared" si="175"/>
        <v>0</v>
      </c>
      <c r="AR818">
        <f t="shared" si="175"/>
        <v>0</v>
      </c>
    </row>
    <row r="819" spans="5:44" x14ac:dyDescent="0.2">
      <c r="E819" s="1">
        <f>moment_rate!$AC819</f>
        <v>0</v>
      </c>
      <c r="F819" s="1">
        <f t="shared" si="166"/>
        <v>0</v>
      </c>
      <c r="G819">
        <f>moment_rate!I819-0.005</f>
        <v>8.1199999999998713</v>
      </c>
      <c r="H819" s="1">
        <f t="shared" si="167"/>
        <v>0</v>
      </c>
      <c r="I819">
        <f t="shared" si="174"/>
        <v>0</v>
      </c>
      <c r="J819">
        <f t="shared" si="174"/>
        <v>0</v>
      </c>
      <c r="K819">
        <f t="shared" si="174"/>
        <v>0</v>
      </c>
      <c r="L819">
        <f t="shared" si="174"/>
        <v>0</v>
      </c>
      <c r="M819">
        <f t="shared" si="174"/>
        <v>0</v>
      </c>
      <c r="N819">
        <f t="shared" si="174"/>
        <v>0</v>
      </c>
      <c r="O819">
        <f t="shared" si="174"/>
        <v>0</v>
      </c>
      <c r="P819">
        <f t="shared" si="174"/>
        <v>0</v>
      </c>
      <c r="Q819">
        <f t="shared" si="174"/>
        <v>0</v>
      </c>
      <c r="R819">
        <f t="shared" si="174"/>
        <v>0</v>
      </c>
      <c r="S819">
        <f t="shared" si="174"/>
        <v>0</v>
      </c>
      <c r="T819">
        <f t="shared" si="174"/>
        <v>0</v>
      </c>
      <c r="U819">
        <f t="shared" si="174"/>
        <v>0</v>
      </c>
      <c r="V819">
        <f t="shared" si="174"/>
        <v>0</v>
      </c>
      <c r="W819">
        <f t="shared" si="174"/>
        <v>0</v>
      </c>
      <c r="X819">
        <f t="shared" si="174"/>
        <v>0</v>
      </c>
      <c r="Y819">
        <f t="shared" si="173"/>
        <v>0</v>
      </c>
      <c r="Z819">
        <f t="shared" si="173"/>
        <v>0</v>
      </c>
      <c r="AA819">
        <f t="shared" si="173"/>
        <v>0</v>
      </c>
      <c r="AB819">
        <f t="shared" si="173"/>
        <v>0</v>
      </c>
      <c r="AC819">
        <f t="shared" si="173"/>
        <v>0</v>
      </c>
      <c r="AD819">
        <f t="shared" si="173"/>
        <v>0</v>
      </c>
      <c r="AE819">
        <f t="shared" si="173"/>
        <v>0</v>
      </c>
      <c r="AF819">
        <f t="shared" si="173"/>
        <v>0</v>
      </c>
      <c r="AG819">
        <f t="shared" si="173"/>
        <v>0</v>
      </c>
      <c r="AH819">
        <f t="shared" si="173"/>
        <v>0</v>
      </c>
      <c r="AI819">
        <f t="shared" si="173"/>
        <v>0</v>
      </c>
      <c r="AJ819">
        <f t="shared" si="173"/>
        <v>0</v>
      </c>
      <c r="AK819">
        <f t="shared" si="173"/>
        <v>0</v>
      </c>
      <c r="AL819">
        <f t="shared" si="173"/>
        <v>0</v>
      </c>
      <c r="AM819">
        <f t="shared" si="173"/>
        <v>0</v>
      </c>
      <c r="AN819">
        <f t="shared" si="175"/>
        <v>0</v>
      </c>
      <c r="AO819">
        <f t="shared" si="175"/>
        <v>0</v>
      </c>
      <c r="AP819">
        <f t="shared" si="175"/>
        <v>0</v>
      </c>
      <c r="AQ819">
        <f t="shared" si="175"/>
        <v>0</v>
      </c>
      <c r="AR819">
        <f t="shared" si="175"/>
        <v>0</v>
      </c>
    </row>
    <row r="820" spans="5:44" x14ac:dyDescent="0.2">
      <c r="E820" s="1">
        <f>moment_rate!$AC820</f>
        <v>0</v>
      </c>
      <c r="F820" s="1">
        <f t="shared" si="166"/>
        <v>0</v>
      </c>
      <c r="G820">
        <f>moment_rate!I820-0.005</f>
        <v>8.1299999999998711</v>
      </c>
      <c r="H820" s="1">
        <f t="shared" si="167"/>
        <v>0</v>
      </c>
      <c r="I820">
        <f t="shared" si="174"/>
        <v>0</v>
      </c>
      <c r="J820">
        <f t="shared" si="174"/>
        <v>0</v>
      </c>
      <c r="K820">
        <f t="shared" si="174"/>
        <v>0</v>
      </c>
      <c r="L820">
        <f t="shared" si="174"/>
        <v>0</v>
      </c>
      <c r="M820">
        <f t="shared" si="174"/>
        <v>0</v>
      </c>
      <c r="N820">
        <f t="shared" si="174"/>
        <v>0</v>
      </c>
      <c r="O820">
        <f t="shared" si="174"/>
        <v>0</v>
      </c>
      <c r="P820">
        <f t="shared" si="174"/>
        <v>0</v>
      </c>
      <c r="Q820">
        <f t="shared" si="174"/>
        <v>0</v>
      </c>
      <c r="R820">
        <f t="shared" si="174"/>
        <v>0</v>
      </c>
      <c r="S820">
        <f t="shared" si="174"/>
        <v>0</v>
      </c>
      <c r="T820">
        <f t="shared" si="174"/>
        <v>0</v>
      </c>
      <c r="U820">
        <f t="shared" si="174"/>
        <v>0</v>
      </c>
      <c r="V820">
        <f t="shared" si="174"/>
        <v>0</v>
      </c>
      <c r="W820">
        <f t="shared" si="174"/>
        <v>0</v>
      </c>
      <c r="X820">
        <f t="shared" si="174"/>
        <v>0</v>
      </c>
      <c r="Y820">
        <f t="shared" si="173"/>
        <v>0</v>
      </c>
      <c r="Z820">
        <f t="shared" si="173"/>
        <v>0</v>
      </c>
      <c r="AA820">
        <f t="shared" si="173"/>
        <v>0</v>
      </c>
      <c r="AB820">
        <f t="shared" si="173"/>
        <v>0</v>
      </c>
      <c r="AC820">
        <f t="shared" si="173"/>
        <v>0</v>
      </c>
      <c r="AD820">
        <f t="shared" si="173"/>
        <v>0</v>
      </c>
      <c r="AE820">
        <f t="shared" si="173"/>
        <v>0</v>
      </c>
      <c r="AF820">
        <f t="shared" si="173"/>
        <v>0</v>
      </c>
      <c r="AG820">
        <f t="shared" si="173"/>
        <v>0</v>
      </c>
      <c r="AH820">
        <f t="shared" si="173"/>
        <v>0</v>
      </c>
      <c r="AI820">
        <f t="shared" si="173"/>
        <v>0</v>
      </c>
      <c r="AJ820">
        <f t="shared" si="173"/>
        <v>0</v>
      </c>
      <c r="AK820">
        <f t="shared" si="173"/>
        <v>0</v>
      </c>
      <c r="AL820">
        <f t="shared" si="173"/>
        <v>0</v>
      </c>
      <c r="AM820">
        <f t="shared" si="173"/>
        <v>0</v>
      </c>
      <c r="AN820">
        <f t="shared" si="175"/>
        <v>0</v>
      </c>
      <c r="AO820">
        <f t="shared" si="175"/>
        <v>0</v>
      </c>
      <c r="AP820">
        <f t="shared" si="175"/>
        <v>0</v>
      </c>
      <c r="AQ820">
        <f t="shared" si="175"/>
        <v>0</v>
      </c>
      <c r="AR820">
        <f t="shared" si="175"/>
        <v>0</v>
      </c>
    </row>
    <row r="821" spans="5:44" x14ac:dyDescent="0.2">
      <c r="E821" s="1">
        <f>moment_rate!$AC821</f>
        <v>0</v>
      </c>
      <c r="F821" s="1">
        <f t="shared" si="166"/>
        <v>0</v>
      </c>
      <c r="G821">
        <f>moment_rate!I821-0.005</f>
        <v>8.1399999999998709</v>
      </c>
      <c r="H821" s="1">
        <f t="shared" si="167"/>
        <v>0</v>
      </c>
      <c r="I821">
        <f t="shared" si="174"/>
        <v>0</v>
      </c>
      <c r="J821">
        <f t="shared" si="174"/>
        <v>0</v>
      </c>
      <c r="K821">
        <f t="shared" si="174"/>
        <v>0</v>
      </c>
      <c r="L821">
        <f t="shared" si="174"/>
        <v>0</v>
      </c>
      <c r="M821">
        <f t="shared" si="174"/>
        <v>0</v>
      </c>
      <c r="N821">
        <f t="shared" si="174"/>
        <v>0</v>
      </c>
      <c r="O821">
        <f t="shared" si="174"/>
        <v>0</v>
      </c>
      <c r="P821">
        <f t="shared" si="174"/>
        <v>0</v>
      </c>
      <c r="Q821">
        <f t="shared" si="174"/>
        <v>0</v>
      </c>
      <c r="R821">
        <f t="shared" si="174"/>
        <v>0</v>
      </c>
      <c r="S821">
        <f t="shared" si="174"/>
        <v>0</v>
      </c>
      <c r="T821">
        <f t="shared" si="174"/>
        <v>0</v>
      </c>
      <c r="U821">
        <f t="shared" si="174"/>
        <v>0</v>
      </c>
      <c r="V821">
        <f t="shared" si="174"/>
        <v>0</v>
      </c>
      <c r="W821">
        <f t="shared" si="174"/>
        <v>0</v>
      </c>
      <c r="X821">
        <f t="shared" si="174"/>
        <v>0</v>
      </c>
      <c r="Y821">
        <f t="shared" si="173"/>
        <v>0</v>
      </c>
      <c r="Z821">
        <f t="shared" si="173"/>
        <v>0</v>
      </c>
      <c r="AA821">
        <f t="shared" si="173"/>
        <v>0</v>
      </c>
      <c r="AB821">
        <f t="shared" si="173"/>
        <v>0</v>
      </c>
      <c r="AC821">
        <f t="shared" si="173"/>
        <v>0</v>
      </c>
      <c r="AD821">
        <f t="shared" si="173"/>
        <v>0</v>
      </c>
      <c r="AE821">
        <f t="shared" si="173"/>
        <v>0</v>
      </c>
      <c r="AF821">
        <f t="shared" si="173"/>
        <v>0</v>
      </c>
      <c r="AG821">
        <f t="shared" si="173"/>
        <v>0</v>
      </c>
      <c r="AH821">
        <f t="shared" si="173"/>
        <v>0</v>
      </c>
      <c r="AI821">
        <f t="shared" si="173"/>
        <v>0</v>
      </c>
      <c r="AJ821">
        <f t="shared" si="173"/>
        <v>0</v>
      </c>
      <c r="AK821">
        <f t="shared" si="173"/>
        <v>0</v>
      </c>
      <c r="AL821">
        <f t="shared" si="173"/>
        <v>0</v>
      </c>
      <c r="AM821">
        <f t="shared" si="173"/>
        <v>0</v>
      </c>
      <c r="AN821">
        <f t="shared" si="175"/>
        <v>0</v>
      </c>
      <c r="AO821">
        <f t="shared" si="175"/>
        <v>0</v>
      </c>
      <c r="AP821">
        <f t="shared" si="175"/>
        <v>0</v>
      </c>
      <c r="AQ821">
        <f t="shared" si="175"/>
        <v>0</v>
      </c>
      <c r="AR821">
        <f t="shared" si="175"/>
        <v>0</v>
      </c>
    </row>
    <row r="822" spans="5:44" x14ac:dyDescent="0.2">
      <c r="E822" s="1">
        <f>moment_rate!$AC822</f>
        <v>0</v>
      </c>
      <c r="F822" s="1">
        <f t="shared" si="166"/>
        <v>0</v>
      </c>
      <c r="G822">
        <f>moment_rate!I822-0.005</f>
        <v>8.1499999999998707</v>
      </c>
      <c r="H822" s="1">
        <f t="shared" si="167"/>
        <v>0</v>
      </c>
      <c r="I822">
        <f t="shared" si="174"/>
        <v>0</v>
      </c>
      <c r="J822">
        <f t="shared" si="174"/>
        <v>0</v>
      </c>
      <c r="K822">
        <f t="shared" si="174"/>
        <v>0</v>
      </c>
      <c r="L822">
        <f t="shared" si="174"/>
        <v>0</v>
      </c>
      <c r="M822">
        <f t="shared" si="174"/>
        <v>0</v>
      </c>
      <c r="N822">
        <f t="shared" si="174"/>
        <v>0</v>
      </c>
      <c r="O822">
        <f t="shared" si="174"/>
        <v>0</v>
      </c>
      <c r="P822">
        <f t="shared" si="174"/>
        <v>0</v>
      </c>
      <c r="Q822">
        <f t="shared" si="174"/>
        <v>0</v>
      </c>
      <c r="R822">
        <f t="shared" si="174"/>
        <v>0</v>
      </c>
      <c r="S822">
        <f t="shared" si="174"/>
        <v>0</v>
      </c>
      <c r="T822">
        <f t="shared" si="174"/>
        <v>0</v>
      </c>
      <c r="U822">
        <f t="shared" si="174"/>
        <v>0</v>
      </c>
      <c r="V822">
        <f t="shared" si="174"/>
        <v>0</v>
      </c>
      <c r="W822">
        <f t="shared" si="174"/>
        <v>0</v>
      </c>
      <c r="X822">
        <f t="shared" si="174"/>
        <v>0</v>
      </c>
      <c r="Y822">
        <f t="shared" si="173"/>
        <v>0</v>
      </c>
      <c r="Z822">
        <f t="shared" si="173"/>
        <v>0</v>
      </c>
      <c r="AA822">
        <f t="shared" si="173"/>
        <v>0</v>
      </c>
      <c r="AB822">
        <f t="shared" si="173"/>
        <v>0</v>
      </c>
      <c r="AC822">
        <f t="shared" si="173"/>
        <v>0</v>
      </c>
      <c r="AD822">
        <f t="shared" si="173"/>
        <v>0</v>
      </c>
      <c r="AE822">
        <f t="shared" si="173"/>
        <v>0</v>
      </c>
      <c r="AF822">
        <f t="shared" si="173"/>
        <v>0</v>
      </c>
      <c r="AG822">
        <f t="shared" si="173"/>
        <v>0</v>
      </c>
      <c r="AH822">
        <f t="shared" si="173"/>
        <v>0</v>
      </c>
      <c r="AI822">
        <f t="shared" si="173"/>
        <v>0</v>
      </c>
      <c r="AJ822">
        <f t="shared" si="173"/>
        <v>0</v>
      </c>
      <c r="AK822">
        <f t="shared" si="173"/>
        <v>0</v>
      </c>
      <c r="AL822">
        <f t="shared" si="173"/>
        <v>0</v>
      </c>
      <c r="AM822">
        <f t="shared" si="173"/>
        <v>0</v>
      </c>
      <c r="AN822">
        <f t="shared" si="175"/>
        <v>0</v>
      </c>
      <c r="AO822">
        <f t="shared" si="175"/>
        <v>0</v>
      </c>
      <c r="AP822">
        <f t="shared" si="175"/>
        <v>0</v>
      </c>
      <c r="AQ822">
        <f t="shared" si="175"/>
        <v>0</v>
      </c>
      <c r="AR822">
        <f t="shared" si="175"/>
        <v>0</v>
      </c>
    </row>
    <row r="823" spans="5:44" x14ac:dyDescent="0.2">
      <c r="E823" s="1">
        <f>moment_rate!$AC823</f>
        <v>0</v>
      </c>
      <c r="F823" s="1">
        <f t="shared" si="166"/>
        <v>0</v>
      </c>
      <c r="G823">
        <f>moment_rate!I823-0.005</f>
        <v>8.1599999999998705</v>
      </c>
      <c r="H823" s="1">
        <f t="shared" si="167"/>
        <v>0</v>
      </c>
      <c r="I823">
        <f t="shared" si="174"/>
        <v>0</v>
      </c>
      <c r="J823">
        <f t="shared" si="174"/>
        <v>0</v>
      </c>
      <c r="K823">
        <f t="shared" si="174"/>
        <v>0</v>
      </c>
      <c r="L823">
        <f t="shared" si="174"/>
        <v>0</v>
      </c>
      <c r="M823">
        <f t="shared" si="174"/>
        <v>0</v>
      </c>
      <c r="N823">
        <f t="shared" si="174"/>
        <v>0</v>
      </c>
      <c r="O823">
        <f t="shared" si="174"/>
        <v>0</v>
      </c>
      <c r="P823">
        <f t="shared" si="174"/>
        <v>0</v>
      </c>
      <c r="Q823">
        <f t="shared" si="174"/>
        <v>0</v>
      </c>
      <c r="R823">
        <f t="shared" si="174"/>
        <v>0</v>
      </c>
      <c r="S823">
        <f t="shared" si="174"/>
        <v>0</v>
      </c>
      <c r="T823">
        <f t="shared" si="174"/>
        <v>0</v>
      </c>
      <c r="U823">
        <f t="shared" si="174"/>
        <v>0</v>
      </c>
      <c r="V823">
        <f t="shared" si="174"/>
        <v>0</v>
      </c>
      <c r="W823">
        <f t="shared" si="174"/>
        <v>0</v>
      </c>
      <c r="X823">
        <f t="shared" si="174"/>
        <v>0</v>
      </c>
      <c r="Y823">
        <f t="shared" si="173"/>
        <v>0</v>
      </c>
      <c r="Z823">
        <f t="shared" si="173"/>
        <v>0</v>
      </c>
      <c r="AA823">
        <f t="shared" si="173"/>
        <v>0</v>
      </c>
      <c r="AB823">
        <f t="shared" si="173"/>
        <v>0</v>
      </c>
      <c r="AC823">
        <f t="shared" si="173"/>
        <v>0</v>
      </c>
      <c r="AD823">
        <f t="shared" si="173"/>
        <v>0</v>
      </c>
      <c r="AE823">
        <f t="shared" si="173"/>
        <v>0</v>
      </c>
      <c r="AF823">
        <f t="shared" si="173"/>
        <v>0</v>
      </c>
      <c r="AG823">
        <f t="shared" si="173"/>
        <v>0</v>
      </c>
      <c r="AH823">
        <f t="shared" si="173"/>
        <v>0</v>
      </c>
      <c r="AI823">
        <f t="shared" si="173"/>
        <v>0</v>
      </c>
      <c r="AJ823">
        <f t="shared" si="173"/>
        <v>0</v>
      </c>
      <c r="AK823">
        <f t="shared" si="173"/>
        <v>0</v>
      </c>
      <c r="AL823">
        <f t="shared" si="173"/>
        <v>0</v>
      </c>
      <c r="AM823">
        <f t="shared" si="173"/>
        <v>0</v>
      </c>
      <c r="AN823">
        <f t="shared" si="175"/>
        <v>0</v>
      </c>
      <c r="AO823">
        <f t="shared" si="175"/>
        <v>0</v>
      </c>
      <c r="AP823">
        <f t="shared" si="175"/>
        <v>0</v>
      </c>
      <c r="AQ823">
        <f t="shared" si="175"/>
        <v>0</v>
      </c>
      <c r="AR823">
        <f t="shared" si="175"/>
        <v>0</v>
      </c>
    </row>
    <row r="824" spans="5:44" x14ac:dyDescent="0.2">
      <c r="E824" s="1">
        <f>moment_rate!$AC824</f>
        <v>0</v>
      </c>
      <c r="F824" s="1">
        <f t="shared" si="166"/>
        <v>0</v>
      </c>
      <c r="G824">
        <f>moment_rate!I824-0.005</f>
        <v>8.1699999999998703</v>
      </c>
      <c r="H824" s="1">
        <f t="shared" si="167"/>
        <v>0</v>
      </c>
      <c r="I824">
        <f t="shared" si="174"/>
        <v>0</v>
      </c>
      <c r="J824">
        <f t="shared" si="174"/>
        <v>0</v>
      </c>
      <c r="K824">
        <f t="shared" si="174"/>
        <v>0</v>
      </c>
      <c r="L824">
        <f t="shared" si="174"/>
        <v>0</v>
      </c>
      <c r="M824">
        <f t="shared" si="174"/>
        <v>0</v>
      </c>
      <c r="N824">
        <f t="shared" si="174"/>
        <v>0</v>
      </c>
      <c r="O824">
        <f t="shared" si="174"/>
        <v>0</v>
      </c>
      <c r="P824">
        <f t="shared" si="174"/>
        <v>0</v>
      </c>
      <c r="Q824">
        <f t="shared" si="174"/>
        <v>0</v>
      </c>
      <c r="R824">
        <f t="shared" si="174"/>
        <v>0</v>
      </c>
      <c r="S824">
        <f t="shared" si="174"/>
        <v>0</v>
      </c>
      <c r="T824">
        <f t="shared" si="174"/>
        <v>0</v>
      </c>
      <c r="U824">
        <f t="shared" si="174"/>
        <v>0</v>
      </c>
      <c r="V824">
        <f t="shared" si="174"/>
        <v>0</v>
      </c>
      <c r="W824">
        <f t="shared" si="174"/>
        <v>0</v>
      </c>
      <c r="X824">
        <f t="shared" si="174"/>
        <v>0</v>
      </c>
      <c r="Y824">
        <f t="shared" si="173"/>
        <v>0</v>
      </c>
      <c r="Z824">
        <f t="shared" si="173"/>
        <v>0</v>
      </c>
      <c r="AA824">
        <f t="shared" si="173"/>
        <v>0</v>
      </c>
      <c r="AB824">
        <f t="shared" si="173"/>
        <v>0</v>
      </c>
      <c r="AC824">
        <f t="shared" si="173"/>
        <v>0</v>
      </c>
      <c r="AD824">
        <f t="shared" si="173"/>
        <v>0</v>
      </c>
      <c r="AE824">
        <f t="shared" si="173"/>
        <v>0</v>
      </c>
      <c r="AF824">
        <f t="shared" si="173"/>
        <v>0</v>
      </c>
      <c r="AG824">
        <f t="shared" si="173"/>
        <v>0</v>
      </c>
      <c r="AH824">
        <f t="shared" si="173"/>
        <v>0</v>
      </c>
      <c r="AI824">
        <f t="shared" si="173"/>
        <v>0</v>
      </c>
      <c r="AJ824">
        <f t="shared" si="173"/>
        <v>0</v>
      </c>
      <c r="AK824">
        <f t="shared" si="173"/>
        <v>0</v>
      </c>
      <c r="AL824">
        <f t="shared" si="173"/>
        <v>0</v>
      </c>
      <c r="AM824">
        <f t="shared" si="173"/>
        <v>0</v>
      </c>
      <c r="AN824">
        <f t="shared" si="175"/>
        <v>0</v>
      </c>
      <c r="AO824">
        <f t="shared" si="175"/>
        <v>0</v>
      </c>
      <c r="AP824">
        <f t="shared" si="175"/>
        <v>0</v>
      </c>
      <c r="AQ824">
        <f t="shared" si="175"/>
        <v>0</v>
      </c>
      <c r="AR824">
        <f t="shared" si="175"/>
        <v>0</v>
      </c>
    </row>
    <row r="825" spans="5:44" x14ac:dyDescent="0.2">
      <c r="E825" s="1">
        <f>moment_rate!$AC825</f>
        <v>0</v>
      </c>
      <c r="F825" s="1">
        <f t="shared" si="166"/>
        <v>0</v>
      </c>
      <c r="G825">
        <f>moment_rate!I825-0.005</f>
        <v>8.17999999999987</v>
      </c>
      <c r="H825" s="1">
        <f t="shared" si="167"/>
        <v>0</v>
      </c>
      <c r="I825">
        <f t="shared" si="174"/>
        <v>0</v>
      </c>
      <c r="J825">
        <f t="shared" si="174"/>
        <v>0</v>
      </c>
      <c r="K825">
        <f t="shared" si="174"/>
        <v>0</v>
      </c>
      <c r="L825">
        <f t="shared" si="174"/>
        <v>0</v>
      </c>
      <c r="M825">
        <f t="shared" si="174"/>
        <v>0</v>
      </c>
      <c r="N825">
        <f t="shared" si="174"/>
        <v>0</v>
      </c>
      <c r="O825">
        <f t="shared" si="174"/>
        <v>0</v>
      </c>
      <c r="P825">
        <f t="shared" si="174"/>
        <v>0</v>
      </c>
      <c r="Q825">
        <f t="shared" si="174"/>
        <v>0</v>
      </c>
      <c r="R825">
        <f t="shared" si="174"/>
        <v>0</v>
      </c>
      <c r="S825">
        <f t="shared" si="174"/>
        <v>0</v>
      </c>
      <c r="T825">
        <f t="shared" si="174"/>
        <v>0</v>
      </c>
      <c r="U825">
        <f t="shared" si="174"/>
        <v>0</v>
      </c>
      <c r="V825">
        <f t="shared" si="174"/>
        <v>0</v>
      </c>
      <c r="W825">
        <f t="shared" si="174"/>
        <v>0</v>
      </c>
      <c r="X825">
        <f t="shared" si="174"/>
        <v>0</v>
      </c>
      <c r="Y825">
        <f t="shared" si="173"/>
        <v>0</v>
      </c>
      <c r="Z825">
        <f t="shared" si="173"/>
        <v>0</v>
      </c>
      <c r="AA825">
        <f t="shared" si="173"/>
        <v>0</v>
      </c>
      <c r="AB825">
        <f t="shared" si="173"/>
        <v>0</v>
      </c>
      <c r="AC825">
        <f t="shared" si="173"/>
        <v>0</v>
      </c>
      <c r="AD825">
        <f t="shared" si="173"/>
        <v>0</v>
      </c>
      <c r="AE825">
        <f t="shared" si="173"/>
        <v>0</v>
      </c>
      <c r="AF825">
        <f t="shared" si="173"/>
        <v>0</v>
      </c>
      <c r="AG825">
        <f t="shared" si="173"/>
        <v>0</v>
      </c>
      <c r="AH825">
        <f t="shared" si="173"/>
        <v>0</v>
      </c>
      <c r="AI825">
        <f t="shared" si="173"/>
        <v>0</v>
      </c>
      <c r="AJ825">
        <f t="shared" si="173"/>
        <v>0</v>
      </c>
      <c r="AK825">
        <f t="shared" si="173"/>
        <v>0</v>
      </c>
      <c r="AL825">
        <f t="shared" si="173"/>
        <v>0</v>
      </c>
      <c r="AM825">
        <f t="shared" si="173"/>
        <v>0</v>
      </c>
      <c r="AN825">
        <f t="shared" si="175"/>
        <v>0</v>
      </c>
      <c r="AO825">
        <f t="shared" si="175"/>
        <v>0</v>
      </c>
      <c r="AP825">
        <f t="shared" si="175"/>
        <v>0</v>
      </c>
      <c r="AQ825">
        <f t="shared" si="175"/>
        <v>0</v>
      </c>
      <c r="AR825">
        <f t="shared" si="175"/>
        <v>0</v>
      </c>
    </row>
    <row r="826" spans="5:44" x14ac:dyDescent="0.2">
      <c r="E826" s="1">
        <f>moment_rate!$AC826</f>
        <v>0</v>
      </c>
      <c r="F826" s="1">
        <f t="shared" si="166"/>
        <v>0</v>
      </c>
      <c r="G826">
        <f>moment_rate!I826-0.005</f>
        <v>8.1899999999998698</v>
      </c>
      <c r="H826" s="1">
        <f t="shared" si="167"/>
        <v>0</v>
      </c>
      <c r="I826">
        <f t="shared" si="174"/>
        <v>0</v>
      </c>
      <c r="J826">
        <f t="shared" si="174"/>
        <v>0</v>
      </c>
      <c r="K826">
        <f t="shared" si="174"/>
        <v>0</v>
      </c>
      <c r="L826">
        <f t="shared" si="174"/>
        <v>0</v>
      </c>
      <c r="M826">
        <f t="shared" si="174"/>
        <v>0</v>
      </c>
      <c r="N826">
        <f t="shared" si="174"/>
        <v>0</v>
      </c>
      <c r="O826">
        <f t="shared" si="174"/>
        <v>0</v>
      </c>
      <c r="P826">
        <f t="shared" si="174"/>
        <v>0</v>
      </c>
      <c r="Q826">
        <f t="shared" si="174"/>
        <v>0</v>
      </c>
      <c r="R826">
        <f t="shared" si="174"/>
        <v>0</v>
      </c>
      <c r="S826">
        <f t="shared" si="174"/>
        <v>0</v>
      </c>
      <c r="T826">
        <f t="shared" si="174"/>
        <v>0</v>
      </c>
      <c r="U826">
        <f t="shared" si="174"/>
        <v>0</v>
      </c>
      <c r="V826">
        <f t="shared" si="174"/>
        <v>0</v>
      </c>
      <c r="W826">
        <f t="shared" si="174"/>
        <v>0</v>
      </c>
      <c r="X826">
        <f t="shared" ref="X826:AM841" si="176">IF(AND($G826&gt;=X$3,$G826&lt;X$4),$F826,0)</f>
        <v>0</v>
      </c>
      <c r="Y826">
        <f t="shared" si="176"/>
        <v>0</v>
      </c>
      <c r="Z826">
        <f t="shared" si="176"/>
        <v>0</v>
      </c>
      <c r="AA826">
        <f t="shared" si="176"/>
        <v>0</v>
      </c>
      <c r="AB826">
        <f t="shared" si="176"/>
        <v>0</v>
      </c>
      <c r="AC826">
        <f t="shared" si="176"/>
        <v>0</v>
      </c>
      <c r="AD826">
        <f t="shared" si="176"/>
        <v>0</v>
      </c>
      <c r="AE826">
        <f t="shared" si="176"/>
        <v>0</v>
      </c>
      <c r="AF826">
        <f t="shared" si="176"/>
        <v>0</v>
      </c>
      <c r="AG826">
        <f t="shared" si="176"/>
        <v>0</v>
      </c>
      <c r="AH826">
        <f t="shared" si="176"/>
        <v>0</v>
      </c>
      <c r="AI826">
        <f t="shared" si="176"/>
        <v>0</v>
      </c>
      <c r="AJ826">
        <f t="shared" si="176"/>
        <v>0</v>
      </c>
      <c r="AK826">
        <f t="shared" si="176"/>
        <v>0</v>
      </c>
      <c r="AL826">
        <f t="shared" si="176"/>
        <v>0</v>
      </c>
      <c r="AM826">
        <f t="shared" si="176"/>
        <v>0</v>
      </c>
      <c r="AN826">
        <f t="shared" si="175"/>
        <v>0</v>
      </c>
      <c r="AO826">
        <f t="shared" si="175"/>
        <v>0</v>
      </c>
      <c r="AP826">
        <f t="shared" si="175"/>
        <v>0</v>
      </c>
      <c r="AQ826">
        <f t="shared" si="175"/>
        <v>0</v>
      </c>
      <c r="AR826">
        <f t="shared" si="175"/>
        <v>0</v>
      </c>
    </row>
    <row r="827" spans="5:44" x14ac:dyDescent="0.2">
      <c r="E827" s="1">
        <f>moment_rate!$AC827</f>
        <v>0</v>
      </c>
      <c r="F827" s="1">
        <f t="shared" si="166"/>
        <v>0</v>
      </c>
      <c r="G827">
        <f>moment_rate!I827-0.005</f>
        <v>8.1999999999998696</v>
      </c>
      <c r="H827" s="1">
        <f t="shared" si="167"/>
        <v>0</v>
      </c>
      <c r="I827">
        <f t="shared" ref="I827:X842" si="177">IF(AND($G827&gt;=I$3,$G827&lt;I$4),$F827,0)</f>
        <v>0</v>
      </c>
      <c r="J827">
        <f t="shared" si="177"/>
        <v>0</v>
      </c>
      <c r="K827">
        <f t="shared" si="177"/>
        <v>0</v>
      </c>
      <c r="L827">
        <f t="shared" si="177"/>
        <v>0</v>
      </c>
      <c r="M827">
        <f t="shared" si="177"/>
        <v>0</v>
      </c>
      <c r="N827">
        <f t="shared" si="177"/>
        <v>0</v>
      </c>
      <c r="O827">
        <f t="shared" si="177"/>
        <v>0</v>
      </c>
      <c r="P827">
        <f t="shared" si="177"/>
        <v>0</v>
      </c>
      <c r="Q827">
        <f t="shared" si="177"/>
        <v>0</v>
      </c>
      <c r="R827">
        <f t="shared" si="177"/>
        <v>0</v>
      </c>
      <c r="S827">
        <f t="shared" si="177"/>
        <v>0</v>
      </c>
      <c r="T827">
        <f t="shared" si="177"/>
        <v>0</v>
      </c>
      <c r="U827">
        <f t="shared" si="177"/>
        <v>0</v>
      </c>
      <c r="V827">
        <f t="shared" si="177"/>
        <v>0</v>
      </c>
      <c r="W827">
        <f t="shared" si="177"/>
        <v>0</v>
      </c>
      <c r="X827">
        <f t="shared" si="177"/>
        <v>0</v>
      </c>
      <c r="Y827">
        <f t="shared" si="176"/>
        <v>0</v>
      </c>
      <c r="Z827">
        <f t="shared" si="176"/>
        <v>0</v>
      </c>
      <c r="AA827">
        <f t="shared" si="176"/>
        <v>0</v>
      </c>
      <c r="AB827">
        <f t="shared" si="176"/>
        <v>0</v>
      </c>
      <c r="AC827">
        <f t="shared" si="176"/>
        <v>0</v>
      </c>
      <c r="AD827">
        <f t="shared" si="176"/>
        <v>0</v>
      </c>
      <c r="AE827">
        <f t="shared" si="176"/>
        <v>0</v>
      </c>
      <c r="AF827">
        <f t="shared" si="176"/>
        <v>0</v>
      </c>
      <c r="AG827">
        <f t="shared" si="176"/>
        <v>0</v>
      </c>
      <c r="AH827">
        <f t="shared" si="176"/>
        <v>0</v>
      </c>
      <c r="AI827">
        <f t="shared" si="176"/>
        <v>0</v>
      </c>
      <c r="AJ827">
        <f t="shared" si="176"/>
        <v>0</v>
      </c>
      <c r="AK827">
        <f t="shared" si="176"/>
        <v>0</v>
      </c>
      <c r="AL827">
        <f t="shared" si="176"/>
        <v>0</v>
      </c>
      <c r="AM827">
        <f t="shared" si="176"/>
        <v>0</v>
      </c>
      <c r="AN827">
        <f t="shared" si="175"/>
        <v>0</v>
      </c>
      <c r="AO827">
        <f t="shared" si="175"/>
        <v>0</v>
      </c>
      <c r="AP827">
        <f t="shared" si="175"/>
        <v>0</v>
      </c>
      <c r="AQ827">
        <f t="shared" si="175"/>
        <v>0</v>
      </c>
      <c r="AR827">
        <f t="shared" si="175"/>
        <v>0</v>
      </c>
    </row>
    <row r="828" spans="5:44" x14ac:dyDescent="0.2">
      <c r="E828" s="1">
        <f>moment_rate!$AC828</f>
        <v>0</v>
      </c>
      <c r="F828" s="1">
        <f t="shared" si="166"/>
        <v>0</v>
      </c>
      <c r="G828">
        <f>moment_rate!I828-0.005</f>
        <v>8.2099999999998694</v>
      </c>
      <c r="H828" s="1">
        <f t="shared" si="167"/>
        <v>0</v>
      </c>
      <c r="I828">
        <f t="shared" si="177"/>
        <v>0</v>
      </c>
      <c r="J828">
        <f t="shared" si="177"/>
        <v>0</v>
      </c>
      <c r="K828">
        <f t="shared" si="177"/>
        <v>0</v>
      </c>
      <c r="L828">
        <f t="shared" si="177"/>
        <v>0</v>
      </c>
      <c r="M828">
        <f t="shared" si="177"/>
        <v>0</v>
      </c>
      <c r="N828">
        <f t="shared" si="177"/>
        <v>0</v>
      </c>
      <c r="O828">
        <f t="shared" si="177"/>
        <v>0</v>
      </c>
      <c r="P828">
        <f t="shared" si="177"/>
        <v>0</v>
      </c>
      <c r="Q828">
        <f t="shared" si="177"/>
        <v>0</v>
      </c>
      <c r="R828">
        <f t="shared" si="177"/>
        <v>0</v>
      </c>
      <c r="S828">
        <f t="shared" si="177"/>
        <v>0</v>
      </c>
      <c r="T828">
        <f t="shared" si="177"/>
        <v>0</v>
      </c>
      <c r="U828">
        <f t="shared" si="177"/>
        <v>0</v>
      </c>
      <c r="V828">
        <f t="shared" si="177"/>
        <v>0</v>
      </c>
      <c r="W828">
        <f t="shared" si="177"/>
        <v>0</v>
      </c>
      <c r="X828">
        <f t="shared" si="177"/>
        <v>0</v>
      </c>
      <c r="Y828">
        <f t="shared" si="176"/>
        <v>0</v>
      </c>
      <c r="Z828">
        <f t="shared" si="176"/>
        <v>0</v>
      </c>
      <c r="AA828">
        <f t="shared" si="176"/>
        <v>0</v>
      </c>
      <c r="AB828">
        <f t="shared" si="176"/>
        <v>0</v>
      </c>
      <c r="AC828">
        <f t="shared" si="176"/>
        <v>0</v>
      </c>
      <c r="AD828">
        <f t="shared" si="176"/>
        <v>0</v>
      </c>
      <c r="AE828">
        <f t="shared" si="176"/>
        <v>0</v>
      </c>
      <c r="AF828">
        <f t="shared" si="176"/>
        <v>0</v>
      </c>
      <c r="AG828">
        <f t="shared" si="176"/>
        <v>0</v>
      </c>
      <c r="AH828">
        <f t="shared" si="176"/>
        <v>0</v>
      </c>
      <c r="AI828">
        <f t="shared" si="176"/>
        <v>0</v>
      </c>
      <c r="AJ828">
        <f t="shared" si="176"/>
        <v>0</v>
      </c>
      <c r="AK828">
        <f t="shared" si="176"/>
        <v>0</v>
      </c>
      <c r="AL828">
        <f t="shared" si="176"/>
        <v>0</v>
      </c>
      <c r="AM828">
        <f t="shared" si="176"/>
        <v>0</v>
      </c>
      <c r="AN828">
        <f t="shared" si="175"/>
        <v>0</v>
      </c>
      <c r="AO828">
        <f t="shared" si="175"/>
        <v>0</v>
      </c>
      <c r="AP828">
        <f t="shared" si="175"/>
        <v>0</v>
      </c>
      <c r="AQ828">
        <f t="shared" si="175"/>
        <v>0</v>
      </c>
      <c r="AR828">
        <f t="shared" si="175"/>
        <v>0</v>
      </c>
    </row>
    <row r="829" spans="5:44" x14ac:dyDescent="0.2">
      <c r="E829" s="1">
        <f>moment_rate!$AC829</f>
        <v>0</v>
      </c>
      <c r="F829" s="1">
        <f t="shared" si="166"/>
        <v>0</v>
      </c>
      <c r="G829">
        <f>moment_rate!I829-0.005</f>
        <v>8.2199999999998692</v>
      </c>
      <c r="H829" s="1">
        <f t="shared" si="167"/>
        <v>0</v>
      </c>
      <c r="I829">
        <f t="shared" si="177"/>
        <v>0</v>
      </c>
      <c r="J829">
        <f t="shared" si="177"/>
        <v>0</v>
      </c>
      <c r="K829">
        <f t="shared" si="177"/>
        <v>0</v>
      </c>
      <c r="L829">
        <f t="shared" si="177"/>
        <v>0</v>
      </c>
      <c r="M829">
        <f t="shared" si="177"/>
        <v>0</v>
      </c>
      <c r="N829">
        <f t="shared" si="177"/>
        <v>0</v>
      </c>
      <c r="O829">
        <f t="shared" si="177"/>
        <v>0</v>
      </c>
      <c r="P829">
        <f t="shared" si="177"/>
        <v>0</v>
      </c>
      <c r="Q829">
        <f t="shared" si="177"/>
        <v>0</v>
      </c>
      <c r="R829">
        <f t="shared" si="177"/>
        <v>0</v>
      </c>
      <c r="S829">
        <f t="shared" si="177"/>
        <v>0</v>
      </c>
      <c r="T829">
        <f t="shared" si="177"/>
        <v>0</v>
      </c>
      <c r="U829">
        <f t="shared" si="177"/>
        <v>0</v>
      </c>
      <c r="V829">
        <f t="shared" si="177"/>
        <v>0</v>
      </c>
      <c r="W829">
        <f t="shared" si="177"/>
        <v>0</v>
      </c>
      <c r="X829">
        <f t="shared" si="177"/>
        <v>0</v>
      </c>
      <c r="Y829">
        <f t="shared" si="176"/>
        <v>0</v>
      </c>
      <c r="Z829">
        <f t="shared" si="176"/>
        <v>0</v>
      </c>
      <c r="AA829">
        <f t="shared" si="176"/>
        <v>0</v>
      </c>
      <c r="AB829">
        <f t="shared" si="176"/>
        <v>0</v>
      </c>
      <c r="AC829">
        <f t="shared" si="176"/>
        <v>0</v>
      </c>
      <c r="AD829">
        <f t="shared" si="176"/>
        <v>0</v>
      </c>
      <c r="AE829">
        <f t="shared" si="176"/>
        <v>0</v>
      </c>
      <c r="AF829">
        <f t="shared" si="176"/>
        <v>0</v>
      </c>
      <c r="AG829">
        <f t="shared" si="176"/>
        <v>0</v>
      </c>
      <c r="AH829">
        <f t="shared" si="176"/>
        <v>0</v>
      </c>
      <c r="AI829">
        <f t="shared" si="176"/>
        <v>0</v>
      </c>
      <c r="AJ829">
        <f t="shared" si="176"/>
        <v>0</v>
      </c>
      <c r="AK829">
        <f t="shared" si="176"/>
        <v>0</v>
      </c>
      <c r="AL829">
        <f t="shared" si="176"/>
        <v>0</v>
      </c>
      <c r="AM829">
        <f t="shared" si="176"/>
        <v>0</v>
      </c>
      <c r="AN829">
        <f t="shared" si="175"/>
        <v>0</v>
      </c>
      <c r="AO829">
        <f t="shared" si="175"/>
        <v>0</v>
      </c>
      <c r="AP829">
        <f t="shared" si="175"/>
        <v>0</v>
      </c>
      <c r="AQ829">
        <f t="shared" si="175"/>
        <v>0</v>
      </c>
      <c r="AR829">
        <f t="shared" si="175"/>
        <v>0</v>
      </c>
    </row>
    <row r="830" spans="5:44" x14ac:dyDescent="0.2">
      <c r="E830" s="1">
        <f>moment_rate!$AC830</f>
        <v>0</v>
      </c>
      <c r="F830" s="1">
        <f t="shared" si="166"/>
        <v>0</v>
      </c>
      <c r="G830">
        <f>moment_rate!I830-0.005</f>
        <v>8.229999999999869</v>
      </c>
      <c r="H830" s="1">
        <f t="shared" si="167"/>
        <v>0</v>
      </c>
      <c r="I830">
        <f t="shared" si="177"/>
        <v>0</v>
      </c>
      <c r="J830">
        <f t="shared" si="177"/>
        <v>0</v>
      </c>
      <c r="K830">
        <f t="shared" si="177"/>
        <v>0</v>
      </c>
      <c r="L830">
        <f t="shared" si="177"/>
        <v>0</v>
      </c>
      <c r="M830">
        <f t="shared" si="177"/>
        <v>0</v>
      </c>
      <c r="N830">
        <f t="shared" si="177"/>
        <v>0</v>
      </c>
      <c r="O830">
        <f t="shared" si="177"/>
        <v>0</v>
      </c>
      <c r="P830">
        <f t="shared" si="177"/>
        <v>0</v>
      </c>
      <c r="Q830">
        <f t="shared" si="177"/>
        <v>0</v>
      </c>
      <c r="R830">
        <f t="shared" si="177"/>
        <v>0</v>
      </c>
      <c r="S830">
        <f t="shared" si="177"/>
        <v>0</v>
      </c>
      <c r="T830">
        <f t="shared" si="177"/>
        <v>0</v>
      </c>
      <c r="U830">
        <f t="shared" si="177"/>
        <v>0</v>
      </c>
      <c r="V830">
        <f t="shared" si="177"/>
        <v>0</v>
      </c>
      <c r="W830">
        <f t="shared" si="177"/>
        <v>0</v>
      </c>
      <c r="X830">
        <f t="shared" si="177"/>
        <v>0</v>
      </c>
      <c r="Y830">
        <f t="shared" si="176"/>
        <v>0</v>
      </c>
      <c r="Z830">
        <f t="shared" si="176"/>
        <v>0</v>
      </c>
      <c r="AA830">
        <f t="shared" si="176"/>
        <v>0</v>
      </c>
      <c r="AB830">
        <f t="shared" si="176"/>
        <v>0</v>
      </c>
      <c r="AC830">
        <f t="shared" si="176"/>
        <v>0</v>
      </c>
      <c r="AD830">
        <f t="shared" si="176"/>
        <v>0</v>
      </c>
      <c r="AE830">
        <f t="shared" si="176"/>
        <v>0</v>
      </c>
      <c r="AF830">
        <f t="shared" si="176"/>
        <v>0</v>
      </c>
      <c r="AG830">
        <f t="shared" si="176"/>
        <v>0</v>
      </c>
      <c r="AH830">
        <f t="shared" si="176"/>
        <v>0</v>
      </c>
      <c r="AI830">
        <f t="shared" si="176"/>
        <v>0</v>
      </c>
      <c r="AJ830">
        <f t="shared" si="176"/>
        <v>0</v>
      </c>
      <c r="AK830">
        <f t="shared" si="176"/>
        <v>0</v>
      </c>
      <c r="AL830">
        <f t="shared" si="176"/>
        <v>0</v>
      </c>
      <c r="AM830">
        <f t="shared" si="176"/>
        <v>0</v>
      </c>
      <c r="AN830">
        <f t="shared" si="175"/>
        <v>0</v>
      </c>
      <c r="AO830">
        <f t="shared" si="175"/>
        <v>0</v>
      </c>
      <c r="AP830">
        <f t="shared" si="175"/>
        <v>0</v>
      </c>
      <c r="AQ830">
        <f t="shared" si="175"/>
        <v>0</v>
      </c>
      <c r="AR830">
        <f t="shared" si="175"/>
        <v>0</v>
      </c>
    </row>
    <row r="831" spans="5:44" x14ac:dyDescent="0.2">
      <c r="E831" s="1">
        <f>moment_rate!$AC831</f>
        <v>0</v>
      </c>
      <c r="F831" s="1">
        <f t="shared" si="166"/>
        <v>0</v>
      </c>
      <c r="G831">
        <f>moment_rate!I831-0.005</f>
        <v>8.2399999999998688</v>
      </c>
      <c r="H831" s="1">
        <f t="shared" si="167"/>
        <v>0</v>
      </c>
      <c r="I831">
        <f t="shared" si="177"/>
        <v>0</v>
      </c>
      <c r="J831">
        <f t="shared" si="177"/>
        <v>0</v>
      </c>
      <c r="K831">
        <f t="shared" si="177"/>
        <v>0</v>
      </c>
      <c r="L831">
        <f t="shared" si="177"/>
        <v>0</v>
      </c>
      <c r="M831">
        <f t="shared" si="177"/>
        <v>0</v>
      </c>
      <c r="N831">
        <f t="shared" si="177"/>
        <v>0</v>
      </c>
      <c r="O831">
        <f t="shared" si="177"/>
        <v>0</v>
      </c>
      <c r="P831">
        <f t="shared" si="177"/>
        <v>0</v>
      </c>
      <c r="Q831">
        <f t="shared" si="177"/>
        <v>0</v>
      </c>
      <c r="R831">
        <f t="shared" si="177"/>
        <v>0</v>
      </c>
      <c r="S831">
        <f t="shared" si="177"/>
        <v>0</v>
      </c>
      <c r="T831">
        <f t="shared" si="177"/>
        <v>0</v>
      </c>
      <c r="U831">
        <f t="shared" si="177"/>
        <v>0</v>
      </c>
      <c r="V831">
        <f t="shared" si="177"/>
        <v>0</v>
      </c>
      <c r="W831">
        <f t="shared" si="177"/>
        <v>0</v>
      </c>
      <c r="X831">
        <f t="shared" si="177"/>
        <v>0</v>
      </c>
      <c r="Y831">
        <f t="shared" si="176"/>
        <v>0</v>
      </c>
      <c r="Z831">
        <f t="shared" si="176"/>
        <v>0</v>
      </c>
      <c r="AA831">
        <f t="shared" si="176"/>
        <v>0</v>
      </c>
      <c r="AB831">
        <f t="shared" si="176"/>
        <v>0</v>
      </c>
      <c r="AC831">
        <f t="shared" si="176"/>
        <v>0</v>
      </c>
      <c r="AD831">
        <f t="shared" si="176"/>
        <v>0</v>
      </c>
      <c r="AE831">
        <f t="shared" si="176"/>
        <v>0</v>
      </c>
      <c r="AF831">
        <f t="shared" si="176"/>
        <v>0</v>
      </c>
      <c r="AG831">
        <f t="shared" si="176"/>
        <v>0</v>
      </c>
      <c r="AH831">
        <f t="shared" si="176"/>
        <v>0</v>
      </c>
      <c r="AI831">
        <f t="shared" si="176"/>
        <v>0</v>
      </c>
      <c r="AJ831">
        <f t="shared" si="176"/>
        <v>0</v>
      </c>
      <c r="AK831">
        <f t="shared" si="176"/>
        <v>0</v>
      </c>
      <c r="AL831">
        <f t="shared" si="176"/>
        <v>0</v>
      </c>
      <c r="AM831">
        <f t="shared" si="176"/>
        <v>0</v>
      </c>
      <c r="AN831">
        <f t="shared" si="175"/>
        <v>0</v>
      </c>
      <c r="AO831">
        <f t="shared" si="175"/>
        <v>0</v>
      </c>
      <c r="AP831">
        <f t="shared" si="175"/>
        <v>0</v>
      </c>
      <c r="AQ831">
        <f t="shared" si="175"/>
        <v>0</v>
      </c>
      <c r="AR831">
        <f t="shared" si="175"/>
        <v>0</v>
      </c>
    </row>
    <row r="832" spans="5:44" x14ac:dyDescent="0.2">
      <c r="E832" s="1">
        <f>moment_rate!$AC832</f>
        <v>0</v>
      </c>
      <c r="F832" s="1">
        <f t="shared" si="166"/>
        <v>0</v>
      </c>
      <c r="G832">
        <f>moment_rate!I832-0.005</f>
        <v>8.2499999999998685</v>
      </c>
      <c r="H832" s="1">
        <f t="shared" si="167"/>
        <v>0</v>
      </c>
      <c r="I832">
        <f t="shared" si="177"/>
        <v>0</v>
      </c>
      <c r="J832">
        <f t="shared" si="177"/>
        <v>0</v>
      </c>
      <c r="K832">
        <f t="shared" si="177"/>
        <v>0</v>
      </c>
      <c r="L832">
        <f t="shared" si="177"/>
        <v>0</v>
      </c>
      <c r="M832">
        <f t="shared" si="177"/>
        <v>0</v>
      </c>
      <c r="N832">
        <f t="shared" si="177"/>
        <v>0</v>
      </c>
      <c r="O832">
        <f t="shared" si="177"/>
        <v>0</v>
      </c>
      <c r="P832">
        <f t="shared" si="177"/>
        <v>0</v>
      </c>
      <c r="Q832">
        <f t="shared" si="177"/>
        <v>0</v>
      </c>
      <c r="R832">
        <f t="shared" si="177"/>
        <v>0</v>
      </c>
      <c r="S832">
        <f t="shared" si="177"/>
        <v>0</v>
      </c>
      <c r="T832">
        <f t="shared" si="177"/>
        <v>0</v>
      </c>
      <c r="U832">
        <f t="shared" si="177"/>
        <v>0</v>
      </c>
      <c r="V832">
        <f t="shared" si="177"/>
        <v>0</v>
      </c>
      <c r="W832">
        <f t="shared" si="177"/>
        <v>0</v>
      </c>
      <c r="X832">
        <f t="shared" si="177"/>
        <v>0</v>
      </c>
      <c r="Y832">
        <f t="shared" si="176"/>
        <v>0</v>
      </c>
      <c r="Z832">
        <f t="shared" si="176"/>
        <v>0</v>
      </c>
      <c r="AA832">
        <f t="shared" si="176"/>
        <v>0</v>
      </c>
      <c r="AB832">
        <f t="shared" si="176"/>
        <v>0</v>
      </c>
      <c r="AC832">
        <f t="shared" si="176"/>
        <v>0</v>
      </c>
      <c r="AD832">
        <f t="shared" si="176"/>
        <v>0</v>
      </c>
      <c r="AE832">
        <f t="shared" si="176"/>
        <v>0</v>
      </c>
      <c r="AF832">
        <f t="shared" si="176"/>
        <v>0</v>
      </c>
      <c r="AG832">
        <f t="shared" si="176"/>
        <v>0</v>
      </c>
      <c r="AH832">
        <f t="shared" si="176"/>
        <v>0</v>
      </c>
      <c r="AI832">
        <f t="shared" si="176"/>
        <v>0</v>
      </c>
      <c r="AJ832">
        <f t="shared" si="176"/>
        <v>0</v>
      </c>
      <c r="AK832">
        <f t="shared" si="176"/>
        <v>0</v>
      </c>
      <c r="AL832">
        <f t="shared" si="176"/>
        <v>0</v>
      </c>
      <c r="AM832">
        <f t="shared" si="176"/>
        <v>0</v>
      </c>
      <c r="AN832">
        <f t="shared" si="175"/>
        <v>0</v>
      </c>
      <c r="AO832">
        <f t="shared" si="175"/>
        <v>0</v>
      </c>
      <c r="AP832">
        <f t="shared" si="175"/>
        <v>0</v>
      </c>
      <c r="AQ832">
        <f t="shared" si="175"/>
        <v>0</v>
      </c>
      <c r="AR832">
        <f t="shared" si="175"/>
        <v>0</v>
      </c>
    </row>
    <row r="833" spans="5:44" x14ac:dyDescent="0.2">
      <c r="E833" s="1">
        <f>moment_rate!$AC833</f>
        <v>0</v>
      </c>
      <c r="F833" s="1">
        <f t="shared" si="166"/>
        <v>0</v>
      </c>
      <c r="G833">
        <f>moment_rate!I833-0.005</f>
        <v>8.2599999999998683</v>
      </c>
      <c r="H833" s="1">
        <f t="shared" si="167"/>
        <v>0</v>
      </c>
      <c r="I833">
        <f t="shared" si="177"/>
        <v>0</v>
      </c>
      <c r="J833">
        <f t="shared" si="177"/>
        <v>0</v>
      </c>
      <c r="K833">
        <f t="shared" si="177"/>
        <v>0</v>
      </c>
      <c r="L833">
        <f t="shared" si="177"/>
        <v>0</v>
      </c>
      <c r="M833">
        <f t="shared" si="177"/>
        <v>0</v>
      </c>
      <c r="N833">
        <f t="shared" si="177"/>
        <v>0</v>
      </c>
      <c r="O833">
        <f t="shared" si="177"/>
        <v>0</v>
      </c>
      <c r="P833">
        <f t="shared" si="177"/>
        <v>0</v>
      </c>
      <c r="Q833">
        <f t="shared" si="177"/>
        <v>0</v>
      </c>
      <c r="R833">
        <f t="shared" si="177"/>
        <v>0</v>
      </c>
      <c r="S833">
        <f t="shared" si="177"/>
        <v>0</v>
      </c>
      <c r="T833">
        <f t="shared" si="177"/>
        <v>0</v>
      </c>
      <c r="U833">
        <f t="shared" si="177"/>
        <v>0</v>
      </c>
      <c r="V833">
        <f t="shared" si="177"/>
        <v>0</v>
      </c>
      <c r="W833">
        <f t="shared" si="177"/>
        <v>0</v>
      </c>
      <c r="X833">
        <f t="shared" si="177"/>
        <v>0</v>
      </c>
      <c r="Y833">
        <f t="shared" si="176"/>
        <v>0</v>
      </c>
      <c r="Z833">
        <f t="shared" si="176"/>
        <v>0</v>
      </c>
      <c r="AA833">
        <f t="shared" si="176"/>
        <v>0</v>
      </c>
      <c r="AB833">
        <f t="shared" si="176"/>
        <v>0</v>
      </c>
      <c r="AC833">
        <f t="shared" si="176"/>
        <v>0</v>
      </c>
      <c r="AD833">
        <f t="shared" si="176"/>
        <v>0</v>
      </c>
      <c r="AE833">
        <f t="shared" si="176"/>
        <v>0</v>
      </c>
      <c r="AF833">
        <f t="shared" si="176"/>
        <v>0</v>
      </c>
      <c r="AG833">
        <f t="shared" si="176"/>
        <v>0</v>
      </c>
      <c r="AH833">
        <f t="shared" si="176"/>
        <v>0</v>
      </c>
      <c r="AI833">
        <f t="shared" si="176"/>
        <v>0</v>
      </c>
      <c r="AJ833">
        <f t="shared" si="176"/>
        <v>0</v>
      </c>
      <c r="AK833">
        <f t="shared" si="176"/>
        <v>0</v>
      </c>
      <c r="AL833">
        <f t="shared" si="176"/>
        <v>0</v>
      </c>
      <c r="AM833">
        <f t="shared" si="176"/>
        <v>0</v>
      </c>
      <c r="AN833">
        <f t="shared" si="175"/>
        <v>0</v>
      </c>
      <c r="AO833">
        <f t="shared" si="175"/>
        <v>0</v>
      </c>
      <c r="AP833">
        <f t="shared" si="175"/>
        <v>0</v>
      </c>
      <c r="AQ833">
        <f t="shared" si="175"/>
        <v>0</v>
      </c>
      <c r="AR833">
        <f t="shared" si="175"/>
        <v>0</v>
      </c>
    </row>
    <row r="834" spans="5:44" x14ac:dyDescent="0.2">
      <c r="E834" s="1">
        <f>moment_rate!$AC834</f>
        <v>0</v>
      </c>
      <c r="F834" s="1">
        <f t="shared" si="166"/>
        <v>0</v>
      </c>
      <c r="G834">
        <f>moment_rate!I834-0.005</f>
        <v>8.2699999999998681</v>
      </c>
      <c r="H834" s="1">
        <f t="shared" si="167"/>
        <v>0</v>
      </c>
      <c r="I834">
        <f t="shared" si="177"/>
        <v>0</v>
      </c>
      <c r="J834">
        <f t="shared" si="177"/>
        <v>0</v>
      </c>
      <c r="K834">
        <f t="shared" si="177"/>
        <v>0</v>
      </c>
      <c r="L834">
        <f t="shared" si="177"/>
        <v>0</v>
      </c>
      <c r="M834">
        <f t="shared" si="177"/>
        <v>0</v>
      </c>
      <c r="N834">
        <f t="shared" si="177"/>
        <v>0</v>
      </c>
      <c r="O834">
        <f t="shared" si="177"/>
        <v>0</v>
      </c>
      <c r="P834">
        <f t="shared" si="177"/>
        <v>0</v>
      </c>
      <c r="Q834">
        <f t="shared" si="177"/>
        <v>0</v>
      </c>
      <c r="R834">
        <f t="shared" si="177"/>
        <v>0</v>
      </c>
      <c r="S834">
        <f t="shared" si="177"/>
        <v>0</v>
      </c>
      <c r="T834">
        <f t="shared" si="177"/>
        <v>0</v>
      </c>
      <c r="U834">
        <f t="shared" si="177"/>
        <v>0</v>
      </c>
      <c r="V834">
        <f t="shared" si="177"/>
        <v>0</v>
      </c>
      <c r="W834">
        <f t="shared" si="177"/>
        <v>0</v>
      </c>
      <c r="X834">
        <f t="shared" si="177"/>
        <v>0</v>
      </c>
      <c r="Y834">
        <f t="shared" si="176"/>
        <v>0</v>
      </c>
      <c r="Z834">
        <f t="shared" si="176"/>
        <v>0</v>
      </c>
      <c r="AA834">
        <f t="shared" si="176"/>
        <v>0</v>
      </c>
      <c r="AB834">
        <f t="shared" si="176"/>
        <v>0</v>
      </c>
      <c r="AC834">
        <f t="shared" si="176"/>
        <v>0</v>
      </c>
      <c r="AD834">
        <f t="shared" si="176"/>
        <v>0</v>
      </c>
      <c r="AE834">
        <f t="shared" si="176"/>
        <v>0</v>
      </c>
      <c r="AF834">
        <f t="shared" si="176"/>
        <v>0</v>
      </c>
      <c r="AG834">
        <f t="shared" si="176"/>
        <v>0</v>
      </c>
      <c r="AH834">
        <f t="shared" si="176"/>
        <v>0</v>
      </c>
      <c r="AI834">
        <f t="shared" si="176"/>
        <v>0</v>
      </c>
      <c r="AJ834">
        <f t="shared" si="176"/>
        <v>0</v>
      </c>
      <c r="AK834">
        <f t="shared" si="176"/>
        <v>0</v>
      </c>
      <c r="AL834">
        <f t="shared" si="176"/>
        <v>0</v>
      </c>
      <c r="AM834">
        <f t="shared" si="176"/>
        <v>0</v>
      </c>
      <c r="AN834">
        <f t="shared" ref="AN834:AR849" si="178">IF(AND($G834&gt;=AN$3,$G834&lt;AN$4),$F834,0)</f>
        <v>0</v>
      </c>
      <c r="AO834">
        <f t="shared" si="178"/>
        <v>0</v>
      </c>
      <c r="AP834">
        <f t="shared" si="178"/>
        <v>0</v>
      </c>
      <c r="AQ834">
        <f t="shared" si="178"/>
        <v>0</v>
      </c>
      <c r="AR834">
        <f t="shared" si="178"/>
        <v>0</v>
      </c>
    </row>
    <row r="835" spans="5:44" x14ac:dyDescent="0.2">
      <c r="E835" s="1">
        <f>moment_rate!$AC835</f>
        <v>0</v>
      </c>
      <c r="F835" s="1">
        <f t="shared" si="166"/>
        <v>0</v>
      </c>
      <c r="G835">
        <f>moment_rate!I835-0.005</f>
        <v>8.2799999999998679</v>
      </c>
      <c r="H835" s="1">
        <f t="shared" si="167"/>
        <v>0</v>
      </c>
      <c r="I835">
        <f t="shared" si="177"/>
        <v>0</v>
      </c>
      <c r="J835">
        <f t="shared" si="177"/>
        <v>0</v>
      </c>
      <c r="K835">
        <f t="shared" si="177"/>
        <v>0</v>
      </c>
      <c r="L835">
        <f t="shared" si="177"/>
        <v>0</v>
      </c>
      <c r="M835">
        <f t="shared" si="177"/>
        <v>0</v>
      </c>
      <c r="N835">
        <f t="shared" si="177"/>
        <v>0</v>
      </c>
      <c r="O835">
        <f t="shared" si="177"/>
        <v>0</v>
      </c>
      <c r="P835">
        <f t="shared" si="177"/>
        <v>0</v>
      </c>
      <c r="Q835">
        <f t="shared" si="177"/>
        <v>0</v>
      </c>
      <c r="R835">
        <f t="shared" si="177"/>
        <v>0</v>
      </c>
      <c r="S835">
        <f t="shared" si="177"/>
        <v>0</v>
      </c>
      <c r="T835">
        <f t="shared" si="177"/>
        <v>0</v>
      </c>
      <c r="U835">
        <f t="shared" si="177"/>
        <v>0</v>
      </c>
      <c r="V835">
        <f t="shared" si="177"/>
        <v>0</v>
      </c>
      <c r="W835">
        <f t="shared" si="177"/>
        <v>0</v>
      </c>
      <c r="X835">
        <f t="shared" si="177"/>
        <v>0</v>
      </c>
      <c r="Y835">
        <f t="shared" si="176"/>
        <v>0</v>
      </c>
      <c r="Z835">
        <f t="shared" si="176"/>
        <v>0</v>
      </c>
      <c r="AA835">
        <f t="shared" si="176"/>
        <v>0</v>
      </c>
      <c r="AB835">
        <f t="shared" si="176"/>
        <v>0</v>
      </c>
      <c r="AC835">
        <f t="shared" si="176"/>
        <v>0</v>
      </c>
      <c r="AD835">
        <f t="shared" si="176"/>
        <v>0</v>
      </c>
      <c r="AE835">
        <f t="shared" si="176"/>
        <v>0</v>
      </c>
      <c r="AF835">
        <f t="shared" si="176"/>
        <v>0</v>
      </c>
      <c r="AG835">
        <f t="shared" si="176"/>
        <v>0</v>
      </c>
      <c r="AH835">
        <f t="shared" si="176"/>
        <v>0</v>
      </c>
      <c r="AI835">
        <f t="shared" si="176"/>
        <v>0</v>
      </c>
      <c r="AJ835">
        <f t="shared" si="176"/>
        <v>0</v>
      </c>
      <c r="AK835">
        <f t="shared" si="176"/>
        <v>0</v>
      </c>
      <c r="AL835">
        <f t="shared" si="176"/>
        <v>0</v>
      </c>
      <c r="AM835">
        <f t="shared" si="176"/>
        <v>0</v>
      </c>
      <c r="AN835">
        <f t="shared" si="178"/>
        <v>0</v>
      </c>
      <c r="AO835">
        <f t="shared" si="178"/>
        <v>0</v>
      </c>
      <c r="AP835">
        <f t="shared" si="178"/>
        <v>0</v>
      </c>
      <c r="AQ835">
        <f t="shared" si="178"/>
        <v>0</v>
      </c>
      <c r="AR835">
        <f t="shared" si="178"/>
        <v>0</v>
      </c>
    </row>
    <row r="836" spans="5:44" x14ac:dyDescent="0.2">
      <c r="E836" s="1">
        <f>moment_rate!$AC836</f>
        <v>0</v>
      </c>
      <c r="F836" s="1">
        <f t="shared" si="166"/>
        <v>0</v>
      </c>
      <c r="G836">
        <f>moment_rate!I836-0.005</f>
        <v>8.2899999999998677</v>
      </c>
      <c r="H836" s="1">
        <f t="shared" si="167"/>
        <v>0</v>
      </c>
      <c r="I836">
        <f t="shared" si="177"/>
        <v>0</v>
      </c>
      <c r="J836">
        <f t="shared" si="177"/>
        <v>0</v>
      </c>
      <c r="K836">
        <f t="shared" si="177"/>
        <v>0</v>
      </c>
      <c r="L836">
        <f t="shared" si="177"/>
        <v>0</v>
      </c>
      <c r="M836">
        <f t="shared" si="177"/>
        <v>0</v>
      </c>
      <c r="N836">
        <f t="shared" si="177"/>
        <v>0</v>
      </c>
      <c r="O836">
        <f t="shared" si="177"/>
        <v>0</v>
      </c>
      <c r="P836">
        <f t="shared" si="177"/>
        <v>0</v>
      </c>
      <c r="Q836">
        <f t="shared" si="177"/>
        <v>0</v>
      </c>
      <c r="R836">
        <f t="shared" si="177"/>
        <v>0</v>
      </c>
      <c r="S836">
        <f t="shared" si="177"/>
        <v>0</v>
      </c>
      <c r="T836">
        <f t="shared" si="177"/>
        <v>0</v>
      </c>
      <c r="U836">
        <f t="shared" si="177"/>
        <v>0</v>
      </c>
      <c r="V836">
        <f t="shared" si="177"/>
        <v>0</v>
      </c>
      <c r="W836">
        <f t="shared" si="177"/>
        <v>0</v>
      </c>
      <c r="X836">
        <f t="shared" si="177"/>
        <v>0</v>
      </c>
      <c r="Y836">
        <f t="shared" si="176"/>
        <v>0</v>
      </c>
      <c r="Z836">
        <f t="shared" si="176"/>
        <v>0</v>
      </c>
      <c r="AA836">
        <f t="shared" si="176"/>
        <v>0</v>
      </c>
      <c r="AB836">
        <f t="shared" si="176"/>
        <v>0</v>
      </c>
      <c r="AC836">
        <f t="shared" si="176"/>
        <v>0</v>
      </c>
      <c r="AD836">
        <f t="shared" si="176"/>
        <v>0</v>
      </c>
      <c r="AE836">
        <f t="shared" si="176"/>
        <v>0</v>
      </c>
      <c r="AF836">
        <f t="shared" si="176"/>
        <v>0</v>
      </c>
      <c r="AG836">
        <f t="shared" si="176"/>
        <v>0</v>
      </c>
      <c r="AH836">
        <f t="shared" si="176"/>
        <v>0</v>
      </c>
      <c r="AI836">
        <f t="shared" si="176"/>
        <v>0</v>
      </c>
      <c r="AJ836">
        <f t="shared" si="176"/>
        <v>0</v>
      </c>
      <c r="AK836">
        <f t="shared" si="176"/>
        <v>0</v>
      </c>
      <c r="AL836">
        <f t="shared" si="176"/>
        <v>0</v>
      </c>
      <c r="AM836">
        <f t="shared" si="176"/>
        <v>0</v>
      </c>
      <c r="AN836">
        <f t="shared" si="178"/>
        <v>0</v>
      </c>
      <c r="AO836">
        <f t="shared" si="178"/>
        <v>0</v>
      </c>
      <c r="AP836">
        <f t="shared" si="178"/>
        <v>0</v>
      </c>
      <c r="AQ836">
        <f t="shared" si="178"/>
        <v>0</v>
      </c>
      <c r="AR836">
        <f t="shared" si="178"/>
        <v>0</v>
      </c>
    </row>
    <row r="837" spans="5:44" x14ac:dyDescent="0.2">
      <c r="E837" s="1">
        <f>moment_rate!$AC837</f>
        <v>0</v>
      </c>
      <c r="F837" s="1">
        <f t="shared" si="166"/>
        <v>0</v>
      </c>
      <c r="G837">
        <f>moment_rate!I837-0.005</f>
        <v>8.2999999999998675</v>
      </c>
      <c r="H837" s="1">
        <f t="shared" si="167"/>
        <v>0</v>
      </c>
      <c r="I837">
        <f t="shared" si="177"/>
        <v>0</v>
      </c>
      <c r="J837">
        <f t="shared" si="177"/>
        <v>0</v>
      </c>
      <c r="K837">
        <f t="shared" si="177"/>
        <v>0</v>
      </c>
      <c r="L837">
        <f t="shared" si="177"/>
        <v>0</v>
      </c>
      <c r="M837">
        <f t="shared" si="177"/>
        <v>0</v>
      </c>
      <c r="N837">
        <f t="shared" si="177"/>
        <v>0</v>
      </c>
      <c r="O837">
        <f t="shared" si="177"/>
        <v>0</v>
      </c>
      <c r="P837">
        <f t="shared" si="177"/>
        <v>0</v>
      </c>
      <c r="Q837">
        <f t="shared" si="177"/>
        <v>0</v>
      </c>
      <c r="R837">
        <f t="shared" si="177"/>
        <v>0</v>
      </c>
      <c r="S837">
        <f t="shared" si="177"/>
        <v>0</v>
      </c>
      <c r="T837">
        <f t="shared" si="177"/>
        <v>0</v>
      </c>
      <c r="U837">
        <f t="shared" si="177"/>
        <v>0</v>
      </c>
      <c r="V837">
        <f t="shared" si="177"/>
        <v>0</v>
      </c>
      <c r="W837">
        <f t="shared" si="177"/>
        <v>0</v>
      </c>
      <c r="X837">
        <f t="shared" si="177"/>
        <v>0</v>
      </c>
      <c r="Y837">
        <f t="shared" si="176"/>
        <v>0</v>
      </c>
      <c r="Z837">
        <f t="shared" si="176"/>
        <v>0</v>
      </c>
      <c r="AA837">
        <f t="shared" si="176"/>
        <v>0</v>
      </c>
      <c r="AB837">
        <f t="shared" si="176"/>
        <v>0</v>
      </c>
      <c r="AC837">
        <f t="shared" si="176"/>
        <v>0</v>
      </c>
      <c r="AD837">
        <f t="shared" si="176"/>
        <v>0</v>
      </c>
      <c r="AE837">
        <f t="shared" si="176"/>
        <v>0</v>
      </c>
      <c r="AF837">
        <f t="shared" si="176"/>
        <v>0</v>
      </c>
      <c r="AG837">
        <f t="shared" si="176"/>
        <v>0</v>
      </c>
      <c r="AH837">
        <f t="shared" si="176"/>
        <v>0</v>
      </c>
      <c r="AI837">
        <f t="shared" si="176"/>
        <v>0</v>
      </c>
      <c r="AJ837">
        <f t="shared" si="176"/>
        <v>0</v>
      </c>
      <c r="AK837">
        <f t="shared" si="176"/>
        <v>0</v>
      </c>
      <c r="AL837">
        <f t="shared" si="176"/>
        <v>0</v>
      </c>
      <c r="AM837">
        <f t="shared" si="176"/>
        <v>0</v>
      </c>
      <c r="AN837">
        <f t="shared" si="178"/>
        <v>0</v>
      </c>
      <c r="AO837">
        <f t="shared" si="178"/>
        <v>0</v>
      </c>
      <c r="AP837">
        <f t="shared" si="178"/>
        <v>0</v>
      </c>
      <c r="AQ837">
        <f t="shared" si="178"/>
        <v>0</v>
      </c>
      <c r="AR837">
        <f t="shared" si="178"/>
        <v>0</v>
      </c>
    </row>
    <row r="838" spans="5:44" x14ac:dyDescent="0.2">
      <c r="E838" s="1">
        <f>moment_rate!$AC838</f>
        <v>0</v>
      </c>
      <c r="F838" s="1">
        <f t="shared" si="166"/>
        <v>0</v>
      </c>
      <c r="G838">
        <f>moment_rate!I838-0.005</f>
        <v>8.3099999999998673</v>
      </c>
      <c r="H838" s="1">
        <f t="shared" si="167"/>
        <v>0</v>
      </c>
      <c r="I838">
        <f t="shared" si="177"/>
        <v>0</v>
      </c>
      <c r="J838">
        <f t="shared" si="177"/>
        <v>0</v>
      </c>
      <c r="K838">
        <f t="shared" si="177"/>
        <v>0</v>
      </c>
      <c r="L838">
        <f t="shared" si="177"/>
        <v>0</v>
      </c>
      <c r="M838">
        <f t="shared" si="177"/>
        <v>0</v>
      </c>
      <c r="N838">
        <f t="shared" si="177"/>
        <v>0</v>
      </c>
      <c r="O838">
        <f t="shared" si="177"/>
        <v>0</v>
      </c>
      <c r="P838">
        <f t="shared" si="177"/>
        <v>0</v>
      </c>
      <c r="Q838">
        <f t="shared" si="177"/>
        <v>0</v>
      </c>
      <c r="R838">
        <f t="shared" si="177"/>
        <v>0</v>
      </c>
      <c r="S838">
        <f t="shared" si="177"/>
        <v>0</v>
      </c>
      <c r="T838">
        <f t="shared" si="177"/>
        <v>0</v>
      </c>
      <c r="U838">
        <f t="shared" si="177"/>
        <v>0</v>
      </c>
      <c r="V838">
        <f t="shared" si="177"/>
        <v>0</v>
      </c>
      <c r="W838">
        <f t="shared" si="177"/>
        <v>0</v>
      </c>
      <c r="X838">
        <f t="shared" si="177"/>
        <v>0</v>
      </c>
      <c r="Y838">
        <f t="shared" si="176"/>
        <v>0</v>
      </c>
      <c r="Z838">
        <f t="shared" si="176"/>
        <v>0</v>
      </c>
      <c r="AA838">
        <f t="shared" si="176"/>
        <v>0</v>
      </c>
      <c r="AB838">
        <f t="shared" si="176"/>
        <v>0</v>
      </c>
      <c r="AC838">
        <f t="shared" si="176"/>
        <v>0</v>
      </c>
      <c r="AD838">
        <f t="shared" si="176"/>
        <v>0</v>
      </c>
      <c r="AE838">
        <f t="shared" si="176"/>
        <v>0</v>
      </c>
      <c r="AF838">
        <f t="shared" si="176"/>
        <v>0</v>
      </c>
      <c r="AG838">
        <f t="shared" si="176"/>
        <v>0</v>
      </c>
      <c r="AH838">
        <f t="shared" si="176"/>
        <v>0</v>
      </c>
      <c r="AI838">
        <f t="shared" si="176"/>
        <v>0</v>
      </c>
      <c r="AJ838">
        <f t="shared" si="176"/>
        <v>0</v>
      </c>
      <c r="AK838">
        <f t="shared" si="176"/>
        <v>0</v>
      </c>
      <c r="AL838">
        <f t="shared" si="176"/>
        <v>0</v>
      </c>
      <c r="AM838">
        <f t="shared" si="176"/>
        <v>0</v>
      </c>
      <c r="AN838">
        <f t="shared" si="178"/>
        <v>0</v>
      </c>
      <c r="AO838">
        <f t="shared" si="178"/>
        <v>0</v>
      </c>
      <c r="AP838">
        <f t="shared" si="178"/>
        <v>0</v>
      </c>
      <c r="AQ838">
        <f t="shared" si="178"/>
        <v>0</v>
      </c>
      <c r="AR838">
        <f t="shared" si="178"/>
        <v>0</v>
      </c>
    </row>
    <row r="839" spans="5:44" x14ac:dyDescent="0.2">
      <c r="E839" s="1">
        <f>moment_rate!$AC839</f>
        <v>0</v>
      </c>
      <c r="F839" s="1">
        <f t="shared" si="166"/>
        <v>0</v>
      </c>
      <c r="G839">
        <f>moment_rate!I839-0.005</f>
        <v>8.3199999999998671</v>
      </c>
      <c r="H839" s="1">
        <f t="shared" si="167"/>
        <v>0</v>
      </c>
      <c r="I839">
        <f t="shared" si="177"/>
        <v>0</v>
      </c>
      <c r="J839">
        <f t="shared" si="177"/>
        <v>0</v>
      </c>
      <c r="K839">
        <f t="shared" si="177"/>
        <v>0</v>
      </c>
      <c r="L839">
        <f t="shared" si="177"/>
        <v>0</v>
      </c>
      <c r="M839">
        <f t="shared" si="177"/>
        <v>0</v>
      </c>
      <c r="N839">
        <f t="shared" si="177"/>
        <v>0</v>
      </c>
      <c r="O839">
        <f t="shared" si="177"/>
        <v>0</v>
      </c>
      <c r="P839">
        <f t="shared" si="177"/>
        <v>0</v>
      </c>
      <c r="Q839">
        <f t="shared" si="177"/>
        <v>0</v>
      </c>
      <c r="R839">
        <f t="shared" si="177"/>
        <v>0</v>
      </c>
      <c r="S839">
        <f t="shared" si="177"/>
        <v>0</v>
      </c>
      <c r="T839">
        <f t="shared" si="177"/>
        <v>0</v>
      </c>
      <c r="U839">
        <f t="shared" si="177"/>
        <v>0</v>
      </c>
      <c r="V839">
        <f t="shared" si="177"/>
        <v>0</v>
      </c>
      <c r="W839">
        <f t="shared" si="177"/>
        <v>0</v>
      </c>
      <c r="X839">
        <f t="shared" si="177"/>
        <v>0</v>
      </c>
      <c r="Y839">
        <f t="shared" si="176"/>
        <v>0</v>
      </c>
      <c r="Z839">
        <f t="shared" si="176"/>
        <v>0</v>
      </c>
      <c r="AA839">
        <f t="shared" si="176"/>
        <v>0</v>
      </c>
      <c r="AB839">
        <f t="shared" si="176"/>
        <v>0</v>
      </c>
      <c r="AC839">
        <f t="shared" si="176"/>
        <v>0</v>
      </c>
      <c r="AD839">
        <f t="shared" si="176"/>
        <v>0</v>
      </c>
      <c r="AE839">
        <f t="shared" si="176"/>
        <v>0</v>
      </c>
      <c r="AF839">
        <f t="shared" si="176"/>
        <v>0</v>
      </c>
      <c r="AG839">
        <f t="shared" si="176"/>
        <v>0</v>
      </c>
      <c r="AH839">
        <f t="shared" si="176"/>
        <v>0</v>
      </c>
      <c r="AI839">
        <f t="shared" si="176"/>
        <v>0</v>
      </c>
      <c r="AJ839">
        <f t="shared" si="176"/>
        <v>0</v>
      </c>
      <c r="AK839">
        <f t="shared" si="176"/>
        <v>0</v>
      </c>
      <c r="AL839">
        <f t="shared" si="176"/>
        <v>0</v>
      </c>
      <c r="AM839">
        <f t="shared" si="176"/>
        <v>0</v>
      </c>
      <c r="AN839">
        <f t="shared" si="178"/>
        <v>0</v>
      </c>
      <c r="AO839">
        <f t="shared" si="178"/>
        <v>0</v>
      </c>
      <c r="AP839">
        <f t="shared" si="178"/>
        <v>0</v>
      </c>
      <c r="AQ839">
        <f t="shared" si="178"/>
        <v>0</v>
      </c>
      <c r="AR839">
        <f t="shared" si="178"/>
        <v>0</v>
      </c>
    </row>
    <row r="840" spans="5:44" x14ac:dyDescent="0.2">
      <c r="E840" s="1">
        <f>moment_rate!$AC840</f>
        <v>0</v>
      </c>
      <c r="F840" s="1">
        <f t="shared" ref="F840:F863" si="179">E840-E841</f>
        <v>0</v>
      </c>
      <c r="G840">
        <f>moment_rate!I840-0.005</f>
        <v>8.3299999999998668</v>
      </c>
      <c r="H840" s="1">
        <f t="shared" ref="H840:H863" si="180">IF($G840&gt;=4.999,(E840-E841),0)</f>
        <v>0</v>
      </c>
      <c r="I840">
        <f t="shared" si="177"/>
        <v>0</v>
      </c>
      <c r="J840">
        <f t="shared" si="177"/>
        <v>0</v>
      </c>
      <c r="K840">
        <f t="shared" si="177"/>
        <v>0</v>
      </c>
      <c r="L840">
        <f t="shared" si="177"/>
        <v>0</v>
      </c>
      <c r="M840">
        <f t="shared" si="177"/>
        <v>0</v>
      </c>
      <c r="N840">
        <f t="shared" si="177"/>
        <v>0</v>
      </c>
      <c r="O840">
        <f t="shared" si="177"/>
        <v>0</v>
      </c>
      <c r="P840">
        <f t="shared" si="177"/>
        <v>0</v>
      </c>
      <c r="Q840">
        <f t="shared" si="177"/>
        <v>0</v>
      </c>
      <c r="R840">
        <f t="shared" si="177"/>
        <v>0</v>
      </c>
      <c r="S840">
        <f t="shared" si="177"/>
        <v>0</v>
      </c>
      <c r="T840">
        <f t="shared" si="177"/>
        <v>0</v>
      </c>
      <c r="U840">
        <f t="shared" si="177"/>
        <v>0</v>
      </c>
      <c r="V840">
        <f t="shared" si="177"/>
        <v>0</v>
      </c>
      <c r="W840">
        <f t="shared" si="177"/>
        <v>0</v>
      </c>
      <c r="X840">
        <f t="shared" si="177"/>
        <v>0</v>
      </c>
      <c r="Y840">
        <f t="shared" si="176"/>
        <v>0</v>
      </c>
      <c r="Z840">
        <f t="shared" si="176"/>
        <v>0</v>
      </c>
      <c r="AA840">
        <f t="shared" si="176"/>
        <v>0</v>
      </c>
      <c r="AB840">
        <f t="shared" si="176"/>
        <v>0</v>
      </c>
      <c r="AC840">
        <f t="shared" si="176"/>
        <v>0</v>
      </c>
      <c r="AD840">
        <f t="shared" si="176"/>
        <v>0</v>
      </c>
      <c r="AE840">
        <f t="shared" si="176"/>
        <v>0</v>
      </c>
      <c r="AF840">
        <f t="shared" si="176"/>
        <v>0</v>
      </c>
      <c r="AG840">
        <f t="shared" si="176"/>
        <v>0</v>
      </c>
      <c r="AH840">
        <f t="shared" si="176"/>
        <v>0</v>
      </c>
      <c r="AI840">
        <f t="shared" si="176"/>
        <v>0</v>
      </c>
      <c r="AJ840">
        <f t="shared" si="176"/>
        <v>0</v>
      </c>
      <c r="AK840">
        <f t="shared" si="176"/>
        <v>0</v>
      </c>
      <c r="AL840">
        <f t="shared" si="176"/>
        <v>0</v>
      </c>
      <c r="AM840">
        <f t="shared" si="176"/>
        <v>0</v>
      </c>
      <c r="AN840">
        <f t="shared" si="178"/>
        <v>0</v>
      </c>
      <c r="AO840">
        <f t="shared" si="178"/>
        <v>0</v>
      </c>
      <c r="AP840">
        <f t="shared" si="178"/>
        <v>0</v>
      </c>
      <c r="AQ840">
        <f t="shared" si="178"/>
        <v>0</v>
      </c>
      <c r="AR840">
        <f t="shared" si="178"/>
        <v>0</v>
      </c>
    </row>
    <row r="841" spans="5:44" x14ac:dyDescent="0.2">
      <c r="E841" s="1">
        <f>moment_rate!$AC841</f>
        <v>0</v>
      </c>
      <c r="F841" s="1">
        <f t="shared" si="179"/>
        <v>0</v>
      </c>
      <c r="G841">
        <f>moment_rate!I841-0.005</f>
        <v>8.3399999999998666</v>
      </c>
      <c r="H841" s="1">
        <f t="shared" si="180"/>
        <v>0</v>
      </c>
      <c r="I841">
        <f t="shared" si="177"/>
        <v>0</v>
      </c>
      <c r="J841">
        <f t="shared" si="177"/>
        <v>0</v>
      </c>
      <c r="K841">
        <f t="shared" si="177"/>
        <v>0</v>
      </c>
      <c r="L841">
        <f t="shared" si="177"/>
        <v>0</v>
      </c>
      <c r="M841">
        <f t="shared" si="177"/>
        <v>0</v>
      </c>
      <c r="N841">
        <f t="shared" si="177"/>
        <v>0</v>
      </c>
      <c r="O841">
        <f t="shared" si="177"/>
        <v>0</v>
      </c>
      <c r="P841">
        <f t="shared" si="177"/>
        <v>0</v>
      </c>
      <c r="Q841">
        <f t="shared" si="177"/>
        <v>0</v>
      </c>
      <c r="R841">
        <f t="shared" si="177"/>
        <v>0</v>
      </c>
      <c r="S841">
        <f t="shared" si="177"/>
        <v>0</v>
      </c>
      <c r="T841">
        <f t="shared" si="177"/>
        <v>0</v>
      </c>
      <c r="U841">
        <f t="shared" si="177"/>
        <v>0</v>
      </c>
      <c r="V841">
        <f t="shared" si="177"/>
        <v>0</v>
      </c>
      <c r="W841">
        <f t="shared" si="177"/>
        <v>0</v>
      </c>
      <c r="X841">
        <f t="shared" si="177"/>
        <v>0</v>
      </c>
      <c r="Y841">
        <f t="shared" si="176"/>
        <v>0</v>
      </c>
      <c r="Z841">
        <f t="shared" si="176"/>
        <v>0</v>
      </c>
      <c r="AA841">
        <f t="shared" si="176"/>
        <v>0</v>
      </c>
      <c r="AB841">
        <f t="shared" si="176"/>
        <v>0</v>
      </c>
      <c r="AC841">
        <f t="shared" si="176"/>
        <v>0</v>
      </c>
      <c r="AD841">
        <f t="shared" si="176"/>
        <v>0</v>
      </c>
      <c r="AE841">
        <f t="shared" si="176"/>
        <v>0</v>
      </c>
      <c r="AF841">
        <f t="shared" si="176"/>
        <v>0</v>
      </c>
      <c r="AG841">
        <f t="shared" si="176"/>
        <v>0</v>
      </c>
      <c r="AH841">
        <f t="shared" si="176"/>
        <v>0</v>
      </c>
      <c r="AI841">
        <f t="shared" si="176"/>
        <v>0</v>
      </c>
      <c r="AJ841">
        <f t="shared" si="176"/>
        <v>0</v>
      </c>
      <c r="AK841">
        <f t="shared" si="176"/>
        <v>0</v>
      </c>
      <c r="AL841">
        <f t="shared" si="176"/>
        <v>0</v>
      </c>
      <c r="AM841">
        <f t="shared" si="176"/>
        <v>0</v>
      </c>
      <c r="AN841">
        <f t="shared" si="178"/>
        <v>0</v>
      </c>
      <c r="AO841">
        <f t="shared" si="178"/>
        <v>0</v>
      </c>
      <c r="AP841">
        <f t="shared" si="178"/>
        <v>0</v>
      </c>
      <c r="AQ841">
        <f t="shared" si="178"/>
        <v>0</v>
      </c>
      <c r="AR841">
        <f t="shared" si="178"/>
        <v>0</v>
      </c>
    </row>
    <row r="842" spans="5:44" x14ac:dyDescent="0.2">
      <c r="E842" s="1">
        <f>moment_rate!$AC842</f>
        <v>0</v>
      </c>
      <c r="F842" s="1">
        <f t="shared" si="179"/>
        <v>0</v>
      </c>
      <c r="G842">
        <f>moment_rate!I842-0.005</f>
        <v>8.3499999999998664</v>
      </c>
      <c r="H842" s="1">
        <f t="shared" si="180"/>
        <v>0</v>
      </c>
      <c r="I842">
        <f t="shared" si="177"/>
        <v>0</v>
      </c>
      <c r="J842">
        <f t="shared" si="177"/>
        <v>0</v>
      </c>
      <c r="K842">
        <f t="shared" si="177"/>
        <v>0</v>
      </c>
      <c r="L842">
        <f t="shared" si="177"/>
        <v>0</v>
      </c>
      <c r="M842">
        <f t="shared" si="177"/>
        <v>0</v>
      </c>
      <c r="N842">
        <f t="shared" si="177"/>
        <v>0</v>
      </c>
      <c r="O842">
        <f t="shared" si="177"/>
        <v>0</v>
      </c>
      <c r="P842">
        <f t="shared" si="177"/>
        <v>0</v>
      </c>
      <c r="Q842">
        <f t="shared" si="177"/>
        <v>0</v>
      </c>
      <c r="R842">
        <f t="shared" si="177"/>
        <v>0</v>
      </c>
      <c r="S842">
        <f t="shared" si="177"/>
        <v>0</v>
      </c>
      <c r="T842">
        <f t="shared" si="177"/>
        <v>0</v>
      </c>
      <c r="U842">
        <f t="shared" si="177"/>
        <v>0</v>
      </c>
      <c r="V842">
        <f t="shared" si="177"/>
        <v>0</v>
      </c>
      <c r="W842">
        <f t="shared" si="177"/>
        <v>0</v>
      </c>
      <c r="X842">
        <f t="shared" ref="X842:AM857" si="181">IF(AND($G842&gt;=X$3,$G842&lt;X$4),$F842,0)</f>
        <v>0</v>
      </c>
      <c r="Y842">
        <f t="shared" si="181"/>
        <v>0</v>
      </c>
      <c r="Z842">
        <f t="shared" si="181"/>
        <v>0</v>
      </c>
      <c r="AA842">
        <f t="shared" si="181"/>
        <v>0</v>
      </c>
      <c r="AB842">
        <f t="shared" si="181"/>
        <v>0</v>
      </c>
      <c r="AC842">
        <f t="shared" si="181"/>
        <v>0</v>
      </c>
      <c r="AD842">
        <f t="shared" si="181"/>
        <v>0</v>
      </c>
      <c r="AE842">
        <f t="shared" si="181"/>
        <v>0</v>
      </c>
      <c r="AF842">
        <f t="shared" si="181"/>
        <v>0</v>
      </c>
      <c r="AG842">
        <f t="shared" si="181"/>
        <v>0</v>
      </c>
      <c r="AH842">
        <f t="shared" si="181"/>
        <v>0</v>
      </c>
      <c r="AI842">
        <f t="shared" si="181"/>
        <v>0</v>
      </c>
      <c r="AJ842">
        <f t="shared" si="181"/>
        <v>0</v>
      </c>
      <c r="AK842">
        <f t="shared" si="181"/>
        <v>0</v>
      </c>
      <c r="AL842">
        <f t="shared" si="181"/>
        <v>0</v>
      </c>
      <c r="AM842">
        <f t="shared" si="181"/>
        <v>0</v>
      </c>
      <c r="AN842">
        <f t="shared" si="178"/>
        <v>0</v>
      </c>
      <c r="AO842">
        <f t="shared" si="178"/>
        <v>0</v>
      </c>
      <c r="AP842">
        <f t="shared" si="178"/>
        <v>0</v>
      </c>
      <c r="AQ842">
        <f t="shared" si="178"/>
        <v>0</v>
      </c>
      <c r="AR842">
        <f t="shared" si="178"/>
        <v>0</v>
      </c>
    </row>
    <row r="843" spans="5:44" x14ac:dyDescent="0.2">
      <c r="E843" s="1">
        <f>moment_rate!$AC843</f>
        <v>0</v>
      </c>
      <c r="F843" s="1">
        <f t="shared" si="179"/>
        <v>0</v>
      </c>
      <c r="G843">
        <f>moment_rate!I843-0.005</f>
        <v>8.3599999999998662</v>
      </c>
      <c r="H843" s="1">
        <f t="shared" si="180"/>
        <v>0</v>
      </c>
      <c r="I843">
        <f t="shared" ref="I843:X858" si="182">IF(AND($G843&gt;=I$3,$G843&lt;I$4),$F843,0)</f>
        <v>0</v>
      </c>
      <c r="J843">
        <f t="shared" si="182"/>
        <v>0</v>
      </c>
      <c r="K843">
        <f t="shared" si="182"/>
        <v>0</v>
      </c>
      <c r="L843">
        <f t="shared" si="182"/>
        <v>0</v>
      </c>
      <c r="M843">
        <f t="shared" si="182"/>
        <v>0</v>
      </c>
      <c r="N843">
        <f t="shared" si="182"/>
        <v>0</v>
      </c>
      <c r="O843">
        <f t="shared" si="182"/>
        <v>0</v>
      </c>
      <c r="P843">
        <f t="shared" si="182"/>
        <v>0</v>
      </c>
      <c r="Q843">
        <f t="shared" si="182"/>
        <v>0</v>
      </c>
      <c r="R843">
        <f t="shared" si="182"/>
        <v>0</v>
      </c>
      <c r="S843">
        <f t="shared" si="182"/>
        <v>0</v>
      </c>
      <c r="T843">
        <f t="shared" si="182"/>
        <v>0</v>
      </c>
      <c r="U843">
        <f t="shared" si="182"/>
        <v>0</v>
      </c>
      <c r="V843">
        <f t="shared" si="182"/>
        <v>0</v>
      </c>
      <c r="W843">
        <f t="shared" si="182"/>
        <v>0</v>
      </c>
      <c r="X843">
        <f t="shared" si="182"/>
        <v>0</v>
      </c>
      <c r="Y843">
        <f t="shared" si="181"/>
        <v>0</v>
      </c>
      <c r="Z843">
        <f t="shared" si="181"/>
        <v>0</v>
      </c>
      <c r="AA843">
        <f t="shared" si="181"/>
        <v>0</v>
      </c>
      <c r="AB843">
        <f t="shared" si="181"/>
        <v>0</v>
      </c>
      <c r="AC843">
        <f t="shared" si="181"/>
        <v>0</v>
      </c>
      <c r="AD843">
        <f t="shared" si="181"/>
        <v>0</v>
      </c>
      <c r="AE843">
        <f t="shared" si="181"/>
        <v>0</v>
      </c>
      <c r="AF843">
        <f t="shared" si="181"/>
        <v>0</v>
      </c>
      <c r="AG843">
        <f t="shared" si="181"/>
        <v>0</v>
      </c>
      <c r="AH843">
        <f t="shared" si="181"/>
        <v>0</v>
      </c>
      <c r="AI843">
        <f t="shared" si="181"/>
        <v>0</v>
      </c>
      <c r="AJ843">
        <f t="shared" si="181"/>
        <v>0</v>
      </c>
      <c r="AK843">
        <f t="shared" si="181"/>
        <v>0</v>
      </c>
      <c r="AL843">
        <f t="shared" si="181"/>
        <v>0</v>
      </c>
      <c r="AM843">
        <f t="shared" si="181"/>
        <v>0</v>
      </c>
      <c r="AN843">
        <f t="shared" si="178"/>
        <v>0</v>
      </c>
      <c r="AO843">
        <f t="shared" si="178"/>
        <v>0</v>
      </c>
      <c r="AP843">
        <f t="shared" si="178"/>
        <v>0</v>
      </c>
      <c r="AQ843">
        <f t="shared" si="178"/>
        <v>0</v>
      </c>
      <c r="AR843">
        <f t="shared" si="178"/>
        <v>0</v>
      </c>
    </row>
    <row r="844" spans="5:44" x14ac:dyDescent="0.2">
      <c r="E844" s="1">
        <f>moment_rate!$AC844</f>
        <v>0</v>
      </c>
      <c r="F844" s="1">
        <f t="shared" si="179"/>
        <v>0</v>
      </c>
      <c r="G844">
        <f>moment_rate!I844-0.005</f>
        <v>8.369999999999866</v>
      </c>
      <c r="H844" s="1">
        <f t="shared" si="180"/>
        <v>0</v>
      </c>
      <c r="I844">
        <f t="shared" si="182"/>
        <v>0</v>
      </c>
      <c r="J844">
        <f t="shared" si="182"/>
        <v>0</v>
      </c>
      <c r="K844">
        <f t="shared" si="182"/>
        <v>0</v>
      </c>
      <c r="L844">
        <f t="shared" si="182"/>
        <v>0</v>
      </c>
      <c r="M844">
        <f t="shared" si="182"/>
        <v>0</v>
      </c>
      <c r="N844">
        <f t="shared" si="182"/>
        <v>0</v>
      </c>
      <c r="O844">
        <f t="shared" si="182"/>
        <v>0</v>
      </c>
      <c r="P844">
        <f t="shared" si="182"/>
        <v>0</v>
      </c>
      <c r="Q844">
        <f t="shared" si="182"/>
        <v>0</v>
      </c>
      <c r="R844">
        <f t="shared" si="182"/>
        <v>0</v>
      </c>
      <c r="S844">
        <f t="shared" si="182"/>
        <v>0</v>
      </c>
      <c r="T844">
        <f t="shared" si="182"/>
        <v>0</v>
      </c>
      <c r="U844">
        <f t="shared" si="182"/>
        <v>0</v>
      </c>
      <c r="V844">
        <f t="shared" si="182"/>
        <v>0</v>
      </c>
      <c r="W844">
        <f t="shared" si="182"/>
        <v>0</v>
      </c>
      <c r="X844">
        <f t="shared" si="182"/>
        <v>0</v>
      </c>
      <c r="Y844">
        <f t="shared" si="181"/>
        <v>0</v>
      </c>
      <c r="Z844">
        <f t="shared" si="181"/>
        <v>0</v>
      </c>
      <c r="AA844">
        <f t="shared" si="181"/>
        <v>0</v>
      </c>
      <c r="AB844">
        <f t="shared" si="181"/>
        <v>0</v>
      </c>
      <c r="AC844">
        <f t="shared" si="181"/>
        <v>0</v>
      </c>
      <c r="AD844">
        <f t="shared" si="181"/>
        <v>0</v>
      </c>
      <c r="AE844">
        <f t="shared" si="181"/>
        <v>0</v>
      </c>
      <c r="AF844">
        <f t="shared" si="181"/>
        <v>0</v>
      </c>
      <c r="AG844">
        <f t="shared" si="181"/>
        <v>0</v>
      </c>
      <c r="AH844">
        <f t="shared" si="181"/>
        <v>0</v>
      </c>
      <c r="AI844">
        <f t="shared" si="181"/>
        <v>0</v>
      </c>
      <c r="AJ844">
        <f t="shared" si="181"/>
        <v>0</v>
      </c>
      <c r="AK844">
        <f t="shared" si="181"/>
        <v>0</v>
      </c>
      <c r="AL844">
        <f t="shared" si="181"/>
        <v>0</v>
      </c>
      <c r="AM844">
        <f t="shared" si="181"/>
        <v>0</v>
      </c>
      <c r="AN844">
        <f t="shared" si="178"/>
        <v>0</v>
      </c>
      <c r="AO844">
        <f t="shared" si="178"/>
        <v>0</v>
      </c>
      <c r="AP844">
        <f t="shared" si="178"/>
        <v>0</v>
      </c>
      <c r="AQ844">
        <f t="shared" si="178"/>
        <v>0</v>
      </c>
      <c r="AR844">
        <f t="shared" si="178"/>
        <v>0</v>
      </c>
    </row>
    <row r="845" spans="5:44" x14ac:dyDescent="0.2">
      <c r="E845" s="1">
        <f>moment_rate!$AC845</f>
        <v>0</v>
      </c>
      <c r="F845" s="1">
        <f t="shared" si="179"/>
        <v>0</v>
      </c>
      <c r="G845">
        <f>moment_rate!I845-0.005</f>
        <v>8.3799999999998658</v>
      </c>
      <c r="H845" s="1">
        <f t="shared" si="180"/>
        <v>0</v>
      </c>
      <c r="I845">
        <f t="shared" si="182"/>
        <v>0</v>
      </c>
      <c r="J845">
        <f t="shared" si="182"/>
        <v>0</v>
      </c>
      <c r="K845">
        <f t="shared" si="182"/>
        <v>0</v>
      </c>
      <c r="L845">
        <f t="shared" si="182"/>
        <v>0</v>
      </c>
      <c r="M845">
        <f t="shared" si="182"/>
        <v>0</v>
      </c>
      <c r="N845">
        <f t="shared" si="182"/>
        <v>0</v>
      </c>
      <c r="O845">
        <f t="shared" si="182"/>
        <v>0</v>
      </c>
      <c r="P845">
        <f t="shared" si="182"/>
        <v>0</v>
      </c>
      <c r="Q845">
        <f t="shared" si="182"/>
        <v>0</v>
      </c>
      <c r="R845">
        <f t="shared" si="182"/>
        <v>0</v>
      </c>
      <c r="S845">
        <f t="shared" si="182"/>
        <v>0</v>
      </c>
      <c r="T845">
        <f t="shared" si="182"/>
        <v>0</v>
      </c>
      <c r="U845">
        <f t="shared" si="182"/>
        <v>0</v>
      </c>
      <c r="V845">
        <f t="shared" si="182"/>
        <v>0</v>
      </c>
      <c r="W845">
        <f t="shared" si="182"/>
        <v>0</v>
      </c>
      <c r="X845">
        <f t="shared" si="182"/>
        <v>0</v>
      </c>
      <c r="Y845">
        <f t="shared" si="181"/>
        <v>0</v>
      </c>
      <c r="Z845">
        <f t="shared" si="181"/>
        <v>0</v>
      </c>
      <c r="AA845">
        <f t="shared" si="181"/>
        <v>0</v>
      </c>
      <c r="AB845">
        <f t="shared" si="181"/>
        <v>0</v>
      </c>
      <c r="AC845">
        <f t="shared" si="181"/>
        <v>0</v>
      </c>
      <c r="AD845">
        <f t="shared" si="181"/>
        <v>0</v>
      </c>
      <c r="AE845">
        <f t="shared" si="181"/>
        <v>0</v>
      </c>
      <c r="AF845">
        <f t="shared" si="181"/>
        <v>0</v>
      </c>
      <c r="AG845">
        <f t="shared" si="181"/>
        <v>0</v>
      </c>
      <c r="AH845">
        <f t="shared" si="181"/>
        <v>0</v>
      </c>
      <c r="AI845">
        <f t="shared" si="181"/>
        <v>0</v>
      </c>
      <c r="AJ845">
        <f t="shared" si="181"/>
        <v>0</v>
      </c>
      <c r="AK845">
        <f t="shared" si="181"/>
        <v>0</v>
      </c>
      <c r="AL845">
        <f t="shared" si="181"/>
        <v>0</v>
      </c>
      <c r="AM845">
        <f t="shared" si="181"/>
        <v>0</v>
      </c>
      <c r="AN845">
        <f t="shared" si="178"/>
        <v>0</v>
      </c>
      <c r="AO845">
        <f t="shared" si="178"/>
        <v>0</v>
      </c>
      <c r="AP845">
        <f t="shared" si="178"/>
        <v>0</v>
      </c>
      <c r="AQ845">
        <f t="shared" si="178"/>
        <v>0</v>
      </c>
      <c r="AR845">
        <f t="shared" si="178"/>
        <v>0</v>
      </c>
    </row>
    <row r="846" spans="5:44" x14ac:dyDescent="0.2">
      <c r="E846" s="1">
        <f>moment_rate!$AC846</f>
        <v>0</v>
      </c>
      <c r="F846" s="1">
        <f t="shared" si="179"/>
        <v>0</v>
      </c>
      <c r="G846">
        <f>moment_rate!I846-0.005</f>
        <v>8.3899999999998656</v>
      </c>
      <c r="H846" s="1">
        <f t="shared" si="180"/>
        <v>0</v>
      </c>
      <c r="I846">
        <f t="shared" si="182"/>
        <v>0</v>
      </c>
      <c r="J846">
        <f t="shared" si="182"/>
        <v>0</v>
      </c>
      <c r="K846">
        <f t="shared" si="182"/>
        <v>0</v>
      </c>
      <c r="L846">
        <f t="shared" si="182"/>
        <v>0</v>
      </c>
      <c r="M846">
        <f t="shared" si="182"/>
        <v>0</v>
      </c>
      <c r="N846">
        <f t="shared" si="182"/>
        <v>0</v>
      </c>
      <c r="O846">
        <f t="shared" si="182"/>
        <v>0</v>
      </c>
      <c r="P846">
        <f t="shared" si="182"/>
        <v>0</v>
      </c>
      <c r="Q846">
        <f t="shared" si="182"/>
        <v>0</v>
      </c>
      <c r="R846">
        <f t="shared" si="182"/>
        <v>0</v>
      </c>
      <c r="S846">
        <f t="shared" si="182"/>
        <v>0</v>
      </c>
      <c r="T846">
        <f t="shared" si="182"/>
        <v>0</v>
      </c>
      <c r="U846">
        <f t="shared" si="182"/>
        <v>0</v>
      </c>
      <c r="V846">
        <f t="shared" si="182"/>
        <v>0</v>
      </c>
      <c r="W846">
        <f t="shared" si="182"/>
        <v>0</v>
      </c>
      <c r="X846">
        <f t="shared" si="182"/>
        <v>0</v>
      </c>
      <c r="Y846">
        <f t="shared" si="181"/>
        <v>0</v>
      </c>
      <c r="Z846">
        <f t="shared" si="181"/>
        <v>0</v>
      </c>
      <c r="AA846">
        <f t="shared" si="181"/>
        <v>0</v>
      </c>
      <c r="AB846">
        <f t="shared" si="181"/>
        <v>0</v>
      </c>
      <c r="AC846">
        <f t="shared" si="181"/>
        <v>0</v>
      </c>
      <c r="AD846">
        <f t="shared" si="181"/>
        <v>0</v>
      </c>
      <c r="AE846">
        <f t="shared" si="181"/>
        <v>0</v>
      </c>
      <c r="AF846">
        <f t="shared" si="181"/>
        <v>0</v>
      </c>
      <c r="AG846">
        <f t="shared" si="181"/>
        <v>0</v>
      </c>
      <c r="AH846">
        <f t="shared" si="181"/>
        <v>0</v>
      </c>
      <c r="AI846">
        <f t="shared" si="181"/>
        <v>0</v>
      </c>
      <c r="AJ846">
        <f t="shared" si="181"/>
        <v>0</v>
      </c>
      <c r="AK846">
        <f t="shared" si="181"/>
        <v>0</v>
      </c>
      <c r="AL846">
        <f t="shared" si="181"/>
        <v>0</v>
      </c>
      <c r="AM846">
        <f t="shared" si="181"/>
        <v>0</v>
      </c>
      <c r="AN846">
        <f t="shared" si="178"/>
        <v>0</v>
      </c>
      <c r="AO846">
        <f t="shared" si="178"/>
        <v>0</v>
      </c>
      <c r="AP846">
        <f t="shared" si="178"/>
        <v>0</v>
      </c>
      <c r="AQ846">
        <f t="shared" si="178"/>
        <v>0</v>
      </c>
      <c r="AR846">
        <f t="shared" si="178"/>
        <v>0</v>
      </c>
    </row>
    <row r="847" spans="5:44" x14ac:dyDescent="0.2">
      <c r="E847" s="1">
        <f>moment_rate!$AC847</f>
        <v>0</v>
      </c>
      <c r="F847" s="1">
        <f t="shared" si="179"/>
        <v>0</v>
      </c>
      <c r="G847">
        <f>moment_rate!I847-0.005</f>
        <v>8.3999999999998654</v>
      </c>
      <c r="H847" s="1">
        <f t="shared" si="180"/>
        <v>0</v>
      </c>
      <c r="I847">
        <f t="shared" si="182"/>
        <v>0</v>
      </c>
      <c r="J847">
        <f t="shared" si="182"/>
        <v>0</v>
      </c>
      <c r="K847">
        <f t="shared" si="182"/>
        <v>0</v>
      </c>
      <c r="L847">
        <f t="shared" si="182"/>
        <v>0</v>
      </c>
      <c r="M847">
        <f t="shared" si="182"/>
        <v>0</v>
      </c>
      <c r="N847">
        <f t="shared" si="182"/>
        <v>0</v>
      </c>
      <c r="O847">
        <f t="shared" si="182"/>
        <v>0</v>
      </c>
      <c r="P847">
        <f t="shared" si="182"/>
        <v>0</v>
      </c>
      <c r="Q847">
        <f t="shared" si="182"/>
        <v>0</v>
      </c>
      <c r="R847">
        <f t="shared" si="182"/>
        <v>0</v>
      </c>
      <c r="S847">
        <f t="shared" si="182"/>
        <v>0</v>
      </c>
      <c r="T847">
        <f t="shared" si="182"/>
        <v>0</v>
      </c>
      <c r="U847">
        <f t="shared" si="182"/>
        <v>0</v>
      </c>
      <c r="V847">
        <f t="shared" si="182"/>
        <v>0</v>
      </c>
      <c r="W847">
        <f t="shared" si="182"/>
        <v>0</v>
      </c>
      <c r="X847">
        <f t="shared" si="182"/>
        <v>0</v>
      </c>
      <c r="Y847">
        <f t="shared" si="181"/>
        <v>0</v>
      </c>
      <c r="Z847">
        <f t="shared" si="181"/>
        <v>0</v>
      </c>
      <c r="AA847">
        <f t="shared" si="181"/>
        <v>0</v>
      </c>
      <c r="AB847">
        <f t="shared" si="181"/>
        <v>0</v>
      </c>
      <c r="AC847">
        <f t="shared" si="181"/>
        <v>0</v>
      </c>
      <c r="AD847">
        <f t="shared" si="181"/>
        <v>0</v>
      </c>
      <c r="AE847">
        <f t="shared" si="181"/>
        <v>0</v>
      </c>
      <c r="AF847">
        <f t="shared" si="181"/>
        <v>0</v>
      </c>
      <c r="AG847">
        <f t="shared" si="181"/>
        <v>0</v>
      </c>
      <c r="AH847">
        <f t="shared" si="181"/>
        <v>0</v>
      </c>
      <c r="AI847">
        <f t="shared" si="181"/>
        <v>0</v>
      </c>
      <c r="AJ847">
        <f t="shared" si="181"/>
        <v>0</v>
      </c>
      <c r="AK847">
        <f t="shared" si="181"/>
        <v>0</v>
      </c>
      <c r="AL847">
        <f t="shared" si="181"/>
        <v>0</v>
      </c>
      <c r="AM847">
        <f t="shared" si="181"/>
        <v>0</v>
      </c>
      <c r="AN847">
        <f t="shared" si="178"/>
        <v>0</v>
      </c>
      <c r="AO847">
        <f t="shared" si="178"/>
        <v>0</v>
      </c>
      <c r="AP847">
        <f t="shared" si="178"/>
        <v>0</v>
      </c>
      <c r="AQ847">
        <f t="shared" si="178"/>
        <v>0</v>
      </c>
      <c r="AR847">
        <f t="shared" si="178"/>
        <v>0</v>
      </c>
    </row>
    <row r="848" spans="5:44" x14ac:dyDescent="0.2">
      <c r="E848" s="1">
        <f>moment_rate!$AC848</f>
        <v>0</v>
      </c>
      <c r="F848" s="1">
        <f t="shared" si="179"/>
        <v>0</v>
      </c>
      <c r="G848">
        <f>moment_rate!I848-0.005</f>
        <v>8.4099999999998651</v>
      </c>
      <c r="H848" s="1">
        <f t="shared" si="180"/>
        <v>0</v>
      </c>
      <c r="I848">
        <f t="shared" si="182"/>
        <v>0</v>
      </c>
      <c r="J848">
        <f t="shared" si="182"/>
        <v>0</v>
      </c>
      <c r="K848">
        <f t="shared" si="182"/>
        <v>0</v>
      </c>
      <c r="L848">
        <f t="shared" si="182"/>
        <v>0</v>
      </c>
      <c r="M848">
        <f t="shared" si="182"/>
        <v>0</v>
      </c>
      <c r="N848">
        <f t="shared" si="182"/>
        <v>0</v>
      </c>
      <c r="O848">
        <f t="shared" si="182"/>
        <v>0</v>
      </c>
      <c r="P848">
        <f t="shared" si="182"/>
        <v>0</v>
      </c>
      <c r="Q848">
        <f t="shared" si="182"/>
        <v>0</v>
      </c>
      <c r="R848">
        <f t="shared" si="182"/>
        <v>0</v>
      </c>
      <c r="S848">
        <f t="shared" si="182"/>
        <v>0</v>
      </c>
      <c r="T848">
        <f t="shared" si="182"/>
        <v>0</v>
      </c>
      <c r="U848">
        <f t="shared" si="182"/>
        <v>0</v>
      </c>
      <c r="V848">
        <f t="shared" si="182"/>
        <v>0</v>
      </c>
      <c r="W848">
        <f t="shared" si="182"/>
        <v>0</v>
      </c>
      <c r="X848">
        <f t="shared" si="182"/>
        <v>0</v>
      </c>
      <c r="Y848">
        <f t="shared" si="181"/>
        <v>0</v>
      </c>
      <c r="Z848">
        <f t="shared" si="181"/>
        <v>0</v>
      </c>
      <c r="AA848">
        <f t="shared" si="181"/>
        <v>0</v>
      </c>
      <c r="AB848">
        <f t="shared" si="181"/>
        <v>0</v>
      </c>
      <c r="AC848">
        <f t="shared" si="181"/>
        <v>0</v>
      </c>
      <c r="AD848">
        <f t="shared" si="181"/>
        <v>0</v>
      </c>
      <c r="AE848">
        <f t="shared" si="181"/>
        <v>0</v>
      </c>
      <c r="AF848">
        <f t="shared" si="181"/>
        <v>0</v>
      </c>
      <c r="AG848">
        <f t="shared" si="181"/>
        <v>0</v>
      </c>
      <c r="AH848">
        <f t="shared" si="181"/>
        <v>0</v>
      </c>
      <c r="AI848">
        <f t="shared" si="181"/>
        <v>0</v>
      </c>
      <c r="AJ848">
        <f t="shared" si="181"/>
        <v>0</v>
      </c>
      <c r="AK848">
        <f t="shared" si="181"/>
        <v>0</v>
      </c>
      <c r="AL848">
        <f t="shared" si="181"/>
        <v>0</v>
      </c>
      <c r="AM848">
        <f t="shared" si="181"/>
        <v>0</v>
      </c>
      <c r="AN848">
        <f t="shared" si="178"/>
        <v>0</v>
      </c>
      <c r="AO848">
        <f t="shared" si="178"/>
        <v>0</v>
      </c>
      <c r="AP848">
        <f t="shared" si="178"/>
        <v>0</v>
      </c>
      <c r="AQ848">
        <f t="shared" si="178"/>
        <v>0</v>
      </c>
      <c r="AR848">
        <f t="shared" si="178"/>
        <v>0</v>
      </c>
    </row>
    <row r="849" spans="5:44" x14ac:dyDescent="0.2">
      <c r="E849" s="1">
        <f>moment_rate!$AC849</f>
        <v>0</v>
      </c>
      <c r="F849" s="1">
        <f t="shared" si="179"/>
        <v>0</v>
      </c>
      <c r="G849">
        <f>moment_rate!I849-0.005</f>
        <v>8.4199999999998649</v>
      </c>
      <c r="H849" s="1">
        <f t="shared" si="180"/>
        <v>0</v>
      </c>
      <c r="I849">
        <f t="shared" si="182"/>
        <v>0</v>
      </c>
      <c r="J849">
        <f t="shared" si="182"/>
        <v>0</v>
      </c>
      <c r="K849">
        <f t="shared" si="182"/>
        <v>0</v>
      </c>
      <c r="L849">
        <f t="shared" si="182"/>
        <v>0</v>
      </c>
      <c r="M849">
        <f t="shared" si="182"/>
        <v>0</v>
      </c>
      <c r="N849">
        <f t="shared" si="182"/>
        <v>0</v>
      </c>
      <c r="O849">
        <f t="shared" si="182"/>
        <v>0</v>
      </c>
      <c r="P849">
        <f t="shared" si="182"/>
        <v>0</v>
      </c>
      <c r="Q849">
        <f t="shared" si="182"/>
        <v>0</v>
      </c>
      <c r="R849">
        <f t="shared" si="182"/>
        <v>0</v>
      </c>
      <c r="S849">
        <f t="shared" si="182"/>
        <v>0</v>
      </c>
      <c r="T849">
        <f t="shared" si="182"/>
        <v>0</v>
      </c>
      <c r="U849">
        <f t="shared" si="182"/>
        <v>0</v>
      </c>
      <c r="V849">
        <f t="shared" si="182"/>
        <v>0</v>
      </c>
      <c r="W849">
        <f t="shared" si="182"/>
        <v>0</v>
      </c>
      <c r="X849">
        <f t="shared" si="182"/>
        <v>0</v>
      </c>
      <c r="Y849">
        <f t="shared" si="181"/>
        <v>0</v>
      </c>
      <c r="Z849">
        <f t="shared" si="181"/>
        <v>0</v>
      </c>
      <c r="AA849">
        <f t="shared" si="181"/>
        <v>0</v>
      </c>
      <c r="AB849">
        <f t="shared" si="181"/>
        <v>0</v>
      </c>
      <c r="AC849">
        <f t="shared" si="181"/>
        <v>0</v>
      </c>
      <c r="AD849">
        <f t="shared" si="181"/>
        <v>0</v>
      </c>
      <c r="AE849">
        <f t="shared" si="181"/>
        <v>0</v>
      </c>
      <c r="AF849">
        <f t="shared" si="181"/>
        <v>0</v>
      </c>
      <c r="AG849">
        <f t="shared" si="181"/>
        <v>0</v>
      </c>
      <c r="AH849">
        <f t="shared" si="181"/>
        <v>0</v>
      </c>
      <c r="AI849">
        <f t="shared" si="181"/>
        <v>0</v>
      </c>
      <c r="AJ849">
        <f t="shared" si="181"/>
        <v>0</v>
      </c>
      <c r="AK849">
        <f t="shared" si="181"/>
        <v>0</v>
      </c>
      <c r="AL849">
        <f t="shared" si="181"/>
        <v>0</v>
      </c>
      <c r="AM849">
        <f t="shared" si="181"/>
        <v>0</v>
      </c>
      <c r="AN849">
        <f t="shared" si="178"/>
        <v>0</v>
      </c>
      <c r="AO849">
        <f t="shared" si="178"/>
        <v>0</v>
      </c>
      <c r="AP849">
        <f t="shared" si="178"/>
        <v>0</v>
      </c>
      <c r="AQ849">
        <f t="shared" si="178"/>
        <v>0</v>
      </c>
      <c r="AR849">
        <f t="shared" si="178"/>
        <v>0</v>
      </c>
    </row>
    <row r="850" spans="5:44" x14ac:dyDescent="0.2">
      <c r="E850" s="1">
        <f>moment_rate!$AC850</f>
        <v>0</v>
      </c>
      <c r="F850" s="1">
        <f t="shared" si="179"/>
        <v>0</v>
      </c>
      <c r="G850">
        <f>moment_rate!I850-0.005</f>
        <v>8.4299999999998647</v>
      </c>
      <c r="H850" s="1">
        <f t="shared" si="180"/>
        <v>0</v>
      </c>
      <c r="I850">
        <f t="shared" si="182"/>
        <v>0</v>
      </c>
      <c r="J850">
        <f t="shared" si="182"/>
        <v>0</v>
      </c>
      <c r="K850">
        <f t="shared" si="182"/>
        <v>0</v>
      </c>
      <c r="L850">
        <f t="shared" si="182"/>
        <v>0</v>
      </c>
      <c r="M850">
        <f t="shared" si="182"/>
        <v>0</v>
      </c>
      <c r="N850">
        <f t="shared" si="182"/>
        <v>0</v>
      </c>
      <c r="O850">
        <f t="shared" si="182"/>
        <v>0</v>
      </c>
      <c r="P850">
        <f t="shared" si="182"/>
        <v>0</v>
      </c>
      <c r="Q850">
        <f t="shared" si="182"/>
        <v>0</v>
      </c>
      <c r="R850">
        <f t="shared" si="182"/>
        <v>0</v>
      </c>
      <c r="S850">
        <f t="shared" si="182"/>
        <v>0</v>
      </c>
      <c r="T850">
        <f t="shared" si="182"/>
        <v>0</v>
      </c>
      <c r="U850">
        <f t="shared" si="182"/>
        <v>0</v>
      </c>
      <c r="V850">
        <f t="shared" si="182"/>
        <v>0</v>
      </c>
      <c r="W850">
        <f t="shared" si="182"/>
        <v>0</v>
      </c>
      <c r="X850">
        <f t="shared" si="182"/>
        <v>0</v>
      </c>
      <c r="Y850">
        <f t="shared" si="181"/>
        <v>0</v>
      </c>
      <c r="Z850">
        <f t="shared" si="181"/>
        <v>0</v>
      </c>
      <c r="AA850">
        <f t="shared" si="181"/>
        <v>0</v>
      </c>
      <c r="AB850">
        <f t="shared" si="181"/>
        <v>0</v>
      </c>
      <c r="AC850">
        <f t="shared" si="181"/>
        <v>0</v>
      </c>
      <c r="AD850">
        <f t="shared" si="181"/>
        <v>0</v>
      </c>
      <c r="AE850">
        <f t="shared" si="181"/>
        <v>0</v>
      </c>
      <c r="AF850">
        <f t="shared" si="181"/>
        <v>0</v>
      </c>
      <c r="AG850">
        <f t="shared" si="181"/>
        <v>0</v>
      </c>
      <c r="AH850">
        <f t="shared" si="181"/>
        <v>0</v>
      </c>
      <c r="AI850">
        <f t="shared" si="181"/>
        <v>0</v>
      </c>
      <c r="AJ850">
        <f t="shared" si="181"/>
        <v>0</v>
      </c>
      <c r="AK850">
        <f t="shared" si="181"/>
        <v>0</v>
      </c>
      <c r="AL850">
        <f t="shared" si="181"/>
        <v>0</v>
      </c>
      <c r="AM850">
        <f t="shared" si="181"/>
        <v>0</v>
      </c>
      <c r="AN850">
        <f t="shared" ref="AN850:AR863" si="183">IF(AND($G850&gt;=AN$3,$G850&lt;AN$4),$F850,0)</f>
        <v>0</v>
      </c>
      <c r="AO850">
        <f t="shared" si="183"/>
        <v>0</v>
      </c>
      <c r="AP850">
        <f t="shared" si="183"/>
        <v>0</v>
      </c>
      <c r="AQ850">
        <f t="shared" si="183"/>
        <v>0</v>
      </c>
      <c r="AR850">
        <f t="shared" si="183"/>
        <v>0</v>
      </c>
    </row>
    <row r="851" spans="5:44" x14ac:dyDescent="0.2">
      <c r="E851" s="1">
        <f>moment_rate!$AC851</f>
        <v>0</v>
      </c>
      <c r="F851" s="1">
        <f t="shared" si="179"/>
        <v>0</v>
      </c>
      <c r="G851">
        <f>moment_rate!I851-0.005</f>
        <v>8.4399999999998645</v>
      </c>
      <c r="H851" s="1">
        <f t="shared" si="180"/>
        <v>0</v>
      </c>
      <c r="I851">
        <f t="shared" si="182"/>
        <v>0</v>
      </c>
      <c r="J851">
        <f t="shared" si="182"/>
        <v>0</v>
      </c>
      <c r="K851">
        <f t="shared" si="182"/>
        <v>0</v>
      </c>
      <c r="L851">
        <f t="shared" si="182"/>
        <v>0</v>
      </c>
      <c r="M851">
        <f t="shared" si="182"/>
        <v>0</v>
      </c>
      <c r="N851">
        <f t="shared" si="182"/>
        <v>0</v>
      </c>
      <c r="O851">
        <f t="shared" si="182"/>
        <v>0</v>
      </c>
      <c r="P851">
        <f t="shared" si="182"/>
        <v>0</v>
      </c>
      <c r="Q851">
        <f t="shared" si="182"/>
        <v>0</v>
      </c>
      <c r="R851">
        <f t="shared" si="182"/>
        <v>0</v>
      </c>
      <c r="S851">
        <f t="shared" si="182"/>
        <v>0</v>
      </c>
      <c r="T851">
        <f t="shared" si="182"/>
        <v>0</v>
      </c>
      <c r="U851">
        <f t="shared" si="182"/>
        <v>0</v>
      </c>
      <c r="V851">
        <f t="shared" si="182"/>
        <v>0</v>
      </c>
      <c r="W851">
        <f t="shared" si="182"/>
        <v>0</v>
      </c>
      <c r="X851">
        <f t="shared" si="182"/>
        <v>0</v>
      </c>
      <c r="Y851">
        <f t="shared" si="181"/>
        <v>0</v>
      </c>
      <c r="Z851">
        <f t="shared" si="181"/>
        <v>0</v>
      </c>
      <c r="AA851">
        <f t="shared" si="181"/>
        <v>0</v>
      </c>
      <c r="AB851">
        <f t="shared" si="181"/>
        <v>0</v>
      </c>
      <c r="AC851">
        <f t="shared" si="181"/>
        <v>0</v>
      </c>
      <c r="AD851">
        <f t="shared" si="181"/>
        <v>0</v>
      </c>
      <c r="AE851">
        <f t="shared" si="181"/>
        <v>0</v>
      </c>
      <c r="AF851">
        <f t="shared" si="181"/>
        <v>0</v>
      </c>
      <c r="AG851">
        <f t="shared" si="181"/>
        <v>0</v>
      </c>
      <c r="AH851">
        <f t="shared" si="181"/>
        <v>0</v>
      </c>
      <c r="AI851">
        <f t="shared" si="181"/>
        <v>0</v>
      </c>
      <c r="AJ851">
        <f t="shared" si="181"/>
        <v>0</v>
      </c>
      <c r="AK851">
        <f t="shared" si="181"/>
        <v>0</v>
      </c>
      <c r="AL851">
        <f t="shared" si="181"/>
        <v>0</v>
      </c>
      <c r="AM851">
        <f t="shared" si="181"/>
        <v>0</v>
      </c>
      <c r="AN851">
        <f t="shared" si="183"/>
        <v>0</v>
      </c>
      <c r="AO851">
        <f t="shared" si="183"/>
        <v>0</v>
      </c>
      <c r="AP851">
        <f t="shared" si="183"/>
        <v>0</v>
      </c>
      <c r="AQ851">
        <f t="shared" si="183"/>
        <v>0</v>
      </c>
      <c r="AR851">
        <f t="shared" si="183"/>
        <v>0</v>
      </c>
    </row>
    <row r="852" spans="5:44" x14ac:dyDescent="0.2">
      <c r="E852" s="1">
        <f>moment_rate!$AC852</f>
        <v>0</v>
      </c>
      <c r="F852" s="1">
        <f t="shared" si="179"/>
        <v>0</v>
      </c>
      <c r="G852">
        <f>moment_rate!I852-0.005</f>
        <v>8.4499999999998643</v>
      </c>
      <c r="H852" s="1">
        <f t="shared" si="180"/>
        <v>0</v>
      </c>
      <c r="I852">
        <f t="shared" si="182"/>
        <v>0</v>
      </c>
      <c r="J852">
        <f t="shared" si="182"/>
        <v>0</v>
      </c>
      <c r="K852">
        <f t="shared" si="182"/>
        <v>0</v>
      </c>
      <c r="L852">
        <f t="shared" si="182"/>
        <v>0</v>
      </c>
      <c r="M852">
        <f t="shared" si="182"/>
        <v>0</v>
      </c>
      <c r="N852">
        <f t="shared" si="182"/>
        <v>0</v>
      </c>
      <c r="O852">
        <f t="shared" si="182"/>
        <v>0</v>
      </c>
      <c r="P852">
        <f t="shared" si="182"/>
        <v>0</v>
      </c>
      <c r="Q852">
        <f t="shared" si="182"/>
        <v>0</v>
      </c>
      <c r="R852">
        <f t="shared" si="182"/>
        <v>0</v>
      </c>
      <c r="S852">
        <f t="shared" si="182"/>
        <v>0</v>
      </c>
      <c r="T852">
        <f t="shared" si="182"/>
        <v>0</v>
      </c>
      <c r="U852">
        <f t="shared" si="182"/>
        <v>0</v>
      </c>
      <c r="V852">
        <f t="shared" si="182"/>
        <v>0</v>
      </c>
      <c r="W852">
        <f t="shared" si="182"/>
        <v>0</v>
      </c>
      <c r="X852">
        <f t="shared" si="182"/>
        <v>0</v>
      </c>
      <c r="Y852">
        <f t="shared" si="181"/>
        <v>0</v>
      </c>
      <c r="Z852">
        <f t="shared" si="181"/>
        <v>0</v>
      </c>
      <c r="AA852">
        <f t="shared" si="181"/>
        <v>0</v>
      </c>
      <c r="AB852">
        <f t="shared" si="181"/>
        <v>0</v>
      </c>
      <c r="AC852">
        <f t="shared" si="181"/>
        <v>0</v>
      </c>
      <c r="AD852">
        <f t="shared" si="181"/>
        <v>0</v>
      </c>
      <c r="AE852">
        <f t="shared" si="181"/>
        <v>0</v>
      </c>
      <c r="AF852">
        <f t="shared" si="181"/>
        <v>0</v>
      </c>
      <c r="AG852">
        <f t="shared" si="181"/>
        <v>0</v>
      </c>
      <c r="AH852">
        <f t="shared" si="181"/>
        <v>0</v>
      </c>
      <c r="AI852">
        <f t="shared" si="181"/>
        <v>0</v>
      </c>
      <c r="AJ852">
        <f t="shared" si="181"/>
        <v>0</v>
      </c>
      <c r="AK852">
        <f t="shared" si="181"/>
        <v>0</v>
      </c>
      <c r="AL852">
        <f t="shared" si="181"/>
        <v>0</v>
      </c>
      <c r="AM852">
        <f t="shared" si="181"/>
        <v>0</v>
      </c>
      <c r="AN852">
        <f t="shared" si="183"/>
        <v>0</v>
      </c>
      <c r="AO852">
        <f t="shared" si="183"/>
        <v>0</v>
      </c>
      <c r="AP852">
        <f t="shared" si="183"/>
        <v>0</v>
      </c>
      <c r="AQ852">
        <f t="shared" si="183"/>
        <v>0</v>
      </c>
      <c r="AR852">
        <f t="shared" si="183"/>
        <v>0</v>
      </c>
    </row>
    <row r="853" spans="5:44" x14ac:dyDescent="0.2">
      <c r="E853" s="1">
        <f>moment_rate!$AC853</f>
        <v>0</v>
      </c>
      <c r="F853" s="1">
        <f t="shared" si="179"/>
        <v>0</v>
      </c>
      <c r="G853">
        <f>moment_rate!I853-0.005</f>
        <v>8.4599999999998641</v>
      </c>
      <c r="H853" s="1">
        <f t="shared" si="180"/>
        <v>0</v>
      </c>
      <c r="I853">
        <f t="shared" si="182"/>
        <v>0</v>
      </c>
      <c r="J853">
        <f t="shared" si="182"/>
        <v>0</v>
      </c>
      <c r="K853">
        <f t="shared" si="182"/>
        <v>0</v>
      </c>
      <c r="L853">
        <f t="shared" si="182"/>
        <v>0</v>
      </c>
      <c r="M853">
        <f t="shared" si="182"/>
        <v>0</v>
      </c>
      <c r="N853">
        <f t="shared" si="182"/>
        <v>0</v>
      </c>
      <c r="O853">
        <f t="shared" si="182"/>
        <v>0</v>
      </c>
      <c r="P853">
        <f t="shared" si="182"/>
        <v>0</v>
      </c>
      <c r="Q853">
        <f t="shared" si="182"/>
        <v>0</v>
      </c>
      <c r="R853">
        <f t="shared" si="182"/>
        <v>0</v>
      </c>
      <c r="S853">
        <f t="shared" si="182"/>
        <v>0</v>
      </c>
      <c r="T853">
        <f t="shared" si="182"/>
        <v>0</v>
      </c>
      <c r="U853">
        <f t="shared" si="182"/>
        <v>0</v>
      </c>
      <c r="V853">
        <f t="shared" si="182"/>
        <v>0</v>
      </c>
      <c r="W853">
        <f t="shared" si="182"/>
        <v>0</v>
      </c>
      <c r="X853">
        <f t="shared" si="182"/>
        <v>0</v>
      </c>
      <c r="Y853">
        <f t="shared" si="181"/>
        <v>0</v>
      </c>
      <c r="Z853">
        <f t="shared" si="181"/>
        <v>0</v>
      </c>
      <c r="AA853">
        <f t="shared" si="181"/>
        <v>0</v>
      </c>
      <c r="AB853">
        <f t="shared" si="181"/>
        <v>0</v>
      </c>
      <c r="AC853">
        <f t="shared" si="181"/>
        <v>0</v>
      </c>
      <c r="AD853">
        <f t="shared" si="181"/>
        <v>0</v>
      </c>
      <c r="AE853">
        <f t="shared" si="181"/>
        <v>0</v>
      </c>
      <c r="AF853">
        <f t="shared" si="181"/>
        <v>0</v>
      </c>
      <c r="AG853">
        <f t="shared" si="181"/>
        <v>0</v>
      </c>
      <c r="AH853">
        <f t="shared" si="181"/>
        <v>0</v>
      </c>
      <c r="AI853">
        <f t="shared" si="181"/>
        <v>0</v>
      </c>
      <c r="AJ853">
        <f t="shared" si="181"/>
        <v>0</v>
      </c>
      <c r="AK853">
        <f t="shared" si="181"/>
        <v>0</v>
      </c>
      <c r="AL853">
        <f t="shared" si="181"/>
        <v>0</v>
      </c>
      <c r="AM853">
        <f t="shared" si="181"/>
        <v>0</v>
      </c>
      <c r="AN853">
        <f t="shared" si="183"/>
        <v>0</v>
      </c>
      <c r="AO853">
        <f t="shared" si="183"/>
        <v>0</v>
      </c>
      <c r="AP853">
        <f t="shared" si="183"/>
        <v>0</v>
      </c>
      <c r="AQ853">
        <f t="shared" si="183"/>
        <v>0</v>
      </c>
      <c r="AR853">
        <f t="shared" si="183"/>
        <v>0</v>
      </c>
    </row>
    <row r="854" spans="5:44" x14ac:dyDescent="0.2">
      <c r="E854" s="1">
        <f>moment_rate!$AC854</f>
        <v>0</v>
      </c>
      <c r="F854" s="1">
        <f t="shared" si="179"/>
        <v>0</v>
      </c>
      <c r="G854">
        <f>moment_rate!I854-0.005</f>
        <v>8.4699999999998639</v>
      </c>
      <c r="H854" s="1">
        <f t="shared" si="180"/>
        <v>0</v>
      </c>
      <c r="I854">
        <f t="shared" si="182"/>
        <v>0</v>
      </c>
      <c r="J854">
        <f t="shared" si="182"/>
        <v>0</v>
      </c>
      <c r="K854">
        <f t="shared" si="182"/>
        <v>0</v>
      </c>
      <c r="L854">
        <f t="shared" si="182"/>
        <v>0</v>
      </c>
      <c r="M854">
        <f t="shared" si="182"/>
        <v>0</v>
      </c>
      <c r="N854">
        <f t="shared" si="182"/>
        <v>0</v>
      </c>
      <c r="O854">
        <f t="shared" si="182"/>
        <v>0</v>
      </c>
      <c r="P854">
        <f t="shared" si="182"/>
        <v>0</v>
      </c>
      <c r="Q854">
        <f t="shared" si="182"/>
        <v>0</v>
      </c>
      <c r="R854">
        <f t="shared" si="182"/>
        <v>0</v>
      </c>
      <c r="S854">
        <f t="shared" si="182"/>
        <v>0</v>
      </c>
      <c r="T854">
        <f t="shared" si="182"/>
        <v>0</v>
      </c>
      <c r="U854">
        <f t="shared" si="182"/>
        <v>0</v>
      </c>
      <c r="V854">
        <f t="shared" si="182"/>
        <v>0</v>
      </c>
      <c r="W854">
        <f t="shared" si="182"/>
        <v>0</v>
      </c>
      <c r="X854">
        <f t="shared" si="182"/>
        <v>0</v>
      </c>
      <c r="Y854">
        <f t="shared" si="181"/>
        <v>0</v>
      </c>
      <c r="Z854">
        <f t="shared" si="181"/>
        <v>0</v>
      </c>
      <c r="AA854">
        <f t="shared" si="181"/>
        <v>0</v>
      </c>
      <c r="AB854">
        <f t="shared" si="181"/>
        <v>0</v>
      </c>
      <c r="AC854">
        <f t="shared" si="181"/>
        <v>0</v>
      </c>
      <c r="AD854">
        <f t="shared" si="181"/>
        <v>0</v>
      </c>
      <c r="AE854">
        <f t="shared" si="181"/>
        <v>0</v>
      </c>
      <c r="AF854">
        <f t="shared" si="181"/>
        <v>0</v>
      </c>
      <c r="AG854">
        <f t="shared" si="181"/>
        <v>0</v>
      </c>
      <c r="AH854">
        <f t="shared" si="181"/>
        <v>0</v>
      </c>
      <c r="AI854">
        <f t="shared" si="181"/>
        <v>0</v>
      </c>
      <c r="AJ854">
        <f t="shared" si="181"/>
        <v>0</v>
      </c>
      <c r="AK854">
        <f t="shared" si="181"/>
        <v>0</v>
      </c>
      <c r="AL854">
        <f t="shared" si="181"/>
        <v>0</v>
      </c>
      <c r="AM854">
        <f t="shared" si="181"/>
        <v>0</v>
      </c>
      <c r="AN854">
        <f t="shared" si="183"/>
        <v>0</v>
      </c>
      <c r="AO854">
        <f t="shared" si="183"/>
        <v>0</v>
      </c>
      <c r="AP854">
        <f t="shared" si="183"/>
        <v>0</v>
      </c>
      <c r="AQ854">
        <f t="shared" si="183"/>
        <v>0</v>
      </c>
      <c r="AR854">
        <f t="shared" si="183"/>
        <v>0</v>
      </c>
    </row>
    <row r="855" spans="5:44" x14ac:dyDescent="0.2">
      <c r="E855" s="1">
        <f>moment_rate!$AC855</f>
        <v>0</v>
      </c>
      <c r="F855" s="1">
        <f t="shared" si="179"/>
        <v>0</v>
      </c>
      <c r="G855">
        <f>moment_rate!I855-0.005</f>
        <v>8.4799999999998636</v>
      </c>
      <c r="H855" s="1">
        <f t="shared" si="180"/>
        <v>0</v>
      </c>
      <c r="I855">
        <f t="shared" si="182"/>
        <v>0</v>
      </c>
      <c r="J855">
        <f t="shared" si="182"/>
        <v>0</v>
      </c>
      <c r="K855">
        <f t="shared" si="182"/>
        <v>0</v>
      </c>
      <c r="L855">
        <f t="shared" si="182"/>
        <v>0</v>
      </c>
      <c r="M855">
        <f t="shared" si="182"/>
        <v>0</v>
      </c>
      <c r="N855">
        <f t="shared" si="182"/>
        <v>0</v>
      </c>
      <c r="O855">
        <f t="shared" si="182"/>
        <v>0</v>
      </c>
      <c r="P855">
        <f t="shared" si="182"/>
        <v>0</v>
      </c>
      <c r="Q855">
        <f t="shared" si="182"/>
        <v>0</v>
      </c>
      <c r="R855">
        <f t="shared" si="182"/>
        <v>0</v>
      </c>
      <c r="S855">
        <f t="shared" si="182"/>
        <v>0</v>
      </c>
      <c r="T855">
        <f t="shared" si="182"/>
        <v>0</v>
      </c>
      <c r="U855">
        <f t="shared" si="182"/>
        <v>0</v>
      </c>
      <c r="V855">
        <f t="shared" si="182"/>
        <v>0</v>
      </c>
      <c r="W855">
        <f t="shared" si="182"/>
        <v>0</v>
      </c>
      <c r="X855">
        <f t="shared" si="182"/>
        <v>0</v>
      </c>
      <c r="Y855">
        <f t="shared" si="181"/>
        <v>0</v>
      </c>
      <c r="Z855">
        <f t="shared" si="181"/>
        <v>0</v>
      </c>
      <c r="AA855">
        <f t="shared" si="181"/>
        <v>0</v>
      </c>
      <c r="AB855">
        <f t="shared" si="181"/>
        <v>0</v>
      </c>
      <c r="AC855">
        <f t="shared" si="181"/>
        <v>0</v>
      </c>
      <c r="AD855">
        <f t="shared" si="181"/>
        <v>0</v>
      </c>
      <c r="AE855">
        <f t="shared" si="181"/>
        <v>0</v>
      </c>
      <c r="AF855">
        <f t="shared" si="181"/>
        <v>0</v>
      </c>
      <c r="AG855">
        <f t="shared" si="181"/>
        <v>0</v>
      </c>
      <c r="AH855">
        <f t="shared" si="181"/>
        <v>0</v>
      </c>
      <c r="AI855">
        <f t="shared" si="181"/>
        <v>0</v>
      </c>
      <c r="AJ855">
        <f t="shared" si="181"/>
        <v>0</v>
      </c>
      <c r="AK855">
        <f t="shared" si="181"/>
        <v>0</v>
      </c>
      <c r="AL855">
        <f t="shared" si="181"/>
        <v>0</v>
      </c>
      <c r="AM855">
        <f t="shared" si="181"/>
        <v>0</v>
      </c>
      <c r="AN855">
        <f t="shared" si="183"/>
        <v>0</v>
      </c>
      <c r="AO855">
        <f t="shared" si="183"/>
        <v>0</v>
      </c>
      <c r="AP855">
        <f t="shared" si="183"/>
        <v>0</v>
      </c>
      <c r="AQ855">
        <f t="shared" si="183"/>
        <v>0</v>
      </c>
      <c r="AR855">
        <f t="shared" si="183"/>
        <v>0</v>
      </c>
    </row>
    <row r="856" spans="5:44" x14ac:dyDescent="0.2">
      <c r="E856" s="1">
        <f>moment_rate!$AC856</f>
        <v>0</v>
      </c>
      <c r="F856" s="1">
        <f t="shared" si="179"/>
        <v>0</v>
      </c>
      <c r="G856">
        <f>moment_rate!I856-0.005</f>
        <v>8.4899999999998634</v>
      </c>
      <c r="H856" s="1">
        <f t="shared" si="180"/>
        <v>0</v>
      </c>
      <c r="I856">
        <f t="shared" si="182"/>
        <v>0</v>
      </c>
      <c r="J856">
        <f t="shared" si="182"/>
        <v>0</v>
      </c>
      <c r="K856">
        <f t="shared" si="182"/>
        <v>0</v>
      </c>
      <c r="L856">
        <f t="shared" si="182"/>
        <v>0</v>
      </c>
      <c r="M856">
        <f t="shared" si="182"/>
        <v>0</v>
      </c>
      <c r="N856">
        <f t="shared" si="182"/>
        <v>0</v>
      </c>
      <c r="O856">
        <f t="shared" si="182"/>
        <v>0</v>
      </c>
      <c r="P856">
        <f t="shared" si="182"/>
        <v>0</v>
      </c>
      <c r="Q856">
        <f t="shared" si="182"/>
        <v>0</v>
      </c>
      <c r="R856">
        <f t="shared" si="182"/>
        <v>0</v>
      </c>
      <c r="S856">
        <f t="shared" si="182"/>
        <v>0</v>
      </c>
      <c r="T856">
        <f t="shared" si="182"/>
        <v>0</v>
      </c>
      <c r="U856">
        <f t="shared" si="182"/>
        <v>0</v>
      </c>
      <c r="V856">
        <f t="shared" si="182"/>
        <v>0</v>
      </c>
      <c r="W856">
        <f t="shared" si="182"/>
        <v>0</v>
      </c>
      <c r="X856">
        <f t="shared" si="182"/>
        <v>0</v>
      </c>
      <c r="Y856">
        <f t="shared" si="181"/>
        <v>0</v>
      </c>
      <c r="Z856">
        <f t="shared" si="181"/>
        <v>0</v>
      </c>
      <c r="AA856">
        <f t="shared" si="181"/>
        <v>0</v>
      </c>
      <c r="AB856">
        <f t="shared" si="181"/>
        <v>0</v>
      </c>
      <c r="AC856">
        <f t="shared" si="181"/>
        <v>0</v>
      </c>
      <c r="AD856">
        <f t="shared" si="181"/>
        <v>0</v>
      </c>
      <c r="AE856">
        <f t="shared" si="181"/>
        <v>0</v>
      </c>
      <c r="AF856">
        <f t="shared" si="181"/>
        <v>0</v>
      </c>
      <c r="AG856">
        <f t="shared" si="181"/>
        <v>0</v>
      </c>
      <c r="AH856">
        <f t="shared" si="181"/>
        <v>0</v>
      </c>
      <c r="AI856">
        <f t="shared" si="181"/>
        <v>0</v>
      </c>
      <c r="AJ856">
        <f t="shared" si="181"/>
        <v>0</v>
      </c>
      <c r="AK856">
        <f t="shared" si="181"/>
        <v>0</v>
      </c>
      <c r="AL856">
        <f t="shared" si="181"/>
        <v>0</v>
      </c>
      <c r="AM856">
        <f t="shared" si="181"/>
        <v>0</v>
      </c>
      <c r="AN856">
        <f t="shared" si="183"/>
        <v>0</v>
      </c>
      <c r="AO856">
        <f t="shared" si="183"/>
        <v>0</v>
      </c>
      <c r="AP856">
        <f t="shared" si="183"/>
        <v>0</v>
      </c>
      <c r="AQ856">
        <f t="shared" si="183"/>
        <v>0</v>
      </c>
      <c r="AR856">
        <f t="shared" si="183"/>
        <v>0</v>
      </c>
    </row>
    <row r="857" spans="5:44" x14ac:dyDescent="0.2">
      <c r="E857" s="1">
        <f>moment_rate!$AC857</f>
        <v>0</v>
      </c>
      <c r="F857" s="1">
        <f t="shared" si="179"/>
        <v>0</v>
      </c>
      <c r="G857">
        <f>moment_rate!I857-0.005</f>
        <v>8.4999999999998632</v>
      </c>
      <c r="H857" s="1">
        <f t="shared" si="180"/>
        <v>0</v>
      </c>
      <c r="I857">
        <f t="shared" si="182"/>
        <v>0</v>
      </c>
      <c r="J857">
        <f t="shared" si="182"/>
        <v>0</v>
      </c>
      <c r="K857">
        <f t="shared" si="182"/>
        <v>0</v>
      </c>
      <c r="L857">
        <f t="shared" si="182"/>
        <v>0</v>
      </c>
      <c r="M857">
        <f t="shared" si="182"/>
        <v>0</v>
      </c>
      <c r="N857">
        <f t="shared" si="182"/>
        <v>0</v>
      </c>
      <c r="O857">
        <f t="shared" si="182"/>
        <v>0</v>
      </c>
      <c r="P857">
        <f t="shared" si="182"/>
        <v>0</v>
      </c>
      <c r="Q857">
        <f t="shared" si="182"/>
        <v>0</v>
      </c>
      <c r="R857">
        <f t="shared" si="182"/>
        <v>0</v>
      </c>
      <c r="S857">
        <f t="shared" si="182"/>
        <v>0</v>
      </c>
      <c r="T857">
        <f t="shared" si="182"/>
        <v>0</v>
      </c>
      <c r="U857">
        <f t="shared" si="182"/>
        <v>0</v>
      </c>
      <c r="V857">
        <f t="shared" si="182"/>
        <v>0</v>
      </c>
      <c r="W857">
        <f t="shared" si="182"/>
        <v>0</v>
      </c>
      <c r="X857">
        <f t="shared" si="182"/>
        <v>0</v>
      </c>
      <c r="Y857">
        <f t="shared" si="181"/>
        <v>0</v>
      </c>
      <c r="Z857">
        <f t="shared" si="181"/>
        <v>0</v>
      </c>
      <c r="AA857">
        <f t="shared" si="181"/>
        <v>0</v>
      </c>
      <c r="AB857">
        <f t="shared" si="181"/>
        <v>0</v>
      </c>
      <c r="AC857">
        <f t="shared" si="181"/>
        <v>0</v>
      </c>
      <c r="AD857">
        <f t="shared" si="181"/>
        <v>0</v>
      </c>
      <c r="AE857">
        <f t="shared" si="181"/>
        <v>0</v>
      </c>
      <c r="AF857">
        <f t="shared" si="181"/>
        <v>0</v>
      </c>
      <c r="AG857">
        <f t="shared" si="181"/>
        <v>0</v>
      </c>
      <c r="AH857">
        <f t="shared" si="181"/>
        <v>0</v>
      </c>
      <c r="AI857">
        <f t="shared" si="181"/>
        <v>0</v>
      </c>
      <c r="AJ857">
        <f t="shared" si="181"/>
        <v>0</v>
      </c>
      <c r="AK857">
        <f t="shared" si="181"/>
        <v>0</v>
      </c>
      <c r="AL857">
        <f t="shared" si="181"/>
        <v>0</v>
      </c>
      <c r="AM857">
        <f t="shared" si="181"/>
        <v>0</v>
      </c>
      <c r="AN857">
        <f t="shared" si="183"/>
        <v>0</v>
      </c>
      <c r="AO857">
        <f t="shared" si="183"/>
        <v>0</v>
      </c>
      <c r="AP857">
        <f t="shared" si="183"/>
        <v>0</v>
      </c>
      <c r="AQ857">
        <f t="shared" si="183"/>
        <v>0</v>
      </c>
      <c r="AR857">
        <f t="shared" si="183"/>
        <v>0</v>
      </c>
    </row>
    <row r="858" spans="5:44" x14ac:dyDescent="0.2">
      <c r="E858" s="1">
        <f>moment_rate!$AC858</f>
        <v>0</v>
      </c>
      <c r="F858" s="1">
        <f t="shared" si="179"/>
        <v>0</v>
      </c>
      <c r="G858">
        <f>moment_rate!I858-0.005</f>
        <v>8.509999999999863</v>
      </c>
      <c r="H858" s="1">
        <f t="shared" si="180"/>
        <v>0</v>
      </c>
      <c r="I858">
        <f t="shared" si="182"/>
        <v>0</v>
      </c>
      <c r="J858">
        <f t="shared" si="182"/>
        <v>0</v>
      </c>
      <c r="K858">
        <f t="shared" si="182"/>
        <v>0</v>
      </c>
      <c r="L858">
        <f t="shared" si="182"/>
        <v>0</v>
      </c>
      <c r="M858">
        <f t="shared" si="182"/>
        <v>0</v>
      </c>
      <c r="N858">
        <f t="shared" si="182"/>
        <v>0</v>
      </c>
      <c r="O858">
        <f t="shared" si="182"/>
        <v>0</v>
      </c>
      <c r="P858">
        <f t="shared" si="182"/>
        <v>0</v>
      </c>
      <c r="Q858">
        <f t="shared" si="182"/>
        <v>0</v>
      </c>
      <c r="R858">
        <f t="shared" si="182"/>
        <v>0</v>
      </c>
      <c r="S858">
        <f t="shared" si="182"/>
        <v>0</v>
      </c>
      <c r="T858">
        <f t="shared" si="182"/>
        <v>0</v>
      </c>
      <c r="U858">
        <f t="shared" si="182"/>
        <v>0</v>
      </c>
      <c r="V858">
        <f t="shared" si="182"/>
        <v>0</v>
      </c>
      <c r="W858">
        <f t="shared" si="182"/>
        <v>0</v>
      </c>
      <c r="X858">
        <f t="shared" ref="X858:AM863" si="184">IF(AND($G858&gt;=X$3,$G858&lt;X$4),$F858,0)</f>
        <v>0</v>
      </c>
      <c r="Y858">
        <f t="shared" si="184"/>
        <v>0</v>
      </c>
      <c r="Z858">
        <f t="shared" si="184"/>
        <v>0</v>
      </c>
      <c r="AA858">
        <f t="shared" si="184"/>
        <v>0</v>
      </c>
      <c r="AB858">
        <f t="shared" si="184"/>
        <v>0</v>
      </c>
      <c r="AC858">
        <f t="shared" si="184"/>
        <v>0</v>
      </c>
      <c r="AD858">
        <f t="shared" si="184"/>
        <v>0</v>
      </c>
      <c r="AE858">
        <f t="shared" si="184"/>
        <v>0</v>
      </c>
      <c r="AF858">
        <f t="shared" si="184"/>
        <v>0</v>
      </c>
      <c r="AG858">
        <f t="shared" si="184"/>
        <v>0</v>
      </c>
      <c r="AH858">
        <f t="shared" si="184"/>
        <v>0</v>
      </c>
      <c r="AI858">
        <f t="shared" si="184"/>
        <v>0</v>
      </c>
      <c r="AJ858">
        <f t="shared" si="184"/>
        <v>0</v>
      </c>
      <c r="AK858">
        <f t="shared" si="184"/>
        <v>0</v>
      </c>
      <c r="AL858">
        <f t="shared" si="184"/>
        <v>0</v>
      </c>
      <c r="AM858">
        <f t="shared" si="184"/>
        <v>0</v>
      </c>
      <c r="AN858">
        <f t="shared" si="183"/>
        <v>0</v>
      </c>
      <c r="AO858">
        <f t="shared" si="183"/>
        <v>0</v>
      </c>
      <c r="AP858">
        <f t="shared" si="183"/>
        <v>0</v>
      </c>
      <c r="AQ858">
        <f t="shared" si="183"/>
        <v>0</v>
      </c>
      <c r="AR858">
        <f t="shared" si="183"/>
        <v>0</v>
      </c>
    </row>
    <row r="859" spans="5:44" x14ac:dyDescent="0.2">
      <c r="E859" s="1">
        <f>moment_rate!$AC859</f>
        <v>0</v>
      </c>
      <c r="F859" s="1">
        <f t="shared" si="179"/>
        <v>0</v>
      </c>
      <c r="G859">
        <f>moment_rate!I859-0.005</f>
        <v>8.5199999999998628</v>
      </c>
      <c r="H859" s="1">
        <f t="shared" si="180"/>
        <v>0</v>
      </c>
      <c r="I859">
        <f t="shared" ref="I859:X863" si="185">IF(AND($G859&gt;=I$3,$G859&lt;I$4),$F859,0)</f>
        <v>0</v>
      </c>
      <c r="J859">
        <f t="shared" si="185"/>
        <v>0</v>
      </c>
      <c r="K859">
        <f t="shared" si="185"/>
        <v>0</v>
      </c>
      <c r="L859">
        <f t="shared" si="185"/>
        <v>0</v>
      </c>
      <c r="M859">
        <f t="shared" si="185"/>
        <v>0</v>
      </c>
      <c r="N859">
        <f t="shared" si="185"/>
        <v>0</v>
      </c>
      <c r="O859">
        <f t="shared" si="185"/>
        <v>0</v>
      </c>
      <c r="P859">
        <f t="shared" si="185"/>
        <v>0</v>
      </c>
      <c r="Q859">
        <f t="shared" si="185"/>
        <v>0</v>
      </c>
      <c r="R859">
        <f t="shared" si="185"/>
        <v>0</v>
      </c>
      <c r="S859">
        <f t="shared" si="185"/>
        <v>0</v>
      </c>
      <c r="T859">
        <f t="shared" si="185"/>
        <v>0</v>
      </c>
      <c r="U859">
        <f t="shared" si="185"/>
        <v>0</v>
      </c>
      <c r="V859">
        <f t="shared" si="185"/>
        <v>0</v>
      </c>
      <c r="W859">
        <f t="shared" si="185"/>
        <v>0</v>
      </c>
      <c r="X859">
        <f t="shared" si="185"/>
        <v>0</v>
      </c>
      <c r="Y859">
        <f t="shared" si="184"/>
        <v>0</v>
      </c>
      <c r="Z859">
        <f t="shared" si="184"/>
        <v>0</v>
      </c>
      <c r="AA859">
        <f t="shared" si="184"/>
        <v>0</v>
      </c>
      <c r="AB859">
        <f t="shared" si="184"/>
        <v>0</v>
      </c>
      <c r="AC859">
        <f t="shared" si="184"/>
        <v>0</v>
      </c>
      <c r="AD859">
        <f t="shared" si="184"/>
        <v>0</v>
      </c>
      <c r="AE859">
        <f t="shared" si="184"/>
        <v>0</v>
      </c>
      <c r="AF859">
        <f t="shared" si="184"/>
        <v>0</v>
      </c>
      <c r="AG859">
        <f t="shared" si="184"/>
        <v>0</v>
      </c>
      <c r="AH859">
        <f t="shared" si="184"/>
        <v>0</v>
      </c>
      <c r="AI859">
        <f t="shared" si="184"/>
        <v>0</v>
      </c>
      <c r="AJ859">
        <f t="shared" si="184"/>
        <v>0</v>
      </c>
      <c r="AK859">
        <f t="shared" si="184"/>
        <v>0</v>
      </c>
      <c r="AL859">
        <f t="shared" si="184"/>
        <v>0</v>
      </c>
      <c r="AM859">
        <f t="shared" si="184"/>
        <v>0</v>
      </c>
      <c r="AN859">
        <f t="shared" si="183"/>
        <v>0</v>
      </c>
      <c r="AO859">
        <f t="shared" si="183"/>
        <v>0</v>
      </c>
      <c r="AP859">
        <f t="shared" si="183"/>
        <v>0</v>
      </c>
      <c r="AQ859">
        <f t="shared" si="183"/>
        <v>0</v>
      </c>
      <c r="AR859">
        <f t="shared" si="183"/>
        <v>0</v>
      </c>
    </row>
    <row r="860" spans="5:44" x14ac:dyDescent="0.2">
      <c r="E860" s="1">
        <f>moment_rate!$AC860</f>
        <v>0</v>
      </c>
      <c r="F860" s="1">
        <f t="shared" si="179"/>
        <v>0</v>
      </c>
      <c r="G860">
        <f>moment_rate!I860-0.005</f>
        <v>8.5299999999998626</v>
      </c>
      <c r="H860" s="1">
        <f t="shared" si="180"/>
        <v>0</v>
      </c>
      <c r="I860">
        <f t="shared" si="185"/>
        <v>0</v>
      </c>
      <c r="J860">
        <f t="shared" si="185"/>
        <v>0</v>
      </c>
      <c r="K860">
        <f t="shared" si="185"/>
        <v>0</v>
      </c>
      <c r="L860">
        <f t="shared" si="185"/>
        <v>0</v>
      </c>
      <c r="M860">
        <f t="shared" si="185"/>
        <v>0</v>
      </c>
      <c r="N860">
        <f t="shared" si="185"/>
        <v>0</v>
      </c>
      <c r="O860">
        <f t="shared" si="185"/>
        <v>0</v>
      </c>
      <c r="P860">
        <f t="shared" si="185"/>
        <v>0</v>
      </c>
      <c r="Q860">
        <f t="shared" si="185"/>
        <v>0</v>
      </c>
      <c r="R860">
        <f t="shared" si="185"/>
        <v>0</v>
      </c>
      <c r="S860">
        <f t="shared" si="185"/>
        <v>0</v>
      </c>
      <c r="T860">
        <f t="shared" si="185"/>
        <v>0</v>
      </c>
      <c r="U860">
        <f t="shared" si="185"/>
        <v>0</v>
      </c>
      <c r="V860">
        <f t="shared" si="185"/>
        <v>0</v>
      </c>
      <c r="W860">
        <f t="shared" si="185"/>
        <v>0</v>
      </c>
      <c r="X860">
        <f t="shared" si="185"/>
        <v>0</v>
      </c>
      <c r="Y860">
        <f t="shared" si="184"/>
        <v>0</v>
      </c>
      <c r="Z860">
        <f t="shared" si="184"/>
        <v>0</v>
      </c>
      <c r="AA860">
        <f t="shared" si="184"/>
        <v>0</v>
      </c>
      <c r="AB860">
        <f t="shared" si="184"/>
        <v>0</v>
      </c>
      <c r="AC860">
        <f t="shared" si="184"/>
        <v>0</v>
      </c>
      <c r="AD860">
        <f t="shared" si="184"/>
        <v>0</v>
      </c>
      <c r="AE860">
        <f t="shared" si="184"/>
        <v>0</v>
      </c>
      <c r="AF860">
        <f t="shared" si="184"/>
        <v>0</v>
      </c>
      <c r="AG860">
        <f t="shared" si="184"/>
        <v>0</v>
      </c>
      <c r="AH860">
        <f t="shared" si="184"/>
        <v>0</v>
      </c>
      <c r="AI860">
        <f t="shared" si="184"/>
        <v>0</v>
      </c>
      <c r="AJ860">
        <f t="shared" si="184"/>
        <v>0</v>
      </c>
      <c r="AK860">
        <f t="shared" si="184"/>
        <v>0</v>
      </c>
      <c r="AL860">
        <f t="shared" si="184"/>
        <v>0</v>
      </c>
      <c r="AM860">
        <f t="shared" si="184"/>
        <v>0</v>
      </c>
      <c r="AN860">
        <f t="shared" si="183"/>
        <v>0</v>
      </c>
      <c r="AO860">
        <f t="shared" si="183"/>
        <v>0</v>
      </c>
      <c r="AP860">
        <f t="shared" si="183"/>
        <v>0</v>
      </c>
      <c r="AQ860">
        <f t="shared" si="183"/>
        <v>0</v>
      </c>
      <c r="AR860">
        <f t="shared" si="183"/>
        <v>0</v>
      </c>
    </row>
    <row r="861" spans="5:44" x14ac:dyDescent="0.2">
      <c r="E861" s="1">
        <f>moment_rate!$AC861</f>
        <v>0</v>
      </c>
      <c r="F861" s="1">
        <f t="shared" si="179"/>
        <v>0</v>
      </c>
      <c r="G861">
        <f>moment_rate!I861-0.005</f>
        <v>8.5399999999998624</v>
      </c>
      <c r="H861" s="1">
        <f t="shared" si="180"/>
        <v>0</v>
      </c>
      <c r="I861">
        <f t="shared" si="185"/>
        <v>0</v>
      </c>
      <c r="J861">
        <f t="shared" si="185"/>
        <v>0</v>
      </c>
      <c r="K861">
        <f t="shared" si="185"/>
        <v>0</v>
      </c>
      <c r="L861">
        <f t="shared" si="185"/>
        <v>0</v>
      </c>
      <c r="M861">
        <f t="shared" si="185"/>
        <v>0</v>
      </c>
      <c r="N861">
        <f t="shared" si="185"/>
        <v>0</v>
      </c>
      <c r="O861">
        <f t="shared" si="185"/>
        <v>0</v>
      </c>
      <c r="P861">
        <f t="shared" si="185"/>
        <v>0</v>
      </c>
      <c r="Q861">
        <f t="shared" si="185"/>
        <v>0</v>
      </c>
      <c r="R861">
        <f t="shared" si="185"/>
        <v>0</v>
      </c>
      <c r="S861">
        <f t="shared" si="185"/>
        <v>0</v>
      </c>
      <c r="T861">
        <f t="shared" si="185"/>
        <v>0</v>
      </c>
      <c r="U861">
        <f t="shared" si="185"/>
        <v>0</v>
      </c>
      <c r="V861">
        <f t="shared" si="185"/>
        <v>0</v>
      </c>
      <c r="W861">
        <f t="shared" si="185"/>
        <v>0</v>
      </c>
      <c r="X861">
        <f t="shared" si="185"/>
        <v>0</v>
      </c>
      <c r="Y861">
        <f t="shared" si="184"/>
        <v>0</v>
      </c>
      <c r="Z861">
        <f t="shared" si="184"/>
        <v>0</v>
      </c>
      <c r="AA861">
        <f t="shared" si="184"/>
        <v>0</v>
      </c>
      <c r="AB861">
        <f t="shared" si="184"/>
        <v>0</v>
      </c>
      <c r="AC861">
        <f t="shared" si="184"/>
        <v>0</v>
      </c>
      <c r="AD861">
        <f t="shared" si="184"/>
        <v>0</v>
      </c>
      <c r="AE861">
        <f t="shared" si="184"/>
        <v>0</v>
      </c>
      <c r="AF861">
        <f t="shared" si="184"/>
        <v>0</v>
      </c>
      <c r="AG861">
        <f t="shared" si="184"/>
        <v>0</v>
      </c>
      <c r="AH861">
        <f t="shared" si="184"/>
        <v>0</v>
      </c>
      <c r="AI861">
        <f t="shared" si="184"/>
        <v>0</v>
      </c>
      <c r="AJ861">
        <f t="shared" si="184"/>
        <v>0</v>
      </c>
      <c r="AK861">
        <f t="shared" si="184"/>
        <v>0</v>
      </c>
      <c r="AL861">
        <f t="shared" si="184"/>
        <v>0</v>
      </c>
      <c r="AM861">
        <f t="shared" si="184"/>
        <v>0</v>
      </c>
      <c r="AN861">
        <f t="shared" si="183"/>
        <v>0</v>
      </c>
      <c r="AO861">
        <f t="shared" si="183"/>
        <v>0</v>
      </c>
      <c r="AP861">
        <f t="shared" si="183"/>
        <v>0</v>
      </c>
      <c r="AQ861">
        <f t="shared" si="183"/>
        <v>0</v>
      </c>
      <c r="AR861">
        <f t="shared" si="183"/>
        <v>0</v>
      </c>
    </row>
    <row r="862" spans="5:44" x14ac:dyDescent="0.2">
      <c r="E862" s="1">
        <f>moment_rate!$AC862</f>
        <v>0</v>
      </c>
      <c r="F862" s="1">
        <f t="shared" si="179"/>
        <v>0</v>
      </c>
      <c r="G862">
        <f>moment_rate!I862-0.005</f>
        <v>8.5499999999998622</v>
      </c>
      <c r="H862" s="1">
        <f t="shared" si="180"/>
        <v>0</v>
      </c>
      <c r="I862">
        <f t="shared" si="185"/>
        <v>0</v>
      </c>
      <c r="J862">
        <f t="shared" si="185"/>
        <v>0</v>
      </c>
      <c r="K862">
        <f t="shared" si="185"/>
        <v>0</v>
      </c>
      <c r="L862">
        <f t="shared" si="185"/>
        <v>0</v>
      </c>
      <c r="M862">
        <f t="shared" si="185"/>
        <v>0</v>
      </c>
      <c r="N862">
        <f t="shared" si="185"/>
        <v>0</v>
      </c>
      <c r="O862">
        <f t="shared" si="185"/>
        <v>0</v>
      </c>
      <c r="P862">
        <f t="shared" si="185"/>
        <v>0</v>
      </c>
      <c r="Q862">
        <f t="shared" si="185"/>
        <v>0</v>
      </c>
      <c r="R862">
        <f t="shared" si="185"/>
        <v>0</v>
      </c>
      <c r="S862">
        <f t="shared" si="185"/>
        <v>0</v>
      </c>
      <c r="T862">
        <f t="shared" si="185"/>
        <v>0</v>
      </c>
      <c r="U862">
        <f t="shared" si="185"/>
        <v>0</v>
      </c>
      <c r="V862">
        <f t="shared" si="185"/>
        <v>0</v>
      </c>
      <c r="W862">
        <f t="shared" si="185"/>
        <v>0</v>
      </c>
      <c r="X862">
        <f t="shared" si="185"/>
        <v>0</v>
      </c>
      <c r="Y862">
        <f t="shared" si="184"/>
        <v>0</v>
      </c>
      <c r="Z862">
        <f t="shared" si="184"/>
        <v>0</v>
      </c>
      <c r="AA862">
        <f t="shared" si="184"/>
        <v>0</v>
      </c>
      <c r="AB862">
        <f t="shared" si="184"/>
        <v>0</v>
      </c>
      <c r="AC862">
        <f t="shared" si="184"/>
        <v>0</v>
      </c>
      <c r="AD862">
        <f t="shared" si="184"/>
        <v>0</v>
      </c>
      <c r="AE862">
        <f t="shared" si="184"/>
        <v>0</v>
      </c>
      <c r="AF862">
        <f t="shared" si="184"/>
        <v>0</v>
      </c>
      <c r="AG862">
        <f t="shared" si="184"/>
        <v>0</v>
      </c>
      <c r="AH862">
        <f t="shared" si="184"/>
        <v>0</v>
      </c>
      <c r="AI862">
        <f t="shared" si="184"/>
        <v>0</v>
      </c>
      <c r="AJ862">
        <f t="shared" si="184"/>
        <v>0</v>
      </c>
      <c r="AK862">
        <f t="shared" si="184"/>
        <v>0</v>
      </c>
      <c r="AL862">
        <f t="shared" si="184"/>
        <v>0</v>
      </c>
      <c r="AM862">
        <f t="shared" si="184"/>
        <v>0</v>
      </c>
      <c r="AN862">
        <f t="shared" si="183"/>
        <v>0</v>
      </c>
      <c r="AO862">
        <f t="shared" si="183"/>
        <v>0</v>
      </c>
      <c r="AP862">
        <f t="shared" si="183"/>
        <v>0</v>
      </c>
      <c r="AQ862">
        <f t="shared" si="183"/>
        <v>0</v>
      </c>
      <c r="AR862">
        <f t="shared" si="183"/>
        <v>0</v>
      </c>
    </row>
    <row r="863" spans="5:44" x14ac:dyDescent="0.2">
      <c r="E863" s="1">
        <f>moment_rate!$AC863</f>
        <v>0</v>
      </c>
      <c r="F863" s="1">
        <f t="shared" si="179"/>
        <v>0</v>
      </c>
      <c r="G863">
        <f>moment_rate!I863-0.005</f>
        <v>8.5599999999998619</v>
      </c>
      <c r="H863" s="1">
        <f t="shared" si="180"/>
        <v>0</v>
      </c>
      <c r="I863">
        <f t="shared" si="185"/>
        <v>0</v>
      </c>
      <c r="J863">
        <f t="shared" si="185"/>
        <v>0</v>
      </c>
      <c r="K863">
        <f t="shared" si="185"/>
        <v>0</v>
      </c>
      <c r="L863">
        <f t="shared" si="185"/>
        <v>0</v>
      </c>
      <c r="M863">
        <f t="shared" si="185"/>
        <v>0</v>
      </c>
      <c r="N863">
        <f t="shared" si="185"/>
        <v>0</v>
      </c>
      <c r="O863">
        <f t="shared" si="185"/>
        <v>0</v>
      </c>
      <c r="P863">
        <f t="shared" si="185"/>
        <v>0</v>
      </c>
      <c r="Q863">
        <f t="shared" si="185"/>
        <v>0</v>
      </c>
      <c r="R863">
        <f t="shared" si="185"/>
        <v>0</v>
      </c>
      <c r="S863">
        <f t="shared" si="185"/>
        <v>0</v>
      </c>
      <c r="T863">
        <f t="shared" si="185"/>
        <v>0</v>
      </c>
      <c r="U863">
        <f t="shared" si="185"/>
        <v>0</v>
      </c>
      <c r="V863">
        <f t="shared" si="185"/>
        <v>0</v>
      </c>
      <c r="W863">
        <f t="shared" si="185"/>
        <v>0</v>
      </c>
      <c r="X863">
        <f t="shared" si="185"/>
        <v>0</v>
      </c>
      <c r="Y863">
        <f t="shared" si="184"/>
        <v>0</v>
      </c>
      <c r="Z863">
        <f t="shared" si="184"/>
        <v>0</v>
      </c>
      <c r="AA863">
        <f t="shared" si="184"/>
        <v>0</v>
      </c>
      <c r="AB863">
        <f t="shared" si="184"/>
        <v>0</v>
      </c>
      <c r="AC863">
        <f t="shared" si="184"/>
        <v>0</v>
      </c>
      <c r="AD863">
        <f t="shared" si="184"/>
        <v>0</v>
      </c>
      <c r="AE863">
        <f t="shared" si="184"/>
        <v>0</v>
      </c>
      <c r="AF863">
        <f t="shared" si="184"/>
        <v>0</v>
      </c>
      <c r="AG863">
        <f t="shared" si="184"/>
        <v>0</v>
      </c>
      <c r="AH863">
        <f t="shared" si="184"/>
        <v>0</v>
      </c>
      <c r="AI863">
        <f t="shared" si="184"/>
        <v>0</v>
      </c>
      <c r="AJ863">
        <f t="shared" si="184"/>
        <v>0</v>
      </c>
      <c r="AK863">
        <f t="shared" si="184"/>
        <v>0</v>
      </c>
      <c r="AL863">
        <f t="shared" si="184"/>
        <v>0</v>
      </c>
      <c r="AM863">
        <f t="shared" si="184"/>
        <v>0</v>
      </c>
      <c r="AN863">
        <f t="shared" si="183"/>
        <v>0</v>
      </c>
      <c r="AO863">
        <f t="shared" si="183"/>
        <v>0</v>
      </c>
      <c r="AP863">
        <f t="shared" si="183"/>
        <v>0</v>
      </c>
      <c r="AQ863">
        <f t="shared" si="183"/>
        <v>0</v>
      </c>
      <c r="AR863">
        <f t="shared" si="183"/>
        <v>0</v>
      </c>
    </row>
  </sheetData>
  <pageMargins left="0.75" right="0.75" top="1" bottom="1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863"/>
  <sheetViews>
    <sheetView topLeftCell="A2" zoomScale="101" workbookViewId="0">
      <selection activeCell="E7" sqref="E7:E863"/>
    </sheetView>
  </sheetViews>
  <sheetFormatPr baseColWidth="10" defaultRowHeight="14" x14ac:dyDescent="0.2"/>
  <cols>
    <col min="6" max="6" width="11.5703125" bestFit="1" customWidth="1"/>
  </cols>
  <sheetData>
    <row r="1" spans="1:44" x14ac:dyDescent="0.2">
      <c r="I1" s="1">
        <f>SUM(I5:AR5)</f>
        <v>1.0000000000000038</v>
      </c>
    </row>
    <row r="2" spans="1:44" x14ac:dyDescent="0.2">
      <c r="B2" s="7" t="s">
        <v>46</v>
      </c>
      <c r="C2" s="7" t="s">
        <v>46</v>
      </c>
    </row>
    <row r="3" spans="1:44" x14ac:dyDescent="0.2">
      <c r="B3" s="1">
        <f ca="1">SUM(B7:B43)</f>
        <v>4.0318380319640135E-2</v>
      </c>
      <c r="C3" s="1">
        <f ca="1">SUM(C7:C43)</f>
        <v>1.0000000000000038</v>
      </c>
      <c r="I3">
        <v>4.9989999999999997</v>
      </c>
      <c r="J3">
        <v>5.0999999999999996</v>
      </c>
      <c r="K3">
        <f t="shared" ref="K3:AR3" si="0">J3+0.1</f>
        <v>5.1999999999999993</v>
      </c>
      <c r="L3">
        <f t="shared" si="0"/>
        <v>5.2999999999999989</v>
      </c>
      <c r="M3">
        <f t="shared" si="0"/>
        <v>5.3999999999999986</v>
      </c>
      <c r="N3">
        <f t="shared" si="0"/>
        <v>5.4999999999999982</v>
      </c>
      <c r="O3">
        <f t="shared" si="0"/>
        <v>5.5999999999999979</v>
      </c>
      <c r="P3">
        <f t="shared" si="0"/>
        <v>5.6999999999999975</v>
      </c>
      <c r="Q3">
        <f t="shared" si="0"/>
        <v>5.7999999999999972</v>
      </c>
      <c r="R3">
        <f t="shared" si="0"/>
        <v>5.8999999999999968</v>
      </c>
      <c r="S3">
        <f t="shared" si="0"/>
        <v>5.9999999999999964</v>
      </c>
      <c r="T3">
        <f t="shared" si="0"/>
        <v>6.0999999999999961</v>
      </c>
      <c r="U3">
        <f t="shared" si="0"/>
        <v>6.1999999999999957</v>
      </c>
      <c r="V3">
        <f t="shared" si="0"/>
        <v>6.2999999999999954</v>
      </c>
      <c r="W3">
        <f t="shared" si="0"/>
        <v>6.399999999999995</v>
      </c>
      <c r="X3">
        <f t="shared" si="0"/>
        <v>6.4999999999999947</v>
      </c>
      <c r="Y3">
        <f t="shared" si="0"/>
        <v>6.5999999999999943</v>
      </c>
      <c r="Z3">
        <f t="shared" si="0"/>
        <v>6.699999999999994</v>
      </c>
      <c r="AA3">
        <f t="shared" si="0"/>
        <v>6.7999999999999936</v>
      </c>
      <c r="AB3">
        <f t="shared" si="0"/>
        <v>6.8999999999999932</v>
      </c>
      <c r="AC3">
        <f t="shared" si="0"/>
        <v>6.9999999999999929</v>
      </c>
      <c r="AD3">
        <f t="shared" si="0"/>
        <v>7.0999999999999925</v>
      </c>
      <c r="AE3">
        <f t="shared" si="0"/>
        <v>7.1999999999999922</v>
      </c>
      <c r="AF3">
        <f t="shared" si="0"/>
        <v>7.2999999999999918</v>
      </c>
      <c r="AG3">
        <f t="shared" si="0"/>
        <v>7.3999999999999915</v>
      </c>
      <c r="AH3">
        <f t="shared" si="0"/>
        <v>7.4999999999999911</v>
      </c>
      <c r="AI3">
        <f t="shared" si="0"/>
        <v>7.5999999999999908</v>
      </c>
      <c r="AJ3">
        <f t="shared" si="0"/>
        <v>7.6999999999999904</v>
      </c>
      <c r="AK3">
        <f t="shared" si="0"/>
        <v>7.7999999999999901</v>
      </c>
      <c r="AL3">
        <f t="shared" si="0"/>
        <v>7.8999999999999897</v>
      </c>
      <c r="AM3">
        <f t="shared" si="0"/>
        <v>7.9999999999999893</v>
      </c>
      <c r="AN3">
        <f t="shared" si="0"/>
        <v>8.099999999999989</v>
      </c>
      <c r="AO3">
        <f t="shared" si="0"/>
        <v>8.1999999999999886</v>
      </c>
      <c r="AP3">
        <f t="shared" si="0"/>
        <v>8.2999999999999883</v>
      </c>
      <c r="AQ3">
        <f t="shared" si="0"/>
        <v>8.3999999999999879</v>
      </c>
      <c r="AR3">
        <f t="shared" si="0"/>
        <v>8.4999999999999876</v>
      </c>
    </row>
    <row r="4" spans="1:44" x14ac:dyDescent="0.2">
      <c r="A4" s="7"/>
      <c r="I4">
        <v>5.0999999999999996</v>
      </c>
      <c r="J4">
        <f>J3+0.1</f>
        <v>5.1999999999999993</v>
      </c>
      <c r="K4">
        <f t="shared" ref="K4:AR4" si="1">K3+0.1</f>
        <v>5.2999999999999989</v>
      </c>
      <c r="L4">
        <f t="shared" si="1"/>
        <v>5.3999999999999986</v>
      </c>
      <c r="M4">
        <f t="shared" si="1"/>
        <v>5.4999999999999982</v>
      </c>
      <c r="N4">
        <f t="shared" si="1"/>
        <v>5.5999999999999979</v>
      </c>
      <c r="O4">
        <f t="shared" si="1"/>
        <v>5.6999999999999975</v>
      </c>
      <c r="P4">
        <f t="shared" si="1"/>
        <v>5.7999999999999972</v>
      </c>
      <c r="Q4">
        <f t="shared" si="1"/>
        <v>5.8999999999999968</v>
      </c>
      <c r="R4">
        <f t="shared" si="1"/>
        <v>5.9999999999999964</v>
      </c>
      <c r="S4">
        <f t="shared" si="1"/>
        <v>6.0999999999999961</v>
      </c>
      <c r="T4">
        <f t="shared" si="1"/>
        <v>6.1999999999999957</v>
      </c>
      <c r="U4">
        <f t="shared" si="1"/>
        <v>6.2999999999999954</v>
      </c>
      <c r="V4">
        <f t="shared" si="1"/>
        <v>6.399999999999995</v>
      </c>
      <c r="W4">
        <f t="shared" si="1"/>
        <v>6.4999999999999947</v>
      </c>
      <c r="X4">
        <f t="shared" si="1"/>
        <v>6.5999999999999943</v>
      </c>
      <c r="Y4">
        <f t="shared" si="1"/>
        <v>6.699999999999994</v>
      </c>
      <c r="Z4">
        <f t="shared" si="1"/>
        <v>6.7999999999999936</v>
      </c>
      <c r="AA4">
        <f t="shared" si="1"/>
        <v>6.8999999999999932</v>
      </c>
      <c r="AB4">
        <f t="shared" si="1"/>
        <v>6.9999999999999929</v>
      </c>
      <c r="AC4">
        <f t="shared" si="1"/>
        <v>7.0999999999999925</v>
      </c>
      <c r="AD4">
        <f t="shared" si="1"/>
        <v>7.1999999999999922</v>
      </c>
      <c r="AE4">
        <f t="shared" si="1"/>
        <v>7.2999999999999918</v>
      </c>
      <c r="AF4">
        <f t="shared" si="1"/>
        <v>7.3999999999999915</v>
      </c>
      <c r="AG4">
        <f t="shared" si="1"/>
        <v>7.4999999999999911</v>
      </c>
      <c r="AH4">
        <f t="shared" si="1"/>
        <v>7.5999999999999908</v>
      </c>
      <c r="AI4">
        <f t="shared" si="1"/>
        <v>7.6999999999999904</v>
      </c>
      <c r="AJ4">
        <f t="shared" si="1"/>
        <v>7.7999999999999901</v>
      </c>
      <c r="AK4">
        <f t="shared" si="1"/>
        <v>7.8999999999999897</v>
      </c>
      <c r="AL4">
        <f t="shared" si="1"/>
        <v>7.9999999999999893</v>
      </c>
      <c r="AM4">
        <f t="shared" si="1"/>
        <v>8.099999999999989</v>
      </c>
      <c r="AN4">
        <f t="shared" si="1"/>
        <v>8.1999999999999886</v>
      </c>
      <c r="AO4">
        <f t="shared" si="1"/>
        <v>8.2999999999999883</v>
      </c>
      <c r="AP4">
        <f t="shared" si="1"/>
        <v>8.3999999999999879</v>
      </c>
      <c r="AQ4">
        <f t="shared" si="1"/>
        <v>8.4999999999999876</v>
      </c>
      <c r="AR4">
        <f t="shared" si="1"/>
        <v>8.5999999999999872</v>
      </c>
    </row>
    <row r="5" spans="1:44" x14ac:dyDescent="0.2">
      <c r="H5" s="1">
        <f>SUM(H7:H863)</f>
        <v>4.031838031964001E-2</v>
      </c>
      <c r="I5" s="1">
        <f t="shared" ref="I5:AR5" si="2">SUM(I7:I863)/$H$5</f>
        <v>0.17095151869068326</v>
      </c>
      <c r="J5" s="1">
        <f t="shared" si="2"/>
        <v>0.12497329239335092</v>
      </c>
      <c r="K5" s="1">
        <f t="shared" si="2"/>
        <v>0.10158210576281479</v>
      </c>
      <c r="L5" s="1">
        <f t="shared" si="2"/>
        <v>8.2569035460225385E-2</v>
      </c>
      <c r="M5" s="1">
        <f t="shared" si="2"/>
        <v>6.7114631712307055E-2</v>
      </c>
      <c r="N5" s="1">
        <f t="shared" si="2"/>
        <v>5.4552820736878241E-2</v>
      </c>
      <c r="O5" s="1">
        <f t="shared" si="2"/>
        <v>4.434219743776447E-2</v>
      </c>
      <c r="P5" s="1">
        <f t="shared" si="2"/>
        <v>3.604269123118873E-2</v>
      </c>
      <c r="Q5" s="1">
        <f t="shared" si="2"/>
        <v>2.9296599317390443E-2</v>
      </c>
      <c r="R5" s="1">
        <f t="shared" si="2"/>
        <v>2.3813169945007432E-2</v>
      </c>
      <c r="S5" s="1">
        <f t="shared" si="2"/>
        <v>1.9356071217903864E-2</v>
      </c>
      <c r="T5" s="1">
        <f t="shared" si="2"/>
        <v>1.5733205358957919E-2</v>
      </c>
      <c r="U5" s="1">
        <f t="shared" si="2"/>
        <v>1.2788429432837596E-2</v>
      </c>
      <c r="V5" s="1">
        <f t="shared" si="2"/>
        <v>1.0394825696821586E-2</v>
      </c>
      <c r="W5" s="1">
        <f t="shared" si="2"/>
        <v>8.4492315365833383E-3</v>
      </c>
      <c r="X5" s="1">
        <f t="shared" si="2"/>
        <v>6.8677932310710907E-3</v>
      </c>
      <c r="Y5" s="1">
        <f t="shared" si="2"/>
        <v>5.5823519169198501E-3</v>
      </c>
      <c r="Z5" s="1">
        <f t="shared" si="2"/>
        <v>2.3967903194339002E-2</v>
      </c>
      <c r="AA5" s="1">
        <f t="shared" si="2"/>
        <v>3.6732301301581394E-2</v>
      </c>
      <c r="AB5" s="1">
        <f t="shared" si="2"/>
        <v>3.6732301301581456E-2</v>
      </c>
      <c r="AC5" s="1">
        <f t="shared" si="2"/>
        <v>3.6732301301581512E-2</v>
      </c>
      <c r="AD5" s="1">
        <f t="shared" si="2"/>
        <v>3.6732301301581512E-2</v>
      </c>
      <c r="AE5" s="1">
        <f t="shared" si="2"/>
        <v>1.4692920520632606E-2</v>
      </c>
      <c r="AF5" s="1">
        <f t="shared" si="2"/>
        <v>0</v>
      </c>
      <c r="AG5" s="1">
        <f t="shared" si="2"/>
        <v>0</v>
      </c>
      <c r="AH5" s="1">
        <f t="shared" si="2"/>
        <v>0</v>
      </c>
      <c r="AI5" s="1">
        <f t="shared" si="2"/>
        <v>0</v>
      </c>
      <c r="AJ5" s="1">
        <f t="shared" si="2"/>
        <v>0</v>
      </c>
      <c r="AK5" s="1">
        <f t="shared" si="2"/>
        <v>0</v>
      </c>
      <c r="AL5" s="1">
        <f t="shared" si="2"/>
        <v>0</v>
      </c>
      <c r="AM5" s="1">
        <f t="shared" si="2"/>
        <v>0</v>
      </c>
      <c r="AN5" s="1">
        <f t="shared" si="2"/>
        <v>0</v>
      </c>
      <c r="AO5" s="1">
        <f t="shared" si="2"/>
        <v>0</v>
      </c>
      <c r="AP5" s="1">
        <f t="shared" si="2"/>
        <v>0</v>
      </c>
      <c r="AQ5" s="1">
        <f t="shared" si="2"/>
        <v>0</v>
      </c>
      <c r="AR5" s="1">
        <f t="shared" si="2"/>
        <v>0</v>
      </c>
    </row>
    <row r="6" spans="1:44" x14ac:dyDescent="0.2">
      <c r="A6" s="7" t="s">
        <v>47</v>
      </c>
      <c r="B6" s="7" t="s">
        <v>53</v>
      </c>
      <c r="C6" s="7" t="s">
        <v>54</v>
      </c>
      <c r="D6" s="7" t="s">
        <v>49</v>
      </c>
      <c r="E6" s="7" t="s">
        <v>48</v>
      </c>
      <c r="G6" s="7" t="s">
        <v>0</v>
      </c>
      <c r="H6" s="7"/>
    </row>
    <row r="7" spans="1:44" x14ac:dyDescent="0.2">
      <c r="A7">
        <v>5.05</v>
      </c>
      <c r="B7" s="1">
        <f ca="1">$C7*$H$5</f>
        <v>6.8924883467910147E-3</v>
      </c>
      <c r="C7" s="1">
        <f t="array" aca="1" ref="C7" ca="1">INDIRECT(ADDRESS(5,$D7,1,FALSE),FALSE)</f>
        <v>0.17095151869068326</v>
      </c>
      <c r="D7">
        <v>9</v>
      </c>
      <c r="E7" s="1">
        <f>moment_rate!$M7</f>
        <v>1069.2712454702591</v>
      </c>
      <c r="F7" s="1">
        <f>E7-E8</f>
        <v>21.930635423669628</v>
      </c>
      <c r="G7">
        <f>moment_rate!I7-0.005</f>
        <v>0</v>
      </c>
      <c r="H7" s="1">
        <f>IF($G7&gt;=4.999,(E7-E8),0)</f>
        <v>0</v>
      </c>
      <c r="I7">
        <f>IF(AND($G7&gt;=I$3,$G7&lt;I$4),$F7,0)</f>
        <v>0</v>
      </c>
      <c r="J7">
        <f t="shared" ref="J7:AR14" si="3">IF(AND($G7&gt;=J$3,$G7&lt;J$4),$F7,0)</f>
        <v>0</v>
      </c>
      <c r="K7">
        <f t="shared" si="3"/>
        <v>0</v>
      </c>
      <c r="L7">
        <f t="shared" si="3"/>
        <v>0</v>
      </c>
      <c r="M7">
        <f t="shared" si="3"/>
        <v>0</v>
      </c>
      <c r="N7">
        <f t="shared" si="3"/>
        <v>0</v>
      </c>
      <c r="O7">
        <f t="shared" si="3"/>
        <v>0</v>
      </c>
      <c r="P7">
        <f t="shared" si="3"/>
        <v>0</v>
      </c>
      <c r="Q7">
        <f t="shared" si="3"/>
        <v>0</v>
      </c>
      <c r="R7">
        <f t="shared" si="3"/>
        <v>0</v>
      </c>
      <c r="S7">
        <f t="shared" si="3"/>
        <v>0</v>
      </c>
      <c r="T7">
        <f t="shared" si="3"/>
        <v>0</v>
      </c>
      <c r="U7">
        <f t="shared" si="3"/>
        <v>0</v>
      </c>
      <c r="V7">
        <f t="shared" si="3"/>
        <v>0</v>
      </c>
      <c r="W7">
        <f t="shared" si="3"/>
        <v>0</v>
      </c>
      <c r="X7">
        <f t="shared" si="3"/>
        <v>0</v>
      </c>
      <c r="Y7">
        <f t="shared" si="3"/>
        <v>0</v>
      </c>
      <c r="Z7">
        <f t="shared" si="3"/>
        <v>0</v>
      </c>
      <c r="AA7">
        <f t="shared" si="3"/>
        <v>0</v>
      </c>
      <c r="AB7">
        <f t="shared" si="3"/>
        <v>0</v>
      </c>
      <c r="AC7">
        <f t="shared" si="3"/>
        <v>0</v>
      </c>
      <c r="AD7">
        <f t="shared" si="3"/>
        <v>0</v>
      </c>
      <c r="AE7">
        <f t="shared" si="3"/>
        <v>0</v>
      </c>
      <c r="AF7">
        <f t="shared" si="3"/>
        <v>0</v>
      </c>
      <c r="AG7">
        <f t="shared" si="3"/>
        <v>0</v>
      </c>
      <c r="AH7">
        <f t="shared" si="3"/>
        <v>0</v>
      </c>
      <c r="AI7">
        <f t="shared" si="3"/>
        <v>0</v>
      </c>
      <c r="AJ7">
        <f t="shared" si="3"/>
        <v>0</v>
      </c>
      <c r="AK7">
        <f t="shared" si="3"/>
        <v>0</v>
      </c>
      <c r="AL7">
        <f t="shared" si="3"/>
        <v>0</v>
      </c>
      <c r="AM7">
        <f t="shared" si="3"/>
        <v>0</v>
      </c>
      <c r="AN7">
        <f t="shared" si="3"/>
        <v>0</v>
      </c>
      <c r="AO7">
        <f t="shared" si="3"/>
        <v>0</v>
      </c>
      <c r="AP7">
        <f t="shared" si="3"/>
        <v>0</v>
      </c>
      <c r="AQ7">
        <f t="shared" si="3"/>
        <v>0</v>
      </c>
      <c r="AR7">
        <f t="shared" si="3"/>
        <v>0</v>
      </c>
    </row>
    <row r="8" spans="1:44" x14ac:dyDescent="0.2">
      <c r="A8">
        <f>A7+0.1</f>
        <v>5.1499999999999995</v>
      </c>
      <c r="B8" s="1">
        <f t="shared" ref="B8:B43" ca="1" si="4">$C8*$H$5</f>
        <v>5.0387207325126963E-3</v>
      </c>
      <c r="C8" s="1">
        <f t="array" aca="1" ref="C8" ca="1">INDIRECT(ADDRESS(5,$D8,1,FALSE),FALSE)</f>
        <v>0.12497329239335092</v>
      </c>
      <c r="D8">
        <f>D7+1</f>
        <v>10</v>
      </c>
      <c r="E8" s="1">
        <f>moment_rate!$M8</f>
        <v>1047.3406100465895</v>
      </c>
      <c r="F8" s="1">
        <f t="shared" ref="F8:F71" si="5">E8-E9</f>
        <v>21.48083777113402</v>
      </c>
      <c r="G8">
        <f>moment_rate!I8-0.005</f>
        <v>9.9999999999999985E-3</v>
      </c>
      <c r="H8" s="1">
        <f t="shared" ref="H8:H71" si="6">IF($G8&gt;=4.999,(E8-E9),0)</f>
        <v>0</v>
      </c>
      <c r="I8">
        <f t="shared" ref="I8:X30" si="7">IF(AND($G8&gt;=I$3,$G8&lt;I$4),$F8,0)</f>
        <v>0</v>
      </c>
      <c r="J8">
        <f t="shared" si="3"/>
        <v>0</v>
      </c>
      <c r="K8">
        <f t="shared" si="3"/>
        <v>0</v>
      </c>
      <c r="L8">
        <f t="shared" si="3"/>
        <v>0</v>
      </c>
      <c r="M8">
        <f t="shared" si="3"/>
        <v>0</v>
      </c>
      <c r="N8">
        <f t="shared" si="3"/>
        <v>0</v>
      </c>
      <c r="O8">
        <f t="shared" si="3"/>
        <v>0</v>
      </c>
      <c r="P8">
        <f t="shared" si="3"/>
        <v>0</v>
      </c>
      <c r="Q8">
        <f t="shared" si="3"/>
        <v>0</v>
      </c>
      <c r="R8">
        <f t="shared" si="3"/>
        <v>0</v>
      </c>
      <c r="S8">
        <f t="shared" si="3"/>
        <v>0</v>
      </c>
      <c r="T8">
        <f t="shared" si="3"/>
        <v>0</v>
      </c>
      <c r="U8">
        <f t="shared" si="3"/>
        <v>0</v>
      </c>
      <c r="V8">
        <f t="shared" si="3"/>
        <v>0</v>
      </c>
      <c r="W8">
        <f t="shared" si="3"/>
        <v>0</v>
      </c>
      <c r="X8">
        <f t="shared" si="3"/>
        <v>0</v>
      </c>
      <c r="Y8">
        <f t="shared" si="3"/>
        <v>0</v>
      </c>
      <c r="Z8">
        <f t="shared" si="3"/>
        <v>0</v>
      </c>
      <c r="AA8">
        <f t="shared" si="3"/>
        <v>0</v>
      </c>
      <c r="AB8">
        <f t="shared" si="3"/>
        <v>0</v>
      </c>
      <c r="AC8">
        <f t="shared" si="3"/>
        <v>0</v>
      </c>
      <c r="AD8">
        <f t="shared" si="3"/>
        <v>0</v>
      </c>
      <c r="AE8">
        <f t="shared" si="3"/>
        <v>0</v>
      </c>
      <c r="AF8">
        <f t="shared" si="3"/>
        <v>0</v>
      </c>
      <c r="AG8">
        <f t="shared" si="3"/>
        <v>0</v>
      </c>
      <c r="AH8">
        <f t="shared" si="3"/>
        <v>0</v>
      </c>
      <c r="AI8">
        <f t="shared" si="3"/>
        <v>0</v>
      </c>
      <c r="AJ8">
        <f t="shared" si="3"/>
        <v>0</v>
      </c>
      <c r="AK8">
        <f t="shared" si="3"/>
        <v>0</v>
      </c>
      <c r="AL8">
        <f t="shared" si="3"/>
        <v>0</v>
      </c>
      <c r="AM8">
        <f t="shared" si="3"/>
        <v>0</v>
      </c>
      <c r="AN8">
        <f t="shared" si="3"/>
        <v>0</v>
      </c>
      <c r="AO8">
        <f t="shared" si="3"/>
        <v>0</v>
      </c>
      <c r="AP8">
        <f t="shared" si="3"/>
        <v>0</v>
      </c>
      <c r="AQ8">
        <f t="shared" si="3"/>
        <v>0</v>
      </c>
      <c r="AR8">
        <f t="shared" si="3"/>
        <v>0</v>
      </c>
    </row>
    <row r="9" spans="1:44" x14ac:dyDescent="0.2">
      <c r="A9">
        <f t="shared" ref="A9:A43" si="8">A8+0.1</f>
        <v>5.2499999999999991</v>
      </c>
      <c r="B9" s="1">
        <f t="shared" ca="1" si="4"/>
        <v>4.0956259738150619E-3</v>
      </c>
      <c r="C9" s="1">
        <f t="array" aca="1" ref="C9" ca="1">INDIRECT(ADDRESS(5,$D9,1,FALSE),FALSE)</f>
        <v>0.10158210576281479</v>
      </c>
      <c r="D9">
        <f t="shared" ref="D9:D43" si="9">D8+1</f>
        <v>11</v>
      </c>
      <c r="E9" s="1">
        <f>moment_rate!$M9</f>
        <v>1025.8597722754555</v>
      </c>
      <c r="F9" s="1">
        <f t="shared" si="5"/>
        <v>21.040265475014394</v>
      </c>
      <c r="G9">
        <f>moment_rate!I9-0.005</f>
        <v>0.02</v>
      </c>
      <c r="H9" s="1">
        <f t="shared" si="6"/>
        <v>0</v>
      </c>
      <c r="I9">
        <f t="shared" si="7"/>
        <v>0</v>
      </c>
      <c r="J9">
        <f t="shared" si="3"/>
        <v>0</v>
      </c>
      <c r="K9">
        <f t="shared" si="3"/>
        <v>0</v>
      </c>
      <c r="L9">
        <f t="shared" si="3"/>
        <v>0</v>
      </c>
      <c r="M9">
        <f t="shared" si="3"/>
        <v>0</v>
      </c>
      <c r="N9">
        <f t="shared" si="3"/>
        <v>0</v>
      </c>
      <c r="O9">
        <f t="shared" si="3"/>
        <v>0</v>
      </c>
      <c r="P9">
        <f t="shared" si="3"/>
        <v>0</v>
      </c>
      <c r="Q9">
        <f t="shared" si="3"/>
        <v>0</v>
      </c>
      <c r="R9">
        <f t="shared" si="3"/>
        <v>0</v>
      </c>
      <c r="S9">
        <f t="shared" si="3"/>
        <v>0</v>
      </c>
      <c r="T9">
        <f t="shared" si="3"/>
        <v>0</v>
      </c>
      <c r="U9">
        <f t="shared" si="3"/>
        <v>0</v>
      </c>
      <c r="V9">
        <f t="shared" si="3"/>
        <v>0</v>
      </c>
      <c r="W9">
        <f t="shared" si="3"/>
        <v>0</v>
      </c>
      <c r="X9">
        <f t="shared" si="3"/>
        <v>0</v>
      </c>
      <c r="Y9">
        <f t="shared" si="3"/>
        <v>0</v>
      </c>
      <c r="Z9">
        <f t="shared" si="3"/>
        <v>0</v>
      </c>
      <c r="AA9">
        <f t="shared" si="3"/>
        <v>0</v>
      </c>
      <c r="AB9">
        <f t="shared" si="3"/>
        <v>0</v>
      </c>
      <c r="AC9">
        <f t="shared" si="3"/>
        <v>0</v>
      </c>
      <c r="AD9">
        <f t="shared" si="3"/>
        <v>0</v>
      </c>
      <c r="AE9">
        <f t="shared" si="3"/>
        <v>0</v>
      </c>
      <c r="AF9">
        <f t="shared" si="3"/>
        <v>0</v>
      </c>
      <c r="AG9">
        <f t="shared" si="3"/>
        <v>0</v>
      </c>
      <c r="AH9">
        <f t="shared" si="3"/>
        <v>0</v>
      </c>
      <c r="AI9">
        <f t="shared" si="3"/>
        <v>0</v>
      </c>
      <c r="AJ9">
        <f t="shared" si="3"/>
        <v>0</v>
      </c>
      <c r="AK9">
        <f t="shared" si="3"/>
        <v>0</v>
      </c>
      <c r="AL9">
        <f t="shared" si="3"/>
        <v>0</v>
      </c>
      <c r="AM9">
        <f t="shared" si="3"/>
        <v>0</v>
      </c>
      <c r="AN9">
        <f t="shared" si="3"/>
        <v>0</v>
      </c>
      <c r="AO9">
        <f t="shared" si="3"/>
        <v>0</v>
      </c>
      <c r="AP9">
        <f t="shared" si="3"/>
        <v>0</v>
      </c>
      <c r="AQ9">
        <f t="shared" si="3"/>
        <v>0</v>
      </c>
      <c r="AR9">
        <f t="shared" si="3"/>
        <v>0</v>
      </c>
    </row>
    <row r="10" spans="1:44" x14ac:dyDescent="0.2">
      <c r="A10">
        <f t="shared" si="8"/>
        <v>5.3499999999999988</v>
      </c>
      <c r="B10" s="1">
        <f t="shared" ca="1" si="4"/>
        <v>3.3290497743112091E-3</v>
      </c>
      <c r="C10" s="1">
        <f t="array" aca="1" ref="C10" ca="1">INDIRECT(ADDRESS(5,$D10,1,FALSE),FALSE)</f>
        <v>8.2569035460225385E-2</v>
      </c>
      <c r="D10">
        <f t="shared" si="9"/>
        <v>12</v>
      </c>
      <c r="E10" s="1">
        <f>moment_rate!$M10</f>
        <v>1004.8195068004411</v>
      </c>
      <c r="F10" s="1">
        <f t="shared" si="5"/>
        <v>20.608729323117132</v>
      </c>
      <c r="G10">
        <f>moment_rate!I10-0.005</f>
        <v>3.0000000000000002E-2</v>
      </c>
      <c r="H10" s="1">
        <f t="shared" si="6"/>
        <v>0</v>
      </c>
      <c r="I10">
        <f t="shared" si="7"/>
        <v>0</v>
      </c>
      <c r="J10">
        <f t="shared" si="3"/>
        <v>0</v>
      </c>
      <c r="K10">
        <f t="shared" si="3"/>
        <v>0</v>
      </c>
      <c r="L10">
        <f t="shared" si="3"/>
        <v>0</v>
      </c>
      <c r="M10">
        <f t="shared" si="3"/>
        <v>0</v>
      </c>
      <c r="N10">
        <f t="shared" si="3"/>
        <v>0</v>
      </c>
      <c r="O10">
        <f t="shared" si="3"/>
        <v>0</v>
      </c>
      <c r="P10">
        <f t="shared" si="3"/>
        <v>0</v>
      </c>
      <c r="Q10">
        <f t="shared" si="3"/>
        <v>0</v>
      </c>
      <c r="R10">
        <f t="shared" si="3"/>
        <v>0</v>
      </c>
      <c r="S10">
        <f t="shared" si="3"/>
        <v>0</v>
      </c>
      <c r="T10">
        <f t="shared" si="3"/>
        <v>0</v>
      </c>
      <c r="U10">
        <f t="shared" si="3"/>
        <v>0</v>
      </c>
      <c r="V10">
        <f t="shared" si="3"/>
        <v>0</v>
      </c>
      <c r="W10">
        <f t="shared" si="3"/>
        <v>0</v>
      </c>
      <c r="X10">
        <f t="shared" si="3"/>
        <v>0</v>
      </c>
      <c r="Y10">
        <f t="shared" si="3"/>
        <v>0</v>
      </c>
      <c r="Z10">
        <f t="shared" si="3"/>
        <v>0</v>
      </c>
      <c r="AA10">
        <f t="shared" si="3"/>
        <v>0</v>
      </c>
      <c r="AB10">
        <f t="shared" si="3"/>
        <v>0</v>
      </c>
      <c r="AC10">
        <f t="shared" si="3"/>
        <v>0</v>
      </c>
      <c r="AD10">
        <f t="shared" si="3"/>
        <v>0</v>
      </c>
      <c r="AE10">
        <f t="shared" si="3"/>
        <v>0</v>
      </c>
      <c r="AF10">
        <f t="shared" si="3"/>
        <v>0</v>
      </c>
      <c r="AG10">
        <f t="shared" si="3"/>
        <v>0</v>
      </c>
      <c r="AH10">
        <f t="shared" si="3"/>
        <v>0</v>
      </c>
      <c r="AI10">
        <f t="shared" si="3"/>
        <v>0</v>
      </c>
      <c r="AJ10">
        <f t="shared" si="3"/>
        <v>0</v>
      </c>
      <c r="AK10">
        <f t="shared" si="3"/>
        <v>0</v>
      </c>
      <c r="AL10">
        <f t="shared" si="3"/>
        <v>0</v>
      </c>
      <c r="AM10">
        <f t="shared" si="3"/>
        <v>0</v>
      </c>
      <c r="AN10">
        <f t="shared" si="3"/>
        <v>0</v>
      </c>
      <c r="AO10">
        <f t="shared" si="3"/>
        <v>0</v>
      </c>
      <c r="AP10">
        <f t="shared" si="3"/>
        <v>0</v>
      </c>
      <c r="AQ10">
        <f t="shared" si="3"/>
        <v>0</v>
      </c>
      <c r="AR10">
        <f t="shared" si="3"/>
        <v>0</v>
      </c>
    </row>
    <row r="11" spans="1:44" x14ac:dyDescent="0.2">
      <c r="A11">
        <f t="shared" si="8"/>
        <v>5.4499999999999984</v>
      </c>
      <c r="B11" s="1">
        <f t="shared" ca="1" si="4"/>
        <v>2.7059532463893682E-3</v>
      </c>
      <c r="C11" s="1">
        <f t="array" aca="1" ref="C11" ca="1">INDIRECT(ADDRESS(5,$D11,1,FALSE),FALSE)</f>
        <v>6.7114631712307055E-2</v>
      </c>
      <c r="D11">
        <f t="shared" si="9"/>
        <v>13</v>
      </c>
      <c r="E11" s="1">
        <f>moment_rate!$M11</f>
        <v>984.21077747732397</v>
      </c>
      <c r="F11" s="1">
        <f t="shared" si="5"/>
        <v>20.186043983991908</v>
      </c>
      <c r="G11">
        <f>moment_rate!I11-0.005</f>
        <v>4.0000000000000008E-2</v>
      </c>
      <c r="H11" s="1">
        <f t="shared" si="6"/>
        <v>0</v>
      </c>
      <c r="I11">
        <f t="shared" si="7"/>
        <v>0</v>
      </c>
      <c r="J11">
        <f t="shared" si="3"/>
        <v>0</v>
      </c>
      <c r="K11">
        <f t="shared" si="3"/>
        <v>0</v>
      </c>
      <c r="L11">
        <f t="shared" si="3"/>
        <v>0</v>
      </c>
      <c r="M11">
        <f t="shared" si="3"/>
        <v>0</v>
      </c>
      <c r="N11">
        <f t="shared" si="3"/>
        <v>0</v>
      </c>
      <c r="O11">
        <f t="shared" si="3"/>
        <v>0</v>
      </c>
      <c r="P11">
        <f t="shared" si="3"/>
        <v>0</v>
      </c>
      <c r="Q11">
        <f t="shared" si="3"/>
        <v>0</v>
      </c>
      <c r="R11">
        <f t="shared" si="3"/>
        <v>0</v>
      </c>
      <c r="S11">
        <f t="shared" si="3"/>
        <v>0</v>
      </c>
      <c r="T11">
        <f t="shared" si="3"/>
        <v>0</v>
      </c>
      <c r="U11">
        <f t="shared" si="3"/>
        <v>0</v>
      </c>
      <c r="V11">
        <f t="shared" si="3"/>
        <v>0</v>
      </c>
      <c r="W11">
        <f t="shared" si="3"/>
        <v>0</v>
      </c>
      <c r="X11">
        <f t="shared" si="3"/>
        <v>0</v>
      </c>
      <c r="Y11">
        <f t="shared" si="3"/>
        <v>0</v>
      </c>
      <c r="Z11">
        <f t="shared" si="3"/>
        <v>0</v>
      </c>
      <c r="AA11">
        <f t="shared" si="3"/>
        <v>0</v>
      </c>
      <c r="AB11">
        <f t="shared" si="3"/>
        <v>0</v>
      </c>
      <c r="AC11">
        <f t="shared" si="3"/>
        <v>0</v>
      </c>
      <c r="AD11">
        <f t="shared" si="3"/>
        <v>0</v>
      </c>
      <c r="AE11">
        <f t="shared" si="3"/>
        <v>0</v>
      </c>
      <c r="AF11">
        <f t="shared" si="3"/>
        <v>0</v>
      </c>
      <c r="AG11">
        <f t="shared" si="3"/>
        <v>0</v>
      </c>
      <c r="AH11">
        <f t="shared" si="3"/>
        <v>0</v>
      </c>
      <c r="AI11">
        <f t="shared" si="3"/>
        <v>0</v>
      </c>
      <c r="AJ11">
        <f t="shared" si="3"/>
        <v>0</v>
      </c>
      <c r="AK11">
        <f t="shared" si="3"/>
        <v>0</v>
      </c>
      <c r="AL11">
        <f t="shared" si="3"/>
        <v>0</v>
      </c>
      <c r="AM11">
        <f t="shared" si="3"/>
        <v>0</v>
      </c>
      <c r="AN11">
        <f t="shared" si="3"/>
        <v>0</v>
      </c>
      <c r="AO11">
        <f t="shared" si="3"/>
        <v>0</v>
      </c>
      <c r="AP11">
        <f t="shared" si="3"/>
        <v>0</v>
      </c>
      <c r="AQ11">
        <f t="shared" si="3"/>
        <v>0</v>
      </c>
      <c r="AR11">
        <f t="shared" si="3"/>
        <v>0</v>
      </c>
    </row>
    <row r="12" spans="1:44" x14ac:dyDescent="0.2">
      <c r="A12">
        <f t="shared" si="8"/>
        <v>5.549999999999998</v>
      </c>
      <c r="B12" s="1">
        <f t="shared" ca="1" si="4"/>
        <v>2.1994813739786012E-3</v>
      </c>
      <c r="C12" s="1">
        <f t="array" aca="1" ref="C12" ca="1">INDIRECT(ADDRESS(5,$D12,1,FALSE),FALSE)</f>
        <v>5.4552820736878241E-2</v>
      </c>
      <c r="D12">
        <f t="shared" si="9"/>
        <v>14</v>
      </c>
      <c r="E12" s="1">
        <f>moment_rate!$M12</f>
        <v>964.02473349333206</v>
      </c>
      <c r="F12" s="1">
        <f t="shared" si="5"/>
        <v>19.772027927339536</v>
      </c>
      <c r="G12">
        <f>moment_rate!I12-0.005</f>
        <v>5.000000000000001E-2</v>
      </c>
      <c r="H12" s="1">
        <f t="shared" si="6"/>
        <v>0</v>
      </c>
      <c r="I12">
        <f t="shared" si="7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  <c r="AL12">
        <f t="shared" si="3"/>
        <v>0</v>
      </c>
      <c r="AM12">
        <f t="shared" si="3"/>
        <v>0</v>
      </c>
      <c r="AN12">
        <f t="shared" si="3"/>
        <v>0</v>
      </c>
      <c r="AO12">
        <f t="shared" si="3"/>
        <v>0</v>
      </c>
      <c r="AP12">
        <f t="shared" si="3"/>
        <v>0</v>
      </c>
      <c r="AQ12">
        <f t="shared" si="3"/>
        <v>0</v>
      </c>
      <c r="AR12">
        <f t="shared" si="3"/>
        <v>0</v>
      </c>
    </row>
    <row r="13" spans="1:44" x14ac:dyDescent="0.2">
      <c r="A13">
        <f t="shared" si="8"/>
        <v>5.6499999999999977</v>
      </c>
      <c r="B13" s="1">
        <f t="shared" ca="1" si="4"/>
        <v>1.7878055805043546E-3</v>
      </c>
      <c r="C13" s="1">
        <f t="array" aca="1" ref="C13" ca="1">INDIRECT(ADDRESS(5,$D13,1,FALSE),FALSE)</f>
        <v>4.434219743776447E-2</v>
      </c>
      <c r="D13">
        <f t="shared" si="9"/>
        <v>15</v>
      </c>
      <c r="E13" s="1">
        <f>moment_rate!$M13</f>
        <v>944.25270556599253</v>
      </c>
      <c r="F13" s="1">
        <f t="shared" si="5"/>
        <v>19.366503346050195</v>
      </c>
      <c r="G13">
        <f>moment_rate!I13-0.005</f>
        <v>6.0000000000000005E-2</v>
      </c>
      <c r="H13" s="1">
        <f t="shared" si="6"/>
        <v>0</v>
      </c>
      <c r="I13">
        <f t="shared" si="7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  <c r="AL13">
        <f t="shared" si="3"/>
        <v>0</v>
      </c>
      <c r="AM13">
        <f t="shared" si="3"/>
        <v>0</v>
      </c>
      <c r="AN13">
        <f t="shared" si="3"/>
        <v>0</v>
      </c>
      <c r="AO13">
        <f t="shared" si="3"/>
        <v>0</v>
      </c>
      <c r="AP13">
        <f t="shared" si="3"/>
        <v>0</v>
      </c>
      <c r="AQ13">
        <f t="shared" si="3"/>
        <v>0</v>
      </c>
      <c r="AR13">
        <f t="shared" si="3"/>
        <v>0</v>
      </c>
    </row>
    <row r="14" spans="1:44" x14ac:dyDescent="0.2">
      <c r="A14">
        <f t="shared" si="8"/>
        <v>5.7499999999999973</v>
      </c>
      <c r="B14" s="1">
        <f t="shared" ca="1" si="4"/>
        <v>1.4531829328024212E-3</v>
      </c>
      <c r="C14" s="1">
        <f t="array" aca="1" ref="C14" ca="1">INDIRECT(ADDRESS(5,$D14,1,FALSE),FALSE)</f>
        <v>3.604269123118873E-2</v>
      </c>
      <c r="D14">
        <f t="shared" si="9"/>
        <v>16</v>
      </c>
      <c r="E14" s="1">
        <f>moment_rate!$M14</f>
        <v>924.88620221994233</v>
      </c>
      <c r="F14" s="1">
        <f t="shared" si="5"/>
        <v>18.969296079840092</v>
      </c>
      <c r="G14">
        <f>moment_rate!I14-0.005</f>
        <v>6.9999999999999993E-2</v>
      </c>
      <c r="H14" s="1">
        <f t="shared" si="6"/>
        <v>0</v>
      </c>
      <c r="I14">
        <f t="shared" si="7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ref="T14:AI29" si="10">IF(AND($G14&gt;=T$3,$G14&lt;T$4),$F14,0)</f>
        <v>0</v>
      </c>
      <c r="U14">
        <f t="shared" si="10"/>
        <v>0</v>
      </c>
      <c r="V14">
        <f t="shared" si="10"/>
        <v>0</v>
      </c>
      <c r="W14">
        <f t="shared" si="10"/>
        <v>0</v>
      </c>
      <c r="X14">
        <f t="shared" si="10"/>
        <v>0</v>
      </c>
      <c r="Y14">
        <f t="shared" si="10"/>
        <v>0</v>
      </c>
      <c r="Z14">
        <f t="shared" si="10"/>
        <v>0</v>
      </c>
      <c r="AA14">
        <f t="shared" si="10"/>
        <v>0</v>
      </c>
      <c r="AB14">
        <f t="shared" si="10"/>
        <v>0</v>
      </c>
      <c r="AC14">
        <f t="shared" si="10"/>
        <v>0</v>
      </c>
      <c r="AD14">
        <f t="shared" si="10"/>
        <v>0</v>
      </c>
      <c r="AE14">
        <f t="shared" si="10"/>
        <v>0</v>
      </c>
      <c r="AF14">
        <f t="shared" si="10"/>
        <v>0</v>
      </c>
      <c r="AG14">
        <f t="shared" si="10"/>
        <v>0</v>
      </c>
      <c r="AH14">
        <f t="shared" si="10"/>
        <v>0</v>
      </c>
      <c r="AI14">
        <f t="shared" si="10"/>
        <v>0</v>
      </c>
      <c r="AJ14">
        <f t="shared" ref="AJ14:AR44" si="11">IF(AND($G14&gt;=AJ$3,$G14&lt;AJ$4),$F14,0)</f>
        <v>0</v>
      </c>
      <c r="AK14">
        <f t="shared" si="11"/>
        <v>0</v>
      </c>
      <c r="AL14">
        <f t="shared" si="11"/>
        <v>0</v>
      </c>
      <c r="AM14">
        <f t="shared" si="11"/>
        <v>0</v>
      </c>
      <c r="AN14">
        <f t="shared" si="11"/>
        <v>0</v>
      </c>
      <c r="AO14">
        <f t="shared" si="11"/>
        <v>0</v>
      </c>
      <c r="AP14">
        <f t="shared" si="11"/>
        <v>0</v>
      </c>
      <c r="AQ14">
        <f t="shared" si="11"/>
        <v>0</v>
      </c>
      <c r="AR14">
        <f t="shared" si="11"/>
        <v>0</v>
      </c>
    </row>
    <row r="15" spans="1:44" x14ac:dyDescent="0.2">
      <c r="A15">
        <f t="shared" si="8"/>
        <v>5.849999999999997</v>
      </c>
      <c r="B15" s="1">
        <f t="shared" ca="1" si="4"/>
        <v>1.1811914333506538E-3</v>
      </c>
      <c r="C15" s="1">
        <f t="array" aca="1" ref="C15" ca="1">INDIRECT(ADDRESS(5,$D15,1,FALSE),FALSE)</f>
        <v>2.9296599317390443E-2</v>
      </c>
      <c r="D15">
        <f t="shared" si="9"/>
        <v>17</v>
      </c>
      <c r="E15" s="1">
        <f>moment_rate!$M15</f>
        <v>905.91690614010224</v>
      </c>
      <c r="F15" s="1">
        <f t="shared" si="5"/>
        <v>18.580235540455988</v>
      </c>
      <c r="G15">
        <f>moment_rate!I15-0.005</f>
        <v>7.9999999999999988E-2</v>
      </c>
      <c r="H15" s="1">
        <f t="shared" si="6"/>
        <v>0</v>
      </c>
      <c r="I15">
        <f t="shared" si="7"/>
        <v>0</v>
      </c>
      <c r="J15">
        <f t="shared" si="7"/>
        <v>0</v>
      </c>
      <c r="K15">
        <f t="shared" si="7"/>
        <v>0</v>
      </c>
      <c r="L15">
        <f t="shared" si="7"/>
        <v>0</v>
      </c>
      <c r="M15">
        <f t="shared" si="7"/>
        <v>0</v>
      </c>
      <c r="N15">
        <f t="shared" si="7"/>
        <v>0</v>
      </c>
      <c r="O15">
        <f t="shared" si="7"/>
        <v>0</v>
      </c>
      <c r="P15">
        <f t="shared" si="7"/>
        <v>0</v>
      </c>
      <c r="Q15">
        <f t="shared" si="7"/>
        <v>0</v>
      </c>
      <c r="R15">
        <f t="shared" si="7"/>
        <v>0</v>
      </c>
      <c r="S15">
        <f t="shared" si="7"/>
        <v>0</v>
      </c>
      <c r="T15">
        <f t="shared" si="7"/>
        <v>0</v>
      </c>
      <c r="U15">
        <f t="shared" si="7"/>
        <v>0</v>
      </c>
      <c r="V15">
        <f t="shared" si="7"/>
        <v>0</v>
      </c>
      <c r="W15">
        <f t="shared" si="7"/>
        <v>0</v>
      </c>
      <c r="X15">
        <f t="shared" si="7"/>
        <v>0</v>
      </c>
      <c r="Y15">
        <f t="shared" si="10"/>
        <v>0</v>
      </c>
      <c r="Z15">
        <f t="shared" si="10"/>
        <v>0</v>
      </c>
      <c r="AA15">
        <f t="shared" si="10"/>
        <v>0</v>
      </c>
      <c r="AB15">
        <f t="shared" si="10"/>
        <v>0</v>
      </c>
      <c r="AC15">
        <f t="shared" si="10"/>
        <v>0</v>
      </c>
      <c r="AD15">
        <f t="shared" si="10"/>
        <v>0</v>
      </c>
      <c r="AE15">
        <f t="shared" si="10"/>
        <v>0</v>
      </c>
      <c r="AF15">
        <f t="shared" si="10"/>
        <v>0</v>
      </c>
      <c r="AG15">
        <f t="shared" si="10"/>
        <v>0</v>
      </c>
      <c r="AH15">
        <f t="shared" si="10"/>
        <v>0</v>
      </c>
      <c r="AI15">
        <f t="shared" si="10"/>
        <v>0</v>
      </c>
      <c r="AJ15">
        <f t="shared" si="11"/>
        <v>0</v>
      </c>
      <c r="AK15">
        <f t="shared" si="11"/>
        <v>0</v>
      </c>
      <c r="AL15">
        <f t="shared" si="11"/>
        <v>0</v>
      </c>
      <c r="AM15">
        <f t="shared" si="11"/>
        <v>0</v>
      </c>
      <c r="AN15">
        <f t="shared" si="11"/>
        <v>0</v>
      </c>
      <c r="AO15">
        <f t="shared" si="11"/>
        <v>0</v>
      </c>
      <c r="AP15">
        <f t="shared" si="11"/>
        <v>0</v>
      </c>
      <c r="AQ15">
        <f t="shared" si="11"/>
        <v>0</v>
      </c>
      <c r="AR15">
        <f t="shared" si="11"/>
        <v>0</v>
      </c>
    </row>
    <row r="16" spans="1:44" x14ac:dyDescent="0.2">
      <c r="A16">
        <f t="shared" si="8"/>
        <v>5.9499999999999966</v>
      </c>
      <c r="B16" s="1">
        <f t="shared" ca="1" si="4"/>
        <v>9.6010844245903067E-4</v>
      </c>
      <c r="C16" s="1">
        <f t="array" aca="1" ref="C16" ca="1">INDIRECT(ADDRESS(5,$D16,1,FALSE),FALSE)</f>
        <v>2.3813169945007432E-2</v>
      </c>
      <c r="D16">
        <f t="shared" si="9"/>
        <v>18</v>
      </c>
      <c r="E16" s="1">
        <f>moment_rate!$M16</f>
        <v>887.33667059964625</v>
      </c>
      <c r="F16" s="1">
        <f t="shared" si="5"/>
        <v>18.199154638411414</v>
      </c>
      <c r="G16">
        <f>moment_rate!I16-0.005</f>
        <v>8.9999999999999983E-2</v>
      </c>
      <c r="H16" s="1">
        <f t="shared" si="6"/>
        <v>0</v>
      </c>
      <c r="I16">
        <f t="shared" si="7"/>
        <v>0</v>
      </c>
      <c r="J16">
        <f t="shared" si="7"/>
        <v>0</v>
      </c>
      <c r="K16">
        <f t="shared" si="7"/>
        <v>0</v>
      </c>
      <c r="L16">
        <f t="shared" si="7"/>
        <v>0</v>
      </c>
      <c r="M16">
        <f t="shared" si="7"/>
        <v>0</v>
      </c>
      <c r="N16">
        <f t="shared" si="7"/>
        <v>0</v>
      </c>
      <c r="O16">
        <f t="shared" si="7"/>
        <v>0</v>
      </c>
      <c r="P16">
        <f t="shared" si="7"/>
        <v>0</v>
      </c>
      <c r="Q16">
        <f t="shared" si="7"/>
        <v>0</v>
      </c>
      <c r="R16">
        <f t="shared" si="7"/>
        <v>0</v>
      </c>
      <c r="S16">
        <f t="shared" si="7"/>
        <v>0</v>
      </c>
      <c r="T16">
        <f t="shared" si="7"/>
        <v>0</v>
      </c>
      <c r="U16">
        <f t="shared" si="7"/>
        <v>0</v>
      </c>
      <c r="V16">
        <f t="shared" si="7"/>
        <v>0</v>
      </c>
      <c r="W16">
        <f t="shared" si="7"/>
        <v>0</v>
      </c>
      <c r="X16">
        <f t="shared" si="7"/>
        <v>0</v>
      </c>
      <c r="Y16">
        <f t="shared" si="10"/>
        <v>0</v>
      </c>
      <c r="Z16">
        <f t="shared" si="10"/>
        <v>0</v>
      </c>
      <c r="AA16">
        <f t="shared" si="10"/>
        <v>0</v>
      </c>
      <c r="AB16">
        <f t="shared" si="10"/>
        <v>0</v>
      </c>
      <c r="AC16">
        <f t="shared" si="10"/>
        <v>0</v>
      </c>
      <c r="AD16">
        <f t="shared" si="10"/>
        <v>0</v>
      </c>
      <c r="AE16">
        <f t="shared" si="10"/>
        <v>0</v>
      </c>
      <c r="AF16">
        <f t="shared" si="10"/>
        <v>0</v>
      </c>
      <c r="AG16">
        <f t="shared" si="10"/>
        <v>0</v>
      </c>
      <c r="AH16">
        <f t="shared" si="10"/>
        <v>0</v>
      </c>
      <c r="AI16">
        <f t="shared" si="10"/>
        <v>0</v>
      </c>
      <c r="AJ16">
        <f t="shared" si="11"/>
        <v>0</v>
      </c>
      <c r="AK16">
        <f t="shared" si="11"/>
        <v>0</v>
      </c>
      <c r="AL16">
        <f t="shared" si="11"/>
        <v>0</v>
      </c>
      <c r="AM16">
        <f t="shared" si="11"/>
        <v>0</v>
      </c>
      <c r="AN16">
        <f t="shared" si="11"/>
        <v>0</v>
      </c>
      <c r="AO16">
        <f t="shared" si="11"/>
        <v>0</v>
      </c>
      <c r="AP16">
        <f t="shared" si="11"/>
        <v>0</v>
      </c>
      <c r="AQ16">
        <f t="shared" si="11"/>
        <v>0</v>
      </c>
      <c r="AR16">
        <f t="shared" si="11"/>
        <v>0</v>
      </c>
    </row>
    <row r="17" spans="1:44" x14ac:dyDescent="0.2">
      <c r="A17">
        <f t="shared" si="8"/>
        <v>6.0499999999999963</v>
      </c>
      <c r="B17" s="1">
        <f t="shared" ca="1" si="4"/>
        <v>7.8040544085748557E-4</v>
      </c>
      <c r="C17" s="1">
        <f t="array" aca="1" ref="C17" ca="1">INDIRECT(ADDRESS(5,$D17,1,FALSE),FALSE)</f>
        <v>1.9356071217903864E-2</v>
      </c>
      <c r="D17">
        <f t="shared" si="9"/>
        <v>19</v>
      </c>
      <c r="E17" s="1">
        <f>moment_rate!$M17</f>
        <v>869.13751596123484</v>
      </c>
      <c r="F17" s="1">
        <f t="shared" si="5"/>
        <v>17.825889711228228</v>
      </c>
      <c r="G17">
        <f>moment_rate!I17-0.005</f>
        <v>9.9999999999999978E-2</v>
      </c>
      <c r="H17" s="1">
        <f t="shared" si="6"/>
        <v>0</v>
      </c>
      <c r="I17">
        <f t="shared" si="7"/>
        <v>0</v>
      </c>
      <c r="J17">
        <f t="shared" si="7"/>
        <v>0</v>
      </c>
      <c r="K17">
        <f t="shared" si="7"/>
        <v>0</v>
      </c>
      <c r="L17">
        <f t="shared" si="7"/>
        <v>0</v>
      </c>
      <c r="M17">
        <f t="shared" si="7"/>
        <v>0</v>
      </c>
      <c r="N17">
        <f t="shared" si="7"/>
        <v>0</v>
      </c>
      <c r="O17">
        <f t="shared" si="7"/>
        <v>0</v>
      </c>
      <c r="P17">
        <f t="shared" si="7"/>
        <v>0</v>
      </c>
      <c r="Q17">
        <f t="shared" si="7"/>
        <v>0</v>
      </c>
      <c r="R17">
        <f t="shared" si="7"/>
        <v>0</v>
      </c>
      <c r="S17">
        <f t="shared" si="7"/>
        <v>0</v>
      </c>
      <c r="T17">
        <f t="shared" si="7"/>
        <v>0</v>
      </c>
      <c r="U17">
        <f t="shared" si="7"/>
        <v>0</v>
      </c>
      <c r="V17">
        <f t="shared" si="7"/>
        <v>0</v>
      </c>
      <c r="W17">
        <f t="shared" si="7"/>
        <v>0</v>
      </c>
      <c r="X17">
        <f t="shared" si="7"/>
        <v>0</v>
      </c>
      <c r="Y17">
        <f t="shared" si="10"/>
        <v>0</v>
      </c>
      <c r="Z17">
        <f t="shared" si="10"/>
        <v>0</v>
      </c>
      <c r="AA17">
        <f t="shared" si="10"/>
        <v>0</v>
      </c>
      <c r="AB17">
        <f t="shared" si="10"/>
        <v>0</v>
      </c>
      <c r="AC17">
        <f t="shared" si="10"/>
        <v>0</v>
      </c>
      <c r="AD17">
        <f t="shared" si="10"/>
        <v>0</v>
      </c>
      <c r="AE17">
        <f t="shared" si="10"/>
        <v>0</v>
      </c>
      <c r="AF17">
        <f t="shared" si="10"/>
        <v>0</v>
      </c>
      <c r="AG17">
        <f t="shared" si="10"/>
        <v>0</v>
      </c>
      <c r="AH17">
        <f t="shared" si="10"/>
        <v>0</v>
      </c>
      <c r="AI17">
        <f t="shared" si="10"/>
        <v>0</v>
      </c>
      <c r="AJ17">
        <f t="shared" si="11"/>
        <v>0</v>
      </c>
      <c r="AK17">
        <f t="shared" si="11"/>
        <v>0</v>
      </c>
      <c r="AL17">
        <f t="shared" si="11"/>
        <v>0</v>
      </c>
      <c r="AM17">
        <f t="shared" si="11"/>
        <v>0</v>
      </c>
      <c r="AN17">
        <f t="shared" si="11"/>
        <v>0</v>
      </c>
      <c r="AO17">
        <f t="shared" si="11"/>
        <v>0</v>
      </c>
      <c r="AP17">
        <f t="shared" si="11"/>
        <v>0</v>
      </c>
      <c r="AQ17">
        <f t="shared" si="11"/>
        <v>0</v>
      </c>
      <c r="AR17">
        <f t="shared" si="11"/>
        <v>0</v>
      </c>
    </row>
    <row r="18" spans="1:44" x14ac:dyDescent="0.2">
      <c r="A18">
        <f t="shared" si="8"/>
        <v>6.1499999999999959</v>
      </c>
      <c r="B18" s="1">
        <f t="shared" ca="1" si="4"/>
        <v>6.3433735730946371E-4</v>
      </c>
      <c r="C18" s="1">
        <f t="array" aca="1" ref="C18" ca="1">INDIRECT(ADDRESS(5,$D18,1,FALSE),FALSE)</f>
        <v>1.5733205358957919E-2</v>
      </c>
      <c r="D18">
        <f t="shared" si="9"/>
        <v>20</v>
      </c>
      <c r="E18" s="1">
        <f>moment_rate!$M18</f>
        <v>851.31162625000661</v>
      </c>
      <c r="F18" s="1">
        <f t="shared" si="5"/>
        <v>17.460280453148016</v>
      </c>
      <c r="G18">
        <f>moment_rate!I18-0.005</f>
        <v>0.10999999999999997</v>
      </c>
      <c r="H18" s="1">
        <f t="shared" si="6"/>
        <v>0</v>
      </c>
      <c r="I18">
        <f t="shared" si="7"/>
        <v>0</v>
      </c>
      <c r="J18">
        <f t="shared" si="7"/>
        <v>0</v>
      </c>
      <c r="K18">
        <f t="shared" si="7"/>
        <v>0</v>
      </c>
      <c r="L18">
        <f t="shared" si="7"/>
        <v>0</v>
      </c>
      <c r="M18">
        <f t="shared" si="7"/>
        <v>0</v>
      </c>
      <c r="N18">
        <f t="shared" si="7"/>
        <v>0</v>
      </c>
      <c r="O18">
        <f t="shared" si="7"/>
        <v>0</v>
      </c>
      <c r="P18">
        <f t="shared" si="7"/>
        <v>0</v>
      </c>
      <c r="Q18">
        <f t="shared" si="7"/>
        <v>0</v>
      </c>
      <c r="R18">
        <f t="shared" si="7"/>
        <v>0</v>
      </c>
      <c r="S18">
        <f t="shared" si="7"/>
        <v>0</v>
      </c>
      <c r="T18">
        <f t="shared" si="7"/>
        <v>0</v>
      </c>
      <c r="U18">
        <f t="shared" si="7"/>
        <v>0</v>
      </c>
      <c r="V18">
        <f t="shared" si="7"/>
        <v>0</v>
      </c>
      <c r="W18">
        <f t="shared" si="7"/>
        <v>0</v>
      </c>
      <c r="X18">
        <f t="shared" si="7"/>
        <v>0</v>
      </c>
      <c r="Y18">
        <f t="shared" si="10"/>
        <v>0</v>
      </c>
      <c r="Z18">
        <f t="shared" si="10"/>
        <v>0</v>
      </c>
      <c r="AA18">
        <f t="shared" si="10"/>
        <v>0</v>
      </c>
      <c r="AB18">
        <f t="shared" si="10"/>
        <v>0</v>
      </c>
      <c r="AC18">
        <f t="shared" si="10"/>
        <v>0</v>
      </c>
      <c r="AD18">
        <f t="shared" si="10"/>
        <v>0</v>
      </c>
      <c r="AE18">
        <f t="shared" si="10"/>
        <v>0</v>
      </c>
      <c r="AF18">
        <f t="shared" si="10"/>
        <v>0</v>
      </c>
      <c r="AG18">
        <f t="shared" si="10"/>
        <v>0</v>
      </c>
      <c r="AH18">
        <f t="shared" si="10"/>
        <v>0</v>
      </c>
      <c r="AI18">
        <f t="shared" si="10"/>
        <v>0</v>
      </c>
      <c r="AJ18">
        <f t="shared" si="11"/>
        <v>0</v>
      </c>
      <c r="AK18">
        <f t="shared" si="11"/>
        <v>0</v>
      </c>
      <c r="AL18">
        <f t="shared" si="11"/>
        <v>0</v>
      </c>
      <c r="AM18">
        <f t="shared" si="11"/>
        <v>0</v>
      </c>
      <c r="AN18">
        <f t="shared" si="11"/>
        <v>0</v>
      </c>
      <c r="AO18">
        <f t="shared" si="11"/>
        <v>0</v>
      </c>
      <c r="AP18">
        <f t="shared" si="11"/>
        <v>0</v>
      </c>
      <c r="AQ18">
        <f t="shared" si="11"/>
        <v>0</v>
      </c>
      <c r="AR18">
        <f t="shared" si="11"/>
        <v>0</v>
      </c>
    </row>
    <row r="19" spans="1:44" x14ac:dyDescent="0.2">
      <c r="A19">
        <f t="shared" si="8"/>
        <v>6.2499999999999956</v>
      </c>
      <c r="B19" s="1">
        <f t="shared" ca="1" si="4"/>
        <v>5.1560876156402438E-4</v>
      </c>
      <c r="C19" s="1">
        <f t="array" aca="1" ref="C19" ca="1">INDIRECT(ADDRESS(5,$D19,1,FALSE),FALSE)</f>
        <v>1.2788429432837596E-2</v>
      </c>
      <c r="D19">
        <f t="shared" si="9"/>
        <v>21</v>
      </c>
      <c r="E19" s="1">
        <f>moment_rate!$M19</f>
        <v>833.8513457968586</v>
      </c>
      <c r="F19" s="1">
        <f t="shared" si="5"/>
        <v>17.102169846285733</v>
      </c>
      <c r="G19">
        <f>moment_rate!I19-0.005</f>
        <v>0.11999999999999997</v>
      </c>
      <c r="H19" s="1">
        <f t="shared" si="6"/>
        <v>0</v>
      </c>
      <c r="I19">
        <f t="shared" si="7"/>
        <v>0</v>
      </c>
      <c r="J19">
        <f t="shared" si="7"/>
        <v>0</v>
      </c>
      <c r="K19">
        <f t="shared" si="7"/>
        <v>0</v>
      </c>
      <c r="L19">
        <f t="shared" si="7"/>
        <v>0</v>
      </c>
      <c r="M19">
        <f t="shared" si="7"/>
        <v>0</v>
      </c>
      <c r="N19">
        <f t="shared" si="7"/>
        <v>0</v>
      </c>
      <c r="O19">
        <f t="shared" si="7"/>
        <v>0</v>
      </c>
      <c r="P19">
        <f t="shared" si="7"/>
        <v>0</v>
      </c>
      <c r="Q19">
        <f t="shared" si="7"/>
        <v>0</v>
      </c>
      <c r="R19">
        <f t="shared" si="7"/>
        <v>0</v>
      </c>
      <c r="S19">
        <f t="shared" si="7"/>
        <v>0</v>
      </c>
      <c r="T19">
        <f t="shared" si="7"/>
        <v>0</v>
      </c>
      <c r="U19">
        <f t="shared" si="7"/>
        <v>0</v>
      </c>
      <c r="V19">
        <f t="shared" si="7"/>
        <v>0</v>
      </c>
      <c r="W19">
        <f t="shared" si="7"/>
        <v>0</v>
      </c>
      <c r="X19">
        <f t="shared" si="7"/>
        <v>0</v>
      </c>
      <c r="Y19">
        <f t="shared" si="10"/>
        <v>0</v>
      </c>
      <c r="Z19">
        <f t="shared" si="10"/>
        <v>0</v>
      </c>
      <c r="AA19">
        <f t="shared" si="10"/>
        <v>0</v>
      </c>
      <c r="AB19">
        <f t="shared" si="10"/>
        <v>0</v>
      </c>
      <c r="AC19">
        <f t="shared" si="10"/>
        <v>0</v>
      </c>
      <c r="AD19">
        <f t="shared" si="10"/>
        <v>0</v>
      </c>
      <c r="AE19">
        <f t="shared" si="10"/>
        <v>0</v>
      </c>
      <c r="AF19">
        <f t="shared" si="10"/>
        <v>0</v>
      </c>
      <c r="AG19">
        <f t="shared" si="10"/>
        <v>0</v>
      </c>
      <c r="AH19">
        <f t="shared" si="10"/>
        <v>0</v>
      </c>
      <c r="AI19">
        <f t="shared" si="10"/>
        <v>0</v>
      </c>
      <c r="AJ19">
        <f t="shared" si="11"/>
        <v>0</v>
      </c>
      <c r="AK19">
        <f t="shared" si="11"/>
        <v>0</v>
      </c>
      <c r="AL19">
        <f t="shared" si="11"/>
        <v>0</v>
      </c>
      <c r="AM19">
        <f t="shared" si="11"/>
        <v>0</v>
      </c>
      <c r="AN19">
        <f t="shared" si="11"/>
        <v>0</v>
      </c>
      <c r="AO19">
        <f t="shared" si="11"/>
        <v>0</v>
      </c>
      <c r="AP19">
        <f t="shared" si="11"/>
        <v>0</v>
      </c>
      <c r="AQ19">
        <f t="shared" si="11"/>
        <v>0</v>
      </c>
      <c r="AR19">
        <f t="shared" si="11"/>
        <v>0</v>
      </c>
    </row>
    <row r="20" spans="1:44" x14ac:dyDescent="0.2">
      <c r="A20">
        <f t="shared" si="8"/>
        <v>6.3499999999999952</v>
      </c>
      <c r="B20" s="1">
        <f t="shared" ca="1" si="4"/>
        <v>4.191025358008197E-4</v>
      </c>
      <c r="C20" s="1">
        <f t="array" aca="1" ref="C20" ca="1">INDIRECT(ADDRESS(5,$D20,1,FALSE),FALSE)</f>
        <v>1.0394825696821586E-2</v>
      </c>
      <c r="D20">
        <f t="shared" si="9"/>
        <v>22</v>
      </c>
      <c r="E20" s="1">
        <f>moment_rate!$M20</f>
        <v>816.74917595057286</v>
      </c>
      <c r="F20" s="1">
        <f t="shared" si="5"/>
        <v>16.751404093195561</v>
      </c>
      <c r="G20">
        <f>moment_rate!I20-0.005</f>
        <v>0.12999999999999998</v>
      </c>
      <c r="H20" s="1">
        <f t="shared" si="6"/>
        <v>0</v>
      </c>
      <c r="I20">
        <f t="shared" si="7"/>
        <v>0</v>
      </c>
      <c r="J20">
        <f t="shared" si="7"/>
        <v>0</v>
      </c>
      <c r="K20">
        <f t="shared" si="7"/>
        <v>0</v>
      </c>
      <c r="L20">
        <f t="shared" si="7"/>
        <v>0</v>
      </c>
      <c r="M20">
        <f t="shared" si="7"/>
        <v>0</v>
      </c>
      <c r="N20">
        <f t="shared" si="7"/>
        <v>0</v>
      </c>
      <c r="O20">
        <f t="shared" si="7"/>
        <v>0</v>
      </c>
      <c r="P20">
        <f t="shared" si="7"/>
        <v>0</v>
      </c>
      <c r="Q20">
        <f t="shared" si="7"/>
        <v>0</v>
      </c>
      <c r="R20">
        <f t="shared" si="7"/>
        <v>0</v>
      </c>
      <c r="S20">
        <f t="shared" si="7"/>
        <v>0</v>
      </c>
      <c r="T20">
        <f t="shared" si="7"/>
        <v>0</v>
      </c>
      <c r="U20">
        <f t="shared" si="7"/>
        <v>0</v>
      </c>
      <c r="V20">
        <f t="shared" si="7"/>
        <v>0</v>
      </c>
      <c r="W20">
        <f t="shared" si="7"/>
        <v>0</v>
      </c>
      <c r="X20">
        <f t="shared" si="7"/>
        <v>0</v>
      </c>
      <c r="Y20">
        <f t="shared" si="10"/>
        <v>0</v>
      </c>
      <c r="Z20">
        <f t="shared" si="10"/>
        <v>0</v>
      </c>
      <c r="AA20">
        <f t="shared" si="10"/>
        <v>0</v>
      </c>
      <c r="AB20">
        <f t="shared" si="10"/>
        <v>0</v>
      </c>
      <c r="AC20">
        <f t="shared" si="10"/>
        <v>0</v>
      </c>
      <c r="AD20">
        <f t="shared" si="10"/>
        <v>0</v>
      </c>
      <c r="AE20">
        <f t="shared" si="10"/>
        <v>0</v>
      </c>
      <c r="AF20">
        <f t="shared" si="10"/>
        <v>0</v>
      </c>
      <c r="AG20">
        <f t="shared" si="10"/>
        <v>0</v>
      </c>
      <c r="AH20">
        <f t="shared" si="10"/>
        <v>0</v>
      </c>
      <c r="AI20">
        <f t="shared" si="10"/>
        <v>0</v>
      </c>
      <c r="AJ20">
        <f t="shared" si="11"/>
        <v>0</v>
      </c>
      <c r="AK20">
        <f t="shared" si="11"/>
        <v>0</v>
      </c>
      <c r="AL20">
        <f t="shared" si="11"/>
        <v>0</v>
      </c>
      <c r="AM20">
        <f t="shared" si="11"/>
        <v>0</v>
      </c>
      <c r="AN20">
        <f t="shared" si="11"/>
        <v>0</v>
      </c>
      <c r="AO20">
        <f t="shared" si="11"/>
        <v>0</v>
      </c>
      <c r="AP20">
        <f t="shared" si="11"/>
        <v>0</v>
      </c>
      <c r="AQ20">
        <f t="shared" si="11"/>
        <v>0</v>
      </c>
      <c r="AR20">
        <f t="shared" si="11"/>
        <v>0</v>
      </c>
    </row>
    <row r="21" spans="1:44" x14ac:dyDescent="0.2">
      <c r="A21">
        <f t="shared" si="8"/>
        <v>6.4499999999999948</v>
      </c>
      <c r="B21" s="1">
        <f t="shared" ca="1" si="4"/>
        <v>3.406593305006634E-4</v>
      </c>
      <c r="C21" s="1">
        <f t="array" aca="1" ref="C21" ca="1">INDIRECT(ADDRESS(5,$D21,1,FALSE),FALSE)</f>
        <v>8.4492315365833383E-3</v>
      </c>
      <c r="D21">
        <f t="shared" si="9"/>
        <v>23</v>
      </c>
      <c r="E21" s="1">
        <f>moment_rate!$M21</f>
        <v>799.9977718573773</v>
      </c>
      <c r="F21" s="1">
        <f t="shared" si="5"/>
        <v>16.407832550819307</v>
      </c>
      <c r="G21">
        <f>moment_rate!I21-0.005</f>
        <v>0.13999999999999999</v>
      </c>
      <c r="H21" s="1">
        <f t="shared" si="6"/>
        <v>0</v>
      </c>
      <c r="I21">
        <f t="shared" si="7"/>
        <v>0</v>
      </c>
      <c r="J21">
        <f t="shared" si="7"/>
        <v>0</v>
      </c>
      <c r="K21">
        <f t="shared" si="7"/>
        <v>0</v>
      </c>
      <c r="L21">
        <f t="shared" si="7"/>
        <v>0</v>
      </c>
      <c r="M21">
        <f t="shared" si="7"/>
        <v>0</v>
      </c>
      <c r="N21">
        <f t="shared" si="7"/>
        <v>0</v>
      </c>
      <c r="O21">
        <f t="shared" si="7"/>
        <v>0</v>
      </c>
      <c r="P21">
        <f t="shared" si="7"/>
        <v>0</v>
      </c>
      <c r="Q21">
        <f t="shared" si="7"/>
        <v>0</v>
      </c>
      <c r="R21">
        <f t="shared" si="7"/>
        <v>0</v>
      </c>
      <c r="S21">
        <f t="shared" si="7"/>
        <v>0</v>
      </c>
      <c r="T21">
        <f t="shared" si="7"/>
        <v>0</v>
      </c>
      <c r="U21">
        <f t="shared" si="7"/>
        <v>0</v>
      </c>
      <c r="V21">
        <f t="shared" si="7"/>
        <v>0</v>
      </c>
      <c r="W21">
        <f t="shared" si="7"/>
        <v>0</v>
      </c>
      <c r="X21">
        <f t="shared" si="7"/>
        <v>0</v>
      </c>
      <c r="Y21">
        <f t="shared" si="10"/>
        <v>0</v>
      </c>
      <c r="Z21">
        <f t="shared" si="10"/>
        <v>0</v>
      </c>
      <c r="AA21">
        <f t="shared" si="10"/>
        <v>0</v>
      </c>
      <c r="AB21">
        <f t="shared" si="10"/>
        <v>0</v>
      </c>
      <c r="AC21">
        <f t="shared" si="10"/>
        <v>0</v>
      </c>
      <c r="AD21">
        <f t="shared" si="10"/>
        <v>0</v>
      </c>
      <c r="AE21">
        <f t="shared" si="10"/>
        <v>0</v>
      </c>
      <c r="AF21">
        <f t="shared" si="10"/>
        <v>0</v>
      </c>
      <c r="AG21">
        <f t="shared" si="10"/>
        <v>0</v>
      </c>
      <c r="AH21">
        <f t="shared" si="10"/>
        <v>0</v>
      </c>
      <c r="AI21">
        <f t="shared" si="10"/>
        <v>0</v>
      </c>
      <c r="AJ21">
        <f t="shared" si="11"/>
        <v>0</v>
      </c>
      <c r="AK21">
        <f t="shared" si="11"/>
        <v>0</v>
      </c>
      <c r="AL21">
        <f t="shared" si="11"/>
        <v>0</v>
      </c>
      <c r="AM21">
        <f t="shared" si="11"/>
        <v>0</v>
      </c>
      <c r="AN21">
        <f t="shared" si="11"/>
        <v>0</v>
      </c>
      <c r="AO21">
        <f t="shared" si="11"/>
        <v>0</v>
      </c>
      <c r="AP21">
        <f t="shared" si="11"/>
        <v>0</v>
      </c>
      <c r="AQ21">
        <f t="shared" si="11"/>
        <v>0</v>
      </c>
      <c r="AR21">
        <f t="shared" si="11"/>
        <v>0</v>
      </c>
    </row>
    <row r="22" spans="1:44" x14ac:dyDescent="0.2">
      <c r="A22">
        <f t="shared" si="8"/>
        <v>6.5499999999999945</v>
      </c>
      <c r="B22" s="1">
        <f t="shared" ca="1" si="4"/>
        <v>2.7689829944697354E-4</v>
      </c>
      <c r="C22" s="1">
        <f t="array" aca="1" ref="C22" ca="1">INDIRECT(ADDRESS(5,$D22,1,FALSE),FALSE)</f>
        <v>6.8677932310710907E-3</v>
      </c>
      <c r="D22">
        <f t="shared" si="9"/>
        <v>24</v>
      </c>
      <c r="E22" s="1">
        <f>moment_rate!$M22</f>
        <v>783.58993930655799</v>
      </c>
      <c r="F22" s="1">
        <f t="shared" si="5"/>
        <v>16.071307665790414</v>
      </c>
      <c r="G22">
        <f>moment_rate!I22-0.005</f>
        <v>0.15</v>
      </c>
      <c r="H22" s="1">
        <f t="shared" si="6"/>
        <v>0</v>
      </c>
      <c r="I22">
        <f t="shared" si="7"/>
        <v>0</v>
      </c>
      <c r="J22">
        <f t="shared" si="7"/>
        <v>0</v>
      </c>
      <c r="K22">
        <f t="shared" si="7"/>
        <v>0</v>
      </c>
      <c r="L22">
        <f t="shared" si="7"/>
        <v>0</v>
      </c>
      <c r="M22">
        <f t="shared" si="7"/>
        <v>0</v>
      </c>
      <c r="N22">
        <f t="shared" si="7"/>
        <v>0</v>
      </c>
      <c r="O22">
        <f t="shared" si="7"/>
        <v>0</v>
      </c>
      <c r="P22">
        <f t="shared" si="7"/>
        <v>0</v>
      </c>
      <c r="Q22">
        <f t="shared" si="7"/>
        <v>0</v>
      </c>
      <c r="R22">
        <f t="shared" si="7"/>
        <v>0</v>
      </c>
      <c r="S22">
        <f t="shared" si="7"/>
        <v>0</v>
      </c>
      <c r="T22">
        <f t="shared" si="7"/>
        <v>0</v>
      </c>
      <c r="U22">
        <f t="shared" si="7"/>
        <v>0</v>
      </c>
      <c r="V22">
        <f t="shared" si="7"/>
        <v>0</v>
      </c>
      <c r="W22">
        <f t="shared" si="7"/>
        <v>0</v>
      </c>
      <c r="X22">
        <f t="shared" si="7"/>
        <v>0</v>
      </c>
      <c r="Y22">
        <f t="shared" si="10"/>
        <v>0</v>
      </c>
      <c r="Z22">
        <f t="shared" si="10"/>
        <v>0</v>
      </c>
      <c r="AA22">
        <f t="shared" si="10"/>
        <v>0</v>
      </c>
      <c r="AB22">
        <f t="shared" si="10"/>
        <v>0</v>
      </c>
      <c r="AC22">
        <f t="shared" si="10"/>
        <v>0</v>
      </c>
      <c r="AD22">
        <f t="shared" si="10"/>
        <v>0</v>
      </c>
      <c r="AE22">
        <f t="shared" si="10"/>
        <v>0</v>
      </c>
      <c r="AF22">
        <f t="shared" si="10"/>
        <v>0</v>
      </c>
      <c r="AG22">
        <f t="shared" si="10"/>
        <v>0</v>
      </c>
      <c r="AH22">
        <f t="shared" si="10"/>
        <v>0</v>
      </c>
      <c r="AI22">
        <f t="shared" si="10"/>
        <v>0</v>
      </c>
      <c r="AJ22">
        <f t="shared" si="11"/>
        <v>0</v>
      </c>
      <c r="AK22">
        <f t="shared" si="11"/>
        <v>0</v>
      </c>
      <c r="AL22">
        <f t="shared" si="11"/>
        <v>0</v>
      </c>
      <c r="AM22">
        <f t="shared" si="11"/>
        <v>0</v>
      </c>
      <c r="AN22">
        <f t="shared" si="11"/>
        <v>0</v>
      </c>
      <c r="AO22">
        <f t="shared" si="11"/>
        <v>0</v>
      </c>
      <c r="AP22">
        <f t="shared" si="11"/>
        <v>0</v>
      </c>
      <c r="AQ22">
        <f t="shared" si="11"/>
        <v>0</v>
      </c>
      <c r="AR22">
        <f t="shared" si="11"/>
        <v>0</v>
      </c>
    </row>
    <row r="23" spans="1:44" x14ac:dyDescent="0.2">
      <c r="A23">
        <f t="shared" si="8"/>
        <v>6.6499999999999941</v>
      </c>
      <c r="B23" s="1">
        <f t="shared" ca="1" si="4"/>
        <v>2.2507138766444595E-4</v>
      </c>
      <c r="C23" s="1">
        <f t="array" aca="1" ref="C23" ca="1">INDIRECT(ADDRESS(5,$D23,1,FALSE),FALSE)</f>
        <v>5.5823519169198501E-3</v>
      </c>
      <c r="D23">
        <f t="shared" si="9"/>
        <v>25</v>
      </c>
      <c r="E23" s="1">
        <f>moment_rate!$M23</f>
        <v>767.51863164076758</v>
      </c>
      <c r="F23" s="1">
        <f t="shared" si="5"/>
        <v>15.741684911063658</v>
      </c>
      <c r="G23">
        <f>moment_rate!I23-0.005</f>
        <v>0.16</v>
      </c>
      <c r="H23" s="1">
        <f t="shared" si="6"/>
        <v>0</v>
      </c>
      <c r="I23">
        <f t="shared" si="7"/>
        <v>0</v>
      </c>
      <c r="J23">
        <f t="shared" si="7"/>
        <v>0</v>
      </c>
      <c r="K23">
        <f t="shared" si="7"/>
        <v>0</v>
      </c>
      <c r="L23">
        <f t="shared" si="7"/>
        <v>0</v>
      </c>
      <c r="M23">
        <f t="shared" si="7"/>
        <v>0</v>
      </c>
      <c r="N23">
        <f t="shared" si="7"/>
        <v>0</v>
      </c>
      <c r="O23">
        <f t="shared" si="7"/>
        <v>0</v>
      </c>
      <c r="P23">
        <f t="shared" si="7"/>
        <v>0</v>
      </c>
      <c r="Q23">
        <f t="shared" si="7"/>
        <v>0</v>
      </c>
      <c r="R23">
        <f t="shared" si="7"/>
        <v>0</v>
      </c>
      <c r="S23">
        <f t="shared" si="7"/>
        <v>0</v>
      </c>
      <c r="T23">
        <f t="shared" si="7"/>
        <v>0</v>
      </c>
      <c r="U23">
        <f t="shared" si="7"/>
        <v>0</v>
      </c>
      <c r="V23">
        <f t="shared" si="7"/>
        <v>0</v>
      </c>
      <c r="W23">
        <f t="shared" si="7"/>
        <v>0</v>
      </c>
      <c r="X23">
        <f t="shared" si="7"/>
        <v>0</v>
      </c>
      <c r="Y23">
        <f t="shared" si="10"/>
        <v>0</v>
      </c>
      <c r="Z23">
        <f t="shared" si="10"/>
        <v>0</v>
      </c>
      <c r="AA23">
        <f t="shared" si="10"/>
        <v>0</v>
      </c>
      <c r="AB23">
        <f t="shared" si="10"/>
        <v>0</v>
      </c>
      <c r="AC23">
        <f t="shared" si="10"/>
        <v>0</v>
      </c>
      <c r="AD23">
        <f t="shared" si="10"/>
        <v>0</v>
      </c>
      <c r="AE23">
        <f t="shared" si="10"/>
        <v>0</v>
      </c>
      <c r="AF23">
        <f t="shared" si="10"/>
        <v>0</v>
      </c>
      <c r="AG23">
        <f t="shared" si="10"/>
        <v>0</v>
      </c>
      <c r="AH23">
        <f t="shared" si="10"/>
        <v>0</v>
      </c>
      <c r="AI23">
        <f t="shared" si="10"/>
        <v>0</v>
      </c>
      <c r="AJ23">
        <f t="shared" si="11"/>
        <v>0</v>
      </c>
      <c r="AK23">
        <f t="shared" si="11"/>
        <v>0</v>
      </c>
      <c r="AL23">
        <f t="shared" si="11"/>
        <v>0</v>
      </c>
      <c r="AM23">
        <f t="shared" si="11"/>
        <v>0</v>
      </c>
      <c r="AN23">
        <f t="shared" si="11"/>
        <v>0</v>
      </c>
      <c r="AO23">
        <f t="shared" si="11"/>
        <v>0</v>
      </c>
      <c r="AP23">
        <f t="shared" si="11"/>
        <v>0</v>
      </c>
      <c r="AQ23">
        <f t="shared" si="11"/>
        <v>0</v>
      </c>
      <c r="AR23">
        <f t="shared" si="11"/>
        <v>0</v>
      </c>
    </row>
    <row r="24" spans="1:44" x14ac:dyDescent="0.2">
      <c r="A24">
        <f t="shared" si="8"/>
        <v>6.7499999999999938</v>
      </c>
      <c r="B24" s="1">
        <f t="shared" ca="1" si="4"/>
        <v>9.6634703645367449E-4</v>
      </c>
      <c r="C24" s="1">
        <f t="array" aca="1" ref="C24" ca="1">INDIRECT(ADDRESS(5,$D24,1,FALSE),FALSE)</f>
        <v>2.3967903194339002E-2</v>
      </c>
      <c r="D24">
        <f t="shared" si="9"/>
        <v>26</v>
      </c>
      <c r="E24" s="1">
        <f>moment_rate!$M24</f>
        <v>751.77694672970392</v>
      </c>
      <c r="F24" s="1">
        <f t="shared" si="5"/>
        <v>15.41882272384612</v>
      </c>
      <c r="G24">
        <f>moment_rate!I24-0.005</f>
        <v>0.17</v>
      </c>
      <c r="H24" s="1">
        <f t="shared" si="6"/>
        <v>0</v>
      </c>
      <c r="I24">
        <f t="shared" si="7"/>
        <v>0</v>
      </c>
      <c r="J24">
        <f t="shared" si="7"/>
        <v>0</v>
      </c>
      <c r="K24">
        <f t="shared" si="7"/>
        <v>0</v>
      </c>
      <c r="L24">
        <f t="shared" si="7"/>
        <v>0</v>
      </c>
      <c r="M24">
        <f t="shared" si="7"/>
        <v>0</v>
      </c>
      <c r="N24">
        <f t="shared" si="7"/>
        <v>0</v>
      </c>
      <c r="O24">
        <f t="shared" si="7"/>
        <v>0</v>
      </c>
      <c r="P24">
        <f t="shared" si="7"/>
        <v>0</v>
      </c>
      <c r="Q24">
        <f t="shared" si="7"/>
        <v>0</v>
      </c>
      <c r="R24">
        <f t="shared" si="7"/>
        <v>0</v>
      </c>
      <c r="S24">
        <f t="shared" si="7"/>
        <v>0</v>
      </c>
      <c r="T24">
        <f t="shared" si="7"/>
        <v>0</v>
      </c>
      <c r="U24">
        <f t="shared" si="7"/>
        <v>0</v>
      </c>
      <c r="V24">
        <f t="shared" si="7"/>
        <v>0</v>
      </c>
      <c r="W24">
        <f t="shared" si="7"/>
        <v>0</v>
      </c>
      <c r="X24">
        <f t="shared" si="7"/>
        <v>0</v>
      </c>
      <c r="Y24">
        <f t="shared" si="10"/>
        <v>0</v>
      </c>
      <c r="Z24">
        <f t="shared" si="10"/>
        <v>0</v>
      </c>
      <c r="AA24">
        <f t="shared" si="10"/>
        <v>0</v>
      </c>
      <c r="AB24">
        <f t="shared" si="10"/>
        <v>0</v>
      </c>
      <c r="AC24">
        <f t="shared" si="10"/>
        <v>0</v>
      </c>
      <c r="AD24">
        <f t="shared" si="10"/>
        <v>0</v>
      </c>
      <c r="AE24">
        <f t="shared" si="10"/>
        <v>0</v>
      </c>
      <c r="AF24">
        <f t="shared" si="10"/>
        <v>0</v>
      </c>
      <c r="AG24">
        <f t="shared" si="10"/>
        <v>0</v>
      </c>
      <c r="AH24">
        <f t="shared" si="10"/>
        <v>0</v>
      </c>
      <c r="AI24">
        <f t="shared" si="10"/>
        <v>0</v>
      </c>
      <c r="AJ24">
        <f t="shared" si="11"/>
        <v>0</v>
      </c>
      <c r="AK24">
        <f t="shared" si="11"/>
        <v>0</v>
      </c>
      <c r="AL24">
        <f t="shared" si="11"/>
        <v>0</v>
      </c>
      <c r="AM24">
        <f t="shared" si="11"/>
        <v>0</v>
      </c>
      <c r="AN24">
        <f t="shared" si="11"/>
        <v>0</v>
      </c>
      <c r="AO24">
        <f t="shared" si="11"/>
        <v>0</v>
      </c>
      <c r="AP24">
        <f t="shared" si="11"/>
        <v>0</v>
      </c>
      <c r="AQ24">
        <f t="shared" si="11"/>
        <v>0</v>
      </c>
      <c r="AR24">
        <f t="shared" si="11"/>
        <v>0</v>
      </c>
    </row>
    <row r="25" spans="1:44" x14ac:dyDescent="0.2">
      <c r="A25">
        <f t="shared" si="8"/>
        <v>6.8499999999999934</v>
      </c>
      <c r="B25" s="1">
        <f t="shared" ca="1" si="4"/>
        <v>1.4809868938927663E-3</v>
      </c>
      <c r="C25" s="1">
        <f t="array" aca="1" ref="C25" ca="1">INDIRECT(ADDRESS(5,$D25,1,FALSE),FALSE)</f>
        <v>3.6732301301581394E-2</v>
      </c>
      <c r="D25">
        <f t="shared" si="9"/>
        <v>27</v>
      </c>
      <c r="E25" s="1">
        <f>moment_rate!$M25</f>
        <v>736.3581240058578</v>
      </c>
      <c r="F25" s="1">
        <f t="shared" si="5"/>
        <v>15.102582444799282</v>
      </c>
      <c r="G25">
        <f>moment_rate!I25-0.005</f>
        <v>0.18000000000000002</v>
      </c>
      <c r="H25" s="1">
        <f t="shared" si="6"/>
        <v>0</v>
      </c>
      <c r="I25">
        <f t="shared" si="7"/>
        <v>0</v>
      </c>
      <c r="J25">
        <f t="shared" si="7"/>
        <v>0</v>
      </c>
      <c r="K25">
        <f t="shared" si="7"/>
        <v>0</v>
      </c>
      <c r="L25">
        <f t="shared" si="7"/>
        <v>0</v>
      </c>
      <c r="M25">
        <f t="shared" si="7"/>
        <v>0</v>
      </c>
      <c r="N25">
        <f t="shared" si="7"/>
        <v>0</v>
      </c>
      <c r="O25">
        <f t="shared" si="7"/>
        <v>0</v>
      </c>
      <c r="P25">
        <f t="shared" si="7"/>
        <v>0</v>
      </c>
      <c r="Q25">
        <f t="shared" si="7"/>
        <v>0</v>
      </c>
      <c r="R25">
        <f t="shared" si="7"/>
        <v>0</v>
      </c>
      <c r="S25">
        <f t="shared" si="7"/>
        <v>0</v>
      </c>
      <c r="T25">
        <f t="shared" si="7"/>
        <v>0</v>
      </c>
      <c r="U25">
        <f t="shared" si="7"/>
        <v>0</v>
      </c>
      <c r="V25">
        <f t="shared" si="7"/>
        <v>0</v>
      </c>
      <c r="W25">
        <f t="shared" si="7"/>
        <v>0</v>
      </c>
      <c r="X25">
        <f t="shared" si="7"/>
        <v>0</v>
      </c>
      <c r="Y25">
        <f t="shared" si="10"/>
        <v>0</v>
      </c>
      <c r="Z25">
        <f t="shared" si="10"/>
        <v>0</v>
      </c>
      <c r="AA25">
        <f t="shared" si="10"/>
        <v>0</v>
      </c>
      <c r="AB25">
        <f t="shared" si="10"/>
        <v>0</v>
      </c>
      <c r="AC25">
        <f t="shared" si="10"/>
        <v>0</v>
      </c>
      <c r="AD25">
        <f t="shared" si="10"/>
        <v>0</v>
      </c>
      <c r="AE25">
        <f t="shared" si="10"/>
        <v>0</v>
      </c>
      <c r="AF25">
        <f t="shared" si="10"/>
        <v>0</v>
      </c>
      <c r="AG25">
        <f t="shared" si="10"/>
        <v>0</v>
      </c>
      <c r="AH25">
        <f t="shared" si="10"/>
        <v>0</v>
      </c>
      <c r="AI25">
        <f t="shared" si="10"/>
        <v>0</v>
      </c>
      <c r="AJ25">
        <f t="shared" si="11"/>
        <v>0</v>
      </c>
      <c r="AK25">
        <f t="shared" si="11"/>
        <v>0</v>
      </c>
      <c r="AL25">
        <f t="shared" si="11"/>
        <v>0</v>
      </c>
      <c r="AM25">
        <f t="shared" si="11"/>
        <v>0</v>
      </c>
      <c r="AN25">
        <f t="shared" si="11"/>
        <v>0</v>
      </c>
      <c r="AO25">
        <f t="shared" si="11"/>
        <v>0</v>
      </c>
      <c r="AP25">
        <f t="shared" si="11"/>
        <v>0</v>
      </c>
      <c r="AQ25">
        <f t="shared" si="11"/>
        <v>0</v>
      </c>
      <c r="AR25">
        <f t="shared" si="11"/>
        <v>0</v>
      </c>
    </row>
    <row r="26" spans="1:44" x14ac:dyDescent="0.2">
      <c r="A26">
        <f t="shared" si="8"/>
        <v>6.9499999999999931</v>
      </c>
      <c r="B26" s="1">
        <f t="shared" ca="1" si="4"/>
        <v>1.4809868938927689E-3</v>
      </c>
      <c r="C26" s="1">
        <f t="array" aca="1" ref="C26" ca="1">INDIRECT(ADDRESS(5,$D26,1,FALSE),FALSE)</f>
        <v>3.6732301301581456E-2</v>
      </c>
      <c r="D26">
        <f t="shared" si="9"/>
        <v>28</v>
      </c>
      <c r="E26" s="1">
        <f>moment_rate!$M26</f>
        <v>721.25554156105852</v>
      </c>
      <c r="F26" s="1">
        <f t="shared" si="5"/>
        <v>14.792828258490204</v>
      </c>
      <c r="G26">
        <f>moment_rate!I26-0.005</f>
        <v>0.19000000000000003</v>
      </c>
      <c r="H26" s="1">
        <f t="shared" si="6"/>
        <v>0</v>
      </c>
      <c r="I26">
        <f t="shared" si="7"/>
        <v>0</v>
      </c>
      <c r="J26">
        <f t="shared" si="7"/>
        <v>0</v>
      </c>
      <c r="K26">
        <f t="shared" si="7"/>
        <v>0</v>
      </c>
      <c r="L26">
        <f t="shared" si="7"/>
        <v>0</v>
      </c>
      <c r="M26">
        <f t="shared" si="7"/>
        <v>0</v>
      </c>
      <c r="N26">
        <f t="shared" si="7"/>
        <v>0</v>
      </c>
      <c r="O26">
        <f t="shared" si="7"/>
        <v>0</v>
      </c>
      <c r="P26">
        <f t="shared" si="7"/>
        <v>0</v>
      </c>
      <c r="Q26">
        <f t="shared" si="7"/>
        <v>0</v>
      </c>
      <c r="R26">
        <f t="shared" si="7"/>
        <v>0</v>
      </c>
      <c r="S26">
        <f t="shared" si="7"/>
        <v>0</v>
      </c>
      <c r="T26">
        <f t="shared" si="7"/>
        <v>0</v>
      </c>
      <c r="U26">
        <f t="shared" si="7"/>
        <v>0</v>
      </c>
      <c r="V26">
        <f t="shared" si="7"/>
        <v>0</v>
      </c>
      <c r="W26">
        <f t="shared" si="7"/>
        <v>0</v>
      </c>
      <c r="X26">
        <f t="shared" si="7"/>
        <v>0</v>
      </c>
      <c r="Y26">
        <f t="shared" si="10"/>
        <v>0</v>
      </c>
      <c r="Z26">
        <f t="shared" si="10"/>
        <v>0</v>
      </c>
      <c r="AA26">
        <f t="shared" si="10"/>
        <v>0</v>
      </c>
      <c r="AB26">
        <f t="shared" si="10"/>
        <v>0</v>
      </c>
      <c r="AC26">
        <f t="shared" si="10"/>
        <v>0</v>
      </c>
      <c r="AD26">
        <f t="shared" si="10"/>
        <v>0</v>
      </c>
      <c r="AE26">
        <f t="shared" si="10"/>
        <v>0</v>
      </c>
      <c r="AF26">
        <f t="shared" si="10"/>
        <v>0</v>
      </c>
      <c r="AG26">
        <f t="shared" si="10"/>
        <v>0</v>
      </c>
      <c r="AH26">
        <f t="shared" si="10"/>
        <v>0</v>
      </c>
      <c r="AI26">
        <f t="shared" si="10"/>
        <v>0</v>
      </c>
      <c r="AJ26">
        <f t="shared" si="11"/>
        <v>0</v>
      </c>
      <c r="AK26">
        <f t="shared" si="11"/>
        <v>0</v>
      </c>
      <c r="AL26">
        <f t="shared" si="11"/>
        <v>0</v>
      </c>
      <c r="AM26">
        <f t="shared" si="11"/>
        <v>0</v>
      </c>
      <c r="AN26">
        <f t="shared" si="11"/>
        <v>0</v>
      </c>
      <c r="AO26">
        <f t="shared" si="11"/>
        <v>0</v>
      </c>
      <c r="AP26">
        <f t="shared" si="11"/>
        <v>0</v>
      </c>
      <c r="AQ26">
        <f t="shared" si="11"/>
        <v>0</v>
      </c>
      <c r="AR26">
        <f t="shared" si="11"/>
        <v>0</v>
      </c>
    </row>
    <row r="27" spans="1:44" x14ac:dyDescent="0.2">
      <c r="A27">
        <f t="shared" si="8"/>
        <v>7.0499999999999927</v>
      </c>
      <c r="B27" s="1">
        <f t="shared" ca="1" si="4"/>
        <v>1.4809868938927711E-3</v>
      </c>
      <c r="C27" s="1">
        <f t="array" aca="1" ref="C27" ca="1">INDIRECT(ADDRESS(5,$D27,1,FALSE),FALSE)</f>
        <v>3.6732301301581512E-2</v>
      </c>
      <c r="D27">
        <f t="shared" si="9"/>
        <v>29</v>
      </c>
      <c r="E27" s="1">
        <f>moment_rate!$M27</f>
        <v>706.46271330256832</v>
      </c>
      <c r="F27" s="1">
        <f t="shared" si="5"/>
        <v>14.489427135061987</v>
      </c>
      <c r="G27">
        <f>moment_rate!I27-0.005</f>
        <v>0.20000000000000004</v>
      </c>
      <c r="H27" s="1">
        <f t="shared" si="6"/>
        <v>0</v>
      </c>
      <c r="I27">
        <f t="shared" si="7"/>
        <v>0</v>
      </c>
      <c r="J27">
        <f t="shared" si="7"/>
        <v>0</v>
      </c>
      <c r="K27">
        <f t="shared" si="7"/>
        <v>0</v>
      </c>
      <c r="L27">
        <f t="shared" si="7"/>
        <v>0</v>
      </c>
      <c r="M27">
        <f t="shared" si="7"/>
        <v>0</v>
      </c>
      <c r="N27">
        <f t="shared" si="7"/>
        <v>0</v>
      </c>
      <c r="O27">
        <f t="shared" si="7"/>
        <v>0</v>
      </c>
      <c r="P27">
        <f t="shared" si="7"/>
        <v>0</v>
      </c>
      <c r="Q27">
        <f t="shared" si="7"/>
        <v>0</v>
      </c>
      <c r="R27">
        <f t="shared" si="7"/>
        <v>0</v>
      </c>
      <c r="S27">
        <f t="shared" si="7"/>
        <v>0</v>
      </c>
      <c r="T27">
        <f t="shared" si="7"/>
        <v>0</v>
      </c>
      <c r="U27">
        <f t="shared" si="7"/>
        <v>0</v>
      </c>
      <c r="V27">
        <f t="shared" si="7"/>
        <v>0</v>
      </c>
      <c r="W27">
        <f t="shared" si="7"/>
        <v>0</v>
      </c>
      <c r="X27">
        <f t="shared" si="7"/>
        <v>0</v>
      </c>
      <c r="Y27">
        <f t="shared" si="10"/>
        <v>0</v>
      </c>
      <c r="Z27">
        <f t="shared" si="10"/>
        <v>0</v>
      </c>
      <c r="AA27">
        <f t="shared" si="10"/>
        <v>0</v>
      </c>
      <c r="AB27">
        <f t="shared" si="10"/>
        <v>0</v>
      </c>
      <c r="AC27">
        <f t="shared" si="10"/>
        <v>0</v>
      </c>
      <c r="AD27">
        <f t="shared" si="10"/>
        <v>0</v>
      </c>
      <c r="AE27">
        <f t="shared" si="10"/>
        <v>0</v>
      </c>
      <c r="AF27">
        <f t="shared" si="10"/>
        <v>0</v>
      </c>
      <c r="AG27">
        <f t="shared" si="10"/>
        <v>0</v>
      </c>
      <c r="AH27">
        <f t="shared" si="10"/>
        <v>0</v>
      </c>
      <c r="AI27">
        <f t="shared" si="10"/>
        <v>0</v>
      </c>
      <c r="AJ27">
        <f t="shared" si="11"/>
        <v>0</v>
      </c>
      <c r="AK27">
        <f t="shared" si="11"/>
        <v>0</v>
      </c>
      <c r="AL27">
        <f t="shared" si="11"/>
        <v>0</v>
      </c>
      <c r="AM27">
        <f t="shared" si="11"/>
        <v>0</v>
      </c>
      <c r="AN27">
        <f t="shared" si="11"/>
        <v>0</v>
      </c>
      <c r="AO27">
        <f t="shared" si="11"/>
        <v>0</v>
      </c>
      <c r="AP27">
        <f t="shared" si="11"/>
        <v>0</v>
      </c>
      <c r="AQ27">
        <f t="shared" si="11"/>
        <v>0</v>
      </c>
      <c r="AR27">
        <f t="shared" si="11"/>
        <v>0</v>
      </c>
    </row>
    <row r="28" spans="1:44" x14ac:dyDescent="0.2">
      <c r="A28">
        <f t="shared" si="8"/>
        <v>7.1499999999999924</v>
      </c>
      <c r="B28" s="1">
        <f t="shared" ca="1" si="4"/>
        <v>1.4809868938927711E-3</v>
      </c>
      <c r="C28" s="1">
        <f t="array" aca="1" ref="C28" ca="1">INDIRECT(ADDRESS(5,$D28,1,FALSE),FALSE)</f>
        <v>3.6732301301581512E-2</v>
      </c>
      <c r="D28">
        <f t="shared" si="9"/>
        <v>30</v>
      </c>
      <c r="E28" s="1">
        <f>moment_rate!$M28</f>
        <v>691.97328616750633</v>
      </c>
      <c r="F28" s="1">
        <f t="shared" si="5"/>
        <v>14.192248773102165</v>
      </c>
      <c r="G28">
        <f>moment_rate!I28-0.005</f>
        <v>0.21000000000000005</v>
      </c>
      <c r="H28" s="1">
        <f t="shared" si="6"/>
        <v>0</v>
      </c>
      <c r="I28">
        <f t="shared" si="7"/>
        <v>0</v>
      </c>
      <c r="J28">
        <f t="shared" si="7"/>
        <v>0</v>
      </c>
      <c r="K28">
        <f t="shared" si="7"/>
        <v>0</v>
      </c>
      <c r="L28">
        <f t="shared" si="7"/>
        <v>0</v>
      </c>
      <c r="M28">
        <f t="shared" si="7"/>
        <v>0</v>
      </c>
      <c r="N28">
        <f t="shared" si="7"/>
        <v>0</v>
      </c>
      <c r="O28">
        <f t="shared" si="7"/>
        <v>0</v>
      </c>
      <c r="P28">
        <f t="shared" si="7"/>
        <v>0</v>
      </c>
      <c r="Q28">
        <f t="shared" si="7"/>
        <v>0</v>
      </c>
      <c r="R28">
        <f t="shared" si="7"/>
        <v>0</v>
      </c>
      <c r="S28">
        <f t="shared" si="7"/>
        <v>0</v>
      </c>
      <c r="T28">
        <f t="shared" si="7"/>
        <v>0</v>
      </c>
      <c r="U28">
        <f t="shared" si="7"/>
        <v>0</v>
      </c>
      <c r="V28">
        <f t="shared" si="7"/>
        <v>0</v>
      </c>
      <c r="W28">
        <f t="shared" si="7"/>
        <v>0</v>
      </c>
      <c r="X28">
        <f t="shared" si="7"/>
        <v>0</v>
      </c>
      <c r="Y28">
        <f t="shared" si="10"/>
        <v>0</v>
      </c>
      <c r="Z28">
        <f t="shared" si="10"/>
        <v>0</v>
      </c>
      <c r="AA28">
        <f t="shared" si="10"/>
        <v>0</v>
      </c>
      <c r="AB28">
        <f t="shared" si="10"/>
        <v>0</v>
      </c>
      <c r="AC28">
        <f t="shared" si="10"/>
        <v>0</v>
      </c>
      <c r="AD28">
        <f t="shared" si="10"/>
        <v>0</v>
      </c>
      <c r="AE28">
        <f t="shared" si="10"/>
        <v>0</v>
      </c>
      <c r="AF28">
        <f t="shared" si="10"/>
        <v>0</v>
      </c>
      <c r="AG28">
        <f t="shared" si="10"/>
        <v>0</v>
      </c>
      <c r="AH28">
        <f t="shared" si="10"/>
        <v>0</v>
      </c>
      <c r="AI28">
        <f t="shared" si="10"/>
        <v>0</v>
      </c>
      <c r="AJ28">
        <f t="shared" si="11"/>
        <v>0</v>
      </c>
      <c r="AK28">
        <f t="shared" si="11"/>
        <v>0</v>
      </c>
      <c r="AL28">
        <f t="shared" si="11"/>
        <v>0</v>
      </c>
      <c r="AM28">
        <f t="shared" si="11"/>
        <v>0</v>
      </c>
      <c r="AN28">
        <f t="shared" si="11"/>
        <v>0</v>
      </c>
      <c r="AO28">
        <f t="shared" si="11"/>
        <v>0</v>
      </c>
      <c r="AP28">
        <f t="shared" si="11"/>
        <v>0</v>
      </c>
      <c r="AQ28">
        <f t="shared" si="11"/>
        <v>0</v>
      </c>
      <c r="AR28">
        <f t="shared" si="11"/>
        <v>0</v>
      </c>
    </row>
    <row r="29" spans="1:44" x14ac:dyDescent="0.2">
      <c r="A29">
        <f t="shared" si="8"/>
        <v>7.249999999999992</v>
      </c>
      <c r="B29" s="1">
        <f t="shared" ca="1" si="4"/>
        <v>5.9239475755710851E-4</v>
      </c>
      <c r="C29" s="1">
        <f t="array" aca="1" ref="C29" ca="1">INDIRECT(ADDRESS(5,$D29,1,FALSE),FALSE)</f>
        <v>1.4692920520632606E-2</v>
      </c>
      <c r="D29">
        <f t="shared" si="9"/>
        <v>31</v>
      </c>
      <c r="E29" s="1">
        <f>moment_rate!$M29</f>
        <v>677.78103739440417</v>
      </c>
      <c r="F29" s="1">
        <f t="shared" si="5"/>
        <v>13.901165543682623</v>
      </c>
      <c r="G29">
        <f>moment_rate!I29-0.005</f>
        <v>0.22000000000000006</v>
      </c>
      <c r="H29" s="1">
        <f t="shared" si="6"/>
        <v>0</v>
      </c>
      <c r="I29">
        <f t="shared" si="7"/>
        <v>0</v>
      </c>
      <c r="J29">
        <f t="shared" si="7"/>
        <v>0</v>
      </c>
      <c r="K29">
        <f t="shared" si="7"/>
        <v>0</v>
      </c>
      <c r="L29">
        <f t="shared" si="7"/>
        <v>0</v>
      </c>
      <c r="M29">
        <f t="shared" si="7"/>
        <v>0</v>
      </c>
      <c r="N29">
        <f t="shared" si="7"/>
        <v>0</v>
      </c>
      <c r="O29">
        <f t="shared" si="7"/>
        <v>0</v>
      </c>
      <c r="P29">
        <f t="shared" si="7"/>
        <v>0</v>
      </c>
      <c r="Q29">
        <f t="shared" si="7"/>
        <v>0</v>
      </c>
      <c r="R29">
        <f t="shared" si="7"/>
        <v>0</v>
      </c>
      <c r="S29">
        <f t="shared" si="7"/>
        <v>0</v>
      </c>
      <c r="T29">
        <f t="shared" si="7"/>
        <v>0</v>
      </c>
      <c r="U29">
        <f t="shared" si="7"/>
        <v>0</v>
      </c>
      <c r="V29">
        <f t="shared" si="7"/>
        <v>0</v>
      </c>
      <c r="W29">
        <f t="shared" si="7"/>
        <v>0</v>
      </c>
      <c r="X29">
        <f t="shared" si="7"/>
        <v>0</v>
      </c>
      <c r="Y29">
        <f t="shared" si="10"/>
        <v>0</v>
      </c>
      <c r="Z29">
        <f t="shared" si="10"/>
        <v>0</v>
      </c>
      <c r="AA29">
        <f t="shared" si="10"/>
        <v>0</v>
      </c>
      <c r="AB29">
        <f t="shared" si="10"/>
        <v>0</v>
      </c>
      <c r="AC29">
        <f t="shared" si="10"/>
        <v>0</v>
      </c>
      <c r="AD29">
        <f t="shared" si="10"/>
        <v>0</v>
      </c>
      <c r="AE29">
        <f t="shared" si="10"/>
        <v>0</v>
      </c>
      <c r="AF29">
        <f t="shared" si="10"/>
        <v>0</v>
      </c>
      <c r="AG29">
        <f t="shared" si="10"/>
        <v>0</v>
      </c>
      <c r="AH29">
        <f t="shared" si="10"/>
        <v>0</v>
      </c>
      <c r="AI29">
        <f t="shared" si="10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si="11"/>
        <v>0</v>
      </c>
      <c r="AQ29">
        <f t="shared" si="11"/>
        <v>0</v>
      </c>
      <c r="AR29">
        <f t="shared" si="11"/>
        <v>0</v>
      </c>
    </row>
    <row r="30" spans="1:44" x14ac:dyDescent="0.2">
      <c r="A30">
        <f t="shared" si="8"/>
        <v>7.3499999999999917</v>
      </c>
      <c r="B30" s="1">
        <f t="shared" ca="1" si="4"/>
        <v>0</v>
      </c>
      <c r="C30" s="1">
        <f t="array" aca="1" ref="C30" ca="1">INDIRECT(ADDRESS(5,$D30,1,FALSE),FALSE)</f>
        <v>0</v>
      </c>
      <c r="D30">
        <f t="shared" si="9"/>
        <v>32</v>
      </c>
      <c r="E30" s="1">
        <f>moment_rate!$M30</f>
        <v>663.87987185072154</v>
      </c>
      <c r="F30" s="1">
        <f t="shared" si="5"/>
        <v>13.616052435545498</v>
      </c>
      <c r="G30">
        <f>moment_rate!I30-0.005</f>
        <v>0.23000000000000007</v>
      </c>
      <c r="H30" s="1">
        <f t="shared" si="6"/>
        <v>0</v>
      </c>
      <c r="I30">
        <f t="shared" si="7"/>
        <v>0</v>
      </c>
      <c r="J30">
        <f t="shared" si="7"/>
        <v>0</v>
      </c>
      <c r="K30">
        <f t="shared" si="7"/>
        <v>0</v>
      </c>
      <c r="L30">
        <f t="shared" si="7"/>
        <v>0</v>
      </c>
      <c r="M30">
        <f t="shared" si="7"/>
        <v>0</v>
      </c>
      <c r="N30">
        <f t="shared" si="7"/>
        <v>0</v>
      </c>
      <c r="O30">
        <f t="shared" si="7"/>
        <v>0</v>
      </c>
      <c r="P30">
        <f t="shared" si="7"/>
        <v>0</v>
      </c>
      <c r="Q30">
        <f t="shared" ref="Q30:AF45" si="12">IF(AND($G30&gt;=Q$3,$G30&lt;Q$4),$F30,0)</f>
        <v>0</v>
      </c>
      <c r="R30">
        <f t="shared" si="12"/>
        <v>0</v>
      </c>
      <c r="S30">
        <f t="shared" si="12"/>
        <v>0</v>
      </c>
      <c r="T30">
        <f t="shared" si="12"/>
        <v>0</v>
      </c>
      <c r="U30">
        <f t="shared" si="12"/>
        <v>0</v>
      </c>
      <c r="V30">
        <f t="shared" si="12"/>
        <v>0</v>
      </c>
      <c r="W30">
        <f t="shared" si="12"/>
        <v>0</v>
      </c>
      <c r="X30">
        <f t="shared" si="12"/>
        <v>0</v>
      </c>
      <c r="Y30">
        <f t="shared" si="12"/>
        <v>0</v>
      </c>
      <c r="Z30">
        <f t="shared" si="12"/>
        <v>0</v>
      </c>
      <c r="AA30">
        <f t="shared" si="12"/>
        <v>0</v>
      </c>
      <c r="AB30">
        <f t="shared" si="12"/>
        <v>0</v>
      </c>
      <c r="AC30">
        <f t="shared" si="12"/>
        <v>0</v>
      </c>
      <c r="AD30">
        <f t="shared" si="12"/>
        <v>0</v>
      </c>
      <c r="AE30">
        <f t="shared" si="12"/>
        <v>0</v>
      </c>
      <c r="AF30">
        <f t="shared" si="12"/>
        <v>0</v>
      </c>
      <c r="AG30">
        <f t="shared" ref="AG30:AN45" si="13">IF(AND($G30&gt;=AG$3,$G30&lt;AG$4),$F30,0)</f>
        <v>0</v>
      </c>
      <c r="AH30">
        <f t="shared" si="13"/>
        <v>0</v>
      </c>
      <c r="AI30">
        <f t="shared" si="13"/>
        <v>0</v>
      </c>
      <c r="AJ30">
        <f t="shared" si="13"/>
        <v>0</v>
      </c>
      <c r="AK30">
        <f t="shared" si="11"/>
        <v>0</v>
      </c>
      <c r="AL30">
        <f t="shared" si="11"/>
        <v>0</v>
      </c>
      <c r="AM30">
        <f t="shared" si="11"/>
        <v>0</v>
      </c>
      <c r="AN30">
        <f t="shared" si="11"/>
        <v>0</v>
      </c>
      <c r="AO30">
        <f t="shared" si="11"/>
        <v>0</v>
      </c>
      <c r="AP30">
        <f t="shared" si="11"/>
        <v>0</v>
      </c>
      <c r="AQ30">
        <f t="shared" si="11"/>
        <v>0</v>
      </c>
      <c r="AR30">
        <f t="shared" si="11"/>
        <v>0</v>
      </c>
    </row>
    <row r="31" spans="1:44" x14ac:dyDescent="0.2">
      <c r="A31">
        <f t="shared" si="8"/>
        <v>7.4499999999999913</v>
      </c>
      <c r="B31" s="1">
        <f t="shared" ca="1" si="4"/>
        <v>0</v>
      </c>
      <c r="C31" s="1">
        <f t="array" aca="1" ref="C31" ca="1">INDIRECT(ADDRESS(5,$D31,1,FALSE),FALSE)</f>
        <v>0</v>
      </c>
      <c r="D31">
        <f t="shared" si="9"/>
        <v>33</v>
      </c>
      <c r="E31" s="1">
        <f>moment_rate!$M31</f>
        <v>650.26381941517604</v>
      </c>
      <c r="F31" s="1">
        <f t="shared" si="5"/>
        <v>13.336787001416496</v>
      </c>
      <c r="G31">
        <f>moment_rate!I31-0.005</f>
        <v>0.24000000000000007</v>
      </c>
      <c r="H31" s="1">
        <f t="shared" si="6"/>
        <v>0</v>
      </c>
      <c r="I31">
        <f t="shared" ref="I31:X46" si="14">IF(AND($G31&gt;=I$3,$G31&lt;I$4),$F31,0)</f>
        <v>0</v>
      </c>
      <c r="J31">
        <f t="shared" si="14"/>
        <v>0</v>
      </c>
      <c r="K31">
        <f t="shared" si="14"/>
        <v>0</v>
      </c>
      <c r="L31">
        <f t="shared" si="14"/>
        <v>0</v>
      </c>
      <c r="M31">
        <f t="shared" si="14"/>
        <v>0</v>
      </c>
      <c r="N31">
        <f t="shared" si="14"/>
        <v>0</v>
      </c>
      <c r="O31">
        <f t="shared" si="14"/>
        <v>0</v>
      </c>
      <c r="P31">
        <f t="shared" si="14"/>
        <v>0</v>
      </c>
      <c r="Q31">
        <f t="shared" si="14"/>
        <v>0</v>
      </c>
      <c r="R31">
        <f t="shared" si="14"/>
        <v>0</v>
      </c>
      <c r="S31">
        <f t="shared" si="14"/>
        <v>0</v>
      </c>
      <c r="T31">
        <f t="shared" si="14"/>
        <v>0</v>
      </c>
      <c r="U31">
        <f t="shared" si="14"/>
        <v>0</v>
      </c>
      <c r="V31">
        <f t="shared" si="14"/>
        <v>0</v>
      </c>
      <c r="W31">
        <f t="shared" si="14"/>
        <v>0</v>
      </c>
      <c r="X31">
        <f t="shared" si="14"/>
        <v>0</v>
      </c>
      <c r="Y31">
        <f t="shared" si="12"/>
        <v>0</v>
      </c>
      <c r="Z31">
        <f t="shared" si="12"/>
        <v>0</v>
      </c>
      <c r="AA31">
        <f t="shared" si="12"/>
        <v>0</v>
      </c>
      <c r="AB31">
        <f t="shared" si="12"/>
        <v>0</v>
      </c>
      <c r="AC31">
        <f t="shared" si="12"/>
        <v>0</v>
      </c>
      <c r="AD31">
        <f t="shared" si="12"/>
        <v>0</v>
      </c>
      <c r="AE31">
        <f t="shared" si="12"/>
        <v>0</v>
      </c>
      <c r="AF31">
        <f t="shared" si="12"/>
        <v>0</v>
      </c>
      <c r="AG31">
        <f t="shared" si="13"/>
        <v>0</v>
      </c>
      <c r="AH31">
        <f t="shared" si="13"/>
        <v>0</v>
      </c>
      <c r="AI31">
        <f t="shared" si="13"/>
        <v>0</v>
      </c>
      <c r="AJ31">
        <f t="shared" si="13"/>
        <v>0</v>
      </c>
      <c r="AK31">
        <f t="shared" si="11"/>
        <v>0</v>
      </c>
      <c r="AL31">
        <f t="shared" si="11"/>
        <v>0</v>
      </c>
      <c r="AM31">
        <f t="shared" si="11"/>
        <v>0</v>
      </c>
      <c r="AN31">
        <f t="shared" si="11"/>
        <v>0</v>
      </c>
      <c r="AO31">
        <f t="shared" si="11"/>
        <v>0</v>
      </c>
      <c r="AP31">
        <f t="shared" si="11"/>
        <v>0</v>
      </c>
      <c r="AQ31">
        <f t="shared" si="11"/>
        <v>0</v>
      </c>
      <c r="AR31">
        <f t="shared" si="11"/>
        <v>0</v>
      </c>
    </row>
    <row r="32" spans="1:44" x14ac:dyDescent="0.2">
      <c r="A32">
        <f t="shared" si="8"/>
        <v>7.5499999999999909</v>
      </c>
      <c r="B32" s="1">
        <f t="shared" ca="1" si="4"/>
        <v>0</v>
      </c>
      <c r="C32" s="1">
        <f t="array" aca="1" ref="C32" ca="1">INDIRECT(ADDRESS(5,$D32,1,FALSE),FALSE)</f>
        <v>0</v>
      </c>
      <c r="D32">
        <f t="shared" si="9"/>
        <v>34</v>
      </c>
      <c r="E32" s="1">
        <f>moment_rate!$M32</f>
        <v>636.92703241375955</v>
      </c>
      <c r="F32" s="1">
        <f t="shared" si="5"/>
        <v>13.063249305416548</v>
      </c>
      <c r="G32">
        <f>moment_rate!I32-0.005</f>
        <v>0.25000000000000006</v>
      </c>
      <c r="H32" s="1">
        <f t="shared" si="6"/>
        <v>0</v>
      </c>
      <c r="I32">
        <f t="shared" si="14"/>
        <v>0</v>
      </c>
      <c r="J32">
        <f t="shared" si="14"/>
        <v>0</v>
      </c>
      <c r="K32">
        <f t="shared" si="14"/>
        <v>0</v>
      </c>
      <c r="L32">
        <f t="shared" si="14"/>
        <v>0</v>
      </c>
      <c r="M32">
        <f t="shared" si="14"/>
        <v>0</v>
      </c>
      <c r="N32">
        <f t="shared" si="14"/>
        <v>0</v>
      </c>
      <c r="O32">
        <f t="shared" si="14"/>
        <v>0</v>
      </c>
      <c r="P32">
        <f t="shared" si="14"/>
        <v>0</v>
      </c>
      <c r="Q32">
        <f t="shared" si="14"/>
        <v>0</v>
      </c>
      <c r="R32">
        <f t="shared" si="14"/>
        <v>0</v>
      </c>
      <c r="S32">
        <f t="shared" si="14"/>
        <v>0</v>
      </c>
      <c r="T32">
        <f t="shared" si="14"/>
        <v>0</v>
      </c>
      <c r="U32">
        <f t="shared" si="14"/>
        <v>0</v>
      </c>
      <c r="V32">
        <f t="shared" si="14"/>
        <v>0</v>
      </c>
      <c r="W32">
        <f t="shared" si="14"/>
        <v>0</v>
      </c>
      <c r="X32">
        <f t="shared" si="14"/>
        <v>0</v>
      </c>
      <c r="Y32">
        <f t="shared" si="12"/>
        <v>0</v>
      </c>
      <c r="Z32">
        <f t="shared" si="12"/>
        <v>0</v>
      </c>
      <c r="AA32">
        <f t="shared" si="12"/>
        <v>0</v>
      </c>
      <c r="AB32">
        <f t="shared" si="12"/>
        <v>0</v>
      </c>
      <c r="AC32">
        <f t="shared" si="12"/>
        <v>0</v>
      </c>
      <c r="AD32">
        <f t="shared" si="12"/>
        <v>0</v>
      </c>
      <c r="AE32">
        <f t="shared" si="12"/>
        <v>0</v>
      </c>
      <c r="AF32">
        <f t="shared" si="12"/>
        <v>0</v>
      </c>
      <c r="AG32">
        <f t="shared" si="13"/>
        <v>0</v>
      </c>
      <c r="AH32">
        <f t="shared" si="13"/>
        <v>0</v>
      </c>
      <c r="AI32">
        <f t="shared" si="13"/>
        <v>0</v>
      </c>
      <c r="AJ32">
        <f t="shared" si="13"/>
        <v>0</v>
      </c>
      <c r="AK32">
        <f t="shared" si="11"/>
        <v>0</v>
      </c>
      <c r="AL32">
        <f t="shared" si="11"/>
        <v>0</v>
      </c>
      <c r="AM32">
        <f t="shared" si="11"/>
        <v>0</v>
      </c>
      <c r="AN32">
        <f t="shared" si="11"/>
        <v>0</v>
      </c>
      <c r="AO32">
        <f t="shared" si="11"/>
        <v>0</v>
      </c>
      <c r="AP32">
        <f t="shared" si="11"/>
        <v>0</v>
      </c>
      <c r="AQ32">
        <f t="shared" si="11"/>
        <v>0</v>
      </c>
      <c r="AR32">
        <f t="shared" si="11"/>
        <v>0</v>
      </c>
    </row>
    <row r="33" spans="1:44" x14ac:dyDescent="0.2">
      <c r="A33">
        <f t="shared" si="8"/>
        <v>7.6499999999999906</v>
      </c>
      <c r="B33" s="1">
        <f t="shared" ca="1" si="4"/>
        <v>0</v>
      </c>
      <c r="C33" s="1">
        <f t="array" aca="1" ref="C33" ca="1">INDIRECT(ADDRESS(5,$D33,1,FALSE),FALSE)</f>
        <v>0</v>
      </c>
      <c r="D33">
        <f t="shared" si="9"/>
        <v>35</v>
      </c>
      <c r="E33" s="1">
        <f>moment_rate!$M33</f>
        <v>623.863783108343</v>
      </c>
      <c r="F33" s="1">
        <f t="shared" si="5"/>
        <v>12.79532187155246</v>
      </c>
      <c r="G33">
        <f>moment_rate!I33-0.005</f>
        <v>0.26000000000000006</v>
      </c>
      <c r="H33" s="1">
        <f t="shared" si="6"/>
        <v>0</v>
      </c>
      <c r="I33">
        <f t="shared" si="14"/>
        <v>0</v>
      </c>
      <c r="J33">
        <f t="shared" si="14"/>
        <v>0</v>
      </c>
      <c r="K33">
        <f t="shared" si="14"/>
        <v>0</v>
      </c>
      <c r="L33">
        <f t="shared" si="14"/>
        <v>0</v>
      </c>
      <c r="M33">
        <f t="shared" si="14"/>
        <v>0</v>
      </c>
      <c r="N33">
        <f t="shared" si="14"/>
        <v>0</v>
      </c>
      <c r="O33">
        <f t="shared" si="14"/>
        <v>0</v>
      </c>
      <c r="P33">
        <f t="shared" si="14"/>
        <v>0</v>
      </c>
      <c r="Q33">
        <f t="shared" si="14"/>
        <v>0</v>
      </c>
      <c r="R33">
        <f t="shared" si="14"/>
        <v>0</v>
      </c>
      <c r="S33">
        <f t="shared" si="14"/>
        <v>0</v>
      </c>
      <c r="T33">
        <f t="shared" si="14"/>
        <v>0</v>
      </c>
      <c r="U33">
        <f t="shared" si="14"/>
        <v>0</v>
      </c>
      <c r="V33">
        <f t="shared" si="14"/>
        <v>0</v>
      </c>
      <c r="W33">
        <f t="shared" si="14"/>
        <v>0</v>
      </c>
      <c r="X33">
        <f t="shared" si="14"/>
        <v>0</v>
      </c>
      <c r="Y33">
        <f t="shared" si="12"/>
        <v>0</v>
      </c>
      <c r="Z33">
        <f t="shared" si="12"/>
        <v>0</v>
      </c>
      <c r="AA33">
        <f t="shared" si="12"/>
        <v>0</v>
      </c>
      <c r="AB33">
        <f t="shared" si="12"/>
        <v>0</v>
      </c>
      <c r="AC33">
        <f t="shared" si="12"/>
        <v>0</v>
      </c>
      <c r="AD33">
        <f t="shared" si="12"/>
        <v>0</v>
      </c>
      <c r="AE33">
        <f t="shared" si="12"/>
        <v>0</v>
      </c>
      <c r="AF33">
        <f t="shared" si="12"/>
        <v>0</v>
      </c>
      <c r="AG33">
        <f t="shared" si="13"/>
        <v>0</v>
      </c>
      <c r="AH33">
        <f t="shared" si="13"/>
        <v>0</v>
      </c>
      <c r="AI33">
        <f t="shared" si="13"/>
        <v>0</v>
      </c>
      <c r="AJ33">
        <f t="shared" si="13"/>
        <v>0</v>
      </c>
      <c r="AK33">
        <f t="shared" si="11"/>
        <v>0</v>
      </c>
      <c r="AL33">
        <f t="shared" si="11"/>
        <v>0</v>
      </c>
      <c r="AM33">
        <f t="shared" si="11"/>
        <v>0</v>
      </c>
      <c r="AN33">
        <f t="shared" si="11"/>
        <v>0</v>
      </c>
      <c r="AO33">
        <f t="shared" si="11"/>
        <v>0</v>
      </c>
      <c r="AP33">
        <f t="shared" si="11"/>
        <v>0</v>
      </c>
      <c r="AQ33">
        <f t="shared" si="11"/>
        <v>0</v>
      </c>
      <c r="AR33">
        <f t="shared" si="11"/>
        <v>0</v>
      </c>
    </row>
    <row r="34" spans="1:44" x14ac:dyDescent="0.2">
      <c r="A34">
        <f t="shared" si="8"/>
        <v>7.7499999999999902</v>
      </c>
      <c r="B34" s="1">
        <f t="shared" ca="1" si="4"/>
        <v>0</v>
      </c>
      <c r="C34" s="1">
        <f t="array" aca="1" ref="C34" ca="1">INDIRECT(ADDRESS(5,$D34,1,FALSE),FALSE)</f>
        <v>0</v>
      </c>
      <c r="D34">
        <f t="shared" si="9"/>
        <v>36</v>
      </c>
      <c r="E34" s="1">
        <f>moment_rate!$M34</f>
        <v>611.06846123679054</v>
      </c>
      <c r="F34" s="1">
        <f t="shared" si="5"/>
        <v>12.532889633266564</v>
      </c>
      <c r="G34">
        <f>moment_rate!I34-0.005</f>
        <v>0.27000000000000007</v>
      </c>
      <c r="H34" s="1">
        <f t="shared" si="6"/>
        <v>0</v>
      </c>
      <c r="I34">
        <f t="shared" si="14"/>
        <v>0</v>
      </c>
      <c r="J34">
        <f t="shared" si="14"/>
        <v>0</v>
      </c>
      <c r="K34">
        <f t="shared" si="14"/>
        <v>0</v>
      </c>
      <c r="L34">
        <f t="shared" si="14"/>
        <v>0</v>
      </c>
      <c r="M34">
        <f t="shared" si="14"/>
        <v>0</v>
      </c>
      <c r="N34">
        <f t="shared" si="14"/>
        <v>0</v>
      </c>
      <c r="O34">
        <f t="shared" si="14"/>
        <v>0</v>
      </c>
      <c r="P34">
        <f t="shared" si="14"/>
        <v>0</v>
      </c>
      <c r="Q34">
        <f t="shared" si="14"/>
        <v>0</v>
      </c>
      <c r="R34">
        <f t="shared" si="14"/>
        <v>0</v>
      </c>
      <c r="S34">
        <f t="shared" si="14"/>
        <v>0</v>
      </c>
      <c r="T34">
        <f t="shared" si="14"/>
        <v>0</v>
      </c>
      <c r="U34">
        <f t="shared" si="14"/>
        <v>0</v>
      </c>
      <c r="V34">
        <f t="shared" si="14"/>
        <v>0</v>
      </c>
      <c r="W34">
        <f t="shared" si="14"/>
        <v>0</v>
      </c>
      <c r="X34">
        <f t="shared" si="14"/>
        <v>0</v>
      </c>
      <c r="Y34">
        <f t="shared" si="12"/>
        <v>0</v>
      </c>
      <c r="Z34">
        <f t="shared" si="12"/>
        <v>0</v>
      </c>
      <c r="AA34">
        <f t="shared" si="12"/>
        <v>0</v>
      </c>
      <c r="AB34">
        <f t="shared" si="12"/>
        <v>0</v>
      </c>
      <c r="AC34">
        <f t="shared" si="12"/>
        <v>0</v>
      </c>
      <c r="AD34">
        <f t="shared" si="12"/>
        <v>0</v>
      </c>
      <c r="AE34">
        <f t="shared" si="12"/>
        <v>0</v>
      </c>
      <c r="AF34">
        <f t="shared" si="12"/>
        <v>0</v>
      </c>
      <c r="AG34">
        <f t="shared" si="13"/>
        <v>0</v>
      </c>
      <c r="AH34">
        <f t="shared" si="13"/>
        <v>0</v>
      </c>
      <c r="AI34">
        <f t="shared" si="13"/>
        <v>0</v>
      </c>
      <c r="AJ34">
        <f t="shared" si="13"/>
        <v>0</v>
      </c>
      <c r="AK34">
        <f t="shared" si="11"/>
        <v>0</v>
      </c>
      <c r="AL34">
        <f t="shared" si="11"/>
        <v>0</v>
      </c>
      <c r="AM34">
        <f t="shared" si="11"/>
        <v>0</v>
      </c>
      <c r="AN34">
        <f t="shared" si="11"/>
        <v>0</v>
      </c>
      <c r="AO34">
        <f t="shared" si="11"/>
        <v>0</v>
      </c>
      <c r="AP34">
        <f t="shared" si="11"/>
        <v>0</v>
      </c>
      <c r="AQ34">
        <f t="shared" si="11"/>
        <v>0</v>
      </c>
      <c r="AR34">
        <f t="shared" si="11"/>
        <v>0</v>
      </c>
    </row>
    <row r="35" spans="1:44" x14ac:dyDescent="0.2">
      <c r="A35">
        <f t="shared" si="8"/>
        <v>7.8499999999999899</v>
      </c>
      <c r="B35" s="1">
        <f t="shared" ca="1" si="4"/>
        <v>0</v>
      </c>
      <c r="C35" s="1">
        <f t="array" aca="1" ref="C35" ca="1">INDIRECT(ADDRESS(5,$D35,1,FALSE),FALSE)</f>
        <v>0</v>
      </c>
      <c r="D35">
        <f t="shared" si="9"/>
        <v>37</v>
      </c>
      <c r="E35" s="1">
        <f>moment_rate!$M35</f>
        <v>598.53557160352398</v>
      </c>
      <c r="F35" s="1">
        <f t="shared" si="5"/>
        <v>12.275839884017159</v>
      </c>
      <c r="G35">
        <f>moment_rate!I35-0.005</f>
        <v>0.28000000000000008</v>
      </c>
      <c r="H35" s="1">
        <f t="shared" si="6"/>
        <v>0</v>
      </c>
      <c r="I35">
        <f t="shared" si="14"/>
        <v>0</v>
      </c>
      <c r="J35">
        <f t="shared" si="14"/>
        <v>0</v>
      </c>
      <c r="K35">
        <f t="shared" si="14"/>
        <v>0</v>
      </c>
      <c r="L35">
        <f t="shared" si="14"/>
        <v>0</v>
      </c>
      <c r="M35">
        <f t="shared" si="14"/>
        <v>0</v>
      </c>
      <c r="N35">
        <f t="shared" si="14"/>
        <v>0</v>
      </c>
      <c r="O35">
        <f t="shared" si="14"/>
        <v>0</v>
      </c>
      <c r="P35">
        <f t="shared" si="14"/>
        <v>0</v>
      </c>
      <c r="Q35">
        <f t="shared" si="14"/>
        <v>0</v>
      </c>
      <c r="R35">
        <f t="shared" si="14"/>
        <v>0</v>
      </c>
      <c r="S35">
        <f t="shared" si="14"/>
        <v>0</v>
      </c>
      <c r="T35">
        <f t="shared" si="14"/>
        <v>0</v>
      </c>
      <c r="U35">
        <f t="shared" si="14"/>
        <v>0</v>
      </c>
      <c r="V35">
        <f t="shared" si="14"/>
        <v>0</v>
      </c>
      <c r="W35">
        <f t="shared" si="14"/>
        <v>0</v>
      </c>
      <c r="X35">
        <f t="shared" si="14"/>
        <v>0</v>
      </c>
      <c r="Y35">
        <f t="shared" si="12"/>
        <v>0</v>
      </c>
      <c r="Z35">
        <f t="shared" si="12"/>
        <v>0</v>
      </c>
      <c r="AA35">
        <f t="shared" si="12"/>
        <v>0</v>
      </c>
      <c r="AB35">
        <f t="shared" si="12"/>
        <v>0</v>
      </c>
      <c r="AC35">
        <f t="shared" si="12"/>
        <v>0</v>
      </c>
      <c r="AD35">
        <f t="shared" si="12"/>
        <v>0</v>
      </c>
      <c r="AE35">
        <f t="shared" si="12"/>
        <v>0</v>
      </c>
      <c r="AF35">
        <f t="shared" si="12"/>
        <v>0</v>
      </c>
      <c r="AG35">
        <f t="shared" si="13"/>
        <v>0</v>
      </c>
      <c r="AH35">
        <f t="shared" si="13"/>
        <v>0</v>
      </c>
      <c r="AI35">
        <f t="shared" si="13"/>
        <v>0</v>
      </c>
      <c r="AJ35">
        <f t="shared" si="13"/>
        <v>0</v>
      </c>
      <c r="AK35">
        <f t="shared" si="11"/>
        <v>0</v>
      </c>
      <c r="AL35">
        <f t="shared" si="11"/>
        <v>0</v>
      </c>
      <c r="AM35">
        <f t="shared" si="11"/>
        <v>0</v>
      </c>
      <c r="AN35">
        <f t="shared" si="11"/>
        <v>0</v>
      </c>
      <c r="AO35">
        <f t="shared" si="11"/>
        <v>0</v>
      </c>
      <c r="AP35">
        <f t="shared" si="11"/>
        <v>0</v>
      </c>
      <c r="AQ35">
        <f t="shared" si="11"/>
        <v>0</v>
      </c>
      <c r="AR35">
        <f t="shared" si="11"/>
        <v>0</v>
      </c>
    </row>
    <row r="36" spans="1:44" x14ac:dyDescent="0.2">
      <c r="A36">
        <f t="shared" si="8"/>
        <v>7.9499999999999895</v>
      </c>
      <c r="B36" s="1">
        <f t="shared" ca="1" si="4"/>
        <v>0</v>
      </c>
      <c r="C36" s="1">
        <f t="array" aca="1" ref="C36" ca="1">INDIRECT(ADDRESS(5,$D36,1,FALSE),FALSE)</f>
        <v>0</v>
      </c>
      <c r="D36">
        <f t="shared" si="9"/>
        <v>38</v>
      </c>
      <c r="E36" s="1">
        <f>moment_rate!$M36</f>
        <v>586.25973171950682</v>
      </c>
      <c r="F36" s="1">
        <f t="shared" si="5"/>
        <v>12.024062228875437</v>
      </c>
      <c r="G36">
        <f>moment_rate!I36-0.005</f>
        <v>0.29000000000000009</v>
      </c>
      <c r="H36" s="1">
        <f t="shared" si="6"/>
        <v>0</v>
      </c>
      <c r="I36">
        <f t="shared" si="14"/>
        <v>0</v>
      </c>
      <c r="J36">
        <f t="shared" si="14"/>
        <v>0</v>
      </c>
      <c r="K36">
        <f t="shared" si="14"/>
        <v>0</v>
      </c>
      <c r="L36">
        <f t="shared" si="14"/>
        <v>0</v>
      </c>
      <c r="M36">
        <f t="shared" si="14"/>
        <v>0</v>
      </c>
      <c r="N36">
        <f t="shared" si="14"/>
        <v>0</v>
      </c>
      <c r="O36">
        <f t="shared" si="14"/>
        <v>0</v>
      </c>
      <c r="P36">
        <f t="shared" si="14"/>
        <v>0</v>
      </c>
      <c r="Q36">
        <f t="shared" si="14"/>
        <v>0</v>
      </c>
      <c r="R36">
        <f t="shared" si="14"/>
        <v>0</v>
      </c>
      <c r="S36">
        <f t="shared" si="14"/>
        <v>0</v>
      </c>
      <c r="T36">
        <f t="shared" si="14"/>
        <v>0</v>
      </c>
      <c r="U36">
        <f t="shared" si="14"/>
        <v>0</v>
      </c>
      <c r="V36">
        <f t="shared" si="14"/>
        <v>0</v>
      </c>
      <c r="W36">
        <f t="shared" si="14"/>
        <v>0</v>
      </c>
      <c r="X36">
        <f t="shared" si="14"/>
        <v>0</v>
      </c>
      <c r="Y36">
        <f t="shared" si="12"/>
        <v>0</v>
      </c>
      <c r="Z36">
        <f t="shared" si="12"/>
        <v>0</v>
      </c>
      <c r="AA36">
        <f t="shared" si="12"/>
        <v>0</v>
      </c>
      <c r="AB36">
        <f t="shared" si="12"/>
        <v>0</v>
      </c>
      <c r="AC36">
        <f t="shared" si="12"/>
        <v>0</v>
      </c>
      <c r="AD36">
        <f t="shared" si="12"/>
        <v>0</v>
      </c>
      <c r="AE36">
        <f t="shared" si="12"/>
        <v>0</v>
      </c>
      <c r="AF36">
        <f t="shared" si="12"/>
        <v>0</v>
      </c>
      <c r="AG36">
        <f t="shared" si="13"/>
        <v>0</v>
      </c>
      <c r="AH36">
        <f t="shared" si="13"/>
        <v>0</v>
      </c>
      <c r="AI36">
        <f t="shared" si="13"/>
        <v>0</v>
      </c>
      <c r="AJ36">
        <f t="shared" si="13"/>
        <v>0</v>
      </c>
      <c r="AK36">
        <f t="shared" si="11"/>
        <v>0</v>
      </c>
      <c r="AL36">
        <f t="shared" si="11"/>
        <v>0</v>
      </c>
      <c r="AM36">
        <f t="shared" si="11"/>
        <v>0</v>
      </c>
      <c r="AN36">
        <f t="shared" si="11"/>
        <v>0</v>
      </c>
      <c r="AO36">
        <f t="shared" si="11"/>
        <v>0</v>
      </c>
      <c r="AP36">
        <f t="shared" si="11"/>
        <v>0</v>
      </c>
      <c r="AQ36">
        <f t="shared" si="11"/>
        <v>0</v>
      </c>
      <c r="AR36">
        <f t="shared" si="11"/>
        <v>0</v>
      </c>
    </row>
    <row r="37" spans="1:44" x14ac:dyDescent="0.2">
      <c r="A37">
        <f t="shared" si="8"/>
        <v>8.0499999999999901</v>
      </c>
      <c r="B37" s="1">
        <f t="shared" ca="1" si="4"/>
        <v>0</v>
      </c>
      <c r="C37" s="1">
        <f t="array" aca="1" ref="C37" ca="1">INDIRECT(ADDRESS(5,$D37,1,FALSE),FALSE)</f>
        <v>0</v>
      </c>
      <c r="D37">
        <f t="shared" si="9"/>
        <v>39</v>
      </c>
      <c r="E37" s="1">
        <f>moment_rate!$M37</f>
        <v>574.23566949063138</v>
      </c>
      <c r="F37" s="1">
        <f t="shared" si="5"/>
        <v>11.777448537114537</v>
      </c>
      <c r="G37">
        <f>moment_rate!I37-0.005</f>
        <v>0.3000000000000001</v>
      </c>
      <c r="H37" s="1">
        <f t="shared" si="6"/>
        <v>0</v>
      </c>
      <c r="I37">
        <f t="shared" si="14"/>
        <v>0</v>
      </c>
      <c r="J37">
        <f t="shared" si="14"/>
        <v>0</v>
      </c>
      <c r="K37">
        <f t="shared" si="14"/>
        <v>0</v>
      </c>
      <c r="L37">
        <f t="shared" si="14"/>
        <v>0</v>
      </c>
      <c r="M37">
        <f t="shared" si="14"/>
        <v>0</v>
      </c>
      <c r="N37">
        <f t="shared" si="14"/>
        <v>0</v>
      </c>
      <c r="O37">
        <f t="shared" si="14"/>
        <v>0</v>
      </c>
      <c r="P37">
        <f t="shared" si="14"/>
        <v>0</v>
      </c>
      <c r="Q37">
        <f t="shared" si="14"/>
        <v>0</v>
      </c>
      <c r="R37">
        <f t="shared" si="14"/>
        <v>0</v>
      </c>
      <c r="S37">
        <f t="shared" si="14"/>
        <v>0</v>
      </c>
      <c r="T37">
        <f t="shared" si="14"/>
        <v>0</v>
      </c>
      <c r="U37">
        <f t="shared" si="14"/>
        <v>0</v>
      </c>
      <c r="V37">
        <f t="shared" si="14"/>
        <v>0</v>
      </c>
      <c r="W37">
        <f t="shared" si="14"/>
        <v>0</v>
      </c>
      <c r="X37">
        <f t="shared" si="14"/>
        <v>0</v>
      </c>
      <c r="Y37">
        <f t="shared" si="12"/>
        <v>0</v>
      </c>
      <c r="Z37">
        <f t="shared" si="12"/>
        <v>0</v>
      </c>
      <c r="AA37">
        <f t="shared" si="12"/>
        <v>0</v>
      </c>
      <c r="AB37">
        <f t="shared" si="12"/>
        <v>0</v>
      </c>
      <c r="AC37">
        <f t="shared" si="12"/>
        <v>0</v>
      </c>
      <c r="AD37">
        <f t="shared" si="12"/>
        <v>0</v>
      </c>
      <c r="AE37">
        <f t="shared" si="12"/>
        <v>0</v>
      </c>
      <c r="AF37">
        <f t="shared" si="12"/>
        <v>0</v>
      </c>
      <c r="AG37">
        <f t="shared" si="13"/>
        <v>0</v>
      </c>
      <c r="AH37">
        <f t="shared" si="13"/>
        <v>0</v>
      </c>
      <c r="AI37">
        <f t="shared" si="13"/>
        <v>0</v>
      </c>
      <c r="AJ37">
        <f t="shared" si="13"/>
        <v>0</v>
      </c>
      <c r="AK37">
        <f t="shared" si="11"/>
        <v>0</v>
      </c>
      <c r="AL37">
        <f t="shared" si="11"/>
        <v>0</v>
      </c>
      <c r="AM37">
        <f t="shared" si="11"/>
        <v>0</v>
      </c>
      <c r="AN37">
        <f t="shared" si="11"/>
        <v>0</v>
      </c>
      <c r="AO37">
        <f t="shared" si="11"/>
        <v>0</v>
      </c>
      <c r="AP37">
        <f t="shared" si="11"/>
        <v>0</v>
      </c>
      <c r="AQ37">
        <f t="shared" si="11"/>
        <v>0</v>
      </c>
      <c r="AR37">
        <f t="shared" si="11"/>
        <v>0</v>
      </c>
    </row>
    <row r="38" spans="1:44" x14ac:dyDescent="0.2">
      <c r="A38">
        <f t="shared" si="8"/>
        <v>8.1499999999999897</v>
      </c>
      <c r="B38" s="1">
        <f t="shared" ca="1" si="4"/>
        <v>0</v>
      </c>
      <c r="C38" s="1">
        <f t="array" aca="1" ref="C38" ca="1">INDIRECT(ADDRESS(5,$D38,1,FALSE),FALSE)</f>
        <v>0</v>
      </c>
      <c r="D38">
        <f t="shared" si="9"/>
        <v>40</v>
      </c>
      <c r="E38" s="1">
        <f>moment_rate!$M38</f>
        <v>562.45822095351684</v>
      </c>
      <c r="F38" s="1">
        <f t="shared" si="5"/>
        <v>11.535892895769962</v>
      </c>
      <c r="G38">
        <f>moment_rate!I38-0.005</f>
        <v>0.31000000000000011</v>
      </c>
      <c r="H38" s="1">
        <f t="shared" si="6"/>
        <v>0</v>
      </c>
      <c r="I38">
        <f t="shared" si="14"/>
        <v>0</v>
      </c>
      <c r="J38">
        <f t="shared" si="14"/>
        <v>0</v>
      </c>
      <c r="K38">
        <f t="shared" si="14"/>
        <v>0</v>
      </c>
      <c r="L38">
        <f t="shared" si="14"/>
        <v>0</v>
      </c>
      <c r="M38">
        <f t="shared" si="14"/>
        <v>0</v>
      </c>
      <c r="N38">
        <f t="shared" si="14"/>
        <v>0</v>
      </c>
      <c r="O38">
        <f t="shared" si="14"/>
        <v>0</v>
      </c>
      <c r="P38">
        <f t="shared" si="14"/>
        <v>0</v>
      </c>
      <c r="Q38">
        <f t="shared" si="14"/>
        <v>0</v>
      </c>
      <c r="R38">
        <f t="shared" si="14"/>
        <v>0</v>
      </c>
      <c r="S38">
        <f t="shared" si="14"/>
        <v>0</v>
      </c>
      <c r="T38">
        <f t="shared" si="14"/>
        <v>0</v>
      </c>
      <c r="U38">
        <f t="shared" si="14"/>
        <v>0</v>
      </c>
      <c r="V38">
        <f t="shared" si="14"/>
        <v>0</v>
      </c>
      <c r="W38">
        <f t="shared" si="14"/>
        <v>0</v>
      </c>
      <c r="X38">
        <f t="shared" si="14"/>
        <v>0</v>
      </c>
      <c r="Y38">
        <f t="shared" si="12"/>
        <v>0</v>
      </c>
      <c r="Z38">
        <f t="shared" si="12"/>
        <v>0</v>
      </c>
      <c r="AA38">
        <f t="shared" si="12"/>
        <v>0</v>
      </c>
      <c r="AB38">
        <f t="shared" si="12"/>
        <v>0</v>
      </c>
      <c r="AC38">
        <f t="shared" si="12"/>
        <v>0</v>
      </c>
      <c r="AD38">
        <f t="shared" si="12"/>
        <v>0</v>
      </c>
      <c r="AE38">
        <f t="shared" si="12"/>
        <v>0</v>
      </c>
      <c r="AF38">
        <f t="shared" si="12"/>
        <v>0</v>
      </c>
      <c r="AG38">
        <f t="shared" si="13"/>
        <v>0</v>
      </c>
      <c r="AH38">
        <f t="shared" si="13"/>
        <v>0</v>
      </c>
      <c r="AI38">
        <f t="shared" si="13"/>
        <v>0</v>
      </c>
      <c r="AJ38">
        <f t="shared" si="13"/>
        <v>0</v>
      </c>
      <c r="AK38">
        <f t="shared" si="11"/>
        <v>0</v>
      </c>
      <c r="AL38">
        <f t="shared" si="11"/>
        <v>0</v>
      </c>
      <c r="AM38">
        <f t="shared" si="11"/>
        <v>0</v>
      </c>
      <c r="AN38">
        <f t="shared" si="11"/>
        <v>0</v>
      </c>
      <c r="AO38">
        <f t="shared" si="11"/>
        <v>0</v>
      </c>
      <c r="AP38">
        <f t="shared" si="11"/>
        <v>0</v>
      </c>
      <c r="AQ38">
        <f t="shared" si="11"/>
        <v>0</v>
      </c>
      <c r="AR38">
        <f t="shared" si="11"/>
        <v>0</v>
      </c>
    </row>
    <row r="39" spans="1:44" x14ac:dyDescent="0.2">
      <c r="A39">
        <f t="shared" si="8"/>
        <v>8.2499999999999893</v>
      </c>
      <c r="B39" s="1">
        <f t="shared" ca="1" si="4"/>
        <v>0</v>
      </c>
      <c r="C39" s="1">
        <f t="array" aca="1" ref="C39" ca="1">INDIRECT(ADDRESS(5,$D39,1,FALSE),FALSE)</f>
        <v>0</v>
      </c>
      <c r="D39">
        <f t="shared" si="9"/>
        <v>41</v>
      </c>
      <c r="E39" s="1">
        <f>moment_rate!$M39</f>
        <v>550.92232805774688</v>
      </c>
      <c r="F39" s="1">
        <f t="shared" si="5"/>
        <v>11.299291564154032</v>
      </c>
      <c r="G39">
        <f>moment_rate!I39-0.005</f>
        <v>0.32000000000000012</v>
      </c>
      <c r="H39" s="1">
        <f t="shared" si="6"/>
        <v>0</v>
      </c>
      <c r="I39">
        <f t="shared" si="14"/>
        <v>0</v>
      </c>
      <c r="J39">
        <f t="shared" si="14"/>
        <v>0</v>
      </c>
      <c r="K39">
        <f t="shared" si="14"/>
        <v>0</v>
      </c>
      <c r="L39">
        <f t="shared" si="14"/>
        <v>0</v>
      </c>
      <c r="M39">
        <f t="shared" si="14"/>
        <v>0</v>
      </c>
      <c r="N39">
        <f t="shared" si="14"/>
        <v>0</v>
      </c>
      <c r="O39">
        <f t="shared" si="14"/>
        <v>0</v>
      </c>
      <c r="P39">
        <f t="shared" si="14"/>
        <v>0</v>
      </c>
      <c r="Q39">
        <f t="shared" si="14"/>
        <v>0</v>
      </c>
      <c r="R39">
        <f t="shared" si="14"/>
        <v>0</v>
      </c>
      <c r="S39">
        <f t="shared" si="14"/>
        <v>0</v>
      </c>
      <c r="T39">
        <f t="shared" si="14"/>
        <v>0</v>
      </c>
      <c r="U39">
        <f t="shared" si="14"/>
        <v>0</v>
      </c>
      <c r="V39">
        <f t="shared" si="14"/>
        <v>0</v>
      </c>
      <c r="W39">
        <f t="shared" si="14"/>
        <v>0</v>
      </c>
      <c r="X39">
        <f t="shared" si="14"/>
        <v>0</v>
      </c>
      <c r="Y39">
        <f t="shared" si="12"/>
        <v>0</v>
      </c>
      <c r="Z39">
        <f t="shared" si="12"/>
        <v>0</v>
      </c>
      <c r="AA39">
        <f t="shared" si="12"/>
        <v>0</v>
      </c>
      <c r="AB39">
        <f t="shared" si="12"/>
        <v>0</v>
      </c>
      <c r="AC39">
        <f t="shared" si="12"/>
        <v>0</v>
      </c>
      <c r="AD39">
        <f t="shared" si="12"/>
        <v>0</v>
      </c>
      <c r="AE39">
        <f t="shared" si="12"/>
        <v>0</v>
      </c>
      <c r="AF39">
        <f t="shared" si="12"/>
        <v>0</v>
      </c>
      <c r="AG39">
        <f t="shared" si="13"/>
        <v>0</v>
      </c>
      <c r="AH39">
        <f t="shared" si="13"/>
        <v>0</v>
      </c>
      <c r="AI39">
        <f t="shared" si="13"/>
        <v>0</v>
      </c>
      <c r="AJ39">
        <f t="shared" si="13"/>
        <v>0</v>
      </c>
      <c r="AK39">
        <f t="shared" si="11"/>
        <v>0</v>
      </c>
      <c r="AL39">
        <f t="shared" si="11"/>
        <v>0</v>
      </c>
      <c r="AM39">
        <f t="shared" si="11"/>
        <v>0</v>
      </c>
      <c r="AN39">
        <f t="shared" si="11"/>
        <v>0</v>
      </c>
      <c r="AO39">
        <f t="shared" si="11"/>
        <v>0</v>
      </c>
      <c r="AP39">
        <f t="shared" si="11"/>
        <v>0</v>
      </c>
      <c r="AQ39">
        <f t="shared" si="11"/>
        <v>0</v>
      </c>
      <c r="AR39">
        <f t="shared" si="11"/>
        <v>0</v>
      </c>
    </row>
    <row r="40" spans="1:44" x14ac:dyDescent="0.2">
      <c r="A40">
        <f t="shared" si="8"/>
        <v>8.349999999999989</v>
      </c>
      <c r="B40" s="1">
        <f t="shared" ca="1" si="4"/>
        <v>0</v>
      </c>
      <c r="C40" s="1">
        <f t="array" aca="1" ref="C40" ca="1">INDIRECT(ADDRESS(5,$D40,1,FALSE),FALSE)</f>
        <v>0</v>
      </c>
      <c r="D40">
        <f t="shared" si="9"/>
        <v>42</v>
      </c>
      <c r="E40" s="1">
        <f>moment_rate!$M40</f>
        <v>539.62303649359285</v>
      </c>
      <c r="F40" s="1">
        <f t="shared" si="5"/>
        <v>11.067542929301908</v>
      </c>
      <c r="G40">
        <f>moment_rate!I40-0.005</f>
        <v>0.33000000000000013</v>
      </c>
      <c r="H40" s="1">
        <f t="shared" si="6"/>
        <v>0</v>
      </c>
      <c r="I40">
        <f t="shared" si="14"/>
        <v>0</v>
      </c>
      <c r="J40">
        <f t="shared" si="14"/>
        <v>0</v>
      </c>
      <c r="K40">
        <f t="shared" si="14"/>
        <v>0</v>
      </c>
      <c r="L40">
        <f t="shared" si="14"/>
        <v>0</v>
      </c>
      <c r="M40">
        <f t="shared" si="14"/>
        <v>0</v>
      </c>
      <c r="N40">
        <f t="shared" si="14"/>
        <v>0</v>
      </c>
      <c r="O40">
        <f t="shared" si="14"/>
        <v>0</v>
      </c>
      <c r="P40">
        <f t="shared" si="14"/>
        <v>0</v>
      </c>
      <c r="Q40">
        <f t="shared" si="14"/>
        <v>0</v>
      </c>
      <c r="R40">
        <f t="shared" si="14"/>
        <v>0</v>
      </c>
      <c r="S40">
        <f t="shared" si="14"/>
        <v>0</v>
      </c>
      <c r="T40">
        <f t="shared" si="14"/>
        <v>0</v>
      </c>
      <c r="U40">
        <f t="shared" si="14"/>
        <v>0</v>
      </c>
      <c r="V40">
        <f t="shared" si="14"/>
        <v>0</v>
      </c>
      <c r="W40">
        <f t="shared" si="14"/>
        <v>0</v>
      </c>
      <c r="X40">
        <f t="shared" si="14"/>
        <v>0</v>
      </c>
      <c r="Y40">
        <f t="shared" si="12"/>
        <v>0</v>
      </c>
      <c r="Z40">
        <f t="shared" si="12"/>
        <v>0</v>
      </c>
      <c r="AA40">
        <f t="shared" si="12"/>
        <v>0</v>
      </c>
      <c r="AB40">
        <f t="shared" si="12"/>
        <v>0</v>
      </c>
      <c r="AC40">
        <f t="shared" si="12"/>
        <v>0</v>
      </c>
      <c r="AD40">
        <f t="shared" si="12"/>
        <v>0</v>
      </c>
      <c r="AE40">
        <f t="shared" si="12"/>
        <v>0</v>
      </c>
      <c r="AF40">
        <f t="shared" si="12"/>
        <v>0</v>
      </c>
      <c r="AG40">
        <f t="shared" si="13"/>
        <v>0</v>
      </c>
      <c r="AH40">
        <f t="shared" si="13"/>
        <v>0</v>
      </c>
      <c r="AI40">
        <f t="shared" si="13"/>
        <v>0</v>
      </c>
      <c r="AJ40">
        <f t="shared" si="13"/>
        <v>0</v>
      </c>
      <c r="AK40">
        <f t="shared" si="11"/>
        <v>0</v>
      </c>
      <c r="AL40">
        <f t="shared" si="11"/>
        <v>0</v>
      </c>
      <c r="AM40">
        <f t="shared" si="11"/>
        <v>0</v>
      </c>
      <c r="AN40">
        <f t="shared" si="11"/>
        <v>0</v>
      </c>
      <c r="AO40">
        <f t="shared" si="11"/>
        <v>0</v>
      </c>
      <c r="AP40">
        <f t="shared" si="11"/>
        <v>0</v>
      </c>
      <c r="AQ40">
        <f t="shared" si="11"/>
        <v>0</v>
      </c>
      <c r="AR40">
        <f t="shared" si="11"/>
        <v>0</v>
      </c>
    </row>
    <row r="41" spans="1:44" x14ac:dyDescent="0.2">
      <c r="A41">
        <f t="shared" si="8"/>
        <v>8.4499999999999886</v>
      </c>
      <c r="B41" s="1">
        <f t="shared" ca="1" si="4"/>
        <v>0</v>
      </c>
      <c r="C41" s="1">
        <f t="array" aca="1" ref="C41" ca="1">INDIRECT(ADDRESS(5,$D41,1,FALSE),FALSE)</f>
        <v>0</v>
      </c>
      <c r="D41">
        <f t="shared" si="9"/>
        <v>43</v>
      </c>
      <c r="E41" s="1">
        <f>moment_rate!$M41</f>
        <v>528.55549356429094</v>
      </c>
      <c r="F41" s="1">
        <f t="shared" si="5"/>
        <v>10.840547462332097</v>
      </c>
      <c r="G41">
        <f>moment_rate!I41-0.005</f>
        <v>0.34000000000000014</v>
      </c>
      <c r="H41" s="1">
        <f t="shared" si="6"/>
        <v>0</v>
      </c>
      <c r="I41">
        <f t="shared" si="14"/>
        <v>0</v>
      </c>
      <c r="J41">
        <f t="shared" si="14"/>
        <v>0</v>
      </c>
      <c r="K41">
        <f t="shared" si="14"/>
        <v>0</v>
      </c>
      <c r="L41">
        <f t="shared" si="14"/>
        <v>0</v>
      </c>
      <c r="M41">
        <f t="shared" si="14"/>
        <v>0</v>
      </c>
      <c r="N41">
        <f t="shared" si="14"/>
        <v>0</v>
      </c>
      <c r="O41">
        <f t="shared" si="14"/>
        <v>0</v>
      </c>
      <c r="P41">
        <f t="shared" si="14"/>
        <v>0</v>
      </c>
      <c r="Q41">
        <f t="shared" si="14"/>
        <v>0</v>
      </c>
      <c r="R41">
        <f t="shared" si="14"/>
        <v>0</v>
      </c>
      <c r="S41">
        <f t="shared" si="14"/>
        <v>0</v>
      </c>
      <c r="T41">
        <f t="shared" si="14"/>
        <v>0</v>
      </c>
      <c r="U41">
        <f t="shared" si="14"/>
        <v>0</v>
      </c>
      <c r="V41">
        <f t="shared" si="14"/>
        <v>0</v>
      </c>
      <c r="W41">
        <f t="shared" si="14"/>
        <v>0</v>
      </c>
      <c r="X41">
        <f t="shared" si="14"/>
        <v>0</v>
      </c>
      <c r="Y41">
        <f t="shared" si="12"/>
        <v>0</v>
      </c>
      <c r="Z41">
        <f t="shared" si="12"/>
        <v>0</v>
      </c>
      <c r="AA41">
        <f t="shared" si="12"/>
        <v>0</v>
      </c>
      <c r="AB41">
        <f t="shared" si="12"/>
        <v>0</v>
      </c>
      <c r="AC41">
        <f t="shared" si="12"/>
        <v>0</v>
      </c>
      <c r="AD41">
        <f t="shared" si="12"/>
        <v>0</v>
      </c>
      <c r="AE41">
        <f t="shared" si="12"/>
        <v>0</v>
      </c>
      <c r="AF41">
        <f t="shared" si="12"/>
        <v>0</v>
      </c>
      <c r="AG41">
        <f t="shared" si="13"/>
        <v>0</v>
      </c>
      <c r="AH41">
        <f t="shared" si="13"/>
        <v>0</v>
      </c>
      <c r="AI41">
        <f t="shared" si="13"/>
        <v>0</v>
      </c>
      <c r="AJ41">
        <f t="shared" si="13"/>
        <v>0</v>
      </c>
      <c r="AK41">
        <f t="shared" si="11"/>
        <v>0</v>
      </c>
      <c r="AL41">
        <f t="shared" si="11"/>
        <v>0</v>
      </c>
      <c r="AM41">
        <f t="shared" si="11"/>
        <v>0</v>
      </c>
      <c r="AN41">
        <f t="shared" si="11"/>
        <v>0</v>
      </c>
      <c r="AO41">
        <f t="shared" si="11"/>
        <v>0</v>
      </c>
      <c r="AP41">
        <f t="shared" si="11"/>
        <v>0</v>
      </c>
      <c r="AQ41">
        <f t="shared" si="11"/>
        <v>0</v>
      </c>
      <c r="AR41">
        <f t="shared" si="11"/>
        <v>0</v>
      </c>
    </row>
    <row r="42" spans="1:44" x14ac:dyDescent="0.2">
      <c r="A42">
        <f t="shared" si="8"/>
        <v>8.5499999999999883</v>
      </c>
      <c r="B42" s="1">
        <f t="shared" ca="1" si="4"/>
        <v>0</v>
      </c>
      <c r="C42" s="1">
        <f t="array" aca="1" ref="C42" ca="1">INDIRECT(ADDRESS(5,$D42,1,FALSE),FALSE)</f>
        <v>0</v>
      </c>
      <c r="D42">
        <f t="shared" si="9"/>
        <v>44</v>
      </c>
      <c r="E42" s="1">
        <f>moment_rate!$M42</f>
        <v>517.71494610195884</v>
      </c>
      <c r="F42" s="1">
        <f t="shared" si="5"/>
        <v>10.618207675701854</v>
      </c>
      <c r="G42">
        <f>moment_rate!I42-0.005</f>
        <v>0.35000000000000014</v>
      </c>
      <c r="H42" s="1">
        <f t="shared" si="6"/>
        <v>0</v>
      </c>
      <c r="I42">
        <f t="shared" si="14"/>
        <v>0</v>
      </c>
      <c r="J42">
        <f t="shared" si="14"/>
        <v>0</v>
      </c>
      <c r="K42">
        <f t="shared" si="14"/>
        <v>0</v>
      </c>
      <c r="L42">
        <f t="shared" si="14"/>
        <v>0</v>
      </c>
      <c r="M42">
        <f t="shared" si="14"/>
        <v>0</v>
      </c>
      <c r="N42">
        <f t="shared" si="14"/>
        <v>0</v>
      </c>
      <c r="O42">
        <f t="shared" si="14"/>
        <v>0</v>
      </c>
      <c r="P42">
        <f t="shared" si="14"/>
        <v>0</v>
      </c>
      <c r="Q42">
        <f t="shared" si="14"/>
        <v>0</v>
      </c>
      <c r="R42">
        <f t="shared" si="14"/>
        <v>0</v>
      </c>
      <c r="S42">
        <f t="shared" si="14"/>
        <v>0</v>
      </c>
      <c r="T42">
        <f t="shared" si="14"/>
        <v>0</v>
      </c>
      <c r="U42">
        <f t="shared" si="14"/>
        <v>0</v>
      </c>
      <c r="V42">
        <f t="shared" si="14"/>
        <v>0</v>
      </c>
      <c r="W42">
        <f t="shared" si="14"/>
        <v>0</v>
      </c>
      <c r="X42">
        <f t="shared" si="14"/>
        <v>0</v>
      </c>
      <c r="Y42">
        <f t="shared" si="12"/>
        <v>0</v>
      </c>
      <c r="Z42">
        <f t="shared" si="12"/>
        <v>0</v>
      </c>
      <c r="AA42">
        <f t="shared" si="12"/>
        <v>0</v>
      </c>
      <c r="AB42">
        <f t="shared" si="12"/>
        <v>0</v>
      </c>
      <c r="AC42">
        <f t="shared" si="12"/>
        <v>0</v>
      </c>
      <c r="AD42">
        <f t="shared" si="12"/>
        <v>0</v>
      </c>
      <c r="AE42">
        <f t="shared" si="12"/>
        <v>0</v>
      </c>
      <c r="AF42">
        <f t="shared" si="12"/>
        <v>0</v>
      </c>
      <c r="AG42">
        <f t="shared" si="13"/>
        <v>0</v>
      </c>
      <c r="AH42">
        <f t="shared" si="13"/>
        <v>0</v>
      </c>
      <c r="AI42">
        <f t="shared" si="13"/>
        <v>0</v>
      </c>
      <c r="AJ42">
        <f t="shared" si="13"/>
        <v>0</v>
      </c>
      <c r="AK42">
        <f t="shared" si="11"/>
        <v>0</v>
      </c>
      <c r="AL42">
        <f t="shared" si="11"/>
        <v>0</v>
      </c>
      <c r="AM42">
        <f t="shared" si="11"/>
        <v>0</v>
      </c>
      <c r="AN42">
        <f t="shared" si="11"/>
        <v>0</v>
      </c>
      <c r="AO42">
        <f t="shared" si="11"/>
        <v>0</v>
      </c>
      <c r="AP42">
        <f t="shared" si="11"/>
        <v>0</v>
      </c>
      <c r="AQ42">
        <f t="shared" si="11"/>
        <v>0</v>
      </c>
      <c r="AR42">
        <f t="shared" si="11"/>
        <v>0</v>
      </c>
    </row>
    <row r="43" spans="1:44" x14ac:dyDescent="0.2">
      <c r="A43">
        <f t="shared" si="8"/>
        <v>8.6499999999999879</v>
      </c>
      <c r="B43" s="1">
        <f t="shared" ca="1" si="4"/>
        <v>0</v>
      </c>
      <c r="C43" s="1">
        <f t="array" aca="1" ref="C43" ca="1">INDIRECT(ADDRESS(5,$D43,1,FALSE),FALSE)</f>
        <v>0</v>
      </c>
      <c r="D43">
        <f t="shared" si="9"/>
        <v>45</v>
      </c>
      <c r="E43" s="1">
        <f>moment_rate!$M43</f>
        <v>507.09673842625699</v>
      </c>
      <c r="F43" s="1">
        <f t="shared" si="5"/>
        <v>10.40042808133984</v>
      </c>
      <c r="G43">
        <f>moment_rate!I43-0.005</f>
        <v>0.36000000000000015</v>
      </c>
      <c r="H43" s="1">
        <f t="shared" si="6"/>
        <v>0</v>
      </c>
      <c r="I43">
        <f t="shared" si="14"/>
        <v>0</v>
      </c>
      <c r="J43">
        <f t="shared" si="14"/>
        <v>0</v>
      </c>
      <c r="K43">
        <f t="shared" si="14"/>
        <v>0</v>
      </c>
      <c r="L43">
        <f t="shared" si="14"/>
        <v>0</v>
      </c>
      <c r="M43">
        <f t="shared" si="14"/>
        <v>0</v>
      </c>
      <c r="N43">
        <f t="shared" si="14"/>
        <v>0</v>
      </c>
      <c r="O43">
        <f t="shared" si="14"/>
        <v>0</v>
      </c>
      <c r="P43">
        <f t="shared" si="14"/>
        <v>0</v>
      </c>
      <c r="Q43">
        <f t="shared" si="14"/>
        <v>0</v>
      </c>
      <c r="R43">
        <f t="shared" si="14"/>
        <v>0</v>
      </c>
      <c r="S43">
        <f t="shared" si="14"/>
        <v>0</v>
      </c>
      <c r="T43">
        <f t="shared" si="14"/>
        <v>0</v>
      </c>
      <c r="U43">
        <f t="shared" si="14"/>
        <v>0</v>
      </c>
      <c r="V43">
        <f t="shared" si="14"/>
        <v>0</v>
      </c>
      <c r="W43">
        <f t="shared" si="14"/>
        <v>0</v>
      </c>
      <c r="X43">
        <f t="shared" si="14"/>
        <v>0</v>
      </c>
      <c r="Y43">
        <f t="shared" si="12"/>
        <v>0</v>
      </c>
      <c r="Z43">
        <f t="shared" si="12"/>
        <v>0</v>
      </c>
      <c r="AA43">
        <f t="shared" si="12"/>
        <v>0</v>
      </c>
      <c r="AB43">
        <f t="shared" si="12"/>
        <v>0</v>
      </c>
      <c r="AC43">
        <f t="shared" si="12"/>
        <v>0</v>
      </c>
      <c r="AD43">
        <f t="shared" si="12"/>
        <v>0</v>
      </c>
      <c r="AE43">
        <f t="shared" si="12"/>
        <v>0</v>
      </c>
      <c r="AF43">
        <f t="shared" si="12"/>
        <v>0</v>
      </c>
      <c r="AG43">
        <f t="shared" si="13"/>
        <v>0</v>
      </c>
      <c r="AH43">
        <f t="shared" si="13"/>
        <v>0</v>
      </c>
      <c r="AI43">
        <f t="shared" si="13"/>
        <v>0</v>
      </c>
      <c r="AJ43">
        <f t="shared" si="13"/>
        <v>0</v>
      </c>
      <c r="AK43">
        <f t="shared" si="13"/>
        <v>0</v>
      </c>
      <c r="AL43">
        <f t="shared" si="13"/>
        <v>0</v>
      </c>
      <c r="AM43">
        <f t="shared" si="13"/>
        <v>0</v>
      </c>
      <c r="AN43">
        <f t="shared" si="13"/>
        <v>0</v>
      </c>
      <c r="AO43">
        <f t="shared" si="11"/>
        <v>0</v>
      </c>
      <c r="AP43">
        <f t="shared" si="11"/>
        <v>0</v>
      </c>
      <c r="AQ43">
        <f t="shared" si="11"/>
        <v>0</v>
      </c>
      <c r="AR43">
        <f t="shared" si="11"/>
        <v>0</v>
      </c>
    </row>
    <row r="44" spans="1:44" x14ac:dyDescent="0.2">
      <c r="E44" s="1">
        <f>moment_rate!$M44</f>
        <v>496.69631034491715</v>
      </c>
      <c r="F44" s="1">
        <f t="shared" si="5"/>
        <v>10.187115149635702</v>
      </c>
      <c r="G44">
        <f>moment_rate!I44-0.005</f>
        <v>0.37000000000000016</v>
      </c>
      <c r="H44" s="1">
        <f t="shared" si="6"/>
        <v>0</v>
      </c>
      <c r="I44">
        <f t="shared" si="14"/>
        <v>0</v>
      </c>
      <c r="J44">
        <f t="shared" si="14"/>
        <v>0</v>
      </c>
      <c r="K44">
        <f t="shared" si="14"/>
        <v>0</v>
      </c>
      <c r="L44">
        <f t="shared" si="14"/>
        <v>0</v>
      </c>
      <c r="M44">
        <f t="shared" si="14"/>
        <v>0</v>
      </c>
      <c r="N44">
        <f t="shared" si="14"/>
        <v>0</v>
      </c>
      <c r="O44">
        <f t="shared" si="14"/>
        <v>0</v>
      </c>
      <c r="P44">
        <f t="shared" si="14"/>
        <v>0</v>
      </c>
      <c r="Q44">
        <f t="shared" si="14"/>
        <v>0</v>
      </c>
      <c r="R44">
        <f t="shared" si="14"/>
        <v>0</v>
      </c>
      <c r="S44">
        <f t="shared" si="14"/>
        <v>0</v>
      </c>
      <c r="T44">
        <f t="shared" si="14"/>
        <v>0</v>
      </c>
      <c r="U44">
        <f t="shared" si="14"/>
        <v>0</v>
      </c>
      <c r="V44">
        <f t="shared" si="14"/>
        <v>0</v>
      </c>
      <c r="W44">
        <f t="shared" si="14"/>
        <v>0</v>
      </c>
      <c r="X44">
        <f t="shared" si="14"/>
        <v>0</v>
      </c>
      <c r="Y44">
        <f t="shared" si="12"/>
        <v>0</v>
      </c>
      <c r="Z44">
        <f t="shared" si="12"/>
        <v>0</v>
      </c>
      <c r="AA44">
        <f t="shared" si="12"/>
        <v>0</v>
      </c>
      <c r="AB44">
        <f t="shared" si="12"/>
        <v>0</v>
      </c>
      <c r="AC44">
        <f t="shared" si="12"/>
        <v>0</v>
      </c>
      <c r="AD44">
        <f t="shared" si="12"/>
        <v>0</v>
      </c>
      <c r="AE44">
        <f t="shared" si="12"/>
        <v>0</v>
      </c>
      <c r="AF44">
        <f t="shared" si="12"/>
        <v>0</v>
      </c>
      <c r="AG44">
        <f t="shared" si="13"/>
        <v>0</v>
      </c>
      <c r="AH44">
        <f t="shared" si="13"/>
        <v>0</v>
      </c>
      <c r="AI44">
        <f t="shared" si="13"/>
        <v>0</v>
      </c>
      <c r="AJ44">
        <f t="shared" si="13"/>
        <v>0</v>
      </c>
      <c r="AK44">
        <f t="shared" si="13"/>
        <v>0</v>
      </c>
      <c r="AL44">
        <f t="shared" si="13"/>
        <v>0</v>
      </c>
      <c r="AM44">
        <f t="shared" si="13"/>
        <v>0</v>
      </c>
      <c r="AN44">
        <f t="shared" si="13"/>
        <v>0</v>
      </c>
      <c r="AO44">
        <f t="shared" si="11"/>
        <v>0</v>
      </c>
      <c r="AP44">
        <f t="shared" si="11"/>
        <v>0</v>
      </c>
      <c r="AQ44">
        <f t="shared" si="11"/>
        <v>0</v>
      </c>
      <c r="AR44">
        <f t="shared" ref="AO44:AR75" si="15">IF(AND($G44&gt;=AR$3,$G44&lt;AR$4),$F44,0)</f>
        <v>0</v>
      </c>
    </row>
    <row r="45" spans="1:44" x14ac:dyDescent="0.2">
      <c r="E45" s="1">
        <f>moment_rate!$M45</f>
        <v>486.50919519528145</v>
      </c>
      <c r="F45" s="1">
        <f t="shared" si="5"/>
        <v>9.9781772692735444</v>
      </c>
      <c r="G45">
        <f>moment_rate!I45-0.005</f>
        <v>0.38000000000000017</v>
      </c>
      <c r="H45" s="1">
        <f t="shared" si="6"/>
        <v>0</v>
      </c>
      <c r="I45">
        <f t="shared" si="14"/>
        <v>0</v>
      </c>
      <c r="J45">
        <f t="shared" si="14"/>
        <v>0</v>
      </c>
      <c r="K45">
        <f t="shared" si="14"/>
        <v>0</v>
      </c>
      <c r="L45">
        <f t="shared" si="14"/>
        <v>0</v>
      </c>
      <c r="M45">
        <f t="shared" si="14"/>
        <v>0</v>
      </c>
      <c r="N45">
        <f t="shared" si="14"/>
        <v>0</v>
      </c>
      <c r="O45">
        <f t="shared" si="14"/>
        <v>0</v>
      </c>
      <c r="P45">
        <f t="shared" si="14"/>
        <v>0</v>
      </c>
      <c r="Q45">
        <f t="shared" si="14"/>
        <v>0</v>
      </c>
      <c r="R45">
        <f t="shared" si="14"/>
        <v>0</v>
      </c>
      <c r="S45">
        <f t="shared" si="14"/>
        <v>0</v>
      </c>
      <c r="T45">
        <f t="shared" si="14"/>
        <v>0</v>
      </c>
      <c r="U45">
        <f t="shared" si="14"/>
        <v>0</v>
      </c>
      <c r="V45">
        <f t="shared" si="14"/>
        <v>0</v>
      </c>
      <c r="W45">
        <f t="shared" si="14"/>
        <v>0</v>
      </c>
      <c r="X45">
        <f t="shared" si="14"/>
        <v>0</v>
      </c>
      <c r="Y45">
        <f t="shared" si="12"/>
        <v>0</v>
      </c>
      <c r="Z45">
        <f t="shared" si="12"/>
        <v>0</v>
      </c>
      <c r="AA45">
        <f t="shared" si="12"/>
        <v>0</v>
      </c>
      <c r="AB45">
        <f t="shared" si="12"/>
        <v>0</v>
      </c>
      <c r="AC45">
        <f t="shared" si="12"/>
        <v>0</v>
      </c>
      <c r="AD45">
        <f t="shared" si="12"/>
        <v>0</v>
      </c>
      <c r="AE45">
        <f t="shared" si="12"/>
        <v>0</v>
      </c>
      <c r="AF45">
        <f t="shared" si="12"/>
        <v>0</v>
      </c>
      <c r="AG45">
        <f t="shared" si="13"/>
        <v>0</v>
      </c>
      <c r="AH45">
        <f t="shared" si="13"/>
        <v>0</v>
      </c>
      <c r="AI45">
        <f t="shared" si="13"/>
        <v>0</v>
      </c>
      <c r="AJ45">
        <f t="shared" si="13"/>
        <v>0</v>
      </c>
      <c r="AK45">
        <f t="shared" si="13"/>
        <v>0</v>
      </c>
      <c r="AL45">
        <f t="shared" si="13"/>
        <v>0</v>
      </c>
      <c r="AM45">
        <f t="shared" si="13"/>
        <v>0</v>
      </c>
      <c r="AN45">
        <f t="shared" si="13"/>
        <v>0</v>
      </c>
      <c r="AO45">
        <f t="shared" si="15"/>
        <v>0</v>
      </c>
      <c r="AP45">
        <f t="shared" si="15"/>
        <v>0</v>
      </c>
      <c r="AQ45">
        <f t="shared" si="15"/>
        <v>0</v>
      </c>
      <c r="AR45">
        <f t="shared" si="15"/>
        <v>0</v>
      </c>
    </row>
    <row r="46" spans="1:44" x14ac:dyDescent="0.2">
      <c r="E46" s="1">
        <f>moment_rate!$M46</f>
        <v>476.53101792600791</v>
      </c>
      <c r="F46" s="1">
        <f t="shared" si="5"/>
        <v>9.7735247078860539</v>
      </c>
      <c r="G46">
        <f>moment_rate!I46-0.005</f>
        <v>0.39000000000000018</v>
      </c>
      <c r="H46" s="1">
        <f t="shared" si="6"/>
        <v>0</v>
      </c>
      <c r="I46">
        <f t="shared" si="14"/>
        <v>0</v>
      </c>
      <c r="J46">
        <f t="shared" si="14"/>
        <v>0</v>
      </c>
      <c r="K46">
        <f t="shared" si="14"/>
        <v>0</v>
      </c>
      <c r="L46">
        <f t="shared" si="14"/>
        <v>0</v>
      </c>
      <c r="M46">
        <f t="shared" si="14"/>
        <v>0</v>
      </c>
      <c r="N46">
        <f t="shared" si="14"/>
        <v>0</v>
      </c>
      <c r="O46">
        <f t="shared" si="14"/>
        <v>0</v>
      </c>
      <c r="P46">
        <f t="shared" si="14"/>
        <v>0</v>
      </c>
      <c r="Q46">
        <f t="shared" si="14"/>
        <v>0</v>
      </c>
      <c r="R46">
        <f t="shared" si="14"/>
        <v>0</v>
      </c>
      <c r="S46">
        <f t="shared" si="14"/>
        <v>0</v>
      </c>
      <c r="T46">
        <f t="shared" si="14"/>
        <v>0</v>
      </c>
      <c r="U46">
        <f t="shared" si="14"/>
        <v>0</v>
      </c>
      <c r="V46">
        <f t="shared" si="14"/>
        <v>0</v>
      </c>
      <c r="W46">
        <f t="shared" si="14"/>
        <v>0</v>
      </c>
      <c r="X46">
        <f t="shared" ref="X46:AM61" si="16">IF(AND($G46&gt;=X$3,$G46&lt;X$4),$F46,0)</f>
        <v>0</v>
      </c>
      <c r="Y46">
        <f t="shared" si="16"/>
        <v>0</v>
      </c>
      <c r="Z46">
        <f t="shared" si="16"/>
        <v>0</v>
      </c>
      <c r="AA46">
        <f t="shared" si="16"/>
        <v>0</v>
      </c>
      <c r="AB46">
        <f t="shared" si="16"/>
        <v>0</v>
      </c>
      <c r="AC46">
        <f t="shared" si="16"/>
        <v>0</v>
      </c>
      <c r="AD46">
        <f t="shared" si="16"/>
        <v>0</v>
      </c>
      <c r="AE46">
        <f t="shared" si="16"/>
        <v>0</v>
      </c>
      <c r="AF46">
        <f t="shared" si="16"/>
        <v>0</v>
      </c>
      <c r="AG46">
        <f t="shared" si="16"/>
        <v>0</v>
      </c>
      <c r="AH46">
        <f t="shared" si="16"/>
        <v>0</v>
      </c>
      <c r="AI46">
        <f t="shared" si="16"/>
        <v>0</v>
      </c>
      <c r="AJ46">
        <f t="shared" si="16"/>
        <v>0</v>
      </c>
      <c r="AK46">
        <f t="shared" si="16"/>
        <v>0</v>
      </c>
      <c r="AL46">
        <f t="shared" si="16"/>
        <v>0</v>
      </c>
      <c r="AM46">
        <f t="shared" si="16"/>
        <v>0</v>
      </c>
      <c r="AN46">
        <f t="shared" ref="AN46:AN76" si="17">IF(AND($G46&gt;=AN$3,$G46&lt;AN$4),$F46,0)</f>
        <v>0</v>
      </c>
      <c r="AO46">
        <f t="shared" si="15"/>
        <v>0</v>
      </c>
      <c r="AP46">
        <f t="shared" si="15"/>
        <v>0</v>
      </c>
      <c r="AQ46">
        <f t="shared" si="15"/>
        <v>0</v>
      </c>
      <c r="AR46">
        <f t="shared" si="15"/>
        <v>0</v>
      </c>
    </row>
    <row r="47" spans="1:44" x14ac:dyDescent="0.2">
      <c r="E47" s="1">
        <f>moment_rate!$M47</f>
        <v>466.75749321812185</v>
      </c>
      <c r="F47" s="1">
        <f t="shared" si="5"/>
        <v>9.5730695735189215</v>
      </c>
      <c r="G47">
        <f>moment_rate!I47-0.005</f>
        <v>0.40000000000000019</v>
      </c>
      <c r="H47" s="1">
        <f t="shared" si="6"/>
        <v>0</v>
      </c>
      <c r="I47">
        <f t="shared" ref="I47:X62" si="18">IF(AND($G47&gt;=I$3,$G47&lt;I$4),$F47,0)</f>
        <v>0</v>
      </c>
      <c r="J47">
        <f t="shared" si="18"/>
        <v>0</v>
      </c>
      <c r="K47">
        <f t="shared" si="18"/>
        <v>0</v>
      </c>
      <c r="L47">
        <f t="shared" si="18"/>
        <v>0</v>
      </c>
      <c r="M47">
        <f t="shared" si="18"/>
        <v>0</v>
      </c>
      <c r="N47">
        <f t="shared" si="18"/>
        <v>0</v>
      </c>
      <c r="O47">
        <f t="shared" si="18"/>
        <v>0</v>
      </c>
      <c r="P47">
        <f t="shared" si="18"/>
        <v>0</v>
      </c>
      <c r="Q47">
        <f t="shared" si="18"/>
        <v>0</v>
      </c>
      <c r="R47">
        <f t="shared" si="18"/>
        <v>0</v>
      </c>
      <c r="S47">
        <f t="shared" si="18"/>
        <v>0</v>
      </c>
      <c r="T47">
        <f t="shared" si="18"/>
        <v>0</v>
      </c>
      <c r="U47">
        <f t="shared" si="18"/>
        <v>0</v>
      </c>
      <c r="V47">
        <f t="shared" si="18"/>
        <v>0</v>
      </c>
      <c r="W47">
        <f t="shared" si="18"/>
        <v>0</v>
      </c>
      <c r="X47">
        <f t="shared" si="18"/>
        <v>0</v>
      </c>
      <c r="Y47">
        <f t="shared" si="16"/>
        <v>0</v>
      </c>
      <c r="Z47">
        <f t="shared" si="16"/>
        <v>0</v>
      </c>
      <c r="AA47">
        <f t="shared" si="16"/>
        <v>0</v>
      </c>
      <c r="AB47">
        <f t="shared" si="16"/>
        <v>0</v>
      </c>
      <c r="AC47">
        <f t="shared" si="16"/>
        <v>0</v>
      </c>
      <c r="AD47">
        <f t="shared" si="16"/>
        <v>0</v>
      </c>
      <c r="AE47">
        <f t="shared" si="16"/>
        <v>0</v>
      </c>
      <c r="AF47">
        <f t="shared" si="16"/>
        <v>0</v>
      </c>
      <c r="AG47">
        <f t="shared" si="16"/>
        <v>0</v>
      </c>
      <c r="AH47">
        <f t="shared" si="16"/>
        <v>0</v>
      </c>
      <c r="AI47">
        <f t="shared" si="16"/>
        <v>0</v>
      </c>
      <c r="AJ47">
        <f t="shared" si="16"/>
        <v>0</v>
      </c>
      <c r="AK47">
        <f t="shared" si="16"/>
        <v>0</v>
      </c>
      <c r="AL47">
        <f t="shared" si="16"/>
        <v>0</v>
      </c>
      <c r="AM47">
        <f t="shared" si="16"/>
        <v>0</v>
      </c>
      <c r="AN47">
        <f t="shared" si="17"/>
        <v>0</v>
      </c>
      <c r="AO47">
        <f t="shared" si="15"/>
        <v>0</v>
      </c>
      <c r="AP47">
        <f t="shared" si="15"/>
        <v>0</v>
      </c>
      <c r="AQ47">
        <f t="shared" si="15"/>
        <v>0</v>
      </c>
      <c r="AR47">
        <f t="shared" si="15"/>
        <v>0</v>
      </c>
    </row>
    <row r="48" spans="1:44" x14ac:dyDescent="0.2">
      <c r="E48" s="1">
        <f>moment_rate!$M48</f>
        <v>457.18442364460293</v>
      </c>
      <c r="F48" s="1">
        <f t="shared" si="5"/>
        <v>9.3767257768825516</v>
      </c>
      <c r="G48">
        <f>moment_rate!I48-0.005</f>
        <v>0.4100000000000002</v>
      </c>
      <c r="H48" s="1">
        <f t="shared" si="6"/>
        <v>0</v>
      </c>
      <c r="I48">
        <f t="shared" si="18"/>
        <v>0</v>
      </c>
      <c r="J48">
        <f t="shared" si="18"/>
        <v>0</v>
      </c>
      <c r="K48">
        <f t="shared" si="18"/>
        <v>0</v>
      </c>
      <c r="L48">
        <f t="shared" si="18"/>
        <v>0</v>
      </c>
      <c r="M48">
        <f t="shared" si="18"/>
        <v>0</v>
      </c>
      <c r="N48">
        <f t="shared" si="18"/>
        <v>0</v>
      </c>
      <c r="O48">
        <f t="shared" si="18"/>
        <v>0</v>
      </c>
      <c r="P48">
        <f t="shared" si="18"/>
        <v>0</v>
      </c>
      <c r="Q48">
        <f t="shared" si="18"/>
        <v>0</v>
      </c>
      <c r="R48">
        <f t="shared" si="18"/>
        <v>0</v>
      </c>
      <c r="S48">
        <f t="shared" si="18"/>
        <v>0</v>
      </c>
      <c r="T48">
        <f t="shared" si="18"/>
        <v>0</v>
      </c>
      <c r="U48">
        <f t="shared" si="18"/>
        <v>0</v>
      </c>
      <c r="V48">
        <f t="shared" si="18"/>
        <v>0</v>
      </c>
      <c r="W48">
        <f t="shared" si="18"/>
        <v>0</v>
      </c>
      <c r="X48">
        <f t="shared" si="18"/>
        <v>0</v>
      </c>
      <c r="Y48">
        <f t="shared" si="16"/>
        <v>0</v>
      </c>
      <c r="Z48">
        <f t="shared" si="16"/>
        <v>0</v>
      </c>
      <c r="AA48">
        <f t="shared" si="16"/>
        <v>0</v>
      </c>
      <c r="AB48">
        <f t="shared" si="16"/>
        <v>0</v>
      </c>
      <c r="AC48">
        <f t="shared" si="16"/>
        <v>0</v>
      </c>
      <c r="AD48">
        <f t="shared" si="16"/>
        <v>0</v>
      </c>
      <c r="AE48">
        <f t="shared" si="16"/>
        <v>0</v>
      </c>
      <c r="AF48">
        <f t="shared" si="16"/>
        <v>0</v>
      </c>
      <c r="AG48">
        <f t="shared" si="16"/>
        <v>0</v>
      </c>
      <c r="AH48">
        <f t="shared" si="16"/>
        <v>0</v>
      </c>
      <c r="AI48">
        <f t="shared" si="16"/>
        <v>0</v>
      </c>
      <c r="AJ48">
        <f t="shared" si="16"/>
        <v>0</v>
      </c>
      <c r="AK48">
        <f t="shared" si="16"/>
        <v>0</v>
      </c>
      <c r="AL48">
        <f t="shared" si="16"/>
        <v>0</v>
      </c>
      <c r="AM48">
        <f t="shared" si="16"/>
        <v>0</v>
      </c>
      <c r="AN48">
        <f t="shared" si="17"/>
        <v>0</v>
      </c>
      <c r="AO48">
        <f t="shared" si="15"/>
        <v>0</v>
      </c>
      <c r="AP48">
        <f t="shared" si="15"/>
        <v>0</v>
      </c>
      <c r="AQ48">
        <f t="shared" si="15"/>
        <v>0</v>
      </c>
      <c r="AR48">
        <f t="shared" si="15"/>
        <v>0</v>
      </c>
    </row>
    <row r="49" spans="5:44" x14ac:dyDescent="0.2">
      <c r="E49" s="1">
        <f>moment_rate!$M49</f>
        <v>447.80769786772038</v>
      </c>
      <c r="F49" s="1">
        <f t="shared" si="5"/>
        <v>9.1844089943799645</v>
      </c>
      <c r="G49">
        <f>moment_rate!I49-0.005</f>
        <v>0.42000000000000021</v>
      </c>
      <c r="H49" s="1">
        <f t="shared" si="6"/>
        <v>0</v>
      </c>
      <c r="I49">
        <f t="shared" si="18"/>
        <v>0</v>
      </c>
      <c r="J49">
        <f t="shared" si="18"/>
        <v>0</v>
      </c>
      <c r="K49">
        <f t="shared" si="18"/>
        <v>0</v>
      </c>
      <c r="L49">
        <f t="shared" si="18"/>
        <v>0</v>
      </c>
      <c r="M49">
        <f t="shared" si="18"/>
        <v>0</v>
      </c>
      <c r="N49">
        <f t="shared" si="18"/>
        <v>0</v>
      </c>
      <c r="O49">
        <f t="shared" si="18"/>
        <v>0</v>
      </c>
      <c r="P49">
        <f t="shared" si="18"/>
        <v>0</v>
      </c>
      <c r="Q49">
        <f t="shared" si="18"/>
        <v>0</v>
      </c>
      <c r="R49">
        <f t="shared" si="18"/>
        <v>0</v>
      </c>
      <c r="S49">
        <f t="shared" si="18"/>
        <v>0</v>
      </c>
      <c r="T49">
        <f t="shared" si="18"/>
        <v>0</v>
      </c>
      <c r="U49">
        <f t="shared" si="18"/>
        <v>0</v>
      </c>
      <c r="V49">
        <f t="shared" si="18"/>
        <v>0</v>
      </c>
      <c r="W49">
        <f t="shared" si="18"/>
        <v>0</v>
      </c>
      <c r="X49">
        <f t="shared" si="18"/>
        <v>0</v>
      </c>
      <c r="Y49">
        <f t="shared" si="16"/>
        <v>0</v>
      </c>
      <c r="Z49">
        <f t="shared" si="16"/>
        <v>0</v>
      </c>
      <c r="AA49">
        <f t="shared" si="16"/>
        <v>0</v>
      </c>
      <c r="AB49">
        <f t="shared" si="16"/>
        <v>0</v>
      </c>
      <c r="AC49">
        <f t="shared" si="16"/>
        <v>0</v>
      </c>
      <c r="AD49">
        <f t="shared" si="16"/>
        <v>0</v>
      </c>
      <c r="AE49">
        <f t="shared" si="16"/>
        <v>0</v>
      </c>
      <c r="AF49">
        <f t="shared" si="16"/>
        <v>0</v>
      </c>
      <c r="AG49">
        <f t="shared" si="16"/>
        <v>0</v>
      </c>
      <c r="AH49">
        <f t="shared" si="16"/>
        <v>0</v>
      </c>
      <c r="AI49">
        <f t="shared" si="16"/>
        <v>0</v>
      </c>
      <c r="AJ49">
        <f t="shared" si="16"/>
        <v>0</v>
      </c>
      <c r="AK49">
        <f t="shared" si="16"/>
        <v>0</v>
      </c>
      <c r="AL49">
        <f t="shared" si="16"/>
        <v>0</v>
      </c>
      <c r="AM49">
        <f t="shared" si="16"/>
        <v>0</v>
      </c>
      <c r="AN49">
        <f t="shared" si="17"/>
        <v>0</v>
      </c>
      <c r="AO49">
        <f t="shared" si="15"/>
        <v>0</v>
      </c>
      <c r="AP49">
        <f t="shared" si="15"/>
        <v>0</v>
      </c>
      <c r="AQ49">
        <f t="shared" si="15"/>
        <v>0</v>
      </c>
      <c r="AR49">
        <f t="shared" si="15"/>
        <v>0</v>
      </c>
    </row>
    <row r="50" spans="5:44" x14ac:dyDescent="0.2">
      <c r="E50" s="1">
        <f>moment_rate!$M50</f>
        <v>438.62328887334041</v>
      </c>
      <c r="F50" s="1">
        <f t="shared" si="5"/>
        <v>8.9960366318928209</v>
      </c>
      <c r="G50">
        <f>moment_rate!I50-0.005</f>
        <v>0.43000000000000022</v>
      </c>
      <c r="H50" s="1">
        <f t="shared" si="6"/>
        <v>0</v>
      </c>
      <c r="I50">
        <f t="shared" si="18"/>
        <v>0</v>
      </c>
      <c r="J50">
        <f t="shared" si="18"/>
        <v>0</v>
      </c>
      <c r="K50">
        <f t="shared" si="18"/>
        <v>0</v>
      </c>
      <c r="L50">
        <f t="shared" si="18"/>
        <v>0</v>
      </c>
      <c r="M50">
        <f t="shared" si="18"/>
        <v>0</v>
      </c>
      <c r="N50">
        <f t="shared" si="18"/>
        <v>0</v>
      </c>
      <c r="O50">
        <f t="shared" si="18"/>
        <v>0</v>
      </c>
      <c r="P50">
        <f t="shared" si="18"/>
        <v>0</v>
      </c>
      <c r="Q50">
        <f t="shared" si="18"/>
        <v>0</v>
      </c>
      <c r="R50">
        <f t="shared" si="18"/>
        <v>0</v>
      </c>
      <c r="S50">
        <f t="shared" si="18"/>
        <v>0</v>
      </c>
      <c r="T50">
        <f t="shared" si="18"/>
        <v>0</v>
      </c>
      <c r="U50">
        <f t="shared" si="18"/>
        <v>0</v>
      </c>
      <c r="V50">
        <f t="shared" si="18"/>
        <v>0</v>
      </c>
      <c r="W50">
        <f t="shared" si="18"/>
        <v>0</v>
      </c>
      <c r="X50">
        <f t="shared" si="18"/>
        <v>0</v>
      </c>
      <c r="Y50">
        <f t="shared" si="16"/>
        <v>0</v>
      </c>
      <c r="Z50">
        <f t="shared" si="16"/>
        <v>0</v>
      </c>
      <c r="AA50">
        <f t="shared" si="16"/>
        <v>0</v>
      </c>
      <c r="AB50">
        <f t="shared" si="16"/>
        <v>0</v>
      </c>
      <c r="AC50">
        <f t="shared" si="16"/>
        <v>0</v>
      </c>
      <c r="AD50">
        <f t="shared" si="16"/>
        <v>0</v>
      </c>
      <c r="AE50">
        <f t="shared" si="16"/>
        <v>0</v>
      </c>
      <c r="AF50">
        <f t="shared" si="16"/>
        <v>0</v>
      </c>
      <c r="AG50">
        <f t="shared" si="16"/>
        <v>0</v>
      </c>
      <c r="AH50">
        <f t="shared" si="16"/>
        <v>0</v>
      </c>
      <c r="AI50">
        <f t="shared" si="16"/>
        <v>0</v>
      </c>
      <c r="AJ50">
        <f t="shared" si="16"/>
        <v>0</v>
      </c>
      <c r="AK50">
        <f t="shared" si="16"/>
        <v>0</v>
      </c>
      <c r="AL50">
        <f t="shared" si="16"/>
        <v>0</v>
      </c>
      <c r="AM50">
        <f t="shared" si="16"/>
        <v>0</v>
      </c>
      <c r="AN50">
        <f t="shared" si="17"/>
        <v>0</v>
      </c>
      <c r="AO50">
        <f t="shared" si="15"/>
        <v>0</v>
      </c>
      <c r="AP50">
        <f t="shared" si="15"/>
        <v>0</v>
      </c>
      <c r="AQ50">
        <f t="shared" si="15"/>
        <v>0</v>
      </c>
      <c r="AR50">
        <f t="shared" si="15"/>
        <v>0</v>
      </c>
    </row>
    <row r="51" spans="5:44" x14ac:dyDescent="0.2">
      <c r="E51" s="1">
        <f>moment_rate!$M51</f>
        <v>429.62725224144759</v>
      </c>
      <c r="F51" s="1">
        <f t="shared" si="5"/>
        <v>8.8115277893087978</v>
      </c>
      <c r="G51">
        <f>moment_rate!I51-0.005</f>
        <v>0.44000000000000022</v>
      </c>
      <c r="H51" s="1">
        <f t="shared" si="6"/>
        <v>0</v>
      </c>
      <c r="I51">
        <f t="shared" si="18"/>
        <v>0</v>
      </c>
      <c r="J51">
        <f t="shared" si="18"/>
        <v>0</v>
      </c>
      <c r="K51">
        <f t="shared" si="18"/>
        <v>0</v>
      </c>
      <c r="L51">
        <f t="shared" si="18"/>
        <v>0</v>
      </c>
      <c r="M51">
        <f t="shared" si="18"/>
        <v>0</v>
      </c>
      <c r="N51">
        <f t="shared" si="18"/>
        <v>0</v>
      </c>
      <c r="O51">
        <f t="shared" si="18"/>
        <v>0</v>
      </c>
      <c r="P51">
        <f t="shared" si="18"/>
        <v>0</v>
      </c>
      <c r="Q51">
        <f t="shared" si="18"/>
        <v>0</v>
      </c>
      <c r="R51">
        <f t="shared" si="18"/>
        <v>0</v>
      </c>
      <c r="S51">
        <f t="shared" si="18"/>
        <v>0</v>
      </c>
      <c r="T51">
        <f t="shared" si="18"/>
        <v>0</v>
      </c>
      <c r="U51">
        <f t="shared" si="18"/>
        <v>0</v>
      </c>
      <c r="V51">
        <f t="shared" si="18"/>
        <v>0</v>
      </c>
      <c r="W51">
        <f t="shared" si="18"/>
        <v>0</v>
      </c>
      <c r="X51">
        <f t="shared" si="18"/>
        <v>0</v>
      </c>
      <c r="Y51">
        <f t="shared" si="16"/>
        <v>0</v>
      </c>
      <c r="Z51">
        <f t="shared" si="16"/>
        <v>0</v>
      </c>
      <c r="AA51">
        <f t="shared" si="16"/>
        <v>0</v>
      </c>
      <c r="AB51">
        <f t="shared" si="16"/>
        <v>0</v>
      </c>
      <c r="AC51">
        <f t="shared" si="16"/>
        <v>0</v>
      </c>
      <c r="AD51">
        <f t="shared" si="16"/>
        <v>0</v>
      </c>
      <c r="AE51">
        <f t="shared" si="16"/>
        <v>0</v>
      </c>
      <c r="AF51">
        <f t="shared" si="16"/>
        <v>0</v>
      </c>
      <c r="AG51">
        <f t="shared" si="16"/>
        <v>0</v>
      </c>
      <c r="AH51">
        <f t="shared" si="16"/>
        <v>0</v>
      </c>
      <c r="AI51">
        <f t="shared" si="16"/>
        <v>0</v>
      </c>
      <c r="AJ51">
        <f t="shared" si="16"/>
        <v>0</v>
      </c>
      <c r="AK51">
        <f t="shared" si="16"/>
        <v>0</v>
      </c>
      <c r="AL51">
        <f t="shared" si="16"/>
        <v>0</v>
      </c>
      <c r="AM51">
        <f t="shared" si="16"/>
        <v>0</v>
      </c>
      <c r="AN51">
        <f t="shared" si="17"/>
        <v>0</v>
      </c>
      <c r="AO51">
        <f t="shared" si="15"/>
        <v>0</v>
      </c>
      <c r="AP51">
        <f t="shared" si="15"/>
        <v>0</v>
      </c>
      <c r="AQ51">
        <f t="shared" si="15"/>
        <v>0</v>
      </c>
      <c r="AR51">
        <f t="shared" si="15"/>
        <v>0</v>
      </c>
    </row>
    <row r="52" spans="5:44" x14ac:dyDescent="0.2">
      <c r="E52" s="1">
        <f>moment_rate!$M52</f>
        <v>420.8157244521388</v>
      </c>
      <c r="F52" s="1">
        <f t="shared" si="5"/>
        <v>8.6308032257783225</v>
      </c>
      <c r="G52">
        <f>moment_rate!I52-0.005</f>
        <v>0.45000000000000023</v>
      </c>
      <c r="H52" s="1">
        <f t="shared" si="6"/>
        <v>0</v>
      </c>
      <c r="I52">
        <f t="shared" si="18"/>
        <v>0</v>
      </c>
      <c r="J52">
        <f t="shared" si="18"/>
        <v>0</v>
      </c>
      <c r="K52">
        <f t="shared" si="18"/>
        <v>0</v>
      </c>
      <c r="L52">
        <f t="shared" si="18"/>
        <v>0</v>
      </c>
      <c r="M52">
        <f t="shared" si="18"/>
        <v>0</v>
      </c>
      <c r="N52">
        <f t="shared" si="18"/>
        <v>0</v>
      </c>
      <c r="O52">
        <f t="shared" si="18"/>
        <v>0</v>
      </c>
      <c r="P52">
        <f t="shared" si="18"/>
        <v>0</v>
      </c>
      <c r="Q52">
        <f t="shared" si="18"/>
        <v>0</v>
      </c>
      <c r="R52">
        <f t="shared" si="18"/>
        <v>0</v>
      </c>
      <c r="S52">
        <f t="shared" si="18"/>
        <v>0</v>
      </c>
      <c r="T52">
        <f t="shared" si="18"/>
        <v>0</v>
      </c>
      <c r="U52">
        <f t="shared" si="18"/>
        <v>0</v>
      </c>
      <c r="V52">
        <f t="shared" si="18"/>
        <v>0</v>
      </c>
      <c r="W52">
        <f t="shared" si="18"/>
        <v>0</v>
      </c>
      <c r="X52">
        <f t="shared" si="18"/>
        <v>0</v>
      </c>
      <c r="Y52">
        <f t="shared" si="16"/>
        <v>0</v>
      </c>
      <c r="Z52">
        <f t="shared" si="16"/>
        <v>0</v>
      </c>
      <c r="AA52">
        <f t="shared" si="16"/>
        <v>0</v>
      </c>
      <c r="AB52">
        <f t="shared" si="16"/>
        <v>0</v>
      </c>
      <c r="AC52">
        <f t="shared" si="16"/>
        <v>0</v>
      </c>
      <c r="AD52">
        <f t="shared" si="16"/>
        <v>0</v>
      </c>
      <c r="AE52">
        <f t="shared" si="16"/>
        <v>0</v>
      </c>
      <c r="AF52">
        <f t="shared" si="16"/>
        <v>0</v>
      </c>
      <c r="AG52">
        <f t="shared" si="16"/>
        <v>0</v>
      </c>
      <c r="AH52">
        <f t="shared" si="16"/>
        <v>0</v>
      </c>
      <c r="AI52">
        <f t="shared" si="16"/>
        <v>0</v>
      </c>
      <c r="AJ52">
        <f t="shared" si="16"/>
        <v>0</v>
      </c>
      <c r="AK52">
        <f t="shared" si="16"/>
        <v>0</v>
      </c>
      <c r="AL52">
        <f t="shared" si="16"/>
        <v>0</v>
      </c>
      <c r="AM52">
        <f t="shared" si="16"/>
        <v>0</v>
      </c>
      <c r="AN52">
        <f t="shared" si="17"/>
        <v>0</v>
      </c>
      <c r="AO52">
        <f t="shared" si="15"/>
        <v>0</v>
      </c>
      <c r="AP52">
        <f t="shared" si="15"/>
        <v>0</v>
      </c>
      <c r="AQ52">
        <f t="shared" si="15"/>
        <v>0</v>
      </c>
      <c r="AR52">
        <f t="shared" si="15"/>
        <v>0</v>
      </c>
    </row>
    <row r="53" spans="5:44" x14ac:dyDescent="0.2">
      <c r="E53" s="1">
        <f>moment_rate!$M53</f>
        <v>412.18492122636047</v>
      </c>
      <c r="F53" s="1">
        <f t="shared" si="5"/>
        <v>8.4537853256829862</v>
      </c>
      <c r="G53">
        <f>moment_rate!I53-0.005</f>
        <v>0.46000000000000024</v>
      </c>
      <c r="H53" s="1">
        <f t="shared" si="6"/>
        <v>0</v>
      </c>
      <c r="I53">
        <f t="shared" si="18"/>
        <v>0</v>
      </c>
      <c r="J53">
        <f t="shared" si="18"/>
        <v>0</v>
      </c>
      <c r="K53">
        <f t="shared" si="18"/>
        <v>0</v>
      </c>
      <c r="L53">
        <f t="shared" si="18"/>
        <v>0</v>
      </c>
      <c r="M53">
        <f t="shared" si="18"/>
        <v>0</v>
      </c>
      <c r="N53">
        <f t="shared" si="18"/>
        <v>0</v>
      </c>
      <c r="O53">
        <f t="shared" si="18"/>
        <v>0</v>
      </c>
      <c r="P53">
        <f t="shared" si="18"/>
        <v>0</v>
      </c>
      <c r="Q53">
        <f t="shared" si="18"/>
        <v>0</v>
      </c>
      <c r="R53">
        <f t="shared" si="18"/>
        <v>0</v>
      </c>
      <c r="S53">
        <f t="shared" si="18"/>
        <v>0</v>
      </c>
      <c r="T53">
        <f t="shared" si="18"/>
        <v>0</v>
      </c>
      <c r="U53">
        <f t="shared" si="18"/>
        <v>0</v>
      </c>
      <c r="V53">
        <f t="shared" si="18"/>
        <v>0</v>
      </c>
      <c r="W53">
        <f t="shared" si="18"/>
        <v>0</v>
      </c>
      <c r="X53">
        <f t="shared" si="18"/>
        <v>0</v>
      </c>
      <c r="Y53">
        <f t="shared" si="16"/>
        <v>0</v>
      </c>
      <c r="Z53">
        <f t="shared" si="16"/>
        <v>0</v>
      </c>
      <c r="AA53">
        <f t="shared" si="16"/>
        <v>0</v>
      </c>
      <c r="AB53">
        <f t="shared" si="16"/>
        <v>0</v>
      </c>
      <c r="AC53">
        <f t="shared" si="16"/>
        <v>0</v>
      </c>
      <c r="AD53">
        <f t="shared" si="16"/>
        <v>0</v>
      </c>
      <c r="AE53">
        <f t="shared" si="16"/>
        <v>0</v>
      </c>
      <c r="AF53">
        <f t="shared" si="16"/>
        <v>0</v>
      </c>
      <c r="AG53">
        <f t="shared" si="16"/>
        <v>0</v>
      </c>
      <c r="AH53">
        <f t="shared" si="16"/>
        <v>0</v>
      </c>
      <c r="AI53">
        <f t="shared" si="16"/>
        <v>0</v>
      </c>
      <c r="AJ53">
        <f t="shared" si="16"/>
        <v>0</v>
      </c>
      <c r="AK53">
        <f t="shared" si="16"/>
        <v>0</v>
      </c>
      <c r="AL53">
        <f t="shared" si="16"/>
        <v>0</v>
      </c>
      <c r="AM53">
        <f t="shared" si="16"/>
        <v>0</v>
      </c>
      <c r="AN53">
        <f t="shared" si="17"/>
        <v>0</v>
      </c>
      <c r="AO53">
        <f t="shared" si="15"/>
        <v>0</v>
      </c>
      <c r="AP53">
        <f t="shared" si="15"/>
        <v>0</v>
      </c>
      <c r="AQ53">
        <f t="shared" si="15"/>
        <v>0</v>
      </c>
      <c r="AR53">
        <f t="shared" si="15"/>
        <v>0</v>
      </c>
    </row>
    <row r="54" spans="5:44" x14ac:dyDescent="0.2">
      <c r="E54" s="1">
        <f>moment_rate!$M54</f>
        <v>403.73113590067749</v>
      </c>
      <c r="F54" s="1">
        <f t="shared" si="5"/>
        <v>8.2803980653015401</v>
      </c>
      <c r="G54">
        <f>moment_rate!I54-0.005</f>
        <v>0.47000000000000025</v>
      </c>
      <c r="H54" s="1">
        <f t="shared" si="6"/>
        <v>0</v>
      </c>
      <c r="I54">
        <f t="shared" si="18"/>
        <v>0</v>
      </c>
      <c r="J54">
        <f t="shared" si="18"/>
        <v>0</v>
      </c>
      <c r="K54">
        <f t="shared" si="18"/>
        <v>0</v>
      </c>
      <c r="L54">
        <f t="shared" si="18"/>
        <v>0</v>
      </c>
      <c r="M54">
        <f t="shared" si="18"/>
        <v>0</v>
      </c>
      <c r="N54">
        <f t="shared" si="18"/>
        <v>0</v>
      </c>
      <c r="O54">
        <f t="shared" si="18"/>
        <v>0</v>
      </c>
      <c r="P54">
        <f t="shared" si="18"/>
        <v>0</v>
      </c>
      <c r="Q54">
        <f t="shared" si="18"/>
        <v>0</v>
      </c>
      <c r="R54">
        <f t="shared" si="18"/>
        <v>0</v>
      </c>
      <c r="S54">
        <f t="shared" si="18"/>
        <v>0</v>
      </c>
      <c r="T54">
        <f t="shared" si="18"/>
        <v>0</v>
      </c>
      <c r="U54">
        <f t="shared" si="18"/>
        <v>0</v>
      </c>
      <c r="V54">
        <f t="shared" si="18"/>
        <v>0</v>
      </c>
      <c r="W54">
        <f t="shared" si="18"/>
        <v>0</v>
      </c>
      <c r="X54">
        <f t="shared" si="18"/>
        <v>0</v>
      </c>
      <c r="Y54">
        <f t="shared" si="16"/>
        <v>0</v>
      </c>
      <c r="Z54">
        <f t="shared" si="16"/>
        <v>0</v>
      </c>
      <c r="AA54">
        <f t="shared" si="16"/>
        <v>0</v>
      </c>
      <c r="AB54">
        <f t="shared" si="16"/>
        <v>0</v>
      </c>
      <c r="AC54">
        <f t="shared" si="16"/>
        <v>0</v>
      </c>
      <c r="AD54">
        <f t="shared" si="16"/>
        <v>0</v>
      </c>
      <c r="AE54">
        <f t="shared" si="16"/>
        <v>0</v>
      </c>
      <c r="AF54">
        <f t="shared" si="16"/>
        <v>0</v>
      </c>
      <c r="AG54">
        <f t="shared" si="16"/>
        <v>0</v>
      </c>
      <c r="AH54">
        <f t="shared" si="16"/>
        <v>0</v>
      </c>
      <c r="AI54">
        <f t="shared" si="16"/>
        <v>0</v>
      </c>
      <c r="AJ54">
        <f t="shared" si="16"/>
        <v>0</v>
      </c>
      <c r="AK54">
        <f t="shared" si="16"/>
        <v>0</v>
      </c>
      <c r="AL54">
        <f t="shared" si="16"/>
        <v>0</v>
      </c>
      <c r="AM54">
        <f t="shared" si="16"/>
        <v>0</v>
      </c>
      <c r="AN54">
        <f t="shared" si="17"/>
        <v>0</v>
      </c>
      <c r="AO54">
        <f t="shared" si="15"/>
        <v>0</v>
      </c>
      <c r="AP54">
        <f t="shared" si="15"/>
        <v>0</v>
      </c>
      <c r="AQ54">
        <f t="shared" si="15"/>
        <v>0</v>
      </c>
      <c r="AR54">
        <f t="shared" si="15"/>
        <v>0</v>
      </c>
    </row>
    <row r="55" spans="5:44" x14ac:dyDescent="0.2">
      <c r="E55" s="1">
        <f>moment_rate!$M55</f>
        <v>395.45073783537595</v>
      </c>
      <c r="F55" s="1">
        <f t="shared" si="5"/>
        <v>8.1105669801604563</v>
      </c>
      <c r="G55">
        <f>moment_rate!I55-0.005</f>
        <v>0.48000000000000026</v>
      </c>
      <c r="H55" s="1">
        <f t="shared" si="6"/>
        <v>0</v>
      </c>
      <c r="I55">
        <f t="shared" si="18"/>
        <v>0</v>
      </c>
      <c r="J55">
        <f t="shared" si="18"/>
        <v>0</v>
      </c>
      <c r="K55">
        <f t="shared" si="18"/>
        <v>0</v>
      </c>
      <c r="L55">
        <f t="shared" si="18"/>
        <v>0</v>
      </c>
      <c r="M55">
        <f t="shared" si="18"/>
        <v>0</v>
      </c>
      <c r="N55">
        <f t="shared" si="18"/>
        <v>0</v>
      </c>
      <c r="O55">
        <f t="shared" si="18"/>
        <v>0</v>
      </c>
      <c r="P55">
        <f t="shared" si="18"/>
        <v>0</v>
      </c>
      <c r="Q55">
        <f t="shared" si="18"/>
        <v>0</v>
      </c>
      <c r="R55">
        <f t="shared" si="18"/>
        <v>0</v>
      </c>
      <c r="S55">
        <f t="shared" si="18"/>
        <v>0</v>
      </c>
      <c r="T55">
        <f t="shared" si="18"/>
        <v>0</v>
      </c>
      <c r="U55">
        <f t="shared" si="18"/>
        <v>0</v>
      </c>
      <c r="V55">
        <f t="shared" si="18"/>
        <v>0</v>
      </c>
      <c r="W55">
        <f t="shared" si="18"/>
        <v>0</v>
      </c>
      <c r="X55">
        <f t="shared" si="18"/>
        <v>0</v>
      </c>
      <c r="Y55">
        <f t="shared" si="16"/>
        <v>0</v>
      </c>
      <c r="Z55">
        <f t="shared" si="16"/>
        <v>0</v>
      </c>
      <c r="AA55">
        <f t="shared" si="16"/>
        <v>0</v>
      </c>
      <c r="AB55">
        <f t="shared" si="16"/>
        <v>0</v>
      </c>
      <c r="AC55">
        <f t="shared" si="16"/>
        <v>0</v>
      </c>
      <c r="AD55">
        <f t="shared" si="16"/>
        <v>0</v>
      </c>
      <c r="AE55">
        <f t="shared" si="16"/>
        <v>0</v>
      </c>
      <c r="AF55">
        <f t="shared" si="16"/>
        <v>0</v>
      </c>
      <c r="AG55">
        <f t="shared" si="16"/>
        <v>0</v>
      </c>
      <c r="AH55">
        <f t="shared" si="16"/>
        <v>0</v>
      </c>
      <c r="AI55">
        <f t="shared" si="16"/>
        <v>0</v>
      </c>
      <c r="AJ55">
        <f t="shared" si="16"/>
        <v>0</v>
      </c>
      <c r="AK55">
        <f t="shared" si="16"/>
        <v>0</v>
      </c>
      <c r="AL55">
        <f t="shared" si="16"/>
        <v>0</v>
      </c>
      <c r="AM55">
        <f t="shared" si="16"/>
        <v>0</v>
      </c>
      <c r="AN55">
        <f t="shared" si="17"/>
        <v>0</v>
      </c>
      <c r="AO55">
        <f t="shared" si="15"/>
        <v>0</v>
      </c>
      <c r="AP55">
        <f t="shared" si="15"/>
        <v>0</v>
      </c>
      <c r="AQ55">
        <f t="shared" si="15"/>
        <v>0</v>
      </c>
      <c r="AR55">
        <f t="shared" si="15"/>
        <v>0</v>
      </c>
    </row>
    <row r="56" spans="5:44" x14ac:dyDescent="0.2">
      <c r="E56" s="1">
        <f>moment_rate!$M56</f>
        <v>387.34017085521549</v>
      </c>
      <c r="F56" s="1">
        <f t="shared" si="5"/>
        <v>7.9442191330536502</v>
      </c>
      <c r="G56">
        <f>moment_rate!I56-0.005</f>
        <v>0.49000000000000027</v>
      </c>
      <c r="H56" s="1">
        <f t="shared" si="6"/>
        <v>0</v>
      </c>
      <c r="I56">
        <f t="shared" si="18"/>
        <v>0</v>
      </c>
      <c r="J56">
        <f t="shared" si="18"/>
        <v>0</v>
      </c>
      <c r="K56">
        <f t="shared" si="18"/>
        <v>0</v>
      </c>
      <c r="L56">
        <f t="shared" si="18"/>
        <v>0</v>
      </c>
      <c r="M56">
        <f t="shared" si="18"/>
        <v>0</v>
      </c>
      <c r="N56">
        <f t="shared" si="18"/>
        <v>0</v>
      </c>
      <c r="O56">
        <f t="shared" si="18"/>
        <v>0</v>
      </c>
      <c r="P56">
        <f t="shared" si="18"/>
        <v>0</v>
      </c>
      <c r="Q56">
        <f t="shared" si="18"/>
        <v>0</v>
      </c>
      <c r="R56">
        <f t="shared" si="18"/>
        <v>0</v>
      </c>
      <c r="S56">
        <f t="shared" si="18"/>
        <v>0</v>
      </c>
      <c r="T56">
        <f t="shared" si="18"/>
        <v>0</v>
      </c>
      <c r="U56">
        <f t="shared" si="18"/>
        <v>0</v>
      </c>
      <c r="V56">
        <f t="shared" si="18"/>
        <v>0</v>
      </c>
      <c r="W56">
        <f t="shared" si="18"/>
        <v>0</v>
      </c>
      <c r="X56">
        <f t="shared" si="18"/>
        <v>0</v>
      </c>
      <c r="Y56">
        <f t="shared" si="16"/>
        <v>0</v>
      </c>
      <c r="Z56">
        <f t="shared" si="16"/>
        <v>0</v>
      </c>
      <c r="AA56">
        <f t="shared" si="16"/>
        <v>0</v>
      </c>
      <c r="AB56">
        <f t="shared" si="16"/>
        <v>0</v>
      </c>
      <c r="AC56">
        <f t="shared" si="16"/>
        <v>0</v>
      </c>
      <c r="AD56">
        <f t="shared" si="16"/>
        <v>0</v>
      </c>
      <c r="AE56">
        <f t="shared" si="16"/>
        <v>0</v>
      </c>
      <c r="AF56">
        <f t="shared" si="16"/>
        <v>0</v>
      </c>
      <c r="AG56">
        <f t="shared" si="16"/>
        <v>0</v>
      </c>
      <c r="AH56">
        <f t="shared" si="16"/>
        <v>0</v>
      </c>
      <c r="AI56">
        <f t="shared" si="16"/>
        <v>0</v>
      </c>
      <c r="AJ56">
        <f t="shared" si="16"/>
        <v>0</v>
      </c>
      <c r="AK56">
        <f t="shared" si="16"/>
        <v>0</v>
      </c>
      <c r="AL56">
        <f t="shared" si="16"/>
        <v>0</v>
      </c>
      <c r="AM56">
        <f t="shared" si="16"/>
        <v>0</v>
      </c>
      <c r="AN56">
        <f t="shared" si="17"/>
        <v>0</v>
      </c>
      <c r="AO56">
        <f t="shared" si="15"/>
        <v>0</v>
      </c>
      <c r="AP56">
        <f t="shared" si="15"/>
        <v>0</v>
      </c>
      <c r="AQ56">
        <f t="shared" si="15"/>
        <v>0</v>
      </c>
      <c r="AR56">
        <f t="shared" si="15"/>
        <v>0</v>
      </c>
    </row>
    <row r="57" spans="5:44" x14ac:dyDescent="0.2">
      <c r="E57" s="1">
        <f>moment_rate!$M57</f>
        <v>379.39595172216184</v>
      </c>
      <c r="F57" s="1">
        <f t="shared" si="5"/>
        <v>7.7812830827181756</v>
      </c>
      <c r="G57">
        <f>moment_rate!I57-0.005</f>
        <v>0.50000000000000022</v>
      </c>
      <c r="H57" s="1">
        <f t="shared" si="6"/>
        <v>0</v>
      </c>
      <c r="I57">
        <f t="shared" si="18"/>
        <v>0</v>
      </c>
      <c r="J57">
        <f t="shared" si="18"/>
        <v>0</v>
      </c>
      <c r="K57">
        <f t="shared" si="18"/>
        <v>0</v>
      </c>
      <c r="L57">
        <f t="shared" si="18"/>
        <v>0</v>
      </c>
      <c r="M57">
        <f t="shared" si="18"/>
        <v>0</v>
      </c>
      <c r="N57">
        <f t="shared" si="18"/>
        <v>0</v>
      </c>
      <c r="O57">
        <f t="shared" si="18"/>
        <v>0</v>
      </c>
      <c r="P57">
        <f t="shared" si="18"/>
        <v>0</v>
      </c>
      <c r="Q57">
        <f t="shared" si="18"/>
        <v>0</v>
      </c>
      <c r="R57">
        <f t="shared" si="18"/>
        <v>0</v>
      </c>
      <c r="S57">
        <f t="shared" si="18"/>
        <v>0</v>
      </c>
      <c r="T57">
        <f t="shared" si="18"/>
        <v>0</v>
      </c>
      <c r="U57">
        <f t="shared" si="18"/>
        <v>0</v>
      </c>
      <c r="V57">
        <f t="shared" si="18"/>
        <v>0</v>
      </c>
      <c r="W57">
        <f t="shared" si="18"/>
        <v>0</v>
      </c>
      <c r="X57">
        <f t="shared" si="18"/>
        <v>0</v>
      </c>
      <c r="Y57">
        <f t="shared" si="16"/>
        <v>0</v>
      </c>
      <c r="Z57">
        <f t="shared" si="16"/>
        <v>0</v>
      </c>
      <c r="AA57">
        <f t="shared" si="16"/>
        <v>0</v>
      </c>
      <c r="AB57">
        <f t="shared" si="16"/>
        <v>0</v>
      </c>
      <c r="AC57">
        <f t="shared" si="16"/>
        <v>0</v>
      </c>
      <c r="AD57">
        <f t="shared" si="16"/>
        <v>0</v>
      </c>
      <c r="AE57">
        <f t="shared" si="16"/>
        <v>0</v>
      </c>
      <c r="AF57">
        <f t="shared" si="16"/>
        <v>0</v>
      </c>
      <c r="AG57">
        <f t="shared" si="16"/>
        <v>0</v>
      </c>
      <c r="AH57">
        <f t="shared" si="16"/>
        <v>0</v>
      </c>
      <c r="AI57">
        <f t="shared" si="16"/>
        <v>0</v>
      </c>
      <c r="AJ57">
        <f t="shared" si="16"/>
        <v>0</v>
      </c>
      <c r="AK57">
        <f t="shared" si="16"/>
        <v>0</v>
      </c>
      <c r="AL57">
        <f t="shared" si="16"/>
        <v>0</v>
      </c>
      <c r="AM57">
        <f t="shared" si="16"/>
        <v>0</v>
      </c>
      <c r="AN57">
        <f t="shared" si="17"/>
        <v>0</v>
      </c>
      <c r="AO57">
        <f t="shared" si="15"/>
        <v>0</v>
      </c>
      <c r="AP57">
        <f t="shared" si="15"/>
        <v>0</v>
      </c>
      <c r="AQ57">
        <f t="shared" si="15"/>
        <v>0</v>
      </c>
      <c r="AR57">
        <f t="shared" si="15"/>
        <v>0</v>
      </c>
    </row>
    <row r="58" spans="5:44" x14ac:dyDescent="0.2">
      <c r="E58" s="1">
        <f>moment_rate!$M58</f>
        <v>371.61466863944366</v>
      </c>
      <c r="F58" s="1">
        <f t="shared" si="5"/>
        <v>7.621688853152591</v>
      </c>
      <c r="G58">
        <f>moment_rate!I58-0.005</f>
        <v>0.51000000000000023</v>
      </c>
      <c r="H58" s="1">
        <f t="shared" si="6"/>
        <v>0</v>
      </c>
      <c r="I58">
        <f t="shared" si="18"/>
        <v>0</v>
      </c>
      <c r="J58">
        <f t="shared" si="18"/>
        <v>0</v>
      </c>
      <c r="K58">
        <f t="shared" si="18"/>
        <v>0</v>
      </c>
      <c r="L58">
        <f t="shared" si="18"/>
        <v>0</v>
      </c>
      <c r="M58">
        <f t="shared" si="18"/>
        <v>0</v>
      </c>
      <c r="N58">
        <f t="shared" si="18"/>
        <v>0</v>
      </c>
      <c r="O58">
        <f t="shared" si="18"/>
        <v>0</v>
      </c>
      <c r="P58">
        <f t="shared" si="18"/>
        <v>0</v>
      </c>
      <c r="Q58">
        <f t="shared" si="18"/>
        <v>0</v>
      </c>
      <c r="R58">
        <f t="shared" si="18"/>
        <v>0</v>
      </c>
      <c r="S58">
        <f t="shared" si="18"/>
        <v>0</v>
      </c>
      <c r="T58">
        <f t="shared" si="18"/>
        <v>0</v>
      </c>
      <c r="U58">
        <f t="shared" si="18"/>
        <v>0</v>
      </c>
      <c r="V58">
        <f t="shared" si="18"/>
        <v>0</v>
      </c>
      <c r="W58">
        <f t="shared" si="18"/>
        <v>0</v>
      </c>
      <c r="X58">
        <f t="shared" si="18"/>
        <v>0</v>
      </c>
      <c r="Y58">
        <f t="shared" si="16"/>
        <v>0</v>
      </c>
      <c r="Z58">
        <f t="shared" si="16"/>
        <v>0</v>
      </c>
      <c r="AA58">
        <f t="shared" si="16"/>
        <v>0</v>
      </c>
      <c r="AB58">
        <f t="shared" si="16"/>
        <v>0</v>
      </c>
      <c r="AC58">
        <f t="shared" si="16"/>
        <v>0</v>
      </c>
      <c r="AD58">
        <f t="shared" si="16"/>
        <v>0</v>
      </c>
      <c r="AE58">
        <f t="shared" si="16"/>
        <v>0</v>
      </c>
      <c r="AF58">
        <f t="shared" si="16"/>
        <v>0</v>
      </c>
      <c r="AG58">
        <f t="shared" si="16"/>
        <v>0</v>
      </c>
      <c r="AH58">
        <f t="shared" si="16"/>
        <v>0</v>
      </c>
      <c r="AI58">
        <f t="shared" si="16"/>
        <v>0</v>
      </c>
      <c r="AJ58">
        <f t="shared" si="16"/>
        <v>0</v>
      </c>
      <c r="AK58">
        <f t="shared" si="16"/>
        <v>0</v>
      </c>
      <c r="AL58">
        <f t="shared" si="16"/>
        <v>0</v>
      </c>
      <c r="AM58">
        <f t="shared" si="16"/>
        <v>0</v>
      </c>
      <c r="AN58">
        <f t="shared" si="17"/>
        <v>0</v>
      </c>
      <c r="AO58">
        <f t="shared" si="15"/>
        <v>0</v>
      </c>
      <c r="AP58">
        <f t="shared" si="15"/>
        <v>0</v>
      </c>
      <c r="AQ58">
        <f t="shared" si="15"/>
        <v>0</v>
      </c>
      <c r="AR58">
        <f t="shared" si="15"/>
        <v>0</v>
      </c>
    </row>
    <row r="59" spans="5:44" x14ac:dyDescent="0.2">
      <c r="E59" s="1">
        <f>moment_rate!$M59</f>
        <v>363.99297978629107</v>
      </c>
      <c r="F59" s="1">
        <f t="shared" si="5"/>
        <v>7.4653679035640721</v>
      </c>
      <c r="G59">
        <f>moment_rate!I59-0.005</f>
        <v>0.52000000000000024</v>
      </c>
      <c r="H59" s="1">
        <f t="shared" si="6"/>
        <v>0</v>
      </c>
      <c r="I59">
        <f t="shared" si="18"/>
        <v>0</v>
      </c>
      <c r="J59">
        <f t="shared" si="18"/>
        <v>0</v>
      </c>
      <c r="K59">
        <f t="shared" si="18"/>
        <v>0</v>
      </c>
      <c r="L59">
        <f t="shared" si="18"/>
        <v>0</v>
      </c>
      <c r="M59">
        <f t="shared" si="18"/>
        <v>0</v>
      </c>
      <c r="N59">
        <f t="shared" si="18"/>
        <v>0</v>
      </c>
      <c r="O59">
        <f t="shared" si="18"/>
        <v>0</v>
      </c>
      <c r="P59">
        <f t="shared" si="18"/>
        <v>0</v>
      </c>
      <c r="Q59">
        <f t="shared" si="18"/>
        <v>0</v>
      </c>
      <c r="R59">
        <f t="shared" si="18"/>
        <v>0</v>
      </c>
      <c r="S59">
        <f t="shared" si="18"/>
        <v>0</v>
      </c>
      <c r="T59">
        <f t="shared" si="18"/>
        <v>0</v>
      </c>
      <c r="U59">
        <f t="shared" si="18"/>
        <v>0</v>
      </c>
      <c r="V59">
        <f t="shared" si="18"/>
        <v>0</v>
      </c>
      <c r="W59">
        <f t="shared" si="18"/>
        <v>0</v>
      </c>
      <c r="X59">
        <f t="shared" si="18"/>
        <v>0</v>
      </c>
      <c r="Y59">
        <f t="shared" si="16"/>
        <v>0</v>
      </c>
      <c r="Z59">
        <f t="shared" si="16"/>
        <v>0</v>
      </c>
      <c r="AA59">
        <f t="shared" si="16"/>
        <v>0</v>
      </c>
      <c r="AB59">
        <f t="shared" si="16"/>
        <v>0</v>
      </c>
      <c r="AC59">
        <f t="shared" si="16"/>
        <v>0</v>
      </c>
      <c r="AD59">
        <f t="shared" si="16"/>
        <v>0</v>
      </c>
      <c r="AE59">
        <f t="shared" si="16"/>
        <v>0</v>
      </c>
      <c r="AF59">
        <f t="shared" si="16"/>
        <v>0</v>
      </c>
      <c r="AG59">
        <f t="shared" si="16"/>
        <v>0</v>
      </c>
      <c r="AH59">
        <f t="shared" si="16"/>
        <v>0</v>
      </c>
      <c r="AI59">
        <f t="shared" si="16"/>
        <v>0</v>
      </c>
      <c r="AJ59">
        <f t="shared" si="16"/>
        <v>0</v>
      </c>
      <c r="AK59">
        <f t="shared" si="16"/>
        <v>0</v>
      </c>
      <c r="AL59">
        <f t="shared" si="16"/>
        <v>0</v>
      </c>
      <c r="AM59">
        <f t="shared" si="16"/>
        <v>0</v>
      </c>
      <c r="AN59">
        <f t="shared" si="17"/>
        <v>0</v>
      </c>
      <c r="AO59">
        <f t="shared" si="15"/>
        <v>0</v>
      </c>
      <c r="AP59">
        <f t="shared" si="15"/>
        <v>0</v>
      </c>
      <c r="AQ59">
        <f t="shared" si="15"/>
        <v>0</v>
      </c>
      <c r="AR59">
        <f t="shared" si="15"/>
        <v>0</v>
      </c>
    </row>
    <row r="60" spans="5:44" x14ac:dyDescent="0.2">
      <c r="E60" s="1">
        <f>moment_rate!$M60</f>
        <v>356.527611882727</v>
      </c>
      <c r="F60" s="1">
        <f t="shared" si="5"/>
        <v>7.3122530989325583</v>
      </c>
      <c r="G60">
        <f>moment_rate!I60-0.005</f>
        <v>0.53000000000000025</v>
      </c>
      <c r="H60" s="1">
        <f t="shared" si="6"/>
        <v>0</v>
      </c>
      <c r="I60">
        <f t="shared" si="18"/>
        <v>0</v>
      </c>
      <c r="J60">
        <f t="shared" si="18"/>
        <v>0</v>
      </c>
      <c r="K60">
        <f t="shared" si="18"/>
        <v>0</v>
      </c>
      <c r="L60">
        <f t="shared" si="18"/>
        <v>0</v>
      </c>
      <c r="M60">
        <f t="shared" si="18"/>
        <v>0</v>
      </c>
      <c r="N60">
        <f t="shared" si="18"/>
        <v>0</v>
      </c>
      <c r="O60">
        <f t="shared" si="18"/>
        <v>0</v>
      </c>
      <c r="P60">
        <f t="shared" si="18"/>
        <v>0</v>
      </c>
      <c r="Q60">
        <f t="shared" si="18"/>
        <v>0</v>
      </c>
      <c r="R60">
        <f t="shared" si="18"/>
        <v>0</v>
      </c>
      <c r="S60">
        <f t="shared" si="18"/>
        <v>0</v>
      </c>
      <c r="T60">
        <f t="shared" si="18"/>
        <v>0</v>
      </c>
      <c r="U60">
        <f t="shared" si="18"/>
        <v>0</v>
      </c>
      <c r="V60">
        <f t="shared" si="18"/>
        <v>0</v>
      </c>
      <c r="W60">
        <f t="shared" si="18"/>
        <v>0</v>
      </c>
      <c r="X60">
        <f t="shared" si="18"/>
        <v>0</v>
      </c>
      <c r="Y60">
        <f t="shared" si="16"/>
        <v>0</v>
      </c>
      <c r="Z60">
        <f t="shared" si="16"/>
        <v>0</v>
      </c>
      <c r="AA60">
        <f t="shared" si="16"/>
        <v>0</v>
      </c>
      <c r="AB60">
        <f t="shared" si="16"/>
        <v>0</v>
      </c>
      <c r="AC60">
        <f t="shared" si="16"/>
        <v>0</v>
      </c>
      <c r="AD60">
        <f t="shared" si="16"/>
        <v>0</v>
      </c>
      <c r="AE60">
        <f t="shared" si="16"/>
        <v>0</v>
      </c>
      <c r="AF60">
        <f t="shared" si="16"/>
        <v>0</v>
      </c>
      <c r="AG60">
        <f t="shared" si="16"/>
        <v>0</v>
      </c>
      <c r="AH60">
        <f t="shared" si="16"/>
        <v>0</v>
      </c>
      <c r="AI60">
        <f t="shared" si="16"/>
        <v>0</v>
      </c>
      <c r="AJ60">
        <f t="shared" si="16"/>
        <v>0</v>
      </c>
      <c r="AK60">
        <f t="shared" si="16"/>
        <v>0</v>
      </c>
      <c r="AL60">
        <f t="shared" si="16"/>
        <v>0</v>
      </c>
      <c r="AM60">
        <f t="shared" si="16"/>
        <v>0</v>
      </c>
      <c r="AN60">
        <f t="shared" si="17"/>
        <v>0</v>
      </c>
      <c r="AO60">
        <f t="shared" si="15"/>
        <v>0</v>
      </c>
      <c r="AP60">
        <f t="shared" si="15"/>
        <v>0</v>
      </c>
      <c r="AQ60">
        <f t="shared" si="15"/>
        <v>0</v>
      </c>
      <c r="AR60">
        <f t="shared" si="15"/>
        <v>0</v>
      </c>
    </row>
    <row r="61" spans="5:44" x14ac:dyDescent="0.2">
      <c r="E61" s="1">
        <f>moment_rate!$M61</f>
        <v>349.21535878379444</v>
      </c>
      <c r="F61" s="1">
        <f t="shared" si="5"/>
        <v>7.1622786811781793</v>
      </c>
      <c r="G61">
        <f>moment_rate!I61-0.005</f>
        <v>0.54000000000000026</v>
      </c>
      <c r="H61" s="1">
        <f t="shared" si="6"/>
        <v>0</v>
      </c>
      <c r="I61">
        <f t="shared" si="18"/>
        <v>0</v>
      </c>
      <c r="J61">
        <f t="shared" si="18"/>
        <v>0</v>
      </c>
      <c r="K61">
        <f t="shared" si="18"/>
        <v>0</v>
      </c>
      <c r="L61">
        <f t="shared" si="18"/>
        <v>0</v>
      </c>
      <c r="M61">
        <f t="shared" si="18"/>
        <v>0</v>
      </c>
      <c r="N61">
        <f t="shared" si="18"/>
        <v>0</v>
      </c>
      <c r="O61">
        <f t="shared" si="18"/>
        <v>0</v>
      </c>
      <c r="P61">
        <f t="shared" si="18"/>
        <v>0</v>
      </c>
      <c r="Q61">
        <f t="shared" si="18"/>
        <v>0</v>
      </c>
      <c r="R61">
        <f t="shared" si="18"/>
        <v>0</v>
      </c>
      <c r="S61">
        <f t="shared" si="18"/>
        <v>0</v>
      </c>
      <c r="T61">
        <f t="shared" si="18"/>
        <v>0</v>
      </c>
      <c r="U61">
        <f t="shared" si="18"/>
        <v>0</v>
      </c>
      <c r="V61">
        <f t="shared" si="18"/>
        <v>0</v>
      </c>
      <c r="W61">
        <f t="shared" si="18"/>
        <v>0</v>
      </c>
      <c r="X61">
        <f t="shared" si="18"/>
        <v>0</v>
      </c>
      <c r="Y61">
        <f t="shared" si="16"/>
        <v>0</v>
      </c>
      <c r="Z61">
        <f t="shared" si="16"/>
        <v>0</v>
      </c>
      <c r="AA61">
        <f t="shared" si="16"/>
        <v>0</v>
      </c>
      <c r="AB61">
        <f t="shared" si="16"/>
        <v>0</v>
      </c>
      <c r="AC61">
        <f t="shared" si="16"/>
        <v>0</v>
      </c>
      <c r="AD61">
        <f t="shared" si="16"/>
        <v>0</v>
      </c>
      <c r="AE61">
        <f t="shared" si="16"/>
        <v>0</v>
      </c>
      <c r="AF61">
        <f t="shared" si="16"/>
        <v>0</v>
      </c>
      <c r="AG61">
        <f t="shared" si="16"/>
        <v>0</v>
      </c>
      <c r="AH61">
        <f t="shared" si="16"/>
        <v>0</v>
      </c>
      <c r="AI61">
        <f t="shared" si="16"/>
        <v>0</v>
      </c>
      <c r="AJ61">
        <f t="shared" si="16"/>
        <v>0</v>
      </c>
      <c r="AK61">
        <f t="shared" si="16"/>
        <v>0</v>
      </c>
      <c r="AL61">
        <f t="shared" si="16"/>
        <v>0</v>
      </c>
      <c r="AM61">
        <f t="shared" si="16"/>
        <v>0</v>
      </c>
      <c r="AN61">
        <f t="shared" si="17"/>
        <v>0</v>
      </c>
      <c r="AO61">
        <f t="shared" si="15"/>
        <v>0</v>
      </c>
      <c r="AP61">
        <f t="shared" si="15"/>
        <v>0</v>
      </c>
      <c r="AQ61">
        <f t="shared" si="15"/>
        <v>0</v>
      </c>
      <c r="AR61">
        <f t="shared" si="15"/>
        <v>0</v>
      </c>
    </row>
    <row r="62" spans="5:44" x14ac:dyDescent="0.2">
      <c r="E62" s="1">
        <f>moment_rate!$M62</f>
        <v>342.05308010261626</v>
      </c>
      <c r="F62" s="1">
        <f t="shared" si="5"/>
        <v>7.0153802409202513</v>
      </c>
      <c r="G62">
        <f>moment_rate!I62-0.005</f>
        <v>0.55000000000000027</v>
      </c>
      <c r="H62" s="1">
        <f t="shared" si="6"/>
        <v>0</v>
      </c>
      <c r="I62">
        <f t="shared" si="18"/>
        <v>0</v>
      </c>
      <c r="J62">
        <f t="shared" si="18"/>
        <v>0</v>
      </c>
      <c r="K62">
        <f t="shared" si="18"/>
        <v>0</v>
      </c>
      <c r="L62">
        <f t="shared" si="18"/>
        <v>0</v>
      </c>
      <c r="M62">
        <f t="shared" si="18"/>
        <v>0</v>
      </c>
      <c r="N62">
        <f t="shared" si="18"/>
        <v>0</v>
      </c>
      <c r="O62">
        <f t="shared" si="18"/>
        <v>0</v>
      </c>
      <c r="P62">
        <f t="shared" si="18"/>
        <v>0</v>
      </c>
      <c r="Q62">
        <f t="shared" si="18"/>
        <v>0</v>
      </c>
      <c r="R62">
        <f t="shared" si="18"/>
        <v>0</v>
      </c>
      <c r="S62">
        <f t="shared" si="18"/>
        <v>0</v>
      </c>
      <c r="T62">
        <f t="shared" si="18"/>
        <v>0</v>
      </c>
      <c r="U62">
        <f t="shared" si="18"/>
        <v>0</v>
      </c>
      <c r="V62">
        <f t="shared" si="18"/>
        <v>0</v>
      </c>
      <c r="W62">
        <f t="shared" si="18"/>
        <v>0</v>
      </c>
      <c r="X62">
        <f t="shared" ref="X62:AM77" si="19">IF(AND($G62&gt;=X$3,$G62&lt;X$4),$F62,0)</f>
        <v>0</v>
      </c>
      <c r="Y62">
        <f t="shared" si="19"/>
        <v>0</v>
      </c>
      <c r="Z62">
        <f t="shared" si="19"/>
        <v>0</v>
      </c>
      <c r="AA62">
        <f t="shared" si="19"/>
        <v>0</v>
      </c>
      <c r="AB62">
        <f t="shared" si="19"/>
        <v>0</v>
      </c>
      <c r="AC62">
        <f t="shared" si="19"/>
        <v>0</v>
      </c>
      <c r="AD62">
        <f t="shared" si="19"/>
        <v>0</v>
      </c>
      <c r="AE62">
        <f t="shared" si="19"/>
        <v>0</v>
      </c>
      <c r="AF62">
        <f t="shared" si="19"/>
        <v>0</v>
      </c>
      <c r="AG62">
        <f t="shared" si="19"/>
        <v>0</v>
      </c>
      <c r="AH62">
        <f t="shared" si="19"/>
        <v>0</v>
      </c>
      <c r="AI62">
        <f t="shared" si="19"/>
        <v>0</v>
      </c>
      <c r="AJ62">
        <f t="shared" si="19"/>
        <v>0</v>
      </c>
      <c r="AK62">
        <f t="shared" si="19"/>
        <v>0</v>
      </c>
      <c r="AL62">
        <f t="shared" si="19"/>
        <v>0</v>
      </c>
      <c r="AM62">
        <f t="shared" si="19"/>
        <v>0</v>
      </c>
      <c r="AN62">
        <f t="shared" si="17"/>
        <v>0</v>
      </c>
      <c r="AO62">
        <f t="shared" si="15"/>
        <v>0</v>
      </c>
      <c r="AP62">
        <f t="shared" si="15"/>
        <v>0</v>
      </c>
      <c r="AQ62">
        <f t="shared" si="15"/>
        <v>0</v>
      </c>
      <c r="AR62">
        <f t="shared" si="15"/>
        <v>0</v>
      </c>
    </row>
    <row r="63" spans="5:44" x14ac:dyDescent="0.2">
      <c r="E63" s="1">
        <f>moment_rate!$M63</f>
        <v>335.03769986169601</v>
      </c>
      <c r="F63" s="1">
        <f t="shared" si="5"/>
        <v>6.8714946898153926</v>
      </c>
      <c r="G63">
        <f>moment_rate!I63-0.005</f>
        <v>0.56000000000000028</v>
      </c>
      <c r="H63" s="1">
        <f t="shared" si="6"/>
        <v>0</v>
      </c>
      <c r="I63">
        <f t="shared" ref="I63:X78" si="20">IF(AND($G63&gt;=I$3,$G63&lt;I$4),$F63,0)</f>
        <v>0</v>
      </c>
      <c r="J63">
        <f t="shared" si="20"/>
        <v>0</v>
      </c>
      <c r="K63">
        <f t="shared" si="20"/>
        <v>0</v>
      </c>
      <c r="L63">
        <f t="shared" si="20"/>
        <v>0</v>
      </c>
      <c r="M63">
        <f t="shared" si="20"/>
        <v>0</v>
      </c>
      <c r="N63">
        <f t="shared" si="20"/>
        <v>0</v>
      </c>
      <c r="O63">
        <f t="shared" si="20"/>
        <v>0</v>
      </c>
      <c r="P63">
        <f t="shared" si="20"/>
        <v>0</v>
      </c>
      <c r="Q63">
        <f t="shared" si="20"/>
        <v>0</v>
      </c>
      <c r="R63">
        <f t="shared" si="20"/>
        <v>0</v>
      </c>
      <c r="S63">
        <f t="shared" si="20"/>
        <v>0</v>
      </c>
      <c r="T63">
        <f t="shared" si="20"/>
        <v>0</v>
      </c>
      <c r="U63">
        <f t="shared" si="20"/>
        <v>0</v>
      </c>
      <c r="V63">
        <f t="shared" si="20"/>
        <v>0</v>
      </c>
      <c r="W63">
        <f t="shared" si="20"/>
        <v>0</v>
      </c>
      <c r="X63">
        <f t="shared" si="20"/>
        <v>0</v>
      </c>
      <c r="Y63">
        <f t="shared" si="19"/>
        <v>0</v>
      </c>
      <c r="Z63">
        <f t="shared" si="19"/>
        <v>0</v>
      </c>
      <c r="AA63">
        <f t="shared" si="19"/>
        <v>0</v>
      </c>
      <c r="AB63">
        <f t="shared" si="19"/>
        <v>0</v>
      </c>
      <c r="AC63">
        <f t="shared" si="19"/>
        <v>0</v>
      </c>
      <c r="AD63">
        <f t="shared" si="19"/>
        <v>0</v>
      </c>
      <c r="AE63">
        <f t="shared" si="19"/>
        <v>0</v>
      </c>
      <c r="AF63">
        <f t="shared" si="19"/>
        <v>0</v>
      </c>
      <c r="AG63">
        <f t="shared" si="19"/>
        <v>0</v>
      </c>
      <c r="AH63">
        <f t="shared" si="19"/>
        <v>0</v>
      </c>
      <c r="AI63">
        <f t="shared" si="19"/>
        <v>0</v>
      </c>
      <c r="AJ63">
        <f t="shared" si="19"/>
        <v>0</v>
      </c>
      <c r="AK63">
        <f t="shared" si="19"/>
        <v>0</v>
      </c>
      <c r="AL63">
        <f t="shared" si="19"/>
        <v>0</v>
      </c>
      <c r="AM63">
        <f t="shared" si="19"/>
        <v>0</v>
      </c>
      <c r="AN63">
        <f t="shared" si="17"/>
        <v>0</v>
      </c>
      <c r="AO63">
        <f t="shared" si="15"/>
        <v>0</v>
      </c>
      <c r="AP63">
        <f t="shared" si="15"/>
        <v>0</v>
      </c>
      <c r="AQ63">
        <f t="shared" si="15"/>
        <v>0</v>
      </c>
      <c r="AR63">
        <f t="shared" si="15"/>
        <v>0</v>
      </c>
    </row>
    <row r="64" spans="5:44" x14ac:dyDescent="0.2">
      <c r="E64" s="1">
        <f>moment_rate!$M64</f>
        <v>328.16620517188062</v>
      </c>
      <c r="F64" s="1">
        <f t="shared" si="5"/>
        <v>6.7305602334632795</v>
      </c>
      <c r="G64">
        <f>moment_rate!I64-0.005</f>
        <v>0.57000000000000028</v>
      </c>
      <c r="H64" s="1">
        <f t="shared" si="6"/>
        <v>0</v>
      </c>
      <c r="I64">
        <f t="shared" si="20"/>
        <v>0</v>
      </c>
      <c r="J64">
        <f t="shared" si="20"/>
        <v>0</v>
      </c>
      <c r="K64">
        <f t="shared" si="20"/>
        <v>0</v>
      </c>
      <c r="L64">
        <f t="shared" si="20"/>
        <v>0</v>
      </c>
      <c r="M64">
        <f t="shared" si="20"/>
        <v>0</v>
      </c>
      <c r="N64">
        <f t="shared" si="20"/>
        <v>0</v>
      </c>
      <c r="O64">
        <f t="shared" si="20"/>
        <v>0</v>
      </c>
      <c r="P64">
        <f t="shared" si="20"/>
        <v>0</v>
      </c>
      <c r="Q64">
        <f t="shared" si="20"/>
        <v>0</v>
      </c>
      <c r="R64">
        <f t="shared" si="20"/>
        <v>0</v>
      </c>
      <c r="S64">
        <f t="shared" si="20"/>
        <v>0</v>
      </c>
      <c r="T64">
        <f t="shared" si="20"/>
        <v>0</v>
      </c>
      <c r="U64">
        <f t="shared" si="20"/>
        <v>0</v>
      </c>
      <c r="V64">
        <f t="shared" si="20"/>
        <v>0</v>
      </c>
      <c r="W64">
        <f t="shared" si="20"/>
        <v>0</v>
      </c>
      <c r="X64">
        <f t="shared" si="20"/>
        <v>0</v>
      </c>
      <c r="Y64">
        <f t="shared" si="19"/>
        <v>0</v>
      </c>
      <c r="Z64">
        <f t="shared" si="19"/>
        <v>0</v>
      </c>
      <c r="AA64">
        <f t="shared" si="19"/>
        <v>0</v>
      </c>
      <c r="AB64">
        <f t="shared" si="19"/>
        <v>0</v>
      </c>
      <c r="AC64">
        <f t="shared" si="19"/>
        <v>0</v>
      </c>
      <c r="AD64">
        <f t="shared" si="19"/>
        <v>0</v>
      </c>
      <c r="AE64">
        <f t="shared" si="19"/>
        <v>0</v>
      </c>
      <c r="AF64">
        <f t="shared" si="19"/>
        <v>0</v>
      </c>
      <c r="AG64">
        <f t="shared" si="19"/>
        <v>0</v>
      </c>
      <c r="AH64">
        <f t="shared" si="19"/>
        <v>0</v>
      </c>
      <c r="AI64">
        <f t="shared" si="19"/>
        <v>0</v>
      </c>
      <c r="AJ64">
        <f t="shared" si="19"/>
        <v>0</v>
      </c>
      <c r="AK64">
        <f t="shared" si="19"/>
        <v>0</v>
      </c>
      <c r="AL64">
        <f t="shared" si="19"/>
        <v>0</v>
      </c>
      <c r="AM64">
        <f t="shared" si="19"/>
        <v>0</v>
      </c>
      <c r="AN64">
        <f t="shared" si="17"/>
        <v>0</v>
      </c>
      <c r="AO64">
        <f t="shared" si="15"/>
        <v>0</v>
      </c>
      <c r="AP64">
        <f t="shared" si="15"/>
        <v>0</v>
      </c>
      <c r="AQ64">
        <f t="shared" si="15"/>
        <v>0</v>
      </c>
      <c r="AR64">
        <f t="shared" si="15"/>
        <v>0</v>
      </c>
    </row>
    <row r="65" spans="5:44" x14ac:dyDescent="0.2">
      <c r="E65" s="1">
        <f>moment_rate!$M65</f>
        <v>321.43564493841734</v>
      </c>
      <c r="F65" s="1">
        <f t="shared" si="5"/>
        <v>6.5925163448672492</v>
      </c>
      <c r="G65">
        <f>moment_rate!I65-0.005</f>
        <v>0.58000000000000029</v>
      </c>
      <c r="H65" s="1">
        <f t="shared" si="6"/>
        <v>0</v>
      </c>
      <c r="I65">
        <f t="shared" si="20"/>
        <v>0</v>
      </c>
      <c r="J65">
        <f t="shared" si="20"/>
        <v>0</v>
      </c>
      <c r="K65">
        <f t="shared" si="20"/>
        <v>0</v>
      </c>
      <c r="L65">
        <f t="shared" si="20"/>
        <v>0</v>
      </c>
      <c r="M65">
        <f t="shared" si="20"/>
        <v>0</v>
      </c>
      <c r="N65">
        <f t="shared" si="20"/>
        <v>0</v>
      </c>
      <c r="O65">
        <f t="shared" si="20"/>
        <v>0</v>
      </c>
      <c r="P65">
        <f t="shared" si="20"/>
        <v>0</v>
      </c>
      <c r="Q65">
        <f t="shared" si="20"/>
        <v>0</v>
      </c>
      <c r="R65">
        <f t="shared" si="20"/>
        <v>0</v>
      </c>
      <c r="S65">
        <f t="shared" si="20"/>
        <v>0</v>
      </c>
      <c r="T65">
        <f t="shared" si="20"/>
        <v>0</v>
      </c>
      <c r="U65">
        <f t="shared" si="20"/>
        <v>0</v>
      </c>
      <c r="V65">
        <f t="shared" si="20"/>
        <v>0</v>
      </c>
      <c r="W65">
        <f t="shared" si="20"/>
        <v>0</v>
      </c>
      <c r="X65">
        <f t="shared" si="20"/>
        <v>0</v>
      </c>
      <c r="Y65">
        <f t="shared" si="19"/>
        <v>0</v>
      </c>
      <c r="Z65">
        <f t="shared" si="19"/>
        <v>0</v>
      </c>
      <c r="AA65">
        <f t="shared" si="19"/>
        <v>0</v>
      </c>
      <c r="AB65">
        <f t="shared" si="19"/>
        <v>0</v>
      </c>
      <c r="AC65">
        <f t="shared" si="19"/>
        <v>0</v>
      </c>
      <c r="AD65">
        <f t="shared" si="19"/>
        <v>0</v>
      </c>
      <c r="AE65">
        <f t="shared" si="19"/>
        <v>0</v>
      </c>
      <c r="AF65">
        <f t="shared" si="19"/>
        <v>0</v>
      </c>
      <c r="AG65">
        <f t="shared" si="19"/>
        <v>0</v>
      </c>
      <c r="AH65">
        <f t="shared" si="19"/>
        <v>0</v>
      </c>
      <c r="AI65">
        <f t="shared" si="19"/>
        <v>0</v>
      </c>
      <c r="AJ65">
        <f t="shared" si="19"/>
        <v>0</v>
      </c>
      <c r="AK65">
        <f t="shared" si="19"/>
        <v>0</v>
      </c>
      <c r="AL65">
        <f t="shared" si="19"/>
        <v>0</v>
      </c>
      <c r="AM65">
        <f t="shared" si="19"/>
        <v>0</v>
      </c>
      <c r="AN65">
        <f t="shared" si="17"/>
        <v>0</v>
      </c>
      <c r="AO65">
        <f t="shared" si="15"/>
        <v>0</v>
      </c>
      <c r="AP65">
        <f t="shared" si="15"/>
        <v>0</v>
      </c>
      <c r="AQ65">
        <f t="shared" si="15"/>
        <v>0</v>
      </c>
      <c r="AR65">
        <f t="shared" si="15"/>
        <v>0</v>
      </c>
    </row>
    <row r="66" spans="5:44" x14ac:dyDescent="0.2">
      <c r="E66" s="1">
        <f>moment_rate!$M66</f>
        <v>314.84312859355009</v>
      </c>
      <c r="F66" s="1">
        <f t="shared" si="5"/>
        <v>6.4573037384407144</v>
      </c>
      <c r="G66">
        <f>moment_rate!I66-0.005</f>
        <v>0.5900000000000003</v>
      </c>
      <c r="H66" s="1">
        <f t="shared" si="6"/>
        <v>0</v>
      </c>
      <c r="I66">
        <f t="shared" si="20"/>
        <v>0</v>
      </c>
      <c r="J66">
        <f t="shared" si="20"/>
        <v>0</v>
      </c>
      <c r="K66">
        <f t="shared" si="20"/>
        <v>0</v>
      </c>
      <c r="L66">
        <f t="shared" si="20"/>
        <v>0</v>
      </c>
      <c r="M66">
        <f t="shared" si="20"/>
        <v>0</v>
      </c>
      <c r="N66">
        <f t="shared" si="20"/>
        <v>0</v>
      </c>
      <c r="O66">
        <f t="shared" si="20"/>
        <v>0</v>
      </c>
      <c r="P66">
        <f t="shared" si="20"/>
        <v>0</v>
      </c>
      <c r="Q66">
        <f t="shared" si="20"/>
        <v>0</v>
      </c>
      <c r="R66">
        <f t="shared" si="20"/>
        <v>0</v>
      </c>
      <c r="S66">
        <f t="shared" si="20"/>
        <v>0</v>
      </c>
      <c r="T66">
        <f t="shared" si="20"/>
        <v>0</v>
      </c>
      <c r="U66">
        <f t="shared" si="20"/>
        <v>0</v>
      </c>
      <c r="V66">
        <f t="shared" si="20"/>
        <v>0</v>
      </c>
      <c r="W66">
        <f t="shared" si="20"/>
        <v>0</v>
      </c>
      <c r="X66">
        <f t="shared" si="20"/>
        <v>0</v>
      </c>
      <c r="Y66">
        <f t="shared" si="19"/>
        <v>0</v>
      </c>
      <c r="Z66">
        <f t="shared" si="19"/>
        <v>0</v>
      </c>
      <c r="AA66">
        <f t="shared" si="19"/>
        <v>0</v>
      </c>
      <c r="AB66">
        <f t="shared" si="19"/>
        <v>0</v>
      </c>
      <c r="AC66">
        <f t="shared" si="19"/>
        <v>0</v>
      </c>
      <c r="AD66">
        <f t="shared" si="19"/>
        <v>0</v>
      </c>
      <c r="AE66">
        <f t="shared" si="19"/>
        <v>0</v>
      </c>
      <c r="AF66">
        <f t="shared" si="19"/>
        <v>0</v>
      </c>
      <c r="AG66">
        <f t="shared" si="19"/>
        <v>0</v>
      </c>
      <c r="AH66">
        <f t="shared" si="19"/>
        <v>0</v>
      </c>
      <c r="AI66">
        <f t="shared" si="19"/>
        <v>0</v>
      </c>
      <c r="AJ66">
        <f t="shared" si="19"/>
        <v>0</v>
      </c>
      <c r="AK66">
        <f t="shared" si="19"/>
        <v>0</v>
      </c>
      <c r="AL66">
        <f t="shared" si="19"/>
        <v>0</v>
      </c>
      <c r="AM66">
        <f t="shared" si="19"/>
        <v>0</v>
      </c>
      <c r="AN66">
        <f t="shared" si="17"/>
        <v>0</v>
      </c>
      <c r="AO66">
        <f t="shared" si="15"/>
        <v>0</v>
      </c>
      <c r="AP66">
        <f t="shared" si="15"/>
        <v>0</v>
      </c>
      <c r="AQ66">
        <f t="shared" si="15"/>
        <v>0</v>
      </c>
      <c r="AR66">
        <f t="shared" si="15"/>
        <v>0</v>
      </c>
    </row>
    <row r="67" spans="5:44" x14ac:dyDescent="0.2">
      <c r="E67" s="1">
        <f>moment_rate!$M67</f>
        <v>308.38582485510938</v>
      </c>
      <c r="F67" s="1">
        <f t="shared" si="5"/>
        <v>6.3248643445448351</v>
      </c>
      <c r="G67">
        <f>moment_rate!I67-0.005</f>
        <v>0.60000000000000031</v>
      </c>
      <c r="H67" s="1">
        <f t="shared" si="6"/>
        <v>0</v>
      </c>
      <c r="I67">
        <f t="shared" si="20"/>
        <v>0</v>
      </c>
      <c r="J67">
        <f t="shared" si="20"/>
        <v>0</v>
      </c>
      <c r="K67">
        <f t="shared" si="20"/>
        <v>0</v>
      </c>
      <c r="L67">
        <f t="shared" si="20"/>
        <v>0</v>
      </c>
      <c r="M67">
        <f t="shared" si="20"/>
        <v>0</v>
      </c>
      <c r="N67">
        <f t="shared" si="20"/>
        <v>0</v>
      </c>
      <c r="O67">
        <f t="shared" si="20"/>
        <v>0</v>
      </c>
      <c r="P67">
        <f t="shared" si="20"/>
        <v>0</v>
      </c>
      <c r="Q67">
        <f t="shared" si="20"/>
        <v>0</v>
      </c>
      <c r="R67">
        <f t="shared" si="20"/>
        <v>0</v>
      </c>
      <c r="S67">
        <f t="shared" si="20"/>
        <v>0</v>
      </c>
      <c r="T67">
        <f t="shared" si="20"/>
        <v>0</v>
      </c>
      <c r="U67">
        <f t="shared" si="20"/>
        <v>0</v>
      </c>
      <c r="V67">
        <f t="shared" si="20"/>
        <v>0</v>
      </c>
      <c r="W67">
        <f t="shared" si="20"/>
        <v>0</v>
      </c>
      <c r="X67">
        <f t="shared" si="20"/>
        <v>0</v>
      </c>
      <c r="Y67">
        <f t="shared" si="19"/>
        <v>0</v>
      </c>
      <c r="Z67">
        <f t="shared" si="19"/>
        <v>0</v>
      </c>
      <c r="AA67">
        <f t="shared" si="19"/>
        <v>0</v>
      </c>
      <c r="AB67">
        <f t="shared" si="19"/>
        <v>0</v>
      </c>
      <c r="AC67">
        <f t="shared" si="19"/>
        <v>0</v>
      </c>
      <c r="AD67">
        <f t="shared" si="19"/>
        <v>0</v>
      </c>
      <c r="AE67">
        <f t="shared" si="19"/>
        <v>0</v>
      </c>
      <c r="AF67">
        <f t="shared" si="19"/>
        <v>0</v>
      </c>
      <c r="AG67">
        <f t="shared" si="19"/>
        <v>0</v>
      </c>
      <c r="AH67">
        <f t="shared" si="19"/>
        <v>0</v>
      </c>
      <c r="AI67">
        <f t="shared" si="19"/>
        <v>0</v>
      </c>
      <c r="AJ67">
        <f t="shared" si="19"/>
        <v>0</v>
      </c>
      <c r="AK67">
        <f t="shared" si="19"/>
        <v>0</v>
      </c>
      <c r="AL67">
        <f t="shared" si="19"/>
        <v>0</v>
      </c>
      <c r="AM67">
        <f t="shared" si="19"/>
        <v>0</v>
      </c>
      <c r="AN67">
        <f t="shared" si="17"/>
        <v>0</v>
      </c>
      <c r="AO67">
        <f t="shared" si="15"/>
        <v>0</v>
      </c>
      <c r="AP67">
        <f t="shared" si="15"/>
        <v>0</v>
      </c>
      <c r="AQ67">
        <f t="shared" si="15"/>
        <v>0</v>
      </c>
      <c r="AR67">
        <f t="shared" si="15"/>
        <v>0</v>
      </c>
    </row>
    <row r="68" spans="5:44" x14ac:dyDescent="0.2">
      <c r="E68" s="1">
        <f>moment_rate!$M68</f>
        <v>302.06096051056454</v>
      </c>
      <c r="F68" s="1">
        <f t="shared" si="5"/>
        <v>6.1951412845502318</v>
      </c>
      <c r="G68">
        <f>moment_rate!I68-0.005</f>
        <v>0.61000000000000032</v>
      </c>
      <c r="H68" s="1">
        <f t="shared" si="6"/>
        <v>0</v>
      </c>
      <c r="I68">
        <f t="shared" si="20"/>
        <v>0</v>
      </c>
      <c r="J68">
        <f t="shared" si="20"/>
        <v>0</v>
      </c>
      <c r="K68">
        <f t="shared" si="20"/>
        <v>0</v>
      </c>
      <c r="L68">
        <f t="shared" si="20"/>
        <v>0</v>
      </c>
      <c r="M68">
        <f t="shared" si="20"/>
        <v>0</v>
      </c>
      <c r="N68">
        <f t="shared" si="20"/>
        <v>0</v>
      </c>
      <c r="O68">
        <f t="shared" si="20"/>
        <v>0</v>
      </c>
      <c r="P68">
        <f t="shared" si="20"/>
        <v>0</v>
      </c>
      <c r="Q68">
        <f t="shared" si="20"/>
        <v>0</v>
      </c>
      <c r="R68">
        <f t="shared" si="20"/>
        <v>0</v>
      </c>
      <c r="S68">
        <f t="shared" si="20"/>
        <v>0</v>
      </c>
      <c r="T68">
        <f t="shared" si="20"/>
        <v>0</v>
      </c>
      <c r="U68">
        <f t="shared" si="20"/>
        <v>0</v>
      </c>
      <c r="V68">
        <f t="shared" si="20"/>
        <v>0</v>
      </c>
      <c r="W68">
        <f t="shared" si="20"/>
        <v>0</v>
      </c>
      <c r="X68">
        <f t="shared" si="20"/>
        <v>0</v>
      </c>
      <c r="Y68">
        <f t="shared" si="19"/>
        <v>0</v>
      </c>
      <c r="Z68">
        <f t="shared" si="19"/>
        <v>0</v>
      </c>
      <c r="AA68">
        <f t="shared" si="19"/>
        <v>0</v>
      </c>
      <c r="AB68">
        <f t="shared" si="19"/>
        <v>0</v>
      </c>
      <c r="AC68">
        <f t="shared" si="19"/>
        <v>0</v>
      </c>
      <c r="AD68">
        <f t="shared" si="19"/>
        <v>0</v>
      </c>
      <c r="AE68">
        <f t="shared" si="19"/>
        <v>0</v>
      </c>
      <c r="AF68">
        <f t="shared" si="19"/>
        <v>0</v>
      </c>
      <c r="AG68">
        <f t="shared" si="19"/>
        <v>0</v>
      </c>
      <c r="AH68">
        <f t="shared" si="19"/>
        <v>0</v>
      </c>
      <c r="AI68">
        <f t="shared" si="19"/>
        <v>0</v>
      </c>
      <c r="AJ68">
        <f t="shared" si="19"/>
        <v>0</v>
      </c>
      <c r="AK68">
        <f t="shared" si="19"/>
        <v>0</v>
      </c>
      <c r="AL68">
        <f t="shared" si="19"/>
        <v>0</v>
      </c>
      <c r="AM68">
        <f t="shared" si="19"/>
        <v>0</v>
      </c>
      <c r="AN68">
        <f t="shared" si="17"/>
        <v>0</v>
      </c>
      <c r="AO68">
        <f t="shared" si="15"/>
        <v>0</v>
      </c>
      <c r="AP68">
        <f t="shared" si="15"/>
        <v>0</v>
      </c>
      <c r="AQ68">
        <f t="shared" si="15"/>
        <v>0</v>
      </c>
      <c r="AR68">
        <f t="shared" si="15"/>
        <v>0</v>
      </c>
    </row>
    <row r="69" spans="5:44" x14ac:dyDescent="0.2">
      <c r="E69" s="1">
        <f>moment_rate!$M69</f>
        <v>295.86581922601431</v>
      </c>
      <c r="F69" s="1">
        <f t="shared" si="5"/>
        <v>6.0680788464088664</v>
      </c>
      <c r="G69">
        <f>moment_rate!I69-0.005</f>
        <v>0.62000000000000033</v>
      </c>
      <c r="H69" s="1">
        <f t="shared" si="6"/>
        <v>0</v>
      </c>
      <c r="I69">
        <f t="shared" si="20"/>
        <v>0</v>
      </c>
      <c r="J69">
        <f t="shared" si="20"/>
        <v>0</v>
      </c>
      <c r="K69">
        <f t="shared" si="20"/>
        <v>0</v>
      </c>
      <c r="L69">
        <f t="shared" si="20"/>
        <v>0</v>
      </c>
      <c r="M69">
        <f t="shared" si="20"/>
        <v>0</v>
      </c>
      <c r="N69">
        <f t="shared" si="20"/>
        <v>0</v>
      </c>
      <c r="O69">
        <f t="shared" si="20"/>
        <v>0</v>
      </c>
      <c r="P69">
        <f t="shared" si="20"/>
        <v>0</v>
      </c>
      <c r="Q69">
        <f t="shared" si="20"/>
        <v>0</v>
      </c>
      <c r="R69">
        <f t="shared" si="20"/>
        <v>0</v>
      </c>
      <c r="S69">
        <f t="shared" si="20"/>
        <v>0</v>
      </c>
      <c r="T69">
        <f t="shared" si="20"/>
        <v>0</v>
      </c>
      <c r="U69">
        <f t="shared" si="20"/>
        <v>0</v>
      </c>
      <c r="V69">
        <f t="shared" si="20"/>
        <v>0</v>
      </c>
      <c r="W69">
        <f t="shared" si="20"/>
        <v>0</v>
      </c>
      <c r="X69">
        <f t="shared" si="20"/>
        <v>0</v>
      </c>
      <c r="Y69">
        <f t="shared" si="19"/>
        <v>0</v>
      </c>
      <c r="Z69">
        <f t="shared" si="19"/>
        <v>0</v>
      </c>
      <c r="AA69">
        <f t="shared" si="19"/>
        <v>0</v>
      </c>
      <c r="AB69">
        <f t="shared" si="19"/>
        <v>0</v>
      </c>
      <c r="AC69">
        <f t="shared" si="19"/>
        <v>0</v>
      </c>
      <c r="AD69">
        <f t="shared" si="19"/>
        <v>0</v>
      </c>
      <c r="AE69">
        <f t="shared" si="19"/>
        <v>0</v>
      </c>
      <c r="AF69">
        <f t="shared" si="19"/>
        <v>0</v>
      </c>
      <c r="AG69">
        <f t="shared" si="19"/>
        <v>0</v>
      </c>
      <c r="AH69">
        <f t="shared" si="19"/>
        <v>0</v>
      </c>
      <c r="AI69">
        <f t="shared" si="19"/>
        <v>0</v>
      </c>
      <c r="AJ69">
        <f t="shared" si="19"/>
        <v>0</v>
      </c>
      <c r="AK69">
        <f t="shared" si="19"/>
        <v>0</v>
      </c>
      <c r="AL69">
        <f t="shared" si="19"/>
        <v>0</v>
      </c>
      <c r="AM69">
        <f t="shared" si="19"/>
        <v>0</v>
      </c>
      <c r="AN69">
        <f t="shared" si="17"/>
        <v>0</v>
      </c>
      <c r="AO69">
        <f t="shared" si="15"/>
        <v>0</v>
      </c>
      <c r="AP69">
        <f t="shared" si="15"/>
        <v>0</v>
      </c>
      <c r="AQ69">
        <f t="shared" si="15"/>
        <v>0</v>
      </c>
      <c r="AR69">
        <f t="shared" si="15"/>
        <v>0</v>
      </c>
    </row>
    <row r="70" spans="5:44" x14ac:dyDescent="0.2">
      <c r="E70" s="1">
        <f>moment_rate!$M70</f>
        <v>289.79774037960544</v>
      </c>
      <c r="F70" s="1">
        <f t="shared" si="5"/>
        <v>5.9436224607279087</v>
      </c>
      <c r="G70">
        <f>moment_rate!I70-0.005</f>
        <v>0.63000000000000034</v>
      </c>
      <c r="H70" s="1">
        <f t="shared" si="6"/>
        <v>0</v>
      </c>
      <c r="I70">
        <f t="shared" si="20"/>
        <v>0</v>
      </c>
      <c r="J70">
        <f t="shared" si="20"/>
        <v>0</v>
      </c>
      <c r="K70">
        <f t="shared" si="20"/>
        <v>0</v>
      </c>
      <c r="L70">
        <f t="shared" si="20"/>
        <v>0</v>
      </c>
      <c r="M70">
        <f t="shared" si="20"/>
        <v>0</v>
      </c>
      <c r="N70">
        <f t="shared" si="20"/>
        <v>0</v>
      </c>
      <c r="O70">
        <f t="shared" si="20"/>
        <v>0</v>
      </c>
      <c r="P70">
        <f t="shared" si="20"/>
        <v>0</v>
      </c>
      <c r="Q70">
        <f t="shared" si="20"/>
        <v>0</v>
      </c>
      <c r="R70">
        <f t="shared" si="20"/>
        <v>0</v>
      </c>
      <c r="S70">
        <f t="shared" si="20"/>
        <v>0</v>
      </c>
      <c r="T70">
        <f t="shared" si="20"/>
        <v>0</v>
      </c>
      <c r="U70">
        <f t="shared" si="20"/>
        <v>0</v>
      </c>
      <c r="V70">
        <f t="shared" si="20"/>
        <v>0</v>
      </c>
      <c r="W70">
        <f t="shared" si="20"/>
        <v>0</v>
      </c>
      <c r="X70">
        <f t="shared" si="20"/>
        <v>0</v>
      </c>
      <c r="Y70">
        <f t="shared" si="19"/>
        <v>0</v>
      </c>
      <c r="Z70">
        <f t="shared" si="19"/>
        <v>0</v>
      </c>
      <c r="AA70">
        <f t="shared" si="19"/>
        <v>0</v>
      </c>
      <c r="AB70">
        <f t="shared" si="19"/>
        <v>0</v>
      </c>
      <c r="AC70">
        <f t="shared" si="19"/>
        <v>0</v>
      </c>
      <c r="AD70">
        <f t="shared" si="19"/>
        <v>0</v>
      </c>
      <c r="AE70">
        <f t="shared" si="19"/>
        <v>0</v>
      </c>
      <c r="AF70">
        <f t="shared" si="19"/>
        <v>0</v>
      </c>
      <c r="AG70">
        <f t="shared" si="19"/>
        <v>0</v>
      </c>
      <c r="AH70">
        <f t="shared" si="19"/>
        <v>0</v>
      </c>
      <c r="AI70">
        <f t="shared" si="19"/>
        <v>0</v>
      </c>
      <c r="AJ70">
        <f t="shared" si="19"/>
        <v>0</v>
      </c>
      <c r="AK70">
        <f t="shared" si="19"/>
        <v>0</v>
      </c>
      <c r="AL70">
        <f t="shared" si="19"/>
        <v>0</v>
      </c>
      <c r="AM70">
        <f t="shared" si="19"/>
        <v>0</v>
      </c>
      <c r="AN70">
        <f t="shared" si="17"/>
        <v>0</v>
      </c>
      <c r="AO70">
        <f t="shared" si="15"/>
        <v>0</v>
      </c>
      <c r="AP70">
        <f t="shared" si="15"/>
        <v>0</v>
      </c>
      <c r="AQ70">
        <f t="shared" si="15"/>
        <v>0</v>
      </c>
      <c r="AR70">
        <f t="shared" si="15"/>
        <v>0</v>
      </c>
    </row>
    <row r="71" spans="5:44" x14ac:dyDescent="0.2">
      <c r="E71" s="1">
        <f>moment_rate!$M71</f>
        <v>283.85411791887753</v>
      </c>
      <c r="F71" s="1">
        <f t="shared" si="5"/>
        <v>5.8217186773331946</v>
      </c>
      <c r="G71">
        <f>moment_rate!I71-0.005</f>
        <v>0.64000000000000035</v>
      </c>
      <c r="H71" s="1">
        <f t="shared" si="6"/>
        <v>0</v>
      </c>
      <c r="I71">
        <f t="shared" si="20"/>
        <v>0</v>
      </c>
      <c r="J71">
        <f t="shared" si="20"/>
        <v>0</v>
      </c>
      <c r="K71">
        <f t="shared" si="20"/>
        <v>0</v>
      </c>
      <c r="L71">
        <f t="shared" si="20"/>
        <v>0</v>
      </c>
      <c r="M71">
        <f t="shared" si="20"/>
        <v>0</v>
      </c>
      <c r="N71">
        <f t="shared" si="20"/>
        <v>0</v>
      </c>
      <c r="O71">
        <f t="shared" si="20"/>
        <v>0</v>
      </c>
      <c r="P71">
        <f t="shared" si="20"/>
        <v>0</v>
      </c>
      <c r="Q71">
        <f t="shared" si="20"/>
        <v>0</v>
      </c>
      <c r="R71">
        <f t="shared" si="20"/>
        <v>0</v>
      </c>
      <c r="S71">
        <f t="shared" si="20"/>
        <v>0</v>
      </c>
      <c r="T71">
        <f t="shared" si="20"/>
        <v>0</v>
      </c>
      <c r="U71">
        <f t="shared" si="20"/>
        <v>0</v>
      </c>
      <c r="V71">
        <f t="shared" si="20"/>
        <v>0</v>
      </c>
      <c r="W71">
        <f t="shared" si="20"/>
        <v>0</v>
      </c>
      <c r="X71">
        <f t="shared" si="20"/>
        <v>0</v>
      </c>
      <c r="Y71">
        <f t="shared" si="19"/>
        <v>0</v>
      </c>
      <c r="Z71">
        <f t="shared" si="19"/>
        <v>0</v>
      </c>
      <c r="AA71">
        <f t="shared" si="19"/>
        <v>0</v>
      </c>
      <c r="AB71">
        <f t="shared" si="19"/>
        <v>0</v>
      </c>
      <c r="AC71">
        <f t="shared" si="19"/>
        <v>0</v>
      </c>
      <c r="AD71">
        <f t="shared" si="19"/>
        <v>0</v>
      </c>
      <c r="AE71">
        <f t="shared" si="19"/>
        <v>0</v>
      </c>
      <c r="AF71">
        <f t="shared" si="19"/>
        <v>0</v>
      </c>
      <c r="AG71">
        <f t="shared" si="19"/>
        <v>0</v>
      </c>
      <c r="AH71">
        <f t="shared" si="19"/>
        <v>0</v>
      </c>
      <c r="AI71">
        <f t="shared" si="19"/>
        <v>0</v>
      </c>
      <c r="AJ71">
        <f t="shared" si="19"/>
        <v>0</v>
      </c>
      <c r="AK71">
        <f t="shared" si="19"/>
        <v>0</v>
      </c>
      <c r="AL71">
        <f t="shared" si="19"/>
        <v>0</v>
      </c>
      <c r="AM71">
        <f t="shared" si="19"/>
        <v>0</v>
      </c>
      <c r="AN71">
        <f t="shared" si="17"/>
        <v>0</v>
      </c>
      <c r="AO71">
        <f t="shared" si="15"/>
        <v>0</v>
      </c>
      <c r="AP71">
        <f t="shared" si="15"/>
        <v>0</v>
      </c>
      <c r="AQ71">
        <f t="shared" si="15"/>
        <v>0</v>
      </c>
      <c r="AR71">
        <f t="shared" si="15"/>
        <v>0</v>
      </c>
    </row>
    <row r="72" spans="5:44" x14ac:dyDescent="0.2">
      <c r="E72" s="1">
        <f>moment_rate!$M72</f>
        <v>278.03239924154434</v>
      </c>
      <c r="F72" s="1">
        <f t="shared" ref="F72:F135" si="21">E72-E73</f>
        <v>5.7023151423146032</v>
      </c>
      <c r="G72">
        <f>moment_rate!I72-0.005</f>
        <v>0.65000000000000036</v>
      </c>
      <c r="H72" s="1">
        <f t="shared" ref="H72:H135" si="22">IF($G72&gt;=4.999,(E72-E73),0)</f>
        <v>0</v>
      </c>
      <c r="I72">
        <f t="shared" si="20"/>
        <v>0</v>
      </c>
      <c r="J72">
        <f t="shared" si="20"/>
        <v>0</v>
      </c>
      <c r="K72">
        <f t="shared" si="20"/>
        <v>0</v>
      </c>
      <c r="L72">
        <f t="shared" si="20"/>
        <v>0</v>
      </c>
      <c r="M72">
        <f t="shared" si="20"/>
        <v>0</v>
      </c>
      <c r="N72">
        <f t="shared" si="20"/>
        <v>0</v>
      </c>
      <c r="O72">
        <f t="shared" si="20"/>
        <v>0</v>
      </c>
      <c r="P72">
        <f t="shared" si="20"/>
        <v>0</v>
      </c>
      <c r="Q72">
        <f t="shared" si="20"/>
        <v>0</v>
      </c>
      <c r="R72">
        <f t="shared" si="20"/>
        <v>0</v>
      </c>
      <c r="S72">
        <f t="shared" si="20"/>
        <v>0</v>
      </c>
      <c r="T72">
        <f t="shared" si="20"/>
        <v>0</v>
      </c>
      <c r="U72">
        <f t="shared" si="20"/>
        <v>0</v>
      </c>
      <c r="V72">
        <f t="shared" si="20"/>
        <v>0</v>
      </c>
      <c r="W72">
        <f t="shared" si="20"/>
        <v>0</v>
      </c>
      <c r="X72">
        <f t="shared" si="20"/>
        <v>0</v>
      </c>
      <c r="Y72">
        <f t="shared" si="19"/>
        <v>0</v>
      </c>
      <c r="Z72">
        <f t="shared" si="19"/>
        <v>0</v>
      </c>
      <c r="AA72">
        <f t="shared" si="19"/>
        <v>0</v>
      </c>
      <c r="AB72">
        <f t="shared" si="19"/>
        <v>0</v>
      </c>
      <c r="AC72">
        <f t="shared" si="19"/>
        <v>0</v>
      </c>
      <c r="AD72">
        <f t="shared" si="19"/>
        <v>0</v>
      </c>
      <c r="AE72">
        <f t="shared" si="19"/>
        <v>0</v>
      </c>
      <c r="AF72">
        <f t="shared" si="19"/>
        <v>0</v>
      </c>
      <c r="AG72">
        <f t="shared" si="19"/>
        <v>0</v>
      </c>
      <c r="AH72">
        <f t="shared" si="19"/>
        <v>0</v>
      </c>
      <c r="AI72">
        <f t="shared" si="19"/>
        <v>0</v>
      </c>
      <c r="AJ72">
        <f t="shared" si="19"/>
        <v>0</v>
      </c>
      <c r="AK72">
        <f t="shared" si="19"/>
        <v>0</v>
      </c>
      <c r="AL72">
        <f t="shared" si="19"/>
        <v>0</v>
      </c>
      <c r="AM72">
        <f t="shared" si="19"/>
        <v>0</v>
      </c>
      <c r="AN72">
        <f t="shared" si="17"/>
        <v>0</v>
      </c>
      <c r="AO72">
        <f t="shared" si="15"/>
        <v>0</v>
      </c>
      <c r="AP72">
        <f t="shared" si="15"/>
        <v>0</v>
      </c>
      <c r="AQ72">
        <f t="shared" si="15"/>
        <v>0</v>
      </c>
      <c r="AR72">
        <f t="shared" si="15"/>
        <v>0</v>
      </c>
    </row>
    <row r="73" spans="5:44" x14ac:dyDescent="0.2">
      <c r="E73" s="1">
        <f>moment_rate!$M73</f>
        <v>272.33008409922974</v>
      </c>
      <c r="F73" s="1">
        <f t="shared" si="21"/>
        <v>5.5853605755415856</v>
      </c>
      <c r="G73">
        <f>moment_rate!I73-0.005</f>
        <v>0.66000000000000036</v>
      </c>
      <c r="H73" s="1">
        <f t="shared" si="22"/>
        <v>0</v>
      </c>
      <c r="I73">
        <f t="shared" si="20"/>
        <v>0</v>
      </c>
      <c r="J73">
        <f t="shared" si="20"/>
        <v>0</v>
      </c>
      <c r="K73">
        <f t="shared" si="20"/>
        <v>0</v>
      </c>
      <c r="L73">
        <f t="shared" si="20"/>
        <v>0</v>
      </c>
      <c r="M73">
        <f t="shared" si="20"/>
        <v>0</v>
      </c>
      <c r="N73">
        <f t="shared" si="20"/>
        <v>0</v>
      </c>
      <c r="O73">
        <f t="shared" si="20"/>
        <v>0</v>
      </c>
      <c r="P73">
        <f t="shared" si="20"/>
        <v>0</v>
      </c>
      <c r="Q73">
        <f t="shared" si="20"/>
        <v>0</v>
      </c>
      <c r="R73">
        <f t="shared" si="20"/>
        <v>0</v>
      </c>
      <c r="S73">
        <f t="shared" si="20"/>
        <v>0</v>
      </c>
      <c r="T73">
        <f t="shared" si="20"/>
        <v>0</v>
      </c>
      <c r="U73">
        <f t="shared" si="20"/>
        <v>0</v>
      </c>
      <c r="V73">
        <f t="shared" si="20"/>
        <v>0</v>
      </c>
      <c r="W73">
        <f t="shared" si="20"/>
        <v>0</v>
      </c>
      <c r="X73">
        <f t="shared" si="20"/>
        <v>0</v>
      </c>
      <c r="Y73">
        <f t="shared" si="19"/>
        <v>0</v>
      </c>
      <c r="Z73">
        <f t="shared" si="19"/>
        <v>0</v>
      </c>
      <c r="AA73">
        <f t="shared" si="19"/>
        <v>0</v>
      </c>
      <c r="AB73">
        <f t="shared" si="19"/>
        <v>0</v>
      </c>
      <c r="AC73">
        <f t="shared" si="19"/>
        <v>0</v>
      </c>
      <c r="AD73">
        <f t="shared" si="19"/>
        <v>0</v>
      </c>
      <c r="AE73">
        <f t="shared" si="19"/>
        <v>0</v>
      </c>
      <c r="AF73">
        <f t="shared" si="19"/>
        <v>0</v>
      </c>
      <c r="AG73">
        <f t="shared" si="19"/>
        <v>0</v>
      </c>
      <c r="AH73">
        <f t="shared" si="19"/>
        <v>0</v>
      </c>
      <c r="AI73">
        <f t="shared" si="19"/>
        <v>0</v>
      </c>
      <c r="AJ73">
        <f t="shared" si="19"/>
        <v>0</v>
      </c>
      <c r="AK73">
        <f t="shared" si="19"/>
        <v>0</v>
      </c>
      <c r="AL73">
        <f t="shared" si="19"/>
        <v>0</v>
      </c>
      <c r="AM73">
        <f t="shared" si="19"/>
        <v>0</v>
      </c>
      <c r="AN73">
        <f t="shared" si="17"/>
        <v>0</v>
      </c>
      <c r="AO73">
        <f t="shared" si="15"/>
        <v>0</v>
      </c>
      <c r="AP73">
        <f t="shared" si="15"/>
        <v>0</v>
      </c>
      <c r="AQ73">
        <f t="shared" si="15"/>
        <v>0</v>
      </c>
      <c r="AR73">
        <f t="shared" si="15"/>
        <v>0</v>
      </c>
    </row>
    <row r="74" spans="5:44" x14ac:dyDescent="0.2">
      <c r="E74" s="1">
        <f>moment_rate!$M74</f>
        <v>266.74472352368815</v>
      </c>
      <c r="F74" s="1">
        <f t="shared" si="21"/>
        <v>5.4708047486394662</v>
      </c>
      <c r="G74">
        <f>moment_rate!I74-0.005</f>
        <v>0.67000000000000037</v>
      </c>
      <c r="H74" s="1">
        <f t="shared" si="22"/>
        <v>0</v>
      </c>
      <c r="I74">
        <f t="shared" si="20"/>
        <v>0</v>
      </c>
      <c r="J74">
        <f t="shared" si="20"/>
        <v>0</v>
      </c>
      <c r="K74">
        <f t="shared" si="20"/>
        <v>0</v>
      </c>
      <c r="L74">
        <f t="shared" si="20"/>
        <v>0</v>
      </c>
      <c r="M74">
        <f t="shared" si="20"/>
        <v>0</v>
      </c>
      <c r="N74">
        <f t="shared" si="20"/>
        <v>0</v>
      </c>
      <c r="O74">
        <f t="shared" si="20"/>
        <v>0</v>
      </c>
      <c r="P74">
        <f t="shared" si="20"/>
        <v>0</v>
      </c>
      <c r="Q74">
        <f t="shared" si="20"/>
        <v>0</v>
      </c>
      <c r="R74">
        <f t="shared" si="20"/>
        <v>0</v>
      </c>
      <c r="S74">
        <f t="shared" si="20"/>
        <v>0</v>
      </c>
      <c r="T74">
        <f t="shared" si="20"/>
        <v>0</v>
      </c>
      <c r="U74">
        <f t="shared" si="20"/>
        <v>0</v>
      </c>
      <c r="V74">
        <f t="shared" si="20"/>
        <v>0</v>
      </c>
      <c r="W74">
        <f t="shared" si="20"/>
        <v>0</v>
      </c>
      <c r="X74">
        <f t="shared" si="20"/>
        <v>0</v>
      </c>
      <c r="Y74">
        <f t="shared" si="19"/>
        <v>0</v>
      </c>
      <c r="Z74">
        <f t="shared" si="19"/>
        <v>0</v>
      </c>
      <c r="AA74">
        <f t="shared" si="19"/>
        <v>0</v>
      </c>
      <c r="AB74">
        <f t="shared" si="19"/>
        <v>0</v>
      </c>
      <c r="AC74">
        <f t="shared" si="19"/>
        <v>0</v>
      </c>
      <c r="AD74">
        <f t="shared" si="19"/>
        <v>0</v>
      </c>
      <c r="AE74">
        <f t="shared" si="19"/>
        <v>0</v>
      </c>
      <c r="AF74">
        <f t="shared" si="19"/>
        <v>0</v>
      </c>
      <c r="AG74">
        <f t="shared" si="19"/>
        <v>0</v>
      </c>
      <c r="AH74">
        <f t="shared" si="19"/>
        <v>0</v>
      </c>
      <c r="AI74">
        <f t="shared" si="19"/>
        <v>0</v>
      </c>
      <c r="AJ74">
        <f t="shared" si="19"/>
        <v>0</v>
      </c>
      <c r="AK74">
        <f t="shared" si="19"/>
        <v>0</v>
      </c>
      <c r="AL74">
        <f t="shared" si="19"/>
        <v>0</v>
      </c>
      <c r="AM74">
        <f t="shared" si="19"/>
        <v>0</v>
      </c>
      <c r="AN74">
        <f t="shared" si="17"/>
        <v>0</v>
      </c>
      <c r="AO74">
        <f t="shared" si="15"/>
        <v>0</v>
      </c>
      <c r="AP74">
        <f t="shared" si="15"/>
        <v>0</v>
      </c>
      <c r="AQ74">
        <f t="shared" si="15"/>
        <v>0</v>
      </c>
      <c r="AR74">
        <f t="shared" si="15"/>
        <v>0</v>
      </c>
    </row>
    <row r="75" spans="5:44" x14ac:dyDescent="0.2">
      <c r="E75" s="1">
        <f>moment_rate!$M75</f>
        <v>261.27391877504868</v>
      </c>
      <c r="F75" s="1">
        <f t="shared" si="21"/>
        <v>5.3585984634187582</v>
      </c>
      <c r="G75">
        <f>moment_rate!I75-0.005</f>
        <v>0.68000000000000038</v>
      </c>
      <c r="H75" s="1">
        <f t="shared" si="22"/>
        <v>0</v>
      </c>
      <c r="I75">
        <f t="shared" si="20"/>
        <v>0</v>
      </c>
      <c r="J75">
        <f t="shared" si="20"/>
        <v>0</v>
      </c>
      <c r="K75">
        <f t="shared" si="20"/>
        <v>0</v>
      </c>
      <c r="L75">
        <f t="shared" si="20"/>
        <v>0</v>
      </c>
      <c r="M75">
        <f t="shared" si="20"/>
        <v>0</v>
      </c>
      <c r="N75">
        <f t="shared" si="20"/>
        <v>0</v>
      </c>
      <c r="O75">
        <f t="shared" si="20"/>
        <v>0</v>
      </c>
      <c r="P75">
        <f t="shared" si="20"/>
        <v>0</v>
      </c>
      <c r="Q75">
        <f t="shared" si="20"/>
        <v>0</v>
      </c>
      <c r="R75">
        <f t="shared" si="20"/>
        <v>0</v>
      </c>
      <c r="S75">
        <f t="shared" si="20"/>
        <v>0</v>
      </c>
      <c r="T75">
        <f t="shared" si="20"/>
        <v>0</v>
      </c>
      <c r="U75">
        <f t="shared" si="20"/>
        <v>0</v>
      </c>
      <c r="V75">
        <f t="shared" si="20"/>
        <v>0</v>
      </c>
      <c r="W75">
        <f t="shared" si="20"/>
        <v>0</v>
      </c>
      <c r="X75">
        <f t="shared" si="20"/>
        <v>0</v>
      </c>
      <c r="Y75">
        <f t="shared" si="19"/>
        <v>0</v>
      </c>
      <c r="Z75">
        <f t="shared" si="19"/>
        <v>0</v>
      </c>
      <c r="AA75">
        <f t="shared" si="19"/>
        <v>0</v>
      </c>
      <c r="AB75">
        <f t="shared" si="19"/>
        <v>0</v>
      </c>
      <c r="AC75">
        <f t="shared" si="19"/>
        <v>0</v>
      </c>
      <c r="AD75">
        <f t="shared" si="19"/>
        <v>0</v>
      </c>
      <c r="AE75">
        <f t="shared" si="19"/>
        <v>0</v>
      </c>
      <c r="AF75">
        <f t="shared" si="19"/>
        <v>0</v>
      </c>
      <c r="AG75">
        <f t="shared" si="19"/>
        <v>0</v>
      </c>
      <c r="AH75">
        <f t="shared" si="19"/>
        <v>0</v>
      </c>
      <c r="AI75">
        <f t="shared" si="19"/>
        <v>0</v>
      </c>
      <c r="AJ75">
        <f t="shared" si="19"/>
        <v>0</v>
      </c>
      <c r="AK75">
        <f t="shared" si="19"/>
        <v>0</v>
      </c>
      <c r="AL75">
        <f t="shared" si="19"/>
        <v>0</v>
      </c>
      <c r="AM75">
        <f t="shared" si="19"/>
        <v>0</v>
      </c>
      <c r="AN75">
        <f t="shared" si="17"/>
        <v>0</v>
      </c>
      <c r="AO75">
        <f t="shared" si="15"/>
        <v>0</v>
      </c>
      <c r="AP75">
        <f t="shared" si="15"/>
        <v>0</v>
      </c>
      <c r="AQ75">
        <f t="shared" si="15"/>
        <v>0</v>
      </c>
      <c r="AR75">
        <f t="shared" si="15"/>
        <v>0</v>
      </c>
    </row>
    <row r="76" spans="5:44" x14ac:dyDescent="0.2">
      <c r="E76" s="1">
        <f>moment_rate!$M76</f>
        <v>255.91532031162993</v>
      </c>
      <c r="F76" s="1">
        <f t="shared" si="21"/>
        <v>5.248693530745129</v>
      </c>
      <c r="G76">
        <f>moment_rate!I76-0.005</f>
        <v>0.69000000000000039</v>
      </c>
      <c r="H76" s="1">
        <f t="shared" si="22"/>
        <v>0</v>
      </c>
      <c r="I76">
        <f t="shared" si="20"/>
        <v>0</v>
      </c>
      <c r="J76">
        <f t="shared" si="20"/>
        <v>0</v>
      </c>
      <c r="K76">
        <f t="shared" si="20"/>
        <v>0</v>
      </c>
      <c r="L76">
        <f t="shared" si="20"/>
        <v>0</v>
      </c>
      <c r="M76">
        <f t="shared" si="20"/>
        <v>0</v>
      </c>
      <c r="N76">
        <f t="shared" si="20"/>
        <v>0</v>
      </c>
      <c r="O76">
        <f t="shared" si="20"/>
        <v>0</v>
      </c>
      <c r="P76">
        <f t="shared" si="20"/>
        <v>0</v>
      </c>
      <c r="Q76">
        <f t="shared" si="20"/>
        <v>0</v>
      </c>
      <c r="R76">
        <f t="shared" si="20"/>
        <v>0</v>
      </c>
      <c r="S76">
        <f t="shared" si="20"/>
        <v>0</v>
      </c>
      <c r="T76">
        <f t="shared" si="20"/>
        <v>0</v>
      </c>
      <c r="U76">
        <f t="shared" si="20"/>
        <v>0</v>
      </c>
      <c r="V76">
        <f t="shared" si="20"/>
        <v>0</v>
      </c>
      <c r="W76">
        <f t="shared" si="20"/>
        <v>0</v>
      </c>
      <c r="X76">
        <f t="shared" si="20"/>
        <v>0</v>
      </c>
      <c r="Y76">
        <f t="shared" si="19"/>
        <v>0</v>
      </c>
      <c r="Z76">
        <f t="shared" si="19"/>
        <v>0</v>
      </c>
      <c r="AA76">
        <f t="shared" si="19"/>
        <v>0</v>
      </c>
      <c r="AB76">
        <f t="shared" si="19"/>
        <v>0</v>
      </c>
      <c r="AC76">
        <f t="shared" si="19"/>
        <v>0</v>
      </c>
      <c r="AD76">
        <f t="shared" si="19"/>
        <v>0</v>
      </c>
      <c r="AE76">
        <f t="shared" si="19"/>
        <v>0</v>
      </c>
      <c r="AF76">
        <f t="shared" si="19"/>
        <v>0</v>
      </c>
      <c r="AG76">
        <f t="shared" si="19"/>
        <v>0</v>
      </c>
      <c r="AH76">
        <f t="shared" si="19"/>
        <v>0</v>
      </c>
      <c r="AI76">
        <f t="shared" si="19"/>
        <v>0</v>
      </c>
      <c r="AJ76">
        <f t="shared" si="19"/>
        <v>0</v>
      </c>
      <c r="AK76">
        <f t="shared" si="19"/>
        <v>0</v>
      </c>
      <c r="AL76">
        <f t="shared" si="19"/>
        <v>0</v>
      </c>
      <c r="AM76">
        <f t="shared" si="19"/>
        <v>0</v>
      </c>
      <c r="AN76">
        <f t="shared" si="17"/>
        <v>0</v>
      </c>
      <c r="AO76">
        <f>IF(AND($G76&gt;=AO$3,$G76&lt;AO$4),$F76,0)</f>
        <v>0</v>
      </c>
      <c r="AP76">
        <f>IF(AND($G76&gt;=AP$3,$G76&lt;AP$4),$F76,0)</f>
        <v>0</v>
      </c>
      <c r="AQ76">
        <f>IF(AND($G76&gt;=AQ$3,$G76&lt;AQ$4),$F76,0)</f>
        <v>0</v>
      </c>
      <c r="AR76">
        <f>IF(AND($G76&gt;=AR$3,$G76&lt;AR$4),$F76,0)</f>
        <v>0</v>
      </c>
    </row>
    <row r="77" spans="5:44" x14ac:dyDescent="0.2">
      <c r="E77" s="1">
        <f>moment_rate!$M77</f>
        <v>250.6666267808848</v>
      </c>
      <c r="F77" s="1">
        <f t="shared" si="21"/>
        <v>5.1410427498442459</v>
      </c>
      <c r="G77">
        <f>moment_rate!I77-0.005</f>
        <v>0.7000000000000004</v>
      </c>
      <c r="H77" s="1">
        <f t="shared" si="22"/>
        <v>0</v>
      </c>
      <c r="I77">
        <f t="shared" si="20"/>
        <v>0</v>
      </c>
      <c r="J77">
        <f t="shared" si="20"/>
        <v>0</v>
      </c>
      <c r="K77">
        <f t="shared" si="20"/>
        <v>0</v>
      </c>
      <c r="L77">
        <f t="shared" si="20"/>
        <v>0</v>
      </c>
      <c r="M77">
        <f t="shared" si="20"/>
        <v>0</v>
      </c>
      <c r="N77">
        <f t="shared" si="20"/>
        <v>0</v>
      </c>
      <c r="O77">
        <f t="shared" si="20"/>
        <v>0</v>
      </c>
      <c r="P77">
        <f t="shared" si="20"/>
        <v>0</v>
      </c>
      <c r="Q77">
        <f t="shared" si="20"/>
        <v>0</v>
      </c>
      <c r="R77">
        <f t="shared" si="20"/>
        <v>0</v>
      </c>
      <c r="S77">
        <f t="shared" si="20"/>
        <v>0</v>
      </c>
      <c r="T77">
        <f t="shared" si="20"/>
        <v>0</v>
      </c>
      <c r="U77">
        <f t="shared" si="20"/>
        <v>0</v>
      </c>
      <c r="V77">
        <f t="shared" si="20"/>
        <v>0</v>
      </c>
      <c r="W77">
        <f t="shared" si="20"/>
        <v>0</v>
      </c>
      <c r="X77">
        <f t="shared" si="20"/>
        <v>0</v>
      </c>
      <c r="Y77">
        <f t="shared" si="19"/>
        <v>0</v>
      </c>
      <c r="Z77">
        <f t="shared" si="19"/>
        <v>0</v>
      </c>
      <c r="AA77">
        <f t="shared" si="19"/>
        <v>0</v>
      </c>
      <c r="AB77">
        <f t="shared" si="19"/>
        <v>0</v>
      </c>
      <c r="AC77">
        <f t="shared" si="19"/>
        <v>0</v>
      </c>
      <c r="AD77">
        <f t="shared" si="19"/>
        <v>0</v>
      </c>
      <c r="AE77">
        <f t="shared" si="19"/>
        <v>0</v>
      </c>
      <c r="AF77">
        <f t="shared" si="19"/>
        <v>0</v>
      </c>
      <c r="AG77">
        <f t="shared" si="19"/>
        <v>0</v>
      </c>
      <c r="AH77">
        <f t="shared" si="19"/>
        <v>0</v>
      </c>
      <c r="AI77">
        <f t="shared" si="19"/>
        <v>0</v>
      </c>
      <c r="AJ77">
        <f t="shared" si="19"/>
        <v>0</v>
      </c>
      <c r="AK77">
        <f t="shared" si="19"/>
        <v>0</v>
      </c>
      <c r="AL77">
        <f t="shared" si="19"/>
        <v>0</v>
      </c>
      <c r="AM77">
        <f t="shared" si="19"/>
        <v>0</v>
      </c>
      <c r="AN77">
        <f t="shared" ref="AN77:AR92" si="23">IF(AND($G77&gt;=AN$3,$G77&lt;AN$4),$F77,0)</f>
        <v>0</v>
      </c>
      <c r="AO77">
        <f t="shared" si="23"/>
        <v>0</v>
      </c>
      <c r="AP77">
        <f t="shared" si="23"/>
        <v>0</v>
      </c>
      <c r="AQ77">
        <f t="shared" si="23"/>
        <v>0</v>
      </c>
      <c r="AR77">
        <f t="shared" si="23"/>
        <v>0</v>
      </c>
    </row>
    <row r="78" spans="5:44" x14ac:dyDescent="0.2">
      <c r="E78" s="1">
        <f>moment_rate!$M78</f>
        <v>245.52558403104055</v>
      </c>
      <c r="F78" s="1">
        <f t="shared" si="21"/>
        <v>5.0355998880304469</v>
      </c>
      <c r="G78">
        <f>moment_rate!I78-0.005</f>
        <v>0.71000000000000041</v>
      </c>
      <c r="H78" s="1">
        <f t="shared" si="22"/>
        <v>0</v>
      </c>
      <c r="I78">
        <f t="shared" si="20"/>
        <v>0</v>
      </c>
      <c r="J78">
        <f t="shared" si="20"/>
        <v>0</v>
      </c>
      <c r="K78">
        <f t="shared" si="20"/>
        <v>0</v>
      </c>
      <c r="L78">
        <f t="shared" si="20"/>
        <v>0</v>
      </c>
      <c r="M78">
        <f t="shared" si="20"/>
        <v>0</v>
      </c>
      <c r="N78">
        <f t="shared" si="20"/>
        <v>0</v>
      </c>
      <c r="O78">
        <f t="shared" si="20"/>
        <v>0</v>
      </c>
      <c r="P78">
        <f t="shared" si="20"/>
        <v>0</v>
      </c>
      <c r="Q78">
        <f t="shared" si="20"/>
        <v>0</v>
      </c>
      <c r="R78">
        <f t="shared" si="20"/>
        <v>0</v>
      </c>
      <c r="S78">
        <f t="shared" si="20"/>
        <v>0</v>
      </c>
      <c r="T78">
        <f t="shared" si="20"/>
        <v>0</v>
      </c>
      <c r="U78">
        <f t="shared" si="20"/>
        <v>0</v>
      </c>
      <c r="V78">
        <f t="shared" si="20"/>
        <v>0</v>
      </c>
      <c r="W78">
        <f t="shared" si="20"/>
        <v>0</v>
      </c>
      <c r="X78">
        <f t="shared" ref="X78:AM94" si="24">IF(AND($G78&gt;=X$3,$G78&lt;X$4),$F78,0)</f>
        <v>0</v>
      </c>
      <c r="Y78">
        <f t="shared" si="24"/>
        <v>0</v>
      </c>
      <c r="Z78">
        <f t="shared" si="24"/>
        <v>0</v>
      </c>
      <c r="AA78">
        <f t="shared" si="24"/>
        <v>0</v>
      </c>
      <c r="AB78">
        <f t="shared" si="24"/>
        <v>0</v>
      </c>
      <c r="AC78">
        <f t="shared" si="24"/>
        <v>0</v>
      </c>
      <c r="AD78">
        <f t="shared" si="24"/>
        <v>0</v>
      </c>
      <c r="AE78">
        <f t="shared" si="24"/>
        <v>0</v>
      </c>
      <c r="AF78">
        <f t="shared" si="24"/>
        <v>0</v>
      </c>
      <c r="AG78">
        <f t="shared" si="24"/>
        <v>0</v>
      </c>
      <c r="AH78">
        <f t="shared" si="24"/>
        <v>0</v>
      </c>
      <c r="AI78">
        <f t="shared" si="24"/>
        <v>0</v>
      </c>
      <c r="AJ78">
        <f t="shared" si="24"/>
        <v>0</v>
      </c>
      <c r="AK78">
        <f t="shared" si="24"/>
        <v>0</v>
      </c>
      <c r="AL78">
        <f t="shared" si="24"/>
        <v>0</v>
      </c>
      <c r="AM78">
        <f t="shared" si="24"/>
        <v>0</v>
      </c>
      <c r="AN78">
        <f t="shared" si="23"/>
        <v>0</v>
      </c>
      <c r="AO78">
        <f t="shared" si="23"/>
        <v>0</v>
      </c>
      <c r="AP78">
        <f t="shared" si="23"/>
        <v>0</v>
      </c>
      <c r="AQ78">
        <f t="shared" si="23"/>
        <v>0</v>
      </c>
      <c r="AR78">
        <f t="shared" si="23"/>
        <v>0</v>
      </c>
    </row>
    <row r="79" spans="5:44" x14ac:dyDescent="0.2">
      <c r="E79" s="1">
        <f>moment_rate!$M79</f>
        <v>240.4899841430101</v>
      </c>
      <c r="F79" s="1">
        <f t="shared" si="21"/>
        <v>4.9323196608509932</v>
      </c>
      <c r="G79">
        <f>moment_rate!I79-0.005</f>
        <v>0.72000000000000042</v>
      </c>
      <c r="H79" s="1">
        <f t="shared" si="22"/>
        <v>0</v>
      </c>
      <c r="I79">
        <f t="shared" ref="I79:X94" si="25">IF(AND($G79&gt;=I$3,$G79&lt;I$4),$F79,0)</f>
        <v>0</v>
      </c>
      <c r="J79">
        <f t="shared" si="25"/>
        <v>0</v>
      </c>
      <c r="K79">
        <f t="shared" si="25"/>
        <v>0</v>
      </c>
      <c r="L79">
        <f t="shared" si="25"/>
        <v>0</v>
      </c>
      <c r="M79">
        <f t="shared" si="25"/>
        <v>0</v>
      </c>
      <c r="N79">
        <f t="shared" si="25"/>
        <v>0</v>
      </c>
      <c r="O79">
        <f t="shared" si="25"/>
        <v>0</v>
      </c>
      <c r="P79">
        <f t="shared" si="25"/>
        <v>0</v>
      </c>
      <c r="Q79">
        <f t="shared" si="25"/>
        <v>0</v>
      </c>
      <c r="R79">
        <f t="shared" si="25"/>
        <v>0</v>
      </c>
      <c r="S79">
        <f t="shared" si="25"/>
        <v>0</v>
      </c>
      <c r="T79">
        <f t="shared" si="25"/>
        <v>0</v>
      </c>
      <c r="U79">
        <f t="shared" si="25"/>
        <v>0</v>
      </c>
      <c r="V79">
        <f t="shared" si="25"/>
        <v>0</v>
      </c>
      <c r="W79">
        <f t="shared" si="25"/>
        <v>0</v>
      </c>
      <c r="X79">
        <f t="shared" si="25"/>
        <v>0</v>
      </c>
      <c r="Y79">
        <f t="shared" si="24"/>
        <v>0</v>
      </c>
      <c r="Z79">
        <f t="shared" si="24"/>
        <v>0</v>
      </c>
      <c r="AA79">
        <f t="shared" si="24"/>
        <v>0</v>
      </c>
      <c r="AB79">
        <f t="shared" si="24"/>
        <v>0</v>
      </c>
      <c r="AC79">
        <f t="shared" si="24"/>
        <v>0</v>
      </c>
      <c r="AD79">
        <f t="shared" si="24"/>
        <v>0</v>
      </c>
      <c r="AE79">
        <f t="shared" si="24"/>
        <v>0</v>
      </c>
      <c r="AF79">
        <f t="shared" si="24"/>
        <v>0</v>
      </c>
      <c r="AG79">
        <f t="shared" si="24"/>
        <v>0</v>
      </c>
      <c r="AH79">
        <f t="shared" si="24"/>
        <v>0</v>
      </c>
      <c r="AI79">
        <f t="shared" si="24"/>
        <v>0</v>
      </c>
      <c r="AJ79">
        <f t="shared" si="24"/>
        <v>0</v>
      </c>
      <c r="AK79">
        <f t="shared" si="24"/>
        <v>0</v>
      </c>
      <c r="AL79">
        <f t="shared" si="24"/>
        <v>0</v>
      </c>
      <c r="AM79">
        <f t="shared" si="24"/>
        <v>0</v>
      </c>
      <c r="AN79">
        <f t="shared" si="23"/>
        <v>0</v>
      </c>
      <c r="AO79">
        <f t="shared" si="23"/>
        <v>0</v>
      </c>
      <c r="AP79">
        <f t="shared" si="23"/>
        <v>0</v>
      </c>
      <c r="AQ79">
        <f t="shared" si="23"/>
        <v>0</v>
      </c>
      <c r="AR79">
        <f t="shared" si="23"/>
        <v>0</v>
      </c>
    </row>
    <row r="80" spans="5:44" x14ac:dyDescent="0.2">
      <c r="E80" s="1">
        <f>moment_rate!$M80</f>
        <v>235.55766448215911</v>
      </c>
      <c r="F80" s="1">
        <f t="shared" si="21"/>
        <v>4.8311577126379746</v>
      </c>
      <c r="G80">
        <f>moment_rate!I80-0.005</f>
        <v>0.73000000000000043</v>
      </c>
      <c r="H80" s="1">
        <f t="shared" si="22"/>
        <v>0</v>
      </c>
      <c r="I80">
        <f t="shared" si="25"/>
        <v>0</v>
      </c>
      <c r="J80">
        <f t="shared" si="25"/>
        <v>0</v>
      </c>
      <c r="K80">
        <f t="shared" si="25"/>
        <v>0</v>
      </c>
      <c r="L80">
        <f t="shared" si="25"/>
        <v>0</v>
      </c>
      <c r="M80">
        <f t="shared" si="25"/>
        <v>0</v>
      </c>
      <c r="N80">
        <f t="shared" si="25"/>
        <v>0</v>
      </c>
      <c r="O80">
        <f t="shared" si="25"/>
        <v>0</v>
      </c>
      <c r="P80">
        <f t="shared" si="25"/>
        <v>0</v>
      </c>
      <c r="Q80">
        <f t="shared" si="25"/>
        <v>0</v>
      </c>
      <c r="R80">
        <f t="shared" si="25"/>
        <v>0</v>
      </c>
      <c r="S80">
        <f t="shared" si="25"/>
        <v>0</v>
      </c>
      <c r="T80">
        <f t="shared" si="25"/>
        <v>0</v>
      </c>
      <c r="U80">
        <f t="shared" si="25"/>
        <v>0</v>
      </c>
      <c r="V80">
        <f t="shared" si="25"/>
        <v>0</v>
      </c>
      <c r="W80">
        <f t="shared" si="25"/>
        <v>0</v>
      </c>
      <c r="X80">
        <f t="shared" si="25"/>
        <v>0</v>
      </c>
      <c r="Y80">
        <f t="shared" si="24"/>
        <v>0</v>
      </c>
      <c r="Z80">
        <f t="shared" si="24"/>
        <v>0</v>
      </c>
      <c r="AA80">
        <f t="shared" si="24"/>
        <v>0</v>
      </c>
      <c r="AB80">
        <f t="shared" si="24"/>
        <v>0</v>
      </c>
      <c r="AC80">
        <f t="shared" si="24"/>
        <v>0</v>
      </c>
      <c r="AD80">
        <f t="shared" si="24"/>
        <v>0</v>
      </c>
      <c r="AE80">
        <f t="shared" si="24"/>
        <v>0</v>
      </c>
      <c r="AF80">
        <f t="shared" si="24"/>
        <v>0</v>
      </c>
      <c r="AG80">
        <f t="shared" si="24"/>
        <v>0</v>
      </c>
      <c r="AH80">
        <f t="shared" si="24"/>
        <v>0</v>
      </c>
      <c r="AI80">
        <f t="shared" si="24"/>
        <v>0</v>
      </c>
      <c r="AJ80">
        <f t="shared" si="24"/>
        <v>0</v>
      </c>
      <c r="AK80">
        <f t="shared" si="24"/>
        <v>0</v>
      </c>
      <c r="AL80">
        <f t="shared" si="24"/>
        <v>0</v>
      </c>
      <c r="AM80">
        <f t="shared" si="24"/>
        <v>0</v>
      </c>
      <c r="AN80">
        <f t="shared" si="23"/>
        <v>0</v>
      </c>
      <c r="AO80">
        <f t="shared" si="23"/>
        <v>0</v>
      </c>
      <c r="AP80">
        <f t="shared" si="23"/>
        <v>0</v>
      </c>
      <c r="AQ80">
        <f t="shared" si="23"/>
        <v>0</v>
      </c>
      <c r="AR80">
        <f t="shared" si="23"/>
        <v>0</v>
      </c>
    </row>
    <row r="81" spans="5:44" x14ac:dyDescent="0.2">
      <c r="E81" s="1">
        <f>moment_rate!$M81</f>
        <v>230.72650676952114</v>
      </c>
      <c r="F81" s="1">
        <f t="shared" si="21"/>
        <v>4.7320705974589146</v>
      </c>
      <c r="G81">
        <f>moment_rate!I81-0.005</f>
        <v>0.74000000000000044</v>
      </c>
      <c r="H81" s="1">
        <f t="shared" si="22"/>
        <v>0</v>
      </c>
      <c r="I81">
        <f t="shared" si="25"/>
        <v>0</v>
      </c>
      <c r="J81">
        <f t="shared" si="25"/>
        <v>0</v>
      </c>
      <c r="K81">
        <f t="shared" si="25"/>
        <v>0</v>
      </c>
      <c r="L81">
        <f t="shared" si="25"/>
        <v>0</v>
      </c>
      <c r="M81">
        <f t="shared" si="25"/>
        <v>0</v>
      </c>
      <c r="N81">
        <f t="shared" si="25"/>
        <v>0</v>
      </c>
      <c r="O81">
        <f t="shared" si="25"/>
        <v>0</v>
      </c>
      <c r="P81">
        <f t="shared" si="25"/>
        <v>0</v>
      </c>
      <c r="Q81">
        <f t="shared" si="25"/>
        <v>0</v>
      </c>
      <c r="R81">
        <f t="shared" si="25"/>
        <v>0</v>
      </c>
      <c r="S81">
        <f t="shared" si="25"/>
        <v>0</v>
      </c>
      <c r="T81">
        <f t="shared" si="25"/>
        <v>0</v>
      </c>
      <c r="U81">
        <f t="shared" si="25"/>
        <v>0</v>
      </c>
      <c r="V81">
        <f t="shared" si="25"/>
        <v>0</v>
      </c>
      <c r="W81">
        <f t="shared" si="25"/>
        <v>0</v>
      </c>
      <c r="X81">
        <f t="shared" si="25"/>
        <v>0</v>
      </c>
      <c r="Y81">
        <f t="shared" si="24"/>
        <v>0</v>
      </c>
      <c r="Z81">
        <f t="shared" si="24"/>
        <v>0</v>
      </c>
      <c r="AA81">
        <f t="shared" si="24"/>
        <v>0</v>
      </c>
      <c r="AB81">
        <f t="shared" si="24"/>
        <v>0</v>
      </c>
      <c r="AC81">
        <f t="shared" si="24"/>
        <v>0</v>
      </c>
      <c r="AD81">
        <f t="shared" si="24"/>
        <v>0</v>
      </c>
      <c r="AE81">
        <f t="shared" si="24"/>
        <v>0</v>
      </c>
      <c r="AF81">
        <f t="shared" si="24"/>
        <v>0</v>
      </c>
      <c r="AG81">
        <f t="shared" si="24"/>
        <v>0</v>
      </c>
      <c r="AH81">
        <f t="shared" si="24"/>
        <v>0</v>
      </c>
      <c r="AI81">
        <f t="shared" si="24"/>
        <v>0</v>
      </c>
      <c r="AJ81">
        <f t="shared" si="24"/>
        <v>0</v>
      </c>
      <c r="AK81">
        <f t="shared" si="24"/>
        <v>0</v>
      </c>
      <c r="AL81">
        <f t="shared" si="24"/>
        <v>0</v>
      </c>
      <c r="AM81">
        <f t="shared" si="24"/>
        <v>0</v>
      </c>
      <c r="AN81">
        <f t="shared" si="23"/>
        <v>0</v>
      </c>
      <c r="AO81">
        <f t="shared" si="23"/>
        <v>0</v>
      </c>
      <c r="AP81">
        <f t="shared" si="23"/>
        <v>0</v>
      </c>
      <c r="AQ81">
        <f t="shared" si="23"/>
        <v>0</v>
      </c>
      <c r="AR81">
        <f t="shared" si="23"/>
        <v>0</v>
      </c>
    </row>
    <row r="82" spans="5:44" x14ac:dyDescent="0.2">
      <c r="E82" s="1">
        <f>moment_rate!$M82</f>
        <v>225.99443617206222</v>
      </c>
      <c r="F82" s="1">
        <f t="shared" si="21"/>
        <v>4.6350157604579181</v>
      </c>
      <c r="G82">
        <f>moment_rate!I82-0.005</f>
        <v>0.75000000000000044</v>
      </c>
      <c r="H82" s="1">
        <f t="shared" si="22"/>
        <v>0</v>
      </c>
      <c r="I82">
        <f t="shared" si="25"/>
        <v>0</v>
      </c>
      <c r="J82">
        <f t="shared" si="25"/>
        <v>0</v>
      </c>
      <c r="K82">
        <f t="shared" si="25"/>
        <v>0</v>
      </c>
      <c r="L82">
        <f t="shared" si="25"/>
        <v>0</v>
      </c>
      <c r="M82">
        <f t="shared" si="25"/>
        <v>0</v>
      </c>
      <c r="N82">
        <f t="shared" si="25"/>
        <v>0</v>
      </c>
      <c r="O82">
        <f t="shared" si="25"/>
        <v>0</v>
      </c>
      <c r="P82">
        <f t="shared" si="25"/>
        <v>0</v>
      </c>
      <c r="Q82">
        <f t="shared" si="25"/>
        <v>0</v>
      </c>
      <c r="R82">
        <f t="shared" si="25"/>
        <v>0</v>
      </c>
      <c r="S82">
        <f t="shared" si="25"/>
        <v>0</v>
      </c>
      <c r="T82">
        <f t="shared" si="25"/>
        <v>0</v>
      </c>
      <c r="U82">
        <f t="shared" si="25"/>
        <v>0</v>
      </c>
      <c r="V82">
        <f t="shared" si="25"/>
        <v>0</v>
      </c>
      <c r="W82">
        <f t="shared" si="25"/>
        <v>0</v>
      </c>
      <c r="X82">
        <f t="shared" si="25"/>
        <v>0</v>
      </c>
      <c r="Y82">
        <f t="shared" si="24"/>
        <v>0</v>
      </c>
      <c r="Z82">
        <f t="shared" si="24"/>
        <v>0</v>
      </c>
      <c r="AA82">
        <f t="shared" si="24"/>
        <v>0</v>
      </c>
      <c r="AB82">
        <f t="shared" si="24"/>
        <v>0</v>
      </c>
      <c r="AC82">
        <f t="shared" si="24"/>
        <v>0</v>
      </c>
      <c r="AD82">
        <f t="shared" si="24"/>
        <v>0</v>
      </c>
      <c r="AE82">
        <f t="shared" si="24"/>
        <v>0</v>
      </c>
      <c r="AF82">
        <f t="shared" si="24"/>
        <v>0</v>
      </c>
      <c r="AG82">
        <f t="shared" si="24"/>
        <v>0</v>
      </c>
      <c r="AH82">
        <f t="shared" si="24"/>
        <v>0</v>
      </c>
      <c r="AI82">
        <f t="shared" si="24"/>
        <v>0</v>
      </c>
      <c r="AJ82">
        <f t="shared" si="24"/>
        <v>0</v>
      </c>
      <c r="AK82">
        <f t="shared" si="24"/>
        <v>0</v>
      </c>
      <c r="AL82">
        <f t="shared" si="24"/>
        <v>0</v>
      </c>
      <c r="AM82">
        <f t="shared" si="24"/>
        <v>0</v>
      </c>
      <c r="AN82">
        <f t="shared" si="23"/>
        <v>0</v>
      </c>
      <c r="AO82">
        <f t="shared" si="23"/>
        <v>0</v>
      </c>
      <c r="AP82">
        <f t="shared" si="23"/>
        <v>0</v>
      </c>
      <c r="AQ82">
        <f t="shared" si="23"/>
        <v>0</v>
      </c>
      <c r="AR82">
        <f t="shared" si="23"/>
        <v>0</v>
      </c>
    </row>
    <row r="83" spans="5:44" x14ac:dyDescent="0.2">
      <c r="E83" s="1">
        <f>moment_rate!$M83</f>
        <v>221.3594204116043</v>
      </c>
      <c r="F83" s="1">
        <f t="shared" si="21"/>
        <v>4.5399515195800291</v>
      </c>
      <c r="G83">
        <f>moment_rate!I83-0.005</f>
        <v>0.76000000000000045</v>
      </c>
      <c r="H83" s="1">
        <f t="shared" si="22"/>
        <v>0</v>
      </c>
      <c r="I83">
        <f t="shared" si="25"/>
        <v>0</v>
      </c>
      <c r="J83">
        <f t="shared" si="25"/>
        <v>0</v>
      </c>
      <c r="K83">
        <f t="shared" si="25"/>
        <v>0</v>
      </c>
      <c r="L83">
        <f t="shared" si="25"/>
        <v>0</v>
      </c>
      <c r="M83">
        <f t="shared" si="25"/>
        <v>0</v>
      </c>
      <c r="N83">
        <f t="shared" si="25"/>
        <v>0</v>
      </c>
      <c r="O83">
        <f t="shared" si="25"/>
        <v>0</v>
      </c>
      <c r="P83">
        <f t="shared" si="25"/>
        <v>0</v>
      </c>
      <c r="Q83">
        <f t="shared" si="25"/>
        <v>0</v>
      </c>
      <c r="R83">
        <f t="shared" si="25"/>
        <v>0</v>
      </c>
      <c r="S83">
        <f t="shared" si="25"/>
        <v>0</v>
      </c>
      <c r="T83">
        <f t="shared" si="25"/>
        <v>0</v>
      </c>
      <c r="U83">
        <f t="shared" si="25"/>
        <v>0</v>
      </c>
      <c r="V83">
        <f t="shared" si="25"/>
        <v>0</v>
      </c>
      <c r="W83">
        <f t="shared" si="25"/>
        <v>0</v>
      </c>
      <c r="X83">
        <f t="shared" si="25"/>
        <v>0</v>
      </c>
      <c r="Y83">
        <f t="shared" si="24"/>
        <v>0</v>
      </c>
      <c r="Z83">
        <f t="shared" si="24"/>
        <v>0</v>
      </c>
      <c r="AA83">
        <f t="shared" si="24"/>
        <v>0</v>
      </c>
      <c r="AB83">
        <f t="shared" si="24"/>
        <v>0</v>
      </c>
      <c r="AC83">
        <f t="shared" si="24"/>
        <v>0</v>
      </c>
      <c r="AD83">
        <f t="shared" si="24"/>
        <v>0</v>
      </c>
      <c r="AE83">
        <f t="shared" si="24"/>
        <v>0</v>
      </c>
      <c r="AF83">
        <f t="shared" si="24"/>
        <v>0</v>
      </c>
      <c r="AG83">
        <f t="shared" si="24"/>
        <v>0</v>
      </c>
      <c r="AH83">
        <f t="shared" si="24"/>
        <v>0</v>
      </c>
      <c r="AI83">
        <f t="shared" si="24"/>
        <v>0</v>
      </c>
      <c r="AJ83">
        <f t="shared" si="24"/>
        <v>0</v>
      </c>
      <c r="AK83">
        <f t="shared" si="24"/>
        <v>0</v>
      </c>
      <c r="AL83">
        <f t="shared" si="24"/>
        <v>0</v>
      </c>
      <c r="AM83">
        <f t="shared" si="24"/>
        <v>0</v>
      </c>
      <c r="AN83">
        <f t="shared" si="23"/>
        <v>0</v>
      </c>
      <c r="AO83">
        <f t="shared" si="23"/>
        <v>0</v>
      </c>
      <c r="AP83">
        <f t="shared" si="23"/>
        <v>0</v>
      </c>
      <c r="AQ83">
        <f t="shared" si="23"/>
        <v>0</v>
      </c>
      <c r="AR83">
        <f t="shared" si="23"/>
        <v>0</v>
      </c>
    </row>
    <row r="84" spans="5:44" x14ac:dyDescent="0.2">
      <c r="E84" s="1">
        <f>moment_rate!$M84</f>
        <v>216.81946889202428</v>
      </c>
      <c r="F84" s="1">
        <f t="shared" si="21"/>
        <v>4.4468370476697032</v>
      </c>
      <c r="G84">
        <f>moment_rate!I84-0.005</f>
        <v>0.77000000000000046</v>
      </c>
      <c r="H84" s="1">
        <f t="shared" si="22"/>
        <v>0</v>
      </c>
      <c r="I84">
        <f t="shared" si="25"/>
        <v>0</v>
      </c>
      <c r="J84">
        <f t="shared" si="25"/>
        <v>0</v>
      </c>
      <c r="K84">
        <f t="shared" si="25"/>
        <v>0</v>
      </c>
      <c r="L84">
        <f t="shared" si="25"/>
        <v>0</v>
      </c>
      <c r="M84">
        <f t="shared" si="25"/>
        <v>0</v>
      </c>
      <c r="N84">
        <f t="shared" si="25"/>
        <v>0</v>
      </c>
      <c r="O84">
        <f t="shared" si="25"/>
        <v>0</v>
      </c>
      <c r="P84">
        <f t="shared" si="25"/>
        <v>0</v>
      </c>
      <c r="Q84">
        <f t="shared" si="25"/>
        <v>0</v>
      </c>
      <c r="R84">
        <f t="shared" si="25"/>
        <v>0</v>
      </c>
      <c r="S84">
        <f t="shared" si="25"/>
        <v>0</v>
      </c>
      <c r="T84">
        <f t="shared" si="25"/>
        <v>0</v>
      </c>
      <c r="U84">
        <f t="shared" si="25"/>
        <v>0</v>
      </c>
      <c r="V84">
        <f t="shared" si="25"/>
        <v>0</v>
      </c>
      <c r="W84">
        <f t="shared" si="25"/>
        <v>0</v>
      </c>
      <c r="X84">
        <f t="shared" si="25"/>
        <v>0</v>
      </c>
      <c r="Y84">
        <f t="shared" si="24"/>
        <v>0</v>
      </c>
      <c r="Z84">
        <f t="shared" si="24"/>
        <v>0</v>
      </c>
      <c r="AA84">
        <f t="shared" si="24"/>
        <v>0</v>
      </c>
      <c r="AB84">
        <f t="shared" si="24"/>
        <v>0</v>
      </c>
      <c r="AC84">
        <f t="shared" si="24"/>
        <v>0</v>
      </c>
      <c r="AD84">
        <f t="shared" si="24"/>
        <v>0</v>
      </c>
      <c r="AE84">
        <f t="shared" si="24"/>
        <v>0</v>
      </c>
      <c r="AF84">
        <f t="shared" si="24"/>
        <v>0</v>
      </c>
      <c r="AG84">
        <f t="shared" si="24"/>
        <v>0</v>
      </c>
      <c r="AH84">
        <f t="shared" si="24"/>
        <v>0</v>
      </c>
      <c r="AI84">
        <f t="shared" si="24"/>
        <v>0</v>
      </c>
      <c r="AJ84">
        <f t="shared" si="24"/>
        <v>0</v>
      </c>
      <c r="AK84">
        <f t="shared" si="24"/>
        <v>0</v>
      </c>
      <c r="AL84">
        <f t="shared" si="24"/>
        <v>0</v>
      </c>
      <c r="AM84">
        <f t="shared" si="24"/>
        <v>0</v>
      </c>
      <c r="AN84">
        <f t="shared" si="23"/>
        <v>0</v>
      </c>
      <c r="AO84">
        <f t="shared" si="23"/>
        <v>0</v>
      </c>
      <c r="AP84">
        <f t="shared" si="23"/>
        <v>0</v>
      </c>
      <c r="AQ84">
        <f t="shared" si="23"/>
        <v>0</v>
      </c>
      <c r="AR84">
        <f t="shared" si="23"/>
        <v>0</v>
      </c>
    </row>
    <row r="85" spans="5:44" x14ac:dyDescent="0.2">
      <c r="E85" s="1">
        <f>moment_rate!$M85</f>
        <v>212.37263184435457</v>
      </c>
      <c r="F85" s="1">
        <f t="shared" si="21"/>
        <v>4.3556323549367733</v>
      </c>
      <c r="G85">
        <f>moment_rate!I85-0.005</f>
        <v>0.78000000000000047</v>
      </c>
      <c r="H85" s="1">
        <f t="shared" si="22"/>
        <v>0</v>
      </c>
      <c r="I85">
        <f t="shared" si="25"/>
        <v>0</v>
      </c>
      <c r="J85">
        <f t="shared" si="25"/>
        <v>0</v>
      </c>
      <c r="K85">
        <f t="shared" si="25"/>
        <v>0</v>
      </c>
      <c r="L85">
        <f t="shared" si="25"/>
        <v>0</v>
      </c>
      <c r="M85">
        <f t="shared" si="25"/>
        <v>0</v>
      </c>
      <c r="N85">
        <f t="shared" si="25"/>
        <v>0</v>
      </c>
      <c r="O85">
        <f t="shared" si="25"/>
        <v>0</v>
      </c>
      <c r="P85">
        <f t="shared" si="25"/>
        <v>0</v>
      </c>
      <c r="Q85">
        <f t="shared" si="25"/>
        <v>0</v>
      </c>
      <c r="R85">
        <f t="shared" si="25"/>
        <v>0</v>
      </c>
      <c r="S85">
        <f t="shared" si="25"/>
        <v>0</v>
      </c>
      <c r="T85">
        <f t="shared" si="25"/>
        <v>0</v>
      </c>
      <c r="U85">
        <f t="shared" si="25"/>
        <v>0</v>
      </c>
      <c r="V85">
        <f t="shared" si="25"/>
        <v>0</v>
      </c>
      <c r="W85">
        <f t="shared" si="25"/>
        <v>0</v>
      </c>
      <c r="X85">
        <f t="shared" si="25"/>
        <v>0</v>
      </c>
      <c r="Y85">
        <f t="shared" si="24"/>
        <v>0</v>
      </c>
      <c r="Z85">
        <f t="shared" si="24"/>
        <v>0</v>
      </c>
      <c r="AA85">
        <f t="shared" si="24"/>
        <v>0</v>
      </c>
      <c r="AB85">
        <f t="shared" si="24"/>
        <v>0</v>
      </c>
      <c r="AC85">
        <f t="shared" si="24"/>
        <v>0</v>
      </c>
      <c r="AD85">
        <f t="shared" si="24"/>
        <v>0</v>
      </c>
      <c r="AE85">
        <f t="shared" si="24"/>
        <v>0</v>
      </c>
      <c r="AF85">
        <f t="shared" si="24"/>
        <v>0</v>
      </c>
      <c r="AG85">
        <f t="shared" si="24"/>
        <v>0</v>
      </c>
      <c r="AH85">
        <f t="shared" si="24"/>
        <v>0</v>
      </c>
      <c r="AI85">
        <f t="shared" si="24"/>
        <v>0</v>
      </c>
      <c r="AJ85">
        <f t="shared" si="24"/>
        <v>0</v>
      </c>
      <c r="AK85">
        <f t="shared" si="24"/>
        <v>0</v>
      </c>
      <c r="AL85">
        <f t="shared" si="24"/>
        <v>0</v>
      </c>
      <c r="AM85">
        <f t="shared" si="24"/>
        <v>0</v>
      </c>
      <c r="AN85">
        <f t="shared" si="23"/>
        <v>0</v>
      </c>
      <c r="AO85">
        <f t="shared" si="23"/>
        <v>0</v>
      </c>
      <c r="AP85">
        <f t="shared" si="23"/>
        <v>0</v>
      </c>
      <c r="AQ85">
        <f t="shared" si="23"/>
        <v>0</v>
      </c>
      <c r="AR85">
        <f t="shared" si="23"/>
        <v>0</v>
      </c>
    </row>
    <row r="86" spans="5:44" x14ac:dyDescent="0.2">
      <c r="E86" s="1">
        <f>moment_rate!$M86</f>
        <v>208.0169994894178</v>
      </c>
      <c r="F86" s="1">
        <f t="shared" si="21"/>
        <v>4.2662982717827163</v>
      </c>
      <c r="G86">
        <f>moment_rate!I86-0.005</f>
        <v>0.79000000000000048</v>
      </c>
      <c r="H86" s="1">
        <f t="shared" si="22"/>
        <v>0</v>
      </c>
      <c r="I86">
        <f t="shared" si="25"/>
        <v>0</v>
      </c>
      <c r="J86">
        <f t="shared" si="25"/>
        <v>0</v>
      </c>
      <c r="K86">
        <f t="shared" si="25"/>
        <v>0</v>
      </c>
      <c r="L86">
        <f t="shared" si="25"/>
        <v>0</v>
      </c>
      <c r="M86">
        <f t="shared" si="25"/>
        <v>0</v>
      </c>
      <c r="N86">
        <f t="shared" si="25"/>
        <v>0</v>
      </c>
      <c r="O86">
        <f t="shared" si="25"/>
        <v>0</v>
      </c>
      <c r="P86">
        <f t="shared" si="25"/>
        <v>0</v>
      </c>
      <c r="Q86">
        <f t="shared" si="25"/>
        <v>0</v>
      </c>
      <c r="R86">
        <f t="shared" si="25"/>
        <v>0</v>
      </c>
      <c r="S86">
        <f t="shared" si="25"/>
        <v>0</v>
      </c>
      <c r="T86">
        <f t="shared" si="25"/>
        <v>0</v>
      </c>
      <c r="U86">
        <f t="shared" si="25"/>
        <v>0</v>
      </c>
      <c r="V86">
        <f t="shared" si="25"/>
        <v>0</v>
      </c>
      <c r="W86">
        <f t="shared" si="25"/>
        <v>0</v>
      </c>
      <c r="X86">
        <f t="shared" si="25"/>
        <v>0</v>
      </c>
      <c r="Y86">
        <f t="shared" si="24"/>
        <v>0</v>
      </c>
      <c r="Z86">
        <f t="shared" si="24"/>
        <v>0</v>
      </c>
      <c r="AA86">
        <f t="shared" si="24"/>
        <v>0</v>
      </c>
      <c r="AB86">
        <f t="shared" si="24"/>
        <v>0</v>
      </c>
      <c r="AC86">
        <f t="shared" si="24"/>
        <v>0</v>
      </c>
      <c r="AD86">
        <f t="shared" si="24"/>
        <v>0</v>
      </c>
      <c r="AE86">
        <f t="shared" si="24"/>
        <v>0</v>
      </c>
      <c r="AF86">
        <f t="shared" si="24"/>
        <v>0</v>
      </c>
      <c r="AG86">
        <f t="shared" si="24"/>
        <v>0</v>
      </c>
      <c r="AH86">
        <f t="shared" si="24"/>
        <v>0</v>
      </c>
      <c r="AI86">
        <f t="shared" si="24"/>
        <v>0</v>
      </c>
      <c r="AJ86">
        <f t="shared" si="24"/>
        <v>0</v>
      </c>
      <c r="AK86">
        <f t="shared" si="24"/>
        <v>0</v>
      </c>
      <c r="AL86">
        <f t="shared" si="24"/>
        <v>0</v>
      </c>
      <c r="AM86">
        <f t="shared" si="24"/>
        <v>0</v>
      </c>
      <c r="AN86">
        <f t="shared" si="23"/>
        <v>0</v>
      </c>
      <c r="AO86">
        <f t="shared" si="23"/>
        <v>0</v>
      </c>
      <c r="AP86">
        <f t="shared" si="23"/>
        <v>0</v>
      </c>
      <c r="AQ86">
        <f t="shared" si="23"/>
        <v>0</v>
      </c>
      <c r="AR86">
        <f t="shared" si="23"/>
        <v>0</v>
      </c>
    </row>
    <row r="87" spans="5:44" x14ac:dyDescent="0.2">
      <c r="E87" s="1">
        <f>moment_rate!$M87</f>
        <v>203.75070121763508</v>
      </c>
      <c r="F87" s="1">
        <f t="shared" si="21"/>
        <v>4.1787964319776449</v>
      </c>
      <c r="G87">
        <f>moment_rate!I87-0.005</f>
        <v>0.80000000000000049</v>
      </c>
      <c r="H87" s="1">
        <f t="shared" si="22"/>
        <v>0</v>
      </c>
      <c r="I87">
        <f t="shared" si="25"/>
        <v>0</v>
      </c>
      <c r="J87">
        <f t="shared" si="25"/>
        <v>0</v>
      </c>
      <c r="K87">
        <f t="shared" si="25"/>
        <v>0</v>
      </c>
      <c r="L87">
        <f t="shared" si="25"/>
        <v>0</v>
      </c>
      <c r="M87">
        <f t="shared" si="25"/>
        <v>0</v>
      </c>
      <c r="N87">
        <f t="shared" si="25"/>
        <v>0</v>
      </c>
      <c r="O87">
        <f t="shared" si="25"/>
        <v>0</v>
      </c>
      <c r="P87">
        <f t="shared" si="25"/>
        <v>0</v>
      </c>
      <c r="Q87">
        <f t="shared" si="25"/>
        <v>0</v>
      </c>
      <c r="R87">
        <f t="shared" si="25"/>
        <v>0</v>
      </c>
      <c r="S87">
        <f t="shared" si="25"/>
        <v>0</v>
      </c>
      <c r="T87">
        <f t="shared" si="25"/>
        <v>0</v>
      </c>
      <c r="U87">
        <f t="shared" si="25"/>
        <v>0</v>
      </c>
      <c r="V87">
        <f t="shared" si="25"/>
        <v>0</v>
      </c>
      <c r="W87">
        <f t="shared" si="25"/>
        <v>0</v>
      </c>
      <c r="X87">
        <f t="shared" si="25"/>
        <v>0</v>
      </c>
      <c r="Y87">
        <f t="shared" si="24"/>
        <v>0</v>
      </c>
      <c r="Z87">
        <f t="shared" si="24"/>
        <v>0</v>
      </c>
      <c r="AA87">
        <f t="shared" si="24"/>
        <v>0</v>
      </c>
      <c r="AB87">
        <f t="shared" si="24"/>
        <v>0</v>
      </c>
      <c r="AC87">
        <f t="shared" si="24"/>
        <v>0</v>
      </c>
      <c r="AD87">
        <f t="shared" si="24"/>
        <v>0</v>
      </c>
      <c r="AE87">
        <f t="shared" si="24"/>
        <v>0</v>
      </c>
      <c r="AF87">
        <f t="shared" si="24"/>
        <v>0</v>
      </c>
      <c r="AG87">
        <f t="shared" si="24"/>
        <v>0</v>
      </c>
      <c r="AH87">
        <f t="shared" si="24"/>
        <v>0</v>
      </c>
      <c r="AI87">
        <f t="shared" si="24"/>
        <v>0</v>
      </c>
      <c r="AJ87">
        <f t="shared" si="24"/>
        <v>0</v>
      </c>
      <c r="AK87">
        <f t="shared" si="24"/>
        <v>0</v>
      </c>
      <c r="AL87">
        <f t="shared" si="24"/>
        <v>0</v>
      </c>
      <c r="AM87">
        <f t="shared" si="24"/>
        <v>0</v>
      </c>
      <c r="AN87">
        <f t="shared" si="23"/>
        <v>0</v>
      </c>
      <c r="AO87">
        <f t="shared" si="23"/>
        <v>0</v>
      </c>
      <c r="AP87">
        <f t="shared" si="23"/>
        <v>0</v>
      </c>
      <c r="AQ87">
        <f t="shared" si="23"/>
        <v>0</v>
      </c>
      <c r="AR87">
        <f t="shared" si="23"/>
        <v>0</v>
      </c>
    </row>
    <row r="88" spans="5:44" x14ac:dyDescent="0.2">
      <c r="E88" s="1">
        <f>moment_rate!$M88</f>
        <v>199.57190478565744</v>
      </c>
      <c r="F88" s="1">
        <f t="shared" si="21"/>
        <v>4.0930892561836743</v>
      </c>
      <c r="G88">
        <f>moment_rate!I88-0.005</f>
        <v>0.8100000000000005</v>
      </c>
      <c r="H88" s="1">
        <f t="shared" si="22"/>
        <v>0</v>
      </c>
      <c r="I88">
        <f t="shared" si="25"/>
        <v>0</v>
      </c>
      <c r="J88">
        <f t="shared" si="25"/>
        <v>0</v>
      </c>
      <c r="K88">
        <f t="shared" si="25"/>
        <v>0</v>
      </c>
      <c r="L88">
        <f t="shared" si="25"/>
        <v>0</v>
      </c>
      <c r="M88">
        <f t="shared" si="25"/>
        <v>0</v>
      </c>
      <c r="N88">
        <f t="shared" si="25"/>
        <v>0</v>
      </c>
      <c r="O88">
        <f t="shared" si="25"/>
        <v>0</v>
      </c>
      <c r="P88">
        <f t="shared" si="25"/>
        <v>0</v>
      </c>
      <c r="Q88">
        <f t="shared" si="25"/>
        <v>0</v>
      </c>
      <c r="R88">
        <f t="shared" si="25"/>
        <v>0</v>
      </c>
      <c r="S88">
        <f t="shared" si="25"/>
        <v>0</v>
      </c>
      <c r="T88">
        <f t="shared" si="25"/>
        <v>0</v>
      </c>
      <c r="U88">
        <f t="shared" si="25"/>
        <v>0</v>
      </c>
      <c r="V88">
        <f t="shared" si="25"/>
        <v>0</v>
      </c>
      <c r="W88">
        <f t="shared" si="25"/>
        <v>0</v>
      </c>
      <c r="X88">
        <f t="shared" si="25"/>
        <v>0</v>
      </c>
      <c r="Y88">
        <f t="shared" si="24"/>
        <v>0</v>
      </c>
      <c r="Z88">
        <f t="shared" si="24"/>
        <v>0</v>
      </c>
      <c r="AA88">
        <f t="shared" si="24"/>
        <v>0</v>
      </c>
      <c r="AB88">
        <f t="shared" si="24"/>
        <v>0</v>
      </c>
      <c r="AC88">
        <f t="shared" si="24"/>
        <v>0</v>
      </c>
      <c r="AD88">
        <f t="shared" si="24"/>
        <v>0</v>
      </c>
      <c r="AE88">
        <f t="shared" si="24"/>
        <v>0</v>
      </c>
      <c r="AF88">
        <f t="shared" si="24"/>
        <v>0</v>
      </c>
      <c r="AG88">
        <f t="shared" si="24"/>
        <v>0</v>
      </c>
      <c r="AH88">
        <f t="shared" si="24"/>
        <v>0</v>
      </c>
      <c r="AI88">
        <f t="shared" si="24"/>
        <v>0</v>
      </c>
      <c r="AJ88">
        <f t="shared" si="24"/>
        <v>0</v>
      </c>
      <c r="AK88">
        <f t="shared" si="24"/>
        <v>0</v>
      </c>
      <c r="AL88">
        <f t="shared" si="24"/>
        <v>0</v>
      </c>
      <c r="AM88">
        <f t="shared" si="24"/>
        <v>0</v>
      </c>
      <c r="AN88">
        <f t="shared" si="23"/>
        <v>0</v>
      </c>
      <c r="AO88">
        <f t="shared" si="23"/>
        <v>0</v>
      </c>
      <c r="AP88">
        <f t="shared" si="23"/>
        <v>0</v>
      </c>
      <c r="AQ88">
        <f t="shared" si="23"/>
        <v>0</v>
      </c>
      <c r="AR88">
        <f t="shared" si="23"/>
        <v>0</v>
      </c>
    </row>
    <row r="89" spans="5:44" x14ac:dyDescent="0.2">
      <c r="E89" s="1">
        <f>moment_rate!$M89</f>
        <v>195.47881552947376</v>
      </c>
      <c r="F89" s="1">
        <f t="shared" si="21"/>
        <v>4.0091399358158526</v>
      </c>
      <c r="G89">
        <f>moment_rate!I89-0.005</f>
        <v>0.82000000000000051</v>
      </c>
      <c r="H89" s="1">
        <f t="shared" si="22"/>
        <v>0</v>
      </c>
      <c r="I89">
        <f t="shared" si="25"/>
        <v>0</v>
      </c>
      <c r="J89">
        <f t="shared" si="25"/>
        <v>0</v>
      </c>
      <c r="K89">
        <f t="shared" si="25"/>
        <v>0</v>
      </c>
      <c r="L89">
        <f t="shared" si="25"/>
        <v>0</v>
      </c>
      <c r="M89">
        <f t="shared" si="25"/>
        <v>0</v>
      </c>
      <c r="N89">
        <f t="shared" si="25"/>
        <v>0</v>
      </c>
      <c r="O89">
        <f t="shared" si="25"/>
        <v>0</v>
      </c>
      <c r="P89">
        <f t="shared" si="25"/>
        <v>0</v>
      </c>
      <c r="Q89">
        <f t="shared" si="25"/>
        <v>0</v>
      </c>
      <c r="R89">
        <f t="shared" si="25"/>
        <v>0</v>
      </c>
      <c r="S89">
        <f t="shared" si="25"/>
        <v>0</v>
      </c>
      <c r="T89">
        <f t="shared" si="25"/>
        <v>0</v>
      </c>
      <c r="U89">
        <f t="shared" si="25"/>
        <v>0</v>
      </c>
      <c r="V89">
        <f t="shared" si="25"/>
        <v>0</v>
      </c>
      <c r="W89">
        <f t="shared" si="25"/>
        <v>0</v>
      </c>
      <c r="X89">
        <f t="shared" si="25"/>
        <v>0</v>
      </c>
      <c r="Y89">
        <f t="shared" si="24"/>
        <v>0</v>
      </c>
      <c r="Z89">
        <f t="shared" si="24"/>
        <v>0</v>
      </c>
      <c r="AA89">
        <f t="shared" si="24"/>
        <v>0</v>
      </c>
      <c r="AB89">
        <f t="shared" si="24"/>
        <v>0</v>
      </c>
      <c r="AC89">
        <f t="shared" si="24"/>
        <v>0</v>
      </c>
      <c r="AD89">
        <f t="shared" si="24"/>
        <v>0</v>
      </c>
      <c r="AE89">
        <f t="shared" si="24"/>
        <v>0</v>
      </c>
      <c r="AF89">
        <f t="shared" si="24"/>
        <v>0</v>
      </c>
      <c r="AG89">
        <f t="shared" si="24"/>
        <v>0</v>
      </c>
      <c r="AH89">
        <f t="shared" si="24"/>
        <v>0</v>
      </c>
      <c r="AI89">
        <f t="shared" si="24"/>
        <v>0</v>
      </c>
      <c r="AJ89">
        <f t="shared" si="24"/>
        <v>0</v>
      </c>
      <c r="AK89">
        <f t="shared" si="24"/>
        <v>0</v>
      </c>
      <c r="AL89">
        <f t="shared" si="24"/>
        <v>0</v>
      </c>
      <c r="AM89">
        <f t="shared" si="24"/>
        <v>0</v>
      </c>
      <c r="AN89">
        <f t="shared" si="23"/>
        <v>0</v>
      </c>
      <c r="AO89">
        <f t="shared" si="23"/>
        <v>0</v>
      </c>
      <c r="AP89">
        <f t="shared" si="23"/>
        <v>0</v>
      </c>
      <c r="AQ89">
        <f t="shared" si="23"/>
        <v>0</v>
      </c>
      <c r="AR89">
        <f t="shared" si="23"/>
        <v>0</v>
      </c>
    </row>
    <row r="90" spans="5:44" x14ac:dyDescent="0.2">
      <c r="E90" s="1">
        <f>moment_rate!$M90</f>
        <v>191.46967559365791</v>
      </c>
      <c r="F90" s="1">
        <f t="shared" si="21"/>
        <v>3.9269124172336944</v>
      </c>
      <c r="G90">
        <f>moment_rate!I90-0.005</f>
        <v>0.83000000000000052</v>
      </c>
      <c r="H90" s="1">
        <f t="shared" si="22"/>
        <v>0</v>
      </c>
      <c r="I90">
        <f t="shared" si="25"/>
        <v>0</v>
      </c>
      <c r="J90">
        <f t="shared" si="25"/>
        <v>0</v>
      </c>
      <c r="K90">
        <f t="shared" si="25"/>
        <v>0</v>
      </c>
      <c r="L90">
        <f t="shared" si="25"/>
        <v>0</v>
      </c>
      <c r="M90">
        <f t="shared" si="25"/>
        <v>0</v>
      </c>
      <c r="N90">
        <f t="shared" si="25"/>
        <v>0</v>
      </c>
      <c r="O90">
        <f t="shared" si="25"/>
        <v>0</v>
      </c>
      <c r="P90">
        <f t="shared" si="25"/>
        <v>0</v>
      </c>
      <c r="Q90">
        <f t="shared" si="25"/>
        <v>0</v>
      </c>
      <c r="R90">
        <f t="shared" si="25"/>
        <v>0</v>
      </c>
      <c r="S90">
        <f t="shared" si="25"/>
        <v>0</v>
      </c>
      <c r="T90">
        <f t="shared" si="25"/>
        <v>0</v>
      </c>
      <c r="U90">
        <f t="shared" si="25"/>
        <v>0</v>
      </c>
      <c r="V90">
        <f t="shared" si="25"/>
        <v>0</v>
      </c>
      <c r="W90">
        <f t="shared" si="25"/>
        <v>0</v>
      </c>
      <c r="X90">
        <f t="shared" si="25"/>
        <v>0</v>
      </c>
      <c r="Y90">
        <f t="shared" si="24"/>
        <v>0</v>
      </c>
      <c r="Z90">
        <f t="shared" si="24"/>
        <v>0</v>
      </c>
      <c r="AA90">
        <f t="shared" si="24"/>
        <v>0</v>
      </c>
      <c r="AB90">
        <f t="shared" si="24"/>
        <v>0</v>
      </c>
      <c r="AC90">
        <f t="shared" si="24"/>
        <v>0</v>
      </c>
      <c r="AD90">
        <f t="shared" si="24"/>
        <v>0</v>
      </c>
      <c r="AE90">
        <f t="shared" si="24"/>
        <v>0</v>
      </c>
      <c r="AF90">
        <f t="shared" si="24"/>
        <v>0</v>
      </c>
      <c r="AG90">
        <f t="shared" si="24"/>
        <v>0</v>
      </c>
      <c r="AH90">
        <f t="shared" si="24"/>
        <v>0</v>
      </c>
      <c r="AI90">
        <f t="shared" si="24"/>
        <v>0</v>
      </c>
      <c r="AJ90">
        <f t="shared" si="24"/>
        <v>0</v>
      </c>
      <c r="AK90">
        <f t="shared" si="24"/>
        <v>0</v>
      </c>
      <c r="AL90">
        <f t="shared" si="24"/>
        <v>0</v>
      </c>
      <c r="AM90">
        <f t="shared" si="24"/>
        <v>0</v>
      </c>
      <c r="AN90">
        <f t="shared" si="23"/>
        <v>0</v>
      </c>
      <c r="AO90">
        <f t="shared" si="23"/>
        <v>0</v>
      </c>
      <c r="AP90">
        <f t="shared" si="23"/>
        <v>0</v>
      </c>
      <c r="AQ90">
        <f t="shared" si="23"/>
        <v>0</v>
      </c>
      <c r="AR90">
        <f t="shared" si="23"/>
        <v>0</v>
      </c>
    </row>
    <row r="91" spans="5:44" x14ac:dyDescent="0.2">
      <c r="E91" s="1">
        <f>moment_rate!$M91</f>
        <v>187.54276317642422</v>
      </c>
      <c r="F91" s="1">
        <f t="shared" si="21"/>
        <v>3.8463713862574878</v>
      </c>
      <c r="G91">
        <f>moment_rate!I91-0.005</f>
        <v>0.84000000000000052</v>
      </c>
      <c r="H91" s="1">
        <f t="shared" si="22"/>
        <v>0</v>
      </c>
      <c r="I91">
        <f t="shared" si="25"/>
        <v>0</v>
      </c>
      <c r="J91">
        <f t="shared" si="25"/>
        <v>0</v>
      </c>
      <c r="K91">
        <f t="shared" si="25"/>
        <v>0</v>
      </c>
      <c r="L91">
        <f t="shared" si="25"/>
        <v>0</v>
      </c>
      <c r="M91">
        <f t="shared" si="25"/>
        <v>0</v>
      </c>
      <c r="N91">
        <f t="shared" si="25"/>
        <v>0</v>
      </c>
      <c r="O91">
        <f t="shared" si="25"/>
        <v>0</v>
      </c>
      <c r="P91">
        <f t="shared" si="25"/>
        <v>0</v>
      </c>
      <c r="Q91">
        <f t="shared" si="25"/>
        <v>0</v>
      </c>
      <c r="R91">
        <f t="shared" si="25"/>
        <v>0</v>
      </c>
      <c r="S91">
        <f t="shared" si="25"/>
        <v>0</v>
      </c>
      <c r="T91">
        <f t="shared" si="25"/>
        <v>0</v>
      </c>
      <c r="U91">
        <f t="shared" si="25"/>
        <v>0</v>
      </c>
      <c r="V91">
        <f t="shared" si="25"/>
        <v>0</v>
      </c>
      <c r="W91">
        <f t="shared" si="25"/>
        <v>0</v>
      </c>
      <c r="X91">
        <f t="shared" si="25"/>
        <v>0</v>
      </c>
      <c r="Y91">
        <f t="shared" si="24"/>
        <v>0</v>
      </c>
      <c r="Z91">
        <f t="shared" si="24"/>
        <v>0</v>
      </c>
      <c r="AA91">
        <f t="shared" si="24"/>
        <v>0</v>
      </c>
      <c r="AB91">
        <f t="shared" si="24"/>
        <v>0</v>
      </c>
      <c r="AC91">
        <f t="shared" si="24"/>
        <v>0</v>
      </c>
      <c r="AD91">
        <f t="shared" si="24"/>
        <v>0</v>
      </c>
      <c r="AE91">
        <f t="shared" si="24"/>
        <v>0</v>
      </c>
      <c r="AF91">
        <f t="shared" si="24"/>
        <v>0</v>
      </c>
      <c r="AG91">
        <f t="shared" si="24"/>
        <v>0</v>
      </c>
      <c r="AH91">
        <f t="shared" si="24"/>
        <v>0</v>
      </c>
      <c r="AI91">
        <f t="shared" si="24"/>
        <v>0</v>
      </c>
      <c r="AJ91">
        <f t="shared" si="24"/>
        <v>0</v>
      </c>
      <c r="AK91">
        <f t="shared" si="24"/>
        <v>0</v>
      </c>
      <c r="AL91">
        <f t="shared" si="24"/>
        <v>0</v>
      </c>
      <c r="AM91">
        <f t="shared" si="24"/>
        <v>0</v>
      </c>
      <c r="AN91">
        <f t="shared" si="23"/>
        <v>0</v>
      </c>
      <c r="AO91">
        <f t="shared" si="23"/>
        <v>0</v>
      </c>
      <c r="AP91">
        <f t="shared" si="23"/>
        <v>0</v>
      </c>
      <c r="AQ91">
        <f t="shared" si="23"/>
        <v>0</v>
      </c>
      <c r="AR91">
        <f t="shared" si="23"/>
        <v>0</v>
      </c>
    </row>
    <row r="92" spans="5:44" x14ac:dyDescent="0.2">
      <c r="E92" s="1">
        <f>moment_rate!$M92</f>
        <v>183.69639179016673</v>
      </c>
      <c r="F92" s="1">
        <f t="shared" si="21"/>
        <v>3.7674822530017309</v>
      </c>
      <c r="G92">
        <f>moment_rate!I92-0.005</f>
        <v>0.85000000000000053</v>
      </c>
      <c r="H92" s="1">
        <f t="shared" si="22"/>
        <v>0</v>
      </c>
      <c r="I92">
        <f t="shared" si="25"/>
        <v>0</v>
      </c>
      <c r="J92">
        <f t="shared" si="25"/>
        <v>0</v>
      </c>
      <c r="K92">
        <f t="shared" si="25"/>
        <v>0</v>
      </c>
      <c r="L92">
        <f t="shared" si="25"/>
        <v>0</v>
      </c>
      <c r="M92">
        <f t="shared" si="25"/>
        <v>0</v>
      </c>
      <c r="N92">
        <f t="shared" si="25"/>
        <v>0</v>
      </c>
      <c r="O92">
        <f t="shared" si="25"/>
        <v>0</v>
      </c>
      <c r="P92">
        <f t="shared" si="25"/>
        <v>0</v>
      </c>
      <c r="Q92">
        <f t="shared" si="25"/>
        <v>0</v>
      </c>
      <c r="R92">
        <f t="shared" si="25"/>
        <v>0</v>
      </c>
      <c r="S92">
        <f t="shared" si="25"/>
        <v>0</v>
      </c>
      <c r="T92">
        <f t="shared" si="25"/>
        <v>0</v>
      </c>
      <c r="U92">
        <f t="shared" si="25"/>
        <v>0</v>
      </c>
      <c r="V92">
        <f t="shared" si="25"/>
        <v>0</v>
      </c>
      <c r="W92">
        <f t="shared" si="25"/>
        <v>0</v>
      </c>
      <c r="X92">
        <f t="shared" si="25"/>
        <v>0</v>
      </c>
      <c r="Y92">
        <f t="shared" si="24"/>
        <v>0</v>
      </c>
      <c r="Z92">
        <f t="shared" si="24"/>
        <v>0</v>
      </c>
      <c r="AA92">
        <f t="shared" si="24"/>
        <v>0</v>
      </c>
      <c r="AB92">
        <f t="shared" si="24"/>
        <v>0</v>
      </c>
      <c r="AC92">
        <f t="shared" si="24"/>
        <v>0</v>
      </c>
      <c r="AD92">
        <f t="shared" si="24"/>
        <v>0</v>
      </c>
      <c r="AE92">
        <f t="shared" si="24"/>
        <v>0</v>
      </c>
      <c r="AF92">
        <f t="shared" si="24"/>
        <v>0</v>
      </c>
      <c r="AG92">
        <f t="shared" si="24"/>
        <v>0</v>
      </c>
      <c r="AH92">
        <f t="shared" si="24"/>
        <v>0</v>
      </c>
      <c r="AI92">
        <f t="shared" si="24"/>
        <v>0</v>
      </c>
      <c r="AJ92">
        <f t="shared" si="24"/>
        <v>0</v>
      </c>
      <c r="AK92">
        <f t="shared" si="24"/>
        <v>0</v>
      </c>
      <c r="AL92">
        <f t="shared" si="24"/>
        <v>0</v>
      </c>
      <c r="AM92">
        <f t="shared" si="24"/>
        <v>0</v>
      </c>
      <c r="AN92">
        <f t="shared" si="23"/>
        <v>0</v>
      </c>
      <c r="AO92">
        <f t="shared" si="23"/>
        <v>0</v>
      </c>
      <c r="AP92">
        <f t="shared" si="23"/>
        <v>0</v>
      </c>
      <c r="AQ92">
        <f t="shared" si="23"/>
        <v>0</v>
      </c>
      <c r="AR92">
        <f t="shared" si="23"/>
        <v>0</v>
      </c>
    </row>
    <row r="93" spans="5:44" x14ac:dyDescent="0.2">
      <c r="E93" s="1">
        <f>moment_rate!$M93</f>
        <v>179.928909537165</v>
      </c>
      <c r="F93" s="1">
        <f t="shared" si="21"/>
        <v>3.6902111370202419</v>
      </c>
      <c r="G93">
        <f>moment_rate!I93-0.005</f>
        <v>0.86000000000000054</v>
      </c>
      <c r="H93" s="1">
        <f t="shared" si="22"/>
        <v>0</v>
      </c>
      <c r="I93">
        <f t="shared" si="25"/>
        <v>0</v>
      </c>
      <c r="J93">
        <f t="shared" si="25"/>
        <v>0</v>
      </c>
      <c r="K93">
        <f t="shared" si="25"/>
        <v>0</v>
      </c>
      <c r="L93">
        <f t="shared" si="25"/>
        <v>0</v>
      </c>
      <c r="M93">
        <f t="shared" si="25"/>
        <v>0</v>
      </c>
      <c r="N93">
        <f t="shared" si="25"/>
        <v>0</v>
      </c>
      <c r="O93">
        <f t="shared" si="25"/>
        <v>0</v>
      </c>
      <c r="P93">
        <f t="shared" si="25"/>
        <v>0</v>
      </c>
      <c r="Q93">
        <f t="shared" si="25"/>
        <v>0</v>
      </c>
      <c r="R93">
        <f t="shared" si="25"/>
        <v>0</v>
      </c>
      <c r="S93">
        <f t="shared" si="25"/>
        <v>0</v>
      </c>
      <c r="T93">
        <f t="shared" si="25"/>
        <v>0</v>
      </c>
      <c r="U93">
        <f t="shared" si="25"/>
        <v>0</v>
      </c>
      <c r="V93">
        <f t="shared" si="25"/>
        <v>0</v>
      </c>
      <c r="W93">
        <f t="shared" si="25"/>
        <v>0</v>
      </c>
      <c r="X93">
        <f t="shared" si="25"/>
        <v>0</v>
      </c>
      <c r="Y93">
        <f t="shared" si="24"/>
        <v>0</v>
      </c>
      <c r="Z93">
        <f t="shared" si="24"/>
        <v>0</v>
      </c>
      <c r="AA93">
        <f t="shared" si="24"/>
        <v>0</v>
      </c>
      <c r="AB93">
        <f t="shared" si="24"/>
        <v>0</v>
      </c>
      <c r="AC93">
        <f t="shared" si="24"/>
        <v>0</v>
      </c>
      <c r="AD93">
        <f t="shared" si="24"/>
        <v>0</v>
      </c>
      <c r="AE93">
        <f t="shared" si="24"/>
        <v>0</v>
      </c>
      <c r="AF93">
        <f t="shared" si="24"/>
        <v>0</v>
      </c>
      <c r="AG93">
        <f t="shared" si="24"/>
        <v>0</v>
      </c>
      <c r="AH93">
        <f t="shared" si="24"/>
        <v>0</v>
      </c>
      <c r="AI93">
        <f t="shared" si="24"/>
        <v>0</v>
      </c>
      <c r="AJ93">
        <f t="shared" si="24"/>
        <v>0</v>
      </c>
      <c r="AK93">
        <f t="shared" si="24"/>
        <v>0</v>
      </c>
      <c r="AL93">
        <f t="shared" si="24"/>
        <v>0</v>
      </c>
      <c r="AM93">
        <f t="shared" si="24"/>
        <v>0</v>
      </c>
      <c r="AN93">
        <f t="shared" ref="AN93:AR117" si="26">IF(AND($G93&gt;=AN$3,$G93&lt;AN$4),$F93,0)</f>
        <v>0</v>
      </c>
      <c r="AO93">
        <f t="shared" si="26"/>
        <v>0</v>
      </c>
      <c r="AP93">
        <f t="shared" si="26"/>
        <v>0</v>
      </c>
      <c r="AQ93">
        <f t="shared" si="26"/>
        <v>0</v>
      </c>
      <c r="AR93">
        <f t="shared" si="26"/>
        <v>0</v>
      </c>
    </row>
    <row r="94" spans="5:44" x14ac:dyDescent="0.2">
      <c r="E94" s="1">
        <f>moment_rate!$M94</f>
        <v>176.23869840014476</v>
      </c>
      <c r="F94" s="1">
        <f t="shared" si="21"/>
        <v>3.6145248527549541</v>
      </c>
      <c r="G94">
        <f>moment_rate!I94-0.005</f>
        <v>0.87000000000000055</v>
      </c>
      <c r="H94" s="1">
        <f t="shared" si="22"/>
        <v>0</v>
      </c>
      <c r="I94">
        <f t="shared" si="25"/>
        <v>0</v>
      </c>
      <c r="J94">
        <f t="shared" si="25"/>
        <v>0</v>
      </c>
      <c r="K94">
        <f t="shared" si="25"/>
        <v>0</v>
      </c>
      <c r="L94">
        <f t="shared" si="25"/>
        <v>0</v>
      </c>
      <c r="M94">
        <f t="shared" si="25"/>
        <v>0</v>
      </c>
      <c r="N94">
        <f t="shared" si="25"/>
        <v>0</v>
      </c>
      <c r="O94">
        <f t="shared" si="25"/>
        <v>0</v>
      </c>
      <c r="P94">
        <f t="shared" si="25"/>
        <v>0</v>
      </c>
      <c r="Q94">
        <f t="shared" si="25"/>
        <v>0</v>
      </c>
      <c r="R94">
        <f t="shared" si="25"/>
        <v>0</v>
      </c>
      <c r="S94">
        <f t="shared" si="25"/>
        <v>0</v>
      </c>
      <c r="T94">
        <f t="shared" si="25"/>
        <v>0</v>
      </c>
      <c r="U94">
        <f t="shared" si="25"/>
        <v>0</v>
      </c>
      <c r="V94">
        <f t="shared" si="25"/>
        <v>0</v>
      </c>
      <c r="W94">
        <f t="shared" si="25"/>
        <v>0</v>
      </c>
      <c r="X94">
        <f t="shared" ref="X94:AM109" si="27">IF(AND($G94&gt;=X$3,$G94&lt;X$4),$F94,0)</f>
        <v>0</v>
      </c>
      <c r="Y94">
        <f t="shared" si="27"/>
        <v>0</v>
      </c>
      <c r="Z94">
        <f t="shared" si="24"/>
        <v>0</v>
      </c>
      <c r="AA94">
        <f t="shared" si="24"/>
        <v>0</v>
      </c>
      <c r="AB94">
        <f t="shared" si="24"/>
        <v>0</v>
      </c>
      <c r="AC94">
        <f t="shared" si="24"/>
        <v>0</v>
      </c>
      <c r="AD94">
        <f t="shared" si="24"/>
        <v>0</v>
      </c>
      <c r="AE94">
        <f t="shared" si="24"/>
        <v>0</v>
      </c>
      <c r="AF94">
        <f t="shared" si="24"/>
        <v>0</v>
      </c>
      <c r="AG94">
        <f t="shared" si="24"/>
        <v>0</v>
      </c>
      <c r="AH94">
        <f t="shared" si="24"/>
        <v>0</v>
      </c>
      <c r="AI94">
        <f t="shared" si="24"/>
        <v>0</v>
      </c>
      <c r="AJ94">
        <f t="shared" si="24"/>
        <v>0</v>
      </c>
      <c r="AK94">
        <f t="shared" si="24"/>
        <v>0</v>
      </c>
      <c r="AL94">
        <f t="shared" si="24"/>
        <v>0</v>
      </c>
      <c r="AM94">
        <f t="shared" si="24"/>
        <v>0</v>
      </c>
      <c r="AN94">
        <f t="shared" si="26"/>
        <v>0</v>
      </c>
      <c r="AO94">
        <f t="shared" si="26"/>
        <v>0</v>
      </c>
      <c r="AP94">
        <f t="shared" si="26"/>
        <v>0</v>
      </c>
      <c r="AQ94">
        <f t="shared" si="26"/>
        <v>0</v>
      </c>
      <c r="AR94">
        <f t="shared" si="26"/>
        <v>0</v>
      </c>
    </row>
    <row r="95" spans="5:44" x14ac:dyDescent="0.2">
      <c r="E95" s="1">
        <f>moment_rate!$M95</f>
        <v>172.6241735473898</v>
      </c>
      <c r="F95" s="1">
        <f t="shared" si="21"/>
        <v>3.5403908952843324</v>
      </c>
      <c r="G95">
        <f>moment_rate!I95-0.005</f>
        <v>0.88000000000000056</v>
      </c>
      <c r="H95" s="1">
        <f t="shared" si="22"/>
        <v>0</v>
      </c>
      <c r="I95">
        <f t="shared" ref="I95:X110" si="28">IF(AND($G95&gt;=I$3,$G95&lt;I$4),$F95,0)</f>
        <v>0</v>
      </c>
      <c r="J95">
        <f t="shared" si="28"/>
        <v>0</v>
      </c>
      <c r="K95">
        <f t="shared" si="28"/>
        <v>0</v>
      </c>
      <c r="L95">
        <f t="shared" si="28"/>
        <v>0</v>
      </c>
      <c r="M95">
        <f t="shared" si="28"/>
        <v>0</v>
      </c>
      <c r="N95">
        <f t="shared" si="28"/>
        <v>0</v>
      </c>
      <c r="O95">
        <f t="shared" si="28"/>
        <v>0</v>
      </c>
      <c r="P95">
        <f t="shared" si="28"/>
        <v>0</v>
      </c>
      <c r="Q95">
        <f t="shared" si="28"/>
        <v>0</v>
      </c>
      <c r="R95">
        <f t="shared" si="28"/>
        <v>0</v>
      </c>
      <c r="S95">
        <f t="shared" si="28"/>
        <v>0</v>
      </c>
      <c r="T95">
        <f t="shared" si="28"/>
        <v>0</v>
      </c>
      <c r="U95">
        <f t="shared" si="28"/>
        <v>0</v>
      </c>
      <c r="V95">
        <f t="shared" si="28"/>
        <v>0</v>
      </c>
      <c r="W95">
        <f t="shared" si="28"/>
        <v>0</v>
      </c>
      <c r="X95">
        <f t="shared" si="28"/>
        <v>0</v>
      </c>
      <c r="Y95">
        <f t="shared" si="27"/>
        <v>0</v>
      </c>
      <c r="Z95">
        <f t="shared" si="27"/>
        <v>0</v>
      </c>
      <c r="AA95">
        <f t="shared" si="27"/>
        <v>0</v>
      </c>
      <c r="AB95">
        <f t="shared" si="27"/>
        <v>0</v>
      </c>
      <c r="AC95">
        <f t="shared" si="27"/>
        <v>0</v>
      </c>
      <c r="AD95">
        <f t="shared" si="27"/>
        <v>0</v>
      </c>
      <c r="AE95">
        <f t="shared" si="27"/>
        <v>0</v>
      </c>
      <c r="AF95">
        <f t="shared" si="27"/>
        <v>0</v>
      </c>
      <c r="AG95">
        <f t="shared" si="27"/>
        <v>0</v>
      </c>
      <c r="AH95">
        <f t="shared" si="27"/>
        <v>0</v>
      </c>
      <c r="AI95">
        <f t="shared" si="27"/>
        <v>0</v>
      </c>
      <c r="AJ95">
        <f t="shared" si="27"/>
        <v>0</v>
      </c>
      <c r="AK95">
        <f t="shared" si="27"/>
        <v>0</v>
      </c>
      <c r="AL95">
        <f t="shared" si="27"/>
        <v>0</v>
      </c>
      <c r="AM95">
        <f t="shared" si="27"/>
        <v>0</v>
      </c>
      <c r="AN95">
        <f t="shared" si="26"/>
        <v>0</v>
      </c>
      <c r="AO95">
        <f t="shared" si="26"/>
        <v>0</v>
      </c>
      <c r="AP95">
        <f t="shared" si="26"/>
        <v>0</v>
      </c>
      <c r="AQ95">
        <f t="shared" si="26"/>
        <v>0</v>
      </c>
      <c r="AR95">
        <f t="shared" si="26"/>
        <v>0</v>
      </c>
    </row>
    <row r="96" spans="5:44" x14ac:dyDescent="0.2">
      <c r="E96" s="1">
        <f>moment_rate!$M96</f>
        <v>169.08378265210547</v>
      </c>
      <c r="F96" s="1">
        <f t="shared" si="21"/>
        <v>3.467777426363142</v>
      </c>
      <c r="G96">
        <f>moment_rate!I96-0.005</f>
        <v>0.89000000000000057</v>
      </c>
      <c r="H96" s="1">
        <f t="shared" si="22"/>
        <v>0</v>
      </c>
      <c r="I96">
        <f t="shared" si="28"/>
        <v>0</v>
      </c>
      <c r="J96">
        <f t="shared" si="28"/>
        <v>0</v>
      </c>
      <c r="K96">
        <f t="shared" si="28"/>
        <v>0</v>
      </c>
      <c r="L96">
        <f t="shared" si="28"/>
        <v>0</v>
      </c>
      <c r="M96">
        <f t="shared" si="28"/>
        <v>0</v>
      </c>
      <c r="N96">
        <f t="shared" si="28"/>
        <v>0</v>
      </c>
      <c r="O96">
        <f t="shared" si="28"/>
        <v>0</v>
      </c>
      <c r="P96">
        <f t="shared" si="28"/>
        <v>0</v>
      </c>
      <c r="Q96">
        <f t="shared" si="28"/>
        <v>0</v>
      </c>
      <c r="R96">
        <f t="shared" si="28"/>
        <v>0</v>
      </c>
      <c r="S96">
        <f t="shared" si="28"/>
        <v>0</v>
      </c>
      <c r="T96">
        <f t="shared" si="28"/>
        <v>0</v>
      </c>
      <c r="U96">
        <f t="shared" si="28"/>
        <v>0</v>
      </c>
      <c r="V96">
        <f t="shared" si="28"/>
        <v>0</v>
      </c>
      <c r="W96">
        <f t="shared" si="28"/>
        <v>0</v>
      </c>
      <c r="X96">
        <f t="shared" si="28"/>
        <v>0</v>
      </c>
      <c r="Y96">
        <f t="shared" si="27"/>
        <v>0</v>
      </c>
      <c r="Z96">
        <f t="shared" si="27"/>
        <v>0</v>
      </c>
      <c r="AA96">
        <f t="shared" si="27"/>
        <v>0</v>
      </c>
      <c r="AB96">
        <f t="shared" si="27"/>
        <v>0</v>
      </c>
      <c r="AC96">
        <f t="shared" si="27"/>
        <v>0</v>
      </c>
      <c r="AD96">
        <f t="shared" si="27"/>
        <v>0</v>
      </c>
      <c r="AE96">
        <f t="shared" si="27"/>
        <v>0</v>
      </c>
      <c r="AF96">
        <f t="shared" si="27"/>
        <v>0</v>
      </c>
      <c r="AG96">
        <f t="shared" si="27"/>
        <v>0</v>
      </c>
      <c r="AH96">
        <f t="shared" si="27"/>
        <v>0</v>
      </c>
      <c r="AI96">
        <f t="shared" si="27"/>
        <v>0</v>
      </c>
      <c r="AJ96">
        <f t="shared" si="27"/>
        <v>0</v>
      </c>
      <c r="AK96">
        <f t="shared" si="27"/>
        <v>0</v>
      </c>
      <c r="AL96">
        <f t="shared" si="27"/>
        <v>0</v>
      </c>
      <c r="AM96">
        <f t="shared" si="27"/>
        <v>0</v>
      </c>
      <c r="AN96">
        <f t="shared" si="26"/>
        <v>0</v>
      </c>
      <c r="AO96">
        <f t="shared" si="26"/>
        <v>0</v>
      </c>
      <c r="AP96">
        <f t="shared" si="26"/>
        <v>0</v>
      </c>
      <c r="AQ96">
        <f t="shared" si="26"/>
        <v>0</v>
      </c>
      <c r="AR96">
        <f t="shared" si="26"/>
        <v>0</v>
      </c>
    </row>
    <row r="97" spans="5:44" x14ac:dyDescent="0.2">
      <c r="E97" s="1">
        <f>moment_rate!$M97</f>
        <v>165.61600522574233</v>
      </c>
      <c r="F97" s="1">
        <f t="shared" si="21"/>
        <v>3.3966532607490763</v>
      </c>
      <c r="G97">
        <f>moment_rate!I97-0.005</f>
        <v>0.90000000000000058</v>
      </c>
      <c r="H97" s="1">
        <f t="shared" si="22"/>
        <v>0</v>
      </c>
      <c r="I97">
        <f t="shared" si="28"/>
        <v>0</v>
      </c>
      <c r="J97">
        <f t="shared" si="28"/>
        <v>0</v>
      </c>
      <c r="K97">
        <f t="shared" si="28"/>
        <v>0</v>
      </c>
      <c r="L97">
        <f t="shared" si="28"/>
        <v>0</v>
      </c>
      <c r="M97">
        <f t="shared" si="28"/>
        <v>0</v>
      </c>
      <c r="N97">
        <f t="shared" si="28"/>
        <v>0</v>
      </c>
      <c r="O97">
        <f t="shared" si="28"/>
        <v>0</v>
      </c>
      <c r="P97">
        <f t="shared" si="28"/>
        <v>0</v>
      </c>
      <c r="Q97">
        <f t="shared" si="28"/>
        <v>0</v>
      </c>
      <c r="R97">
        <f t="shared" si="28"/>
        <v>0</v>
      </c>
      <c r="S97">
        <f t="shared" si="28"/>
        <v>0</v>
      </c>
      <c r="T97">
        <f t="shared" si="28"/>
        <v>0</v>
      </c>
      <c r="U97">
        <f t="shared" si="28"/>
        <v>0</v>
      </c>
      <c r="V97">
        <f t="shared" si="28"/>
        <v>0</v>
      </c>
      <c r="W97">
        <f t="shared" si="28"/>
        <v>0</v>
      </c>
      <c r="X97">
        <f t="shared" si="28"/>
        <v>0</v>
      </c>
      <c r="Y97">
        <f t="shared" si="27"/>
        <v>0</v>
      </c>
      <c r="Z97">
        <f t="shared" si="27"/>
        <v>0</v>
      </c>
      <c r="AA97">
        <f t="shared" si="27"/>
        <v>0</v>
      </c>
      <c r="AB97">
        <f t="shared" si="27"/>
        <v>0</v>
      </c>
      <c r="AC97">
        <f t="shared" si="27"/>
        <v>0</v>
      </c>
      <c r="AD97">
        <f t="shared" si="27"/>
        <v>0</v>
      </c>
      <c r="AE97">
        <f t="shared" si="27"/>
        <v>0</v>
      </c>
      <c r="AF97">
        <f t="shared" si="27"/>
        <v>0</v>
      </c>
      <c r="AG97">
        <f t="shared" si="27"/>
        <v>0</v>
      </c>
      <c r="AH97">
        <f t="shared" si="27"/>
        <v>0</v>
      </c>
      <c r="AI97">
        <f t="shared" si="27"/>
        <v>0</v>
      </c>
      <c r="AJ97">
        <f t="shared" si="27"/>
        <v>0</v>
      </c>
      <c r="AK97">
        <f t="shared" si="27"/>
        <v>0</v>
      </c>
      <c r="AL97">
        <f t="shared" si="27"/>
        <v>0</v>
      </c>
      <c r="AM97">
        <f t="shared" si="27"/>
        <v>0</v>
      </c>
      <c r="AN97">
        <f t="shared" si="26"/>
        <v>0</v>
      </c>
      <c r="AO97">
        <f t="shared" si="26"/>
        <v>0</v>
      </c>
      <c r="AP97">
        <f t="shared" si="26"/>
        <v>0</v>
      </c>
      <c r="AQ97">
        <f t="shared" si="26"/>
        <v>0</v>
      </c>
      <c r="AR97">
        <f t="shared" si="26"/>
        <v>0</v>
      </c>
    </row>
    <row r="98" spans="5:44" x14ac:dyDescent="0.2">
      <c r="E98" s="1">
        <f>moment_rate!$M98</f>
        <v>162.21935196499325</v>
      </c>
      <c r="F98" s="1">
        <f t="shared" si="21"/>
        <v>3.3269878528095091</v>
      </c>
      <c r="G98">
        <f>moment_rate!I98-0.005</f>
        <v>0.91000000000000059</v>
      </c>
      <c r="H98" s="1">
        <f t="shared" si="22"/>
        <v>0</v>
      </c>
      <c r="I98">
        <f t="shared" si="28"/>
        <v>0</v>
      </c>
      <c r="J98">
        <f t="shared" si="28"/>
        <v>0</v>
      </c>
      <c r="K98">
        <f t="shared" si="28"/>
        <v>0</v>
      </c>
      <c r="L98">
        <f t="shared" si="28"/>
        <v>0</v>
      </c>
      <c r="M98">
        <f t="shared" si="28"/>
        <v>0</v>
      </c>
      <c r="N98">
        <f t="shared" si="28"/>
        <v>0</v>
      </c>
      <c r="O98">
        <f t="shared" si="28"/>
        <v>0</v>
      </c>
      <c r="P98">
        <f t="shared" si="28"/>
        <v>0</v>
      </c>
      <c r="Q98">
        <f t="shared" si="28"/>
        <v>0</v>
      </c>
      <c r="R98">
        <f t="shared" si="28"/>
        <v>0</v>
      </c>
      <c r="S98">
        <f t="shared" si="28"/>
        <v>0</v>
      </c>
      <c r="T98">
        <f t="shared" si="28"/>
        <v>0</v>
      </c>
      <c r="U98">
        <f t="shared" si="28"/>
        <v>0</v>
      </c>
      <c r="V98">
        <f t="shared" si="28"/>
        <v>0</v>
      </c>
      <c r="W98">
        <f t="shared" si="28"/>
        <v>0</v>
      </c>
      <c r="X98">
        <f t="shared" si="28"/>
        <v>0</v>
      </c>
      <c r="Y98">
        <f t="shared" si="27"/>
        <v>0</v>
      </c>
      <c r="Z98">
        <f t="shared" si="27"/>
        <v>0</v>
      </c>
      <c r="AA98">
        <f t="shared" si="27"/>
        <v>0</v>
      </c>
      <c r="AB98">
        <f t="shared" si="27"/>
        <v>0</v>
      </c>
      <c r="AC98">
        <f t="shared" si="27"/>
        <v>0</v>
      </c>
      <c r="AD98">
        <f t="shared" si="27"/>
        <v>0</v>
      </c>
      <c r="AE98">
        <f t="shared" si="27"/>
        <v>0</v>
      </c>
      <c r="AF98">
        <f t="shared" si="27"/>
        <v>0</v>
      </c>
      <c r="AG98">
        <f t="shared" si="27"/>
        <v>0</v>
      </c>
      <c r="AH98">
        <f t="shared" si="27"/>
        <v>0</v>
      </c>
      <c r="AI98">
        <f t="shared" si="27"/>
        <v>0</v>
      </c>
      <c r="AJ98">
        <f t="shared" si="27"/>
        <v>0</v>
      </c>
      <c r="AK98">
        <f t="shared" si="27"/>
        <v>0</v>
      </c>
      <c r="AL98">
        <f t="shared" si="27"/>
        <v>0</v>
      </c>
      <c r="AM98">
        <f t="shared" si="27"/>
        <v>0</v>
      </c>
      <c r="AN98">
        <f t="shared" si="26"/>
        <v>0</v>
      </c>
      <c r="AO98">
        <f t="shared" si="26"/>
        <v>0</v>
      </c>
      <c r="AP98">
        <f t="shared" si="26"/>
        <v>0</v>
      </c>
      <c r="AQ98">
        <f t="shared" si="26"/>
        <v>0</v>
      </c>
      <c r="AR98">
        <f t="shared" si="26"/>
        <v>0</v>
      </c>
    </row>
    <row r="99" spans="5:44" x14ac:dyDescent="0.2">
      <c r="E99" s="1">
        <f>moment_rate!$M99</f>
        <v>158.89236411218374</v>
      </c>
      <c r="F99" s="1">
        <f t="shared" si="21"/>
        <v>3.258751283403285</v>
      </c>
      <c r="G99">
        <f>moment_rate!I99-0.005</f>
        <v>0.9200000000000006</v>
      </c>
      <c r="H99" s="1">
        <f t="shared" si="22"/>
        <v>0</v>
      </c>
      <c r="I99">
        <f t="shared" si="28"/>
        <v>0</v>
      </c>
      <c r="J99">
        <f t="shared" si="28"/>
        <v>0</v>
      </c>
      <c r="K99">
        <f t="shared" si="28"/>
        <v>0</v>
      </c>
      <c r="L99">
        <f t="shared" si="28"/>
        <v>0</v>
      </c>
      <c r="M99">
        <f t="shared" si="28"/>
        <v>0</v>
      </c>
      <c r="N99">
        <f t="shared" si="28"/>
        <v>0</v>
      </c>
      <c r="O99">
        <f t="shared" si="28"/>
        <v>0</v>
      </c>
      <c r="P99">
        <f t="shared" si="28"/>
        <v>0</v>
      </c>
      <c r="Q99">
        <f t="shared" si="28"/>
        <v>0</v>
      </c>
      <c r="R99">
        <f t="shared" si="28"/>
        <v>0</v>
      </c>
      <c r="S99">
        <f t="shared" si="28"/>
        <v>0</v>
      </c>
      <c r="T99">
        <f t="shared" si="28"/>
        <v>0</v>
      </c>
      <c r="U99">
        <f t="shared" si="28"/>
        <v>0</v>
      </c>
      <c r="V99">
        <f t="shared" si="28"/>
        <v>0</v>
      </c>
      <c r="W99">
        <f t="shared" si="28"/>
        <v>0</v>
      </c>
      <c r="X99">
        <f t="shared" si="28"/>
        <v>0</v>
      </c>
      <c r="Y99">
        <f t="shared" si="27"/>
        <v>0</v>
      </c>
      <c r="Z99">
        <f t="shared" si="27"/>
        <v>0</v>
      </c>
      <c r="AA99">
        <f t="shared" si="27"/>
        <v>0</v>
      </c>
      <c r="AB99">
        <f t="shared" si="27"/>
        <v>0</v>
      </c>
      <c r="AC99">
        <f t="shared" si="27"/>
        <v>0</v>
      </c>
      <c r="AD99">
        <f t="shared" si="27"/>
        <v>0</v>
      </c>
      <c r="AE99">
        <f t="shared" si="27"/>
        <v>0</v>
      </c>
      <c r="AF99">
        <f t="shared" si="27"/>
        <v>0</v>
      </c>
      <c r="AG99">
        <f t="shared" si="27"/>
        <v>0</v>
      </c>
      <c r="AH99">
        <f t="shared" si="27"/>
        <v>0</v>
      </c>
      <c r="AI99">
        <f t="shared" si="27"/>
        <v>0</v>
      </c>
      <c r="AJ99">
        <f t="shared" si="27"/>
        <v>0</v>
      </c>
      <c r="AK99">
        <f t="shared" si="27"/>
        <v>0</v>
      </c>
      <c r="AL99">
        <f t="shared" si="27"/>
        <v>0</v>
      </c>
      <c r="AM99">
        <f t="shared" si="27"/>
        <v>0</v>
      </c>
      <c r="AN99">
        <f t="shared" si="26"/>
        <v>0</v>
      </c>
      <c r="AO99">
        <f t="shared" si="26"/>
        <v>0</v>
      </c>
      <c r="AP99">
        <f t="shared" si="26"/>
        <v>0</v>
      </c>
      <c r="AQ99">
        <f t="shared" si="26"/>
        <v>0</v>
      </c>
      <c r="AR99">
        <f t="shared" si="26"/>
        <v>0</v>
      </c>
    </row>
    <row r="100" spans="5:44" x14ac:dyDescent="0.2">
      <c r="E100" s="1">
        <f>moment_rate!$M100</f>
        <v>155.63361282878046</v>
      </c>
      <c r="F100" s="1">
        <f t="shared" si="21"/>
        <v>3.191914247031292</v>
      </c>
      <c r="G100">
        <f>moment_rate!I100-0.005</f>
        <v>0.9300000000000006</v>
      </c>
      <c r="H100" s="1">
        <f t="shared" si="22"/>
        <v>0</v>
      </c>
      <c r="I100">
        <f t="shared" si="28"/>
        <v>0</v>
      </c>
      <c r="J100">
        <f t="shared" si="28"/>
        <v>0</v>
      </c>
      <c r="K100">
        <f t="shared" si="28"/>
        <v>0</v>
      </c>
      <c r="L100">
        <f t="shared" si="28"/>
        <v>0</v>
      </c>
      <c r="M100">
        <f t="shared" si="28"/>
        <v>0</v>
      </c>
      <c r="N100">
        <f t="shared" si="28"/>
        <v>0</v>
      </c>
      <c r="O100">
        <f t="shared" si="28"/>
        <v>0</v>
      </c>
      <c r="P100">
        <f t="shared" si="28"/>
        <v>0</v>
      </c>
      <c r="Q100">
        <f t="shared" si="28"/>
        <v>0</v>
      </c>
      <c r="R100">
        <f t="shared" si="28"/>
        <v>0</v>
      </c>
      <c r="S100">
        <f t="shared" si="28"/>
        <v>0</v>
      </c>
      <c r="T100">
        <f t="shared" si="28"/>
        <v>0</v>
      </c>
      <c r="U100">
        <f t="shared" si="28"/>
        <v>0</v>
      </c>
      <c r="V100">
        <f t="shared" si="28"/>
        <v>0</v>
      </c>
      <c r="W100">
        <f t="shared" si="28"/>
        <v>0</v>
      </c>
      <c r="X100">
        <f t="shared" si="28"/>
        <v>0</v>
      </c>
      <c r="Y100">
        <f t="shared" si="27"/>
        <v>0</v>
      </c>
      <c r="Z100">
        <f t="shared" si="27"/>
        <v>0</v>
      </c>
      <c r="AA100">
        <f t="shared" si="27"/>
        <v>0</v>
      </c>
      <c r="AB100">
        <f t="shared" si="27"/>
        <v>0</v>
      </c>
      <c r="AC100">
        <f t="shared" si="27"/>
        <v>0</v>
      </c>
      <c r="AD100">
        <f t="shared" si="27"/>
        <v>0</v>
      </c>
      <c r="AE100">
        <f t="shared" si="27"/>
        <v>0</v>
      </c>
      <c r="AF100">
        <f t="shared" si="27"/>
        <v>0</v>
      </c>
      <c r="AG100">
        <f t="shared" si="27"/>
        <v>0</v>
      </c>
      <c r="AH100">
        <f t="shared" si="27"/>
        <v>0</v>
      </c>
      <c r="AI100">
        <f t="shared" si="27"/>
        <v>0</v>
      </c>
      <c r="AJ100">
        <f t="shared" si="27"/>
        <v>0</v>
      </c>
      <c r="AK100">
        <f t="shared" si="27"/>
        <v>0</v>
      </c>
      <c r="AL100">
        <f t="shared" si="27"/>
        <v>0</v>
      </c>
      <c r="AM100">
        <f t="shared" si="27"/>
        <v>0</v>
      </c>
      <c r="AN100">
        <f t="shared" si="26"/>
        <v>0</v>
      </c>
      <c r="AO100">
        <f t="shared" si="26"/>
        <v>0</v>
      </c>
      <c r="AP100">
        <f t="shared" si="26"/>
        <v>0</v>
      </c>
      <c r="AQ100">
        <f t="shared" si="26"/>
        <v>0</v>
      </c>
      <c r="AR100">
        <f t="shared" si="26"/>
        <v>0</v>
      </c>
    </row>
    <row r="101" spans="5:44" x14ac:dyDescent="0.2">
      <c r="E101" s="1">
        <f>moment_rate!$M101</f>
        <v>152.44169858174916</v>
      </c>
      <c r="F101" s="1">
        <f t="shared" si="21"/>
        <v>3.1264480392504765</v>
      </c>
      <c r="G101">
        <f>moment_rate!I101-0.005</f>
        <v>0.94000000000000061</v>
      </c>
      <c r="H101" s="1">
        <f t="shared" si="22"/>
        <v>0</v>
      </c>
      <c r="I101">
        <f t="shared" si="28"/>
        <v>0</v>
      </c>
      <c r="J101">
        <f t="shared" si="28"/>
        <v>0</v>
      </c>
      <c r="K101">
        <f t="shared" si="28"/>
        <v>0</v>
      </c>
      <c r="L101">
        <f t="shared" si="28"/>
        <v>0</v>
      </c>
      <c r="M101">
        <f t="shared" si="28"/>
        <v>0</v>
      </c>
      <c r="N101">
        <f t="shared" si="28"/>
        <v>0</v>
      </c>
      <c r="O101">
        <f t="shared" si="28"/>
        <v>0</v>
      </c>
      <c r="P101">
        <f t="shared" si="28"/>
        <v>0</v>
      </c>
      <c r="Q101">
        <f t="shared" si="28"/>
        <v>0</v>
      </c>
      <c r="R101">
        <f t="shared" si="28"/>
        <v>0</v>
      </c>
      <c r="S101">
        <f t="shared" si="28"/>
        <v>0</v>
      </c>
      <c r="T101">
        <f t="shared" si="28"/>
        <v>0</v>
      </c>
      <c r="U101">
        <f t="shared" si="28"/>
        <v>0</v>
      </c>
      <c r="V101">
        <f t="shared" si="28"/>
        <v>0</v>
      </c>
      <c r="W101">
        <f t="shared" si="28"/>
        <v>0</v>
      </c>
      <c r="X101">
        <f t="shared" si="28"/>
        <v>0</v>
      </c>
      <c r="Y101">
        <f t="shared" si="27"/>
        <v>0</v>
      </c>
      <c r="Z101">
        <f t="shared" si="27"/>
        <v>0</v>
      </c>
      <c r="AA101">
        <f t="shared" si="27"/>
        <v>0</v>
      </c>
      <c r="AB101">
        <f t="shared" si="27"/>
        <v>0</v>
      </c>
      <c r="AC101">
        <f t="shared" si="27"/>
        <v>0</v>
      </c>
      <c r="AD101">
        <f t="shared" si="27"/>
        <v>0</v>
      </c>
      <c r="AE101">
        <f t="shared" si="27"/>
        <v>0</v>
      </c>
      <c r="AF101">
        <f t="shared" si="27"/>
        <v>0</v>
      </c>
      <c r="AG101">
        <f t="shared" si="27"/>
        <v>0</v>
      </c>
      <c r="AH101">
        <f t="shared" si="27"/>
        <v>0</v>
      </c>
      <c r="AI101">
        <f t="shared" si="27"/>
        <v>0</v>
      </c>
      <c r="AJ101">
        <f t="shared" si="27"/>
        <v>0</v>
      </c>
      <c r="AK101">
        <f t="shared" si="27"/>
        <v>0</v>
      </c>
      <c r="AL101">
        <f t="shared" si="27"/>
        <v>0</v>
      </c>
      <c r="AM101">
        <f t="shared" si="27"/>
        <v>0</v>
      </c>
      <c r="AN101">
        <f t="shared" si="26"/>
        <v>0</v>
      </c>
      <c r="AO101">
        <f t="shared" si="26"/>
        <v>0</v>
      </c>
      <c r="AP101">
        <f t="shared" si="26"/>
        <v>0</v>
      </c>
      <c r="AQ101">
        <f t="shared" si="26"/>
        <v>0</v>
      </c>
      <c r="AR101">
        <f t="shared" si="26"/>
        <v>0</v>
      </c>
    </row>
    <row r="102" spans="5:44" x14ac:dyDescent="0.2">
      <c r="E102" s="1">
        <f>moment_rate!$M102</f>
        <v>149.31525054249869</v>
      </c>
      <c r="F102" s="1">
        <f t="shared" si="21"/>
        <v>3.0623245443464953</v>
      </c>
      <c r="G102">
        <f>moment_rate!I102-0.005</f>
        <v>0.95000000000000062</v>
      </c>
      <c r="H102" s="1">
        <f t="shared" si="22"/>
        <v>0</v>
      </c>
      <c r="I102">
        <f t="shared" si="28"/>
        <v>0</v>
      </c>
      <c r="J102">
        <f t="shared" si="28"/>
        <v>0</v>
      </c>
      <c r="K102">
        <f t="shared" si="28"/>
        <v>0</v>
      </c>
      <c r="L102">
        <f t="shared" si="28"/>
        <v>0</v>
      </c>
      <c r="M102">
        <f t="shared" si="28"/>
        <v>0</v>
      </c>
      <c r="N102">
        <f t="shared" si="28"/>
        <v>0</v>
      </c>
      <c r="O102">
        <f t="shared" si="28"/>
        <v>0</v>
      </c>
      <c r="P102">
        <f t="shared" si="28"/>
        <v>0</v>
      </c>
      <c r="Q102">
        <f t="shared" si="28"/>
        <v>0</v>
      </c>
      <c r="R102">
        <f t="shared" si="28"/>
        <v>0</v>
      </c>
      <c r="S102">
        <f t="shared" si="28"/>
        <v>0</v>
      </c>
      <c r="T102">
        <f t="shared" si="28"/>
        <v>0</v>
      </c>
      <c r="U102">
        <f t="shared" si="28"/>
        <v>0</v>
      </c>
      <c r="V102">
        <f t="shared" si="28"/>
        <v>0</v>
      </c>
      <c r="W102">
        <f t="shared" si="28"/>
        <v>0</v>
      </c>
      <c r="X102">
        <f t="shared" si="28"/>
        <v>0</v>
      </c>
      <c r="Y102">
        <f t="shared" si="27"/>
        <v>0</v>
      </c>
      <c r="Z102">
        <f t="shared" si="27"/>
        <v>0</v>
      </c>
      <c r="AA102">
        <f t="shared" si="27"/>
        <v>0</v>
      </c>
      <c r="AB102">
        <f t="shared" si="27"/>
        <v>0</v>
      </c>
      <c r="AC102">
        <f t="shared" si="27"/>
        <v>0</v>
      </c>
      <c r="AD102">
        <f t="shared" si="27"/>
        <v>0</v>
      </c>
      <c r="AE102">
        <f t="shared" si="27"/>
        <v>0</v>
      </c>
      <c r="AF102">
        <f t="shared" si="27"/>
        <v>0</v>
      </c>
      <c r="AG102">
        <f t="shared" si="27"/>
        <v>0</v>
      </c>
      <c r="AH102">
        <f t="shared" si="27"/>
        <v>0</v>
      </c>
      <c r="AI102">
        <f t="shared" si="27"/>
        <v>0</v>
      </c>
      <c r="AJ102">
        <f t="shared" si="27"/>
        <v>0</v>
      </c>
      <c r="AK102">
        <f t="shared" si="27"/>
        <v>0</v>
      </c>
      <c r="AL102">
        <f t="shared" si="27"/>
        <v>0</v>
      </c>
      <c r="AM102">
        <f t="shared" si="27"/>
        <v>0</v>
      </c>
      <c r="AN102">
        <f t="shared" si="26"/>
        <v>0</v>
      </c>
      <c r="AO102">
        <f t="shared" si="26"/>
        <v>0</v>
      </c>
      <c r="AP102">
        <f t="shared" si="26"/>
        <v>0</v>
      </c>
      <c r="AQ102">
        <f t="shared" si="26"/>
        <v>0</v>
      </c>
      <c r="AR102">
        <f t="shared" si="26"/>
        <v>0</v>
      </c>
    </row>
    <row r="103" spans="5:44" x14ac:dyDescent="0.2">
      <c r="E103" s="1">
        <f>moment_rate!$M103</f>
        <v>146.25292599815219</v>
      </c>
      <c r="F103" s="1">
        <f t="shared" si="21"/>
        <v>2.9995162232586665</v>
      </c>
      <c r="G103">
        <f>moment_rate!I103-0.005</f>
        <v>0.96000000000000063</v>
      </c>
      <c r="H103" s="1">
        <f t="shared" si="22"/>
        <v>0</v>
      </c>
      <c r="I103">
        <f t="shared" si="28"/>
        <v>0</v>
      </c>
      <c r="J103">
        <f t="shared" si="28"/>
        <v>0</v>
      </c>
      <c r="K103">
        <f t="shared" si="28"/>
        <v>0</v>
      </c>
      <c r="L103">
        <f t="shared" si="28"/>
        <v>0</v>
      </c>
      <c r="M103">
        <f t="shared" si="28"/>
        <v>0</v>
      </c>
      <c r="N103">
        <f t="shared" si="28"/>
        <v>0</v>
      </c>
      <c r="O103">
        <f t="shared" si="28"/>
        <v>0</v>
      </c>
      <c r="P103">
        <f t="shared" si="28"/>
        <v>0</v>
      </c>
      <c r="Q103">
        <f t="shared" si="28"/>
        <v>0</v>
      </c>
      <c r="R103">
        <f t="shared" si="28"/>
        <v>0</v>
      </c>
      <c r="S103">
        <f t="shared" si="28"/>
        <v>0</v>
      </c>
      <c r="T103">
        <f t="shared" si="28"/>
        <v>0</v>
      </c>
      <c r="U103">
        <f t="shared" si="28"/>
        <v>0</v>
      </c>
      <c r="V103">
        <f t="shared" si="28"/>
        <v>0</v>
      </c>
      <c r="W103">
        <f t="shared" si="28"/>
        <v>0</v>
      </c>
      <c r="X103">
        <f t="shared" si="28"/>
        <v>0</v>
      </c>
      <c r="Y103">
        <f t="shared" si="27"/>
        <v>0</v>
      </c>
      <c r="Z103">
        <f t="shared" si="27"/>
        <v>0</v>
      </c>
      <c r="AA103">
        <f t="shared" si="27"/>
        <v>0</v>
      </c>
      <c r="AB103">
        <f t="shared" si="27"/>
        <v>0</v>
      </c>
      <c r="AC103">
        <f t="shared" si="27"/>
        <v>0</v>
      </c>
      <c r="AD103">
        <f t="shared" si="27"/>
        <v>0</v>
      </c>
      <c r="AE103">
        <f t="shared" si="27"/>
        <v>0</v>
      </c>
      <c r="AF103">
        <f t="shared" si="27"/>
        <v>0</v>
      </c>
      <c r="AG103">
        <f t="shared" si="27"/>
        <v>0</v>
      </c>
      <c r="AH103">
        <f t="shared" si="27"/>
        <v>0</v>
      </c>
      <c r="AI103">
        <f t="shared" si="27"/>
        <v>0</v>
      </c>
      <c r="AJ103">
        <f t="shared" si="27"/>
        <v>0</v>
      </c>
      <c r="AK103">
        <f t="shared" si="27"/>
        <v>0</v>
      </c>
      <c r="AL103">
        <f t="shared" si="27"/>
        <v>0</v>
      </c>
      <c r="AM103">
        <f t="shared" si="27"/>
        <v>0</v>
      </c>
      <c r="AN103">
        <f t="shared" si="26"/>
        <v>0</v>
      </c>
      <c r="AO103">
        <f t="shared" si="26"/>
        <v>0</v>
      </c>
      <c r="AP103">
        <f t="shared" si="26"/>
        <v>0</v>
      </c>
      <c r="AQ103">
        <f t="shared" si="26"/>
        <v>0</v>
      </c>
      <c r="AR103">
        <f t="shared" si="26"/>
        <v>0</v>
      </c>
    </row>
    <row r="104" spans="5:44" x14ac:dyDescent="0.2">
      <c r="E104" s="1">
        <f>moment_rate!$M104</f>
        <v>143.25340977489353</v>
      </c>
      <c r="F104" s="1">
        <f t="shared" si="21"/>
        <v>2.9379961017527876</v>
      </c>
      <c r="G104">
        <f>moment_rate!I104-0.005</f>
        <v>0.97000000000000064</v>
      </c>
      <c r="H104" s="1">
        <f t="shared" si="22"/>
        <v>0</v>
      </c>
      <c r="I104">
        <f t="shared" si="28"/>
        <v>0</v>
      </c>
      <c r="J104">
        <f t="shared" si="28"/>
        <v>0</v>
      </c>
      <c r="K104">
        <f t="shared" si="28"/>
        <v>0</v>
      </c>
      <c r="L104">
        <f t="shared" si="28"/>
        <v>0</v>
      </c>
      <c r="M104">
        <f t="shared" si="28"/>
        <v>0</v>
      </c>
      <c r="N104">
        <f t="shared" si="28"/>
        <v>0</v>
      </c>
      <c r="O104">
        <f t="shared" si="28"/>
        <v>0</v>
      </c>
      <c r="P104">
        <f t="shared" si="28"/>
        <v>0</v>
      </c>
      <c r="Q104">
        <f t="shared" si="28"/>
        <v>0</v>
      </c>
      <c r="R104">
        <f t="shared" si="28"/>
        <v>0</v>
      </c>
      <c r="S104">
        <f t="shared" si="28"/>
        <v>0</v>
      </c>
      <c r="T104">
        <f t="shared" si="28"/>
        <v>0</v>
      </c>
      <c r="U104">
        <f t="shared" si="28"/>
        <v>0</v>
      </c>
      <c r="V104">
        <f t="shared" si="28"/>
        <v>0</v>
      </c>
      <c r="W104">
        <f t="shared" si="28"/>
        <v>0</v>
      </c>
      <c r="X104">
        <f t="shared" si="28"/>
        <v>0</v>
      </c>
      <c r="Y104">
        <f t="shared" si="27"/>
        <v>0</v>
      </c>
      <c r="Z104">
        <f t="shared" si="27"/>
        <v>0</v>
      </c>
      <c r="AA104">
        <f t="shared" si="27"/>
        <v>0</v>
      </c>
      <c r="AB104">
        <f t="shared" si="27"/>
        <v>0</v>
      </c>
      <c r="AC104">
        <f t="shared" si="27"/>
        <v>0</v>
      </c>
      <c r="AD104">
        <f t="shared" si="27"/>
        <v>0</v>
      </c>
      <c r="AE104">
        <f t="shared" si="27"/>
        <v>0</v>
      </c>
      <c r="AF104">
        <f t="shared" si="27"/>
        <v>0</v>
      </c>
      <c r="AG104">
        <f t="shared" si="27"/>
        <v>0</v>
      </c>
      <c r="AH104">
        <f t="shared" si="27"/>
        <v>0</v>
      </c>
      <c r="AI104">
        <f t="shared" si="27"/>
        <v>0</v>
      </c>
      <c r="AJ104">
        <f t="shared" si="27"/>
        <v>0</v>
      </c>
      <c r="AK104">
        <f t="shared" si="27"/>
        <v>0</v>
      </c>
      <c r="AL104">
        <f t="shared" si="27"/>
        <v>0</v>
      </c>
      <c r="AM104">
        <f t="shared" si="27"/>
        <v>0</v>
      </c>
      <c r="AN104">
        <f t="shared" si="26"/>
        <v>0</v>
      </c>
      <c r="AO104">
        <f t="shared" si="26"/>
        <v>0</v>
      </c>
      <c r="AP104">
        <f t="shared" si="26"/>
        <v>0</v>
      </c>
      <c r="AQ104">
        <f t="shared" si="26"/>
        <v>0</v>
      </c>
      <c r="AR104">
        <f t="shared" si="26"/>
        <v>0</v>
      </c>
    </row>
    <row r="105" spans="5:44" x14ac:dyDescent="0.2">
      <c r="E105" s="1">
        <f>moment_rate!$M105</f>
        <v>140.31541367314074</v>
      </c>
      <c r="F105" s="1">
        <f t="shared" si="21"/>
        <v>2.8777377588366448</v>
      </c>
      <c r="G105">
        <f>moment_rate!I105-0.005</f>
        <v>0.98000000000000065</v>
      </c>
      <c r="H105" s="1">
        <f t="shared" si="22"/>
        <v>0</v>
      </c>
      <c r="I105">
        <f t="shared" si="28"/>
        <v>0</v>
      </c>
      <c r="J105">
        <f t="shared" si="28"/>
        <v>0</v>
      </c>
      <c r="K105">
        <f t="shared" si="28"/>
        <v>0</v>
      </c>
      <c r="L105">
        <f t="shared" si="28"/>
        <v>0</v>
      </c>
      <c r="M105">
        <f t="shared" si="28"/>
        <v>0</v>
      </c>
      <c r="N105">
        <f t="shared" si="28"/>
        <v>0</v>
      </c>
      <c r="O105">
        <f t="shared" si="28"/>
        <v>0</v>
      </c>
      <c r="P105">
        <f t="shared" si="28"/>
        <v>0</v>
      </c>
      <c r="Q105">
        <f t="shared" si="28"/>
        <v>0</v>
      </c>
      <c r="R105">
        <f t="shared" si="28"/>
        <v>0</v>
      </c>
      <c r="S105">
        <f t="shared" si="28"/>
        <v>0</v>
      </c>
      <c r="T105">
        <f t="shared" si="28"/>
        <v>0</v>
      </c>
      <c r="U105">
        <f t="shared" si="28"/>
        <v>0</v>
      </c>
      <c r="V105">
        <f t="shared" si="28"/>
        <v>0</v>
      </c>
      <c r="W105">
        <f t="shared" si="28"/>
        <v>0</v>
      </c>
      <c r="X105">
        <f t="shared" si="28"/>
        <v>0</v>
      </c>
      <c r="Y105">
        <f t="shared" si="27"/>
        <v>0</v>
      </c>
      <c r="Z105">
        <f t="shared" si="27"/>
        <v>0</v>
      </c>
      <c r="AA105">
        <f t="shared" si="27"/>
        <v>0</v>
      </c>
      <c r="AB105">
        <f t="shared" si="27"/>
        <v>0</v>
      </c>
      <c r="AC105">
        <f t="shared" si="27"/>
        <v>0</v>
      </c>
      <c r="AD105">
        <f t="shared" si="27"/>
        <v>0</v>
      </c>
      <c r="AE105">
        <f t="shared" si="27"/>
        <v>0</v>
      </c>
      <c r="AF105">
        <f t="shared" si="27"/>
        <v>0</v>
      </c>
      <c r="AG105">
        <f t="shared" si="27"/>
        <v>0</v>
      </c>
      <c r="AH105">
        <f t="shared" si="27"/>
        <v>0</v>
      </c>
      <c r="AI105">
        <f t="shared" si="27"/>
        <v>0</v>
      </c>
      <c r="AJ105">
        <f t="shared" si="27"/>
        <v>0</v>
      </c>
      <c r="AK105">
        <f t="shared" si="27"/>
        <v>0</v>
      </c>
      <c r="AL105">
        <f t="shared" si="27"/>
        <v>0</v>
      </c>
      <c r="AM105">
        <f t="shared" si="27"/>
        <v>0</v>
      </c>
      <c r="AN105">
        <f t="shared" si="26"/>
        <v>0</v>
      </c>
      <c r="AO105">
        <f t="shared" si="26"/>
        <v>0</v>
      </c>
      <c r="AP105">
        <f t="shared" si="26"/>
        <v>0</v>
      </c>
      <c r="AQ105">
        <f t="shared" si="26"/>
        <v>0</v>
      </c>
      <c r="AR105">
        <f t="shared" si="26"/>
        <v>0</v>
      </c>
    </row>
    <row r="106" spans="5:44" x14ac:dyDescent="0.2">
      <c r="E106" s="1">
        <f>moment_rate!$M106</f>
        <v>137.43767591430409</v>
      </c>
      <c r="F106" s="1">
        <f t="shared" si="21"/>
        <v>2.8187153154129874</v>
      </c>
      <c r="G106">
        <f>moment_rate!I106-0.005</f>
        <v>0.99000000000000066</v>
      </c>
      <c r="H106" s="1">
        <f t="shared" si="22"/>
        <v>0</v>
      </c>
      <c r="I106">
        <f t="shared" si="28"/>
        <v>0</v>
      </c>
      <c r="J106">
        <f t="shared" si="28"/>
        <v>0</v>
      </c>
      <c r="K106">
        <f t="shared" si="28"/>
        <v>0</v>
      </c>
      <c r="L106">
        <f t="shared" si="28"/>
        <v>0</v>
      </c>
      <c r="M106">
        <f t="shared" si="28"/>
        <v>0</v>
      </c>
      <c r="N106">
        <f t="shared" si="28"/>
        <v>0</v>
      </c>
      <c r="O106">
        <f t="shared" si="28"/>
        <v>0</v>
      </c>
      <c r="P106">
        <f t="shared" si="28"/>
        <v>0</v>
      </c>
      <c r="Q106">
        <f t="shared" si="28"/>
        <v>0</v>
      </c>
      <c r="R106">
        <f t="shared" si="28"/>
        <v>0</v>
      </c>
      <c r="S106">
        <f t="shared" si="28"/>
        <v>0</v>
      </c>
      <c r="T106">
        <f t="shared" si="28"/>
        <v>0</v>
      </c>
      <c r="U106">
        <f t="shared" si="28"/>
        <v>0</v>
      </c>
      <c r="V106">
        <f t="shared" si="28"/>
        <v>0</v>
      </c>
      <c r="W106">
        <f t="shared" si="28"/>
        <v>0</v>
      </c>
      <c r="X106">
        <f t="shared" si="28"/>
        <v>0</v>
      </c>
      <c r="Y106">
        <f t="shared" si="27"/>
        <v>0</v>
      </c>
      <c r="Z106">
        <f t="shared" si="27"/>
        <v>0</v>
      </c>
      <c r="AA106">
        <f t="shared" si="27"/>
        <v>0</v>
      </c>
      <c r="AB106">
        <f t="shared" si="27"/>
        <v>0</v>
      </c>
      <c r="AC106">
        <f t="shared" si="27"/>
        <v>0</v>
      </c>
      <c r="AD106">
        <f t="shared" si="27"/>
        <v>0</v>
      </c>
      <c r="AE106">
        <f t="shared" si="27"/>
        <v>0</v>
      </c>
      <c r="AF106">
        <f t="shared" si="27"/>
        <v>0</v>
      </c>
      <c r="AG106">
        <f t="shared" si="27"/>
        <v>0</v>
      </c>
      <c r="AH106">
        <f t="shared" si="27"/>
        <v>0</v>
      </c>
      <c r="AI106">
        <f t="shared" si="27"/>
        <v>0</v>
      </c>
      <c r="AJ106">
        <f t="shared" si="27"/>
        <v>0</v>
      </c>
      <c r="AK106">
        <f t="shared" si="27"/>
        <v>0</v>
      </c>
      <c r="AL106">
        <f t="shared" si="27"/>
        <v>0</v>
      </c>
      <c r="AM106">
        <f t="shared" si="27"/>
        <v>0</v>
      </c>
      <c r="AN106">
        <f t="shared" si="26"/>
        <v>0</v>
      </c>
      <c r="AO106">
        <f t="shared" si="26"/>
        <v>0</v>
      </c>
      <c r="AP106">
        <f t="shared" si="26"/>
        <v>0</v>
      </c>
      <c r="AQ106">
        <f t="shared" si="26"/>
        <v>0</v>
      </c>
      <c r="AR106">
        <f t="shared" si="26"/>
        <v>0</v>
      </c>
    </row>
    <row r="107" spans="5:44" x14ac:dyDescent="0.2">
      <c r="E107" s="1">
        <f>moment_rate!$M107</f>
        <v>134.61896059889111</v>
      </c>
      <c r="F107" s="1">
        <f t="shared" si="21"/>
        <v>2.7609034231651322</v>
      </c>
      <c r="G107">
        <f>moment_rate!I107-0.005</f>
        <v>1.0000000000000007</v>
      </c>
      <c r="H107" s="1">
        <f t="shared" si="22"/>
        <v>0</v>
      </c>
      <c r="I107">
        <f t="shared" si="28"/>
        <v>0</v>
      </c>
      <c r="J107">
        <f t="shared" si="28"/>
        <v>0</v>
      </c>
      <c r="K107">
        <f t="shared" si="28"/>
        <v>0</v>
      </c>
      <c r="L107">
        <f t="shared" si="28"/>
        <v>0</v>
      </c>
      <c r="M107">
        <f t="shared" si="28"/>
        <v>0</v>
      </c>
      <c r="N107">
        <f t="shared" si="28"/>
        <v>0</v>
      </c>
      <c r="O107">
        <f t="shared" si="28"/>
        <v>0</v>
      </c>
      <c r="P107">
        <f t="shared" si="28"/>
        <v>0</v>
      </c>
      <c r="Q107">
        <f t="shared" si="28"/>
        <v>0</v>
      </c>
      <c r="R107">
        <f t="shared" si="28"/>
        <v>0</v>
      </c>
      <c r="S107">
        <f t="shared" si="28"/>
        <v>0</v>
      </c>
      <c r="T107">
        <f t="shared" si="28"/>
        <v>0</v>
      </c>
      <c r="U107">
        <f t="shared" si="28"/>
        <v>0</v>
      </c>
      <c r="V107">
        <f t="shared" si="28"/>
        <v>0</v>
      </c>
      <c r="W107">
        <f t="shared" si="28"/>
        <v>0</v>
      </c>
      <c r="X107">
        <f t="shared" si="28"/>
        <v>0</v>
      </c>
      <c r="Y107">
        <f t="shared" si="27"/>
        <v>0</v>
      </c>
      <c r="Z107">
        <f t="shared" si="27"/>
        <v>0</v>
      </c>
      <c r="AA107">
        <f t="shared" si="27"/>
        <v>0</v>
      </c>
      <c r="AB107">
        <f t="shared" si="27"/>
        <v>0</v>
      </c>
      <c r="AC107">
        <f t="shared" si="27"/>
        <v>0</v>
      </c>
      <c r="AD107">
        <f t="shared" si="27"/>
        <v>0</v>
      </c>
      <c r="AE107">
        <f t="shared" si="27"/>
        <v>0</v>
      </c>
      <c r="AF107">
        <f t="shared" si="27"/>
        <v>0</v>
      </c>
      <c r="AG107">
        <f t="shared" si="27"/>
        <v>0</v>
      </c>
      <c r="AH107">
        <f t="shared" si="27"/>
        <v>0</v>
      </c>
      <c r="AI107">
        <f t="shared" si="27"/>
        <v>0</v>
      </c>
      <c r="AJ107">
        <f t="shared" si="27"/>
        <v>0</v>
      </c>
      <c r="AK107">
        <f t="shared" si="27"/>
        <v>0</v>
      </c>
      <c r="AL107">
        <f t="shared" si="27"/>
        <v>0</v>
      </c>
      <c r="AM107">
        <f t="shared" si="27"/>
        <v>0</v>
      </c>
      <c r="AN107">
        <f t="shared" si="26"/>
        <v>0</v>
      </c>
      <c r="AO107">
        <f t="shared" si="26"/>
        <v>0</v>
      </c>
      <c r="AP107">
        <f t="shared" si="26"/>
        <v>0</v>
      </c>
      <c r="AQ107">
        <f t="shared" si="26"/>
        <v>0</v>
      </c>
      <c r="AR107">
        <f t="shared" si="26"/>
        <v>0</v>
      </c>
    </row>
    <row r="108" spans="5:44" x14ac:dyDescent="0.2">
      <c r="E108" s="1">
        <f>moment_rate!$M108</f>
        <v>131.85805717572597</v>
      </c>
      <c r="F108" s="1">
        <f t="shared" si="21"/>
        <v>2.7042772536708242</v>
      </c>
      <c r="G108">
        <f>moment_rate!I108-0.005</f>
        <v>1.0100000000000007</v>
      </c>
      <c r="H108" s="1">
        <f t="shared" si="22"/>
        <v>0</v>
      </c>
      <c r="I108">
        <f t="shared" si="28"/>
        <v>0</v>
      </c>
      <c r="J108">
        <f t="shared" si="28"/>
        <v>0</v>
      </c>
      <c r="K108">
        <f t="shared" si="28"/>
        <v>0</v>
      </c>
      <c r="L108">
        <f t="shared" si="28"/>
        <v>0</v>
      </c>
      <c r="M108">
        <f t="shared" si="28"/>
        <v>0</v>
      </c>
      <c r="N108">
        <f t="shared" si="28"/>
        <v>0</v>
      </c>
      <c r="O108">
        <f t="shared" si="28"/>
        <v>0</v>
      </c>
      <c r="P108">
        <f t="shared" si="28"/>
        <v>0</v>
      </c>
      <c r="Q108">
        <f t="shared" si="28"/>
        <v>0</v>
      </c>
      <c r="R108">
        <f t="shared" si="28"/>
        <v>0</v>
      </c>
      <c r="S108">
        <f t="shared" si="28"/>
        <v>0</v>
      </c>
      <c r="T108">
        <f t="shared" si="28"/>
        <v>0</v>
      </c>
      <c r="U108">
        <f t="shared" si="28"/>
        <v>0</v>
      </c>
      <c r="V108">
        <f t="shared" si="28"/>
        <v>0</v>
      </c>
      <c r="W108">
        <f t="shared" si="28"/>
        <v>0</v>
      </c>
      <c r="X108">
        <f t="shared" si="28"/>
        <v>0</v>
      </c>
      <c r="Y108">
        <f t="shared" si="27"/>
        <v>0</v>
      </c>
      <c r="Z108">
        <f t="shared" si="27"/>
        <v>0</v>
      </c>
      <c r="AA108">
        <f t="shared" si="27"/>
        <v>0</v>
      </c>
      <c r="AB108">
        <f t="shared" si="27"/>
        <v>0</v>
      </c>
      <c r="AC108">
        <f t="shared" si="27"/>
        <v>0</v>
      </c>
      <c r="AD108">
        <f t="shared" si="27"/>
        <v>0</v>
      </c>
      <c r="AE108">
        <f t="shared" si="27"/>
        <v>0</v>
      </c>
      <c r="AF108">
        <f t="shared" si="27"/>
        <v>0</v>
      </c>
      <c r="AG108">
        <f t="shared" si="27"/>
        <v>0</v>
      </c>
      <c r="AH108">
        <f t="shared" si="27"/>
        <v>0</v>
      </c>
      <c r="AI108">
        <f t="shared" si="27"/>
        <v>0</v>
      </c>
      <c r="AJ108">
        <f t="shared" si="27"/>
        <v>0</v>
      </c>
      <c r="AK108">
        <f t="shared" si="27"/>
        <v>0</v>
      </c>
      <c r="AL108">
        <f t="shared" si="27"/>
        <v>0</v>
      </c>
      <c r="AM108">
        <f t="shared" si="27"/>
        <v>0</v>
      </c>
      <c r="AN108">
        <f t="shared" si="26"/>
        <v>0</v>
      </c>
      <c r="AO108">
        <f t="shared" si="26"/>
        <v>0</v>
      </c>
      <c r="AP108">
        <f t="shared" si="26"/>
        <v>0</v>
      </c>
      <c r="AQ108">
        <f t="shared" si="26"/>
        <v>0</v>
      </c>
      <c r="AR108">
        <f t="shared" si="26"/>
        <v>0</v>
      </c>
    </row>
    <row r="109" spans="5:44" x14ac:dyDescent="0.2">
      <c r="E109" s="1">
        <f>moment_rate!$M109</f>
        <v>129.15377992205515</v>
      </c>
      <c r="F109" s="1">
        <f t="shared" si="21"/>
        <v>2.6488124877391215</v>
      </c>
      <c r="G109">
        <f>moment_rate!I109-0.005</f>
        <v>1.0200000000000007</v>
      </c>
      <c r="H109" s="1">
        <f t="shared" si="22"/>
        <v>0</v>
      </c>
      <c r="I109">
        <f t="shared" si="28"/>
        <v>0</v>
      </c>
      <c r="J109">
        <f t="shared" si="28"/>
        <v>0</v>
      </c>
      <c r="K109">
        <f t="shared" si="28"/>
        <v>0</v>
      </c>
      <c r="L109">
        <f t="shared" si="28"/>
        <v>0</v>
      </c>
      <c r="M109">
        <f t="shared" si="28"/>
        <v>0</v>
      </c>
      <c r="N109">
        <f t="shared" si="28"/>
        <v>0</v>
      </c>
      <c r="O109">
        <f t="shared" si="28"/>
        <v>0</v>
      </c>
      <c r="P109">
        <f t="shared" si="28"/>
        <v>0</v>
      </c>
      <c r="Q109">
        <f t="shared" si="28"/>
        <v>0</v>
      </c>
      <c r="R109">
        <f t="shared" si="28"/>
        <v>0</v>
      </c>
      <c r="S109">
        <f t="shared" si="28"/>
        <v>0</v>
      </c>
      <c r="T109">
        <f t="shared" si="28"/>
        <v>0</v>
      </c>
      <c r="U109">
        <f t="shared" si="28"/>
        <v>0</v>
      </c>
      <c r="V109">
        <f t="shared" si="28"/>
        <v>0</v>
      </c>
      <c r="W109">
        <f t="shared" si="28"/>
        <v>0</v>
      </c>
      <c r="X109">
        <f t="shared" si="28"/>
        <v>0</v>
      </c>
      <c r="Y109">
        <f t="shared" si="27"/>
        <v>0</v>
      </c>
      <c r="Z109">
        <f t="shared" si="27"/>
        <v>0</v>
      </c>
      <c r="AA109">
        <f t="shared" si="27"/>
        <v>0</v>
      </c>
      <c r="AB109">
        <f t="shared" si="27"/>
        <v>0</v>
      </c>
      <c r="AC109">
        <f t="shared" si="27"/>
        <v>0</v>
      </c>
      <c r="AD109">
        <f t="shared" si="27"/>
        <v>0</v>
      </c>
      <c r="AE109">
        <f t="shared" si="27"/>
        <v>0</v>
      </c>
      <c r="AF109">
        <f t="shared" si="27"/>
        <v>0</v>
      </c>
      <c r="AG109">
        <f t="shared" si="27"/>
        <v>0</v>
      </c>
      <c r="AH109">
        <f t="shared" si="27"/>
        <v>0</v>
      </c>
      <c r="AI109">
        <f t="shared" si="27"/>
        <v>0</v>
      </c>
      <c r="AJ109">
        <f t="shared" si="27"/>
        <v>0</v>
      </c>
      <c r="AK109">
        <f t="shared" si="27"/>
        <v>0</v>
      </c>
      <c r="AL109">
        <f t="shared" si="27"/>
        <v>0</v>
      </c>
      <c r="AM109">
        <f t="shared" si="27"/>
        <v>0</v>
      </c>
      <c r="AN109">
        <f t="shared" si="26"/>
        <v>0</v>
      </c>
      <c r="AO109">
        <f t="shared" si="26"/>
        <v>0</v>
      </c>
      <c r="AP109">
        <f t="shared" si="26"/>
        <v>0</v>
      </c>
      <c r="AQ109">
        <f t="shared" si="26"/>
        <v>0</v>
      </c>
      <c r="AR109">
        <f t="shared" si="26"/>
        <v>0</v>
      </c>
    </row>
    <row r="110" spans="5:44" x14ac:dyDescent="0.2">
      <c r="E110" s="1">
        <f>moment_rate!$M110</f>
        <v>126.50496743431603</v>
      </c>
      <c r="F110" s="1">
        <f t="shared" si="21"/>
        <v>2.5944853049659713</v>
      </c>
      <c r="G110">
        <f>moment_rate!I110-0.005</f>
        <v>1.0300000000000007</v>
      </c>
      <c r="H110" s="1">
        <f t="shared" si="22"/>
        <v>0</v>
      </c>
      <c r="I110">
        <f t="shared" si="28"/>
        <v>0</v>
      </c>
      <c r="J110">
        <f t="shared" si="28"/>
        <v>0</v>
      </c>
      <c r="K110">
        <f t="shared" si="28"/>
        <v>0</v>
      </c>
      <c r="L110">
        <f t="shared" si="28"/>
        <v>0</v>
      </c>
      <c r="M110">
        <f t="shared" si="28"/>
        <v>0</v>
      </c>
      <c r="N110">
        <f t="shared" si="28"/>
        <v>0</v>
      </c>
      <c r="O110">
        <f t="shared" si="28"/>
        <v>0</v>
      </c>
      <c r="P110">
        <f t="shared" si="28"/>
        <v>0</v>
      </c>
      <c r="Q110">
        <f t="shared" si="28"/>
        <v>0</v>
      </c>
      <c r="R110">
        <f t="shared" si="28"/>
        <v>0</v>
      </c>
      <c r="S110">
        <f t="shared" si="28"/>
        <v>0</v>
      </c>
      <c r="T110">
        <f t="shared" si="28"/>
        <v>0</v>
      </c>
      <c r="U110">
        <f t="shared" si="28"/>
        <v>0</v>
      </c>
      <c r="V110">
        <f t="shared" si="28"/>
        <v>0</v>
      </c>
      <c r="W110">
        <f t="shared" si="28"/>
        <v>0</v>
      </c>
      <c r="X110">
        <f t="shared" ref="X110:AM125" si="29">IF(AND($G110&gt;=X$3,$G110&lt;X$4),$F110,0)</f>
        <v>0</v>
      </c>
      <c r="Y110">
        <f t="shared" si="29"/>
        <v>0</v>
      </c>
      <c r="Z110">
        <f t="shared" si="29"/>
        <v>0</v>
      </c>
      <c r="AA110">
        <f t="shared" si="29"/>
        <v>0</v>
      </c>
      <c r="AB110">
        <f t="shared" si="29"/>
        <v>0</v>
      </c>
      <c r="AC110">
        <f t="shared" si="29"/>
        <v>0</v>
      </c>
      <c r="AD110">
        <f t="shared" si="29"/>
        <v>0</v>
      </c>
      <c r="AE110">
        <f t="shared" si="29"/>
        <v>0</v>
      </c>
      <c r="AF110">
        <f t="shared" si="29"/>
        <v>0</v>
      </c>
      <c r="AG110">
        <f t="shared" si="29"/>
        <v>0</v>
      </c>
      <c r="AH110">
        <f t="shared" si="29"/>
        <v>0</v>
      </c>
      <c r="AI110">
        <f t="shared" si="29"/>
        <v>0</v>
      </c>
      <c r="AJ110">
        <f t="shared" si="29"/>
        <v>0</v>
      </c>
      <c r="AK110">
        <f t="shared" si="29"/>
        <v>0</v>
      </c>
      <c r="AL110">
        <f t="shared" si="29"/>
        <v>0</v>
      </c>
      <c r="AM110">
        <f t="shared" si="29"/>
        <v>0</v>
      </c>
      <c r="AN110">
        <f t="shared" si="26"/>
        <v>0</v>
      </c>
      <c r="AO110">
        <f t="shared" si="26"/>
        <v>0</v>
      </c>
      <c r="AP110">
        <f t="shared" si="26"/>
        <v>0</v>
      </c>
      <c r="AQ110">
        <f t="shared" si="26"/>
        <v>0</v>
      </c>
      <c r="AR110">
        <f t="shared" si="26"/>
        <v>0</v>
      </c>
    </row>
    <row r="111" spans="5:44" x14ac:dyDescent="0.2">
      <c r="E111" s="1">
        <f>moment_rate!$M111</f>
        <v>123.91048212935006</v>
      </c>
      <c r="F111" s="1">
        <f t="shared" si="21"/>
        <v>2.5412723735041993</v>
      </c>
      <c r="G111">
        <f>moment_rate!I111-0.005</f>
        <v>1.0400000000000007</v>
      </c>
      <c r="H111" s="1">
        <f t="shared" si="22"/>
        <v>0</v>
      </c>
      <c r="I111">
        <f t="shared" ref="I111:X126" si="30">IF(AND($G111&gt;=I$3,$G111&lt;I$4),$F111,0)</f>
        <v>0</v>
      </c>
      <c r="J111">
        <f t="shared" si="30"/>
        <v>0</v>
      </c>
      <c r="K111">
        <f t="shared" si="30"/>
        <v>0</v>
      </c>
      <c r="L111">
        <f t="shared" si="30"/>
        <v>0</v>
      </c>
      <c r="M111">
        <f t="shared" si="30"/>
        <v>0</v>
      </c>
      <c r="N111">
        <f t="shared" si="30"/>
        <v>0</v>
      </c>
      <c r="O111">
        <f t="shared" si="30"/>
        <v>0</v>
      </c>
      <c r="P111">
        <f t="shared" si="30"/>
        <v>0</v>
      </c>
      <c r="Q111">
        <f t="shared" si="30"/>
        <v>0</v>
      </c>
      <c r="R111">
        <f t="shared" si="30"/>
        <v>0</v>
      </c>
      <c r="S111">
        <f t="shared" si="30"/>
        <v>0</v>
      </c>
      <c r="T111">
        <f t="shared" si="30"/>
        <v>0</v>
      </c>
      <c r="U111">
        <f t="shared" si="30"/>
        <v>0</v>
      </c>
      <c r="V111">
        <f t="shared" si="30"/>
        <v>0</v>
      </c>
      <c r="W111">
        <f t="shared" si="30"/>
        <v>0</v>
      </c>
      <c r="X111">
        <f t="shared" si="30"/>
        <v>0</v>
      </c>
      <c r="Y111">
        <f t="shared" si="29"/>
        <v>0</v>
      </c>
      <c r="Z111">
        <f t="shared" si="29"/>
        <v>0</v>
      </c>
      <c r="AA111">
        <f t="shared" si="29"/>
        <v>0</v>
      </c>
      <c r="AB111">
        <f t="shared" si="29"/>
        <v>0</v>
      </c>
      <c r="AC111">
        <f t="shared" si="29"/>
        <v>0</v>
      </c>
      <c r="AD111">
        <f t="shared" si="29"/>
        <v>0</v>
      </c>
      <c r="AE111">
        <f t="shared" si="29"/>
        <v>0</v>
      </c>
      <c r="AF111">
        <f t="shared" si="29"/>
        <v>0</v>
      </c>
      <c r="AG111">
        <f t="shared" si="29"/>
        <v>0</v>
      </c>
      <c r="AH111">
        <f t="shared" si="29"/>
        <v>0</v>
      </c>
      <c r="AI111">
        <f t="shared" si="29"/>
        <v>0</v>
      </c>
      <c r="AJ111">
        <f t="shared" si="29"/>
        <v>0</v>
      </c>
      <c r="AK111">
        <f t="shared" si="29"/>
        <v>0</v>
      </c>
      <c r="AL111">
        <f t="shared" si="29"/>
        <v>0</v>
      </c>
      <c r="AM111">
        <f t="shared" si="29"/>
        <v>0</v>
      </c>
      <c r="AN111">
        <f t="shared" si="26"/>
        <v>0</v>
      </c>
      <c r="AO111">
        <f t="shared" si="26"/>
        <v>0</v>
      </c>
      <c r="AP111">
        <f t="shared" si="26"/>
        <v>0</v>
      </c>
      <c r="AQ111">
        <f t="shared" si="26"/>
        <v>0</v>
      </c>
      <c r="AR111">
        <f t="shared" si="26"/>
        <v>0</v>
      </c>
    </row>
    <row r="112" spans="5:44" x14ac:dyDescent="0.2">
      <c r="E112" s="1">
        <f>moment_rate!$M112</f>
        <v>121.36920975584586</v>
      </c>
      <c r="F112" s="1">
        <f t="shared" si="21"/>
        <v>2.4891508400431803</v>
      </c>
      <c r="G112">
        <f>moment_rate!I112-0.005</f>
        <v>1.0500000000000007</v>
      </c>
      <c r="H112" s="1">
        <f t="shared" si="22"/>
        <v>0</v>
      </c>
      <c r="I112">
        <f t="shared" si="30"/>
        <v>0</v>
      </c>
      <c r="J112">
        <f t="shared" si="30"/>
        <v>0</v>
      </c>
      <c r="K112">
        <f t="shared" si="30"/>
        <v>0</v>
      </c>
      <c r="L112">
        <f t="shared" si="30"/>
        <v>0</v>
      </c>
      <c r="M112">
        <f t="shared" si="30"/>
        <v>0</v>
      </c>
      <c r="N112">
        <f t="shared" si="30"/>
        <v>0</v>
      </c>
      <c r="O112">
        <f t="shared" si="30"/>
        <v>0</v>
      </c>
      <c r="P112">
        <f t="shared" si="30"/>
        <v>0</v>
      </c>
      <c r="Q112">
        <f t="shared" si="30"/>
        <v>0</v>
      </c>
      <c r="R112">
        <f t="shared" si="30"/>
        <v>0</v>
      </c>
      <c r="S112">
        <f t="shared" si="30"/>
        <v>0</v>
      </c>
      <c r="T112">
        <f t="shared" si="30"/>
        <v>0</v>
      </c>
      <c r="U112">
        <f t="shared" si="30"/>
        <v>0</v>
      </c>
      <c r="V112">
        <f t="shared" si="30"/>
        <v>0</v>
      </c>
      <c r="W112">
        <f t="shared" si="30"/>
        <v>0</v>
      </c>
      <c r="X112">
        <f t="shared" si="30"/>
        <v>0</v>
      </c>
      <c r="Y112">
        <f t="shared" si="29"/>
        <v>0</v>
      </c>
      <c r="Z112">
        <f t="shared" si="29"/>
        <v>0</v>
      </c>
      <c r="AA112">
        <f t="shared" si="29"/>
        <v>0</v>
      </c>
      <c r="AB112">
        <f t="shared" si="29"/>
        <v>0</v>
      </c>
      <c r="AC112">
        <f t="shared" si="29"/>
        <v>0</v>
      </c>
      <c r="AD112">
        <f t="shared" si="29"/>
        <v>0</v>
      </c>
      <c r="AE112">
        <f t="shared" si="29"/>
        <v>0</v>
      </c>
      <c r="AF112">
        <f t="shared" si="29"/>
        <v>0</v>
      </c>
      <c r="AG112">
        <f t="shared" si="29"/>
        <v>0</v>
      </c>
      <c r="AH112">
        <f t="shared" si="29"/>
        <v>0</v>
      </c>
      <c r="AI112">
        <f t="shared" si="29"/>
        <v>0</v>
      </c>
      <c r="AJ112">
        <f t="shared" si="29"/>
        <v>0</v>
      </c>
      <c r="AK112">
        <f t="shared" si="29"/>
        <v>0</v>
      </c>
      <c r="AL112">
        <f t="shared" si="29"/>
        <v>0</v>
      </c>
      <c r="AM112">
        <f t="shared" si="29"/>
        <v>0</v>
      </c>
      <c r="AN112">
        <f t="shared" si="26"/>
        <v>0</v>
      </c>
      <c r="AO112">
        <f t="shared" si="26"/>
        <v>0</v>
      </c>
      <c r="AP112">
        <f t="shared" si="26"/>
        <v>0</v>
      </c>
      <c r="AQ112">
        <f t="shared" si="26"/>
        <v>0</v>
      </c>
      <c r="AR112">
        <f t="shared" si="26"/>
        <v>0</v>
      </c>
    </row>
    <row r="113" spans="5:44" x14ac:dyDescent="0.2">
      <c r="E113" s="1">
        <f>moment_rate!$M113</f>
        <v>118.88005891580268</v>
      </c>
      <c r="F113" s="1">
        <f t="shared" si="21"/>
        <v>2.4380983199939266</v>
      </c>
      <c r="G113">
        <f>moment_rate!I113-0.005</f>
        <v>1.0600000000000007</v>
      </c>
      <c r="H113" s="1">
        <f t="shared" si="22"/>
        <v>0</v>
      </c>
      <c r="I113">
        <f t="shared" si="30"/>
        <v>0</v>
      </c>
      <c r="J113">
        <f t="shared" si="30"/>
        <v>0</v>
      </c>
      <c r="K113">
        <f t="shared" si="30"/>
        <v>0</v>
      </c>
      <c r="L113">
        <f t="shared" si="30"/>
        <v>0</v>
      </c>
      <c r="M113">
        <f t="shared" si="30"/>
        <v>0</v>
      </c>
      <c r="N113">
        <f t="shared" si="30"/>
        <v>0</v>
      </c>
      <c r="O113">
        <f t="shared" si="30"/>
        <v>0</v>
      </c>
      <c r="P113">
        <f t="shared" si="30"/>
        <v>0</v>
      </c>
      <c r="Q113">
        <f t="shared" si="30"/>
        <v>0</v>
      </c>
      <c r="R113">
        <f t="shared" si="30"/>
        <v>0</v>
      </c>
      <c r="S113">
        <f t="shared" si="30"/>
        <v>0</v>
      </c>
      <c r="T113">
        <f t="shared" si="30"/>
        <v>0</v>
      </c>
      <c r="U113">
        <f t="shared" si="30"/>
        <v>0</v>
      </c>
      <c r="V113">
        <f t="shared" si="30"/>
        <v>0</v>
      </c>
      <c r="W113">
        <f t="shared" si="30"/>
        <v>0</v>
      </c>
      <c r="X113">
        <f t="shared" si="30"/>
        <v>0</v>
      </c>
      <c r="Y113">
        <f t="shared" si="29"/>
        <v>0</v>
      </c>
      <c r="Z113">
        <f t="shared" si="29"/>
        <v>0</v>
      </c>
      <c r="AA113">
        <f t="shared" si="29"/>
        <v>0</v>
      </c>
      <c r="AB113">
        <f t="shared" si="29"/>
        <v>0</v>
      </c>
      <c r="AC113">
        <f t="shared" si="29"/>
        <v>0</v>
      </c>
      <c r="AD113">
        <f t="shared" si="29"/>
        <v>0</v>
      </c>
      <c r="AE113">
        <f t="shared" si="29"/>
        <v>0</v>
      </c>
      <c r="AF113">
        <f t="shared" si="29"/>
        <v>0</v>
      </c>
      <c r="AG113">
        <f t="shared" si="29"/>
        <v>0</v>
      </c>
      <c r="AH113">
        <f t="shared" si="29"/>
        <v>0</v>
      </c>
      <c r="AI113">
        <f t="shared" si="29"/>
        <v>0</v>
      </c>
      <c r="AJ113">
        <f t="shared" si="29"/>
        <v>0</v>
      </c>
      <c r="AK113">
        <f t="shared" si="29"/>
        <v>0</v>
      </c>
      <c r="AL113">
        <f t="shared" si="29"/>
        <v>0</v>
      </c>
      <c r="AM113">
        <f t="shared" si="29"/>
        <v>0</v>
      </c>
      <c r="AN113">
        <f t="shared" si="26"/>
        <v>0</v>
      </c>
      <c r="AO113">
        <f t="shared" si="26"/>
        <v>0</v>
      </c>
      <c r="AP113">
        <f t="shared" si="26"/>
        <v>0</v>
      </c>
      <c r="AQ113">
        <f t="shared" si="26"/>
        <v>0</v>
      </c>
      <c r="AR113">
        <f t="shared" si="26"/>
        <v>0</v>
      </c>
    </row>
    <row r="114" spans="5:44" x14ac:dyDescent="0.2">
      <c r="E114" s="1">
        <f>moment_rate!$M114</f>
        <v>116.44196059580875</v>
      </c>
      <c r="F114" s="1">
        <f t="shared" si="21"/>
        <v>2.3880928878758141</v>
      </c>
      <c r="G114">
        <f>moment_rate!I114-0.005</f>
        <v>1.0700000000000007</v>
      </c>
      <c r="H114" s="1">
        <f t="shared" si="22"/>
        <v>0</v>
      </c>
      <c r="I114">
        <f t="shared" si="30"/>
        <v>0</v>
      </c>
      <c r="J114">
        <f t="shared" si="30"/>
        <v>0</v>
      </c>
      <c r="K114">
        <f t="shared" si="30"/>
        <v>0</v>
      </c>
      <c r="L114">
        <f t="shared" si="30"/>
        <v>0</v>
      </c>
      <c r="M114">
        <f t="shared" si="30"/>
        <v>0</v>
      </c>
      <c r="N114">
        <f t="shared" si="30"/>
        <v>0</v>
      </c>
      <c r="O114">
        <f t="shared" si="30"/>
        <v>0</v>
      </c>
      <c r="P114">
        <f t="shared" si="30"/>
        <v>0</v>
      </c>
      <c r="Q114">
        <f t="shared" si="30"/>
        <v>0</v>
      </c>
      <c r="R114">
        <f t="shared" si="30"/>
        <v>0</v>
      </c>
      <c r="S114">
        <f t="shared" si="30"/>
        <v>0</v>
      </c>
      <c r="T114">
        <f t="shared" si="30"/>
        <v>0</v>
      </c>
      <c r="U114">
        <f t="shared" si="30"/>
        <v>0</v>
      </c>
      <c r="V114">
        <f t="shared" si="30"/>
        <v>0</v>
      </c>
      <c r="W114">
        <f t="shared" si="30"/>
        <v>0</v>
      </c>
      <c r="X114">
        <f t="shared" si="30"/>
        <v>0</v>
      </c>
      <c r="Y114">
        <f t="shared" si="29"/>
        <v>0</v>
      </c>
      <c r="Z114">
        <f t="shared" si="29"/>
        <v>0</v>
      </c>
      <c r="AA114">
        <f t="shared" si="29"/>
        <v>0</v>
      </c>
      <c r="AB114">
        <f t="shared" si="29"/>
        <v>0</v>
      </c>
      <c r="AC114">
        <f t="shared" si="29"/>
        <v>0</v>
      </c>
      <c r="AD114">
        <f t="shared" si="29"/>
        <v>0</v>
      </c>
      <c r="AE114">
        <f t="shared" si="29"/>
        <v>0</v>
      </c>
      <c r="AF114">
        <f t="shared" si="29"/>
        <v>0</v>
      </c>
      <c r="AG114">
        <f t="shared" si="29"/>
        <v>0</v>
      </c>
      <c r="AH114">
        <f t="shared" si="29"/>
        <v>0</v>
      </c>
      <c r="AI114">
        <f t="shared" si="29"/>
        <v>0</v>
      </c>
      <c r="AJ114">
        <f t="shared" si="29"/>
        <v>0</v>
      </c>
      <c r="AK114">
        <f t="shared" si="29"/>
        <v>0</v>
      </c>
      <c r="AL114">
        <f t="shared" si="29"/>
        <v>0</v>
      </c>
      <c r="AM114">
        <f t="shared" si="29"/>
        <v>0</v>
      </c>
      <c r="AN114">
        <f t="shared" si="26"/>
        <v>0</v>
      </c>
      <c r="AO114">
        <f t="shared" si="26"/>
        <v>0</v>
      </c>
      <c r="AP114">
        <f t="shared" si="26"/>
        <v>0</v>
      </c>
      <c r="AQ114">
        <f t="shared" si="26"/>
        <v>0</v>
      </c>
      <c r="AR114">
        <f t="shared" si="26"/>
        <v>0</v>
      </c>
    </row>
    <row r="115" spans="5:44" x14ac:dyDescent="0.2">
      <c r="E115" s="1">
        <f>moment_rate!$M115</f>
        <v>114.05386770793294</v>
      </c>
      <c r="F115" s="1">
        <f t="shared" si="21"/>
        <v>2.3391130679001009</v>
      </c>
      <c r="G115">
        <f>moment_rate!I115-0.005</f>
        <v>1.0800000000000007</v>
      </c>
      <c r="H115" s="1">
        <f t="shared" si="22"/>
        <v>0</v>
      </c>
      <c r="I115">
        <f t="shared" si="30"/>
        <v>0</v>
      </c>
      <c r="J115">
        <f t="shared" si="30"/>
        <v>0</v>
      </c>
      <c r="K115">
        <f t="shared" si="30"/>
        <v>0</v>
      </c>
      <c r="L115">
        <f t="shared" si="30"/>
        <v>0</v>
      </c>
      <c r="M115">
        <f t="shared" si="30"/>
        <v>0</v>
      </c>
      <c r="N115">
        <f t="shared" si="30"/>
        <v>0</v>
      </c>
      <c r="O115">
        <f t="shared" si="30"/>
        <v>0</v>
      </c>
      <c r="P115">
        <f t="shared" si="30"/>
        <v>0</v>
      </c>
      <c r="Q115">
        <f t="shared" si="30"/>
        <v>0</v>
      </c>
      <c r="R115">
        <f t="shared" si="30"/>
        <v>0</v>
      </c>
      <c r="S115">
        <f t="shared" si="30"/>
        <v>0</v>
      </c>
      <c r="T115">
        <f t="shared" si="30"/>
        <v>0</v>
      </c>
      <c r="U115">
        <f t="shared" si="30"/>
        <v>0</v>
      </c>
      <c r="V115">
        <f t="shared" si="30"/>
        <v>0</v>
      </c>
      <c r="W115">
        <f t="shared" si="30"/>
        <v>0</v>
      </c>
      <c r="X115">
        <f t="shared" si="30"/>
        <v>0</v>
      </c>
      <c r="Y115">
        <f t="shared" si="29"/>
        <v>0</v>
      </c>
      <c r="Z115">
        <f t="shared" si="29"/>
        <v>0</v>
      </c>
      <c r="AA115">
        <f t="shared" si="29"/>
        <v>0</v>
      </c>
      <c r="AB115">
        <f t="shared" si="29"/>
        <v>0</v>
      </c>
      <c r="AC115">
        <f t="shared" si="29"/>
        <v>0</v>
      </c>
      <c r="AD115">
        <f t="shared" si="29"/>
        <v>0</v>
      </c>
      <c r="AE115">
        <f t="shared" si="29"/>
        <v>0</v>
      </c>
      <c r="AF115">
        <f t="shared" si="29"/>
        <v>0</v>
      </c>
      <c r="AG115">
        <f t="shared" si="29"/>
        <v>0</v>
      </c>
      <c r="AH115">
        <f t="shared" si="29"/>
        <v>0</v>
      </c>
      <c r="AI115">
        <f t="shared" si="29"/>
        <v>0</v>
      </c>
      <c r="AJ115">
        <f t="shared" si="29"/>
        <v>0</v>
      </c>
      <c r="AK115">
        <f t="shared" si="29"/>
        <v>0</v>
      </c>
      <c r="AL115">
        <f t="shared" si="29"/>
        <v>0</v>
      </c>
      <c r="AM115">
        <f t="shared" si="29"/>
        <v>0</v>
      </c>
      <c r="AN115">
        <f t="shared" si="26"/>
        <v>0</v>
      </c>
      <c r="AO115">
        <f t="shared" si="26"/>
        <v>0</v>
      </c>
      <c r="AP115">
        <f t="shared" si="26"/>
        <v>0</v>
      </c>
      <c r="AQ115">
        <f t="shared" si="26"/>
        <v>0</v>
      </c>
      <c r="AR115">
        <f t="shared" si="26"/>
        <v>0</v>
      </c>
    </row>
    <row r="116" spans="5:44" x14ac:dyDescent="0.2">
      <c r="E116" s="1">
        <f>moment_rate!$M116</f>
        <v>111.71475464003284</v>
      </c>
      <c r="F116" s="1">
        <f t="shared" si="21"/>
        <v>2.2911378247467695</v>
      </c>
      <c r="G116">
        <f>moment_rate!I116-0.005</f>
        <v>1.0900000000000007</v>
      </c>
      <c r="H116" s="1">
        <f t="shared" si="22"/>
        <v>0</v>
      </c>
      <c r="I116">
        <f t="shared" si="30"/>
        <v>0</v>
      </c>
      <c r="J116">
        <f t="shared" si="30"/>
        <v>0</v>
      </c>
      <c r="K116">
        <f t="shared" si="30"/>
        <v>0</v>
      </c>
      <c r="L116">
        <f t="shared" si="30"/>
        <v>0</v>
      </c>
      <c r="M116">
        <f t="shared" si="30"/>
        <v>0</v>
      </c>
      <c r="N116">
        <f t="shared" si="30"/>
        <v>0</v>
      </c>
      <c r="O116">
        <f t="shared" si="30"/>
        <v>0</v>
      </c>
      <c r="P116">
        <f t="shared" si="30"/>
        <v>0</v>
      </c>
      <c r="Q116">
        <f t="shared" si="30"/>
        <v>0</v>
      </c>
      <c r="R116">
        <f t="shared" si="30"/>
        <v>0</v>
      </c>
      <c r="S116">
        <f t="shared" si="30"/>
        <v>0</v>
      </c>
      <c r="T116">
        <f t="shared" si="30"/>
        <v>0</v>
      </c>
      <c r="U116">
        <f t="shared" si="30"/>
        <v>0</v>
      </c>
      <c r="V116">
        <f t="shared" si="30"/>
        <v>0</v>
      </c>
      <c r="W116">
        <f t="shared" si="30"/>
        <v>0</v>
      </c>
      <c r="X116">
        <f t="shared" si="30"/>
        <v>0</v>
      </c>
      <c r="Y116">
        <f t="shared" si="29"/>
        <v>0</v>
      </c>
      <c r="Z116">
        <f t="shared" si="29"/>
        <v>0</v>
      </c>
      <c r="AA116">
        <f t="shared" si="29"/>
        <v>0</v>
      </c>
      <c r="AB116">
        <f t="shared" si="29"/>
        <v>0</v>
      </c>
      <c r="AC116">
        <f t="shared" si="29"/>
        <v>0</v>
      </c>
      <c r="AD116">
        <f t="shared" si="29"/>
        <v>0</v>
      </c>
      <c r="AE116">
        <f t="shared" si="29"/>
        <v>0</v>
      </c>
      <c r="AF116">
        <f t="shared" si="29"/>
        <v>0</v>
      </c>
      <c r="AG116">
        <f t="shared" si="29"/>
        <v>0</v>
      </c>
      <c r="AH116">
        <f t="shared" si="29"/>
        <v>0</v>
      </c>
      <c r="AI116">
        <f t="shared" si="29"/>
        <v>0</v>
      </c>
      <c r="AJ116">
        <f t="shared" si="29"/>
        <v>0</v>
      </c>
      <c r="AK116">
        <f t="shared" si="29"/>
        <v>0</v>
      </c>
      <c r="AL116">
        <f t="shared" si="29"/>
        <v>0</v>
      </c>
      <c r="AM116">
        <f t="shared" si="29"/>
        <v>0</v>
      </c>
      <c r="AN116">
        <f t="shared" si="26"/>
        <v>0</v>
      </c>
      <c r="AO116">
        <f t="shared" si="26"/>
        <v>0</v>
      </c>
      <c r="AP116">
        <f t="shared" si="26"/>
        <v>0</v>
      </c>
      <c r="AQ116">
        <f t="shared" si="26"/>
        <v>0</v>
      </c>
      <c r="AR116">
        <f t="shared" si="26"/>
        <v>0</v>
      </c>
    </row>
    <row r="117" spans="5:44" x14ac:dyDescent="0.2">
      <c r="E117" s="1">
        <f>moment_rate!$M117</f>
        <v>109.42361681528607</v>
      </c>
      <c r="F117" s="1">
        <f t="shared" si="21"/>
        <v>2.2441465545305448</v>
      </c>
      <c r="G117">
        <f>moment_rate!I117-0.005</f>
        <v>1.1000000000000008</v>
      </c>
      <c r="H117" s="1">
        <f t="shared" si="22"/>
        <v>0</v>
      </c>
      <c r="I117">
        <f t="shared" si="30"/>
        <v>0</v>
      </c>
      <c r="J117">
        <f t="shared" si="30"/>
        <v>0</v>
      </c>
      <c r="K117">
        <f t="shared" si="30"/>
        <v>0</v>
      </c>
      <c r="L117">
        <f t="shared" si="30"/>
        <v>0</v>
      </c>
      <c r="M117">
        <f t="shared" si="30"/>
        <v>0</v>
      </c>
      <c r="N117">
        <f t="shared" si="30"/>
        <v>0</v>
      </c>
      <c r="O117">
        <f t="shared" si="30"/>
        <v>0</v>
      </c>
      <c r="P117">
        <f t="shared" si="30"/>
        <v>0</v>
      </c>
      <c r="Q117">
        <f t="shared" si="30"/>
        <v>0</v>
      </c>
      <c r="R117">
        <f t="shared" si="30"/>
        <v>0</v>
      </c>
      <c r="S117">
        <f t="shared" si="30"/>
        <v>0</v>
      </c>
      <c r="T117">
        <f t="shared" si="30"/>
        <v>0</v>
      </c>
      <c r="U117">
        <f t="shared" si="30"/>
        <v>0</v>
      </c>
      <c r="V117">
        <f t="shared" si="30"/>
        <v>0</v>
      </c>
      <c r="W117">
        <f t="shared" si="30"/>
        <v>0</v>
      </c>
      <c r="X117">
        <f t="shared" si="30"/>
        <v>0</v>
      </c>
      <c r="Y117">
        <f t="shared" si="29"/>
        <v>0</v>
      </c>
      <c r="Z117">
        <f t="shared" si="29"/>
        <v>0</v>
      </c>
      <c r="AA117">
        <f t="shared" si="29"/>
        <v>0</v>
      </c>
      <c r="AB117">
        <f t="shared" si="29"/>
        <v>0</v>
      </c>
      <c r="AC117">
        <f t="shared" si="29"/>
        <v>0</v>
      </c>
      <c r="AD117">
        <f t="shared" si="29"/>
        <v>0</v>
      </c>
      <c r="AE117">
        <f t="shared" si="29"/>
        <v>0</v>
      </c>
      <c r="AF117">
        <f t="shared" si="29"/>
        <v>0</v>
      </c>
      <c r="AG117">
        <f t="shared" si="29"/>
        <v>0</v>
      </c>
      <c r="AH117">
        <f t="shared" si="29"/>
        <v>0</v>
      </c>
      <c r="AI117">
        <f t="shared" si="29"/>
        <v>0</v>
      </c>
      <c r="AJ117">
        <f t="shared" si="29"/>
        <v>0</v>
      </c>
      <c r="AK117">
        <f t="shared" si="29"/>
        <v>0</v>
      </c>
      <c r="AL117">
        <f t="shared" si="29"/>
        <v>0</v>
      </c>
      <c r="AM117">
        <f t="shared" si="29"/>
        <v>0</v>
      </c>
      <c r="AN117">
        <f t="shared" si="26"/>
        <v>0</v>
      </c>
      <c r="AO117">
        <f t="shared" si="26"/>
        <v>0</v>
      </c>
      <c r="AP117">
        <f t="shared" si="26"/>
        <v>0</v>
      </c>
      <c r="AQ117">
        <f t="shared" si="26"/>
        <v>0</v>
      </c>
      <c r="AR117">
        <f t="shared" si="26"/>
        <v>0</v>
      </c>
    </row>
    <row r="118" spans="5:44" x14ac:dyDescent="0.2">
      <c r="E118" s="1">
        <f>moment_rate!$M118</f>
        <v>107.17947026075552</v>
      </c>
      <c r="F118" s="1">
        <f t="shared" si="21"/>
        <v>2.198119075952107</v>
      </c>
      <c r="G118">
        <f>moment_rate!I118-0.005</f>
        <v>1.1100000000000008</v>
      </c>
      <c r="H118" s="1">
        <f t="shared" si="22"/>
        <v>0</v>
      </c>
      <c r="I118">
        <f t="shared" si="30"/>
        <v>0</v>
      </c>
      <c r="J118">
        <f t="shared" si="30"/>
        <v>0</v>
      </c>
      <c r="K118">
        <f t="shared" si="30"/>
        <v>0</v>
      </c>
      <c r="L118">
        <f t="shared" si="30"/>
        <v>0</v>
      </c>
      <c r="M118">
        <f t="shared" si="30"/>
        <v>0</v>
      </c>
      <c r="N118">
        <f t="shared" si="30"/>
        <v>0</v>
      </c>
      <c r="O118">
        <f t="shared" si="30"/>
        <v>0</v>
      </c>
      <c r="P118">
        <f t="shared" si="30"/>
        <v>0</v>
      </c>
      <c r="Q118">
        <f t="shared" si="30"/>
        <v>0</v>
      </c>
      <c r="R118">
        <f t="shared" si="30"/>
        <v>0</v>
      </c>
      <c r="S118">
        <f t="shared" si="30"/>
        <v>0</v>
      </c>
      <c r="T118">
        <f t="shared" si="30"/>
        <v>0</v>
      </c>
      <c r="U118">
        <f t="shared" si="30"/>
        <v>0</v>
      </c>
      <c r="V118">
        <f t="shared" si="30"/>
        <v>0</v>
      </c>
      <c r="W118">
        <f t="shared" si="30"/>
        <v>0</v>
      </c>
      <c r="X118">
        <f t="shared" si="30"/>
        <v>0</v>
      </c>
      <c r="Y118">
        <f t="shared" si="29"/>
        <v>0</v>
      </c>
      <c r="Z118">
        <f t="shared" si="29"/>
        <v>0</v>
      </c>
      <c r="AA118">
        <f t="shared" si="29"/>
        <v>0</v>
      </c>
      <c r="AB118">
        <f t="shared" si="29"/>
        <v>0</v>
      </c>
      <c r="AC118">
        <f t="shared" si="29"/>
        <v>0</v>
      </c>
      <c r="AD118">
        <f t="shared" si="29"/>
        <v>0</v>
      </c>
      <c r="AE118">
        <f t="shared" si="29"/>
        <v>0</v>
      </c>
      <c r="AF118">
        <f t="shared" si="29"/>
        <v>0</v>
      </c>
      <c r="AG118">
        <f t="shared" si="29"/>
        <v>0</v>
      </c>
      <c r="AH118">
        <f t="shared" si="29"/>
        <v>0</v>
      </c>
      <c r="AI118">
        <f t="shared" si="29"/>
        <v>0</v>
      </c>
      <c r="AJ118">
        <f t="shared" si="29"/>
        <v>0</v>
      </c>
      <c r="AK118">
        <f t="shared" si="29"/>
        <v>0</v>
      </c>
      <c r="AL118">
        <f t="shared" si="29"/>
        <v>0</v>
      </c>
      <c r="AM118">
        <f t="shared" si="29"/>
        <v>0</v>
      </c>
      <c r="AN118">
        <f t="shared" ref="AK118:AR159" si="31">IF(AND($G118&gt;=AN$3,$G118&lt;AN$4),$F118,0)</f>
        <v>0</v>
      </c>
      <c r="AO118">
        <f t="shared" si="31"/>
        <v>0</v>
      </c>
      <c r="AP118">
        <f t="shared" si="31"/>
        <v>0</v>
      </c>
      <c r="AQ118">
        <f t="shared" si="31"/>
        <v>0</v>
      </c>
      <c r="AR118">
        <f t="shared" si="31"/>
        <v>0</v>
      </c>
    </row>
    <row r="119" spans="5:44" x14ac:dyDescent="0.2">
      <c r="E119" s="1">
        <f>moment_rate!$M119</f>
        <v>104.98135118480342</v>
      </c>
      <c r="F119" s="1">
        <f t="shared" si="21"/>
        <v>2.1530356216309201</v>
      </c>
      <c r="G119">
        <f>moment_rate!I119-0.005</f>
        <v>1.1200000000000008</v>
      </c>
      <c r="H119" s="1">
        <f t="shared" si="22"/>
        <v>0</v>
      </c>
      <c r="I119">
        <f t="shared" si="30"/>
        <v>0</v>
      </c>
      <c r="J119">
        <f t="shared" si="30"/>
        <v>0</v>
      </c>
      <c r="K119">
        <f t="shared" si="30"/>
        <v>0</v>
      </c>
      <c r="L119">
        <f t="shared" si="30"/>
        <v>0</v>
      </c>
      <c r="M119">
        <f t="shared" si="30"/>
        <v>0</v>
      </c>
      <c r="N119">
        <f t="shared" si="30"/>
        <v>0</v>
      </c>
      <c r="O119">
        <f t="shared" si="30"/>
        <v>0</v>
      </c>
      <c r="P119">
        <f t="shared" si="30"/>
        <v>0</v>
      </c>
      <c r="Q119">
        <f t="shared" si="30"/>
        <v>0</v>
      </c>
      <c r="R119">
        <f t="shared" si="30"/>
        <v>0</v>
      </c>
      <c r="S119">
        <f t="shared" si="30"/>
        <v>0</v>
      </c>
      <c r="T119">
        <f t="shared" si="30"/>
        <v>0</v>
      </c>
      <c r="U119">
        <f t="shared" si="30"/>
        <v>0</v>
      </c>
      <c r="V119">
        <f t="shared" si="30"/>
        <v>0</v>
      </c>
      <c r="W119">
        <f t="shared" si="30"/>
        <v>0</v>
      </c>
      <c r="X119">
        <f t="shared" si="30"/>
        <v>0</v>
      </c>
      <c r="Y119">
        <f t="shared" si="29"/>
        <v>0</v>
      </c>
      <c r="Z119">
        <f t="shared" si="29"/>
        <v>0</v>
      </c>
      <c r="AA119">
        <f t="shared" si="29"/>
        <v>0</v>
      </c>
      <c r="AB119">
        <f t="shared" si="29"/>
        <v>0</v>
      </c>
      <c r="AC119">
        <f t="shared" si="29"/>
        <v>0</v>
      </c>
      <c r="AD119">
        <f t="shared" si="29"/>
        <v>0</v>
      </c>
      <c r="AE119">
        <f t="shared" si="29"/>
        <v>0</v>
      </c>
      <c r="AF119">
        <f t="shared" si="29"/>
        <v>0</v>
      </c>
      <c r="AG119">
        <f t="shared" si="29"/>
        <v>0</v>
      </c>
      <c r="AH119">
        <f t="shared" si="29"/>
        <v>0</v>
      </c>
      <c r="AI119">
        <f t="shared" si="29"/>
        <v>0</v>
      </c>
      <c r="AJ119">
        <f t="shared" si="29"/>
        <v>0</v>
      </c>
      <c r="AK119">
        <f t="shared" si="29"/>
        <v>0</v>
      </c>
      <c r="AL119">
        <f t="shared" si="29"/>
        <v>0</v>
      </c>
      <c r="AM119">
        <f t="shared" si="29"/>
        <v>0</v>
      </c>
      <c r="AN119">
        <f t="shared" si="31"/>
        <v>0</v>
      </c>
      <c r="AO119">
        <f t="shared" si="31"/>
        <v>0</v>
      </c>
      <c r="AP119">
        <f t="shared" si="31"/>
        <v>0</v>
      </c>
      <c r="AQ119">
        <f t="shared" si="31"/>
        <v>0</v>
      </c>
      <c r="AR119">
        <f t="shared" si="31"/>
        <v>0</v>
      </c>
    </row>
    <row r="120" spans="5:44" x14ac:dyDescent="0.2">
      <c r="E120" s="1">
        <f>moment_rate!$M120</f>
        <v>102.8283155631725</v>
      </c>
      <c r="F120" s="1">
        <f t="shared" si="21"/>
        <v>2.108876829615653</v>
      </c>
      <c r="G120">
        <f>moment_rate!I120-0.005</f>
        <v>1.1300000000000008</v>
      </c>
      <c r="H120" s="1">
        <f t="shared" si="22"/>
        <v>0</v>
      </c>
      <c r="I120">
        <f t="shared" si="30"/>
        <v>0</v>
      </c>
      <c r="J120">
        <f t="shared" si="30"/>
        <v>0</v>
      </c>
      <c r="K120">
        <f t="shared" si="30"/>
        <v>0</v>
      </c>
      <c r="L120">
        <f t="shared" si="30"/>
        <v>0</v>
      </c>
      <c r="M120">
        <f t="shared" si="30"/>
        <v>0</v>
      </c>
      <c r="N120">
        <f t="shared" si="30"/>
        <v>0</v>
      </c>
      <c r="O120">
        <f t="shared" si="30"/>
        <v>0</v>
      </c>
      <c r="P120">
        <f t="shared" si="30"/>
        <v>0</v>
      </c>
      <c r="Q120">
        <f t="shared" si="30"/>
        <v>0</v>
      </c>
      <c r="R120">
        <f t="shared" si="30"/>
        <v>0</v>
      </c>
      <c r="S120">
        <f t="shared" si="30"/>
        <v>0</v>
      </c>
      <c r="T120">
        <f t="shared" si="30"/>
        <v>0</v>
      </c>
      <c r="U120">
        <f t="shared" si="30"/>
        <v>0</v>
      </c>
      <c r="V120">
        <f t="shared" si="30"/>
        <v>0</v>
      </c>
      <c r="W120">
        <f t="shared" si="30"/>
        <v>0</v>
      </c>
      <c r="X120">
        <f t="shared" si="30"/>
        <v>0</v>
      </c>
      <c r="Y120">
        <f t="shared" si="29"/>
        <v>0</v>
      </c>
      <c r="Z120">
        <f t="shared" si="29"/>
        <v>0</v>
      </c>
      <c r="AA120">
        <f t="shared" si="29"/>
        <v>0</v>
      </c>
      <c r="AB120">
        <f t="shared" si="29"/>
        <v>0</v>
      </c>
      <c r="AC120">
        <f t="shared" si="29"/>
        <v>0</v>
      </c>
      <c r="AD120">
        <f t="shared" si="29"/>
        <v>0</v>
      </c>
      <c r="AE120">
        <f t="shared" si="29"/>
        <v>0</v>
      </c>
      <c r="AF120">
        <f t="shared" si="29"/>
        <v>0</v>
      </c>
      <c r="AG120">
        <f t="shared" si="29"/>
        <v>0</v>
      </c>
      <c r="AH120">
        <f t="shared" si="29"/>
        <v>0</v>
      </c>
      <c r="AI120">
        <f t="shared" si="29"/>
        <v>0</v>
      </c>
      <c r="AJ120">
        <f t="shared" si="29"/>
        <v>0</v>
      </c>
      <c r="AK120">
        <f t="shared" si="29"/>
        <v>0</v>
      </c>
      <c r="AL120">
        <f t="shared" si="29"/>
        <v>0</v>
      </c>
      <c r="AM120">
        <f t="shared" si="29"/>
        <v>0</v>
      </c>
      <c r="AN120">
        <f t="shared" si="31"/>
        <v>0</v>
      </c>
      <c r="AO120">
        <f t="shared" si="31"/>
        <v>0</v>
      </c>
      <c r="AP120">
        <f t="shared" si="31"/>
        <v>0</v>
      </c>
      <c r="AQ120">
        <f t="shared" si="31"/>
        <v>0</v>
      </c>
      <c r="AR120">
        <f t="shared" si="31"/>
        <v>0</v>
      </c>
    </row>
    <row r="121" spans="5:44" x14ac:dyDescent="0.2">
      <c r="E121" s="1">
        <f>moment_rate!$M121</f>
        <v>100.71943873355684</v>
      </c>
      <c r="F121" s="1">
        <f t="shared" si="21"/>
        <v>2.0656237350690105</v>
      </c>
      <c r="G121">
        <f>moment_rate!I121-0.005</f>
        <v>1.1400000000000008</v>
      </c>
      <c r="H121" s="1">
        <f t="shared" si="22"/>
        <v>0</v>
      </c>
      <c r="I121">
        <f t="shared" si="30"/>
        <v>0</v>
      </c>
      <c r="J121">
        <f t="shared" si="30"/>
        <v>0</v>
      </c>
      <c r="K121">
        <f t="shared" si="30"/>
        <v>0</v>
      </c>
      <c r="L121">
        <f t="shared" si="30"/>
        <v>0</v>
      </c>
      <c r="M121">
        <f t="shared" si="30"/>
        <v>0</v>
      </c>
      <c r="N121">
        <f t="shared" si="30"/>
        <v>0</v>
      </c>
      <c r="O121">
        <f t="shared" si="30"/>
        <v>0</v>
      </c>
      <c r="P121">
        <f t="shared" si="30"/>
        <v>0</v>
      </c>
      <c r="Q121">
        <f t="shared" si="30"/>
        <v>0</v>
      </c>
      <c r="R121">
        <f t="shared" si="30"/>
        <v>0</v>
      </c>
      <c r="S121">
        <f t="shared" si="30"/>
        <v>0</v>
      </c>
      <c r="T121">
        <f t="shared" si="30"/>
        <v>0</v>
      </c>
      <c r="U121">
        <f t="shared" si="30"/>
        <v>0</v>
      </c>
      <c r="V121">
        <f t="shared" si="30"/>
        <v>0</v>
      </c>
      <c r="W121">
        <f t="shared" si="30"/>
        <v>0</v>
      </c>
      <c r="X121">
        <f t="shared" si="30"/>
        <v>0</v>
      </c>
      <c r="Y121">
        <f t="shared" si="29"/>
        <v>0</v>
      </c>
      <c r="Z121">
        <f t="shared" si="29"/>
        <v>0</v>
      </c>
      <c r="AA121">
        <f t="shared" si="29"/>
        <v>0</v>
      </c>
      <c r="AB121">
        <f t="shared" si="29"/>
        <v>0</v>
      </c>
      <c r="AC121">
        <f t="shared" si="29"/>
        <v>0</v>
      </c>
      <c r="AD121">
        <f t="shared" si="29"/>
        <v>0</v>
      </c>
      <c r="AE121">
        <f t="shared" si="29"/>
        <v>0</v>
      </c>
      <c r="AF121">
        <f t="shared" si="29"/>
        <v>0</v>
      </c>
      <c r="AG121">
        <f t="shared" si="29"/>
        <v>0</v>
      </c>
      <c r="AH121">
        <f t="shared" si="29"/>
        <v>0</v>
      </c>
      <c r="AI121">
        <f t="shared" si="29"/>
        <v>0</v>
      </c>
      <c r="AJ121">
        <f t="shared" si="29"/>
        <v>0</v>
      </c>
      <c r="AK121">
        <f t="shared" si="29"/>
        <v>0</v>
      </c>
      <c r="AL121">
        <f t="shared" si="29"/>
        <v>0</v>
      </c>
      <c r="AM121">
        <f t="shared" si="29"/>
        <v>0</v>
      </c>
      <c r="AN121">
        <f t="shared" si="31"/>
        <v>0</v>
      </c>
      <c r="AO121">
        <f t="shared" si="31"/>
        <v>0</v>
      </c>
      <c r="AP121">
        <f t="shared" si="31"/>
        <v>0</v>
      </c>
      <c r="AQ121">
        <f t="shared" si="31"/>
        <v>0</v>
      </c>
      <c r="AR121">
        <f t="shared" si="31"/>
        <v>0</v>
      </c>
    </row>
    <row r="122" spans="5:44" x14ac:dyDescent="0.2">
      <c r="E122" s="1">
        <f>moment_rate!$M122</f>
        <v>98.653814998487832</v>
      </c>
      <c r="F122" s="1">
        <f t="shared" si="21"/>
        <v>2.0232577621225687</v>
      </c>
      <c r="G122">
        <f>moment_rate!I122-0.005</f>
        <v>1.1500000000000008</v>
      </c>
      <c r="H122" s="1">
        <f t="shared" si="22"/>
        <v>0</v>
      </c>
      <c r="I122">
        <f t="shared" si="30"/>
        <v>0</v>
      </c>
      <c r="J122">
        <f t="shared" si="30"/>
        <v>0</v>
      </c>
      <c r="K122">
        <f t="shared" si="30"/>
        <v>0</v>
      </c>
      <c r="L122">
        <f t="shared" si="30"/>
        <v>0</v>
      </c>
      <c r="M122">
        <f t="shared" si="30"/>
        <v>0</v>
      </c>
      <c r="N122">
        <f t="shared" si="30"/>
        <v>0</v>
      </c>
      <c r="O122">
        <f t="shared" si="30"/>
        <v>0</v>
      </c>
      <c r="P122">
        <f t="shared" si="30"/>
        <v>0</v>
      </c>
      <c r="Q122">
        <f t="shared" si="30"/>
        <v>0</v>
      </c>
      <c r="R122">
        <f t="shared" si="30"/>
        <v>0</v>
      </c>
      <c r="S122">
        <f t="shared" si="30"/>
        <v>0</v>
      </c>
      <c r="T122">
        <f t="shared" si="30"/>
        <v>0</v>
      </c>
      <c r="U122">
        <f t="shared" si="30"/>
        <v>0</v>
      </c>
      <c r="V122">
        <f t="shared" si="30"/>
        <v>0</v>
      </c>
      <c r="W122">
        <f t="shared" si="30"/>
        <v>0</v>
      </c>
      <c r="X122">
        <f t="shared" si="30"/>
        <v>0</v>
      </c>
      <c r="Y122">
        <f t="shared" si="29"/>
        <v>0</v>
      </c>
      <c r="Z122">
        <f t="shared" si="29"/>
        <v>0</v>
      </c>
      <c r="AA122">
        <f t="shared" si="29"/>
        <v>0</v>
      </c>
      <c r="AB122">
        <f t="shared" si="29"/>
        <v>0</v>
      </c>
      <c r="AC122">
        <f t="shared" si="29"/>
        <v>0</v>
      </c>
      <c r="AD122">
        <f t="shared" si="29"/>
        <v>0</v>
      </c>
      <c r="AE122">
        <f t="shared" si="29"/>
        <v>0</v>
      </c>
      <c r="AF122">
        <f t="shared" si="29"/>
        <v>0</v>
      </c>
      <c r="AG122">
        <f t="shared" si="29"/>
        <v>0</v>
      </c>
      <c r="AH122">
        <f t="shared" si="29"/>
        <v>0</v>
      </c>
      <c r="AI122">
        <f t="shared" si="29"/>
        <v>0</v>
      </c>
      <c r="AJ122">
        <f t="shared" si="29"/>
        <v>0</v>
      </c>
      <c r="AK122">
        <f t="shared" si="29"/>
        <v>0</v>
      </c>
      <c r="AL122">
        <f t="shared" si="29"/>
        <v>0</v>
      </c>
      <c r="AM122">
        <f t="shared" si="29"/>
        <v>0</v>
      </c>
      <c r="AN122">
        <f t="shared" si="31"/>
        <v>0</v>
      </c>
      <c r="AO122">
        <f t="shared" si="31"/>
        <v>0</v>
      </c>
      <c r="AP122">
        <f t="shared" si="31"/>
        <v>0</v>
      </c>
      <c r="AQ122">
        <f t="shared" si="31"/>
        <v>0</v>
      </c>
      <c r="AR122">
        <f t="shared" si="31"/>
        <v>0</v>
      </c>
    </row>
    <row r="123" spans="5:44" x14ac:dyDescent="0.2">
      <c r="E123" s="1">
        <f>moment_rate!$M123</f>
        <v>96.630557236365263</v>
      </c>
      <c r="F123" s="1">
        <f t="shared" si="21"/>
        <v>1.9817607158994832</v>
      </c>
      <c r="G123">
        <f>moment_rate!I123-0.005</f>
        <v>1.1600000000000008</v>
      </c>
      <c r="H123" s="1">
        <f t="shared" si="22"/>
        <v>0</v>
      </c>
      <c r="I123">
        <f t="shared" si="30"/>
        <v>0</v>
      </c>
      <c r="J123">
        <f t="shared" si="30"/>
        <v>0</v>
      </c>
      <c r="K123">
        <f t="shared" si="30"/>
        <v>0</v>
      </c>
      <c r="L123">
        <f t="shared" si="30"/>
        <v>0</v>
      </c>
      <c r="M123">
        <f t="shared" si="30"/>
        <v>0</v>
      </c>
      <c r="N123">
        <f t="shared" si="30"/>
        <v>0</v>
      </c>
      <c r="O123">
        <f t="shared" si="30"/>
        <v>0</v>
      </c>
      <c r="P123">
        <f t="shared" si="30"/>
        <v>0</v>
      </c>
      <c r="Q123">
        <f t="shared" si="30"/>
        <v>0</v>
      </c>
      <c r="R123">
        <f t="shared" si="30"/>
        <v>0</v>
      </c>
      <c r="S123">
        <f t="shared" si="30"/>
        <v>0</v>
      </c>
      <c r="T123">
        <f t="shared" si="30"/>
        <v>0</v>
      </c>
      <c r="U123">
        <f t="shared" si="30"/>
        <v>0</v>
      </c>
      <c r="V123">
        <f t="shared" si="30"/>
        <v>0</v>
      </c>
      <c r="W123">
        <f t="shared" si="30"/>
        <v>0</v>
      </c>
      <c r="X123">
        <f t="shared" si="30"/>
        <v>0</v>
      </c>
      <c r="Y123">
        <f t="shared" si="29"/>
        <v>0</v>
      </c>
      <c r="Z123">
        <f t="shared" si="29"/>
        <v>0</v>
      </c>
      <c r="AA123">
        <f t="shared" si="29"/>
        <v>0</v>
      </c>
      <c r="AB123">
        <f t="shared" si="29"/>
        <v>0</v>
      </c>
      <c r="AC123">
        <f t="shared" si="29"/>
        <v>0</v>
      </c>
      <c r="AD123">
        <f t="shared" si="29"/>
        <v>0</v>
      </c>
      <c r="AE123">
        <f t="shared" si="29"/>
        <v>0</v>
      </c>
      <c r="AF123">
        <f t="shared" si="29"/>
        <v>0</v>
      </c>
      <c r="AG123">
        <f t="shared" si="29"/>
        <v>0</v>
      </c>
      <c r="AH123">
        <f t="shared" si="29"/>
        <v>0</v>
      </c>
      <c r="AI123">
        <f t="shared" si="29"/>
        <v>0</v>
      </c>
      <c r="AJ123">
        <f t="shared" si="29"/>
        <v>0</v>
      </c>
      <c r="AK123">
        <f t="shared" si="29"/>
        <v>0</v>
      </c>
      <c r="AL123">
        <f t="shared" si="29"/>
        <v>0</v>
      </c>
      <c r="AM123">
        <f t="shared" si="29"/>
        <v>0</v>
      </c>
      <c r="AN123">
        <f t="shared" si="31"/>
        <v>0</v>
      </c>
      <c r="AO123">
        <f t="shared" si="31"/>
        <v>0</v>
      </c>
      <c r="AP123">
        <f t="shared" si="31"/>
        <v>0</v>
      </c>
      <c r="AQ123">
        <f t="shared" si="31"/>
        <v>0</v>
      </c>
      <c r="AR123">
        <f t="shared" si="31"/>
        <v>0</v>
      </c>
    </row>
    <row r="124" spans="5:44" x14ac:dyDescent="0.2">
      <c r="E124" s="1">
        <f>moment_rate!$M124</f>
        <v>94.64879652046578</v>
      </c>
      <c r="F124" s="1">
        <f t="shared" si="21"/>
        <v>1.941114774699912</v>
      </c>
      <c r="G124">
        <f>moment_rate!I124-0.005</f>
        <v>1.1700000000000008</v>
      </c>
      <c r="H124" s="1">
        <f t="shared" si="22"/>
        <v>0</v>
      </c>
      <c r="I124">
        <f t="shared" si="30"/>
        <v>0</v>
      </c>
      <c r="J124">
        <f t="shared" si="30"/>
        <v>0</v>
      </c>
      <c r="K124">
        <f t="shared" si="30"/>
        <v>0</v>
      </c>
      <c r="L124">
        <f t="shared" si="30"/>
        <v>0</v>
      </c>
      <c r="M124">
        <f t="shared" si="30"/>
        <v>0</v>
      </c>
      <c r="N124">
        <f t="shared" si="30"/>
        <v>0</v>
      </c>
      <c r="O124">
        <f t="shared" si="30"/>
        <v>0</v>
      </c>
      <c r="P124">
        <f t="shared" si="30"/>
        <v>0</v>
      </c>
      <c r="Q124">
        <f t="shared" si="30"/>
        <v>0</v>
      </c>
      <c r="R124">
        <f t="shared" si="30"/>
        <v>0</v>
      </c>
      <c r="S124">
        <f t="shared" si="30"/>
        <v>0</v>
      </c>
      <c r="T124">
        <f t="shared" si="30"/>
        <v>0</v>
      </c>
      <c r="U124">
        <f t="shared" si="30"/>
        <v>0</v>
      </c>
      <c r="V124">
        <f t="shared" si="30"/>
        <v>0</v>
      </c>
      <c r="W124">
        <f t="shared" si="30"/>
        <v>0</v>
      </c>
      <c r="X124">
        <f t="shared" si="30"/>
        <v>0</v>
      </c>
      <c r="Y124">
        <f t="shared" si="29"/>
        <v>0</v>
      </c>
      <c r="Z124">
        <f t="shared" si="29"/>
        <v>0</v>
      </c>
      <c r="AA124">
        <f t="shared" si="29"/>
        <v>0</v>
      </c>
      <c r="AB124">
        <f t="shared" si="29"/>
        <v>0</v>
      </c>
      <c r="AC124">
        <f t="shared" si="29"/>
        <v>0</v>
      </c>
      <c r="AD124">
        <f t="shared" si="29"/>
        <v>0</v>
      </c>
      <c r="AE124">
        <f t="shared" si="29"/>
        <v>0</v>
      </c>
      <c r="AF124">
        <f t="shared" si="29"/>
        <v>0</v>
      </c>
      <c r="AG124">
        <f t="shared" si="29"/>
        <v>0</v>
      </c>
      <c r="AH124">
        <f t="shared" si="29"/>
        <v>0</v>
      </c>
      <c r="AI124">
        <f t="shared" si="29"/>
        <v>0</v>
      </c>
      <c r="AJ124">
        <f t="shared" si="29"/>
        <v>0</v>
      </c>
      <c r="AK124">
        <f t="shared" si="29"/>
        <v>0</v>
      </c>
      <c r="AL124">
        <f t="shared" si="29"/>
        <v>0</v>
      </c>
      <c r="AM124">
        <f t="shared" si="29"/>
        <v>0</v>
      </c>
      <c r="AN124">
        <f t="shared" si="31"/>
        <v>0</v>
      </c>
      <c r="AO124">
        <f t="shared" si="31"/>
        <v>0</v>
      </c>
      <c r="AP124">
        <f t="shared" si="31"/>
        <v>0</v>
      </c>
      <c r="AQ124">
        <f t="shared" si="31"/>
        <v>0</v>
      </c>
      <c r="AR124">
        <f t="shared" si="31"/>
        <v>0</v>
      </c>
    </row>
    <row r="125" spans="5:44" x14ac:dyDescent="0.2">
      <c r="E125" s="1">
        <f>moment_rate!$M125</f>
        <v>92.707681745765868</v>
      </c>
      <c r="F125" s="1">
        <f t="shared" si="21"/>
        <v>1.9013024823474325</v>
      </c>
      <c r="G125">
        <f>moment_rate!I125-0.005</f>
        <v>1.1800000000000008</v>
      </c>
      <c r="H125" s="1">
        <f t="shared" si="22"/>
        <v>0</v>
      </c>
      <c r="I125">
        <f t="shared" si="30"/>
        <v>0</v>
      </c>
      <c r="J125">
        <f t="shared" si="30"/>
        <v>0</v>
      </c>
      <c r="K125">
        <f t="shared" si="30"/>
        <v>0</v>
      </c>
      <c r="L125">
        <f t="shared" si="30"/>
        <v>0</v>
      </c>
      <c r="M125">
        <f t="shared" si="30"/>
        <v>0</v>
      </c>
      <c r="N125">
        <f t="shared" si="30"/>
        <v>0</v>
      </c>
      <c r="O125">
        <f t="shared" si="30"/>
        <v>0</v>
      </c>
      <c r="P125">
        <f t="shared" si="30"/>
        <v>0</v>
      </c>
      <c r="Q125">
        <f t="shared" si="30"/>
        <v>0</v>
      </c>
      <c r="R125">
        <f t="shared" si="30"/>
        <v>0</v>
      </c>
      <c r="S125">
        <f t="shared" si="30"/>
        <v>0</v>
      </c>
      <c r="T125">
        <f t="shared" si="30"/>
        <v>0</v>
      </c>
      <c r="U125">
        <f t="shared" si="30"/>
        <v>0</v>
      </c>
      <c r="V125">
        <f t="shared" si="30"/>
        <v>0</v>
      </c>
      <c r="W125">
        <f t="shared" si="30"/>
        <v>0</v>
      </c>
      <c r="X125">
        <f t="shared" si="30"/>
        <v>0</v>
      </c>
      <c r="Y125">
        <f t="shared" si="29"/>
        <v>0</v>
      </c>
      <c r="Z125">
        <f t="shared" si="29"/>
        <v>0</v>
      </c>
      <c r="AA125">
        <f t="shared" si="29"/>
        <v>0</v>
      </c>
      <c r="AB125">
        <f t="shared" si="29"/>
        <v>0</v>
      </c>
      <c r="AC125">
        <f t="shared" si="29"/>
        <v>0</v>
      </c>
      <c r="AD125">
        <f t="shared" si="29"/>
        <v>0</v>
      </c>
      <c r="AE125">
        <f t="shared" si="29"/>
        <v>0</v>
      </c>
      <c r="AF125">
        <f t="shared" si="29"/>
        <v>0</v>
      </c>
      <c r="AG125">
        <f t="shared" si="29"/>
        <v>0</v>
      </c>
      <c r="AH125">
        <f t="shared" si="29"/>
        <v>0</v>
      </c>
      <c r="AI125">
        <f t="shared" si="29"/>
        <v>0</v>
      </c>
      <c r="AJ125">
        <f t="shared" si="29"/>
        <v>0</v>
      </c>
      <c r="AK125">
        <f t="shared" si="29"/>
        <v>0</v>
      </c>
      <c r="AL125">
        <f t="shared" si="29"/>
        <v>0</v>
      </c>
      <c r="AM125">
        <f t="shared" si="29"/>
        <v>0</v>
      </c>
      <c r="AN125">
        <f t="shared" si="31"/>
        <v>0</v>
      </c>
      <c r="AO125">
        <f t="shared" si="31"/>
        <v>0</v>
      </c>
      <c r="AP125">
        <f t="shared" si="31"/>
        <v>0</v>
      </c>
      <c r="AQ125">
        <f t="shared" si="31"/>
        <v>0</v>
      </c>
      <c r="AR125">
        <f t="shared" si="31"/>
        <v>0</v>
      </c>
    </row>
    <row r="126" spans="5:44" x14ac:dyDescent="0.2">
      <c r="E126" s="1">
        <f>moment_rate!$M126</f>
        <v>90.806379263418435</v>
      </c>
      <c r="F126" s="1">
        <f t="shared" si="21"/>
        <v>1.86230674069202</v>
      </c>
      <c r="G126">
        <f>moment_rate!I126-0.005</f>
        <v>1.1900000000000008</v>
      </c>
      <c r="H126" s="1">
        <f t="shared" si="22"/>
        <v>0</v>
      </c>
      <c r="I126">
        <f t="shared" si="30"/>
        <v>0</v>
      </c>
      <c r="J126">
        <f t="shared" si="30"/>
        <v>0</v>
      </c>
      <c r="K126">
        <f t="shared" si="30"/>
        <v>0</v>
      </c>
      <c r="L126">
        <f t="shared" si="30"/>
        <v>0</v>
      </c>
      <c r="M126">
        <f t="shared" si="30"/>
        <v>0</v>
      </c>
      <c r="N126">
        <f t="shared" si="30"/>
        <v>0</v>
      </c>
      <c r="O126">
        <f t="shared" si="30"/>
        <v>0</v>
      </c>
      <c r="P126">
        <f t="shared" si="30"/>
        <v>0</v>
      </c>
      <c r="Q126">
        <f t="shared" si="30"/>
        <v>0</v>
      </c>
      <c r="R126">
        <f t="shared" si="30"/>
        <v>0</v>
      </c>
      <c r="S126">
        <f t="shared" si="30"/>
        <v>0</v>
      </c>
      <c r="T126">
        <f t="shared" si="30"/>
        <v>0</v>
      </c>
      <c r="U126">
        <f t="shared" si="30"/>
        <v>0</v>
      </c>
      <c r="V126">
        <f t="shared" si="30"/>
        <v>0</v>
      </c>
      <c r="W126">
        <f t="shared" si="30"/>
        <v>0</v>
      </c>
      <c r="X126">
        <f t="shared" ref="X126:AM141" si="32">IF(AND($G126&gt;=X$3,$G126&lt;X$4),$F126,0)</f>
        <v>0</v>
      </c>
      <c r="Y126">
        <f t="shared" si="32"/>
        <v>0</v>
      </c>
      <c r="Z126">
        <f t="shared" si="32"/>
        <v>0</v>
      </c>
      <c r="AA126">
        <f t="shared" si="32"/>
        <v>0</v>
      </c>
      <c r="AB126">
        <f t="shared" si="32"/>
        <v>0</v>
      </c>
      <c r="AC126">
        <f t="shared" si="32"/>
        <v>0</v>
      </c>
      <c r="AD126">
        <f t="shared" si="32"/>
        <v>0</v>
      </c>
      <c r="AE126">
        <f t="shared" si="32"/>
        <v>0</v>
      </c>
      <c r="AF126">
        <f t="shared" si="32"/>
        <v>0</v>
      </c>
      <c r="AG126">
        <f t="shared" si="32"/>
        <v>0</v>
      </c>
      <c r="AH126">
        <f t="shared" si="32"/>
        <v>0</v>
      </c>
      <c r="AI126">
        <f t="shared" si="32"/>
        <v>0</v>
      </c>
      <c r="AJ126">
        <f t="shared" si="32"/>
        <v>0</v>
      </c>
      <c r="AK126">
        <f t="shared" si="32"/>
        <v>0</v>
      </c>
      <c r="AL126">
        <f t="shared" si="32"/>
        <v>0</v>
      </c>
      <c r="AM126">
        <f t="shared" si="32"/>
        <v>0</v>
      </c>
      <c r="AN126">
        <f t="shared" si="31"/>
        <v>0</v>
      </c>
      <c r="AO126">
        <f t="shared" si="31"/>
        <v>0</v>
      </c>
      <c r="AP126">
        <f t="shared" si="31"/>
        <v>0</v>
      </c>
      <c r="AQ126">
        <f t="shared" si="31"/>
        <v>0</v>
      </c>
      <c r="AR126">
        <f t="shared" si="31"/>
        <v>0</v>
      </c>
    </row>
    <row r="127" spans="5:44" x14ac:dyDescent="0.2">
      <c r="E127" s="1">
        <f>moment_rate!$M127</f>
        <v>88.944072522726415</v>
      </c>
      <c r="F127" s="1">
        <f t="shared" si="21"/>
        <v>1.8241108022669437</v>
      </c>
      <c r="G127">
        <f>moment_rate!I127-0.005</f>
        <v>1.2000000000000008</v>
      </c>
      <c r="H127" s="1">
        <f t="shared" si="22"/>
        <v>0</v>
      </c>
      <c r="I127">
        <f t="shared" ref="I127:X142" si="33">IF(AND($G127&gt;=I$3,$G127&lt;I$4),$F127,0)</f>
        <v>0</v>
      </c>
      <c r="J127">
        <f t="shared" si="33"/>
        <v>0</v>
      </c>
      <c r="K127">
        <f t="shared" si="33"/>
        <v>0</v>
      </c>
      <c r="L127">
        <f t="shared" si="33"/>
        <v>0</v>
      </c>
      <c r="M127">
        <f t="shared" si="33"/>
        <v>0</v>
      </c>
      <c r="N127">
        <f t="shared" si="33"/>
        <v>0</v>
      </c>
      <c r="O127">
        <f t="shared" si="33"/>
        <v>0</v>
      </c>
      <c r="P127">
        <f t="shared" si="33"/>
        <v>0</v>
      </c>
      <c r="Q127">
        <f t="shared" si="33"/>
        <v>0</v>
      </c>
      <c r="R127">
        <f t="shared" si="33"/>
        <v>0</v>
      </c>
      <c r="S127">
        <f t="shared" si="33"/>
        <v>0</v>
      </c>
      <c r="T127">
        <f t="shared" si="33"/>
        <v>0</v>
      </c>
      <c r="U127">
        <f t="shared" si="33"/>
        <v>0</v>
      </c>
      <c r="V127">
        <f t="shared" si="33"/>
        <v>0</v>
      </c>
      <c r="W127">
        <f t="shared" si="33"/>
        <v>0</v>
      </c>
      <c r="X127">
        <f t="shared" si="33"/>
        <v>0</v>
      </c>
      <c r="Y127">
        <f t="shared" si="32"/>
        <v>0</v>
      </c>
      <c r="Z127">
        <f t="shared" si="32"/>
        <v>0</v>
      </c>
      <c r="AA127">
        <f t="shared" si="32"/>
        <v>0</v>
      </c>
      <c r="AB127">
        <f t="shared" si="32"/>
        <v>0</v>
      </c>
      <c r="AC127">
        <f t="shared" si="32"/>
        <v>0</v>
      </c>
      <c r="AD127">
        <f t="shared" si="32"/>
        <v>0</v>
      </c>
      <c r="AE127">
        <f t="shared" si="32"/>
        <v>0</v>
      </c>
      <c r="AF127">
        <f t="shared" si="32"/>
        <v>0</v>
      </c>
      <c r="AG127">
        <f t="shared" si="32"/>
        <v>0</v>
      </c>
      <c r="AH127">
        <f t="shared" si="32"/>
        <v>0</v>
      </c>
      <c r="AI127">
        <f t="shared" si="32"/>
        <v>0</v>
      </c>
      <c r="AJ127">
        <f t="shared" si="32"/>
        <v>0</v>
      </c>
      <c r="AK127">
        <f t="shared" si="32"/>
        <v>0</v>
      </c>
      <c r="AL127">
        <f t="shared" si="32"/>
        <v>0</v>
      </c>
      <c r="AM127">
        <f t="shared" si="32"/>
        <v>0</v>
      </c>
      <c r="AN127">
        <f t="shared" si="31"/>
        <v>0</v>
      </c>
      <c r="AO127">
        <f t="shared" si="31"/>
        <v>0</v>
      </c>
      <c r="AP127">
        <f t="shared" si="31"/>
        <v>0</v>
      </c>
      <c r="AQ127">
        <f t="shared" si="31"/>
        <v>0</v>
      </c>
      <c r="AR127">
        <f t="shared" si="31"/>
        <v>0</v>
      </c>
    </row>
    <row r="128" spans="5:44" x14ac:dyDescent="0.2">
      <c r="E128" s="1">
        <f>moment_rate!$M128</f>
        <v>87.119961720459472</v>
      </c>
      <c r="F128" s="1">
        <f t="shared" si="21"/>
        <v>1.7866982630962838</v>
      </c>
      <c r="G128">
        <f>moment_rate!I128-0.005</f>
        <v>1.2100000000000009</v>
      </c>
      <c r="H128" s="1">
        <f t="shared" si="22"/>
        <v>0</v>
      </c>
      <c r="I128">
        <f t="shared" si="33"/>
        <v>0</v>
      </c>
      <c r="J128">
        <f t="shared" si="33"/>
        <v>0</v>
      </c>
      <c r="K128">
        <f t="shared" si="33"/>
        <v>0</v>
      </c>
      <c r="L128">
        <f t="shared" si="33"/>
        <v>0</v>
      </c>
      <c r="M128">
        <f t="shared" si="33"/>
        <v>0</v>
      </c>
      <c r="N128">
        <f t="shared" si="33"/>
        <v>0</v>
      </c>
      <c r="O128">
        <f t="shared" si="33"/>
        <v>0</v>
      </c>
      <c r="P128">
        <f t="shared" si="33"/>
        <v>0</v>
      </c>
      <c r="Q128">
        <f t="shared" si="33"/>
        <v>0</v>
      </c>
      <c r="R128">
        <f t="shared" si="33"/>
        <v>0</v>
      </c>
      <c r="S128">
        <f t="shared" si="33"/>
        <v>0</v>
      </c>
      <c r="T128">
        <f t="shared" si="33"/>
        <v>0</v>
      </c>
      <c r="U128">
        <f t="shared" si="33"/>
        <v>0</v>
      </c>
      <c r="V128">
        <f t="shared" si="33"/>
        <v>0</v>
      </c>
      <c r="W128">
        <f t="shared" si="33"/>
        <v>0</v>
      </c>
      <c r="X128">
        <f t="shared" si="33"/>
        <v>0</v>
      </c>
      <c r="Y128">
        <f t="shared" si="32"/>
        <v>0</v>
      </c>
      <c r="Z128">
        <f t="shared" si="32"/>
        <v>0</v>
      </c>
      <c r="AA128">
        <f t="shared" si="32"/>
        <v>0</v>
      </c>
      <c r="AB128">
        <f t="shared" si="32"/>
        <v>0</v>
      </c>
      <c r="AC128">
        <f t="shared" si="32"/>
        <v>0</v>
      </c>
      <c r="AD128">
        <f t="shared" si="32"/>
        <v>0</v>
      </c>
      <c r="AE128">
        <f t="shared" si="32"/>
        <v>0</v>
      </c>
      <c r="AF128">
        <f t="shared" si="32"/>
        <v>0</v>
      </c>
      <c r="AG128">
        <f t="shared" si="32"/>
        <v>0</v>
      </c>
      <c r="AH128">
        <f t="shared" si="32"/>
        <v>0</v>
      </c>
      <c r="AI128">
        <f t="shared" si="32"/>
        <v>0</v>
      </c>
      <c r="AJ128">
        <f t="shared" si="32"/>
        <v>0</v>
      </c>
      <c r="AK128">
        <f t="shared" si="32"/>
        <v>0</v>
      </c>
      <c r="AL128">
        <f t="shared" si="32"/>
        <v>0</v>
      </c>
      <c r="AM128">
        <f t="shared" si="32"/>
        <v>0</v>
      </c>
      <c r="AN128">
        <f t="shared" si="31"/>
        <v>0</v>
      </c>
      <c r="AO128">
        <f t="shared" si="31"/>
        <v>0</v>
      </c>
      <c r="AP128">
        <f t="shared" si="31"/>
        <v>0</v>
      </c>
      <c r="AQ128">
        <f t="shared" si="31"/>
        <v>0</v>
      </c>
      <c r="AR128">
        <f t="shared" si="31"/>
        <v>0</v>
      </c>
    </row>
    <row r="129" spans="5:44" x14ac:dyDescent="0.2">
      <c r="E129" s="1">
        <f>moment_rate!$M129</f>
        <v>85.333263457363188</v>
      </c>
      <c r="F129" s="1">
        <f t="shared" si="21"/>
        <v>1.7500530556499427</v>
      </c>
      <c r="G129">
        <f>moment_rate!I129-0.005</f>
        <v>1.2200000000000009</v>
      </c>
      <c r="H129" s="1">
        <f t="shared" si="22"/>
        <v>0</v>
      </c>
      <c r="I129">
        <f t="shared" si="33"/>
        <v>0</v>
      </c>
      <c r="J129">
        <f t="shared" si="33"/>
        <v>0</v>
      </c>
      <c r="K129">
        <f t="shared" si="33"/>
        <v>0</v>
      </c>
      <c r="L129">
        <f t="shared" si="33"/>
        <v>0</v>
      </c>
      <c r="M129">
        <f t="shared" si="33"/>
        <v>0</v>
      </c>
      <c r="N129">
        <f t="shared" si="33"/>
        <v>0</v>
      </c>
      <c r="O129">
        <f t="shared" si="33"/>
        <v>0</v>
      </c>
      <c r="P129">
        <f t="shared" si="33"/>
        <v>0</v>
      </c>
      <c r="Q129">
        <f t="shared" si="33"/>
        <v>0</v>
      </c>
      <c r="R129">
        <f t="shared" si="33"/>
        <v>0</v>
      </c>
      <c r="S129">
        <f t="shared" si="33"/>
        <v>0</v>
      </c>
      <c r="T129">
        <f t="shared" si="33"/>
        <v>0</v>
      </c>
      <c r="U129">
        <f t="shared" si="33"/>
        <v>0</v>
      </c>
      <c r="V129">
        <f t="shared" si="33"/>
        <v>0</v>
      </c>
      <c r="W129">
        <f t="shared" si="33"/>
        <v>0</v>
      </c>
      <c r="X129">
        <f t="shared" si="33"/>
        <v>0</v>
      </c>
      <c r="Y129">
        <f t="shared" si="32"/>
        <v>0</v>
      </c>
      <c r="Z129">
        <f t="shared" si="32"/>
        <v>0</v>
      </c>
      <c r="AA129">
        <f t="shared" si="32"/>
        <v>0</v>
      </c>
      <c r="AB129">
        <f t="shared" si="32"/>
        <v>0</v>
      </c>
      <c r="AC129">
        <f t="shared" si="32"/>
        <v>0</v>
      </c>
      <c r="AD129">
        <f t="shared" si="32"/>
        <v>0</v>
      </c>
      <c r="AE129">
        <f t="shared" si="32"/>
        <v>0</v>
      </c>
      <c r="AF129">
        <f t="shared" si="32"/>
        <v>0</v>
      </c>
      <c r="AG129">
        <f t="shared" si="32"/>
        <v>0</v>
      </c>
      <c r="AH129">
        <f t="shared" si="32"/>
        <v>0</v>
      </c>
      <c r="AI129">
        <f t="shared" si="32"/>
        <v>0</v>
      </c>
      <c r="AJ129">
        <f t="shared" si="32"/>
        <v>0</v>
      </c>
      <c r="AK129">
        <f t="shared" si="32"/>
        <v>0</v>
      </c>
      <c r="AL129">
        <f t="shared" si="32"/>
        <v>0</v>
      </c>
      <c r="AM129">
        <f t="shared" si="32"/>
        <v>0</v>
      </c>
      <c r="AN129">
        <f t="shared" si="31"/>
        <v>0</v>
      </c>
      <c r="AO129">
        <f t="shared" si="31"/>
        <v>0</v>
      </c>
      <c r="AP129">
        <f t="shared" si="31"/>
        <v>0</v>
      </c>
      <c r="AQ129">
        <f t="shared" si="31"/>
        <v>0</v>
      </c>
      <c r="AR129">
        <f t="shared" si="31"/>
        <v>0</v>
      </c>
    </row>
    <row r="130" spans="5:44" x14ac:dyDescent="0.2">
      <c r="E130" s="1">
        <f>moment_rate!$M130</f>
        <v>83.583210401713245</v>
      </c>
      <c r="F130" s="1">
        <f t="shared" si="21"/>
        <v>1.7141594419429964</v>
      </c>
      <c r="G130">
        <f>moment_rate!I130-0.005</f>
        <v>1.2300000000000009</v>
      </c>
      <c r="H130" s="1">
        <f t="shared" si="22"/>
        <v>0</v>
      </c>
      <c r="I130">
        <f t="shared" si="33"/>
        <v>0</v>
      </c>
      <c r="J130">
        <f t="shared" si="33"/>
        <v>0</v>
      </c>
      <c r="K130">
        <f t="shared" si="33"/>
        <v>0</v>
      </c>
      <c r="L130">
        <f t="shared" si="33"/>
        <v>0</v>
      </c>
      <c r="M130">
        <f t="shared" si="33"/>
        <v>0</v>
      </c>
      <c r="N130">
        <f t="shared" si="33"/>
        <v>0</v>
      </c>
      <c r="O130">
        <f t="shared" si="33"/>
        <v>0</v>
      </c>
      <c r="P130">
        <f t="shared" si="33"/>
        <v>0</v>
      </c>
      <c r="Q130">
        <f t="shared" si="33"/>
        <v>0</v>
      </c>
      <c r="R130">
        <f t="shared" si="33"/>
        <v>0</v>
      </c>
      <c r="S130">
        <f t="shared" si="33"/>
        <v>0</v>
      </c>
      <c r="T130">
        <f t="shared" si="33"/>
        <v>0</v>
      </c>
      <c r="U130">
        <f t="shared" si="33"/>
        <v>0</v>
      </c>
      <c r="V130">
        <f t="shared" si="33"/>
        <v>0</v>
      </c>
      <c r="W130">
        <f t="shared" si="33"/>
        <v>0</v>
      </c>
      <c r="X130">
        <f t="shared" si="33"/>
        <v>0</v>
      </c>
      <c r="Y130">
        <f t="shared" si="32"/>
        <v>0</v>
      </c>
      <c r="Z130">
        <f t="shared" si="32"/>
        <v>0</v>
      </c>
      <c r="AA130">
        <f t="shared" si="32"/>
        <v>0</v>
      </c>
      <c r="AB130">
        <f t="shared" si="32"/>
        <v>0</v>
      </c>
      <c r="AC130">
        <f t="shared" si="32"/>
        <v>0</v>
      </c>
      <c r="AD130">
        <f t="shared" si="32"/>
        <v>0</v>
      </c>
      <c r="AE130">
        <f t="shared" si="32"/>
        <v>0</v>
      </c>
      <c r="AF130">
        <f t="shared" si="32"/>
        <v>0</v>
      </c>
      <c r="AG130">
        <f t="shared" si="32"/>
        <v>0</v>
      </c>
      <c r="AH130">
        <f t="shared" si="32"/>
        <v>0</v>
      </c>
      <c r="AI130">
        <f t="shared" si="32"/>
        <v>0</v>
      </c>
      <c r="AJ130">
        <f t="shared" si="32"/>
        <v>0</v>
      </c>
      <c r="AK130">
        <f t="shared" si="32"/>
        <v>0</v>
      </c>
      <c r="AL130">
        <f t="shared" si="32"/>
        <v>0</v>
      </c>
      <c r="AM130">
        <f t="shared" si="32"/>
        <v>0</v>
      </c>
      <c r="AN130">
        <f t="shared" si="31"/>
        <v>0</v>
      </c>
      <c r="AO130">
        <f t="shared" si="31"/>
        <v>0</v>
      </c>
      <c r="AP130">
        <f t="shared" si="31"/>
        <v>0</v>
      </c>
      <c r="AQ130">
        <f t="shared" si="31"/>
        <v>0</v>
      </c>
      <c r="AR130">
        <f t="shared" si="31"/>
        <v>0</v>
      </c>
    </row>
    <row r="131" spans="5:44" x14ac:dyDescent="0.2">
      <c r="E131" s="1">
        <f>moment_rate!$M131</f>
        <v>81.869050959770249</v>
      </c>
      <c r="F131" s="1">
        <f t="shared" si="21"/>
        <v>1.6790020067769404</v>
      </c>
      <c r="G131">
        <f>moment_rate!I131-0.005</f>
        <v>1.2400000000000009</v>
      </c>
      <c r="H131" s="1">
        <f t="shared" si="22"/>
        <v>0</v>
      </c>
      <c r="I131">
        <f t="shared" si="33"/>
        <v>0</v>
      </c>
      <c r="J131">
        <f t="shared" si="33"/>
        <v>0</v>
      </c>
      <c r="K131">
        <f t="shared" si="33"/>
        <v>0</v>
      </c>
      <c r="L131">
        <f t="shared" si="33"/>
        <v>0</v>
      </c>
      <c r="M131">
        <f t="shared" si="33"/>
        <v>0</v>
      </c>
      <c r="N131">
        <f t="shared" si="33"/>
        <v>0</v>
      </c>
      <c r="O131">
        <f t="shared" si="33"/>
        <v>0</v>
      </c>
      <c r="P131">
        <f t="shared" si="33"/>
        <v>0</v>
      </c>
      <c r="Q131">
        <f t="shared" si="33"/>
        <v>0</v>
      </c>
      <c r="R131">
        <f t="shared" si="33"/>
        <v>0</v>
      </c>
      <c r="S131">
        <f t="shared" si="33"/>
        <v>0</v>
      </c>
      <c r="T131">
        <f t="shared" si="33"/>
        <v>0</v>
      </c>
      <c r="U131">
        <f t="shared" si="33"/>
        <v>0</v>
      </c>
      <c r="V131">
        <f t="shared" si="33"/>
        <v>0</v>
      </c>
      <c r="W131">
        <f t="shared" si="33"/>
        <v>0</v>
      </c>
      <c r="X131">
        <f t="shared" si="33"/>
        <v>0</v>
      </c>
      <c r="Y131">
        <f t="shared" si="32"/>
        <v>0</v>
      </c>
      <c r="Z131">
        <f t="shared" si="32"/>
        <v>0</v>
      </c>
      <c r="AA131">
        <f t="shared" si="32"/>
        <v>0</v>
      </c>
      <c r="AB131">
        <f t="shared" si="32"/>
        <v>0</v>
      </c>
      <c r="AC131">
        <f t="shared" si="32"/>
        <v>0</v>
      </c>
      <c r="AD131">
        <f t="shared" si="32"/>
        <v>0</v>
      </c>
      <c r="AE131">
        <f t="shared" si="32"/>
        <v>0</v>
      </c>
      <c r="AF131">
        <f t="shared" si="32"/>
        <v>0</v>
      </c>
      <c r="AG131">
        <f t="shared" si="32"/>
        <v>0</v>
      </c>
      <c r="AH131">
        <f t="shared" si="32"/>
        <v>0</v>
      </c>
      <c r="AI131">
        <f t="shared" si="32"/>
        <v>0</v>
      </c>
      <c r="AJ131">
        <f t="shared" si="32"/>
        <v>0</v>
      </c>
      <c r="AK131">
        <f t="shared" si="32"/>
        <v>0</v>
      </c>
      <c r="AL131">
        <f t="shared" si="32"/>
        <v>0</v>
      </c>
      <c r="AM131">
        <f t="shared" si="32"/>
        <v>0</v>
      </c>
      <c r="AN131">
        <f t="shared" si="31"/>
        <v>0</v>
      </c>
      <c r="AO131">
        <f t="shared" si="31"/>
        <v>0</v>
      </c>
      <c r="AP131">
        <f t="shared" si="31"/>
        <v>0</v>
      </c>
      <c r="AQ131">
        <f t="shared" si="31"/>
        <v>0</v>
      </c>
      <c r="AR131">
        <f t="shared" si="31"/>
        <v>0</v>
      </c>
    </row>
    <row r="132" spans="5:44" x14ac:dyDescent="0.2">
      <c r="E132" s="1">
        <f>moment_rate!$M132</f>
        <v>80.190048952993308</v>
      </c>
      <c r="F132" s="1">
        <f t="shared" si="21"/>
        <v>1.6445656511191231</v>
      </c>
      <c r="G132">
        <f>moment_rate!I132-0.005</f>
        <v>1.2500000000000009</v>
      </c>
      <c r="H132" s="1">
        <f t="shared" si="22"/>
        <v>0</v>
      </c>
      <c r="I132">
        <f t="shared" si="33"/>
        <v>0</v>
      </c>
      <c r="J132">
        <f t="shared" si="33"/>
        <v>0</v>
      </c>
      <c r="K132">
        <f t="shared" si="33"/>
        <v>0</v>
      </c>
      <c r="L132">
        <f t="shared" si="33"/>
        <v>0</v>
      </c>
      <c r="M132">
        <f t="shared" si="33"/>
        <v>0</v>
      </c>
      <c r="N132">
        <f t="shared" si="33"/>
        <v>0</v>
      </c>
      <c r="O132">
        <f t="shared" si="33"/>
        <v>0</v>
      </c>
      <c r="P132">
        <f t="shared" si="33"/>
        <v>0</v>
      </c>
      <c r="Q132">
        <f t="shared" si="33"/>
        <v>0</v>
      </c>
      <c r="R132">
        <f t="shared" si="33"/>
        <v>0</v>
      </c>
      <c r="S132">
        <f t="shared" si="33"/>
        <v>0</v>
      </c>
      <c r="T132">
        <f t="shared" si="33"/>
        <v>0</v>
      </c>
      <c r="U132">
        <f t="shared" si="33"/>
        <v>0</v>
      </c>
      <c r="V132">
        <f t="shared" si="33"/>
        <v>0</v>
      </c>
      <c r="W132">
        <f t="shared" si="33"/>
        <v>0</v>
      </c>
      <c r="X132">
        <f t="shared" si="33"/>
        <v>0</v>
      </c>
      <c r="Y132">
        <f t="shared" si="32"/>
        <v>0</v>
      </c>
      <c r="Z132">
        <f t="shared" si="32"/>
        <v>0</v>
      </c>
      <c r="AA132">
        <f t="shared" si="32"/>
        <v>0</v>
      </c>
      <c r="AB132">
        <f t="shared" si="32"/>
        <v>0</v>
      </c>
      <c r="AC132">
        <f t="shared" si="32"/>
        <v>0</v>
      </c>
      <c r="AD132">
        <f t="shared" si="32"/>
        <v>0</v>
      </c>
      <c r="AE132">
        <f t="shared" si="32"/>
        <v>0</v>
      </c>
      <c r="AF132">
        <f t="shared" si="32"/>
        <v>0</v>
      </c>
      <c r="AG132">
        <f t="shared" si="32"/>
        <v>0</v>
      </c>
      <c r="AH132">
        <f t="shared" si="32"/>
        <v>0</v>
      </c>
      <c r="AI132">
        <f t="shared" si="32"/>
        <v>0</v>
      </c>
      <c r="AJ132">
        <f t="shared" si="32"/>
        <v>0</v>
      </c>
      <c r="AK132">
        <f t="shared" si="32"/>
        <v>0</v>
      </c>
      <c r="AL132">
        <f t="shared" si="32"/>
        <v>0</v>
      </c>
      <c r="AM132">
        <f t="shared" si="32"/>
        <v>0</v>
      </c>
      <c r="AN132">
        <f t="shared" si="31"/>
        <v>0</v>
      </c>
      <c r="AO132">
        <f t="shared" si="31"/>
        <v>0</v>
      </c>
      <c r="AP132">
        <f t="shared" si="31"/>
        <v>0</v>
      </c>
      <c r="AQ132">
        <f t="shared" si="31"/>
        <v>0</v>
      </c>
      <c r="AR132">
        <f t="shared" si="31"/>
        <v>0</v>
      </c>
    </row>
    <row r="133" spans="5:44" x14ac:dyDescent="0.2">
      <c r="E133" s="1">
        <f>moment_rate!$M133</f>
        <v>78.545483301874185</v>
      </c>
      <c r="F133" s="1">
        <f t="shared" si="21"/>
        <v>1.6108355856183181</v>
      </c>
      <c r="G133">
        <f>moment_rate!I133-0.005</f>
        <v>1.2600000000000009</v>
      </c>
      <c r="H133" s="1">
        <f t="shared" si="22"/>
        <v>0</v>
      </c>
      <c r="I133">
        <f t="shared" si="33"/>
        <v>0</v>
      </c>
      <c r="J133">
        <f t="shared" si="33"/>
        <v>0</v>
      </c>
      <c r="K133">
        <f t="shared" si="33"/>
        <v>0</v>
      </c>
      <c r="L133">
        <f t="shared" si="33"/>
        <v>0</v>
      </c>
      <c r="M133">
        <f t="shared" si="33"/>
        <v>0</v>
      </c>
      <c r="N133">
        <f t="shared" si="33"/>
        <v>0</v>
      </c>
      <c r="O133">
        <f t="shared" si="33"/>
        <v>0</v>
      </c>
      <c r="P133">
        <f t="shared" si="33"/>
        <v>0</v>
      </c>
      <c r="Q133">
        <f t="shared" si="33"/>
        <v>0</v>
      </c>
      <c r="R133">
        <f t="shared" si="33"/>
        <v>0</v>
      </c>
      <c r="S133">
        <f t="shared" si="33"/>
        <v>0</v>
      </c>
      <c r="T133">
        <f t="shared" si="33"/>
        <v>0</v>
      </c>
      <c r="U133">
        <f t="shared" si="33"/>
        <v>0</v>
      </c>
      <c r="V133">
        <f t="shared" si="33"/>
        <v>0</v>
      </c>
      <c r="W133">
        <f t="shared" si="33"/>
        <v>0</v>
      </c>
      <c r="X133">
        <f t="shared" si="33"/>
        <v>0</v>
      </c>
      <c r="Y133">
        <f t="shared" si="32"/>
        <v>0</v>
      </c>
      <c r="Z133">
        <f t="shared" si="32"/>
        <v>0</v>
      </c>
      <c r="AA133">
        <f t="shared" si="32"/>
        <v>0</v>
      </c>
      <c r="AB133">
        <f t="shared" si="32"/>
        <v>0</v>
      </c>
      <c r="AC133">
        <f t="shared" si="32"/>
        <v>0</v>
      </c>
      <c r="AD133">
        <f t="shared" si="32"/>
        <v>0</v>
      </c>
      <c r="AE133">
        <f t="shared" si="32"/>
        <v>0</v>
      </c>
      <c r="AF133">
        <f t="shared" si="32"/>
        <v>0</v>
      </c>
      <c r="AG133">
        <f t="shared" si="32"/>
        <v>0</v>
      </c>
      <c r="AH133">
        <f t="shared" si="32"/>
        <v>0</v>
      </c>
      <c r="AI133">
        <f t="shared" si="32"/>
        <v>0</v>
      </c>
      <c r="AJ133">
        <f t="shared" si="32"/>
        <v>0</v>
      </c>
      <c r="AK133">
        <f t="shared" si="32"/>
        <v>0</v>
      </c>
      <c r="AL133">
        <f t="shared" si="32"/>
        <v>0</v>
      </c>
      <c r="AM133">
        <f t="shared" si="32"/>
        <v>0</v>
      </c>
      <c r="AN133">
        <f t="shared" si="31"/>
        <v>0</v>
      </c>
      <c r="AO133">
        <f t="shared" si="31"/>
        <v>0</v>
      </c>
      <c r="AP133">
        <f t="shared" si="31"/>
        <v>0</v>
      </c>
      <c r="AQ133">
        <f t="shared" si="31"/>
        <v>0</v>
      </c>
      <c r="AR133">
        <f t="shared" si="31"/>
        <v>0</v>
      </c>
    </row>
    <row r="134" spans="5:44" x14ac:dyDescent="0.2">
      <c r="E134" s="1">
        <f>moment_rate!$M134</f>
        <v>76.934647716255867</v>
      </c>
      <c r="F134" s="1">
        <f t="shared" si="21"/>
        <v>1.5777973242530976</v>
      </c>
      <c r="G134">
        <f>moment_rate!I134-0.005</f>
        <v>1.2700000000000009</v>
      </c>
      <c r="H134" s="1">
        <f t="shared" si="22"/>
        <v>0</v>
      </c>
      <c r="I134">
        <f t="shared" si="33"/>
        <v>0</v>
      </c>
      <c r="J134">
        <f t="shared" si="33"/>
        <v>0</v>
      </c>
      <c r="K134">
        <f t="shared" si="33"/>
        <v>0</v>
      </c>
      <c r="L134">
        <f t="shared" si="33"/>
        <v>0</v>
      </c>
      <c r="M134">
        <f t="shared" si="33"/>
        <v>0</v>
      </c>
      <c r="N134">
        <f t="shared" si="33"/>
        <v>0</v>
      </c>
      <c r="O134">
        <f t="shared" si="33"/>
        <v>0</v>
      </c>
      <c r="P134">
        <f t="shared" si="33"/>
        <v>0</v>
      </c>
      <c r="Q134">
        <f t="shared" si="33"/>
        <v>0</v>
      </c>
      <c r="R134">
        <f t="shared" si="33"/>
        <v>0</v>
      </c>
      <c r="S134">
        <f t="shared" si="33"/>
        <v>0</v>
      </c>
      <c r="T134">
        <f t="shared" si="33"/>
        <v>0</v>
      </c>
      <c r="U134">
        <f t="shared" si="33"/>
        <v>0</v>
      </c>
      <c r="V134">
        <f t="shared" si="33"/>
        <v>0</v>
      </c>
      <c r="W134">
        <f t="shared" si="33"/>
        <v>0</v>
      </c>
      <c r="X134">
        <f t="shared" si="33"/>
        <v>0</v>
      </c>
      <c r="Y134">
        <f t="shared" si="32"/>
        <v>0</v>
      </c>
      <c r="Z134">
        <f t="shared" si="32"/>
        <v>0</v>
      </c>
      <c r="AA134">
        <f t="shared" si="32"/>
        <v>0</v>
      </c>
      <c r="AB134">
        <f t="shared" si="32"/>
        <v>0</v>
      </c>
      <c r="AC134">
        <f t="shared" si="32"/>
        <v>0</v>
      </c>
      <c r="AD134">
        <f t="shared" si="32"/>
        <v>0</v>
      </c>
      <c r="AE134">
        <f t="shared" si="32"/>
        <v>0</v>
      </c>
      <c r="AF134">
        <f t="shared" si="32"/>
        <v>0</v>
      </c>
      <c r="AG134">
        <f t="shared" si="32"/>
        <v>0</v>
      </c>
      <c r="AH134">
        <f t="shared" si="32"/>
        <v>0</v>
      </c>
      <c r="AI134">
        <f t="shared" si="32"/>
        <v>0</v>
      </c>
      <c r="AJ134">
        <f t="shared" si="32"/>
        <v>0</v>
      </c>
      <c r="AK134">
        <f t="shared" si="32"/>
        <v>0</v>
      </c>
      <c r="AL134">
        <f t="shared" si="32"/>
        <v>0</v>
      </c>
      <c r="AM134">
        <f t="shared" si="32"/>
        <v>0</v>
      </c>
      <c r="AN134">
        <f t="shared" si="31"/>
        <v>0</v>
      </c>
      <c r="AO134">
        <f t="shared" si="31"/>
        <v>0</v>
      </c>
      <c r="AP134">
        <f t="shared" si="31"/>
        <v>0</v>
      </c>
      <c r="AQ134">
        <f t="shared" si="31"/>
        <v>0</v>
      </c>
      <c r="AR134">
        <f t="shared" si="31"/>
        <v>0</v>
      </c>
    </row>
    <row r="135" spans="5:44" x14ac:dyDescent="0.2">
      <c r="E135" s="1">
        <f>moment_rate!$M135</f>
        <v>75.356850392002769</v>
      </c>
      <c r="F135" s="1">
        <f t="shared" si="21"/>
        <v>1.5454366781105477</v>
      </c>
      <c r="G135">
        <f>moment_rate!I135-0.005</f>
        <v>1.2800000000000009</v>
      </c>
      <c r="H135" s="1">
        <f t="shared" si="22"/>
        <v>0</v>
      </c>
      <c r="I135">
        <f t="shared" si="33"/>
        <v>0</v>
      </c>
      <c r="J135">
        <f t="shared" si="33"/>
        <v>0</v>
      </c>
      <c r="K135">
        <f t="shared" si="33"/>
        <v>0</v>
      </c>
      <c r="L135">
        <f t="shared" si="33"/>
        <v>0</v>
      </c>
      <c r="M135">
        <f t="shared" si="33"/>
        <v>0</v>
      </c>
      <c r="N135">
        <f t="shared" si="33"/>
        <v>0</v>
      </c>
      <c r="O135">
        <f t="shared" si="33"/>
        <v>0</v>
      </c>
      <c r="P135">
        <f t="shared" si="33"/>
        <v>0</v>
      </c>
      <c r="Q135">
        <f t="shared" si="33"/>
        <v>0</v>
      </c>
      <c r="R135">
        <f t="shared" si="33"/>
        <v>0</v>
      </c>
      <c r="S135">
        <f t="shared" si="33"/>
        <v>0</v>
      </c>
      <c r="T135">
        <f t="shared" si="33"/>
        <v>0</v>
      </c>
      <c r="U135">
        <f t="shared" si="33"/>
        <v>0</v>
      </c>
      <c r="V135">
        <f t="shared" si="33"/>
        <v>0</v>
      </c>
      <c r="W135">
        <f t="shared" si="33"/>
        <v>0</v>
      </c>
      <c r="X135">
        <f t="shared" si="33"/>
        <v>0</v>
      </c>
      <c r="Y135">
        <f t="shared" si="32"/>
        <v>0</v>
      </c>
      <c r="Z135">
        <f t="shared" si="32"/>
        <v>0</v>
      </c>
      <c r="AA135">
        <f t="shared" si="32"/>
        <v>0</v>
      </c>
      <c r="AB135">
        <f t="shared" si="32"/>
        <v>0</v>
      </c>
      <c r="AC135">
        <f t="shared" si="32"/>
        <v>0</v>
      </c>
      <c r="AD135">
        <f t="shared" si="32"/>
        <v>0</v>
      </c>
      <c r="AE135">
        <f t="shared" si="32"/>
        <v>0</v>
      </c>
      <c r="AF135">
        <f t="shared" si="32"/>
        <v>0</v>
      </c>
      <c r="AG135">
        <f t="shared" si="32"/>
        <v>0</v>
      </c>
      <c r="AH135">
        <f t="shared" si="32"/>
        <v>0</v>
      </c>
      <c r="AI135">
        <f t="shared" si="32"/>
        <v>0</v>
      </c>
      <c r="AJ135">
        <f t="shared" si="32"/>
        <v>0</v>
      </c>
      <c r="AK135">
        <f t="shared" si="32"/>
        <v>0</v>
      </c>
      <c r="AL135">
        <f t="shared" si="32"/>
        <v>0</v>
      </c>
      <c r="AM135">
        <f t="shared" si="32"/>
        <v>0</v>
      </c>
      <c r="AN135">
        <f t="shared" si="31"/>
        <v>0</v>
      </c>
      <c r="AO135">
        <f t="shared" si="31"/>
        <v>0</v>
      </c>
      <c r="AP135">
        <f t="shared" si="31"/>
        <v>0</v>
      </c>
      <c r="AQ135">
        <f t="shared" si="31"/>
        <v>0</v>
      </c>
      <c r="AR135">
        <f t="shared" si="31"/>
        <v>0</v>
      </c>
    </row>
    <row r="136" spans="5:44" x14ac:dyDescent="0.2">
      <c r="E136" s="1">
        <f>moment_rate!$M136</f>
        <v>73.811413713892222</v>
      </c>
      <c r="F136" s="1">
        <f t="shared" ref="F136:F199" si="34">E136-E137</f>
        <v>1.5137397492925686</v>
      </c>
      <c r="G136">
        <f>moment_rate!I136-0.005</f>
        <v>1.2900000000000009</v>
      </c>
      <c r="H136" s="1">
        <f t="shared" ref="H136:H199" si="35">IF($G136&gt;=4.999,(E136-E137),0)</f>
        <v>0</v>
      </c>
      <c r="I136">
        <f t="shared" si="33"/>
        <v>0</v>
      </c>
      <c r="J136">
        <f t="shared" si="33"/>
        <v>0</v>
      </c>
      <c r="K136">
        <f t="shared" si="33"/>
        <v>0</v>
      </c>
      <c r="L136">
        <f t="shared" si="33"/>
        <v>0</v>
      </c>
      <c r="M136">
        <f t="shared" si="33"/>
        <v>0</v>
      </c>
      <c r="N136">
        <f t="shared" si="33"/>
        <v>0</v>
      </c>
      <c r="O136">
        <f t="shared" si="33"/>
        <v>0</v>
      </c>
      <c r="P136">
        <f t="shared" si="33"/>
        <v>0</v>
      </c>
      <c r="Q136">
        <f t="shared" si="33"/>
        <v>0</v>
      </c>
      <c r="R136">
        <f t="shared" si="33"/>
        <v>0</v>
      </c>
      <c r="S136">
        <f t="shared" si="33"/>
        <v>0</v>
      </c>
      <c r="T136">
        <f t="shared" si="33"/>
        <v>0</v>
      </c>
      <c r="U136">
        <f t="shared" si="33"/>
        <v>0</v>
      </c>
      <c r="V136">
        <f t="shared" si="33"/>
        <v>0</v>
      </c>
      <c r="W136">
        <f t="shared" si="33"/>
        <v>0</v>
      </c>
      <c r="X136">
        <f t="shared" si="33"/>
        <v>0</v>
      </c>
      <c r="Y136">
        <f t="shared" si="32"/>
        <v>0</v>
      </c>
      <c r="Z136">
        <f t="shared" si="32"/>
        <v>0</v>
      </c>
      <c r="AA136">
        <f t="shared" si="32"/>
        <v>0</v>
      </c>
      <c r="AB136">
        <f t="shared" si="32"/>
        <v>0</v>
      </c>
      <c r="AC136">
        <f t="shared" si="32"/>
        <v>0</v>
      </c>
      <c r="AD136">
        <f t="shared" si="32"/>
        <v>0</v>
      </c>
      <c r="AE136">
        <f t="shared" si="32"/>
        <v>0</v>
      </c>
      <c r="AF136">
        <f t="shared" si="32"/>
        <v>0</v>
      </c>
      <c r="AG136">
        <f t="shared" si="32"/>
        <v>0</v>
      </c>
      <c r="AH136">
        <f t="shared" si="32"/>
        <v>0</v>
      </c>
      <c r="AI136">
        <f t="shared" si="32"/>
        <v>0</v>
      </c>
      <c r="AJ136">
        <f t="shared" si="32"/>
        <v>0</v>
      </c>
      <c r="AK136">
        <f t="shared" si="32"/>
        <v>0</v>
      </c>
      <c r="AL136">
        <f t="shared" si="32"/>
        <v>0</v>
      </c>
      <c r="AM136">
        <f t="shared" si="32"/>
        <v>0</v>
      </c>
      <c r="AN136">
        <f t="shared" si="31"/>
        <v>0</v>
      </c>
      <c r="AO136">
        <f t="shared" si="31"/>
        <v>0</v>
      </c>
      <c r="AP136">
        <f t="shared" si="31"/>
        <v>0</v>
      </c>
      <c r="AQ136">
        <f t="shared" si="31"/>
        <v>0</v>
      </c>
      <c r="AR136">
        <f t="shared" si="31"/>
        <v>0</v>
      </c>
    </row>
    <row r="137" spans="5:44" x14ac:dyDescent="0.2">
      <c r="E137" s="1">
        <f>moment_rate!$M137</f>
        <v>72.297673964599653</v>
      </c>
      <c r="F137" s="1">
        <f t="shared" si="34"/>
        <v>1.482692924947159</v>
      </c>
      <c r="G137">
        <f>moment_rate!I137-0.005</f>
        <v>1.3000000000000009</v>
      </c>
      <c r="H137" s="1">
        <f t="shared" si="35"/>
        <v>0</v>
      </c>
      <c r="I137">
        <f t="shared" si="33"/>
        <v>0</v>
      </c>
      <c r="J137">
        <f t="shared" si="33"/>
        <v>0</v>
      </c>
      <c r="K137">
        <f t="shared" si="33"/>
        <v>0</v>
      </c>
      <c r="L137">
        <f t="shared" si="33"/>
        <v>0</v>
      </c>
      <c r="M137">
        <f t="shared" si="33"/>
        <v>0</v>
      </c>
      <c r="N137">
        <f t="shared" si="33"/>
        <v>0</v>
      </c>
      <c r="O137">
        <f t="shared" si="33"/>
        <v>0</v>
      </c>
      <c r="P137">
        <f t="shared" si="33"/>
        <v>0</v>
      </c>
      <c r="Q137">
        <f t="shared" si="33"/>
        <v>0</v>
      </c>
      <c r="R137">
        <f t="shared" si="33"/>
        <v>0</v>
      </c>
      <c r="S137">
        <f t="shared" si="33"/>
        <v>0</v>
      </c>
      <c r="T137">
        <f t="shared" si="33"/>
        <v>0</v>
      </c>
      <c r="U137">
        <f t="shared" si="33"/>
        <v>0</v>
      </c>
      <c r="V137">
        <f t="shared" si="33"/>
        <v>0</v>
      </c>
      <c r="W137">
        <f t="shared" si="33"/>
        <v>0</v>
      </c>
      <c r="X137">
        <f t="shared" si="33"/>
        <v>0</v>
      </c>
      <c r="Y137">
        <f t="shared" si="32"/>
        <v>0</v>
      </c>
      <c r="Z137">
        <f t="shared" si="32"/>
        <v>0</v>
      </c>
      <c r="AA137">
        <f t="shared" si="32"/>
        <v>0</v>
      </c>
      <c r="AB137">
        <f t="shared" si="32"/>
        <v>0</v>
      </c>
      <c r="AC137">
        <f t="shared" si="32"/>
        <v>0</v>
      </c>
      <c r="AD137">
        <f t="shared" si="32"/>
        <v>0</v>
      </c>
      <c r="AE137">
        <f t="shared" si="32"/>
        <v>0</v>
      </c>
      <c r="AF137">
        <f t="shared" si="32"/>
        <v>0</v>
      </c>
      <c r="AG137">
        <f t="shared" si="32"/>
        <v>0</v>
      </c>
      <c r="AH137">
        <f t="shared" si="32"/>
        <v>0</v>
      </c>
      <c r="AI137">
        <f t="shared" si="32"/>
        <v>0</v>
      </c>
      <c r="AJ137">
        <f t="shared" si="32"/>
        <v>0</v>
      </c>
      <c r="AK137">
        <f t="shared" si="32"/>
        <v>0</v>
      </c>
      <c r="AL137">
        <f t="shared" si="32"/>
        <v>0</v>
      </c>
      <c r="AM137">
        <f t="shared" si="32"/>
        <v>0</v>
      </c>
      <c r="AN137">
        <f t="shared" si="31"/>
        <v>0</v>
      </c>
      <c r="AO137">
        <f t="shared" si="31"/>
        <v>0</v>
      </c>
      <c r="AP137">
        <f t="shared" si="31"/>
        <v>0</v>
      </c>
      <c r="AQ137">
        <f t="shared" si="31"/>
        <v>0</v>
      </c>
      <c r="AR137">
        <f t="shared" si="31"/>
        <v>0</v>
      </c>
    </row>
    <row r="138" spans="5:44" x14ac:dyDescent="0.2">
      <c r="E138" s="1">
        <f>moment_rate!$M138</f>
        <v>70.814981039652494</v>
      </c>
      <c r="F138" s="1">
        <f t="shared" si="34"/>
        <v>1.4522828714220566</v>
      </c>
      <c r="G138">
        <f>moment_rate!I138-0.005</f>
        <v>1.3100000000000009</v>
      </c>
      <c r="H138" s="1">
        <f t="shared" si="35"/>
        <v>0</v>
      </c>
      <c r="I138">
        <f t="shared" si="33"/>
        <v>0</v>
      </c>
      <c r="J138">
        <f t="shared" si="33"/>
        <v>0</v>
      </c>
      <c r="K138">
        <f t="shared" si="33"/>
        <v>0</v>
      </c>
      <c r="L138">
        <f t="shared" si="33"/>
        <v>0</v>
      </c>
      <c r="M138">
        <f t="shared" si="33"/>
        <v>0</v>
      </c>
      <c r="N138">
        <f t="shared" si="33"/>
        <v>0</v>
      </c>
      <c r="O138">
        <f t="shared" si="33"/>
        <v>0</v>
      </c>
      <c r="P138">
        <f t="shared" si="33"/>
        <v>0</v>
      </c>
      <c r="Q138">
        <f t="shared" si="33"/>
        <v>0</v>
      </c>
      <c r="R138">
        <f t="shared" si="33"/>
        <v>0</v>
      </c>
      <c r="S138">
        <f t="shared" si="33"/>
        <v>0</v>
      </c>
      <c r="T138">
        <f t="shared" si="33"/>
        <v>0</v>
      </c>
      <c r="U138">
        <f t="shared" si="33"/>
        <v>0</v>
      </c>
      <c r="V138">
        <f t="shared" si="33"/>
        <v>0</v>
      </c>
      <c r="W138">
        <f t="shared" si="33"/>
        <v>0</v>
      </c>
      <c r="X138">
        <f t="shared" si="33"/>
        <v>0</v>
      </c>
      <c r="Y138">
        <f t="shared" si="32"/>
        <v>0</v>
      </c>
      <c r="Z138">
        <f t="shared" si="32"/>
        <v>0</v>
      </c>
      <c r="AA138">
        <f t="shared" si="32"/>
        <v>0</v>
      </c>
      <c r="AB138">
        <f t="shared" si="32"/>
        <v>0</v>
      </c>
      <c r="AC138">
        <f t="shared" si="32"/>
        <v>0</v>
      </c>
      <c r="AD138">
        <f t="shared" si="32"/>
        <v>0</v>
      </c>
      <c r="AE138">
        <f t="shared" si="32"/>
        <v>0</v>
      </c>
      <c r="AF138">
        <f t="shared" si="32"/>
        <v>0</v>
      </c>
      <c r="AG138">
        <f t="shared" si="32"/>
        <v>0</v>
      </c>
      <c r="AH138">
        <f t="shared" si="32"/>
        <v>0</v>
      </c>
      <c r="AI138">
        <f t="shared" si="32"/>
        <v>0</v>
      </c>
      <c r="AJ138">
        <f t="shared" si="32"/>
        <v>0</v>
      </c>
      <c r="AK138">
        <f t="shared" si="32"/>
        <v>0</v>
      </c>
      <c r="AL138">
        <f t="shared" si="32"/>
        <v>0</v>
      </c>
      <c r="AM138">
        <f t="shared" si="32"/>
        <v>0</v>
      </c>
      <c r="AN138">
        <f t="shared" si="31"/>
        <v>0</v>
      </c>
      <c r="AO138">
        <f t="shared" si="31"/>
        <v>0</v>
      </c>
      <c r="AP138">
        <f t="shared" si="31"/>
        <v>0</v>
      </c>
      <c r="AQ138">
        <f t="shared" si="31"/>
        <v>0</v>
      </c>
      <c r="AR138">
        <f t="shared" si="31"/>
        <v>0</v>
      </c>
    </row>
    <row r="139" spans="5:44" x14ac:dyDescent="0.2">
      <c r="E139" s="1">
        <f>moment_rate!$M139</f>
        <v>69.362698168230438</v>
      </c>
      <c r="F139" s="1">
        <f t="shared" si="34"/>
        <v>1.4224965285384883</v>
      </c>
      <c r="G139">
        <f>moment_rate!I139-0.005</f>
        <v>1.320000000000001</v>
      </c>
      <c r="H139" s="1">
        <f t="shared" si="35"/>
        <v>0</v>
      </c>
      <c r="I139">
        <f t="shared" si="33"/>
        <v>0</v>
      </c>
      <c r="J139">
        <f t="shared" si="33"/>
        <v>0</v>
      </c>
      <c r="K139">
        <f t="shared" si="33"/>
        <v>0</v>
      </c>
      <c r="L139">
        <f t="shared" si="33"/>
        <v>0</v>
      </c>
      <c r="M139">
        <f t="shared" si="33"/>
        <v>0</v>
      </c>
      <c r="N139">
        <f t="shared" si="33"/>
        <v>0</v>
      </c>
      <c r="O139">
        <f t="shared" si="33"/>
        <v>0</v>
      </c>
      <c r="P139">
        <f t="shared" si="33"/>
        <v>0</v>
      </c>
      <c r="Q139">
        <f t="shared" si="33"/>
        <v>0</v>
      </c>
      <c r="R139">
        <f t="shared" si="33"/>
        <v>0</v>
      </c>
      <c r="S139">
        <f t="shared" si="33"/>
        <v>0</v>
      </c>
      <c r="T139">
        <f t="shared" si="33"/>
        <v>0</v>
      </c>
      <c r="U139">
        <f t="shared" si="33"/>
        <v>0</v>
      </c>
      <c r="V139">
        <f t="shared" si="33"/>
        <v>0</v>
      </c>
      <c r="W139">
        <f t="shared" si="33"/>
        <v>0</v>
      </c>
      <c r="X139">
        <f t="shared" si="33"/>
        <v>0</v>
      </c>
      <c r="Y139">
        <f t="shared" si="32"/>
        <v>0</v>
      </c>
      <c r="Z139">
        <f t="shared" si="32"/>
        <v>0</v>
      </c>
      <c r="AA139">
        <f t="shared" si="32"/>
        <v>0</v>
      </c>
      <c r="AB139">
        <f t="shared" si="32"/>
        <v>0</v>
      </c>
      <c r="AC139">
        <f t="shared" si="32"/>
        <v>0</v>
      </c>
      <c r="AD139">
        <f t="shared" si="32"/>
        <v>0</v>
      </c>
      <c r="AE139">
        <f t="shared" si="32"/>
        <v>0</v>
      </c>
      <c r="AF139">
        <f t="shared" si="32"/>
        <v>0</v>
      </c>
      <c r="AG139">
        <f t="shared" si="32"/>
        <v>0</v>
      </c>
      <c r="AH139">
        <f t="shared" si="32"/>
        <v>0</v>
      </c>
      <c r="AI139">
        <f t="shared" si="32"/>
        <v>0</v>
      </c>
      <c r="AJ139">
        <f t="shared" si="32"/>
        <v>0</v>
      </c>
      <c r="AK139">
        <f t="shared" si="32"/>
        <v>0</v>
      </c>
      <c r="AL139">
        <f t="shared" si="32"/>
        <v>0</v>
      </c>
      <c r="AM139">
        <f t="shared" si="32"/>
        <v>0</v>
      </c>
      <c r="AN139">
        <f t="shared" si="31"/>
        <v>0</v>
      </c>
      <c r="AO139">
        <f t="shared" si="31"/>
        <v>0</v>
      </c>
      <c r="AP139">
        <f t="shared" si="31"/>
        <v>0</v>
      </c>
      <c r="AQ139">
        <f t="shared" si="31"/>
        <v>0</v>
      </c>
      <c r="AR139">
        <f t="shared" si="31"/>
        <v>0</v>
      </c>
    </row>
    <row r="140" spans="5:44" x14ac:dyDescent="0.2">
      <c r="E140" s="1">
        <f>moment_rate!$M140</f>
        <v>67.940201639691949</v>
      </c>
      <c r="F140" s="1">
        <f t="shared" si="34"/>
        <v>1.3933211039821174</v>
      </c>
      <c r="G140">
        <f>moment_rate!I140-0.005</f>
        <v>1.330000000000001</v>
      </c>
      <c r="H140" s="1">
        <f t="shared" si="35"/>
        <v>0</v>
      </c>
      <c r="I140">
        <f t="shared" si="33"/>
        <v>0</v>
      </c>
      <c r="J140">
        <f t="shared" si="33"/>
        <v>0</v>
      </c>
      <c r="K140">
        <f t="shared" si="33"/>
        <v>0</v>
      </c>
      <c r="L140">
        <f t="shared" si="33"/>
        <v>0</v>
      </c>
      <c r="M140">
        <f t="shared" si="33"/>
        <v>0</v>
      </c>
      <c r="N140">
        <f t="shared" si="33"/>
        <v>0</v>
      </c>
      <c r="O140">
        <f t="shared" si="33"/>
        <v>0</v>
      </c>
      <c r="P140">
        <f t="shared" si="33"/>
        <v>0</v>
      </c>
      <c r="Q140">
        <f t="shared" si="33"/>
        <v>0</v>
      </c>
      <c r="R140">
        <f t="shared" si="33"/>
        <v>0</v>
      </c>
      <c r="S140">
        <f t="shared" si="33"/>
        <v>0</v>
      </c>
      <c r="T140">
        <f t="shared" si="33"/>
        <v>0</v>
      </c>
      <c r="U140">
        <f t="shared" si="33"/>
        <v>0</v>
      </c>
      <c r="V140">
        <f t="shared" si="33"/>
        <v>0</v>
      </c>
      <c r="W140">
        <f t="shared" si="33"/>
        <v>0</v>
      </c>
      <c r="X140">
        <f t="shared" si="33"/>
        <v>0</v>
      </c>
      <c r="Y140">
        <f t="shared" si="32"/>
        <v>0</v>
      </c>
      <c r="Z140">
        <f t="shared" si="32"/>
        <v>0</v>
      </c>
      <c r="AA140">
        <f t="shared" si="32"/>
        <v>0</v>
      </c>
      <c r="AB140">
        <f t="shared" si="32"/>
        <v>0</v>
      </c>
      <c r="AC140">
        <f t="shared" si="32"/>
        <v>0</v>
      </c>
      <c r="AD140">
        <f t="shared" si="32"/>
        <v>0</v>
      </c>
      <c r="AE140">
        <f t="shared" si="32"/>
        <v>0</v>
      </c>
      <c r="AF140">
        <f t="shared" si="32"/>
        <v>0</v>
      </c>
      <c r="AG140">
        <f t="shared" si="32"/>
        <v>0</v>
      </c>
      <c r="AH140">
        <f t="shared" si="32"/>
        <v>0</v>
      </c>
      <c r="AI140">
        <f t="shared" si="32"/>
        <v>0</v>
      </c>
      <c r="AJ140">
        <f t="shared" si="32"/>
        <v>0</v>
      </c>
      <c r="AK140">
        <f t="shared" si="32"/>
        <v>0</v>
      </c>
      <c r="AL140">
        <f t="shared" si="32"/>
        <v>0</v>
      </c>
      <c r="AM140">
        <f t="shared" si="32"/>
        <v>0</v>
      </c>
      <c r="AN140">
        <f t="shared" si="31"/>
        <v>0</v>
      </c>
      <c r="AO140">
        <f t="shared" si="31"/>
        <v>0</v>
      </c>
      <c r="AP140">
        <f t="shared" si="31"/>
        <v>0</v>
      </c>
      <c r="AQ140">
        <f t="shared" si="31"/>
        <v>0</v>
      </c>
      <c r="AR140">
        <f t="shared" si="31"/>
        <v>0</v>
      </c>
    </row>
    <row r="141" spans="5:44" x14ac:dyDescent="0.2">
      <c r="E141" s="1">
        <f>moment_rate!$M141</f>
        <v>66.546880535709832</v>
      </c>
      <c r="F141" s="1">
        <f t="shared" si="34"/>
        <v>1.3647440678090561</v>
      </c>
      <c r="G141">
        <f>moment_rate!I141-0.005</f>
        <v>1.340000000000001</v>
      </c>
      <c r="H141" s="1">
        <f t="shared" si="35"/>
        <v>0</v>
      </c>
      <c r="I141">
        <f t="shared" si="33"/>
        <v>0</v>
      </c>
      <c r="J141">
        <f t="shared" si="33"/>
        <v>0</v>
      </c>
      <c r="K141">
        <f t="shared" si="33"/>
        <v>0</v>
      </c>
      <c r="L141">
        <f t="shared" si="33"/>
        <v>0</v>
      </c>
      <c r="M141">
        <f t="shared" si="33"/>
        <v>0</v>
      </c>
      <c r="N141">
        <f t="shared" si="33"/>
        <v>0</v>
      </c>
      <c r="O141">
        <f t="shared" si="33"/>
        <v>0</v>
      </c>
      <c r="P141">
        <f t="shared" si="33"/>
        <v>0</v>
      </c>
      <c r="Q141">
        <f t="shared" si="33"/>
        <v>0</v>
      </c>
      <c r="R141">
        <f t="shared" si="33"/>
        <v>0</v>
      </c>
      <c r="S141">
        <f t="shared" si="33"/>
        <v>0</v>
      </c>
      <c r="T141">
        <f t="shared" si="33"/>
        <v>0</v>
      </c>
      <c r="U141">
        <f t="shared" si="33"/>
        <v>0</v>
      </c>
      <c r="V141">
        <f t="shared" si="33"/>
        <v>0</v>
      </c>
      <c r="W141">
        <f t="shared" si="33"/>
        <v>0</v>
      </c>
      <c r="X141">
        <f t="shared" si="33"/>
        <v>0</v>
      </c>
      <c r="Y141">
        <f t="shared" si="32"/>
        <v>0</v>
      </c>
      <c r="Z141">
        <f t="shared" si="32"/>
        <v>0</v>
      </c>
      <c r="AA141">
        <f t="shared" si="32"/>
        <v>0</v>
      </c>
      <c r="AB141">
        <f t="shared" si="32"/>
        <v>0</v>
      </c>
      <c r="AC141">
        <f t="shared" si="32"/>
        <v>0</v>
      </c>
      <c r="AD141">
        <f t="shared" si="32"/>
        <v>0</v>
      </c>
      <c r="AE141">
        <f t="shared" si="32"/>
        <v>0</v>
      </c>
      <c r="AF141">
        <f t="shared" si="32"/>
        <v>0</v>
      </c>
      <c r="AG141">
        <f t="shared" si="32"/>
        <v>0</v>
      </c>
      <c r="AH141">
        <f t="shared" si="32"/>
        <v>0</v>
      </c>
      <c r="AI141">
        <f t="shared" si="32"/>
        <v>0</v>
      </c>
      <c r="AJ141">
        <f t="shared" si="32"/>
        <v>0</v>
      </c>
      <c r="AK141">
        <f t="shared" si="32"/>
        <v>0</v>
      </c>
      <c r="AL141">
        <f t="shared" si="32"/>
        <v>0</v>
      </c>
      <c r="AM141">
        <f t="shared" si="32"/>
        <v>0</v>
      </c>
      <c r="AN141">
        <f t="shared" si="31"/>
        <v>0</v>
      </c>
      <c r="AO141">
        <f t="shared" si="31"/>
        <v>0</v>
      </c>
      <c r="AP141">
        <f t="shared" si="31"/>
        <v>0</v>
      </c>
      <c r="AQ141">
        <f t="shared" si="31"/>
        <v>0</v>
      </c>
      <c r="AR141">
        <f t="shared" si="31"/>
        <v>0</v>
      </c>
    </row>
    <row r="142" spans="5:44" x14ac:dyDescent="0.2">
      <c r="E142" s="1">
        <f>moment_rate!$M142</f>
        <v>65.182136467900776</v>
      </c>
      <c r="F142" s="1">
        <f t="shared" si="34"/>
        <v>1.3367531470648899</v>
      </c>
      <c r="G142">
        <f>moment_rate!I142-0.005</f>
        <v>1.350000000000001</v>
      </c>
      <c r="H142" s="1">
        <f t="shared" si="35"/>
        <v>0</v>
      </c>
      <c r="I142">
        <f t="shared" si="33"/>
        <v>0</v>
      </c>
      <c r="J142">
        <f t="shared" si="33"/>
        <v>0</v>
      </c>
      <c r="K142">
        <f t="shared" si="33"/>
        <v>0</v>
      </c>
      <c r="L142">
        <f t="shared" si="33"/>
        <v>0</v>
      </c>
      <c r="M142">
        <f t="shared" si="33"/>
        <v>0</v>
      </c>
      <c r="N142">
        <f t="shared" si="33"/>
        <v>0</v>
      </c>
      <c r="O142">
        <f t="shared" si="33"/>
        <v>0</v>
      </c>
      <c r="P142">
        <f t="shared" si="33"/>
        <v>0</v>
      </c>
      <c r="Q142">
        <f t="shared" si="33"/>
        <v>0</v>
      </c>
      <c r="R142">
        <f t="shared" si="33"/>
        <v>0</v>
      </c>
      <c r="S142">
        <f t="shared" si="33"/>
        <v>0</v>
      </c>
      <c r="T142">
        <f t="shared" si="33"/>
        <v>0</v>
      </c>
      <c r="U142">
        <f t="shared" si="33"/>
        <v>0</v>
      </c>
      <c r="V142">
        <f t="shared" si="33"/>
        <v>0</v>
      </c>
      <c r="W142">
        <f t="shared" si="33"/>
        <v>0</v>
      </c>
      <c r="X142">
        <f t="shared" ref="X142:AM159" si="36">IF(AND($G142&gt;=X$3,$G142&lt;X$4),$F142,0)</f>
        <v>0</v>
      </c>
      <c r="Y142">
        <f t="shared" si="36"/>
        <v>0</v>
      </c>
      <c r="Z142">
        <f t="shared" si="36"/>
        <v>0</v>
      </c>
      <c r="AA142">
        <f t="shared" si="36"/>
        <v>0</v>
      </c>
      <c r="AB142">
        <f t="shared" si="36"/>
        <v>0</v>
      </c>
      <c r="AC142">
        <f t="shared" si="36"/>
        <v>0</v>
      </c>
      <c r="AD142">
        <f t="shared" si="36"/>
        <v>0</v>
      </c>
      <c r="AE142">
        <f t="shared" si="36"/>
        <v>0</v>
      </c>
      <c r="AF142">
        <f t="shared" si="36"/>
        <v>0</v>
      </c>
      <c r="AG142">
        <f t="shared" si="36"/>
        <v>0</v>
      </c>
      <c r="AH142">
        <f t="shared" si="36"/>
        <v>0</v>
      </c>
      <c r="AI142">
        <f t="shared" si="36"/>
        <v>0</v>
      </c>
      <c r="AJ142">
        <f t="shared" si="36"/>
        <v>0</v>
      </c>
      <c r="AK142">
        <f t="shared" si="36"/>
        <v>0</v>
      </c>
      <c r="AL142">
        <f t="shared" si="36"/>
        <v>0</v>
      </c>
      <c r="AM142">
        <f t="shared" si="36"/>
        <v>0</v>
      </c>
      <c r="AN142">
        <f t="shared" si="31"/>
        <v>0</v>
      </c>
      <c r="AO142">
        <f t="shared" si="31"/>
        <v>0</v>
      </c>
      <c r="AP142">
        <f t="shared" si="31"/>
        <v>0</v>
      </c>
      <c r="AQ142">
        <f t="shared" si="31"/>
        <v>0</v>
      </c>
      <c r="AR142">
        <f t="shared" si="31"/>
        <v>0</v>
      </c>
    </row>
    <row r="143" spans="5:44" x14ac:dyDescent="0.2">
      <c r="E143" s="1">
        <f>moment_rate!$M143</f>
        <v>63.845383320835886</v>
      </c>
      <c r="F143" s="1">
        <f t="shared" si="34"/>
        <v>1.309336320513637</v>
      </c>
      <c r="G143">
        <f>moment_rate!I143-0.005</f>
        <v>1.360000000000001</v>
      </c>
      <c r="H143" s="1">
        <f t="shared" si="35"/>
        <v>0</v>
      </c>
      <c r="I143">
        <f t="shared" ref="I143:X158" si="37">IF(AND($G143&gt;=I$3,$G143&lt;I$4),$F143,0)</f>
        <v>0</v>
      </c>
      <c r="J143">
        <f t="shared" si="37"/>
        <v>0</v>
      </c>
      <c r="K143">
        <f t="shared" si="37"/>
        <v>0</v>
      </c>
      <c r="L143">
        <f t="shared" si="37"/>
        <v>0</v>
      </c>
      <c r="M143">
        <f t="shared" si="37"/>
        <v>0</v>
      </c>
      <c r="N143">
        <f t="shared" si="37"/>
        <v>0</v>
      </c>
      <c r="O143">
        <f t="shared" si="37"/>
        <v>0</v>
      </c>
      <c r="P143">
        <f t="shared" si="37"/>
        <v>0</v>
      </c>
      <c r="Q143">
        <f t="shared" si="37"/>
        <v>0</v>
      </c>
      <c r="R143">
        <f t="shared" si="37"/>
        <v>0</v>
      </c>
      <c r="S143">
        <f t="shared" si="37"/>
        <v>0</v>
      </c>
      <c r="T143">
        <f t="shared" si="37"/>
        <v>0</v>
      </c>
      <c r="U143">
        <f t="shared" si="37"/>
        <v>0</v>
      </c>
      <c r="V143">
        <f t="shared" si="37"/>
        <v>0</v>
      </c>
      <c r="W143">
        <f t="shared" si="37"/>
        <v>0</v>
      </c>
      <c r="X143">
        <f t="shared" si="37"/>
        <v>0</v>
      </c>
      <c r="Y143">
        <f t="shared" si="36"/>
        <v>0</v>
      </c>
      <c r="Z143">
        <f t="shared" si="36"/>
        <v>0</v>
      </c>
      <c r="AA143">
        <f t="shared" si="36"/>
        <v>0</v>
      </c>
      <c r="AB143">
        <f t="shared" si="36"/>
        <v>0</v>
      </c>
      <c r="AC143">
        <f t="shared" si="36"/>
        <v>0</v>
      </c>
      <c r="AD143">
        <f t="shared" si="36"/>
        <v>0</v>
      </c>
      <c r="AE143">
        <f t="shared" si="36"/>
        <v>0</v>
      </c>
      <c r="AF143">
        <f t="shared" si="36"/>
        <v>0</v>
      </c>
      <c r="AG143">
        <f t="shared" si="36"/>
        <v>0</v>
      </c>
      <c r="AH143">
        <f t="shared" si="36"/>
        <v>0</v>
      </c>
      <c r="AI143">
        <f t="shared" si="36"/>
        <v>0</v>
      </c>
      <c r="AJ143">
        <f t="shared" si="36"/>
        <v>0</v>
      </c>
      <c r="AK143">
        <f t="shared" si="36"/>
        <v>0</v>
      </c>
      <c r="AL143">
        <f t="shared" si="36"/>
        <v>0</v>
      </c>
      <c r="AM143">
        <f t="shared" si="36"/>
        <v>0</v>
      </c>
      <c r="AN143">
        <f t="shared" si="31"/>
        <v>0</v>
      </c>
      <c r="AO143">
        <f t="shared" si="31"/>
        <v>0</v>
      </c>
      <c r="AP143">
        <f t="shared" si="31"/>
        <v>0</v>
      </c>
      <c r="AQ143">
        <f t="shared" si="31"/>
        <v>0</v>
      </c>
      <c r="AR143">
        <f t="shared" si="31"/>
        <v>0</v>
      </c>
    </row>
    <row r="144" spans="5:44" x14ac:dyDescent="0.2">
      <c r="E144" s="1">
        <f>moment_rate!$M144</f>
        <v>62.536047000322249</v>
      </c>
      <c r="F144" s="1">
        <f t="shared" si="34"/>
        <v>1.2824818134749805</v>
      </c>
      <c r="G144">
        <f>moment_rate!I144-0.005</f>
        <v>1.370000000000001</v>
      </c>
      <c r="H144" s="1">
        <f t="shared" si="35"/>
        <v>0</v>
      </c>
      <c r="I144">
        <f t="shared" si="37"/>
        <v>0</v>
      </c>
      <c r="J144">
        <f t="shared" si="37"/>
        <v>0</v>
      </c>
      <c r="K144">
        <f t="shared" si="37"/>
        <v>0</v>
      </c>
      <c r="L144">
        <f t="shared" si="37"/>
        <v>0</v>
      </c>
      <c r="M144">
        <f t="shared" si="37"/>
        <v>0</v>
      </c>
      <c r="N144">
        <f t="shared" si="37"/>
        <v>0</v>
      </c>
      <c r="O144">
        <f t="shared" si="37"/>
        <v>0</v>
      </c>
      <c r="P144">
        <f t="shared" si="37"/>
        <v>0</v>
      </c>
      <c r="Q144">
        <f t="shared" si="37"/>
        <v>0</v>
      </c>
      <c r="R144">
        <f t="shared" si="37"/>
        <v>0</v>
      </c>
      <c r="S144">
        <f t="shared" si="37"/>
        <v>0</v>
      </c>
      <c r="T144">
        <f t="shared" si="37"/>
        <v>0</v>
      </c>
      <c r="U144">
        <f t="shared" si="37"/>
        <v>0</v>
      </c>
      <c r="V144">
        <f t="shared" si="37"/>
        <v>0</v>
      </c>
      <c r="W144">
        <f t="shared" si="37"/>
        <v>0</v>
      </c>
      <c r="X144">
        <f t="shared" si="37"/>
        <v>0</v>
      </c>
      <c r="Y144">
        <f t="shared" si="36"/>
        <v>0</v>
      </c>
      <c r="Z144">
        <f t="shared" si="36"/>
        <v>0</v>
      </c>
      <c r="AA144">
        <f t="shared" si="36"/>
        <v>0</v>
      </c>
      <c r="AB144">
        <f t="shared" si="36"/>
        <v>0</v>
      </c>
      <c r="AC144">
        <f t="shared" si="36"/>
        <v>0</v>
      </c>
      <c r="AD144">
        <f t="shared" si="36"/>
        <v>0</v>
      </c>
      <c r="AE144">
        <f t="shared" si="36"/>
        <v>0</v>
      </c>
      <c r="AF144">
        <f t="shared" si="36"/>
        <v>0</v>
      </c>
      <c r="AG144">
        <f t="shared" si="36"/>
        <v>0</v>
      </c>
      <c r="AH144">
        <f t="shared" si="36"/>
        <v>0</v>
      </c>
      <c r="AI144">
        <f t="shared" si="36"/>
        <v>0</v>
      </c>
      <c r="AJ144">
        <f t="shared" si="36"/>
        <v>0</v>
      </c>
      <c r="AK144">
        <f t="shared" si="36"/>
        <v>0</v>
      </c>
      <c r="AL144">
        <f t="shared" si="36"/>
        <v>0</v>
      </c>
      <c r="AM144">
        <f t="shared" si="36"/>
        <v>0</v>
      </c>
      <c r="AN144">
        <f t="shared" si="31"/>
        <v>0</v>
      </c>
      <c r="AO144">
        <f t="shared" si="31"/>
        <v>0</v>
      </c>
      <c r="AP144">
        <f t="shared" si="31"/>
        <v>0</v>
      </c>
      <c r="AQ144">
        <f t="shared" si="31"/>
        <v>0</v>
      </c>
      <c r="AR144">
        <f t="shared" si="31"/>
        <v>0</v>
      </c>
    </row>
    <row r="145" spans="5:44" x14ac:dyDescent="0.2">
      <c r="E145" s="1">
        <f>moment_rate!$M145</f>
        <v>61.253565186847268</v>
      </c>
      <c r="F145" s="1">
        <f t="shared" si="34"/>
        <v>1.2561780927675272</v>
      </c>
      <c r="G145">
        <f>moment_rate!I145-0.005</f>
        <v>1.380000000000001</v>
      </c>
      <c r="H145" s="1">
        <f t="shared" si="35"/>
        <v>0</v>
      </c>
      <c r="I145">
        <f t="shared" si="37"/>
        <v>0</v>
      </c>
      <c r="J145">
        <f t="shared" si="37"/>
        <v>0</v>
      </c>
      <c r="K145">
        <f t="shared" si="37"/>
        <v>0</v>
      </c>
      <c r="L145">
        <f t="shared" si="37"/>
        <v>0</v>
      </c>
      <c r="M145">
        <f t="shared" si="37"/>
        <v>0</v>
      </c>
      <c r="N145">
        <f t="shared" si="37"/>
        <v>0</v>
      </c>
      <c r="O145">
        <f t="shared" si="37"/>
        <v>0</v>
      </c>
      <c r="P145">
        <f t="shared" si="37"/>
        <v>0</v>
      </c>
      <c r="Q145">
        <f t="shared" si="37"/>
        <v>0</v>
      </c>
      <c r="R145">
        <f t="shared" si="37"/>
        <v>0</v>
      </c>
      <c r="S145">
        <f t="shared" si="37"/>
        <v>0</v>
      </c>
      <c r="T145">
        <f t="shared" si="37"/>
        <v>0</v>
      </c>
      <c r="U145">
        <f t="shared" si="37"/>
        <v>0</v>
      </c>
      <c r="V145">
        <f t="shared" si="37"/>
        <v>0</v>
      </c>
      <c r="W145">
        <f t="shared" si="37"/>
        <v>0</v>
      </c>
      <c r="X145">
        <f t="shared" si="37"/>
        <v>0</v>
      </c>
      <c r="Y145">
        <f t="shared" si="36"/>
        <v>0</v>
      </c>
      <c r="Z145">
        <f t="shared" si="36"/>
        <v>0</v>
      </c>
      <c r="AA145">
        <f t="shared" si="36"/>
        <v>0</v>
      </c>
      <c r="AB145">
        <f t="shared" si="36"/>
        <v>0</v>
      </c>
      <c r="AC145">
        <f t="shared" si="36"/>
        <v>0</v>
      </c>
      <c r="AD145">
        <f t="shared" si="36"/>
        <v>0</v>
      </c>
      <c r="AE145">
        <f t="shared" si="36"/>
        <v>0</v>
      </c>
      <c r="AF145">
        <f t="shared" si="36"/>
        <v>0</v>
      </c>
      <c r="AG145">
        <f t="shared" si="36"/>
        <v>0</v>
      </c>
      <c r="AH145">
        <f t="shared" si="36"/>
        <v>0</v>
      </c>
      <c r="AI145">
        <f t="shared" si="36"/>
        <v>0</v>
      </c>
      <c r="AJ145">
        <f t="shared" si="36"/>
        <v>0</v>
      </c>
      <c r="AK145">
        <f t="shared" si="36"/>
        <v>0</v>
      </c>
      <c r="AL145">
        <f t="shared" si="36"/>
        <v>0</v>
      </c>
      <c r="AM145">
        <f t="shared" si="36"/>
        <v>0</v>
      </c>
      <c r="AN145">
        <f t="shared" si="31"/>
        <v>0</v>
      </c>
      <c r="AO145">
        <f t="shared" si="31"/>
        <v>0</v>
      </c>
      <c r="AP145">
        <f t="shared" si="31"/>
        <v>0</v>
      </c>
      <c r="AQ145">
        <f t="shared" si="31"/>
        <v>0</v>
      </c>
      <c r="AR145">
        <f t="shared" si="31"/>
        <v>0</v>
      </c>
    </row>
    <row r="146" spans="5:44" x14ac:dyDescent="0.2">
      <c r="E146" s="1">
        <f>moment_rate!$M146</f>
        <v>59.997387094079741</v>
      </c>
      <c r="F146" s="1">
        <f t="shared" si="34"/>
        <v>1.2304138617556006</v>
      </c>
      <c r="G146">
        <f>moment_rate!I146-0.005</f>
        <v>1.390000000000001</v>
      </c>
      <c r="H146" s="1">
        <f t="shared" si="35"/>
        <v>0</v>
      </c>
      <c r="I146">
        <f t="shared" si="37"/>
        <v>0</v>
      </c>
      <c r="J146">
        <f t="shared" si="37"/>
        <v>0</v>
      </c>
      <c r="K146">
        <f t="shared" si="37"/>
        <v>0</v>
      </c>
      <c r="L146">
        <f t="shared" si="37"/>
        <v>0</v>
      </c>
      <c r="M146">
        <f t="shared" si="37"/>
        <v>0</v>
      </c>
      <c r="N146">
        <f t="shared" si="37"/>
        <v>0</v>
      </c>
      <c r="O146">
        <f t="shared" si="37"/>
        <v>0</v>
      </c>
      <c r="P146">
        <f t="shared" si="37"/>
        <v>0</v>
      </c>
      <c r="Q146">
        <f t="shared" si="37"/>
        <v>0</v>
      </c>
      <c r="R146">
        <f t="shared" si="37"/>
        <v>0</v>
      </c>
      <c r="S146">
        <f t="shared" si="37"/>
        <v>0</v>
      </c>
      <c r="T146">
        <f t="shared" si="37"/>
        <v>0</v>
      </c>
      <c r="U146">
        <f t="shared" si="37"/>
        <v>0</v>
      </c>
      <c r="V146">
        <f t="shared" si="37"/>
        <v>0</v>
      </c>
      <c r="W146">
        <f t="shared" si="37"/>
        <v>0</v>
      </c>
      <c r="X146">
        <f t="shared" si="37"/>
        <v>0</v>
      </c>
      <c r="Y146">
        <f t="shared" si="36"/>
        <v>0</v>
      </c>
      <c r="Z146">
        <f t="shared" si="36"/>
        <v>0</v>
      </c>
      <c r="AA146">
        <f t="shared" si="36"/>
        <v>0</v>
      </c>
      <c r="AB146">
        <f t="shared" si="36"/>
        <v>0</v>
      </c>
      <c r="AC146">
        <f t="shared" si="36"/>
        <v>0</v>
      </c>
      <c r="AD146">
        <f t="shared" si="36"/>
        <v>0</v>
      </c>
      <c r="AE146">
        <f t="shared" si="36"/>
        <v>0</v>
      </c>
      <c r="AF146">
        <f t="shared" si="36"/>
        <v>0</v>
      </c>
      <c r="AG146">
        <f t="shared" si="36"/>
        <v>0</v>
      </c>
      <c r="AH146">
        <f t="shared" si="36"/>
        <v>0</v>
      </c>
      <c r="AI146">
        <f t="shared" si="36"/>
        <v>0</v>
      </c>
      <c r="AJ146">
        <f t="shared" si="36"/>
        <v>0</v>
      </c>
      <c r="AK146">
        <f t="shared" si="36"/>
        <v>0</v>
      </c>
      <c r="AL146">
        <f t="shared" si="36"/>
        <v>0</v>
      </c>
      <c r="AM146">
        <f t="shared" si="36"/>
        <v>0</v>
      </c>
      <c r="AN146">
        <f t="shared" si="31"/>
        <v>0</v>
      </c>
      <c r="AO146">
        <f t="shared" si="31"/>
        <v>0</v>
      </c>
      <c r="AP146">
        <f t="shared" si="31"/>
        <v>0</v>
      </c>
      <c r="AQ146">
        <f t="shared" si="31"/>
        <v>0</v>
      </c>
      <c r="AR146">
        <f t="shared" si="31"/>
        <v>0</v>
      </c>
    </row>
    <row r="147" spans="5:44" x14ac:dyDescent="0.2">
      <c r="E147" s="1">
        <f>moment_rate!$M147</f>
        <v>58.76697323232414</v>
      </c>
      <c r="F147" s="1">
        <f t="shared" si="34"/>
        <v>1.2051780554976403</v>
      </c>
      <c r="G147">
        <f>moment_rate!I147-0.005</f>
        <v>1.400000000000001</v>
      </c>
      <c r="H147" s="1">
        <f t="shared" si="35"/>
        <v>0</v>
      </c>
      <c r="I147">
        <f t="shared" si="37"/>
        <v>0</v>
      </c>
      <c r="J147">
        <f t="shared" si="37"/>
        <v>0</v>
      </c>
      <c r="K147">
        <f t="shared" si="37"/>
        <v>0</v>
      </c>
      <c r="L147">
        <f t="shared" si="37"/>
        <v>0</v>
      </c>
      <c r="M147">
        <f t="shared" si="37"/>
        <v>0</v>
      </c>
      <c r="N147">
        <f t="shared" si="37"/>
        <v>0</v>
      </c>
      <c r="O147">
        <f t="shared" si="37"/>
        <v>0</v>
      </c>
      <c r="P147">
        <f t="shared" si="37"/>
        <v>0</v>
      </c>
      <c r="Q147">
        <f t="shared" si="37"/>
        <v>0</v>
      </c>
      <c r="R147">
        <f t="shared" si="37"/>
        <v>0</v>
      </c>
      <c r="S147">
        <f t="shared" si="37"/>
        <v>0</v>
      </c>
      <c r="T147">
        <f t="shared" si="37"/>
        <v>0</v>
      </c>
      <c r="U147">
        <f t="shared" si="37"/>
        <v>0</v>
      </c>
      <c r="V147">
        <f t="shared" si="37"/>
        <v>0</v>
      </c>
      <c r="W147">
        <f t="shared" si="37"/>
        <v>0</v>
      </c>
      <c r="X147">
        <f t="shared" si="37"/>
        <v>0</v>
      </c>
      <c r="Y147">
        <f t="shared" si="36"/>
        <v>0</v>
      </c>
      <c r="Z147">
        <f t="shared" si="36"/>
        <v>0</v>
      </c>
      <c r="AA147">
        <f t="shared" si="36"/>
        <v>0</v>
      </c>
      <c r="AB147">
        <f t="shared" si="36"/>
        <v>0</v>
      </c>
      <c r="AC147">
        <f t="shared" si="36"/>
        <v>0</v>
      </c>
      <c r="AD147">
        <f t="shared" si="36"/>
        <v>0</v>
      </c>
      <c r="AE147">
        <f t="shared" si="36"/>
        <v>0</v>
      </c>
      <c r="AF147">
        <f t="shared" si="36"/>
        <v>0</v>
      </c>
      <c r="AG147">
        <f t="shared" si="36"/>
        <v>0</v>
      </c>
      <c r="AH147">
        <f t="shared" si="36"/>
        <v>0</v>
      </c>
      <c r="AI147">
        <f t="shared" si="36"/>
        <v>0</v>
      </c>
      <c r="AJ147">
        <f t="shared" si="36"/>
        <v>0</v>
      </c>
      <c r="AK147">
        <f t="shared" si="36"/>
        <v>0</v>
      </c>
      <c r="AL147">
        <f t="shared" si="36"/>
        <v>0</v>
      </c>
      <c r="AM147">
        <f t="shared" si="36"/>
        <v>0</v>
      </c>
      <c r="AN147">
        <f t="shared" si="31"/>
        <v>0</v>
      </c>
      <c r="AO147">
        <f t="shared" si="31"/>
        <v>0</v>
      </c>
      <c r="AP147">
        <f t="shared" si="31"/>
        <v>0</v>
      </c>
      <c r="AQ147">
        <f t="shared" si="31"/>
        <v>0</v>
      </c>
      <c r="AR147">
        <f t="shared" si="31"/>
        <v>0</v>
      </c>
    </row>
    <row r="148" spans="5:44" x14ac:dyDescent="0.2">
      <c r="E148" s="1">
        <f>moment_rate!$M148</f>
        <v>57.5617951768265</v>
      </c>
      <c r="F148" s="1">
        <f t="shared" si="34"/>
        <v>1.1804598359942773</v>
      </c>
      <c r="G148">
        <f>moment_rate!I148-0.005</f>
        <v>1.410000000000001</v>
      </c>
      <c r="H148" s="1">
        <f t="shared" si="35"/>
        <v>0</v>
      </c>
      <c r="I148">
        <f t="shared" si="37"/>
        <v>0</v>
      </c>
      <c r="J148">
        <f t="shared" si="37"/>
        <v>0</v>
      </c>
      <c r="K148">
        <f t="shared" si="37"/>
        <v>0</v>
      </c>
      <c r="L148">
        <f t="shared" si="37"/>
        <v>0</v>
      </c>
      <c r="M148">
        <f t="shared" si="37"/>
        <v>0</v>
      </c>
      <c r="N148">
        <f t="shared" si="37"/>
        <v>0</v>
      </c>
      <c r="O148">
        <f t="shared" si="37"/>
        <v>0</v>
      </c>
      <c r="P148">
        <f t="shared" si="37"/>
        <v>0</v>
      </c>
      <c r="Q148">
        <f t="shared" si="37"/>
        <v>0</v>
      </c>
      <c r="R148">
        <f t="shared" si="37"/>
        <v>0</v>
      </c>
      <c r="S148">
        <f t="shared" si="37"/>
        <v>0</v>
      </c>
      <c r="T148">
        <f t="shared" si="37"/>
        <v>0</v>
      </c>
      <c r="U148">
        <f t="shared" si="37"/>
        <v>0</v>
      </c>
      <c r="V148">
        <f t="shared" si="37"/>
        <v>0</v>
      </c>
      <c r="W148">
        <f t="shared" si="37"/>
        <v>0</v>
      </c>
      <c r="X148">
        <f t="shared" si="37"/>
        <v>0</v>
      </c>
      <c r="Y148">
        <f t="shared" si="36"/>
        <v>0</v>
      </c>
      <c r="Z148">
        <f t="shared" si="36"/>
        <v>0</v>
      </c>
      <c r="AA148">
        <f t="shared" si="36"/>
        <v>0</v>
      </c>
      <c r="AB148">
        <f t="shared" si="36"/>
        <v>0</v>
      </c>
      <c r="AC148">
        <f t="shared" si="36"/>
        <v>0</v>
      </c>
      <c r="AD148">
        <f t="shared" si="36"/>
        <v>0</v>
      </c>
      <c r="AE148">
        <f t="shared" si="36"/>
        <v>0</v>
      </c>
      <c r="AF148">
        <f t="shared" si="36"/>
        <v>0</v>
      </c>
      <c r="AG148">
        <f t="shared" si="36"/>
        <v>0</v>
      </c>
      <c r="AH148">
        <f t="shared" si="36"/>
        <v>0</v>
      </c>
      <c r="AI148">
        <f t="shared" si="36"/>
        <v>0</v>
      </c>
      <c r="AJ148">
        <f t="shared" si="36"/>
        <v>0</v>
      </c>
      <c r="AK148">
        <f t="shared" si="36"/>
        <v>0</v>
      </c>
      <c r="AL148">
        <f t="shared" si="36"/>
        <v>0</v>
      </c>
      <c r="AM148">
        <f t="shared" si="36"/>
        <v>0</v>
      </c>
      <c r="AN148">
        <f t="shared" si="31"/>
        <v>0</v>
      </c>
      <c r="AO148">
        <f t="shared" si="31"/>
        <v>0</v>
      </c>
      <c r="AP148">
        <f t="shared" si="31"/>
        <v>0</v>
      </c>
      <c r="AQ148">
        <f t="shared" si="31"/>
        <v>0</v>
      </c>
      <c r="AR148">
        <f t="shared" si="31"/>
        <v>0</v>
      </c>
    </row>
    <row r="149" spans="5:44" x14ac:dyDescent="0.2">
      <c r="E149" s="1">
        <f>moment_rate!$M149</f>
        <v>56.381335340832223</v>
      </c>
      <c r="F149" s="1">
        <f t="shared" si="34"/>
        <v>1.1562485875335824</v>
      </c>
      <c r="G149">
        <f>moment_rate!I149-0.005</f>
        <v>1.420000000000001</v>
      </c>
      <c r="H149" s="1">
        <f t="shared" si="35"/>
        <v>0</v>
      </c>
      <c r="I149">
        <f t="shared" si="37"/>
        <v>0</v>
      </c>
      <c r="J149">
        <f t="shared" si="37"/>
        <v>0</v>
      </c>
      <c r="K149">
        <f t="shared" si="37"/>
        <v>0</v>
      </c>
      <c r="L149">
        <f t="shared" si="37"/>
        <v>0</v>
      </c>
      <c r="M149">
        <f t="shared" si="37"/>
        <v>0</v>
      </c>
      <c r="N149">
        <f t="shared" si="37"/>
        <v>0</v>
      </c>
      <c r="O149">
        <f t="shared" si="37"/>
        <v>0</v>
      </c>
      <c r="P149">
        <f t="shared" si="37"/>
        <v>0</v>
      </c>
      <c r="Q149">
        <f t="shared" si="37"/>
        <v>0</v>
      </c>
      <c r="R149">
        <f t="shared" si="37"/>
        <v>0</v>
      </c>
      <c r="S149">
        <f t="shared" si="37"/>
        <v>0</v>
      </c>
      <c r="T149">
        <f t="shared" si="37"/>
        <v>0</v>
      </c>
      <c r="U149">
        <f t="shared" si="37"/>
        <v>0</v>
      </c>
      <c r="V149">
        <f t="shared" si="37"/>
        <v>0</v>
      </c>
      <c r="W149">
        <f t="shared" si="37"/>
        <v>0</v>
      </c>
      <c r="X149">
        <f t="shared" si="37"/>
        <v>0</v>
      </c>
      <c r="Y149">
        <f t="shared" si="36"/>
        <v>0</v>
      </c>
      <c r="Z149">
        <f t="shared" si="36"/>
        <v>0</v>
      </c>
      <c r="AA149">
        <f t="shared" si="36"/>
        <v>0</v>
      </c>
      <c r="AB149">
        <f t="shared" si="36"/>
        <v>0</v>
      </c>
      <c r="AC149">
        <f t="shared" si="36"/>
        <v>0</v>
      </c>
      <c r="AD149">
        <f t="shared" si="36"/>
        <v>0</v>
      </c>
      <c r="AE149">
        <f t="shared" si="36"/>
        <v>0</v>
      </c>
      <c r="AF149">
        <f t="shared" si="36"/>
        <v>0</v>
      </c>
      <c r="AG149">
        <f t="shared" si="36"/>
        <v>0</v>
      </c>
      <c r="AH149">
        <f t="shared" si="36"/>
        <v>0</v>
      </c>
      <c r="AI149">
        <f t="shared" si="36"/>
        <v>0</v>
      </c>
      <c r="AJ149">
        <f t="shared" si="36"/>
        <v>0</v>
      </c>
      <c r="AK149">
        <f t="shared" si="31"/>
        <v>0</v>
      </c>
      <c r="AL149">
        <f t="shared" si="31"/>
        <v>0</v>
      </c>
      <c r="AM149">
        <f t="shared" si="31"/>
        <v>0</v>
      </c>
      <c r="AN149">
        <f t="shared" si="31"/>
        <v>0</v>
      </c>
      <c r="AO149">
        <f t="shared" si="31"/>
        <v>0</v>
      </c>
      <c r="AP149">
        <f t="shared" si="31"/>
        <v>0</v>
      </c>
      <c r="AQ149">
        <f t="shared" si="31"/>
        <v>0</v>
      </c>
      <c r="AR149">
        <f t="shared" si="31"/>
        <v>0</v>
      </c>
    </row>
    <row r="150" spans="5:44" x14ac:dyDescent="0.2">
      <c r="E150" s="1">
        <f>moment_rate!$M150</f>
        <v>55.22508675329864</v>
      </c>
      <c r="F150" s="1">
        <f t="shared" si="34"/>
        <v>1.1325339121321107</v>
      </c>
      <c r="G150">
        <f>moment_rate!I150-0.005</f>
        <v>1.430000000000001</v>
      </c>
      <c r="H150" s="1">
        <f t="shared" si="35"/>
        <v>0</v>
      </c>
      <c r="I150">
        <f t="shared" si="37"/>
        <v>0</v>
      </c>
      <c r="J150">
        <f t="shared" si="37"/>
        <v>0</v>
      </c>
      <c r="K150">
        <f t="shared" si="37"/>
        <v>0</v>
      </c>
      <c r="L150">
        <f t="shared" si="37"/>
        <v>0</v>
      </c>
      <c r="M150">
        <f t="shared" si="37"/>
        <v>0</v>
      </c>
      <c r="N150">
        <f t="shared" si="37"/>
        <v>0</v>
      </c>
      <c r="O150">
        <f t="shared" si="37"/>
        <v>0</v>
      </c>
      <c r="P150">
        <f t="shared" si="37"/>
        <v>0</v>
      </c>
      <c r="Q150">
        <f t="shared" si="37"/>
        <v>0</v>
      </c>
      <c r="R150">
        <f t="shared" si="37"/>
        <v>0</v>
      </c>
      <c r="S150">
        <f t="shared" si="37"/>
        <v>0</v>
      </c>
      <c r="T150">
        <f t="shared" si="37"/>
        <v>0</v>
      </c>
      <c r="U150">
        <f t="shared" si="37"/>
        <v>0</v>
      </c>
      <c r="V150">
        <f t="shared" si="37"/>
        <v>0</v>
      </c>
      <c r="W150">
        <f t="shared" si="37"/>
        <v>0</v>
      </c>
      <c r="X150">
        <f t="shared" si="37"/>
        <v>0</v>
      </c>
      <c r="Y150">
        <f t="shared" si="36"/>
        <v>0</v>
      </c>
      <c r="Z150">
        <f t="shared" si="36"/>
        <v>0</v>
      </c>
      <c r="AA150">
        <f t="shared" si="36"/>
        <v>0</v>
      </c>
      <c r="AB150">
        <f t="shared" si="36"/>
        <v>0</v>
      </c>
      <c r="AC150">
        <f t="shared" si="36"/>
        <v>0</v>
      </c>
      <c r="AD150">
        <f t="shared" si="36"/>
        <v>0</v>
      </c>
      <c r="AE150">
        <f t="shared" si="36"/>
        <v>0</v>
      </c>
      <c r="AF150">
        <f t="shared" si="36"/>
        <v>0</v>
      </c>
      <c r="AG150">
        <f t="shared" si="36"/>
        <v>0</v>
      </c>
      <c r="AH150">
        <f t="shared" si="36"/>
        <v>0</v>
      </c>
      <c r="AI150">
        <f t="shared" si="36"/>
        <v>0</v>
      </c>
      <c r="AJ150">
        <f t="shared" si="36"/>
        <v>0</v>
      </c>
      <c r="AK150">
        <f t="shared" si="31"/>
        <v>0</v>
      </c>
      <c r="AL150">
        <f t="shared" si="31"/>
        <v>0</v>
      </c>
      <c r="AM150">
        <f t="shared" si="31"/>
        <v>0</v>
      </c>
      <c r="AN150">
        <f t="shared" si="31"/>
        <v>0</v>
      </c>
      <c r="AO150">
        <f t="shared" si="31"/>
        <v>0</v>
      </c>
      <c r="AP150">
        <f t="shared" si="31"/>
        <v>0</v>
      </c>
      <c r="AQ150">
        <f t="shared" si="31"/>
        <v>0</v>
      </c>
      <c r="AR150">
        <f t="shared" si="31"/>
        <v>0</v>
      </c>
    </row>
    <row r="151" spans="5:44" x14ac:dyDescent="0.2">
      <c r="E151" s="1">
        <f>moment_rate!$M151</f>
        <v>54.09255284116653</v>
      </c>
      <c r="F151" s="1">
        <f t="shared" si="34"/>
        <v>1.1093056250691262</v>
      </c>
      <c r="G151">
        <f>moment_rate!I151-0.005</f>
        <v>1.4400000000000011</v>
      </c>
      <c r="H151" s="1">
        <f t="shared" si="35"/>
        <v>0</v>
      </c>
      <c r="I151">
        <f t="shared" si="37"/>
        <v>0</v>
      </c>
      <c r="J151">
        <f t="shared" si="37"/>
        <v>0</v>
      </c>
      <c r="K151">
        <f t="shared" si="37"/>
        <v>0</v>
      </c>
      <c r="L151">
        <f t="shared" si="37"/>
        <v>0</v>
      </c>
      <c r="M151">
        <f t="shared" si="37"/>
        <v>0</v>
      </c>
      <c r="N151">
        <f t="shared" si="37"/>
        <v>0</v>
      </c>
      <c r="O151">
        <f t="shared" si="37"/>
        <v>0</v>
      </c>
      <c r="P151">
        <f t="shared" si="37"/>
        <v>0</v>
      </c>
      <c r="Q151">
        <f t="shared" si="37"/>
        <v>0</v>
      </c>
      <c r="R151">
        <f t="shared" si="37"/>
        <v>0</v>
      </c>
      <c r="S151">
        <f t="shared" si="37"/>
        <v>0</v>
      </c>
      <c r="T151">
        <f t="shared" si="37"/>
        <v>0</v>
      </c>
      <c r="U151">
        <f t="shared" si="37"/>
        <v>0</v>
      </c>
      <c r="V151">
        <f t="shared" si="37"/>
        <v>0</v>
      </c>
      <c r="W151">
        <f t="shared" si="37"/>
        <v>0</v>
      </c>
      <c r="X151">
        <f t="shared" si="37"/>
        <v>0</v>
      </c>
      <c r="Y151">
        <f t="shared" si="36"/>
        <v>0</v>
      </c>
      <c r="Z151">
        <f t="shared" si="36"/>
        <v>0</v>
      </c>
      <c r="AA151">
        <f t="shared" si="36"/>
        <v>0</v>
      </c>
      <c r="AB151">
        <f t="shared" si="36"/>
        <v>0</v>
      </c>
      <c r="AC151">
        <f t="shared" si="36"/>
        <v>0</v>
      </c>
      <c r="AD151">
        <f t="shared" si="36"/>
        <v>0</v>
      </c>
      <c r="AE151">
        <f t="shared" si="36"/>
        <v>0</v>
      </c>
      <c r="AF151">
        <f t="shared" si="36"/>
        <v>0</v>
      </c>
      <c r="AG151">
        <f t="shared" si="36"/>
        <v>0</v>
      </c>
      <c r="AH151">
        <f t="shared" si="36"/>
        <v>0</v>
      </c>
      <c r="AI151">
        <f t="shared" si="36"/>
        <v>0</v>
      </c>
      <c r="AJ151">
        <f t="shared" si="36"/>
        <v>0</v>
      </c>
      <c r="AK151">
        <f t="shared" si="31"/>
        <v>0</v>
      </c>
      <c r="AL151">
        <f t="shared" si="31"/>
        <v>0</v>
      </c>
      <c r="AM151">
        <f t="shared" si="31"/>
        <v>0</v>
      </c>
      <c r="AN151">
        <f t="shared" si="31"/>
        <v>0</v>
      </c>
      <c r="AO151">
        <f t="shared" si="31"/>
        <v>0</v>
      </c>
      <c r="AP151">
        <f t="shared" si="31"/>
        <v>0</v>
      </c>
      <c r="AQ151">
        <f t="shared" si="31"/>
        <v>0</v>
      </c>
      <c r="AR151">
        <f t="shared" si="31"/>
        <v>0</v>
      </c>
    </row>
    <row r="152" spans="5:44" x14ac:dyDescent="0.2">
      <c r="E152" s="1">
        <f>moment_rate!$M152</f>
        <v>52.983247216097404</v>
      </c>
      <c r="F152" s="1">
        <f t="shared" si="34"/>
        <v>1.0865537505127492</v>
      </c>
      <c r="G152">
        <f>moment_rate!I152-0.005</f>
        <v>1.4500000000000011</v>
      </c>
      <c r="H152" s="1">
        <f t="shared" si="35"/>
        <v>0</v>
      </c>
      <c r="I152">
        <f t="shared" si="37"/>
        <v>0</v>
      </c>
      <c r="J152">
        <f t="shared" si="37"/>
        <v>0</v>
      </c>
      <c r="K152">
        <f t="shared" si="37"/>
        <v>0</v>
      </c>
      <c r="L152">
        <f t="shared" si="37"/>
        <v>0</v>
      </c>
      <c r="M152">
        <f t="shared" si="37"/>
        <v>0</v>
      </c>
      <c r="N152">
        <f t="shared" si="37"/>
        <v>0</v>
      </c>
      <c r="O152">
        <f t="shared" si="37"/>
        <v>0</v>
      </c>
      <c r="P152">
        <f t="shared" si="37"/>
        <v>0</v>
      </c>
      <c r="Q152">
        <f t="shared" si="37"/>
        <v>0</v>
      </c>
      <c r="R152">
        <f t="shared" si="37"/>
        <v>0</v>
      </c>
      <c r="S152">
        <f t="shared" si="37"/>
        <v>0</v>
      </c>
      <c r="T152">
        <f t="shared" si="37"/>
        <v>0</v>
      </c>
      <c r="U152">
        <f t="shared" si="37"/>
        <v>0</v>
      </c>
      <c r="V152">
        <f t="shared" si="37"/>
        <v>0</v>
      </c>
      <c r="W152">
        <f t="shared" si="37"/>
        <v>0</v>
      </c>
      <c r="X152">
        <f t="shared" si="37"/>
        <v>0</v>
      </c>
      <c r="Y152">
        <f t="shared" si="36"/>
        <v>0</v>
      </c>
      <c r="Z152">
        <f t="shared" si="36"/>
        <v>0</v>
      </c>
      <c r="AA152">
        <f t="shared" si="36"/>
        <v>0</v>
      </c>
      <c r="AB152">
        <f t="shared" si="36"/>
        <v>0</v>
      </c>
      <c r="AC152">
        <f t="shared" si="36"/>
        <v>0</v>
      </c>
      <c r="AD152">
        <f t="shared" si="36"/>
        <v>0</v>
      </c>
      <c r="AE152">
        <f t="shared" si="36"/>
        <v>0</v>
      </c>
      <c r="AF152">
        <f t="shared" si="36"/>
        <v>0</v>
      </c>
      <c r="AG152">
        <f t="shared" si="36"/>
        <v>0</v>
      </c>
      <c r="AH152">
        <f t="shared" si="36"/>
        <v>0</v>
      </c>
      <c r="AI152">
        <f t="shared" si="36"/>
        <v>0</v>
      </c>
      <c r="AJ152">
        <f t="shared" si="36"/>
        <v>0</v>
      </c>
      <c r="AK152">
        <f t="shared" si="31"/>
        <v>0</v>
      </c>
      <c r="AL152">
        <f t="shared" si="31"/>
        <v>0</v>
      </c>
      <c r="AM152">
        <f t="shared" si="31"/>
        <v>0</v>
      </c>
      <c r="AN152">
        <f t="shared" si="31"/>
        <v>0</v>
      </c>
      <c r="AO152">
        <f t="shared" si="31"/>
        <v>0</v>
      </c>
      <c r="AP152">
        <f t="shared" si="31"/>
        <v>0</v>
      </c>
      <c r="AQ152">
        <f t="shared" si="31"/>
        <v>0</v>
      </c>
      <c r="AR152">
        <f t="shared" si="31"/>
        <v>0</v>
      </c>
    </row>
    <row r="153" spans="5:44" x14ac:dyDescent="0.2">
      <c r="E153" s="1">
        <f>moment_rate!$M153</f>
        <v>51.896693465584654</v>
      </c>
      <c r="F153" s="1">
        <f t="shared" si="34"/>
        <v>1.0642685172354973</v>
      </c>
      <c r="G153">
        <f>moment_rate!I153-0.005</f>
        <v>1.4600000000000011</v>
      </c>
      <c r="H153" s="1">
        <f t="shared" si="35"/>
        <v>0</v>
      </c>
      <c r="I153">
        <f t="shared" si="37"/>
        <v>0</v>
      </c>
      <c r="J153">
        <f t="shared" si="37"/>
        <v>0</v>
      </c>
      <c r="K153">
        <f t="shared" si="37"/>
        <v>0</v>
      </c>
      <c r="L153">
        <f t="shared" si="37"/>
        <v>0</v>
      </c>
      <c r="M153">
        <f t="shared" si="37"/>
        <v>0</v>
      </c>
      <c r="N153">
        <f t="shared" si="37"/>
        <v>0</v>
      </c>
      <c r="O153">
        <f t="shared" si="37"/>
        <v>0</v>
      </c>
      <c r="P153">
        <f t="shared" si="37"/>
        <v>0</v>
      </c>
      <c r="Q153">
        <f t="shared" si="37"/>
        <v>0</v>
      </c>
      <c r="R153">
        <f t="shared" si="37"/>
        <v>0</v>
      </c>
      <c r="S153">
        <f t="shared" si="37"/>
        <v>0</v>
      </c>
      <c r="T153">
        <f t="shared" si="37"/>
        <v>0</v>
      </c>
      <c r="U153">
        <f t="shared" si="37"/>
        <v>0</v>
      </c>
      <c r="V153">
        <f t="shared" si="37"/>
        <v>0</v>
      </c>
      <c r="W153">
        <f t="shared" si="37"/>
        <v>0</v>
      </c>
      <c r="X153">
        <f t="shared" si="37"/>
        <v>0</v>
      </c>
      <c r="Y153">
        <f t="shared" si="36"/>
        <v>0</v>
      </c>
      <c r="Z153">
        <f t="shared" si="36"/>
        <v>0</v>
      </c>
      <c r="AA153">
        <f t="shared" si="36"/>
        <v>0</v>
      </c>
      <c r="AB153">
        <f t="shared" si="36"/>
        <v>0</v>
      </c>
      <c r="AC153">
        <f t="shared" si="36"/>
        <v>0</v>
      </c>
      <c r="AD153">
        <f t="shared" si="36"/>
        <v>0</v>
      </c>
      <c r="AE153">
        <f t="shared" si="36"/>
        <v>0</v>
      </c>
      <c r="AF153">
        <f t="shared" si="36"/>
        <v>0</v>
      </c>
      <c r="AG153">
        <f t="shared" si="36"/>
        <v>0</v>
      </c>
      <c r="AH153">
        <f t="shared" si="36"/>
        <v>0</v>
      </c>
      <c r="AI153">
        <f t="shared" si="36"/>
        <v>0</v>
      </c>
      <c r="AJ153">
        <f t="shared" si="36"/>
        <v>0</v>
      </c>
      <c r="AK153">
        <f t="shared" si="36"/>
        <v>0</v>
      </c>
      <c r="AL153">
        <f t="shared" si="36"/>
        <v>0</v>
      </c>
      <c r="AM153">
        <f t="shared" si="36"/>
        <v>0</v>
      </c>
      <c r="AN153">
        <f t="shared" si="31"/>
        <v>0</v>
      </c>
      <c r="AO153">
        <f t="shared" si="31"/>
        <v>0</v>
      </c>
      <c r="AP153">
        <f t="shared" si="31"/>
        <v>0</v>
      </c>
      <c r="AQ153">
        <f t="shared" si="31"/>
        <v>0</v>
      </c>
      <c r="AR153">
        <f t="shared" si="31"/>
        <v>0</v>
      </c>
    </row>
    <row r="154" spans="5:44" x14ac:dyDescent="0.2">
      <c r="E154" s="1">
        <f>moment_rate!$M154</f>
        <v>50.832424948349157</v>
      </c>
      <c r="F154" s="1">
        <f t="shared" si="34"/>
        <v>1.0424403544179341</v>
      </c>
      <c r="G154">
        <f>moment_rate!I154-0.005</f>
        <v>1.4700000000000011</v>
      </c>
      <c r="H154" s="1">
        <f t="shared" si="35"/>
        <v>0</v>
      </c>
      <c r="I154">
        <f t="shared" si="37"/>
        <v>0</v>
      </c>
      <c r="J154">
        <f t="shared" si="37"/>
        <v>0</v>
      </c>
      <c r="K154">
        <f t="shared" si="37"/>
        <v>0</v>
      </c>
      <c r="L154">
        <f t="shared" si="37"/>
        <v>0</v>
      </c>
      <c r="M154">
        <f t="shared" si="37"/>
        <v>0</v>
      </c>
      <c r="N154">
        <f t="shared" si="37"/>
        <v>0</v>
      </c>
      <c r="O154">
        <f t="shared" si="37"/>
        <v>0</v>
      </c>
      <c r="P154">
        <f t="shared" si="37"/>
        <v>0</v>
      </c>
      <c r="Q154">
        <f t="shared" si="37"/>
        <v>0</v>
      </c>
      <c r="R154">
        <f t="shared" si="37"/>
        <v>0</v>
      </c>
      <c r="S154">
        <f t="shared" si="37"/>
        <v>0</v>
      </c>
      <c r="T154">
        <f t="shared" si="37"/>
        <v>0</v>
      </c>
      <c r="U154">
        <f t="shared" si="37"/>
        <v>0</v>
      </c>
      <c r="V154">
        <f t="shared" si="37"/>
        <v>0</v>
      </c>
      <c r="W154">
        <f t="shared" si="37"/>
        <v>0</v>
      </c>
      <c r="X154">
        <f t="shared" si="37"/>
        <v>0</v>
      </c>
      <c r="Y154">
        <f t="shared" si="36"/>
        <v>0</v>
      </c>
      <c r="Z154">
        <f t="shared" si="36"/>
        <v>0</v>
      </c>
      <c r="AA154">
        <f t="shared" si="36"/>
        <v>0</v>
      </c>
      <c r="AB154">
        <f t="shared" si="36"/>
        <v>0</v>
      </c>
      <c r="AC154">
        <f t="shared" si="36"/>
        <v>0</v>
      </c>
      <c r="AD154">
        <f t="shared" si="36"/>
        <v>0</v>
      </c>
      <c r="AE154">
        <f t="shared" si="36"/>
        <v>0</v>
      </c>
      <c r="AF154">
        <f t="shared" si="36"/>
        <v>0</v>
      </c>
      <c r="AG154">
        <f t="shared" si="36"/>
        <v>0</v>
      </c>
      <c r="AH154">
        <f t="shared" si="36"/>
        <v>0</v>
      </c>
      <c r="AI154">
        <f t="shared" si="36"/>
        <v>0</v>
      </c>
      <c r="AJ154">
        <f t="shared" si="36"/>
        <v>0</v>
      </c>
      <c r="AK154">
        <f t="shared" si="36"/>
        <v>0</v>
      </c>
      <c r="AL154">
        <f t="shared" si="36"/>
        <v>0</v>
      </c>
      <c r="AM154">
        <f t="shared" si="36"/>
        <v>0</v>
      </c>
      <c r="AN154">
        <f t="shared" si="31"/>
        <v>0</v>
      </c>
      <c r="AO154">
        <f t="shared" si="31"/>
        <v>0</v>
      </c>
      <c r="AP154">
        <f t="shared" si="31"/>
        <v>0</v>
      </c>
      <c r="AQ154">
        <f t="shared" si="31"/>
        <v>0</v>
      </c>
      <c r="AR154">
        <f t="shared" si="31"/>
        <v>0</v>
      </c>
    </row>
    <row r="155" spans="5:44" x14ac:dyDescent="0.2">
      <c r="E155" s="1">
        <f>moment_rate!$M155</f>
        <v>49.789984593931223</v>
      </c>
      <c r="F155" s="1">
        <f t="shared" si="34"/>
        <v>1.0210598875382573</v>
      </c>
      <c r="G155">
        <f>moment_rate!I155-0.005</f>
        <v>1.4800000000000011</v>
      </c>
      <c r="H155" s="1">
        <f t="shared" si="35"/>
        <v>0</v>
      </c>
      <c r="I155">
        <f t="shared" si="37"/>
        <v>0</v>
      </c>
      <c r="J155">
        <f t="shared" si="37"/>
        <v>0</v>
      </c>
      <c r="K155">
        <f t="shared" si="37"/>
        <v>0</v>
      </c>
      <c r="L155">
        <f t="shared" si="37"/>
        <v>0</v>
      </c>
      <c r="M155">
        <f t="shared" si="37"/>
        <v>0</v>
      </c>
      <c r="N155">
        <f t="shared" si="37"/>
        <v>0</v>
      </c>
      <c r="O155">
        <f t="shared" si="37"/>
        <v>0</v>
      </c>
      <c r="P155">
        <f t="shared" si="37"/>
        <v>0</v>
      </c>
      <c r="Q155">
        <f t="shared" si="37"/>
        <v>0</v>
      </c>
      <c r="R155">
        <f t="shared" si="37"/>
        <v>0</v>
      </c>
      <c r="S155">
        <f t="shared" si="37"/>
        <v>0</v>
      </c>
      <c r="T155">
        <f t="shared" si="37"/>
        <v>0</v>
      </c>
      <c r="U155">
        <f t="shared" si="37"/>
        <v>0</v>
      </c>
      <c r="V155">
        <f t="shared" si="37"/>
        <v>0</v>
      </c>
      <c r="W155">
        <f t="shared" si="37"/>
        <v>0</v>
      </c>
      <c r="X155">
        <f t="shared" si="37"/>
        <v>0</v>
      </c>
      <c r="Y155">
        <f t="shared" si="36"/>
        <v>0</v>
      </c>
      <c r="Z155">
        <f t="shared" si="36"/>
        <v>0</v>
      </c>
      <c r="AA155">
        <f t="shared" si="36"/>
        <v>0</v>
      </c>
      <c r="AB155">
        <f t="shared" si="36"/>
        <v>0</v>
      </c>
      <c r="AC155">
        <f t="shared" si="36"/>
        <v>0</v>
      </c>
      <c r="AD155">
        <f t="shared" si="36"/>
        <v>0</v>
      </c>
      <c r="AE155">
        <f t="shared" si="36"/>
        <v>0</v>
      </c>
      <c r="AF155">
        <f t="shared" si="36"/>
        <v>0</v>
      </c>
      <c r="AG155">
        <f t="shared" si="36"/>
        <v>0</v>
      </c>
      <c r="AH155">
        <f t="shared" si="36"/>
        <v>0</v>
      </c>
      <c r="AI155">
        <f t="shared" si="36"/>
        <v>0</v>
      </c>
      <c r="AJ155">
        <f t="shared" si="36"/>
        <v>0</v>
      </c>
      <c r="AK155">
        <f t="shared" si="36"/>
        <v>0</v>
      </c>
      <c r="AL155">
        <f t="shared" si="36"/>
        <v>0</v>
      </c>
      <c r="AM155">
        <f t="shared" si="36"/>
        <v>0</v>
      </c>
      <c r="AN155">
        <f t="shared" si="31"/>
        <v>0</v>
      </c>
      <c r="AO155">
        <f t="shared" si="31"/>
        <v>0</v>
      </c>
      <c r="AP155">
        <f t="shared" si="31"/>
        <v>0</v>
      </c>
      <c r="AQ155">
        <f t="shared" si="31"/>
        <v>0</v>
      </c>
      <c r="AR155">
        <f t="shared" si="31"/>
        <v>0</v>
      </c>
    </row>
    <row r="156" spans="5:44" x14ac:dyDescent="0.2">
      <c r="E156" s="1">
        <f>moment_rate!$M156</f>
        <v>48.768924706392966</v>
      </c>
      <c r="F156" s="1">
        <f t="shared" si="34"/>
        <v>1.0001179343462638</v>
      </c>
      <c r="G156">
        <f>moment_rate!I156-0.005</f>
        <v>1.4900000000000011</v>
      </c>
      <c r="H156" s="1">
        <f t="shared" si="35"/>
        <v>0</v>
      </c>
      <c r="I156">
        <f t="shared" si="37"/>
        <v>0</v>
      </c>
      <c r="J156">
        <f t="shared" si="37"/>
        <v>0</v>
      </c>
      <c r="K156">
        <f t="shared" si="37"/>
        <v>0</v>
      </c>
      <c r="L156">
        <f t="shared" si="37"/>
        <v>0</v>
      </c>
      <c r="M156">
        <f t="shared" si="37"/>
        <v>0</v>
      </c>
      <c r="N156">
        <f t="shared" si="37"/>
        <v>0</v>
      </c>
      <c r="O156">
        <f t="shared" si="37"/>
        <v>0</v>
      </c>
      <c r="P156">
        <f t="shared" si="37"/>
        <v>0</v>
      </c>
      <c r="Q156">
        <f t="shared" si="37"/>
        <v>0</v>
      </c>
      <c r="R156">
        <f t="shared" si="37"/>
        <v>0</v>
      </c>
      <c r="S156">
        <f t="shared" si="37"/>
        <v>0</v>
      </c>
      <c r="T156">
        <f t="shared" si="37"/>
        <v>0</v>
      </c>
      <c r="U156">
        <f t="shared" si="37"/>
        <v>0</v>
      </c>
      <c r="V156">
        <f t="shared" si="37"/>
        <v>0</v>
      </c>
      <c r="W156">
        <f t="shared" si="37"/>
        <v>0</v>
      </c>
      <c r="X156">
        <f t="shared" si="37"/>
        <v>0</v>
      </c>
      <c r="Y156">
        <f t="shared" si="36"/>
        <v>0</v>
      </c>
      <c r="Z156">
        <f t="shared" si="36"/>
        <v>0</v>
      </c>
      <c r="AA156">
        <f t="shared" si="36"/>
        <v>0</v>
      </c>
      <c r="AB156">
        <f t="shared" si="36"/>
        <v>0</v>
      </c>
      <c r="AC156">
        <f t="shared" si="36"/>
        <v>0</v>
      </c>
      <c r="AD156">
        <f t="shared" si="36"/>
        <v>0</v>
      </c>
      <c r="AE156">
        <f t="shared" si="36"/>
        <v>0</v>
      </c>
      <c r="AF156">
        <f t="shared" si="36"/>
        <v>0</v>
      </c>
      <c r="AG156">
        <f t="shared" si="36"/>
        <v>0</v>
      </c>
      <c r="AH156">
        <f t="shared" si="36"/>
        <v>0</v>
      </c>
      <c r="AI156">
        <f t="shared" si="36"/>
        <v>0</v>
      </c>
      <c r="AJ156">
        <f t="shared" si="36"/>
        <v>0</v>
      </c>
      <c r="AK156">
        <f t="shared" si="36"/>
        <v>0</v>
      </c>
      <c r="AL156">
        <f t="shared" si="36"/>
        <v>0</v>
      </c>
      <c r="AM156">
        <f t="shared" si="36"/>
        <v>0</v>
      </c>
      <c r="AN156">
        <f t="shared" si="31"/>
        <v>0</v>
      </c>
      <c r="AO156">
        <f t="shared" si="31"/>
        <v>0</v>
      </c>
      <c r="AP156">
        <f t="shared" si="31"/>
        <v>0</v>
      </c>
      <c r="AQ156">
        <f t="shared" si="31"/>
        <v>0</v>
      </c>
      <c r="AR156">
        <f t="shared" si="31"/>
        <v>0</v>
      </c>
    </row>
    <row r="157" spans="5:44" x14ac:dyDescent="0.2">
      <c r="E157" s="1">
        <f>moment_rate!$M157</f>
        <v>47.768806772046702</v>
      </c>
      <c r="F157" s="1">
        <f t="shared" si="34"/>
        <v>0.9796055009197957</v>
      </c>
      <c r="G157">
        <f>moment_rate!I157-0.005</f>
        <v>1.5000000000000011</v>
      </c>
      <c r="H157" s="1">
        <f t="shared" si="35"/>
        <v>0</v>
      </c>
      <c r="I157">
        <f t="shared" si="37"/>
        <v>0</v>
      </c>
      <c r="J157">
        <f t="shared" si="37"/>
        <v>0</v>
      </c>
      <c r="K157">
        <f t="shared" si="37"/>
        <v>0</v>
      </c>
      <c r="L157">
        <f t="shared" si="37"/>
        <v>0</v>
      </c>
      <c r="M157">
        <f t="shared" si="37"/>
        <v>0</v>
      </c>
      <c r="N157">
        <f t="shared" si="37"/>
        <v>0</v>
      </c>
      <c r="O157">
        <f t="shared" si="37"/>
        <v>0</v>
      </c>
      <c r="P157">
        <f t="shared" si="37"/>
        <v>0</v>
      </c>
      <c r="Q157">
        <f t="shared" si="37"/>
        <v>0</v>
      </c>
      <c r="R157">
        <f t="shared" si="37"/>
        <v>0</v>
      </c>
      <c r="S157">
        <f t="shared" si="37"/>
        <v>0</v>
      </c>
      <c r="T157">
        <f t="shared" si="37"/>
        <v>0</v>
      </c>
      <c r="U157">
        <f t="shared" si="37"/>
        <v>0</v>
      </c>
      <c r="V157">
        <f t="shared" si="37"/>
        <v>0</v>
      </c>
      <c r="W157">
        <f t="shared" si="37"/>
        <v>0</v>
      </c>
      <c r="X157">
        <f t="shared" si="37"/>
        <v>0</v>
      </c>
      <c r="Y157">
        <f t="shared" si="36"/>
        <v>0</v>
      </c>
      <c r="Z157">
        <f t="shared" si="36"/>
        <v>0</v>
      </c>
      <c r="AA157">
        <f t="shared" si="36"/>
        <v>0</v>
      </c>
      <c r="AB157">
        <f t="shared" si="36"/>
        <v>0</v>
      </c>
      <c r="AC157">
        <f t="shared" si="36"/>
        <v>0</v>
      </c>
      <c r="AD157">
        <f t="shared" si="36"/>
        <v>0</v>
      </c>
      <c r="AE157">
        <f t="shared" si="36"/>
        <v>0</v>
      </c>
      <c r="AF157">
        <f t="shared" si="36"/>
        <v>0</v>
      </c>
      <c r="AG157">
        <f t="shared" si="36"/>
        <v>0</v>
      </c>
      <c r="AH157">
        <f t="shared" si="36"/>
        <v>0</v>
      </c>
      <c r="AI157">
        <f t="shared" si="36"/>
        <v>0</v>
      </c>
      <c r="AJ157">
        <f t="shared" si="36"/>
        <v>0</v>
      </c>
      <c r="AK157">
        <f t="shared" si="36"/>
        <v>0</v>
      </c>
      <c r="AL157">
        <f t="shared" si="36"/>
        <v>0</v>
      </c>
      <c r="AM157">
        <f t="shared" si="36"/>
        <v>0</v>
      </c>
      <c r="AN157">
        <f t="shared" si="31"/>
        <v>0</v>
      </c>
      <c r="AO157">
        <f t="shared" si="31"/>
        <v>0</v>
      </c>
      <c r="AP157">
        <f t="shared" si="31"/>
        <v>0</v>
      </c>
      <c r="AQ157">
        <f t="shared" si="31"/>
        <v>0</v>
      </c>
      <c r="AR157">
        <f t="shared" si="31"/>
        <v>0</v>
      </c>
    </row>
    <row r="158" spans="5:44" x14ac:dyDescent="0.2">
      <c r="E158" s="1">
        <f>moment_rate!$M158</f>
        <v>46.789201271126906</v>
      </c>
      <c r="F158" s="1">
        <f t="shared" si="34"/>
        <v>0.95951377780222202</v>
      </c>
      <c r="G158">
        <f>moment_rate!I158-0.005</f>
        <v>1.5100000000000011</v>
      </c>
      <c r="H158" s="1">
        <f t="shared" si="35"/>
        <v>0</v>
      </c>
      <c r="I158">
        <f t="shared" si="37"/>
        <v>0</v>
      </c>
      <c r="J158">
        <f t="shared" si="37"/>
        <v>0</v>
      </c>
      <c r="K158">
        <f t="shared" si="37"/>
        <v>0</v>
      </c>
      <c r="L158">
        <f t="shared" si="37"/>
        <v>0</v>
      </c>
      <c r="M158">
        <f t="shared" si="37"/>
        <v>0</v>
      </c>
      <c r="N158">
        <f t="shared" si="37"/>
        <v>0</v>
      </c>
      <c r="O158">
        <f t="shared" si="37"/>
        <v>0</v>
      </c>
      <c r="P158">
        <f t="shared" si="37"/>
        <v>0</v>
      </c>
      <c r="Q158">
        <f t="shared" si="37"/>
        <v>0</v>
      </c>
      <c r="R158">
        <f t="shared" si="37"/>
        <v>0</v>
      </c>
      <c r="S158">
        <f t="shared" si="37"/>
        <v>0</v>
      </c>
      <c r="T158">
        <f t="shared" si="37"/>
        <v>0</v>
      </c>
      <c r="U158">
        <f t="shared" si="37"/>
        <v>0</v>
      </c>
      <c r="V158">
        <f t="shared" si="37"/>
        <v>0</v>
      </c>
      <c r="W158">
        <f t="shared" si="37"/>
        <v>0</v>
      </c>
      <c r="X158">
        <f t="shared" ref="X158:AM173" si="38">IF(AND($G158&gt;=X$3,$G158&lt;X$4),$F158,0)</f>
        <v>0</v>
      </c>
      <c r="Y158">
        <f t="shared" si="38"/>
        <v>0</v>
      </c>
      <c r="Z158">
        <f t="shared" si="36"/>
        <v>0</v>
      </c>
      <c r="AA158">
        <f t="shared" si="36"/>
        <v>0</v>
      </c>
      <c r="AB158">
        <f t="shared" si="36"/>
        <v>0</v>
      </c>
      <c r="AC158">
        <f t="shared" si="36"/>
        <v>0</v>
      </c>
      <c r="AD158">
        <f t="shared" si="36"/>
        <v>0</v>
      </c>
      <c r="AE158">
        <f t="shared" si="36"/>
        <v>0</v>
      </c>
      <c r="AF158">
        <f t="shared" si="36"/>
        <v>0</v>
      </c>
      <c r="AG158">
        <f t="shared" si="36"/>
        <v>0</v>
      </c>
      <c r="AH158">
        <f t="shared" si="36"/>
        <v>0</v>
      </c>
      <c r="AI158">
        <f t="shared" si="36"/>
        <v>0</v>
      </c>
      <c r="AJ158">
        <f t="shared" si="36"/>
        <v>0</v>
      </c>
      <c r="AK158">
        <f t="shared" si="36"/>
        <v>0</v>
      </c>
      <c r="AL158">
        <f t="shared" si="36"/>
        <v>0</v>
      </c>
      <c r="AM158">
        <f t="shared" si="36"/>
        <v>0</v>
      </c>
      <c r="AN158">
        <f t="shared" si="31"/>
        <v>0</v>
      </c>
      <c r="AO158">
        <f t="shared" si="31"/>
        <v>0</v>
      </c>
      <c r="AP158">
        <f t="shared" si="31"/>
        <v>0</v>
      </c>
      <c r="AQ158">
        <f t="shared" si="31"/>
        <v>0</v>
      </c>
      <c r="AR158">
        <f t="shared" si="31"/>
        <v>0</v>
      </c>
    </row>
    <row r="159" spans="5:44" x14ac:dyDescent="0.2">
      <c r="E159" s="1">
        <f>moment_rate!$M159</f>
        <v>45.829687493324684</v>
      </c>
      <c r="F159" s="1">
        <f t="shared" si="34"/>
        <v>0.93983413621892709</v>
      </c>
      <c r="G159">
        <f>moment_rate!I159-0.005</f>
        <v>1.5200000000000011</v>
      </c>
      <c r="H159" s="1">
        <f t="shared" si="35"/>
        <v>0</v>
      </c>
      <c r="I159">
        <f t="shared" ref="I159:X174" si="39">IF(AND($G159&gt;=I$3,$G159&lt;I$4),$F159,0)</f>
        <v>0</v>
      </c>
      <c r="J159">
        <f t="shared" si="39"/>
        <v>0</v>
      </c>
      <c r="K159">
        <f t="shared" si="39"/>
        <v>0</v>
      </c>
      <c r="L159">
        <f t="shared" si="39"/>
        <v>0</v>
      </c>
      <c r="M159">
        <f t="shared" si="39"/>
        <v>0</v>
      </c>
      <c r="N159">
        <f t="shared" si="39"/>
        <v>0</v>
      </c>
      <c r="O159">
        <f t="shared" si="39"/>
        <v>0</v>
      </c>
      <c r="P159">
        <f t="shared" si="39"/>
        <v>0</v>
      </c>
      <c r="Q159">
        <f t="shared" si="39"/>
        <v>0</v>
      </c>
      <c r="R159">
        <f t="shared" si="39"/>
        <v>0</v>
      </c>
      <c r="S159">
        <f t="shared" si="39"/>
        <v>0</v>
      </c>
      <c r="T159">
        <f t="shared" si="39"/>
        <v>0</v>
      </c>
      <c r="U159">
        <f t="shared" si="39"/>
        <v>0</v>
      </c>
      <c r="V159">
        <f t="shared" si="39"/>
        <v>0</v>
      </c>
      <c r="W159">
        <f t="shared" si="39"/>
        <v>0</v>
      </c>
      <c r="X159">
        <f t="shared" si="39"/>
        <v>0</v>
      </c>
      <c r="Y159">
        <f t="shared" si="38"/>
        <v>0</v>
      </c>
      <c r="Z159">
        <f t="shared" si="36"/>
        <v>0</v>
      </c>
      <c r="AA159">
        <f t="shared" si="36"/>
        <v>0</v>
      </c>
      <c r="AB159">
        <f t="shared" si="36"/>
        <v>0</v>
      </c>
      <c r="AC159">
        <f t="shared" si="36"/>
        <v>0</v>
      </c>
      <c r="AD159">
        <f t="shared" si="36"/>
        <v>0</v>
      </c>
      <c r="AE159">
        <f t="shared" si="36"/>
        <v>0</v>
      </c>
      <c r="AF159">
        <f t="shared" si="36"/>
        <v>0</v>
      </c>
      <c r="AG159">
        <f t="shared" si="36"/>
        <v>0</v>
      </c>
      <c r="AH159">
        <f t="shared" si="36"/>
        <v>0</v>
      </c>
      <c r="AI159">
        <f t="shared" si="36"/>
        <v>0</v>
      </c>
      <c r="AJ159">
        <f t="shared" si="36"/>
        <v>0</v>
      </c>
      <c r="AK159">
        <f t="shared" si="36"/>
        <v>0</v>
      </c>
      <c r="AL159">
        <f t="shared" ref="AL159:AR182" si="40">IF(AND($G159&gt;=AL$3,$G159&lt;AL$4),$F159,0)</f>
        <v>0</v>
      </c>
      <c r="AM159">
        <f t="shared" si="40"/>
        <v>0</v>
      </c>
      <c r="AN159">
        <f t="shared" si="40"/>
        <v>0</v>
      </c>
      <c r="AO159">
        <f t="shared" si="31"/>
        <v>0</v>
      </c>
      <c r="AP159">
        <f t="shared" si="31"/>
        <v>0</v>
      </c>
      <c r="AQ159">
        <f t="shared" si="31"/>
        <v>0</v>
      </c>
      <c r="AR159">
        <f t="shared" si="31"/>
        <v>0</v>
      </c>
    </row>
    <row r="160" spans="5:44" x14ac:dyDescent="0.2">
      <c r="E160" s="1">
        <f>moment_rate!$M160</f>
        <v>44.889853357105757</v>
      </c>
      <c r="F160" s="1">
        <f t="shared" si="34"/>
        <v>0.92055812437169493</v>
      </c>
      <c r="G160">
        <f>moment_rate!I160-0.005</f>
        <v>1.5300000000000011</v>
      </c>
      <c r="H160" s="1">
        <f t="shared" si="35"/>
        <v>0</v>
      </c>
      <c r="I160">
        <f t="shared" si="39"/>
        <v>0</v>
      </c>
      <c r="J160">
        <f t="shared" si="39"/>
        <v>0</v>
      </c>
      <c r="K160">
        <f t="shared" si="39"/>
        <v>0</v>
      </c>
      <c r="L160">
        <f t="shared" si="39"/>
        <v>0</v>
      </c>
      <c r="M160">
        <f t="shared" si="39"/>
        <v>0</v>
      </c>
      <c r="N160">
        <f t="shared" si="39"/>
        <v>0</v>
      </c>
      <c r="O160">
        <f t="shared" si="39"/>
        <v>0</v>
      </c>
      <c r="P160">
        <f t="shared" si="39"/>
        <v>0</v>
      </c>
      <c r="Q160">
        <f t="shared" si="39"/>
        <v>0</v>
      </c>
      <c r="R160">
        <f t="shared" si="39"/>
        <v>0</v>
      </c>
      <c r="S160">
        <f t="shared" si="39"/>
        <v>0</v>
      </c>
      <c r="T160">
        <f t="shared" si="39"/>
        <v>0</v>
      </c>
      <c r="U160">
        <f t="shared" si="39"/>
        <v>0</v>
      </c>
      <c r="V160">
        <f t="shared" si="39"/>
        <v>0</v>
      </c>
      <c r="W160">
        <f t="shared" si="39"/>
        <v>0</v>
      </c>
      <c r="X160">
        <f t="shared" si="39"/>
        <v>0</v>
      </c>
      <c r="Y160">
        <f t="shared" si="38"/>
        <v>0</v>
      </c>
      <c r="Z160">
        <f t="shared" si="38"/>
        <v>0</v>
      </c>
      <c r="AA160">
        <f t="shared" si="38"/>
        <v>0</v>
      </c>
      <c r="AB160">
        <f t="shared" si="38"/>
        <v>0</v>
      </c>
      <c r="AC160">
        <f t="shared" si="38"/>
        <v>0</v>
      </c>
      <c r="AD160">
        <f t="shared" si="38"/>
        <v>0</v>
      </c>
      <c r="AE160">
        <f t="shared" si="38"/>
        <v>0</v>
      </c>
      <c r="AF160">
        <f t="shared" si="38"/>
        <v>0</v>
      </c>
      <c r="AG160">
        <f t="shared" si="38"/>
        <v>0</v>
      </c>
      <c r="AH160">
        <f t="shared" si="38"/>
        <v>0</v>
      </c>
      <c r="AI160">
        <f t="shared" si="38"/>
        <v>0</v>
      </c>
      <c r="AJ160">
        <f t="shared" si="38"/>
        <v>0</v>
      </c>
      <c r="AK160">
        <f t="shared" si="38"/>
        <v>0</v>
      </c>
      <c r="AL160">
        <f t="shared" si="38"/>
        <v>0</v>
      </c>
      <c r="AM160">
        <f t="shared" si="38"/>
        <v>0</v>
      </c>
      <c r="AN160">
        <f t="shared" si="40"/>
        <v>0</v>
      </c>
      <c r="AO160">
        <f t="shared" si="40"/>
        <v>0</v>
      </c>
      <c r="AP160">
        <f t="shared" si="40"/>
        <v>0</v>
      </c>
      <c r="AQ160">
        <f t="shared" si="40"/>
        <v>0</v>
      </c>
      <c r="AR160">
        <f t="shared" si="40"/>
        <v>0</v>
      </c>
    </row>
    <row r="161" spans="5:44" x14ac:dyDescent="0.2">
      <c r="E161" s="1">
        <f>moment_rate!$M161</f>
        <v>43.969295232734062</v>
      </c>
      <c r="F161" s="1">
        <f t="shared" si="34"/>
        <v>0.90167746380867442</v>
      </c>
      <c r="G161">
        <f>moment_rate!I161-0.005</f>
        <v>1.5400000000000011</v>
      </c>
      <c r="H161" s="1">
        <f t="shared" si="35"/>
        <v>0</v>
      </c>
      <c r="I161">
        <f t="shared" si="39"/>
        <v>0</v>
      </c>
      <c r="J161">
        <f t="shared" si="39"/>
        <v>0</v>
      </c>
      <c r="K161">
        <f t="shared" si="39"/>
        <v>0</v>
      </c>
      <c r="L161">
        <f t="shared" si="39"/>
        <v>0</v>
      </c>
      <c r="M161">
        <f t="shared" si="39"/>
        <v>0</v>
      </c>
      <c r="N161">
        <f t="shared" si="39"/>
        <v>0</v>
      </c>
      <c r="O161">
        <f t="shared" si="39"/>
        <v>0</v>
      </c>
      <c r="P161">
        <f t="shared" si="39"/>
        <v>0</v>
      </c>
      <c r="Q161">
        <f t="shared" si="39"/>
        <v>0</v>
      </c>
      <c r="R161">
        <f t="shared" si="39"/>
        <v>0</v>
      </c>
      <c r="S161">
        <f t="shared" si="39"/>
        <v>0</v>
      </c>
      <c r="T161">
        <f t="shared" si="39"/>
        <v>0</v>
      </c>
      <c r="U161">
        <f t="shared" si="39"/>
        <v>0</v>
      </c>
      <c r="V161">
        <f t="shared" si="39"/>
        <v>0</v>
      </c>
      <c r="W161">
        <f t="shared" si="39"/>
        <v>0</v>
      </c>
      <c r="X161">
        <f t="shared" si="39"/>
        <v>0</v>
      </c>
      <c r="Y161">
        <f t="shared" si="38"/>
        <v>0</v>
      </c>
      <c r="Z161">
        <f t="shared" si="38"/>
        <v>0</v>
      </c>
      <c r="AA161">
        <f t="shared" si="38"/>
        <v>0</v>
      </c>
      <c r="AB161">
        <f t="shared" si="38"/>
        <v>0</v>
      </c>
      <c r="AC161">
        <f t="shared" si="38"/>
        <v>0</v>
      </c>
      <c r="AD161">
        <f t="shared" si="38"/>
        <v>0</v>
      </c>
      <c r="AE161">
        <f t="shared" si="38"/>
        <v>0</v>
      </c>
      <c r="AF161">
        <f t="shared" si="38"/>
        <v>0</v>
      </c>
      <c r="AG161">
        <f t="shared" si="38"/>
        <v>0</v>
      </c>
      <c r="AH161">
        <f t="shared" si="38"/>
        <v>0</v>
      </c>
      <c r="AI161">
        <f t="shared" si="38"/>
        <v>0</v>
      </c>
      <c r="AJ161">
        <f t="shared" si="38"/>
        <v>0</v>
      </c>
      <c r="AK161">
        <f t="shared" si="38"/>
        <v>0</v>
      </c>
      <c r="AL161">
        <f t="shared" si="38"/>
        <v>0</v>
      </c>
      <c r="AM161">
        <f t="shared" si="38"/>
        <v>0</v>
      </c>
      <c r="AN161">
        <f t="shared" si="40"/>
        <v>0</v>
      </c>
      <c r="AO161">
        <f t="shared" si="40"/>
        <v>0</v>
      </c>
      <c r="AP161">
        <f t="shared" si="40"/>
        <v>0</v>
      </c>
      <c r="AQ161">
        <f t="shared" si="40"/>
        <v>0</v>
      </c>
      <c r="AR161">
        <f t="shared" si="40"/>
        <v>0</v>
      </c>
    </row>
    <row r="162" spans="5:44" x14ac:dyDescent="0.2">
      <c r="E162" s="1">
        <f>moment_rate!$M162</f>
        <v>43.067617768925388</v>
      </c>
      <c r="F162" s="1">
        <f t="shared" si="34"/>
        <v>0.88318404586930654</v>
      </c>
      <c r="G162">
        <f>moment_rate!I162-0.005</f>
        <v>1.5500000000000012</v>
      </c>
      <c r="H162" s="1">
        <f t="shared" si="35"/>
        <v>0</v>
      </c>
      <c r="I162">
        <f t="shared" si="39"/>
        <v>0</v>
      </c>
      <c r="J162">
        <f t="shared" si="39"/>
        <v>0</v>
      </c>
      <c r="K162">
        <f t="shared" si="39"/>
        <v>0</v>
      </c>
      <c r="L162">
        <f t="shared" si="39"/>
        <v>0</v>
      </c>
      <c r="M162">
        <f t="shared" si="39"/>
        <v>0</v>
      </c>
      <c r="N162">
        <f t="shared" si="39"/>
        <v>0</v>
      </c>
      <c r="O162">
        <f t="shared" si="39"/>
        <v>0</v>
      </c>
      <c r="P162">
        <f t="shared" si="39"/>
        <v>0</v>
      </c>
      <c r="Q162">
        <f t="shared" si="39"/>
        <v>0</v>
      </c>
      <c r="R162">
        <f t="shared" si="39"/>
        <v>0</v>
      </c>
      <c r="S162">
        <f t="shared" si="39"/>
        <v>0</v>
      </c>
      <c r="T162">
        <f t="shared" si="39"/>
        <v>0</v>
      </c>
      <c r="U162">
        <f t="shared" si="39"/>
        <v>0</v>
      </c>
      <c r="V162">
        <f t="shared" si="39"/>
        <v>0</v>
      </c>
      <c r="W162">
        <f t="shared" si="39"/>
        <v>0</v>
      </c>
      <c r="X162">
        <f t="shared" si="39"/>
        <v>0</v>
      </c>
      <c r="Y162">
        <f t="shared" si="38"/>
        <v>0</v>
      </c>
      <c r="Z162">
        <f t="shared" si="38"/>
        <v>0</v>
      </c>
      <c r="AA162">
        <f t="shared" si="38"/>
        <v>0</v>
      </c>
      <c r="AB162">
        <f t="shared" si="38"/>
        <v>0</v>
      </c>
      <c r="AC162">
        <f t="shared" si="38"/>
        <v>0</v>
      </c>
      <c r="AD162">
        <f t="shared" si="38"/>
        <v>0</v>
      </c>
      <c r="AE162">
        <f t="shared" si="38"/>
        <v>0</v>
      </c>
      <c r="AF162">
        <f t="shared" si="38"/>
        <v>0</v>
      </c>
      <c r="AG162">
        <f t="shared" si="38"/>
        <v>0</v>
      </c>
      <c r="AH162">
        <f t="shared" si="38"/>
        <v>0</v>
      </c>
      <c r="AI162">
        <f t="shared" si="38"/>
        <v>0</v>
      </c>
      <c r="AJ162">
        <f t="shared" si="38"/>
        <v>0</v>
      </c>
      <c r="AK162">
        <f t="shared" si="38"/>
        <v>0</v>
      </c>
      <c r="AL162">
        <f t="shared" si="38"/>
        <v>0</v>
      </c>
      <c r="AM162">
        <f t="shared" si="38"/>
        <v>0</v>
      </c>
      <c r="AN162">
        <f t="shared" si="40"/>
        <v>0</v>
      </c>
      <c r="AO162">
        <f t="shared" si="40"/>
        <v>0</v>
      </c>
      <c r="AP162">
        <f t="shared" si="40"/>
        <v>0</v>
      </c>
      <c r="AQ162">
        <f t="shared" si="40"/>
        <v>0</v>
      </c>
      <c r="AR162">
        <f t="shared" si="40"/>
        <v>0</v>
      </c>
    </row>
    <row r="163" spans="5:44" x14ac:dyDescent="0.2">
      <c r="E163" s="1">
        <f>moment_rate!$M163</f>
        <v>42.184433723056081</v>
      </c>
      <c r="F163" s="1">
        <f t="shared" si="34"/>
        <v>0.86506992820174133</v>
      </c>
      <c r="G163">
        <f>moment_rate!I163-0.005</f>
        <v>1.5600000000000012</v>
      </c>
      <c r="H163" s="1">
        <f t="shared" si="35"/>
        <v>0</v>
      </c>
      <c r="I163">
        <f t="shared" si="39"/>
        <v>0</v>
      </c>
      <c r="J163">
        <f t="shared" si="39"/>
        <v>0</v>
      </c>
      <c r="K163">
        <f t="shared" si="39"/>
        <v>0</v>
      </c>
      <c r="L163">
        <f t="shared" si="39"/>
        <v>0</v>
      </c>
      <c r="M163">
        <f t="shared" si="39"/>
        <v>0</v>
      </c>
      <c r="N163">
        <f t="shared" si="39"/>
        <v>0</v>
      </c>
      <c r="O163">
        <f t="shared" si="39"/>
        <v>0</v>
      </c>
      <c r="P163">
        <f t="shared" si="39"/>
        <v>0</v>
      </c>
      <c r="Q163">
        <f t="shared" si="39"/>
        <v>0</v>
      </c>
      <c r="R163">
        <f t="shared" si="39"/>
        <v>0</v>
      </c>
      <c r="S163">
        <f t="shared" si="39"/>
        <v>0</v>
      </c>
      <c r="T163">
        <f t="shared" si="39"/>
        <v>0</v>
      </c>
      <c r="U163">
        <f t="shared" si="39"/>
        <v>0</v>
      </c>
      <c r="V163">
        <f t="shared" si="39"/>
        <v>0</v>
      </c>
      <c r="W163">
        <f t="shared" si="39"/>
        <v>0</v>
      </c>
      <c r="X163">
        <f t="shared" si="39"/>
        <v>0</v>
      </c>
      <c r="Y163">
        <f t="shared" si="38"/>
        <v>0</v>
      </c>
      <c r="Z163">
        <f t="shared" si="38"/>
        <v>0</v>
      </c>
      <c r="AA163">
        <f t="shared" si="38"/>
        <v>0</v>
      </c>
      <c r="AB163">
        <f t="shared" si="38"/>
        <v>0</v>
      </c>
      <c r="AC163">
        <f t="shared" si="38"/>
        <v>0</v>
      </c>
      <c r="AD163">
        <f t="shared" si="38"/>
        <v>0</v>
      </c>
      <c r="AE163">
        <f t="shared" si="38"/>
        <v>0</v>
      </c>
      <c r="AF163">
        <f t="shared" si="38"/>
        <v>0</v>
      </c>
      <c r="AG163">
        <f t="shared" si="38"/>
        <v>0</v>
      </c>
      <c r="AH163">
        <f t="shared" si="38"/>
        <v>0</v>
      </c>
      <c r="AI163">
        <f t="shared" si="38"/>
        <v>0</v>
      </c>
      <c r="AJ163">
        <f t="shared" si="38"/>
        <v>0</v>
      </c>
      <c r="AK163">
        <f t="shared" si="38"/>
        <v>0</v>
      </c>
      <c r="AL163">
        <f t="shared" si="38"/>
        <v>0</v>
      </c>
      <c r="AM163">
        <f t="shared" si="38"/>
        <v>0</v>
      </c>
      <c r="AN163">
        <f t="shared" si="40"/>
        <v>0</v>
      </c>
      <c r="AO163">
        <f t="shared" si="40"/>
        <v>0</v>
      </c>
      <c r="AP163">
        <f t="shared" si="40"/>
        <v>0</v>
      </c>
      <c r="AQ163">
        <f t="shared" si="40"/>
        <v>0</v>
      </c>
      <c r="AR163">
        <f t="shared" si="40"/>
        <v>0</v>
      </c>
    </row>
    <row r="164" spans="5:44" x14ac:dyDescent="0.2">
      <c r="E164" s="1">
        <f>moment_rate!$M164</f>
        <v>41.31936379485434</v>
      </c>
      <c r="F164" s="1">
        <f t="shared" si="34"/>
        <v>0.84732733135181348</v>
      </c>
      <c r="G164">
        <f>moment_rate!I164-0.005</f>
        <v>1.5700000000000012</v>
      </c>
      <c r="H164" s="1">
        <f t="shared" si="35"/>
        <v>0</v>
      </c>
      <c r="I164">
        <f t="shared" si="39"/>
        <v>0</v>
      </c>
      <c r="J164">
        <f t="shared" si="39"/>
        <v>0</v>
      </c>
      <c r="K164">
        <f t="shared" si="39"/>
        <v>0</v>
      </c>
      <c r="L164">
        <f t="shared" si="39"/>
        <v>0</v>
      </c>
      <c r="M164">
        <f t="shared" si="39"/>
        <v>0</v>
      </c>
      <c r="N164">
        <f t="shared" si="39"/>
        <v>0</v>
      </c>
      <c r="O164">
        <f t="shared" si="39"/>
        <v>0</v>
      </c>
      <c r="P164">
        <f t="shared" si="39"/>
        <v>0</v>
      </c>
      <c r="Q164">
        <f t="shared" si="39"/>
        <v>0</v>
      </c>
      <c r="R164">
        <f t="shared" si="39"/>
        <v>0</v>
      </c>
      <c r="S164">
        <f t="shared" si="39"/>
        <v>0</v>
      </c>
      <c r="T164">
        <f t="shared" si="39"/>
        <v>0</v>
      </c>
      <c r="U164">
        <f t="shared" si="39"/>
        <v>0</v>
      </c>
      <c r="V164">
        <f t="shared" si="39"/>
        <v>0</v>
      </c>
      <c r="W164">
        <f t="shared" si="39"/>
        <v>0</v>
      </c>
      <c r="X164">
        <f t="shared" si="39"/>
        <v>0</v>
      </c>
      <c r="Y164">
        <f t="shared" si="38"/>
        <v>0</v>
      </c>
      <c r="Z164">
        <f t="shared" si="38"/>
        <v>0</v>
      </c>
      <c r="AA164">
        <f t="shared" si="38"/>
        <v>0</v>
      </c>
      <c r="AB164">
        <f t="shared" si="38"/>
        <v>0</v>
      </c>
      <c r="AC164">
        <f t="shared" si="38"/>
        <v>0</v>
      </c>
      <c r="AD164">
        <f t="shared" si="38"/>
        <v>0</v>
      </c>
      <c r="AE164">
        <f t="shared" si="38"/>
        <v>0</v>
      </c>
      <c r="AF164">
        <f t="shared" si="38"/>
        <v>0</v>
      </c>
      <c r="AG164">
        <f t="shared" si="38"/>
        <v>0</v>
      </c>
      <c r="AH164">
        <f t="shared" si="38"/>
        <v>0</v>
      </c>
      <c r="AI164">
        <f t="shared" si="38"/>
        <v>0</v>
      </c>
      <c r="AJ164">
        <f t="shared" si="38"/>
        <v>0</v>
      </c>
      <c r="AK164">
        <f t="shared" si="38"/>
        <v>0</v>
      </c>
      <c r="AL164">
        <f t="shared" si="38"/>
        <v>0</v>
      </c>
      <c r="AM164">
        <f t="shared" si="38"/>
        <v>0</v>
      </c>
      <c r="AN164">
        <f t="shared" si="40"/>
        <v>0</v>
      </c>
      <c r="AO164">
        <f t="shared" si="40"/>
        <v>0</v>
      </c>
      <c r="AP164">
        <f t="shared" si="40"/>
        <v>0</v>
      </c>
      <c r="AQ164">
        <f t="shared" si="40"/>
        <v>0</v>
      </c>
      <c r="AR164">
        <f t="shared" si="40"/>
        <v>0</v>
      </c>
    </row>
    <row r="165" spans="5:44" x14ac:dyDescent="0.2">
      <c r="E165" s="1">
        <f>moment_rate!$M165</f>
        <v>40.472036463502526</v>
      </c>
      <c r="F165" s="1">
        <f t="shared" si="34"/>
        <v>0.82994863542218411</v>
      </c>
      <c r="G165">
        <f>moment_rate!I165-0.005</f>
        <v>1.5800000000000012</v>
      </c>
      <c r="H165" s="1">
        <f t="shared" si="35"/>
        <v>0</v>
      </c>
      <c r="I165">
        <f t="shared" si="39"/>
        <v>0</v>
      </c>
      <c r="J165">
        <f t="shared" si="39"/>
        <v>0</v>
      </c>
      <c r="K165">
        <f t="shared" si="39"/>
        <v>0</v>
      </c>
      <c r="L165">
        <f t="shared" si="39"/>
        <v>0</v>
      </c>
      <c r="M165">
        <f t="shared" si="39"/>
        <v>0</v>
      </c>
      <c r="N165">
        <f t="shared" si="39"/>
        <v>0</v>
      </c>
      <c r="O165">
        <f t="shared" si="39"/>
        <v>0</v>
      </c>
      <c r="P165">
        <f t="shared" si="39"/>
        <v>0</v>
      </c>
      <c r="Q165">
        <f t="shared" si="39"/>
        <v>0</v>
      </c>
      <c r="R165">
        <f t="shared" si="39"/>
        <v>0</v>
      </c>
      <c r="S165">
        <f t="shared" si="39"/>
        <v>0</v>
      </c>
      <c r="T165">
        <f t="shared" si="39"/>
        <v>0</v>
      </c>
      <c r="U165">
        <f t="shared" si="39"/>
        <v>0</v>
      </c>
      <c r="V165">
        <f t="shared" si="39"/>
        <v>0</v>
      </c>
      <c r="W165">
        <f t="shared" si="39"/>
        <v>0</v>
      </c>
      <c r="X165">
        <f t="shared" si="39"/>
        <v>0</v>
      </c>
      <c r="Y165">
        <f t="shared" si="38"/>
        <v>0</v>
      </c>
      <c r="Z165">
        <f t="shared" si="38"/>
        <v>0</v>
      </c>
      <c r="AA165">
        <f t="shared" si="38"/>
        <v>0</v>
      </c>
      <c r="AB165">
        <f t="shared" si="38"/>
        <v>0</v>
      </c>
      <c r="AC165">
        <f t="shared" si="38"/>
        <v>0</v>
      </c>
      <c r="AD165">
        <f t="shared" si="38"/>
        <v>0</v>
      </c>
      <c r="AE165">
        <f t="shared" si="38"/>
        <v>0</v>
      </c>
      <c r="AF165">
        <f t="shared" si="38"/>
        <v>0</v>
      </c>
      <c r="AG165">
        <f t="shared" si="38"/>
        <v>0</v>
      </c>
      <c r="AH165">
        <f t="shared" si="38"/>
        <v>0</v>
      </c>
      <c r="AI165">
        <f t="shared" si="38"/>
        <v>0</v>
      </c>
      <c r="AJ165">
        <f t="shared" si="38"/>
        <v>0</v>
      </c>
      <c r="AK165">
        <f t="shared" si="38"/>
        <v>0</v>
      </c>
      <c r="AL165">
        <f t="shared" si="38"/>
        <v>0</v>
      </c>
      <c r="AM165">
        <f t="shared" si="38"/>
        <v>0</v>
      </c>
      <c r="AN165">
        <f t="shared" si="40"/>
        <v>0</v>
      </c>
      <c r="AO165">
        <f t="shared" si="40"/>
        <v>0</v>
      </c>
      <c r="AP165">
        <f t="shared" si="40"/>
        <v>0</v>
      </c>
      <c r="AQ165">
        <f t="shared" si="40"/>
        <v>0</v>
      </c>
      <c r="AR165">
        <f t="shared" si="40"/>
        <v>0</v>
      </c>
    </row>
    <row r="166" spans="5:44" x14ac:dyDescent="0.2">
      <c r="E166" s="1">
        <f>moment_rate!$M166</f>
        <v>39.642087828080342</v>
      </c>
      <c r="F166" s="1">
        <f t="shared" si="34"/>
        <v>0.81292637679964486</v>
      </c>
      <c r="G166">
        <f>moment_rate!I166-0.005</f>
        <v>1.5900000000000012</v>
      </c>
      <c r="H166" s="1">
        <f t="shared" si="35"/>
        <v>0</v>
      </c>
      <c r="I166">
        <f t="shared" si="39"/>
        <v>0</v>
      </c>
      <c r="J166">
        <f t="shared" si="39"/>
        <v>0</v>
      </c>
      <c r="K166">
        <f t="shared" si="39"/>
        <v>0</v>
      </c>
      <c r="L166">
        <f t="shared" si="39"/>
        <v>0</v>
      </c>
      <c r="M166">
        <f t="shared" si="39"/>
        <v>0</v>
      </c>
      <c r="N166">
        <f t="shared" si="39"/>
        <v>0</v>
      </c>
      <c r="O166">
        <f t="shared" si="39"/>
        <v>0</v>
      </c>
      <c r="P166">
        <f t="shared" si="39"/>
        <v>0</v>
      </c>
      <c r="Q166">
        <f t="shared" si="39"/>
        <v>0</v>
      </c>
      <c r="R166">
        <f t="shared" si="39"/>
        <v>0</v>
      </c>
      <c r="S166">
        <f t="shared" si="39"/>
        <v>0</v>
      </c>
      <c r="T166">
        <f t="shared" si="39"/>
        <v>0</v>
      </c>
      <c r="U166">
        <f t="shared" si="39"/>
        <v>0</v>
      </c>
      <c r="V166">
        <f t="shared" si="39"/>
        <v>0</v>
      </c>
      <c r="W166">
        <f t="shared" si="39"/>
        <v>0</v>
      </c>
      <c r="X166">
        <f t="shared" si="39"/>
        <v>0</v>
      </c>
      <c r="Y166">
        <f t="shared" si="38"/>
        <v>0</v>
      </c>
      <c r="Z166">
        <f t="shared" si="38"/>
        <v>0</v>
      </c>
      <c r="AA166">
        <f t="shared" si="38"/>
        <v>0</v>
      </c>
      <c r="AB166">
        <f t="shared" si="38"/>
        <v>0</v>
      </c>
      <c r="AC166">
        <f t="shared" si="38"/>
        <v>0</v>
      </c>
      <c r="AD166">
        <f t="shared" si="38"/>
        <v>0</v>
      </c>
      <c r="AE166">
        <f t="shared" si="38"/>
        <v>0</v>
      </c>
      <c r="AF166">
        <f t="shared" si="38"/>
        <v>0</v>
      </c>
      <c r="AG166">
        <f t="shared" si="38"/>
        <v>0</v>
      </c>
      <c r="AH166">
        <f t="shared" si="38"/>
        <v>0</v>
      </c>
      <c r="AI166">
        <f t="shared" si="38"/>
        <v>0</v>
      </c>
      <c r="AJ166">
        <f t="shared" si="38"/>
        <v>0</v>
      </c>
      <c r="AK166">
        <f t="shared" si="38"/>
        <v>0</v>
      </c>
      <c r="AL166">
        <f t="shared" si="38"/>
        <v>0</v>
      </c>
      <c r="AM166">
        <f t="shared" si="38"/>
        <v>0</v>
      </c>
      <c r="AN166">
        <f t="shared" si="40"/>
        <v>0</v>
      </c>
      <c r="AO166">
        <f t="shared" si="40"/>
        <v>0</v>
      </c>
      <c r="AP166">
        <f t="shared" si="40"/>
        <v>0</v>
      </c>
      <c r="AQ166">
        <f t="shared" si="40"/>
        <v>0</v>
      </c>
      <c r="AR166">
        <f t="shared" si="40"/>
        <v>0</v>
      </c>
    </row>
    <row r="167" spans="5:44" x14ac:dyDescent="0.2">
      <c r="E167" s="1">
        <f>moment_rate!$M167</f>
        <v>38.829161451280697</v>
      </c>
      <c r="F167" s="1">
        <f t="shared" si="34"/>
        <v>0.79625324494982408</v>
      </c>
      <c r="G167">
        <f>moment_rate!I167-0.005</f>
        <v>1.6000000000000012</v>
      </c>
      <c r="H167" s="1">
        <f t="shared" si="35"/>
        <v>0</v>
      </c>
      <c r="I167">
        <f t="shared" si="39"/>
        <v>0</v>
      </c>
      <c r="J167">
        <f t="shared" si="39"/>
        <v>0</v>
      </c>
      <c r="K167">
        <f t="shared" si="39"/>
        <v>0</v>
      </c>
      <c r="L167">
        <f t="shared" si="39"/>
        <v>0</v>
      </c>
      <c r="M167">
        <f t="shared" si="39"/>
        <v>0</v>
      </c>
      <c r="N167">
        <f t="shared" si="39"/>
        <v>0</v>
      </c>
      <c r="O167">
        <f t="shared" si="39"/>
        <v>0</v>
      </c>
      <c r="P167">
        <f t="shared" si="39"/>
        <v>0</v>
      </c>
      <c r="Q167">
        <f t="shared" si="39"/>
        <v>0</v>
      </c>
      <c r="R167">
        <f t="shared" si="39"/>
        <v>0</v>
      </c>
      <c r="S167">
        <f t="shared" si="39"/>
        <v>0</v>
      </c>
      <c r="T167">
        <f t="shared" si="39"/>
        <v>0</v>
      </c>
      <c r="U167">
        <f t="shared" si="39"/>
        <v>0</v>
      </c>
      <c r="V167">
        <f t="shared" si="39"/>
        <v>0</v>
      </c>
      <c r="W167">
        <f t="shared" si="39"/>
        <v>0</v>
      </c>
      <c r="X167">
        <f t="shared" si="39"/>
        <v>0</v>
      </c>
      <c r="Y167">
        <f t="shared" si="38"/>
        <v>0</v>
      </c>
      <c r="Z167">
        <f t="shared" si="38"/>
        <v>0</v>
      </c>
      <c r="AA167">
        <f t="shared" si="38"/>
        <v>0</v>
      </c>
      <c r="AB167">
        <f t="shared" si="38"/>
        <v>0</v>
      </c>
      <c r="AC167">
        <f t="shared" si="38"/>
        <v>0</v>
      </c>
      <c r="AD167">
        <f t="shared" si="38"/>
        <v>0</v>
      </c>
      <c r="AE167">
        <f t="shared" si="38"/>
        <v>0</v>
      </c>
      <c r="AF167">
        <f t="shared" si="38"/>
        <v>0</v>
      </c>
      <c r="AG167">
        <f t="shared" si="38"/>
        <v>0</v>
      </c>
      <c r="AH167">
        <f t="shared" si="38"/>
        <v>0</v>
      </c>
      <c r="AI167">
        <f t="shared" si="38"/>
        <v>0</v>
      </c>
      <c r="AJ167">
        <f t="shared" si="38"/>
        <v>0</v>
      </c>
      <c r="AK167">
        <f t="shared" si="38"/>
        <v>0</v>
      </c>
      <c r="AL167">
        <f t="shared" si="38"/>
        <v>0</v>
      </c>
      <c r="AM167">
        <f t="shared" si="38"/>
        <v>0</v>
      </c>
      <c r="AN167">
        <f t="shared" si="40"/>
        <v>0</v>
      </c>
      <c r="AO167">
        <f t="shared" si="40"/>
        <v>0</v>
      </c>
      <c r="AP167">
        <f t="shared" si="40"/>
        <v>0</v>
      </c>
      <c r="AQ167">
        <f t="shared" si="40"/>
        <v>0</v>
      </c>
      <c r="AR167">
        <f t="shared" si="40"/>
        <v>0</v>
      </c>
    </row>
    <row r="168" spans="5:44" x14ac:dyDescent="0.2">
      <c r="E168" s="1">
        <f>moment_rate!$M168</f>
        <v>38.032908206330873</v>
      </c>
      <c r="F168" s="1">
        <f t="shared" si="34"/>
        <v>0.77992207927754009</v>
      </c>
      <c r="G168">
        <f>moment_rate!I168-0.005</f>
        <v>1.6100000000000012</v>
      </c>
      <c r="H168" s="1">
        <f t="shared" si="35"/>
        <v>0</v>
      </c>
      <c r="I168">
        <f t="shared" si="39"/>
        <v>0</v>
      </c>
      <c r="J168">
        <f t="shared" si="39"/>
        <v>0</v>
      </c>
      <c r="K168">
        <f t="shared" si="39"/>
        <v>0</v>
      </c>
      <c r="L168">
        <f t="shared" si="39"/>
        <v>0</v>
      </c>
      <c r="M168">
        <f t="shared" si="39"/>
        <v>0</v>
      </c>
      <c r="N168">
        <f t="shared" si="39"/>
        <v>0</v>
      </c>
      <c r="O168">
        <f t="shared" si="39"/>
        <v>0</v>
      </c>
      <c r="P168">
        <f t="shared" si="39"/>
        <v>0</v>
      </c>
      <c r="Q168">
        <f t="shared" si="39"/>
        <v>0</v>
      </c>
      <c r="R168">
        <f t="shared" si="39"/>
        <v>0</v>
      </c>
      <c r="S168">
        <f t="shared" si="39"/>
        <v>0</v>
      </c>
      <c r="T168">
        <f t="shared" si="39"/>
        <v>0</v>
      </c>
      <c r="U168">
        <f t="shared" si="39"/>
        <v>0</v>
      </c>
      <c r="V168">
        <f t="shared" si="39"/>
        <v>0</v>
      </c>
      <c r="W168">
        <f t="shared" si="39"/>
        <v>0</v>
      </c>
      <c r="X168">
        <f t="shared" si="39"/>
        <v>0</v>
      </c>
      <c r="Y168">
        <f t="shared" si="38"/>
        <v>0</v>
      </c>
      <c r="Z168">
        <f t="shared" si="38"/>
        <v>0</v>
      </c>
      <c r="AA168">
        <f t="shared" si="38"/>
        <v>0</v>
      </c>
      <c r="AB168">
        <f t="shared" si="38"/>
        <v>0</v>
      </c>
      <c r="AC168">
        <f t="shared" si="38"/>
        <v>0</v>
      </c>
      <c r="AD168">
        <f t="shared" si="38"/>
        <v>0</v>
      </c>
      <c r="AE168">
        <f t="shared" si="38"/>
        <v>0</v>
      </c>
      <c r="AF168">
        <f t="shared" si="38"/>
        <v>0</v>
      </c>
      <c r="AG168">
        <f t="shared" si="38"/>
        <v>0</v>
      </c>
      <c r="AH168">
        <f t="shared" si="38"/>
        <v>0</v>
      </c>
      <c r="AI168">
        <f t="shared" si="38"/>
        <v>0</v>
      </c>
      <c r="AJ168">
        <f t="shared" si="38"/>
        <v>0</v>
      </c>
      <c r="AK168">
        <f t="shared" si="38"/>
        <v>0</v>
      </c>
      <c r="AL168">
        <f t="shared" si="38"/>
        <v>0</v>
      </c>
      <c r="AM168">
        <f t="shared" si="38"/>
        <v>0</v>
      </c>
      <c r="AN168">
        <f t="shared" si="40"/>
        <v>0</v>
      </c>
      <c r="AO168">
        <f t="shared" si="40"/>
        <v>0</v>
      </c>
      <c r="AP168">
        <f t="shared" si="40"/>
        <v>0</v>
      </c>
      <c r="AQ168">
        <f t="shared" si="40"/>
        <v>0</v>
      </c>
      <c r="AR168">
        <f t="shared" si="40"/>
        <v>0</v>
      </c>
    </row>
    <row r="169" spans="5:44" x14ac:dyDescent="0.2">
      <c r="E169" s="1">
        <f>moment_rate!$M169</f>
        <v>37.252986127053333</v>
      </c>
      <c r="F169" s="1">
        <f t="shared" si="34"/>
        <v>0.76392586605147272</v>
      </c>
      <c r="G169">
        <f>moment_rate!I169-0.005</f>
        <v>1.6200000000000012</v>
      </c>
      <c r="H169" s="1">
        <f t="shared" si="35"/>
        <v>0</v>
      </c>
      <c r="I169">
        <f t="shared" si="39"/>
        <v>0</v>
      </c>
      <c r="J169">
        <f t="shared" si="39"/>
        <v>0</v>
      </c>
      <c r="K169">
        <f t="shared" si="39"/>
        <v>0</v>
      </c>
      <c r="L169">
        <f t="shared" si="39"/>
        <v>0</v>
      </c>
      <c r="M169">
        <f t="shared" si="39"/>
        <v>0</v>
      </c>
      <c r="N169">
        <f t="shared" si="39"/>
        <v>0</v>
      </c>
      <c r="O169">
        <f t="shared" si="39"/>
        <v>0</v>
      </c>
      <c r="P169">
        <f t="shared" si="39"/>
        <v>0</v>
      </c>
      <c r="Q169">
        <f t="shared" si="39"/>
        <v>0</v>
      </c>
      <c r="R169">
        <f t="shared" si="39"/>
        <v>0</v>
      </c>
      <c r="S169">
        <f t="shared" si="39"/>
        <v>0</v>
      </c>
      <c r="T169">
        <f t="shared" si="39"/>
        <v>0</v>
      </c>
      <c r="U169">
        <f t="shared" si="39"/>
        <v>0</v>
      </c>
      <c r="V169">
        <f t="shared" si="39"/>
        <v>0</v>
      </c>
      <c r="W169">
        <f t="shared" si="39"/>
        <v>0</v>
      </c>
      <c r="X169">
        <f t="shared" si="39"/>
        <v>0</v>
      </c>
      <c r="Y169">
        <f t="shared" si="38"/>
        <v>0</v>
      </c>
      <c r="Z169">
        <f t="shared" si="38"/>
        <v>0</v>
      </c>
      <c r="AA169">
        <f t="shared" si="38"/>
        <v>0</v>
      </c>
      <c r="AB169">
        <f t="shared" si="38"/>
        <v>0</v>
      </c>
      <c r="AC169">
        <f t="shared" si="38"/>
        <v>0</v>
      </c>
      <c r="AD169">
        <f t="shared" si="38"/>
        <v>0</v>
      </c>
      <c r="AE169">
        <f t="shared" si="38"/>
        <v>0</v>
      </c>
      <c r="AF169">
        <f t="shared" si="38"/>
        <v>0</v>
      </c>
      <c r="AG169">
        <f t="shared" si="38"/>
        <v>0</v>
      </c>
      <c r="AH169">
        <f t="shared" si="38"/>
        <v>0</v>
      </c>
      <c r="AI169">
        <f t="shared" si="38"/>
        <v>0</v>
      </c>
      <c r="AJ169">
        <f t="shared" si="38"/>
        <v>0</v>
      </c>
      <c r="AK169">
        <f t="shared" si="38"/>
        <v>0</v>
      </c>
      <c r="AL169">
        <f t="shared" si="38"/>
        <v>0</v>
      </c>
      <c r="AM169">
        <f t="shared" si="38"/>
        <v>0</v>
      </c>
      <c r="AN169">
        <f t="shared" si="40"/>
        <v>0</v>
      </c>
      <c r="AO169">
        <f t="shared" si="40"/>
        <v>0</v>
      </c>
      <c r="AP169">
        <f t="shared" si="40"/>
        <v>0</v>
      </c>
      <c r="AQ169">
        <f t="shared" si="40"/>
        <v>0</v>
      </c>
      <c r="AR169">
        <f t="shared" si="40"/>
        <v>0</v>
      </c>
    </row>
    <row r="170" spans="5:44" x14ac:dyDescent="0.2">
      <c r="E170" s="1">
        <f>moment_rate!$M170</f>
        <v>36.48906026100186</v>
      </c>
      <c r="F170" s="1">
        <f t="shared" si="34"/>
        <v>0.7482577353920874</v>
      </c>
      <c r="G170">
        <f>moment_rate!I170-0.005</f>
        <v>1.6300000000000012</v>
      </c>
      <c r="H170" s="1">
        <f t="shared" si="35"/>
        <v>0</v>
      </c>
      <c r="I170">
        <f t="shared" si="39"/>
        <v>0</v>
      </c>
      <c r="J170">
        <f t="shared" si="39"/>
        <v>0</v>
      </c>
      <c r="K170">
        <f t="shared" si="39"/>
        <v>0</v>
      </c>
      <c r="L170">
        <f t="shared" si="39"/>
        <v>0</v>
      </c>
      <c r="M170">
        <f t="shared" si="39"/>
        <v>0</v>
      </c>
      <c r="N170">
        <f t="shared" si="39"/>
        <v>0</v>
      </c>
      <c r="O170">
        <f t="shared" si="39"/>
        <v>0</v>
      </c>
      <c r="P170">
        <f t="shared" si="39"/>
        <v>0</v>
      </c>
      <c r="Q170">
        <f t="shared" si="39"/>
        <v>0</v>
      </c>
      <c r="R170">
        <f t="shared" si="39"/>
        <v>0</v>
      </c>
      <c r="S170">
        <f t="shared" si="39"/>
        <v>0</v>
      </c>
      <c r="T170">
        <f t="shared" si="39"/>
        <v>0</v>
      </c>
      <c r="U170">
        <f t="shared" si="39"/>
        <v>0</v>
      </c>
      <c r="V170">
        <f t="shared" si="39"/>
        <v>0</v>
      </c>
      <c r="W170">
        <f t="shared" si="39"/>
        <v>0</v>
      </c>
      <c r="X170">
        <f t="shared" si="39"/>
        <v>0</v>
      </c>
      <c r="Y170">
        <f t="shared" si="38"/>
        <v>0</v>
      </c>
      <c r="Z170">
        <f t="shared" si="38"/>
        <v>0</v>
      </c>
      <c r="AA170">
        <f t="shared" si="38"/>
        <v>0</v>
      </c>
      <c r="AB170">
        <f t="shared" si="38"/>
        <v>0</v>
      </c>
      <c r="AC170">
        <f t="shared" si="38"/>
        <v>0</v>
      </c>
      <c r="AD170">
        <f t="shared" si="38"/>
        <v>0</v>
      </c>
      <c r="AE170">
        <f t="shared" si="38"/>
        <v>0</v>
      </c>
      <c r="AF170">
        <f t="shared" si="38"/>
        <v>0</v>
      </c>
      <c r="AG170">
        <f t="shared" si="38"/>
        <v>0</v>
      </c>
      <c r="AH170">
        <f t="shared" si="38"/>
        <v>0</v>
      </c>
      <c r="AI170">
        <f t="shared" si="38"/>
        <v>0</v>
      </c>
      <c r="AJ170">
        <f t="shared" si="38"/>
        <v>0</v>
      </c>
      <c r="AK170">
        <f t="shared" si="38"/>
        <v>0</v>
      </c>
      <c r="AL170">
        <f t="shared" si="38"/>
        <v>0</v>
      </c>
      <c r="AM170">
        <f t="shared" si="38"/>
        <v>0</v>
      </c>
      <c r="AN170">
        <f t="shared" si="40"/>
        <v>0</v>
      </c>
      <c r="AO170">
        <f t="shared" si="40"/>
        <v>0</v>
      </c>
      <c r="AP170">
        <f t="shared" si="40"/>
        <v>0</v>
      </c>
      <c r="AQ170">
        <f t="shared" si="40"/>
        <v>0</v>
      </c>
      <c r="AR170">
        <f t="shared" si="40"/>
        <v>0</v>
      </c>
    </row>
    <row r="171" spans="5:44" x14ac:dyDescent="0.2">
      <c r="E171" s="1">
        <f>moment_rate!$M171</f>
        <v>35.740802525609773</v>
      </c>
      <c r="F171" s="1">
        <f t="shared" si="34"/>
        <v>0.73291095832114905</v>
      </c>
      <c r="G171">
        <f>moment_rate!I171-0.005</f>
        <v>1.6400000000000012</v>
      </c>
      <c r="H171" s="1">
        <f t="shared" si="35"/>
        <v>0</v>
      </c>
      <c r="I171">
        <f t="shared" si="39"/>
        <v>0</v>
      </c>
      <c r="J171">
        <f t="shared" si="39"/>
        <v>0</v>
      </c>
      <c r="K171">
        <f t="shared" si="39"/>
        <v>0</v>
      </c>
      <c r="L171">
        <f t="shared" si="39"/>
        <v>0</v>
      </c>
      <c r="M171">
        <f t="shared" si="39"/>
        <v>0</v>
      </c>
      <c r="N171">
        <f t="shared" si="39"/>
        <v>0</v>
      </c>
      <c r="O171">
        <f t="shared" si="39"/>
        <v>0</v>
      </c>
      <c r="P171">
        <f t="shared" si="39"/>
        <v>0</v>
      </c>
      <c r="Q171">
        <f t="shared" si="39"/>
        <v>0</v>
      </c>
      <c r="R171">
        <f t="shared" si="39"/>
        <v>0</v>
      </c>
      <c r="S171">
        <f t="shared" si="39"/>
        <v>0</v>
      </c>
      <c r="T171">
        <f t="shared" si="39"/>
        <v>0</v>
      </c>
      <c r="U171">
        <f t="shared" si="39"/>
        <v>0</v>
      </c>
      <c r="V171">
        <f t="shared" si="39"/>
        <v>0</v>
      </c>
      <c r="W171">
        <f t="shared" si="39"/>
        <v>0</v>
      </c>
      <c r="X171">
        <f t="shared" si="39"/>
        <v>0</v>
      </c>
      <c r="Y171">
        <f t="shared" si="38"/>
        <v>0</v>
      </c>
      <c r="Z171">
        <f t="shared" si="38"/>
        <v>0</v>
      </c>
      <c r="AA171">
        <f t="shared" si="38"/>
        <v>0</v>
      </c>
      <c r="AB171">
        <f t="shared" si="38"/>
        <v>0</v>
      </c>
      <c r="AC171">
        <f t="shared" si="38"/>
        <v>0</v>
      </c>
      <c r="AD171">
        <f t="shared" si="38"/>
        <v>0</v>
      </c>
      <c r="AE171">
        <f t="shared" si="38"/>
        <v>0</v>
      </c>
      <c r="AF171">
        <f t="shared" si="38"/>
        <v>0</v>
      </c>
      <c r="AG171">
        <f t="shared" si="38"/>
        <v>0</v>
      </c>
      <c r="AH171">
        <f t="shared" si="38"/>
        <v>0</v>
      </c>
      <c r="AI171">
        <f t="shared" si="38"/>
        <v>0</v>
      </c>
      <c r="AJ171">
        <f t="shared" si="38"/>
        <v>0</v>
      </c>
      <c r="AK171">
        <f t="shared" si="38"/>
        <v>0</v>
      </c>
      <c r="AL171">
        <f t="shared" si="38"/>
        <v>0</v>
      </c>
      <c r="AM171">
        <f t="shared" si="38"/>
        <v>0</v>
      </c>
      <c r="AN171">
        <f t="shared" si="40"/>
        <v>0</v>
      </c>
      <c r="AO171">
        <f t="shared" si="40"/>
        <v>0</v>
      </c>
      <c r="AP171">
        <f t="shared" si="40"/>
        <v>0</v>
      </c>
      <c r="AQ171">
        <f t="shared" si="40"/>
        <v>0</v>
      </c>
      <c r="AR171">
        <f t="shared" si="40"/>
        <v>0</v>
      </c>
    </row>
    <row r="172" spans="5:44" x14ac:dyDescent="0.2">
      <c r="E172" s="1">
        <f>moment_rate!$M172</f>
        <v>35.007891567288624</v>
      </c>
      <c r="F172" s="1">
        <f t="shared" si="34"/>
        <v>0.71787894387185247</v>
      </c>
      <c r="G172">
        <f>moment_rate!I172-0.005</f>
        <v>1.6500000000000012</v>
      </c>
      <c r="H172" s="1">
        <f t="shared" si="35"/>
        <v>0</v>
      </c>
      <c r="I172">
        <f t="shared" si="39"/>
        <v>0</v>
      </c>
      <c r="J172">
        <f t="shared" si="39"/>
        <v>0</v>
      </c>
      <c r="K172">
        <f t="shared" si="39"/>
        <v>0</v>
      </c>
      <c r="L172">
        <f t="shared" si="39"/>
        <v>0</v>
      </c>
      <c r="M172">
        <f t="shared" si="39"/>
        <v>0</v>
      </c>
      <c r="N172">
        <f t="shared" si="39"/>
        <v>0</v>
      </c>
      <c r="O172">
        <f t="shared" si="39"/>
        <v>0</v>
      </c>
      <c r="P172">
        <f t="shared" si="39"/>
        <v>0</v>
      </c>
      <c r="Q172">
        <f t="shared" si="39"/>
        <v>0</v>
      </c>
      <c r="R172">
        <f t="shared" si="39"/>
        <v>0</v>
      </c>
      <c r="S172">
        <f t="shared" si="39"/>
        <v>0</v>
      </c>
      <c r="T172">
        <f t="shared" si="39"/>
        <v>0</v>
      </c>
      <c r="U172">
        <f t="shared" si="39"/>
        <v>0</v>
      </c>
      <c r="V172">
        <f t="shared" si="39"/>
        <v>0</v>
      </c>
      <c r="W172">
        <f t="shared" si="39"/>
        <v>0</v>
      </c>
      <c r="X172">
        <f t="shared" si="39"/>
        <v>0</v>
      </c>
      <c r="Y172">
        <f t="shared" si="38"/>
        <v>0</v>
      </c>
      <c r="Z172">
        <f t="shared" si="38"/>
        <v>0</v>
      </c>
      <c r="AA172">
        <f t="shared" si="38"/>
        <v>0</v>
      </c>
      <c r="AB172">
        <f t="shared" si="38"/>
        <v>0</v>
      </c>
      <c r="AC172">
        <f t="shared" si="38"/>
        <v>0</v>
      </c>
      <c r="AD172">
        <f t="shared" si="38"/>
        <v>0</v>
      </c>
      <c r="AE172">
        <f t="shared" si="38"/>
        <v>0</v>
      </c>
      <c r="AF172">
        <f t="shared" si="38"/>
        <v>0</v>
      </c>
      <c r="AG172">
        <f t="shared" si="38"/>
        <v>0</v>
      </c>
      <c r="AH172">
        <f t="shared" si="38"/>
        <v>0</v>
      </c>
      <c r="AI172">
        <f t="shared" si="38"/>
        <v>0</v>
      </c>
      <c r="AJ172">
        <f t="shared" si="38"/>
        <v>0</v>
      </c>
      <c r="AK172">
        <f t="shared" si="38"/>
        <v>0</v>
      </c>
      <c r="AL172">
        <f t="shared" si="38"/>
        <v>0</v>
      </c>
      <c r="AM172">
        <f t="shared" si="38"/>
        <v>0</v>
      </c>
      <c r="AN172">
        <f t="shared" si="40"/>
        <v>0</v>
      </c>
      <c r="AO172">
        <f t="shared" si="40"/>
        <v>0</v>
      </c>
      <c r="AP172">
        <f t="shared" si="40"/>
        <v>0</v>
      </c>
      <c r="AQ172">
        <f t="shared" si="40"/>
        <v>0</v>
      </c>
      <c r="AR172">
        <f t="shared" si="40"/>
        <v>0</v>
      </c>
    </row>
    <row r="173" spans="5:44" x14ac:dyDescent="0.2">
      <c r="E173" s="1">
        <f>moment_rate!$M173</f>
        <v>34.290012623416771</v>
      </c>
      <c r="F173" s="1">
        <f t="shared" si="34"/>
        <v>0.70315523625825449</v>
      </c>
      <c r="G173">
        <f>moment_rate!I173-0.005</f>
        <v>1.6600000000000013</v>
      </c>
      <c r="H173" s="1">
        <f t="shared" si="35"/>
        <v>0</v>
      </c>
      <c r="I173">
        <f t="shared" si="39"/>
        <v>0</v>
      </c>
      <c r="J173">
        <f t="shared" si="39"/>
        <v>0</v>
      </c>
      <c r="K173">
        <f t="shared" si="39"/>
        <v>0</v>
      </c>
      <c r="L173">
        <f t="shared" si="39"/>
        <v>0</v>
      </c>
      <c r="M173">
        <f t="shared" si="39"/>
        <v>0</v>
      </c>
      <c r="N173">
        <f t="shared" si="39"/>
        <v>0</v>
      </c>
      <c r="O173">
        <f t="shared" si="39"/>
        <v>0</v>
      </c>
      <c r="P173">
        <f t="shared" si="39"/>
        <v>0</v>
      </c>
      <c r="Q173">
        <f t="shared" si="39"/>
        <v>0</v>
      </c>
      <c r="R173">
        <f t="shared" si="39"/>
        <v>0</v>
      </c>
      <c r="S173">
        <f t="shared" si="39"/>
        <v>0</v>
      </c>
      <c r="T173">
        <f t="shared" si="39"/>
        <v>0</v>
      </c>
      <c r="U173">
        <f t="shared" si="39"/>
        <v>0</v>
      </c>
      <c r="V173">
        <f t="shared" si="39"/>
        <v>0</v>
      </c>
      <c r="W173">
        <f t="shared" si="39"/>
        <v>0</v>
      </c>
      <c r="X173">
        <f t="shared" si="39"/>
        <v>0</v>
      </c>
      <c r="Y173">
        <f t="shared" si="38"/>
        <v>0</v>
      </c>
      <c r="Z173">
        <f t="shared" si="38"/>
        <v>0</v>
      </c>
      <c r="AA173">
        <f t="shared" si="38"/>
        <v>0</v>
      </c>
      <c r="AB173">
        <f t="shared" si="38"/>
        <v>0</v>
      </c>
      <c r="AC173">
        <f t="shared" si="38"/>
        <v>0</v>
      </c>
      <c r="AD173">
        <f t="shared" si="38"/>
        <v>0</v>
      </c>
      <c r="AE173">
        <f t="shared" si="38"/>
        <v>0</v>
      </c>
      <c r="AF173">
        <f t="shared" si="38"/>
        <v>0</v>
      </c>
      <c r="AG173">
        <f t="shared" si="38"/>
        <v>0</v>
      </c>
      <c r="AH173">
        <f t="shared" si="38"/>
        <v>0</v>
      </c>
      <c r="AI173">
        <f t="shared" si="38"/>
        <v>0</v>
      </c>
      <c r="AJ173">
        <f t="shared" si="38"/>
        <v>0</v>
      </c>
      <c r="AK173">
        <f t="shared" si="38"/>
        <v>0</v>
      </c>
      <c r="AL173">
        <f t="shared" si="38"/>
        <v>0</v>
      </c>
      <c r="AM173">
        <f t="shared" si="38"/>
        <v>0</v>
      </c>
      <c r="AN173">
        <f t="shared" si="40"/>
        <v>0</v>
      </c>
      <c r="AO173">
        <f t="shared" si="40"/>
        <v>0</v>
      </c>
      <c r="AP173">
        <f t="shared" si="40"/>
        <v>0</v>
      </c>
      <c r="AQ173">
        <f t="shared" si="40"/>
        <v>0</v>
      </c>
      <c r="AR173">
        <f t="shared" si="40"/>
        <v>0</v>
      </c>
    </row>
    <row r="174" spans="5:44" x14ac:dyDescent="0.2">
      <c r="E174" s="1">
        <f>moment_rate!$M174</f>
        <v>33.586857387158517</v>
      </c>
      <c r="F174" s="1">
        <f t="shared" si="34"/>
        <v>0.68873351210264389</v>
      </c>
      <c r="G174">
        <f>moment_rate!I174-0.005</f>
        <v>1.6700000000000013</v>
      </c>
      <c r="H174" s="1">
        <f t="shared" si="35"/>
        <v>0</v>
      </c>
      <c r="I174">
        <f t="shared" si="39"/>
        <v>0</v>
      </c>
      <c r="J174">
        <f t="shared" si="39"/>
        <v>0</v>
      </c>
      <c r="K174">
        <f t="shared" si="39"/>
        <v>0</v>
      </c>
      <c r="L174">
        <f t="shared" si="39"/>
        <v>0</v>
      </c>
      <c r="M174">
        <f t="shared" si="39"/>
        <v>0</v>
      </c>
      <c r="N174">
        <f t="shared" si="39"/>
        <v>0</v>
      </c>
      <c r="O174">
        <f t="shared" si="39"/>
        <v>0</v>
      </c>
      <c r="P174">
        <f t="shared" si="39"/>
        <v>0</v>
      </c>
      <c r="Q174">
        <f t="shared" si="39"/>
        <v>0</v>
      </c>
      <c r="R174">
        <f t="shared" si="39"/>
        <v>0</v>
      </c>
      <c r="S174">
        <f t="shared" si="39"/>
        <v>0</v>
      </c>
      <c r="T174">
        <f t="shared" si="39"/>
        <v>0</v>
      </c>
      <c r="U174">
        <f t="shared" si="39"/>
        <v>0</v>
      </c>
      <c r="V174">
        <f t="shared" si="39"/>
        <v>0</v>
      </c>
      <c r="W174">
        <f t="shared" si="39"/>
        <v>0</v>
      </c>
      <c r="X174">
        <f t="shared" ref="X174:AM189" si="41">IF(AND($G174&gt;=X$3,$G174&lt;X$4),$F174,0)</f>
        <v>0</v>
      </c>
      <c r="Y174">
        <f t="shared" si="41"/>
        <v>0</v>
      </c>
      <c r="Z174">
        <f t="shared" si="41"/>
        <v>0</v>
      </c>
      <c r="AA174">
        <f t="shared" si="41"/>
        <v>0</v>
      </c>
      <c r="AB174">
        <f t="shared" si="41"/>
        <v>0</v>
      </c>
      <c r="AC174">
        <f t="shared" si="41"/>
        <v>0</v>
      </c>
      <c r="AD174">
        <f t="shared" si="41"/>
        <v>0</v>
      </c>
      <c r="AE174">
        <f t="shared" si="41"/>
        <v>0</v>
      </c>
      <c r="AF174">
        <f t="shared" si="41"/>
        <v>0</v>
      </c>
      <c r="AG174">
        <f t="shared" si="41"/>
        <v>0</v>
      </c>
      <c r="AH174">
        <f t="shared" si="41"/>
        <v>0</v>
      </c>
      <c r="AI174">
        <f t="shared" si="41"/>
        <v>0</v>
      </c>
      <c r="AJ174">
        <f t="shared" si="41"/>
        <v>0</v>
      </c>
      <c r="AK174">
        <f t="shared" si="41"/>
        <v>0</v>
      </c>
      <c r="AL174">
        <f t="shared" si="41"/>
        <v>0</v>
      </c>
      <c r="AM174">
        <f t="shared" si="41"/>
        <v>0</v>
      </c>
      <c r="AN174">
        <f t="shared" si="40"/>
        <v>0</v>
      </c>
      <c r="AO174">
        <f t="shared" si="40"/>
        <v>0</v>
      </c>
      <c r="AP174">
        <f t="shared" si="40"/>
        <v>0</v>
      </c>
      <c r="AQ174">
        <f t="shared" si="40"/>
        <v>0</v>
      </c>
      <c r="AR174">
        <f t="shared" si="40"/>
        <v>0</v>
      </c>
    </row>
    <row r="175" spans="5:44" x14ac:dyDescent="0.2">
      <c r="E175" s="1">
        <f>moment_rate!$M175</f>
        <v>32.898123875055873</v>
      </c>
      <c r="F175" s="1">
        <f t="shared" si="34"/>
        <v>0.67460757771990387</v>
      </c>
      <c r="G175">
        <f>moment_rate!I175-0.005</f>
        <v>1.6800000000000013</v>
      </c>
      <c r="H175" s="1">
        <f t="shared" si="35"/>
        <v>0</v>
      </c>
      <c r="I175">
        <f t="shared" ref="I175:X190" si="42">IF(AND($G175&gt;=I$3,$G175&lt;I$4),$F175,0)</f>
        <v>0</v>
      </c>
      <c r="J175">
        <f t="shared" si="42"/>
        <v>0</v>
      </c>
      <c r="K175">
        <f t="shared" si="42"/>
        <v>0</v>
      </c>
      <c r="L175">
        <f t="shared" si="42"/>
        <v>0</v>
      </c>
      <c r="M175">
        <f t="shared" si="42"/>
        <v>0</v>
      </c>
      <c r="N175">
        <f t="shared" si="42"/>
        <v>0</v>
      </c>
      <c r="O175">
        <f t="shared" si="42"/>
        <v>0</v>
      </c>
      <c r="P175">
        <f t="shared" si="42"/>
        <v>0</v>
      </c>
      <c r="Q175">
        <f t="shared" si="42"/>
        <v>0</v>
      </c>
      <c r="R175">
        <f t="shared" si="42"/>
        <v>0</v>
      </c>
      <c r="S175">
        <f t="shared" si="42"/>
        <v>0</v>
      </c>
      <c r="T175">
        <f t="shared" si="42"/>
        <v>0</v>
      </c>
      <c r="U175">
        <f t="shared" si="42"/>
        <v>0</v>
      </c>
      <c r="V175">
        <f t="shared" si="42"/>
        <v>0</v>
      </c>
      <c r="W175">
        <f t="shared" si="42"/>
        <v>0</v>
      </c>
      <c r="X175">
        <f t="shared" si="42"/>
        <v>0</v>
      </c>
      <c r="Y175">
        <f t="shared" si="41"/>
        <v>0</v>
      </c>
      <c r="Z175">
        <f t="shared" si="41"/>
        <v>0</v>
      </c>
      <c r="AA175">
        <f t="shared" si="41"/>
        <v>0</v>
      </c>
      <c r="AB175">
        <f t="shared" si="41"/>
        <v>0</v>
      </c>
      <c r="AC175">
        <f t="shared" si="41"/>
        <v>0</v>
      </c>
      <c r="AD175">
        <f t="shared" si="41"/>
        <v>0</v>
      </c>
      <c r="AE175">
        <f t="shared" si="41"/>
        <v>0</v>
      </c>
      <c r="AF175">
        <f t="shared" si="41"/>
        <v>0</v>
      </c>
      <c r="AG175">
        <f t="shared" si="41"/>
        <v>0</v>
      </c>
      <c r="AH175">
        <f t="shared" si="41"/>
        <v>0</v>
      </c>
      <c r="AI175">
        <f t="shared" si="41"/>
        <v>0</v>
      </c>
      <c r="AJ175">
        <f t="shared" si="41"/>
        <v>0</v>
      </c>
      <c r="AK175">
        <f t="shared" si="41"/>
        <v>0</v>
      </c>
      <c r="AL175">
        <f t="shared" si="41"/>
        <v>0</v>
      </c>
      <c r="AM175">
        <f t="shared" si="41"/>
        <v>0</v>
      </c>
      <c r="AN175">
        <f t="shared" si="40"/>
        <v>0</v>
      </c>
      <c r="AO175">
        <f t="shared" si="40"/>
        <v>0</v>
      </c>
      <c r="AP175">
        <f t="shared" si="40"/>
        <v>0</v>
      </c>
      <c r="AQ175">
        <f t="shared" si="40"/>
        <v>0</v>
      </c>
      <c r="AR175">
        <f t="shared" si="40"/>
        <v>0</v>
      </c>
    </row>
    <row r="176" spans="5:44" x14ac:dyDescent="0.2">
      <c r="E176" s="1">
        <f>moment_rate!$M176</f>
        <v>32.223516297335969</v>
      </c>
      <c r="F176" s="1">
        <f t="shared" si="34"/>
        <v>0.66077136645746037</v>
      </c>
      <c r="G176">
        <f>moment_rate!I176-0.005</f>
        <v>1.6900000000000013</v>
      </c>
      <c r="H176" s="1">
        <f t="shared" si="35"/>
        <v>0</v>
      </c>
      <c r="I176">
        <f t="shared" si="42"/>
        <v>0</v>
      </c>
      <c r="J176">
        <f t="shared" si="42"/>
        <v>0</v>
      </c>
      <c r="K176">
        <f t="shared" si="42"/>
        <v>0</v>
      </c>
      <c r="L176">
        <f t="shared" si="42"/>
        <v>0</v>
      </c>
      <c r="M176">
        <f t="shared" si="42"/>
        <v>0</v>
      </c>
      <c r="N176">
        <f t="shared" si="42"/>
        <v>0</v>
      </c>
      <c r="O176">
        <f t="shared" si="42"/>
        <v>0</v>
      </c>
      <c r="P176">
        <f t="shared" si="42"/>
        <v>0</v>
      </c>
      <c r="Q176">
        <f t="shared" si="42"/>
        <v>0</v>
      </c>
      <c r="R176">
        <f t="shared" si="42"/>
        <v>0</v>
      </c>
      <c r="S176">
        <f t="shared" si="42"/>
        <v>0</v>
      </c>
      <c r="T176">
        <f t="shared" si="42"/>
        <v>0</v>
      </c>
      <c r="U176">
        <f t="shared" si="42"/>
        <v>0</v>
      </c>
      <c r="V176">
        <f t="shared" si="42"/>
        <v>0</v>
      </c>
      <c r="W176">
        <f t="shared" si="42"/>
        <v>0</v>
      </c>
      <c r="X176">
        <f t="shared" si="42"/>
        <v>0</v>
      </c>
      <c r="Y176">
        <f t="shared" si="41"/>
        <v>0</v>
      </c>
      <c r="Z176">
        <f t="shared" si="41"/>
        <v>0</v>
      </c>
      <c r="AA176">
        <f t="shared" si="41"/>
        <v>0</v>
      </c>
      <c r="AB176">
        <f t="shared" si="41"/>
        <v>0</v>
      </c>
      <c r="AC176">
        <f t="shared" si="41"/>
        <v>0</v>
      </c>
      <c r="AD176">
        <f t="shared" si="41"/>
        <v>0</v>
      </c>
      <c r="AE176">
        <f t="shared" si="41"/>
        <v>0</v>
      </c>
      <c r="AF176">
        <f t="shared" si="41"/>
        <v>0</v>
      </c>
      <c r="AG176">
        <f t="shared" si="41"/>
        <v>0</v>
      </c>
      <c r="AH176">
        <f t="shared" si="41"/>
        <v>0</v>
      </c>
      <c r="AI176">
        <f t="shared" si="41"/>
        <v>0</v>
      </c>
      <c r="AJ176">
        <f t="shared" si="41"/>
        <v>0</v>
      </c>
      <c r="AK176">
        <f t="shared" si="41"/>
        <v>0</v>
      </c>
      <c r="AL176">
        <f t="shared" si="41"/>
        <v>0</v>
      </c>
      <c r="AM176">
        <f t="shared" si="41"/>
        <v>0</v>
      </c>
      <c r="AN176">
        <f t="shared" si="40"/>
        <v>0</v>
      </c>
      <c r="AO176">
        <f t="shared" si="40"/>
        <v>0</v>
      </c>
      <c r="AP176">
        <f t="shared" si="40"/>
        <v>0</v>
      </c>
      <c r="AQ176">
        <f t="shared" si="40"/>
        <v>0</v>
      </c>
      <c r="AR176">
        <f t="shared" si="40"/>
        <v>0</v>
      </c>
    </row>
    <row r="177" spans="5:44" x14ac:dyDescent="0.2">
      <c r="E177" s="1">
        <f>moment_rate!$M177</f>
        <v>31.562744930878509</v>
      </c>
      <c r="F177" s="1">
        <f t="shared" si="34"/>
        <v>0.64721893608991365</v>
      </c>
      <c r="G177">
        <f>moment_rate!I177-0.005</f>
        <v>1.7000000000000013</v>
      </c>
      <c r="H177" s="1">
        <f t="shared" si="35"/>
        <v>0</v>
      </c>
      <c r="I177">
        <f t="shared" si="42"/>
        <v>0</v>
      </c>
      <c r="J177">
        <f t="shared" si="42"/>
        <v>0</v>
      </c>
      <c r="K177">
        <f t="shared" si="42"/>
        <v>0</v>
      </c>
      <c r="L177">
        <f t="shared" si="42"/>
        <v>0</v>
      </c>
      <c r="M177">
        <f t="shared" si="42"/>
        <v>0</v>
      </c>
      <c r="N177">
        <f t="shared" si="42"/>
        <v>0</v>
      </c>
      <c r="O177">
        <f t="shared" si="42"/>
        <v>0</v>
      </c>
      <c r="P177">
        <f t="shared" si="42"/>
        <v>0</v>
      </c>
      <c r="Q177">
        <f t="shared" si="42"/>
        <v>0</v>
      </c>
      <c r="R177">
        <f t="shared" si="42"/>
        <v>0</v>
      </c>
      <c r="S177">
        <f t="shared" si="42"/>
        <v>0</v>
      </c>
      <c r="T177">
        <f t="shared" si="42"/>
        <v>0</v>
      </c>
      <c r="U177">
        <f t="shared" si="42"/>
        <v>0</v>
      </c>
      <c r="V177">
        <f t="shared" si="42"/>
        <v>0</v>
      </c>
      <c r="W177">
        <f t="shared" si="42"/>
        <v>0</v>
      </c>
      <c r="X177">
        <f t="shared" si="42"/>
        <v>0</v>
      </c>
      <c r="Y177">
        <f t="shared" si="41"/>
        <v>0</v>
      </c>
      <c r="Z177">
        <f t="shared" si="41"/>
        <v>0</v>
      </c>
      <c r="AA177">
        <f t="shared" si="41"/>
        <v>0</v>
      </c>
      <c r="AB177">
        <f t="shared" si="41"/>
        <v>0</v>
      </c>
      <c r="AC177">
        <f t="shared" si="41"/>
        <v>0</v>
      </c>
      <c r="AD177">
        <f t="shared" si="41"/>
        <v>0</v>
      </c>
      <c r="AE177">
        <f t="shared" si="41"/>
        <v>0</v>
      </c>
      <c r="AF177">
        <f t="shared" si="41"/>
        <v>0</v>
      </c>
      <c r="AG177">
        <f t="shared" si="41"/>
        <v>0</v>
      </c>
      <c r="AH177">
        <f t="shared" si="41"/>
        <v>0</v>
      </c>
      <c r="AI177">
        <f t="shared" si="41"/>
        <v>0</v>
      </c>
      <c r="AJ177">
        <f t="shared" si="41"/>
        <v>0</v>
      </c>
      <c r="AK177">
        <f t="shared" si="41"/>
        <v>0</v>
      </c>
      <c r="AL177">
        <f t="shared" si="41"/>
        <v>0</v>
      </c>
      <c r="AM177">
        <f t="shared" si="41"/>
        <v>0</v>
      </c>
      <c r="AN177">
        <f t="shared" si="40"/>
        <v>0</v>
      </c>
      <c r="AO177">
        <f t="shared" si="40"/>
        <v>0</v>
      </c>
      <c r="AP177">
        <f t="shared" si="40"/>
        <v>0</v>
      </c>
      <c r="AQ177">
        <f t="shared" si="40"/>
        <v>0</v>
      </c>
      <c r="AR177">
        <f t="shared" si="40"/>
        <v>0</v>
      </c>
    </row>
    <row r="178" spans="5:44" x14ac:dyDescent="0.2">
      <c r="E178" s="1">
        <f>moment_rate!$M178</f>
        <v>30.915525994788595</v>
      </c>
      <c r="F178" s="1">
        <f t="shared" si="34"/>
        <v>0.63394446626693579</v>
      </c>
      <c r="G178">
        <f>moment_rate!I178-0.005</f>
        <v>1.7100000000000013</v>
      </c>
      <c r="H178" s="1">
        <f t="shared" si="35"/>
        <v>0</v>
      </c>
      <c r="I178">
        <f t="shared" si="42"/>
        <v>0</v>
      </c>
      <c r="J178">
        <f t="shared" si="42"/>
        <v>0</v>
      </c>
      <c r="K178">
        <f t="shared" si="42"/>
        <v>0</v>
      </c>
      <c r="L178">
        <f t="shared" si="42"/>
        <v>0</v>
      </c>
      <c r="M178">
        <f t="shared" si="42"/>
        <v>0</v>
      </c>
      <c r="N178">
        <f t="shared" si="42"/>
        <v>0</v>
      </c>
      <c r="O178">
        <f t="shared" si="42"/>
        <v>0</v>
      </c>
      <c r="P178">
        <f t="shared" si="42"/>
        <v>0</v>
      </c>
      <c r="Q178">
        <f t="shared" si="42"/>
        <v>0</v>
      </c>
      <c r="R178">
        <f t="shared" si="42"/>
        <v>0</v>
      </c>
      <c r="S178">
        <f t="shared" si="42"/>
        <v>0</v>
      </c>
      <c r="T178">
        <f t="shared" si="42"/>
        <v>0</v>
      </c>
      <c r="U178">
        <f t="shared" si="42"/>
        <v>0</v>
      </c>
      <c r="V178">
        <f t="shared" si="42"/>
        <v>0</v>
      </c>
      <c r="W178">
        <f t="shared" si="42"/>
        <v>0</v>
      </c>
      <c r="X178">
        <f t="shared" si="42"/>
        <v>0</v>
      </c>
      <c r="Y178">
        <f t="shared" si="41"/>
        <v>0</v>
      </c>
      <c r="Z178">
        <f t="shared" si="41"/>
        <v>0</v>
      </c>
      <c r="AA178">
        <f t="shared" si="41"/>
        <v>0</v>
      </c>
      <c r="AB178">
        <f t="shared" si="41"/>
        <v>0</v>
      </c>
      <c r="AC178">
        <f t="shared" si="41"/>
        <v>0</v>
      </c>
      <c r="AD178">
        <f t="shared" si="41"/>
        <v>0</v>
      </c>
      <c r="AE178">
        <f t="shared" si="41"/>
        <v>0</v>
      </c>
      <c r="AF178">
        <f t="shared" si="41"/>
        <v>0</v>
      </c>
      <c r="AG178">
        <f t="shared" si="41"/>
        <v>0</v>
      </c>
      <c r="AH178">
        <f t="shared" si="41"/>
        <v>0</v>
      </c>
      <c r="AI178">
        <f t="shared" si="41"/>
        <v>0</v>
      </c>
      <c r="AJ178">
        <f t="shared" si="41"/>
        <v>0</v>
      </c>
      <c r="AK178">
        <f t="shared" si="41"/>
        <v>0</v>
      </c>
      <c r="AL178">
        <f t="shared" si="41"/>
        <v>0</v>
      </c>
      <c r="AM178">
        <f t="shared" si="41"/>
        <v>0</v>
      </c>
      <c r="AN178">
        <f t="shared" si="40"/>
        <v>0</v>
      </c>
      <c r="AO178">
        <f t="shared" si="40"/>
        <v>0</v>
      </c>
      <c r="AP178">
        <f t="shared" si="40"/>
        <v>0</v>
      </c>
      <c r="AQ178">
        <f t="shared" si="40"/>
        <v>0</v>
      </c>
      <c r="AR178">
        <f t="shared" si="40"/>
        <v>0</v>
      </c>
    </row>
    <row r="179" spans="5:44" x14ac:dyDescent="0.2">
      <c r="E179" s="1">
        <f>moment_rate!$M179</f>
        <v>30.281581528521659</v>
      </c>
      <c r="F179" s="1">
        <f t="shared" si="34"/>
        <v>0.62094225601373054</v>
      </c>
      <c r="G179">
        <f>moment_rate!I179-0.005</f>
        <v>1.7200000000000013</v>
      </c>
      <c r="H179" s="1">
        <f t="shared" si="35"/>
        <v>0</v>
      </c>
      <c r="I179">
        <f t="shared" si="42"/>
        <v>0</v>
      </c>
      <c r="J179">
        <f t="shared" si="42"/>
        <v>0</v>
      </c>
      <c r="K179">
        <f t="shared" si="42"/>
        <v>0</v>
      </c>
      <c r="L179">
        <f t="shared" si="42"/>
        <v>0</v>
      </c>
      <c r="M179">
        <f t="shared" si="42"/>
        <v>0</v>
      </c>
      <c r="N179">
        <f t="shared" si="42"/>
        <v>0</v>
      </c>
      <c r="O179">
        <f t="shared" si="42"/>
        <v>0</v>
      </c>
      <c r="P179">
        <f t="shared" si="42"/>
        <v>0</v>
      </c>
      <c r="Q179">
        <f t="shared" si="42"/>
        <v>0</v>
      </c>
      <c r="R179">
        <f t="shared" si="42"/>
        <v>0</v>
      </c>
      <c r="S179">
        <f t="shared" si="42"/>
        <v>0</v>
      </c>
      <c r="T179">
        <f t="shared" si="42"/>
        <v>0</v>
      </c>
      <c r="U179">
        <f t="shared" si="42"/>
        <v>0</v>
      </c>
      <c r="V179">
        <f t="shared" si="42"/>
        <v>0</v>
      </c>
      <c r="W179">
        <f t="shared" si="42"/>
        <v>0</v>
      </c>
      <c r="X179">
        <f t="shared" si="42"/>
        <v>0</v>
      </c>
      <c r="Y179">
        <f t="shared" si="41"/>
        <v>0</v>
      </c>
      <c r="Z179">
        <f t="shared" si="41"/>
        <v>0</v>
      </c>
      <c r="AA179">
        <f t="shared" si="41"/>
        <v>0</v>
      </c>
      <c r="AB179">
        <f t="shared" si="41"/>
        <v>0</v>
      </c>
      <c r="AC179">
        <f t="shared" si="41"/>
        <v>0</v>
      </c>
      <c r="AD179">
        <f t="shared" si="41"/>
        <v>0</v>
      </c>
      <c r="AE179">
        <f t="shared" si="41"/>
        <v>0</v>
      </c>
      <c r="AF179">
        <f t="shared" si="41"/>
        <v>0</v>
      </c>
      <c r="AG179">
        <f t="shared" si="41"/>
        <v>0</v>
      </c>
      <c r="AH179">
        <f t="shared" si="41"/>
        <v>0</v>
      </c>
      <c r="AI179">
        <f t="shared" si="41"/>
        <v>0</v>
      </c>
      <c r="AJ179">
        <f t="shared" si="41"/>
        <v>0</v>
      </c>
      <c r="AK179">
        <f t="shared" si="41"/>
        <v>0</v>
      </c>
      <c r="AL179">
        <f t="shared" si="41"/>
        <v>0</v>
      </c>
      <c r="AM179">
        <f t="shared" si="41"/>
        <v>0</v>
      </c>
      <c r="AN179">
        <f t="shared" si="40"/>
        <v>0</v>
      </c>
      <c r="AO179">
        <f t="shared" si="40"/>
        <v>0</v>
      </c>
      <c r="AP179">
        <f t="shared" si="40"/>
        <v>0</v>
      </c>
      <c r="AQ179">
        <f t="shared" si="40"/>
        <v>0</v>
      </c>
      <c r="AR179">
        <f t="shared" si="40"/>
        <v>0</v>
      </c>
    </row>
    <row r="180" spans="5:44" x14ac:dyDescent="0.2">
      <c r="E180" s="1">
        <f>moment_rate!$M180</f>
        <v>29.660639272507929</v>
      </c>
      <c r="F180" s="1">
        <f t="shared" si="34"/>
        <v>0.6082067212825315</v>
      </c>
      <c r="G180">
        <f>moment_rate!I180-0.005</f>
        <v>1.7300000000000013</v>
      </c>
      <c r="H180" s="1">
        <f t="shared" si="35"/>
        <v>0</v>
      </c>
      <c r="I180">
        <f t="shared" si="42"/>
        <v>0</v>
      </c>
      <c r="J180">
        <f t="shared" si="42"/>
        <v>0</v>
      </c>
      <c r="K180">
        <f t="shared" si="42"/>
        <v>0</v>
      </c>
      <c r="L180">
        <f t="shared" si="42"/>
        <v>0</v>
      </c>
      <c r="M180">
        <f t="shared" si="42"/>
        <v>0</v>
      </c>
      <c r="N180">
        <f t="shared" si="42"/>
        <v>0</v>
      </c>
      <c r="O180">
        <f t="shared" si="42"/>
        <v>0</v>
      </c>
      <c r="P180">
        <f t="shared" si="42"/>
        <v>0</v>
      </c>
      <c r="Q180">
        <f t="shared" si="42"/>
        <v>0</v>
      </c>
      <c r="R180">
        <f t="shared" si="42"/>
        <v>0</v>
      </c>
      <c r="S180">
        <f t="shared" si="42"/>
        <v>0</v>
      </c>
      <c r="T180">
        <f t="shared" si="42"/>
        <v>0</v>
      </c>
      <c r="U180">
        <f t="shared" si="42"/>
        <v>0</v>
      </c>
      <c r="V180">
        <f t="shared" si="42"/>
        <v>0</v>
      </c>
      <c r="W180">
        <f t="shared" si="42"/>
        <v>0</v>
      </c>
      <c r="X180">
        <f t="shared" si="42"/>
        <v>0</v>
      </c>
      <c r="Y180">
        <f t="shared" si="41"/>
        <v>0</v>
      </c>
      <c r="Z180">
        <f t="shared" si="41"/>
        <v>0</v>
      </c>
      <c r="AA180">
        <f t="shared" si="41"/>
        <v>0</v>
      </c>
      <c r="AB180">
        <f t="shared" si="41"/>
        <v>0</v>
      </c>
      <c r="AC180">
        <f t="shared" si="41"/>
        <v>0</v>
      </c>
      <c r="AD180">
        <f t="shared" si="41"/>
        <v>0</v>
      </c>
      <c r="AE180">
        <f t="shared" si="41"/>
        <v>0</v>
      </c>
      <c r="AF180">
        <f t="shared" si="41"/>
        <v>0</v>
      </c>
      <c r="AG180">
        <f t="shared" si="41"/>
        <v>0</v>
      </c>
      <c r="AH180">
        <f t="shared" si="41"/>
        <v>0</v>
      </c>
      <c r="AI180">
        <f t="shared" si="41"/>
        <v>0</v>
      </c>
      <c r="AJ180">
        <f t="shared" si="41"/>
        <v>0</v>
      </c>
      <c r="AK180">
        <f t="shared" si="41"/>
        <v>0</v>
      </c>
      <c r="AL180">
        <f t="shared" si="41"/>
        <v>0</v>
      </c>
      <c r="AM180">
        <f t="shared" si="41"/>
        <v>0</v>
      </c>
      <c r="AN180">
        <f t="shared" si="40"/>
        <v>0</v>
      </c>
      <c r="AO180">
        <f t="shared" si="40"/>
        <v>0</v>
      </c>
      <c r="AP180">
        <f t="shared" si="40"/>
        <v>0</v>
      </c>
      <c r="AQ180">
        <f t="shared" si="40"/>
        <v>0</v>
      </c>
      <c r="AR180">
        <f t="shared" si="40"/>
        <v>0</v>
      </c>
    </row>
    <row r="181" spans="5:44" x14ac:dyDescent="0.2">
      <c r="E181" s="1">
        <f>moment_rate!$M181</f>
        <v>29.052432551225397</v>
      </c>
      <c r="F181" s="1">
        <f t="shared" si="34"/>
        <v>0.59573239255450261</v>
      </c>
      <c r="G181">
        <f>moment_rate!I181-0.005</f>
        <v>1.7400000000000013</v>
      </c>
      <c r="H181" s="1">
        <f t="shared" si="35"/>
        <v>0</v>
      </c>
      <c r="I181">
        <f t="shared" si="42"/>
        <v>0</v>
      </c>
      <c r="J181">
        <f t="shared" si="42"/>
        <v>0</v>
      </c>
      <c r="K181">
        <f t="shared" si="42"/>
        <v>0</v>
      </c>
      <c r="L181">
        <f t="shared" si="42"/>
        <v>0</v>
      </c>
      <c r="M181">
        <f t="shared" si="42"/>
        <v>0</v>
      </c>
      <c r="N181">
        <f t="shared" si="42"/>
        <v>0</v>
      </c>
      <c r="O181">
        <f t="shared" si="42"/>
        <v>0</v>
      </c>
      <c r="P181">
        <f t="shared" si="42"/>
        <v>0</v>
      </c>
      <c r="Q181">
        <f t="shared" si="42"/>
        <v>0</v>
      </c>
      <c r="R181">
        <f t="shared" si="42"/>
        <v>0</v>
      </c>
      <c r="S181">
        <f t="shared" si="42"/>
        <v>0</v>
      </c>
      <c r="T181">
        <f t="shared" si="42"/>
        <v>0</v>
      </c>
      <c r="U181">
        <f t="shared" si="42"/>
        <v>0</v>
      </c>
      <c r="V181">
        <f t="shared" si="42"/>
        <v>0</v>
      </c>
      <c r="W181">
        <f t="shared" si="42"/>
        <v>0</v>
      </c>
      <c r="X181">
        <f t="shared" si="42"/>
        <v>0</v>
      </c>
      <c r="Y181">
        <f t="shared" si="41"/>
        <v>0</v>
      </c>
      <c r="Z181">
        <f t="shared" si="41"/>
        <v>0</v>
      </c>
      <c r="AA181">
        <f t="shared" si="41"/>
        <v>0</v>
      </c>
      <c r="AB181">
        <f t="shared" si="41"/>
        <v>0</v>
      </c>
      <c r="AC181">
        <f t="shared" si="41"/>
        <v>0</v>
      </c>
      <c r="AD181">
        <f t="shared" si="41"/>
        <v>0</v>
      </c>
      <c r="AE181">
        <f t="shared" si="41"/>
        <v>0</v>
      </c>
      <c r="AF181">
        <f t="shared" si="41"/>
        <v>0</v>
      </c>
      <c r="AG181">
        <f t="shared" si="41"/>
        <v>0</v>
      </c>
      <c r="AH181">
        <f t="shared" si="41"/>
        <v>0</v>
      </c>
      <c r="AI181">
        <f t="shared" si="41"/>
        <v>0</v>
      </c>
      <c r="AJ181">
        <f t="shared" si="41"/>
        <v>0</v>
      </c>
      <c r="AK181">
        <f t="shared" si="41"/>
        <v>0</v>
      </c>
      <c r="AL181">
        <f t="shared" si="41"/>
        <v>0</v>
      </c>
      <c r="AM181">
        <f t="shared" si="41"/>
        <v>0</v>
      </c>
      <c r="AN181">
        <f t="shared" si="40"/>
        <v>0</v>
      </c>
      <c r="AO181">
        <f t="shared" si="40"/>
        <v>0</v>
      </c>
      <c r="AP181">
        <f t="shared" si="40"/>
        <v>0</v>
      </c>
      <c r="AQ181">
        <f t="shared" si="40"/>
        <v>0</v>
      </c>
      <c r="AR181">
        <f t="shared" si="40"/>
        <v>0</v>
      </c>
    </row>
    <row r="182" spans="5:44" x14ac:dyDescent="0.2">
      <c r="E182" s="1">
        <f>moment_rate!$M182</f>
        <v>28.456700158670895</v>
      </c>
      <c r="F182" s="1">
        <f t="shared" si="34"/>
        <v>0.58351391249069451</v>
      </c>
      <c r="G182">
        <f>moment_rate!I182-0.005</f>
        <v>1.7500000000000013</v>
      </c>
      <c r="H182" s="1">
        <f t="shared" si="35"/>
        <v>0</v>
      </c>
      <c r="I182">
        <f t="shared" si="42"/>
        <v>0</v>
      </c>
      <c r="J182">
        <f t="shared" si="42"/>
        <v>0</v>
      </c>
      <c r="K182">
        <f t="shared" si="42"/>
        <v>0</v>
      </c>
      <c r="L182">
        <f t="shared" si="42"/>
        <v>0</v>
      </c>
      <c r="M182">
        <f t="shared" si="42"/>
        <v>0</v>
      </c>
      <c r="N182">
        <f t="shared" si="42"/>
        <v>0</v>
      </c>
      <c r="O182">
        <f t="shared" si="42"/>
        <v>0</v>
      </c>
      <c r="P182">
        <f t="shared" si="42"/>
        <v>0</v>
      </c>
      <c r="Q182">
        <f t="shared" si="42"/>
        <v>0</v>
      </c>
      <c r="R182">
        <f t="shared" si="42"/>
        <v>0</v>
      </c>
      <c r="S182">
        <f t="shared" si="42"/>
        <v>0</v>
      </c>
      <c r="T182">
        <f t="shared" si="42"/>
        <v>0</v>
      </c>
      <c r="U182">
        <f t="shared" si="42"/>
        <v>0</v>
      </c>
      <c r="V182">
        <f t="shared" si="42"/>
        <v>0</v>
      </c>
      <c r="W182">
        <f t="shared" si="42"/>
        <v>0</v>
      </c>
      <c r="X182">
        <f t="shared" si="42"/>
        <v>0</v>
      </c>
      <c r="Y182">
        <f t="shared" si="41"/>
        <v>0</v>
      </c>
      <c r="Z182">
        <f t="shared" si="41"/>
        <v>0</v>
      </c>
      <c r="AA182">
        <f t="shared" si="41"/>
        <v>0</v>
      </c>
      <c r="AB182">
        <f t="shared" si="41"/>
        <v>0</v>
      </c>
      <c r="AC182">
        <f t="shared" si="41"/>
        <v>0</v>
      </c>
      <c r="AD182">
        <f t="shared" si="41"/>
        <v>0</v>
      </c>
      <c r="AE182">
        <f t="shared" si="41"/>
        <v>0</v>
      </c>
      <c r="AF182">
        <f t="shared" si="41"/>
        <v>0</v>
      </c>
      <c r="AG182">
        <f t="shared" si="41"/>
        <v>0</v>
      </c>
      <c r="AH182">
        <f t="shared" si="41"/>
        <v>0</v>
      </c>
      <c r="AI182">
        <f t="shared" si="41"/>
        <v>0</v>
      </c>
      <c r="AJ182">
        <f t="shared" si="41"/>
        <v>0</v>
      </c>
      <c r="AK182">
        <f t="shared" si="41"/>
        <v>0</v>
      </c>
      <c r="AL182">
        <f t="shared" si="41"/>
        <v>0</v>
      </c>
      <c r="AM182">
        <f t="shared" si="41"/>
        <v>0</v>
      </c>
      <c r="AN182">
        <f t="shared" si="40"/>
        <v>0</v>
      </c>
      <c r="AO182">
        <f t="shared" si="40"/>
        <v>0</v>
      </c>
      <c r="AP182">
        <f t="shared" si="40"/>
        <v>0</v>
      </c>
      <c r="AQ182">
        <f t="shared" si="40"/>
        <v>0</v>
      </c>
      <c r="AR182">
        <f t="shared" si="40"/>
        <v>0</v>
      </c>
    </row>
    <row r="183" spans="5:44" x14ac:dyDescent="0.2">
      <c r="E183" s="1">
        <f>moment_rate!$M183</f>
        <v>27.8731862461802</v>
      </c>
      <c r="F183" s="1">
        <f t="shared" si="34"/>
        <v>0.57154603363128587</v>
      </c>
      <c r="G183">
        <f>moment_rate!I183-0.005</f>
        <v>1.7600000000000013</v>
      </c>
      <c r="H183" s="1">
        <f t="shared" si="35"/>
        <v>0</v>
      </c>
      <c r="I183">
        <f t="shared" si="42"/>
        <v>0</v>
      </c>
      <c r="J183">
        <f t="shared" si="42"/>
        <v>0</v>
      </c>
      <c r="K183">
        <f t="shared" si="42"/>
        <v>0</v>
      </c>
      <c r="L183">
        <f t="shared" si="42"/>
        <v>0</v>
      </c>
      <c r="M183">
        <f t="shared" si="42"/>
        <v>0</v>
      </c>
      <c r="N183">
        <f t="shared" si="42"/>
        <v>0</v>
      </c>
      <c r="O183">
        <f t="shared" si="42"/>
        <v>0</v>
      </c>
      <c r="P183">
        <f t="shared" si="42"/>
        <v>0</v>
      </c>
      <c r="Q183">
        <f t="shared" si="42"/>
        <v>0</v>
      </c>
      <c r="R183">
        <f t="shared" si="42"/>
        <v>0</v>
      </c>
      <c r="S183">
        <f t="shared" si="42"/>
        <v>0</v>
      </c>
      <c r="T183">
        <f t="shared" si="42"/>
        <v>0</v>
      </c>
      <c r="U183">
        <f t="shared" si="42"/>
        <v>0</v>
      </c>
      <c r="V183">
        <f t="shared" si="42"/>
        <v>0</v>
      </c>
      <c r="W183">
        <f t="shared" si="42"/>
        <v>0</v>
      </c>
      <c r="X183">
        <f t="shared" si="42"/>
        <v>0</v>
      </c>
      <c r="Y183">
        <f t="shared" si="41"/>
        <v>0</v>
      </c>
      <c r="Z183">
        <f t="shared" si="41"/>
        <v>0</v>
      </c>
      <c r="AA183">
        <f t="shared" si="41"/>
        <v>0</v>
      </c>
      <c r="AB183">
        <f t="shared" si="41"/>
        <v>0</v>
      </c>
      <c r="AC183">
        <f t="shared" si="41"/>
        <v>0</v>
      </c>
      <c r="AD183">
        <f t="shared" si="41"/>
        <v>0</v>
      </c>
      <c r="AE183">
        <f t="shared" si="41"/>
        <v>0</v>
      </c>
      <c r="AF183">
        <f t="shared" si="41"/>
        <v>0</v>
      </c>
      <c r="AG183">
        <f t="shared" si="41"/>
        <v>0</v>
      </c>
      <c r="AH183">
        <f t="shared" si="41"/>
        <v>0</v>
      </c>
      <c r="AI183">
        <f t="shared" si="41"/>
        <v>0</v>
      </c>
      <c r="AJ183">
        <f t="shared" si="41"/>
        <v>0</v>
      </c>
      <c r="AK183">
        <f t="shared" si="41"/>
        <v>0</v>
      </c>
      <c r="AL183">
        <f t="shared" si="41"/>
        <v>0</v>
      </c>
      <c r="AM183">
        <f t="shared" si="41"/>
        <v>0</v>
      </c>
      <c r="AN183">
        <f t="shared" ref="AN183:AR198" si="43">IF(AND($G183&gt;=AN$3,$G183&lt;AN$4),$F183,0)</f>
        <v>0</v>
      </c>
      <c r="AO183">
        <f t="shared" si="43"/>
        <v>0</v>
      </c>
      <c r="AP183">
        <f t="shared" si="43"/>
        <v>0</v>
      </c>
      <c r="AQ183">
        <f t="shared" si="43"/>
        <v>0</v>
      </c>
      <c r="AR183">
        <f t="shared" si="43"/>
        <v>0</v>
      </c>
    </row>
    <row r="184" spans="5:44" x14ac:dyDescent="0.2">
      <c r="E184" s="1">
        <f>moment_rate!$M184</f>
        <v>27.301640212548914</v>
      </c>
      <c r="F184" s="1">
        <f t="shared" si="34"/>
        <v>0.55982361614190523</v>
      </c>
      <c r="G184">
        <f>moment_rate!I184-0.005</f>
        <v>1.7700000000000014</v>
      </c>
      <c r="H184" s="1">
        <f t="shared" si="35"/>
        <v>0</v>
      </c>
      <c r="I184">
        <f t="shared" si="42"/>
        <v>0</v>
      </c>
      <c r="J184">
        <f t="shared" si="42"/>
        <v>0</v>
      </c>
      <c r="K184">
        <f t="shared" si="42"/>
        <v>0</v>
      </c>
      <c r="L184">
        <f t="shared" si="42"/>
        <v>0</v>
      </c>
      <c r="M184">
        <f t="shared" si="42"/>
        <v>0</v>
      </c>
      <c r="N184">
        <f t="shared" si="42"/>
        <v>0</v>
      </c>
      <c r="O184">
        <f t="shared" si="42"/>
        <v>0</v>
      </c>
      <c r="P184">
        <f t="shared" si="42"/>
        <v>0</v>
      </c>
      <c r="Q184">
        <f t="shared" si="42"/>
        <v>0</v>
      </c>
      <c r="R184">
        <f t="shared" si="42"/>
        <v>0</v>
      </c>
      <c r="S184">
        <f t="shared" si="42"/>
        <v>0</v>
      </c>
      <c r="T184">
        <f t="shared" si="42"/>
        <v>0</v>
      </c>
      <c r="U184">
        <f t="shared" si="42"/>
        <v>0</v>
      </c>
      <c r="V184">
        <f t="shared" si="42"/>
        <v>0</v>
      </c>
      <c r="W184">
        <f t="shared" si="42"/>
        <v>0</v>
      </c>
      <c r="X184">
        <f t="shared" si="42"/>
        <v>0</v>
      </c>
      <c r="Y184">
        <f t="shared" si="41"/>
        <v>0</v>
      </c>
      <c r="Z184">
        <f t="shared" si="41"/>
        <v>0</v>
      </c>
      <c r="AA184">
        <f t="shared" si="41"/>
        <v>0</v>
      </c>
      <c r="AB184">
        <f t="shared" si="41"/>
        <v>0</v>
      </c>
      <c r="AC184">
        <f t="shared" si="41"/>
        <v>0</v>
      </c>
      <c r="AD184">
        <f t="shared" si="41"/>
        <v>0</v>
      </c>
      <c r="AE184">
        <f t="shared" si="41"/>
        <v>0</v>
      </c>
      <c r="AF184">
        <f t="shared" si="41"/>
        <v>0</v>
      </c>
      <c r="AG184">
        <f t="shared" si="41"/>
        <v>0</v>
      </c>
      <c r="AH184">
        <f t="shared" si="41"/>
        <v>0</v>
      </c>
      <c r="AI184">
        <f t="shared" si="41"/>
        <v>0</v>
      </c>
      <c r="AJ184">
        <f t="shared" si="41"/>
        <v>0</v>
      </c>
      <c r="AK184">
        <f t="shared" si="41"/>
        <v>0</v>
      </c>
      <c r="AL184">
        <f t="shared" si="41"/>
        <v>0</v>
      </c>
      <c r="AM184">
        <f t="shared" si="41"/>
        <v>0</v>
      </c>
      <c r="AN184">
        <f t="shared" si="43"/>
        <v>0</v>
      </c>
      <c r="AO184">
        <f t="shared" si="43"/>
        <v>0</v>
      </c>
      <c r="AP184">
        <f t="shared" si="43"/>
        <v>0</v>
      </c>
      <c r="AQ184">
        <f t="shared" si="43"/>
        <v>0</v>
      </c>
      <c r="AR184">
        <f t="shared" si="43"/>
        <v>0</v>
      </c>
    </row>
    <row r="185" spans="5:44" x14ac:dyDescent="0.2">
      <c r="E185" s="1">
        <f>moment_rate!$M185</f>
        <v>26.741816596407009</v>
      </c>
      <c r="F185" s="1">
        <f t="shared" si="34"/>
        <v>0.54834162560628386</v>
      </c>
      <c r="G185">
        <f>moment_rate!I185-0.005</f>
        <v>1.7800000000000014</v>
      </c>
      <c r="H185" s="1">
        <f t="shared" si="35"/>
        <v>0</v>
      </c>
      <c r="I185">
        <f t="shared" si="42"/>
        <v>0</v>
      </c>
      <c r="J185">
        <f t="shared" si="42"/>
        <v>0</v>
      </c>
      <c r="K185">
        <f t="shared" si="42"/>
        <v>0</v>
      </c>
      <c r="L185">
        <f t="shared" si="42"/>
        <v>0</v>
      </c>
      <c r="M185">
        <f t="shared" si="42"/>
        <v>0</v>
      </c>
      <c r="N185">
        <f t="shared" si="42"/>
        <v>0</v>
      </c>
      <c r="O185">
        <f t="shared" si="42"/>
        <v>0</v>
      </c>
      <c r="P185">
        <f t="shared" si="42"/>
        <v>0</v>
      </c>
      <c r="Q185">
        <f t="shared" si="42"/>
        <v>0</v>
      </c>
      <c r="R185">
        <f t="shared" si="42"/>
        <v>0</v>
      </c>
      <c r="S185">
        <f t="shared" si="42"/>
        <v>0</v>
      </c>
      <c r="T185">
        <f t="shared" si="42"/>
        <v>0</v>
      </c>
      <c r="U185">
        <f t="shared" si="42"/>
        <v>0</v>
      </c>
      <c r="V185">
        <f t="shared" si="42"/>
        <v>0</v>
      </c>
      <c r="W185">
        <f t="shared" si="42"/>
        <v>0</v>
      </c>
      <c r="X185">
        <f t="shared" si="42"/>
        <v>0</v>
      </c>
      <c r="Y185">
        <f t="shared" si="41"/>
        <v>0</v>
      </c>
      <c r="Z185">
        <f t="shared" si="41"/>
        <v>0</v>
      </c>
      <c r="AA185">
        <f t="shared" si="41"/>
        <v>0</v>
      </c>
      <c r="AB185">
        <f t="shared" si="41"/>
        <v>0</v>
      </c>
      <c r="AC185">
        <f t="shared" si="41"/>
        <v>0</v>
      </c>
      <c r="AD185">
        <f t="shared" si="41"/>
        <v>0</v>
      </c>
      <c r="AE185">
        <f t="shared" si="41"/>
        <v>0</v>
      </c>
      <c r="AF185">
        <f t="shared" si="41"/>
        <v>0</v>
      </c>
      <c r="AG185">
        <f t="shared" si="41"/>
        <v>0</v>
      </c>
      <c r="AH185">
        <f t="shared" si="41"/>
        <v>0</v>
      </c>
      <c r="AI185">
        <f t="shared" si="41"/>
        <v>0</v>
      </c>
      <c r="AJ185">
        <f t="shared" si="41"/>
        <v>0</v>
      </c>
      <c r="AK185">
        <f t="shared" si="41"/>
        <v>0</v>
      </c>
      <c r="AL185">
        <f t="shared" si="41"/>
        <v>0</v>
      </c>
      <c r="AM185">
        <f t="shared" si="41"/>
        <v>0</v>
      </c>
      <c r="AN185">
        <f t="shared" si="43"/>
        <v>0</v>
      </c>
      <c r="AO185">
        <f t="shared" si="43"/>
        <v>0</v>
      </c>
      <c r="AP185">
        <f t="shared" si="43"/>
        <v>0</v>
      </c>
      <c r="AQ185">
        <f t="shared" si="43"/>
        <v>0</v>
      </c>
      <c r="AR185">
        <f t="shared" si="43"/>
        <v>0</v>
      </c>
    </row>
    <row r="186" spans="5:44" x14ac:dyDescent="0.2">
      <c r="E186" s="1">
        <f>moment_rate!$M186</f>
        <v>26.193474970800725</v>
      </c>
      <c r="F186" s="1">
        <f t="shared" si="34"/>
        <v>0.53709513086407767</v>
      </c>
      <c r="G186">
        <f>moment_rate!I186-0.005</f>
        <v>1.7900000000000014</v>
      </c>
      <c r="H186" s="1">
        <f t="shared" si="35"/>
        <v>0</v>
      </c>
      <c r="I186">
        <f t="shared" si="42"/>
        <v>0</v>
      </c>
      <c r="J186">
        <f t="shared" si="42"/>
        <v>0</v>
      </c>
      <c r="K186">
        <f t="shared" si="42"/>
        <v>0</v>
      </c>
      <c r="L186">
        <f t="shared" si="42"/>
        <v>0</v>
      </c>
      <c r="M186">
        <f t="shared" si="42"/>
        <v>0</v>
      </c>
      <c r="N186">
        <f t="shared" si="42"/>
        <v>0</v>
      </c>
      <c r="O186">
        <f t="shared" si="42"/>
        <v>0</v>
      </c>
      <c r="P186">
        <f t="shared" si="42"/>
        <v>0</v>
      </c>
      <c r="Q186">
        <f t="shared" si="42"/>
        <v>0</v>
      </c>
      <c r="R186">
        <f t="shared" si="42"/>
        <v>0</v>
      </c>
      <c r="S186">
        <f t="shared" si="42"/>
        <v>0</v>
      </c>
      <c r="T186">
        <f t="shared" si="42"/>
        <v>0</v>
      </c>
      <c r="U186">
        <f t="shared" si="42"/>
        <v>0</v>
      </c>
      <c r="V186">
        <f t="shared" si="42"/>
        <v>0</v>
      </c>
      <c r="W186">
        <f t="shared" si="42"/>
        <v>0</v>
      </c>
      <c r="X186">
        <f t="shared" si="42"/>
        <v>0</v>
      </c>
      <c r="Y186">
        <f t="shared" si="41"/>
        <v>0</v>
      </c>
      <c r="Z186">
        <f t="shared" si="41"/>
        <v>0</v>
      </c>
      <c r="AA186">
        <f t="shared" si="41"/>
        <v>0</v>
      </c>
      <c r="AB186">
        <f t="shared" si="41"/>
        <v>0</v>
      </c>
      <c r="AC186">
        <f t="shared" si="41"/>
        <v>0</v>
      </c>
      <c r="AD186">
        <f t="shared" si="41"/>
        <v>0</v>
      </c>
      <c r="AE186">
        <f t="shared" si="41"/>
        <v>0</v>
      </c>
      <c r="AF186">
        <f t="shared" si="41"/>
        <v>0</v>
      </c>
      <c r="AG186">
        <f t="shared" si="41"/>
        <v>0</v>
      </c>
      <c r="AH186">
        <f t="shared" si="41"/>
        <v>0</v>
      </c>
      <c r="AI186">
        <f t="shared" si="41"/>
        <v>0</v>
      </c>
      <c r="AJ186">
        <f t="shared" si="41"/>
        <v>0</v>
      </c>
      <c r="AK186">
        <f t="shared" si="41"/>
        <v>0</v>
      </c>
      <c r="AL186">
        <f t="shared" si="41"/>
        <v>0</v>
      </c>
      <c r="AM186">
        <f t="shared" si="41"/>
        <v>0</v>
      </c>
      <c r="AN186">
        <f t="shared" si="43"/>
        <v>0</v>
      </c>
      <c r="AO186">
        <f t="shared" si="43"/>
        <v>0</v>
      </c>
      <c r="AP186">
        <f t="shared" si="43"/>
        <v>0</v>
      </c>
      <c r="AQ186">
        <f t="shared" si="43"/>
        <v>0</v>
      </c>
      <c r="AR186">
        <f t="shared" si="43"/>
        <v>0</v>
      </c>
    </row>
    <row r="187" spans="5:44" x14ac:dyDescent="0.2">
      <c r="E187" s="1">
        <f>moment_rate!$M187</f>
        <v>25.656379839936648</v>
      </c>
      <c r="F187" s="1">
        <f t="shared" si="34"/>
        <v>0.52607930189314089</v>
      </c>
      <c r="G187">
        <f>moment_rate!I187-0.005</f>
        <v>1.8000000000000014</v>
      </c>
      <c r="H187" s="1">
        <f t="shared" si="35"/>
        <v>0</v>
      </c>
      <c r="I187">
        <f t="shared" si="42"/>
        <v>0</v>
      </c>
      <c r="J187">
        <f t="shared" si="42"/>
        <v>0</v>
      </c>
      <c r="K187">
        <f t="shared" si="42"/>
        <v>0</v>
      </c>
      <c r="L187">
        <f t="shared" si="42"/>
        <v>0</v>
      </c>
      <c r="M187">
        <f t="shared" si="42"/>
        <v>0</v>
      </c>
      <c r="N187">
        <f t="shared" si="42"/>
        <v>0</v>
      </c>
      <c r="O187">
        <f t="shared" si="42"/>
        <v>0</v>
      </c>
      <c r="P187">
        <f t="shared" si="42"/>
        <v>0</v>
      </c>
      <c r="Q187">
        <f t="shared" si="42"/>
        <v>0</v>
      </c>
      <c r="R187">
        <f t="shared" si="42"/>
        <v>0</v>
      </c>
      <c r="S187">
        <f t="shared" si="42"/>
        <v>0</v>
      </c>
      <c r="T187">
        <f t="shared" si="42"/>
        <v>0</v>
      </c>
      <c r="U187">
        <f t="shared" si="42"/>
        <v>0</v>
      </c>
      <c r="V187">
        <f t="shared" si="42"/>
        <v>0</v>
      </c>
      <c r="W187">
        <f t="shared" si="42"/>
        <v>0</v>
      </c>
      <c r="X187">
        <f t="shared" si="42"/>
        <v>0</v>
      </c>
      <c r="Y187">
        <f t="shared" si="41"/>
        <v>0</v>
      </c>
      <c r="Z187">
        <f t="shared" si="41"/>
        <v>0</v>
      </c>
      <c r="AA187">
        <f t="shared" si="41"/>
        <v>0</v>
      </c>
      <c r="AB187">
        <f t="shared" si="41"/>
        <v>0</v>
      </c>
      <c r="AC187">
        <f t="shared" si="41"/>
        <v>0</v>
      </c>
      <c r="AD187">
        <f t="shared" si="41"/>
        <v>0</v>
      </c>
      <c r="AE187">
        <f t="shared" si="41"/>
        <v>0</v>
      </c>
      <c r="AF187">
        <f t="shared" si="41"/>
        <v>0</v>
      </c>
      <c r="AG187">
        <f t="shared" si="41"/>
        <v>0</v>
      </c>
      <c r="AH187">
        <f t="shared" si="41"/>
        <v>0</v>
      </c>
      <c r="AI187">
        <f t="shared" si="41"/>
        <v>0</v>
      </c>
      <c r="AJ187">
        <f t="shared" si="41"/>
        <v>0</v>
      </c>
      <c r="AK187">
        <f t="shared" si="41"/>
        <v>0</v>
      </c>
      <c r="AL187">
        <f t="shared" si="41"/>
        <v>0</v>
      </c>
      <c r="AM187">
        <f t="shared" si="41"/>
        <v>0</v>
      </c>
      <c r="AN187">
        <f t="shared" si="43"/>
        <v>0</v>
      </c>
      <c r="AO187">
        <f t="shared" si="43"/>
        <v>0</v>
      </c>
      <c r="AP187">
        <f t="shared" si="43"/>
        <v>0</v>
      </c>
      <c r="AQ187">
        <f t="shared" si="43"/>
        <v>0</v>
      </c>
      <c r="AR187">
        <f t="shared" si="43"/>
        <v>0</v>
      </c>
    </row>
    <row r="188" spans="5:44" x14ac:dyDescent="0.2">
      <c r="E188" s="1">
        <f>moment_rate!$M188</f>
        <v>25.130300538043507</v>
      </c>
      <c r="F188" s="1">
        <f t="shared" si="34"/>
        <v>0.51528940773512844</v>
      </c>
      <c r="G188">
        <f>moment_rate!I188-0.005</f>
        <v>1.8100000000000014</v>
      </c>
      <c r="H188" s="1">
        <f t="shared" si="35"/>
        <v>0</v>
      </c>
      <c r="I188">
        <f t="shared" si="42"/>
        <v>0</v>
      </c>
      <c r="J188">
        <f t="shared" si="42"/>
        <v>0</v>
      </c>
      <c r="K188">
        <f t="shared" si="42"/>
        <v>0</v>
      </c>
      <c r="L188">
        <f t="shared" si="42"/>
        <v>0</v>
      </c>
      <c r="M188">
        <f t="shared" si="42"/>
        <v>0</v>
      </c>
      <c r="N188">
        <f t="shared" si="42"/>
        <v>0</v>
      </c>
      <c r="O188">
        <f t="shared" si="42"/>
        <v>0</v>
      </c>
      <c r="P188">
        <f t="shared" si="42"/>
        <v>0</v>
      </c>
      <c r="Q188">
        <f t="shared" si="42"/>
        <v>0</v>
      </c>
      <c r="R188">
        <f t="shared" si="42"/>
        <v>0</v>
      </c>
      <c r="S188">
        <f t="shared" si="42"/>
        <v>0</v>
      </c>
      <c r="T188">
        <f t="shared" si="42"/>
        <v>0</v>
      </c>
      <c r="U188">
        <f t="shared" si="42"/>
        <v>0</v>
      </c>
      <c r="V188">
        <f t="shared" si="42"/>
        <v>0</v>
      </c>
      <c r="W188">
        <f t="shared" si="42"/>
        <v>0</v>
      </c>
      <c r="X188">
        <f t="shared" si="42"/>
        <v>0</v>
      </c>
      <c r="Y188">
        <f t="shared" si="41"/>
        <v>0</v>
      </c>
      <c r="Z188">
        <f t="shared" si="41"/>
        <v>0</v>
      </c>
      <c r="AA188">
        <f t="shared" si="41"/>
        <v>0</v>
      </c>
      <c r="AB188">
        <f t="shared" si="41"/>
        <v>0</v>
      </c>
      <c r="AC188">
        <f t="shared" si="41"/>
        <v>0</v>
      </c>
      <c r="AD188">
        <f t="shared" si="41"/>
        <v>0</v>
      </c>
      <c r="AE188">
        <f t="shared" si="41"/>
        <v>0</v>
      </c>
      <c r="AF188">
        <f t="shared" si="41"/>
        <v>0</v>
      </c>
      <c r="AG188">
        <f t="shared" si="41"/>
        <v>0</v>
      </c>
      <c r="AH188">
        <f t="shared" si="41"/>
        <v>0</v>
      </c>
      <c r="AI188">
        <f t="shared" si="41"/>
        <v>0</v>
      </c>
      <c r="AJ188">
        <f t="shared" si="41"/>
        <v>0</v>
      </c>
      <c r="AK188">
        <f t="shared" si="41"/>
        <v>0</v>
      </c>
      <c r="AL188">
        <f t="shared" si="41"/>
        <v>0</v>
      </c>
      <c r="AM188">
        <f t="shared" si="41"/>
        <v>0</v>
      </c>
      <c r="AN188">
        <f t="shared" si="43"/>
        <v>0</v>
      </c>
      <c r="AO188">
        <f t="shared" si="43"/>
        <v>0</v>
      </c>
      <c r="AP188">
        <f t="shared" si="43"/>
        <v>0</v>
      </c>
      <c r="AQ188">
        <f t="shared" si="43"/>
        <v>0</v>
      </c>
      <c r="AR188">
        <f t="shared" si="43"/>
        <v>0</v>
      </c>
    </row>
    <row r="189" spans="5:44" x14ac:dyDescent="0.2">
      <c r="E189" s="1">
        <f>moment_rate!$M189</f>
        <v>24.615011130308378</v>
      </c>
      <c r="F189" s="1">
        <f t="shared" si="34"/>
        <v>0.50472081446373451</v>
      </c>
      <c r="G189">
        <f>moment_rate!I189-0.005</f>
        <v>1.8200000000000014</v>
      </c>
      <c r="H189" s="1">
        <f t="shared" si="35"/>
        <v>0</v>
      </c>
      <c r="I189">
        <f t="shared" si="42"/>
        <v>0</v>
      </c>
      <c r="J189">
        <f t="shared" si="42"/>
        <v>0</v>
      </c>
      <c r="K189">
        <f t="shared" si="42"/>
        <v>0</v>
      </c>
      <c r="L189">
        <f t="shared" si="42"/>
        <v>0</v>
      </c>
      <c r="M189">
        <f t="shared" si="42"/>
        <v>0</v>
      </c>
      <c r="N189">
        <f t="shared" si="42"/>
        <v>0</v>
      </c>
      <c r="O189">
        <f t="shared" si="42"/>
        <v>0</v>
      </c>
      <c r="P189">
        <f t="shared" si="42"/>
        <v>0</v>
      </c>
      <c r="Q189">
        <f t="shared" si="42"/>
        <v>0</v>
      </c>
      <c r="R189">
        <f t="shared" si="42"/>
        <v>0</v>
      </c>
      <c r="S189">
        <f t="shared" si="42"/>
        <v>0</v>
      </c>
      <c r="T189">
        <f t="shared" si="42"/>
        <v>0</v>
      </c>
      <c r="U189">
        <f t="shared" si="42"/>
        <v>0</v>
      </c>
      <c r="V189">
        <f t="shared" si="42"/>
        <v>0</v>
      </c>
      <c r="W189">
        <f t="shared" si="42"/>
        <v>0</v>
      </c>
      <c r="X189">
        <f t="shared" si="42"/>
        <v>0</v>
      </c>
      <c r="Y189">
        <f t="shared" si="41"/>
        <v>0</v>
      </c>
      <c r="Z189">
        <f t="shared" si="41"/>
        <v>0</v>
      </c>
      <c r="AA189">
        <f t="shared" si="41"/>
        <v>0</v>
      </c>
      <c r="AB189">
        <f t="shared" si="41"/>
        <v>0</v>
      </c>
      <c r="AC189">
        <f t="shared" si="41"/>
        <v>0</v>
      </c>
      <c r="AD189">
        <f t="shared" si="41"/>
        <v>0</v>
      </c>
      <c r="AE189">
        <f t="shared" si="41"/>
        <v>0</v>
      </c>
      <c r="AF189">
        <f t="shared" si="41"/>
        <v>0</v>
      </c>
      <c r="AG189">
        <f t="shared" si="41"/>
        <v>0</v>
      </c>
      <c r="AH189">
        <f t="shared" si="41"/>
        <v>0</v>
      </c>
      <c r="AI189">
        <f t="shared" si="41"/>
        <v>0</v>
      </c>
      <c r="AJ189">
        <f t="shared" si="41"/>
        <v>0</v>
      </c>
      <c r="AK189">
        <f t="shared" si="41"/>
        <v>0</v>
      </c>
      <c r="AL189">
        <f t="shared" si="41"/>
        <v>0</v>
      </c>
      <c r="AM189">
        <f t="shared" si="41"/>
        <v>0</v>
      </c>
      <c r="AN189">
        <f t="shared" si="43"/>
        <v>0</v>
      </c>
      <c r="AO189">
        <f t="shared" si="43"/>
        <v>0</v>
      </c>
      <c r="AP189">
        <f t="shared" si="43"/>
        <v>0</v>
      </c>
      <c r="AQ189">
        <f t="shared" si="43"/>
        <v>0</v>
      </c>
      <c r="AR189">
        <f t="shared" si="43"/>
        <v>0</v>
      </c>
    </row>
    <row r="190" spans="5:44" x14ac:dyDescent="0.2">
      <c r="E190" s="1">
        <f>moment_rate!$M190</f>
        <v>24.110290315844644</v>
      </c>
      <c r="F190" s="1">
        <f t="shared" si="34"/>
        <v>0.4943689831945548</v>
      </c>
      <c r="G190">
        <f>moment_rate!I190-0.005</f>
        <v>1.8300000000000014</v>
      </c>
      <c r="H190" s="1">
        <f t="shared" si="35"/>
        <v>0</v>
      </c>
      <c r="I190">
        <f t="shared" si="42"/>
        <v>0</v>
      </c>
      <c r="J190">
        <f t="shared" si="42"/>
        <v>0</v>
      </c>
      <c r="K190">
        <f t="shared" si="42"/>
        <v>0</v>
      </c>
      <c r="L190">
        <f t="shared" si="42"/>
        <v>0</v>
      </c>
      <c r="M190">
        <f t="shared" si="42"/>
        <v>0</v>
      </c>
      <c r="N190">
        <f t="shared" si="42"/>
        <v>0</v>
      </c>
      <c r="O190">
        <f t="shared" si="42"/>
        <v>0</v>
      </c>
      <c r="P190">
        <f t="shared" si="42"/>
        <v>0</v>
      </c>
      <c r="Q190">
        <f t="shared" si="42"/>
        <v>0</v>
      </c>
      <c r="R190">
        <f t="shared" si="42"/>
        <v>0</v>
      </c>
      <c r="S190">
        <f t="shared" si="42"/>
        <v>0</v>
      </c>
      <c r="T190">
        <f t="shared" si="42"/>
        <v>0</v>
      </c>
      <c r="U190">
        <f t="shared" si="42"/>
        <v>0</v>
      </c>
      <c r="V190">
        <f t="shared" si="42"/>
        <v>0</v>
      </c>
      <c r="W190">
        <f t="shared" si="42"/>
        <v>0</v>
      </c>
      <c r="X190">
        <f t="shared" ref="X190:AM205" si="44">IF(AND($G190&gt;=X$3,$G190&lt;X$4),$F190,0)</f>
        <v>0</v>
      </c>
      <c r="Y190">
        <f t="shared" si="44"/>
        <v>0</v>
      </c>
      <c r="Z190">
        <f t="shared" si="44"/>
        <v>0</v>
      </c>
      <c r="AA190">
        <f t="shared" si="44"/>
        <v>0</v>
      </c>
      <c r="AB190">
        <f t="shared" si="44"/>
        <v>0</v>
      </c>
      <c r="AC190">
        <f t="shared" si="44"/>
        <v>0</v>
      </c>
      <c r="AD190">
        <f t="shared" si="44"/>
        <v>0</v>
      </c>
      <c r="AE190">
        <f t="shared" si="44"/>
        <v>0</v>
      </c>
      <c r="AF190">
        <f t="shared" si="44"/>
        <v>0</v>
      </c>
      <c r="AG190">
        <f t="shared" si="44"/>
        <v>0</v>
      </c>
      <c r="AH190">
        <f t="shared" si="44"/>
        <v>0</v>
      </c>
      <c r="AI190">
        <f t="shared" si="44"/>
        <v>0</v>
      </c>
      <c r="AJ190">
        <f t="shared" si="44"/>
        <v>0</v>
      </c>
      <c r="AK190">
        <f t="shared" si="44"/>
        <v>0</v>
      </c>
      <c r="AL190">
        <f t="shared" si="44"/>
        <v>0</v>
      </c>
      <c r="AM190">
        <f t="shared" si="44"/>
        <v>0</v>
      </c>
      <c r="AN190">
        <f t="shared" si="43"/>
        <v>0</v>
      </c>
      <c r="AO190">
        <f t="shared" si="43"/>
        <v>0</v>
      </c>
      <c r="AP190">
        <f t="shared" si="43"/>
        <v>0</v>
      </c>
      <c r="AQ190">
        <f t="shared" si="43"/>
        <v>0</v>
      </c>
      <c r="AR190">
        <f t="shared" si="43"/>
        <v>0</v>
      </c>
    </row>
    <row r="191" spans="5:44" x14ac:dyDescent="0.2">
      <c r="E191" s="1">
        <f>moment_rate!$M191</f>
        <v>23.615921332650089</v>
      </c>
      <c r="F191" s="1">
        <f t="shared" si="34"/>
        <v>0.48422946813575152</v>
      </c>
      <c r="G191">
        <f>moment_rate!I191-0.005</f>
        <v>1.8400000000000014</v>
      </c>
      <c r="H191" s="1">
        <f t="shared" si="35"/>
        <v>0</v>
      </c>
      <c r="I191">
        <f t="shared" ref="I191:X206" si="45">IF(AND($G191&gt;=I$3,$G191&lt;I$4),$F191,0)</f>
        <v>0</v>
      </c>
      <c r="J191">
        <f t="shared" si="45"/>
        <v>0</v>
      </c>
      <c r="K191">
        <f t="shared" si="45"/>
        <v>0</v>
      </c>
      <c r="L191">
        <f t="shared" si="45"/>
        <v>0</v>
      </c>
      <c r="M191">
        <f t="shared" si="45"/>
        <v>0</v>
      </c>
      <c r="N191">
        <f t="shared" si="45"/>
        <v>0</v>
      </c>
      <c r="O191">
        <f t="shared" si="45"/>
        <v>0</v>
      </c>
      <c r="P191">
        <f t="shared" si="45"/>
        <v>0</v>
      </c>
      <c r="Q191">
        <f t="shared" si="45"/>
        <v>0</v>
      </c>
      <c r="R191">
        <f t="shared" si="45"/>
        <v>0</v>
      </c>
      <c r="S191">
        <f t="shared" si="45"/>
        <v>0</v>
      </c>
      <c r="T191">
        <f t="shared" si="45"/>
        <v>0</v>
      </c>
      <c r="U191">
        <f t="shared" si="45"/>
        <v>0</v>
      </c>
      <c r="V191">
        <f t="shared" si="45"/>
        <v>0</v>
      </c>
      <c r="W191">
        <f t="shared" si="45"/>
        <v>0</v>
      </c>
      <c r="X191">
        <f t="shared" si="45"/>
        <v>0</v>
      </c>
      <c r="Y191">
        <f t="shared" si="44"/>
        <v>0</v>
      </c>
      <c r="Z191">
        <f t="shared" si="44"/>
        <v>0</v>
      </c>
      <c r="AA191">
        <f t="shared" si="44"/>
        <v>0</v>
      </c>
      <c r="AB191">
        <f t="shared" si="44"/>
        <v>0</v>
      </c>
      <c r="AC191">
        <f t="shared" si="44"/>
        <v>0</v>
      </c>
      <c r="AD191">
        <f t="shared" si="44"/>
        <v>0</v>
      </c>
      <c r="AE191">
        <f t="shared" si="44"/>
        <v>0</v>
      </c>
      <c r="AF191">
        <f t="shared" si="44"/>
        <v>0</v>
      </c>
      <c r="AG191">
        <f t="shared" si="44"/>
        <v>0</v>
      </c>
      <c r="AH191">
        <f t="shared" si="44"/>
        <v>0</v>
      </c>
      <c r="AI191">
        <f t="shared" si="44"/>
        <v>0</v>
      </c>
      <c r="AJ191">
        <f t="shared" si="44"/>
        <v>0</v>
      </c>
      <c r="AK191">
        <f t="shared" si="44"/>
        <v>0</v>
      </c>
      <c r="AL191">
        <f t="shared" si="44"/>
        <v>0</v>
      </c>
      <c r="AM191">
        <f t="shared" si="44"/>
        <v>0</v>
      </c>
      <c r="AN191">
        <f t="shared" si="43"/>
        <v>0</v>
      </c>
      <c r="AO191">
        <f t="shared" si="43"/>
        <v>0</v>
      </c>
      <c r="AP191">
        <f t="shared" si="43"/>
        <v>0</v>
      </c>
      <c r="AQ191">
        <f t="shared" si="43"/>
        <v>0</v>
      </c>
      <c r="AR191">
        <f t="shared" si="43"/>
        <v>0</v>
      </c>
    </row>
    <row r="192" spans="5:44" x14ac:dyDescent="0.2">
      <c r="E192" s="1">
        <f>moment_rate!$M192</f>
        <v>23.131691864514337</v>
      </c>
      <c r="F192" s="1">
        <f t="shared" si="34"/>
        <v>0.47429791467874693</v>
      </c>
      <c r="G192">
        <f>moment_rate!I192-0.005</f>
        <v>1.8500000000000014</v>
      </c>
      <c r="H192" s="1">
        <f t="shared" si="35"/>
        <v>0</v>
      </c>
      <c r="I192">
        <f t="shared" si="45"/>
        <v>0</v>
      </c>
      <c r="J192">
        <f t="shared" si="45"/>
        <v>0</v>
      </c>
      <c r="K192">
        <f t="shared" si="45"/>
        <v>0</v>
      </c>
      <c r="L192">
        <f t="shared" si="45"/>
        <v>0</v>
      </c>
      <c r="M192">
        <f t="shared" si="45"/>
        <v>0</v>
      </c>
      <c r="N192">
        <f t="shared" si="45"/>
        <v>0</v>
      </c>
      <c r="O192">
        <f t="shared" si="45"/>
        <v>0</v>
      </c>
      <c r="P192">
        <f t="shared" si="45"/>
        <v>0</v>
      </c>
      <c r="Q192">
        <f t="shared" si="45"/>
        <v>0</v>
      </c>
      <c r="R192">
        <f t="shared" si="45"/>
        <v>0</v>
      </c>
      <c r="S192">
        <f t="shared" si="45"/>
        <v>0</v>
      </c>
      <c r="T192">
        <f t="shared" si="45"/>
        <v>0</v>
      </c>
      <c r="U192">
        <f t="shared" si="45"/>
        <v>0</v>
      </c>
      <c r="V192">
        <f t="shared" si="45"/>
        <v>0</v>
      </c>
      <c r="W192">
        <f t="shared" si="45"/>
        <v>0</v>
      </c>
      <c r="X192">
        <f t="shared" si="45"/>
        <v>0</v>
      </c>
      <c r="Y192">
        <f t="shared" si="44"/>
        <v>0</v>
      </c>
      <c r="Z192">
        <f t="shared" si="44"/>
        <v>0</v>
      </c>
      <c r="AA192">
        <f t="shared" si="44"/>
        <v>0</v>
      </c>
      <c r="AB192">
        <f t="shared" si="44"/>
        <v>0</v>
      </c>
      <c r="AC192">
        <f t="shared" si="44"/>
        <v>0</v>
      </c>
      <c r="AD192">
        <f t="shared" si="44"/>
        <v>0</v>
      </c>
      <c r="AE192">
        <f t="shared" si="44"/>
        <v>0</v>
      </c>
      <c r="AF192">
        <f t="shared" si="44"/>
        <v>0</v>
      </c>
      <c r="AG192">
        <f t="shared" si="44"/>
        <v>0</v>
      </c>
      <c r="AH192">
        <f t="shared" si="44"/>
        <v>0</v>
      </c>
      <c r="AI192">
        <f t="shared" si="44"/>
        <v>0</v>
      </c>
      <c r="AJ192">
        <f t="shared" si="44"/>
        <v>0</v>
      </c>
      <c r="AK192">
        <f t="shared" si="44"/>
        <v>0</v>
      </c>
      <c r="AL192">
        <f t="shared" si="44"/>
        <v>0</v>
      </c>
      <c r="AM192">
        <f t="shared" si="44"/>
        <v>0</v>
      </c>
      <c r="AN192">
        <f t="shared" si="43"/>
        <v>0</v>
      </c>
      <c r="AO192">
        <f t="shared" si="43"/>
        <v>0</v>
      </c>
      <c r="AP192">
        <f t="shared" si="43"/>
        <v>0</v>
      </c>
      <c r="AQ192">
        <f t="shared" si="43"/>
        <v>0</v>
      </c>
      <c r="AR192">
        <f t="shared" si="43"/>
        <v>0</v>
      </c>
    </row>
    <row r="193" spans="5:44" x14ac:dyDescent="0.2">
      <c r="E193" s="1">
        <f>moment_rate!$M193</f>
        <v>22.657393949835591</v>
      </c>
      <c r="F193" s="1">
        <f t="shared" si="34"/>
        <v>0.46457005752806069</v>
      </c>
      <c r="G193">
        <f>moment_rate!I193-0.005</f>
        <v>1.8600000000000014</v>
      </c>
      <c r="H193" s="1">
        <f t="shared" si="35"/>
        <v>0</v>
      </c>
      <c r="I193">
        <f t="shared" si="45"/>
        <v>0</v>
      </c>
      <c r="J193">
        <f t="shared" si="45"/>
        <v>0</v>
      </c>
      <c r="K193">
        <f t="shared" si="45"/>
        <v>0</v>
      </c>
      <c r="L193">
        <f t="shared" si="45"/>
        <v>0</v>
      </c>
      <c r="M193">
        <f t="shared" si="45"/>
        <v>0</v>
      </c>
      <c r="N193">
        <f t="shared" si="45"/>
        <v>0</v>
      </c>
      <c r="O193">
        <f t="shared" si="45"/>
        <v>0</v>
      </c>
      <c r="P193">
        <f t="shared" si="45"/>
        <v>0</v>
      </c>
      <c r="Q193">
        <f t="shared" si="45"/>
        <v>0</v>
      </c>
      <c r="R193">
        <f t="shared" si="45"/>
        <v>0</v>
      </c>
      <c r="S193">
        <f t="shared" si="45"/>
        <v>0</v>
      </c>
      <c r="T193">
        <f t="shared" si="45"/>
        <v>0</v>
      </c>
      <c r="U193">
        <f t="shared" si="45"/>
        <v>0</v>
      </c>
      <c r="V193">
        <f t="shared" si="45"/>
        <v>0</v>
      </c>
      <c r="W193">
        <f t="shared" si="45"/>
        <v>0</v>
      </c>
      <c r="X193">
        <f t="shared" si="45"/>
        <v>0</v>
      </c>
      <c r="Y193">
        <f t="shared" si="44"/>
        <v>0</v>
      </c>
      <c r="Z193">
        <f t="shared" si="44"/>
        <v>0</v>
      </c>
      <c r="AA193">
        <f t="shared" si="44"/>
        <v>0</v>
      </c>
      <c r="AB193">
        <f t="shared" si="44"/>
        <v>0</v>
      </c>
      <c r="AC193">
        <f t="shared" si="44"/>
        <v>0</v>
      </c>
      <c r="AD193">
        <f t="shared" si="44"/>
        <v>0</v>
      </c>
      <c r="AE193">
        <f t="shared" si="44"/>
        <v>0</v>
      </c>
      <c r="AF193">
        <f t="shared" si="44"/>
        <v>0</v>
      </c>
      <c r="AG193">
        <f t="shared" si="44"/>
        <v>0</v>
      </c>
      <c r="AH193">
        <f t="shared" si="44"/>
        <v>0</v>
      </c>
      <c r="AI193">
        <f t="shared" si="44"/>
        <v>0</v>
      </c>
      <c r="AJ193">
        <f t="shared" si="44"/>
        <v>0</v>
      </c>
      <c r="AK193">
        <f t="shared" si="44"/>
        <v>0</v>
      </c>
      <c r="AL193">
        <f t="shared" si="44"/>
        <v>0</v>
      </c>
      <c r="AM193">
        <f t="shared" si="44"/>
        <v>0</v>
      </c>
      <c r="AN193">
        <f t="shared" si="43"/>
        <v>0</v>
      </c>
      <c r="AO193">
        <f t="shared" si="43"/>
        <v>0</v>
      </c>
      <c r="AP193">
        <f t="shared" si="43"/>
        <v>0</v>
      </c>
      <c r="AQ193">
        <f t="shared" si="43"/>
        <v>0</v>
      </c>
      <c r="AR193">
        <f t="shared" si="43"/>
        <v>0</v>
      </c>
    </row>
    <row r="194" spans="5:44" x14ac:dyDescent="0.2">
      <c r="E194" s="1">
        <f>moment_rate!$M194</f>
        <v>22.19282389230753</v>
      </c>
      <c r="F194" s="1">
        <f t="shared" si="34"/>
        <v>0.45504171886947731</v>
      </c>
      <c r="G194">
        <f>moment_rate!I194-0.005</f>
        <v>1.8700000000000014</v>
      </c>
      <c r="H194" s="1">
        <f t="shared" si="35"/>
        <v>0</v>
      </c>
      <c r="I194">
        <f t="shared" si="45"/>
        <v>0</v>
      </c>
      <c r="J194">
        <f t="shared" si="45"/>
        <v>0</v>
      </c>
      <c r="K194">
        <f t="shared" si="45"/>
        <v>0</v>
      </c>
      <c r="L194">
        <f t="shared" si="45"/>
        <v>0</v>
      </c>
      <c r="M194">
        <f t="shared" si="45"/>
        <v>0</v>
      </c>
      <c r="N194">
        <f t="shared" si="45"/>
        <v>0</v>
      </c>
      <c r="O194">
        <f t="shared" si="45"/>
        <v>0</v>
      </c>
      <c r="P194">
        <f t="shared" si="45"/>
        <v>0</v>
      </c>
      <c r="Q194">
        <f t="shared" si="45"/>
        <v>0</v>
      </c>
      <c r="R194">
        <f t="shared" si="45"/>
        <v>0</v>
      </c>
      <c r="S194">
        <f t="shared" si="45"/>
        <v>0</v>
      </c>
      <c r="T194">
        <f t="shared" si="45"/>
        <v>0</v>
      </c>
      <c r="U194">
        <f t="shared" si="45"/>
        <v>0</v>
      </c>
      <c r="V194">
        <f t="shared" si="45"/>
        <v>0</v>
      </c>
      <c r="W194">
        <f t="shared" si="45"/>
        <v>0</v>
      </c>
      <c r="X194">
        <f t="shared" si="45"/>
        <v>0</v>
      </c>
      <c r="Y194">
        <f t="shared" si="44"/>
        <v>0</v>
      </c>
      <c r="Z194">
        <f t="shared" si="44"/>
        <v>0</v>
      </c>
      <c r="AA194">
        <f t="shared" si="44"/>
        <v>0</v>
      </c>
      <c r="AB194">
        <f t="shared" si="44"/>
        <v>0</v>
      </c>
      <c r="AC194">
        <f t="shared" si="44"/>
        <v>0</v>
      </c>
      <c r="AD194">
        <f t="shared" si="44"/>
        <v>0</v>
      </c>
      <c r="AE194">
        <f t="shared" si="44"/>
        <v>0</v>
      </c>
      <c r="AF194">
        <f t="shared" si="44"/>
        <v>0</v>
      </c>
      <c r="AG194">
        <f t="shared" si="44"/>
        <v>0</v>
      </c>
      <c r="AH194">
        <f t="shared" si="44"/>
        <v>0</v>
      </c>
      <c r="AI194">
        <f t="shared" si="44"/>
        <v>0</v>
      </c>
      <c r="AJ194">
        <f t="shared" si="44"/>
        <v>0</v>
      </c>
      <c r="AK194">
        <f t="shared" si="44"/>
        <v>0</v>
      </c>
      <c r="AL194">
        <f t="shared" si="44"/>
        <v>0</v>
      </c>
      <c r="AM194">
        <f t="shared" si="44"/>
        <v>0</v>
      </c>
      <c r="AN194">
        <f t="shared" si="43"/>
        <v>0</v>
      </c>
      <c r="AO194">
        <f t="shared" si="43"/>
        <v>0</v>
      </c>
      <c r="AP194">
        <f t="shared" si="43"/>
        <v>0</v>
      </c>
      <c r="AQ194">
        <f t="shared" si="43"/>
        <v>0</v>
      </c>
      <c r="AR194">
        <f t="shared" si="43"/>
        <v>0</v>
      </c>
    </row>
    <row r="195" spans="5:44" x14ac:dyDescent="0.2">
      <c r="E195" s="1">
        <f>moment_rate!$M195</f>
        <v>21.737782173438053</v>
      </c>
      <c r="F195" s="1">
        <f t="shared" si="34"/>
        <v>0.44570880657581569</v>
      </c>
      <c r="G195">
        <f>moment_rate!I195-0.005</f>
        <v>1.8800000000000014</v>
      </c>
      <c r="H195" s="1">
        <f t="shared" si="35"/>
        <v>0</v>
      </c>
      <c r="I195">
        <f t="shared" si="45"/>
        <v>0</v>
      </c>
      <c r="J195">
        <f t="shared" si="45"/>
        <v>0</v>
      </c>
      <c r="K195">
        <f t="shared" si="45"/>
        <v>0</v>
      </c>
      <c r="L195">
        <f t="shared" si="45"/>
        <v>0</v>
      </c>
      <c r="M195">
        <f t="shared" si="45"/>
        <v>0</v>
      </c>
      <c r="N195">
        <f t="shared" si="45"/>
        <v>0</v>
      </c>
      <c r="O195">
        <f t="shared" si="45"/>
        <v>0</v>
      </c>
      <c r="P195">
        <f t="shared" si="45"/>
        <v>0</v>
      </c>
      <c r="Q195">
        <f t="shared" si="45"/>
        <v>0</v>
      </c>
      <c r="R195">
        <f t="shared" si="45"/>
        <v>0</v>
      </c>
      <c r="S195">
        <f t="shared" si="45"/>
        <v>0</v>
      </c>
      <c r="T195">
        <f t="shared" si="45"/>
        <v>0</v>
      </c>
      <c r="U195">
        <f t="shared" si="45"/>
        <v>0</v>
      </c>
      <c r="V195">
        <f t="shared" si="45"/>
        <v>0</v>
      </c>
      <c r="W195">
        <f t="shared" si="45"/>
        <v>0</v>
      </c>
      <c r="X195">
        <f t="shared" si="45"/>
        <v>0</v>
      </c>
      <c r="Y195">
        <f t="shared" si="44"/>
        <v>0</v>
      </c>
      <c r="Z195">
        <f t="shared" si="44"/>
        <v>0</v>
      </c>
      <c r="AA195">
        <f t="shared" si="44"/>
        <v>0</v>
      </c>
      <c r="AB195">
        <f t="shared" si="44"/>
        <v>0</v>
      </c>
      <c r="AC195">
        <f t="shared" si="44"/>
        <v>0</v>
      </c>
      <c r="AD195">
        <f t="shared" si="44"/>
        <v>0</v>
      </c>
      <c r="AE195">
        <f t="shared" si="44"/>
        <v>0</v>
      </c>
      <c r="AF195">
        <f t="shared" si="44"/>
        <v>0</v>
      </c>
      <c r="AG195">
        <f t="shared" si="44"/>
        <v>0</v>
      </c>
      <c r="AH195">
        <f t="shared" si="44"/>
        <v>0</v>
      </c>
      <c r="AI195">
        <f t="shared" si="44"/>
        <v>0</v>
      </c>
      <c r="AJ195">
        <f t="shared" si="44"/>
        <v>0</v>
      </c>
      <c r="AK195">
        <f t="shared" si="44"/>
        <v>0</v>
      </c>
      <c r="AL195">
        <f t="shared" si="44"/>
        <v>0</v>
      </c>
      <c r="AM195">
        <f t="shared" si="44"/>
        <v>0</v>
      </c>
      <c r="AN195">
        <f t="shared" si="43"/>
        <v>0</v>
      </c>
      <c r="AO195">
        <f t="shared" si="43"/>
        <v>0</v>
      </c>
      <c r="AP195">
        <f t="shared" si="43"/>
        <v>0</v>
      </c>
      <c r="AQ195">
        <f t="shared" si="43"/>
        <v>0</v>
      </c>
      <c r="AR195">
        <f t="shared" si="43"/>
        <v>0</v>
      </c>
    </row>
    <row r="196" spans="5:44" x14ac:dyDescent="0.2">
      <c r="E196" s="1">
        <f>moment_rate!$M196</f>
        <v>21.292073366862237</v>
      </c>
      <c r="F196" s="1">
        <f t="shared" si="34"/>
        <v>0.43656731244947267</v>
      </c>
      <c r="G196">
        <f>moment_rate!I196-0.005</f>
        <v>1.8900000000000015</v>
      </c>
      <c r="H196" s="1">
        <f t="shared" si="35"/>
        <v>0</v>
      </c>
      <c r="I196">
        <f t="shared" si="45"/>
        <v>0</v>
      </c>
      <c r="J196">
        <f t="shared" si="45"/>
        <v>0</v>
      </c>
      <c r="K196">
        <f t="shared" si="45"/>
        <v>0</v>
      </c>
      <c r="L196">
        <f t="shared" si="45"/>
        <v>0</v>
      </c>
      <c r="M196">
        <f t="shared" si="45"/>
        <v>0</v>
      </c>
      <c r="N196">
        <f t="shared" si="45"/>
        <v>0</v>
      </c>
      <c r="O196">
        <f t="shared" si="45"/>
        <v>0</v>
      </c>
      <c r="P196">
        <f t="shared" si="45"/>
        <v>0</v>
      </c>
      <c r="Q196">
        <f t="shared" si="45"/>
        <v>0</v>
      </c>
      <c r="R196">
        <f t="shared" si="45"/>
        <v>0</v>
      </c>
      <c r="S196">
        <f t="shared" si="45"/>
        <v>0</v>
      </c>
      <c r="T196">
        <f t="shared" si="45"/>
        <v>0</v>
      </c>
      <c r="U196">
        <f t="shared" si="45"/>
        <v>0</v>
      </c>
      <c r="V196">
        <f t="shared" si="45"/>
        <v>0</v>
      </c>
      <c r="W196">
        <f t="shared" si="45"/>
        <v>0</v>
      </c>
      <c r="X196">
        <f t="shared" si="45"/>
        <v>0</v>
      </c>
      <c r="Y196">
        <f t="shared" si="44"/>
        <v>0</v>
      </c>
      <c r="Z196">
        <f t="shared" si="44"/>
        <v>0</v>
      </c>
      <c r="AA196">
        <f t="shared" si="44"/>
        <v>0</v>
      </c>
      <c r="AB196">
        <f t="shared" si="44"/>
        <v>0</v>
      </c>
      <c r="AC196">
        <f t="shared" si="44"/>
        <v>0</v>
      </c>
      <c r="AD196">
        <f t="shared" si="44"/>
        <v>0</v>
      </c>
      <c r="AE196">
        <f t="shared" si="44"/>
        <v>0</v>
      </c>
      <c r="AF196">
        <f t="shared" si="44"/>
        <v>0</v>
      </c>
      <c r="AG196">
        <f t="shared" si="44"/>
        <v>0</v>
      </c>
      <c r="AH196">
        <f t="shared" si="44"/>
        <v>0</v>
      </c>
      <c r="AI196">
        <f t="shared" si="44"/>
        <v>0</v>
      </c>
      <c r="AJ196">
        <f t="shared" si="44"/>
        <v>0</v>
      </c>
      <c r="AK196">
        <f t="shared" si="44"/>
        <v>0</v>
      </c>
      <c r="AL196">
        <f t="shared" si="44"/>
        <v>0</v>
      </c>
      <c r="AM196">
        <f t="shared" si="44"/>
        <v>0</v>
      </c>
      <c r="AN196">
        <f t="shared" si="43"/>
        <v>0</v>
      </c>
      <c r="AO196">
        <f t="shared" si="43"/>
        <v>0</v>
      </c>
      <c r="AP196">
        <f t="shared" si="43"/>
        <v>0</v>
      </c>
      <c r="AQ196">
        <f t="shared" si="43"/>
        <v>0</v>
      </c>
      <c r="AR196">
        <f t="shared" si="43"/>
        <v>0</v>
      </c>
    </row>
    <row r="197" spans="5:44" x14ac:dyDescent="0.2">
      <c r="E197" s="1">
        <f>moment_rate!$M197</f>
        <v>20.855506054412764</v>
      </c>
      <c r="F197" s="1">
        <f t="shared" si="34"/>
        <v>0.42761331050104801</v>
      </c>
      <c r="G197">
        <f>moment_rate!I197-0.005</f>
        <v>1.9000000000000015</v>
      </c>
      <c r="H197" s="1">
        <f t="shared" si="35"/>
        <v>0</v>
      </c>
      <c r="I197">
        <f t="shared" si="45"/>
        <v>0</v>
      </c>
      <c r="J197">
        <f t="shared" si="45"/>
        <v>0</v>
      </c>
      <c r="K197">
        <f t="shared" si="45"/>
        <v>0</v>
      </c>
      <c r="L197">
        <f t="shared" si="45"/>
        <v>0</v>
      </c>
      <c r="M197">
        <f t="shared" si="45"/>
        <v>0</v>
      </c>
      <c r="N197">
        <f t="shared" si="45"/>
        <v>0</v>
      </c>
      <c r="O197">
        <f t="shared" si="45"/>
        <v>0</v>
      </c>
      <c r="P197">
        <f t="shared" si="45"/>
        <v>0</v>
      </c>
      <c r="Q197">
        <f t="shared" si="45"/>
        <v>0</v>
      </c>
      <c r="R197">
        <f t="shared" si="45"/>
        <v>0</v>
      </c>
      <c r="S197">
        <f t="shared" si="45"/>
        <v>0</v>
      </c>
      <c r="T197">
        <f t="shared" si="45"/>
        <v>0</v>
      </c>
      <c r="U197">
        <f t="shared" si="45"/>
        <v>0</v>
      </c>
      <c r="V197">
        <f t="shared" si="45"/>
        <v>0</v>
      </c>
      <c r="W197">
        <f t="shared" si="45"/>
        <v>0</v>
      </c>
      <c r="X197">
        <f t="shared" si="45"/>
        <v>0</v>
      </c>
      <c r="Y197">
        <f t="shared" si="44"/>
        <v>0</v>
      </c>
      <c r="Z197">
        <f t="shared" si="44"/>
        <v>0</v>
      </c>
      <c r="AA197">
        <f t="shared" si="44"/>
        <v>0</v>
      </c>
      <c r="AB197">
        <f t="shared" si="44"/>
        <v>0</v>
      </c>
      <c r="AC197">
        <f t="shared" si="44"/>
        <v>0</v>
      </c>
      <c r="AD197">
        <f t="shared" si="44"/>
        <v>0</v>
      </c>
      <c r="AE197">
        <f t="shared" si="44"/>
        <v>0</v>
      </c>
      <c r="AF197">
        <f t="shared" si="44"/>
        <v>0</v>
      </c>
      <c r="AG197">
        <f t="shared" si="44"/>
        <v>0</v>
      </c>
      <c r="AH197">
        <f t="shared" si="44"/>
        <v>0</v>
      </c>
      <c r="AI197">
        <f t="shared" si="44"/>
        <v>0</v>
      </c>
      <c r="AJ197">
        <f t="shared" si="44"/>
        <v>0</v>
      </c>
      <c r="AK197">
        <f t="shared" si="44"/>
        <v>0</v>
      </c>
      <c r="AL197">
        <f t="shared" si="44"/>
        <v>0</v>
      </c>
      <c r="AM197">
        <f t="shared" si="44"/>
        <v>0</v>
      </c>
      <c r="AN197">
        <f t="shared" si="43"/>
        <v>0</v>
      </c>
      <c r="AO197">
        <f t="shared" si="43"/>
        <v>0</v>
      </c>
      <c r="AP197">
        <f t="shared" si="43"/>
        <v>0</v>
      </c>
      <c r="AQ197">
        <f t="shared" si="43"/>
        <v>0</v>
      </c>
      <c r="AR197">
        <f t="shared" si="43"/>
        <v>0</v>
      </c>
    </row>
    <row r="198" spans="5:44" x14ac:dyDescent="0.2">
      <c r="E198" s="1">
        <f>moment_rate!$M198</f>
        <v>20.427892743911716</v>
      </c>
      <c r="F198" s="1">
        <f t="shared" si="34"/>
        <v>0.41884295526324067</v>
      </c>
      <c r="G198">
        <f>moment_rate!I198-0.005</f>
        <v>1.9100000000000015</v>
      </c>
      <c r="H198" s="1">
        <f t="shared" si="35"/>
        <v>0</v>
      </c>
      <c r="I198">
        <f t="shared" si="45"/>
        <v>0</v>
      </c>
      <c r="J198">
        <f t="shared" si="45"/>
        <v>0</v>
      </c>
      <c r="K198">
        <f t="shared" si="45"/>
        <v>0</v>
      </c>
      <c r="L198">
        <f t="shared" si="45"/>
        <v>0</v>
      </c>
      <c r="M198">
        <f t="shared" si="45"/>
        <v>0</v>
      </c>
      <c r="N198">
        <f t="shared" si="45"/>
        <v>0</v>
      </c>
      <c r="O198">
        <f t="shared" si="45"/>
        <v>0</v>
      </c>
      <c r="P198">
        <f t="shared" si="45"/>
        <v>0</v>
      </c>
      <c r="Q198">
        <f t="shared" si="45"/>
        <v>0</v>
      </c>
      <c r="R198">
        <f t="shared" si="45"/>
        <v>0</v>
      </c>
      <c r="S198">
        <f t="shared" si="45"/>
        <v>0</v>
      </c>
      <c r="T198">
        <f t="shared" si="45"/>
        <v>0</v>
      </c>
      <c r="U198">
        <f t="shared" si="45"/>
        <v>0</v>
      </c>
      <c r="V198">
        <f t="shared" si="45"/>
        <v>0</v>
      </c>
      <c r="W198">
        <f t="shared" si="45"/>
        <v>0</v>
      </c>
      <c r="X198">
        <f t="shared" si="45"/>
        <v>0</v>
      </c>
      <c r="Y198">
        <f t="shared" si="44"/>
        <v>0</v>
      </c>
      <c r="Z198">
        <f t="shared" si="44"/>
        <v>0</v>
      </c>
      <c r="AA198">
        <f t="shared" si="44"/>
        <v>0</v>
      </c>
      <c r="AB198">
        <f t="shared" si="44"/>
        <v>0</v>
      </c>
      <c r="AC198">
        <f t="shared" si="44"/>
        <v>0</v>
      </c>
      <c r="AD198">
        <f t="shared" si="44"/>
        <v>0</v>
      </c>
      <c r="AE198">
        <f t="shared" si="44"/>
        <v>0</v>
      </c>
      <c r="AF198">
        <f t="shared" si="44"/>
        <v>0</v>
      </c>
      <c r="AG198">
        <f t="shared" si="44"/>
        <v>0</v>
      </c>
      <c r="AH198">
        <f t="shared" si="44"/>
        <v>0</v>
      </c>
      <c r="AI198">
        <f t="shared" si="44"/>
        <v>0</v>
      </c>
      <c r="AJ198">
        <f t="shared" si="44"/>
        <v>0</v>
      </c>
      <c r="AK198">
        <f t="shared" si="44"/>
        <v>0</v>
      </c>
      <c r="AL198">
        <f t="shared" si="44"/>
        <v>0</v>
      </c>
      <c r="AM198">
        <f t="shared" si="44"/>
        <v>0</v>
      </c>
      <c r="AN198">
        <f t="shared" si="43"/>
        <v>0</v>
      </c>
      <c r="AO198">
        <f t="shared" si="43"/>
        <v>0</v>
      </c>
      <c r="AP198">
        <f t="shared" si="43"/>
        <v>0</v>
      </c>
      <c r="AQ198">
        <f t="shared" si="43"/>
        <v>0</v>
      </c>
      <c r="AR198">
        <f t="shared" si="43"/>
        <v>0</v>
      </c>
    </row>
    <row r="199" spans="5:44" x14ac:dyDescent="0.2">
      <c r="E199" s="1">
        <f>moment_rate!$M199</f>
        <v>20.009049788648475</v>
      </c>
      <c r="F199" s="1">
        <f t="shared" si="34"/>
        <v>0.41025248013932369</v>
      </c>
      <c r="G199">
        <f>moment_rate!I199-0.005</f>
        <v>1.9200000000000015</v>
      </c>
      <c r="H199" s="1">
        <f t="shared" si="35"/>
        <v>0</v>
      </c>
      <c r="I199">
        <f t="shared" si="45"/>
        <v>0</v>
      </c>
      <c r="J199">
        <f t="shared" si="45"/>
        <v>0</v>
      </c>
      <c r="K199">
        <f t="shared" si="45"/>
        <v>0</v>
      </c>
      <c r="L199">
        <f t="shared" si="45"/>
        <v>0</v>
      </c>
      <c r="M199">
        <f t="shared" si="45"/>
        <v>0</v>
      </c>
      <c r="N199">
        <f t="shared" si="45"/>
        <v>0</v>
      </c>
      <c r="O199">
        <f t="shared" si="45"/>
        <v>0</v>
      </c>
      <c r="P199">
        <f t="shared" si="45"/>
        <v>0</v>
      </c>
      <c r="Q199">
        <f t="shared" si="45"/>
        <v>0</v>
      </c>
      <c r="R199">
        <f t="shared" si="45"/>
        <v>0</v>
      </c>
      <c r="S199">
        <f t="shared" si="45"/>
        <v>0</v>
      </c>
      <c r="T199">
        <f t="shared" si="45"/>
        <v>0</v>
      </c>
      <c r="U199">
        <f t="shared" si="45"/>
        <v>0</v>
      </c>
      <c r="V199">
        <f t="shared" si="45"/>
        <v>0</v>
      </c>
      <c r="W199">
        <f t="shared" si="45"/>
        <v>0</v>
      </c>
      <c r="X199">
        <f t="shared" si="45"/>
        <v>0</v>
      </c>
      <c r="Y199">
        <f t="shared" si="44"/>
        <v>0</v>
      </c>
      <c r="Z199">
        <f t="shared" si="44"/>
        <v>0</v>
      </c>
      <c r="AA199">
        <f t="shared" si="44"/>
        <v>0</v>
      </c>
      <c r="AB199">
        <f t="shared" si="44"/>
        <v>0</v>
      </c>
      <c r="AC199">
        <f t="shared" si="44"/>
        <v>0</v>
      </c>
      <c r="AD199">
        <f t="shared" si="44"/>
        <v>0</v>
      </c>
      <c r="AE199">
        <f t="shared" si="44"/>
        <v>0</v>
      </c>
      <c r="AF199">
        <f t="shared" si="44"/>
        <v>0</v>
      </c>
      <c r="AG199">
        <f t="shared" si="44"/>
        <v>0</v>
      </c>
      <c r="AH199">
        <f t="shared" si="44"/>
        <v>0</v>
      </c>
      <c r="AI199">
        <f t="shared" si="44"/>
        <v>0</v>
      </c>
      <c r="AJ199">
        <f t="shared" si="44"/>
        <v>0</v>
      </c>
      <c r="AK199">
        <f t="shared" si="44"/>
        <v>0</v>
      </c>
      <c r="AL199">
        <f t="shared" si="44"/>
        <v>0</v>
      </c>
      <c r="AM199">
        <f t="shared" si="44"/>
        <v>0</v>
      </c>
      <c r="AN199">
        <f t="shared" ref="AN199:AR214" si="46">IF(AND($G199&gt;=AN$3,$G199&lt;AN$4),$F199,0)</f>
        <v>0</v>
      </c>
      <c r="AO199">
        <f t="shared" si="46"/>
        <v>0</v>
      </c>
      <c r="AP199">
        <f t="shared" si="46"/>
        <v>0</v>
      </c>
      <c r="AQ199">
        <f t="shared" si="46"/>
        <v>0</v>
      </c>
      <c r="AR199">
        <f t="shared" si="46"/>
        <v>0</v>
      </c>
    </row>
    <row r="200" spans="5:44" x14ac:dyDescent="0.2">
      <c r="E200" s="1">
        <f>moment_rate!$M200</f>
        <v>19.598797308509152</v>
      </c>
      <c r="F200" s="1">
        <f t="shared" ref="F200:F263" si="47">E200-E201</f>
        <v>0.40183819578555102</v>
      </c>
      <c r="G200">
        <f>moment_rate!I200-0.005</f>
        <v>1.9300000000000015</v>
      </c>
      <c r="H200" s="1">
        <f t="shared" ref="H200:H263" si="48">IF($G200&gt;=4.999,(E200-E201),0)</f>
        <v>0</v>
      </c>
      <c r="I200">
        <f t="shared" si="45"/>
        <v>0</v>
      </c>
      <c r="J200">
        <f t="shared" si="45"/>
        <v>0</v>
      </c>
      <c r="K200">
        <f t="shared" si="45"/>
        <v>0</v>
      </c>
      <c r="L200">
        <f t="shared" si="45"/>
        <v>0</v>
      </c>
      <c r="M200">
        <f t="shared" si="45"/>
        <v>0</v>
      </c>
      <c r="N200">
        <f t="shared" si="45"/>
        <v>0</v>
      </c>
      <c r="O200">
        <f t="shared" si="45"/>
        <v>0</v>
      </c>
      <c r="P200">
        <f t="shared" si="45"/>
        <v>0</v>
      </c>
      <c r="Q200">
        <f t="shared" si="45"/>
        <v>0</v>
      </c>
      <c r="R200">
        <f t="shared" si="45"/>
        <v>0</v>
      </c>
      <c r="S200">
        <f t="shared" si="45"/>
        <v>0</v>
      </c>
      <c r="T200">
        <f t="shared" si="45"/>
        <v>0</v>
      </c>
      <c r="U200">
        <f t="shared" si="45"/>
        <v>0</v>
      </c>
      <c r="V200">
        <f t="shared" si="45"/>
        <v>0</v>
      </c>
      <c r="W200">
        <f t="shared" si="45"/>
        <v>0</v>
      </c>
      <c r="X200">
        <f t="shared" si="45"/>
        <v>0</v>
      </c>
      <c r="Y200">
        <f t="shared" si="44"/>
        <v>0</v>
      </c>
      <c r="Z200">
        <f t="shared" si="44"/>
        <v>0</v>
      </c>
      <c r="AA200">
        <f t="shared" si="44"/>
        <v>0</v>
      </c>
      <c r="AB200">
        <f t="shared" si="44"/>
        <v>0</v>
      </c>
      <c r="AC200">
        <f t="shared" si="44"/>
        <v>0</v>
      </c>
      <c r="AD200">
        <f t="shared" si="44"/>
        <v>0</v>
      </c>
      <c r="AE200">
        <f t="shared" si="44"/>
        <v>0</v>
      </c>
      <c r="AF200">
        <f t="shared" si="44"/>
        <v>0</v>
      </c>
      <c r="AG200">
        <f t="shared" si="44"/>
        <v>0</v>
      </c>
      <c r="AH200">
        <f t="shared" si="44"/>
        <v>0</v>
      </c>
      <c r="AI200">
        <f t="shared" si="44"/>
        <v>0</v>
      </c>
      <c r="AJ200">
        <f t="shared" si="44"/>
        <v>0</v>
      </c>
      <c r="AK200">
        <f t="shared" si="44"/>
        <v>0</v>
      </c>
      <c r="AL200">
        <f t="shared" si="44"/>
        <v>0</v>
      </c>
      <c r="AM200">
        <f t="shared" si="44"/>
        <v>0</v>
      </c>
      <c r="AN200">
        <f t="shared" si="46"/>
        <v>0</v>
      </c>
      <c r="AO200">
        <f t="shared" si="46"/>
        <v>0</v>
      </c>
      <c r="AP200">
        <f t="shared" si="46"/>
        <v>0</v>
      </c>
      <c r="AQ200">
        <f t="shared" si="46"/>
        <v>0</v>
      </c>
      <c r="AR200">
        <f t="shared" si="46"/>
        <v>0</v>
      </c>
    </row>
    <row r="201" spans="5:44" x14ac:dyDescent="0.2">
      <c r="E201" s="1">
        <f>moment_rate!$M201</f>
        <v>19.196959112723601</v>
      </c>
      <c r="F201" s="1">
        <f t="shared" si="47"/>
        <v>0.39359648852664364</v>
      </c>
      <c r="G201">
        <f>moment_rate!I201-0.005</f>
        <v>1.9400000000000015</v>
      </c>
      <c r="H201" s="1">
        <f t="shared" si="48"/>
        <v>0</v>
      </c>
      <c r="I201">
        <f t="shared" si="45"/>
        <v>0</v>
      </c>
      <c r="J201">
        <f t="shared" si="45"/>
        <v>0</v>
      </c>
      <c r="K201">
        <f t="shared" si="45"/>
        <v>0</v>
      </c>
      <c r="L201">
        <f t="shared" si="45"/>
        <v>0</v>
      </c>
      <c r="M201">
        <f t="shared" si="45"/>
        <v>0</v>
      </c>
      <c r="N201">
        <f t="shared" si="45"/>
        <v>0</v>
      </c>
      <c r="O201">
        <f t="shared" si="45"/>
        <v>0</v>
      </c>
      <c r="P201">
        <f t="shared" si="45"/>
        <v>0</v>
      </c>
      <c r="Q201">
        <f t="shared" si="45"/>
        <v>0</v>
      </c>
      <c r="R201">
        <f t="shared" si="45"/>
        <v>0</v>
      </c>
      <c r="S201">
        <f t="shared" si="45"/>
        <v>0</v>
      </c>
      <c r="T201">
        <f t="shared" si="45"/>
        <v>0</v>
      </c>
      <c r="U201">
        <f t="shared" si="45"/>
        <v>0</v>
      </c>
      <c r="V201">
        <f t="shared" si="45"/>
        <v>0</v>
      </c>
      <c r="W201">
        <f t="shared" si="45"/>
        <v>0</v>
      </c>
      <c r="X201">
        <f t="shared" si="45"/>
        <v>0</v>
      </c>
      <c r="Y201">
        <f t="shared" si="44"/>
        <v>0</v>
      </c>
      <c r="Z201">
        <f t="shared" si="44"/>
        <v>0</v>
      </c>
      <c r="AA201">
        <f t="shared" si="44"/>
        <v>0</v>
      </c>
      <c r="AB201">
        <f t="shared" si="44"/>
        <v>0</v>
      </c>
      <c r="AC201">
        <f t="shared" si="44"/>
        <v>0</v>
      </c>
      <c r="AD201">
        <f t="shared" si="44"/>
        <v>0</v>
      </c>
      <c r="AE201">
        <f t="shared" si="44"/>
        <v>0</v>
      </c>
      <c r="AF201">
        <f t="shared" si="44"/>
        <v>0</v>
      </c>
      <c r="AG201">
        <f t="shared" si="44"/>
        <v>0</v>
      </c>
      <c r="AH201">
        <f t="shared" si="44"/>
        <v>0</v>
      </c>
      <c r="AI201">
        <f t="shared" si="44"/>
        <v>0</v>
      </c>
      <c r="AJ201">
        <f t="shared" si="44"/>
        <v>0</v>
      </c>
      <c r="AK201">
        <f t="shared" si="44"/>
        <v>0</v>
      </c>
      <c r="AL201">
        <f t="shared" si="44"/>
        <v>0</v>
      </c>
      <c r="AM201">
        <f t="shared" si="44"/>
        <v>0</v>
      </c>
      <c r="AN201">
        <f t="shared" si="46"/>
        <v>0</v>
      </c>
      <c r="AO201">
        <f t="shared" si="46"/>
        <v>0</v>
      </c>
      <c r="AP201">
        <f t="shared" si="46"/>
        <v>0</v>
      </c>
      <c r="AQ201">
        <f t="shared" si="46"/>
        <v>0</v>
      </c>
      <c r="AR201">
        <f t="shared" si="46"/>
        <v>0</v>
      </c>
    </row>
    <row r="202" spans="5:44" x14ac:dyDescent="0.2">
      <c r="E202" s="1">
        <f>moment_rate!$M202</f>
        <v>18.803362624196957</v>
      </c>
      <c r="F202" s="1">
        <f t="shared" si="47"/>
        <v>0.38552381880388253</v>
      </c>
      <c r="G202">
        <f>moment_rate!I202-0.005</f>
        <v>1.9500000000000015</v>
      </c>
      <c r="H202" s="1">
        <f t="shared" si="48"/>
        <v>0</v>
      </c>
      <c r="I202">
        <f t="shared" si="45"/>
        <v>0</v>
      </c>
      <c r="J202">
        <f t="shared" si="45"/>
        <v>0</v>
      </c>
      <c r="K202">
        <f t="shared" si="45"/>
        <v>0</v>
      </c>
      <c r="L202">
        <f t="shared" si="45"/>
        <v>0</v>
      </c>
      <c r="M202">
        <f t="shared" si="45"/>
        <v>0</v>
      </c>
      <c r="N202">
        <f t="shared" si="45"/>
        <v>0</v>
      </c>
      <c r="O202">
        <f t="shared" si="45"/>
        <v>0</v>
      </c>
      <c r="P202">
        <f t="shared" si="45"/>
        <v>0</v>
      </c>
      <c r="Q202">
        <f t="shared" si="45"/>
        <v>0</v>
      </c>
      <c r="R202">
        <f t="shared" si="45"/>
        <v>0</v>
      </c>
      <c r="S202">
        <f t="shared" si="45"/>
        <v>0</v>
      </c>
      <c r="T202">
        <f t="shared" si="45"/>
        <v>0</v>
      </c>
      <c r="U202">
        <f t="shared" si="45"/>
        <v>0</v>
      </c>
      <c r="V202">
        <f t="shared" si="45"/>
        <v>0</v>
      </c>
      <c r="W202">
        <f t="shared" si="45"/>
        <v>0</v>
      </c>
      <c r="X202">
        <f t="shared" si="45"/>
        <v>0</v>
      </c>
      <c r="Y202">
        <f t="shared" si="44"/>
        <v>0</v>
      </c>
      <c r="Z202">
        <f t="shared" si="44"/>
        <v>0</v>
      </c>
      <c r="AA202">
        <f t="shared" si="44"/>
        <v>0</v>
      </c>
      <c r="AB202">
        <f t="shared" si="44"/>
        <v>0</v>
      </c>
      <c r="AC202">
        <f t="shared" si="44"/>
        <v>0</v>
      </c>
      <c r="AD202">
        <f t="shared" si="44"/>
        <v>0</v>
      </c>
      <c r="AE202">
        <f t="shared" si="44"/>
        <v>0</v>
      </c>
      <c r="AF202">
        <f t="shared" si="44"/>
        <v>0</v>
      </c>
      <c r="AG202">
        <f t="shared" si="44"/>
        <v>0</v>
      </c>
      <c r="AH202">
        <f t="shared" si="44"/>
        <v>0</v>
      </c>
      <c r="AI202">
        <f t="shared" si="44"/>
        <v>0</v>
      </c>
      <c r="AJ202">
        <f t="shared" si="44"/>
        <v>0</v>
      </c>
      <c r="AK202">
        <f t="shared" si="44"/>
        <v>0</v>
      </c>
      <c r="AL202">
        <f t="shared" si="44"/>
        <v>0</v>
      </c>
      <c r="AM202">
        <f t="shared" si="44"/>
        <v>0</v>
      </c>
      <c r="AN202">
        <f t="shared" si="46"/>
        <v>0</v>
      </c>
      <c r="AO202">
        <f t="shared" si="46"/>
        <v>0</v>
      </c>
      <c r="AP202">
        <f t="shared" si="46"/>
        <v>0</v>
      </c>
      <c r="AQ202">
        <f t="shared" si="46"/>
        <v>0</v>
      </c>
      <c r="AR202">
        <f t="shared" si="46"/>
        <v>0</v>
      </c>
    </row>
    <row r="203" spans="5:44" x14ac:dyDescent="0.2">
      <c r="E203" s="1">
        <f>moment_rate!$M203</f>
        <v>18.417838805393075</v>
      </c>
      <c r="F203" s="1">
        <f t="shared" si="47"/>
        <v>0.37761671965492027</v>
      </c>
      <c r="G203">
        <f>moment_rate!I203-0.005</f>
        <v>1.9600000000000015</v>
      </c>
      <c r="H203" s="1">
        <f t="shared" si="48"/>
        <v>0</v>
      </c>
      <c r="I203">
        <f t="shared" si="45"/>
        <v>0</v>
      </c>
      <c r="J203">
        <f t="shared" si="45"/>
        <v>0</v>
      </c>
      <c r="K203">
        <f t="shared" si="45"/>
        <v>0</v>
      </c>
      <c r="L203">
        <f t="shared" si="45"/>
        <v>0</v>
      </c>
      <c r="M203">
        <f t="shared" si="45"/>
        <v>0</v>
      </c>
      <c r="N203">
        <f t="shared" si="45"/>
        <v>0</v>
      </c>
      <c r="O203">
        <f t="shared" si="45"/>
        <v>0</v>
      </c>
      <c r="P203">
        <f t="shared" si="45"/>
        <v>0</v>
      </c>
      <c r="Q203">
        <f t="shared" si="45"/>
        <v>0</v>
      </c>
      <c r="R203">
        <f t="shared" si="45"/>
        <v>0</v>
      </c>
      <c r="S203">
        <f t="shared" si="45"/>
        <v>0</v>
      </c>
      <c r="T203">
        <f t="shared" si="45"/>
        <v>0</v>
      </c>
      <c r="U203">
        <f t="shared" si="45"/>
        <v>0</v>
      </c>
      <c r="V203">
        <f t="shared" si="45"/>
        <v>0</v>
      </c>
      <c r="W203">
        <f t="shared" si="45"/>
        <v>0</v>
      </c>
      <c r="X203">
        <f t="shared" si="45"/>
        <v>0</v>
      </c>
      <c r="Y203">
        <f t="shared" si="44"/>
        <v>0</v>
      </c>
      <c r="Z203">
        <f t="shared" si="44"/>
        <v>0</v>
      </c>
      <c r="AA203">
        <f t="shared" si="44"/>
        <v>0</v>
      </c>
      <c r="AB203">
        <f t="shared" si="44"/>
        <v>0</v>
      </c>
      <c r="AC203">
        <f t="shared" si="44"/>
        <v>0</v>
      </c>
      <c r="AD203">
        <f t="shared" si="44"/>
        <v>0</v>
      </c>
      <c r="AE203">
        <f t="shared" si="44"/>
        <v>0</v>
      </c>
      <c r="AF203">
        <f t="shared" si="44"/>
        <v>0</v>
      </c>
      <c r="AG203">
        <f t="shared" si="44"/>
        <v>0</v>
      </c>
      <c r="AH203">
        <f t="shared" si="44"/>
        <v>0</v>
      </c>
      <c r="AI203">
        <f t="shared" si="44"/>
        <v>0</v>
      </c>
      <c r="AJ203">
        <f t="shared" si="44"/>
        <v>0</v>
      </c>
      <c r="AK203">
        <f t="shared" si="44"/>
        <v>0</v>
      </c>
      <c r="AL203">
        <f t="shared" si="44"/>
        <v>0</v>
      </c>
      <c r="AM203">
        <f t="shared" si="44"/>
        <v>0</v>
      </c>
      <c r="AN203">
        <f t="shared" si="46"/>
        <v>0</v>
      </c>
      <c r="AO203">
        <f t="shared" si="46"/>
        <v>0</v>
      </c>
      <c r="AP203">
        <f t="shared" si="46"/>
        <v>0</v>
      </c>
      <c r="AQ203">
        <f t="shared" si="46"/>
        <v>0</v>
      </c>
      <c r="AR203">
        <f t="shared" si="46"/>
        <v>0</v>
      </c>
    </row>
    <row r="204" spans="5:44" x14ac:dyDescent="0.2">
      <c r="E204" s="1">
        <f>moment_rate!$M204</f>
        <v>18.040222085738154</v>
      </c>
      <c r="F204" s="1">
        <f t="shared" si="47"/>
        <v>0.36987179522487779</v>
      </c>
      <c r="G204">
        <f>moment_rate!I204-0.005</f>
        <v>1.9700000000000015</v>
      </c>
      <c r="H204" s="1">
        <f t="shared" si="48"/>
        <v>0</v>
      </c>
      <c r="I204">
        <f t="shared" si="45"/>
        <v>0</v>
      </c>
      <c r="J204">
        <f t="shared" si="45"/>
        <v>0</v>
      </c>
      <c r="K204">
        <f t="shared" si="45"/>
        <v>0</v>
      </c>
      <c r="L204">
        <f t="shared" si="45"/>
        <v>0</v>
      </c>
      <c r="M204">
        <f t="shared" si="45"/>
        <v>0</v>
      </c>
      <c r="N204">
        <f t="shared" si="45"/>
        <v>0</v>
      </c>
      <c r="O204">
        <f t="shared" si="45"/>
        <v>0</v>
      </c>
      <c r="P204">
        <f t="shared" si="45"/>
        <v>0</v>
      </c>
      <c r="Q204">
        <f t="shared" si="45"/>
        <v>0</v>
      </c>
      <c r="R204">
        <f t="shared" si="45"/>
        <v>0</v>
      </c>
      <c r="S204">
        <f t="shared" si="45"/>
        <v>0</v>
      </c>
      <c r="T204">
        <f t="shared" si="45"/>
        <v>0</v>
      </c>
      <c r="U204">
        <f t="shared" si="45"/>
        <v>0</v>
      </c>
      <c r="V204">
        <f t="shared" si="45"/>
        <v>0</v>
      </c>
      <c r="W204">
        <f t="shared" si="45"/>
        <v>0</v>
      </c>
      <c r="X204">
        <f t="shared" si="45"/>
        <v>0</v>
      </c>
      <c r="Y204">
        <f t="shared" si="44"/>
        <v>0</v>
      </c>
      <c r="Z204">
        <f t="shared" si="44"/>
        <v>0</v>
      </c>
      <c r="AA204">
        <f t="shared" si="44"/>
        <v>0</v>
      </c>
      <c r="AB204">
        <f t="shared" si="44"/>
        <v>0</v>
      </c>
      <c r="AC204">
        <f t="shared" si="44"/>
        <v>0</v>
      </c>
      <c r="AD204">
        <f t="shared" si="44"/>
        <v>0</v>
      </c>
      <c r="AE204">
        <f t="shared" si="44"/>
        <v>0</v>
      </c>
      <c r="AF204">
        <f t="shared" si="44"/>
        <v>0</v>
      </c>
      <c r="AG204">
        <f t="shared" si="44"/>
        <v>0</v>
      </c>
      <c r="AH204">
        <f t="shared" si="44"/>
        <v>0</v>
      </c>
      <c r="AI204">
        <f t="shared" si="44"/>
        <v>0</v>
      </c>
      <c r="AJ204">
        <f t="shared" si="44"/>
        <v>0</v>
      </c>
      <c r="AK204">
        <f t="shared" si="44"/>
        <v>0</v>
      </c>
      <c r="AL204">
        <f t="shared" si="44"/>
        <v>0</v>
      </c>
      <c r="AM204">
        <f t="shared" si="44"/>
        <v>0</v>
      </c>
      <c r="AN204">
        <f t="shared" si="46"/>
        <v>0</v>
      </c>
      <c r="AO204">
        <f t="shared" si="46"/>
        <v>0</v>
      </c>
      <c r="AP204">
        <f t="shared" si="46"/>
        <v>0</v>
      </c>
      <c r="AQ204">
        <f t="shared" si="46"/>
        <v>0</v>
      </c>
      <c r="AR204">
        <f t="shared" si="46"/>
        <v>0</v>
      </c>
    </row>
    <row r="205" spans="5:44" x14ac:dyDescent="0.2">
      <c r="E205" s="1">
        <f>moment_rate!$M205</f>
        <v>17.670350290513277</v>
      </c>
      <c r="F205" s="1">
        <f t="shared" si="47"/>
        <v>0.3622857193079021</v>
      </c>
      <c r="G205">
        <f>moment_rate!I205-0.005</f>
        <v>1.9800000000000015</v>
      </c>
      <c r="H205" s="1">
        <f t="shared" si="48"/>
        <v>0</v>
      </c>
      <c r="I205">
        <f t="shared" si="45"/>
        <v>0</v>
      </c>
      <c r="J205">
        <f t="shared" si="45"/>
        <v>0</v>
      </c>
      <c r="K205">
        <f t="shared" si="45"/>
        <v>0</v>
      </c>
      <c r="L205">
        <f t="shared" si="45"/>
        <v>0</v>
      </c>
      <c r="M205">
        <f t="shared" si="45"/>
        <v>0</v>
      </c>
      <c r="N205">
        <f t="shared" si="45"/>
        <v>0</v>
      </c>
      <c r="O205">
        <f t="shared" si="45"/>
        <v>0</v>
      </c>
      <c r="P205">
        <f t="shared" si="45"/>
        <v>0</v>
      </c>
      <c r="Q205">
        <f t="shared" si="45"/>
        <v>0</v>
      </c>
      <c r="R205">
        <f t="shared" si="45"/>
        <v>0</v>
      </c>
      <c r="S205">
        <f t="shared" si="45"/>
        <v>0</v>
      </c>
      <c r="T205">
        <f t="shared" si="45"/>
        <v>0</v>
      </c>
      <c r="U205">
        <f t="shared" si="45"/>
        <v>0</v>
      </c>
      <c r="V205">
        <f t="shared" si="45"/>
        <v>0</v>
      </c>
      <c r="W205">
        <f t="shared" si="45"/>
        <v>0</v>
      </c>
      <c r="X205">
        <f t="shared" si="45"/>
        <v>0</v>
      </c>
      <c r="Y205">
        <f t="shared" si="44"/>
        <v>0</v>
      </c>
      <c r="Z205">
        <f t="shared" si="44"/>
        <v>0</v>
      </c>
      <c r="AA205">
        <f t="shared" si="44"/>
        <v>0</v>
      </c>
      <c r="AB205">
        <f t="shared" si="44"/>
        <v>0</v>
      </c>
      <c r="AC205">
        <f t="shared" si="44"/>
        <v>0</v>
      </c>
      <c r="AD205">
        <f t="shared" si="44"/>
        <v>0</v>
      </c>
      <c r="AE205">
        <f t="shared" si="44"/>
        <v>0</v>
      </c>
      <c r="AF205">
        <f t="shared" si="44"/>
        <v>0</v>
      </c>
      <c r="AG205">
        <f t="shared" si="44"/>
        <v>0</v>
      </c>
      <c r="AH205">
        <f t="shared" si="44"/>
        <v>0</v>
      </c>
      <c r="AI205">
        <f t="shared" si="44"/>
        <v>0</v>
      </c>
      <c r="AJ205">
        <f t="shared" si="44"/>
        <v>0</v>
      </c>
      <c r="AK205">
        <f t="shared" si="44"/>
        <v>0</v>
      </c>
      <c r="AL205">
        <f t="shared" si="44"/>
        <v>0</v>
      </c>
      <c r="AM205">
        <f t="shared" si="44"/>
        <v>0</v>
      </c>
      <c r="AN205">
        <f t="shared" si="46"/>
        <v>0</v>
      </c>
      <c r="AO205">
        <f t="shared" si="46"/>
        <v>0</v>
      </c>
      <c r="AP205">
        <f t="shared" si="46"/>
        <v>0</v>
      </c>
      <c r="AQ205">
        <f t="shared" si="46"/>
        <v>0</v>
      </c>
      <c r="AR205">
        <f t="shared" si="46"/>
        <v>0</v>
      </c>
    </row>
    <row r="206" spans="5:44" x14ac:dyDescent="0.2">
      <c r="E206" s="1">
        <f>moment_rate!$M206</f>
        <v>17.308064571205374</v>
      </c>
      <c r="F206" s="1">
        <f t="shared" si="47"/>
        <v>0.35485523391868057</v>
      </c>
      <c r="G206">
        <f>moment_rate!I206-0.005</f>
        <v>1.9900000000000015</v>
      </c>
      <c r="H206" s="1">
        <f t="shared" si="48"/>
        <v>0</v>
      </c>
      <c r="I206">
        <f t="shared" si="45"/>
        <v>0</v>
      </c>
      <c r="J206">
        <f t="shared" si="45"/>
        <v>0</v>
      </c>
      <c r="K206">
        <f t="shared" si="45"/>
        <v>0</v>
      </c>
      <c r="L206">
        <f t="shared" si="45"/>
        <v>0</v>
      </c>
      <c r="M206">
        <f t="shared" si="45"/>
        <v>0</v>
      </c>
      <c r="N206">
        <f t="shared" si="45"/>
        <v>0</v>
      </c>
      <c r="O206">
        <f t="shared" si="45"/>
        <v>0</v>
      </c>
      <c r="P206">
        <f t="shared" si="45"/>
        <v>0</v>
      </c>
      <c r="Q206">
        <f t="shared" si="45"/>
        <v>0</v>
      </c>
      <c r="R206">
        <f t="shared" si="45"/>
        <v>0</v>
      </c>
      <c r="S206">
        <f t="shared" si="45"/>
        <v>0</v>
      </c>
      <c r="T206">
        <f t="shared" si="45"/>
        <v>0</v>
      </c>
      <c r="U206">
        <f t="shared" si="45"/>
        <v>0</v>
      </c>
      <c r="V206">
        <f t="shared" si="45"/>
        <v>0</v>
      </c>
      <c r="W206">
        <f t="shared" si="45"/>
        <v>0</v>
      </c>
      <c r="X206">
        <f t="shared" ref="X206:AM225" si="49">IF(AND($G206&gt;=X$3,$G206&lt;X$4),$F206,0)</f>
        <v>0</v>
      </c>
      <c r="Y206">
        <f t="shared" si="49"/>
        <v>0</v>
      </c>
      <c r="Z206">
        <f t="shared" si="49"/>
        <v>0</v>
      </c>
      <c r="AA206">
        <f t="shared" si="49"/>
        <v>0</v>
      </c>
      <c r="AB206">
        <f t="shared" si="49"/>
        <v>0</v>
      </c>
      <c r="AC206">
        <f t="shared" si="49"/>
        <v>0</v>
      </c>
      <c r="AD206">
        <f t="shared" si="49"/>
        <v>0</v>
      </c>
      <c r="AE206">
        <f t="shared" si="49"/>
        <v>0</v>
      </c>
      <c r="AF206">
        <f t="shared" si="49"/>
        <v>0</v>
      </c>
      <c r="AG206">
        <f t="shared" si="49"/>
        <v>0</v>
      </c>
      <c r="AH206">
        <f t="shared" si="49"/>
        <v>0</v>
      </c>
      <c r="AI206">
        <f t="shared" si="49"/>
        <v>0</v>
      </c>
      <c r="AJ206">
        <f t="shared" si="49"/>
        <v>0</v>
      </c>
      <c r="AK206">
        <f t="shared" si="49"/>
        <v>0</v>
      </c>
      <c r="AL206">
        <f t="shared" si="49"/>
        <v>0</v>
      </c>
      <c r="AM206">
        <f t="shared" si="49"/>
        <v>0</v>
      </c>
      <c r="AN206">
        <f t="shared" si="46"/>
        <v>0</v>
      </c>
      <c r="AO206">
        <f t="shared" si="46"/>
        <v>0</v>
      </c>
      <c r="AP206">
        <f t="shared" si="46"/>
        <v>0</v>
      </c>
      <c r="AQ206">
        <f t="shared" si="46"/>
        <v>0</v>
      </c>
      <c r="AR206">
        <f t="shared" si="46"/>
        <v>0</v>
      </c>
    </row>
    <row r="207" spans="5:44" x14ac:dyDescent="0.2">
      <c r="E207" s="1">
        <f>moment_rate!$M207</f>
        <v>16.953209337286694</v>
      </c>
      <c r="F207" s="1">
        <f t="shared" si="47"/>
        <v>0.34757714789320815</v>
      </c>
      <c r="G207">
        <f>moment_rate!I207-0.005</f>
        <v>2.0000000000000013</v>
      </c>
      <c r="H207" s="1">
        <f t="shared" si="48"/>
        <v>0</v>
      </c>
      <c r="I207">
        <f t="shared" ref="I207:X222" si="50">IF(AND($G207&gt;=I$3,$G207&lt;I$4),$F207,0)</f>
        <v>0</v>
      </c>
      <c r="J207">
        <f t="shared" si="50"/>
        <v>0</v>
      </c>
      <c r="K207">
        <f t="shared" si="50"/>
        <v>0</v>
      </c>
      <c r="L207">
        <f t="shared" si="50"/>
        <v>0</v>
      </c>
      <c r="M207">
        <f t="shared" si="50"/>
        <v>0</v>
      </c>
      <c r="N207">
        <f t="shared" si="50"/>
        <v>0</v>
      </c>
      <c r="O207">
        <f t="shared" si="50"/>
        <v>0</v>
      </c>
      <c r="P207">
        <f t="shared" si="50"/>
        <v>0</v>
      </c>
      <c r="Q207">
        <f t="shared" si="50"/>
        <v>0</v>
      </c>
      <c r="R207">
        <f t="shared" si="50"/>
        <v>0</v>
      </c>
      <c r="S207">
        <f t="shared" si="50"/>
        <v>0</v>
      </c>
      <c r="T207">
        <f t="shared" si="50"/>
        <v>0</v>
      </c>
      <c r="U207">
        <f t="shared" si="50"/>
        <v>0</v>
      </c>
      <c r="V207">
        <f t="shared" si="50"/>
        <v>0</v>
      </c>
      <c r="W207">
        <f t="shared" si="50"/>
        <v>0</v>
      </c>
      <c r="X207">
        <f t="shared" si="50"/>
        <v>0</v>
      </c>
      <c r="Y207">
        <f t="shared" si="49"/>
        <v>0</v>
      </c>
      <c r="Z207">
        <f t="shared" si="49"/>
        <v>0</v>
      </c>
      <c r="AA207">
        <f t="shared" si="49"/>
        <v>0</v>
      </c>
      <c r="AB207">
        <f t="shared" si="49"/>
        <v>0</v>
      </c>
      <c r="AC207">
        <f t="shared" si="49"/>
        <v>0</v>
      </c>
      <c r="AD207">
        <f t="shared" si="49"/>
        <v>0</v>
      </c>
      <c r="AE207">
        <f t="shared" si="49"/>
        <v>0</v>
      </c>
      <c r="AF207">
        <f t="shared" si="49"/>
        <v>0</v>
      </c>
      <c r="AG207">
        <f t="shared" si="49"/>
        <v>0</v>
      </c>
      <c r="AH207">
        <f t="shared" si="49"/>
        <v>0</v>
      </c>
      <c r="AI207">
        <f t="shared" si="49"/>
        <v>0</v>
      </c>
      <c r="AJ207">
        <f t="shared" si="49"/>
        <v>0</v>
      </c>
      <c r="AK207">
        <f t="shared" si="49"/>
        <v>0</v>
      </c>
      <c r="AL207">
        <f t="shared" si="49"/>
        <v>0</v>
      </c>
      <c r="AM207">
        <f t="shared" si="49"/>
        <v>0</v>
      </c>
      <c r="AN207">
        <f t="shared" si="46"/>
        <v>0</v>
      </c>
      <c r="AO207">
        <f t="shared" si="46"/>
        <v>0</v>
      </c>
      <c r="AP207">
        <f t="shared" si="46"/>
        <v>0</v>
      </c>
      <c r="AQ207">
        <f t="shared" si="46"/>
        <v>0</v>
      </c>
      <c r="AR207">
        <f t="shared" si="46"/>
        <v>0</v>
      </c>
    </row>
    <row r="208" spans="5:44" x14ac:dyDescent="0.2">
      <c r="E208" s="1">
        <f>moment_rate!$M208</f>
        <v>16.605632189393486</v>
      </c>
      <c r="F208" s="1">
        <f t="shared" si="47"/>
        <v>0.34044833551831388</v>
      </c>
      <c r="G208">
        <f>moment_rate!I208-0.005</f>
        <v>2.0100000000000011</v>
      </c>
      <c r="H208" s="1">
        <f t="shared" si="48"/>
        <v>0</v>
      </c>
      <c r="I208">
        <f t="shared" si="50"/>
        <v>0</v>
      </c>
      <c r="J208">
        <f t="shared" si="50"/>
        <v>0</v>
      </c>
      <c r="K208">
        <f t="shared" si="50"/>
        <v>0</v>
      </c>
      <c r="L208">
        <f t="shared" si="50"/>
        <v>0</v>
      </c>
      <c r="M208">
        <f t="shared" si="50"/>
        <v>0</v>
      </c>
      <c r="N208">
        <f t="shared" si="50"/>
        <v>0</v>
      </c>
      <c r="O208">
        <f t="shared" si="50"/>
        <v>0</v>
      </c>
      <c r="P208">
        <f t="shared" si="50"/>
        <v>0</v>
      </c>
      <c r="Q208">
        <f t="shared" si="50"/>
        <v>0</v>
      </c>
      <c r="R208">
        <f t="shared" si="50"/>
        <v>0</v>
      </c>
      <c r="S208">
        <f t="shared" si="50"/>
        <v>0</v>
      </c>
      <c r="T208">
        <f t="shared" si="50"/>
        <v>0</v>
      </c>
      <c r="U208">
        <f t="shared" si="50"/>
        <v>0</v>
      </c>
      <c r="V208">
        <f t="shared" si="50"/>
        <v>0</v>
      </c>
      <c r="W208">
        <f t="shared" si="50"/>
        <v>0</v>
      </c>
      <c r="X208">
        <f t="shared" si="50"/>
        <v>0</v>
      </c>
      <c r="Y208">
        <f t="shared" si="49"/>
        <v>0</v>
      </c>
      <c r="Z208">
        <f t="shared" si="49"/>
        <v>0</v>
      </c>
      <c r="AA208">
        <f t="shared" si="49"/>
        <v>0</v>
      </c>
      <c r="AB208">
        <f t="shared" si="49"/>
        <v>0</v>
      </c>
      <c r="AC208">
        <f t="shared" si="49"/>
        <v>0</v>
      </c>
      <c r="AD208">
        <f t="shared" si="49"/>
        <v>0</v>
      </c>
      <c r="AE208">
        <f t="shared" si="49"/>
        <v>0</v>
      </c>
      <c r="AF208">
        <f t="shared" si="49"/>
        <v>0</v>
      </c>
      <c r="AG208">
        <f t="shared" si="49"/>
        <v>0</v>
      </c>
      <c r="AH208">
        <f t="shared" si="49"/>
        <v>0</v>
      </c>
      <c r="AI208">
        <f t="shared" si="49"/>
        <v>0</v>
      </c>
      <c r="AJ208">
        <f t="shared" si="49"/>
        <v>0</v>
      </c>
      <c r="AK208">
        <f t="shared" si="49"/>
        <v>0</v>
      </c>
      <c r="AL208">
        <f t="shared" si="49"/>
        <v>0</v>
      </c>
      <c r="AM208">
        <f t="shared" si="49"/>
        <v>0</v>
      </c>
      <c r="AN208">
        <f t="shared" si="46"/>
        <v>0</v>
      </c>
      <c r="AO208">
        <f t="shared" si="46"/>
        <v>0</v>
      </c>
      <c r="AP208">
        <f t="shared" si="46"/>
        <v>0</v>
      </c>
      <c r="AQ208">
        <f t="shared" si="46"/>
        <v>0</v>
      </c>
      <c r="AR208">
        <f t="shared" si="46"/>
        <v>0</v>
      </c>
    </row>
    <row r="209" spans="5:44" x14ac:dyDescent="0.2">
      <c r="E209" s="1">
        <f>moment_rate!$M209</f>
        <v>16.265183853875172</v>
      </c>
      <c r="F209" s="1">
        <f t="shared" si="47"/>
        <v>0.33346573518925204</v>
      </c>
      <c r="G209">
        <f>moment_rate!I209-0.005</f>
        <v>2.0200000000000009</v>
      </c>
      <c r="H209" s="1">
        <f t="shared" si="48"/>
        <v>0</v>
      </c>
      <c r="I209">
        <f t="shared" si="50"/>
        <v>0</v>
      </c>
      <c r="J209">
        <f t="shared" si="50"/>
        <v>0</v>
      </c>
      <c r="K209">
        <f t="shared" si="50"/>
        <v>0</v>
      </c>
      <c r="L209">
        <f t="shared" si="50"/>
        <v>0</v>
      </c>
      <c r="M209">
        <f t="shared" si="50"/>
        <v>0</v>
      </c>
      <c r="N209">
        <f t="shared" si="50"/>
        <v>0</v>
      </c>
      <c r="O209">
        <f t="shared" si="50"/>
        <v>0</v>
      </c>
      <c r="P209">
        <f t="shared" si="50"/>
        <v>0</v>
      </c>
      <c r="Q209">
        <f t="shared" si="50"/>
        <v>0</v>
      </c>
      <c r="R209">
        <f t="shared" si="50"/>
        <v>0</v>
      </c>
      <c r="S209">
        <f t="shared" si="50"/>
        <v>0</v>
      </c>
      <c r="T209">
        <f t="shared" si="50"/>
        <v>0</v>
      </c>
      <c r="U209">
        <f t="shared" si="50"/>
        <v>0</v>
      </c>
      <c r="V209">
        <f t="shared" si="50"/>
        <v>0</v>
      </c>
      <c r="W209">
        <f t="shared" si="50"/>
        <v>0</v>
      </c>
      <c r="X209">
        <f t="shared" si="50"/>
        <v>0</v>
      </c>
      <c r="Y209">
        <f t="shared" si="49"/>
        <v>0</v>
      </c>
      <c r="Z209">
        <f t="shared" si="49"/>
        <v>0</v>
      </c>
      <c r="AA209">
        <f t="shared" si="49"/>
        <v>0</v>
      </c>
      <c r="AB209">
        <f t="shared" si="49"/>
        <v>0</v>
      </c>
      <c r="AC209">
        <f t="shared" si="49"/>
        <v>0</v>
      </c>
      <c r="AD209">
        <f t="shared" si="49"/>
        <v>0</v>
      </c>
      <c r="AE209">
        <f t="shared" si="49"/>
        <v>0</v>
      </c>
      <c r="AF209">
        <f t="shared" si="49"/>
        <v>0</v>
      </c>
      <c r="AG209">
        <f t="shared" si="49"/>
        <v>0</v>
      </c>
      <c r="AH209">
        <f t="shared" si="49"/>
        <v>0</v>
      </c>
      <c r="AI209">
        <f t="shared" si="49"/>
        <v>0</v>
      </c>
      <c r="AJ209">
        <f t="shared" si="49"/>
        <v>0</v>
      </c>
      <c r="AK209">
        <f t="shared" si="49"/>
        <v>0</v>
      </c>
      <c r="AL209">
        <f t="shared" si="49"/>
        <v>0</v>
      </c>
      <c r="AM209">
        <f t="shared" si="49"/>
        <v>0</v>
      </c>
      <c r="AN209">
        <f t="shared" si="46"/>
        <v>0</v>
      </c>
      <c r="AO209">
        <f t="shared" si="46"/>
        <v>0</v>
      </c>
      <c r="AP209">
        <f t="shared" si="46"/>
        <v>0</v>
      </c>
      <c r="AQ209">
        <f t="shared" si="46"/>
        <v>0</v>
      </c>
      <c r="AR209">
        <f t="shared" si="46"/>
        <v>0</v>
      </c>
    </row>
    <row r="210" spans="5:44" x14ac:dyDescent="0.2">
      <c r="E210" s="1">
        <f>moment_rate!$M210</f>
        <v>15.93171811868592</v>
      </c>
      <c r="F210" s="1">
        <f t="shared" si="47"/>
        <v>0.32662634809481972</v>
      </c>
      <c r="G210">
        <f>moment_rate!I210-0.005</f>
        <v>2.0300000000000007</v>
      </c>
      <c r="H210" s="1">
        <f t="shared" si="48"/>
        <v>0</v>
      </c>
      <c r="I210">
        <f t="shared" si="50"/>
        <v>0</v>
      </c>
      <c r="J210">
        <f t="shared" si="50"/>
        <v>0</v>
      </c>
      <c r="K210">
        <f t="shared" si="50"/>
        <v>0</v>
      </c>
      <c r="L210">
        <f t="shared" si="50"/>
        <v>0</v>
      </c>
      <c r="M210">
        <f t="shared" si="50"/>
        <v>0</v>
      </c>
      <c r="N210">
        <f t="shared" si="50"/>
        <v>0</v>
      </c>
      <c r="O210">
        <f t="shared" si="50"/>
        <v>0</v>
      </c>
      <c r="P210">
        <f t="shared" si="50"/>
        <v>0</v>
      </c>
      <c r="Q210">
        <f t="shared" si="50"/>
        <v>0</v>
      </c>
      <c r="R210">
        <f t="shared" si="50"/>
        <v>0</v>
      </c>
      <c r="S210">
        <f t="shared" si="50"/>
        <v>0</v>
      </c>
      <c r="T210">
        <f t="shared" si="50"/>
        <v>0</v>
      </c>
      <c r="U210">
        <f t="shared" si="50"/>
        <v>0</v>
      </c>
      <c r="V210">
        <f t="shared" si="50"/>
        <v>0</v>
      </c>
      <c r="W210">
        <f t="shared" si="50"/>
        <v>0</v>
      </c>
      <c r="X210">
        <f t="shared" si="50"/>
        <v>0</v>
      </c>
      <c r="Y210">
        <f t="shared" si="49"/>
        <v>0</v>
      </c>
      <c r="Z210">
        <f t="shared" si="49"/>
        <v>0</v>
      </c>
      <c r="AA210">
        <f t="shared" si="49"/>
        <v>0</v>
      </c>
      <c r="AB210">
        <f t="shared" si="49"/>
        <v>0</v>
      </c>
      <c r="AC210">
        <f t="shared" si="49"/>
        <v>0</v>
      </c>
      <c r="AD210">
        <f t="shared" si="49"/>
        <v>0</v>
      </c>
      <c r="AE210">
        <f t="shared" si="49"/>
        <v>0</v>
      </c>
      <c r="AF210">
        <f t="shared" si="49"/>
        <v>0</v>
      </c>
      <c r="AG210">
        <f t="shared" si="49"/>
        <v>0</v>
      </c>
      <c r="AH210">
        <f t="shared" si="49"/>
        <v>0</v>
      </c>
      <c r="AI210">
        <f t="shared" si="49"/>
        <v>0</v>
      </c>
      <c r="AJ210">
        <f t="shared" si="49"/>
        <v>0</v>
      </c>
      <c r="AK210">
        <f t="shared" si="49"/>
        <v>0</v>
      </c>
      <c r="AL210">
        <f t="shared" si="49"/>
        <v>0</v>
      </c>
      <c r="AM210">
        <f t="shared" si="49"/>
        <v>0</v>
      </c>
      <c r="AN210">
        <f t="shared" si="46"/>
        <v>0</v>
      </c>
      <c r="AO210">
        <f t="shared" si="46"/>
        <v>0</v>
      </c>
      <c r="AP210">
        <f t="shared" si="46"/>
        <v>0</v>
      </c>
      <c r="AQ210">
        <f t="shared" si="46"/>
        <v>0</v>
      </c>
      <c r="AR210">
        <f t="shared" si="46"/>
        <v>0</v>
      </c>
    </row>
    <row r="211" spans="5:44" x14ac:dyDescent="0.2">
      <c r="E211" s="1">
        <f>moment_rate!$M211</f>
        <v>15.6050917705911</v>
      </c>
      <c r="F211" s="1">
        <f t="shared" si="47"/>
        <v>0.31992723692949099</v>
      </c>
      <c r="G211">
        <f>moment_rate!I211-0.005</f>
        <v>2.0400000000000005</v>
      </c>
      <c r="H211" s="1">
        <f t="shared" si="48"/>
        <v>0</v>
      </c>
      <c r="I211">
        <f t="shared" si="50"/>
        <v>0</v>
      </c>
      <c r="J211">
        <f t="shared" si="50"/>
        <v>0</v>
      </c>
      <c r="K211">
        <f t="shared" si="50"/>
        <v>0</v>
      </c>
      <c r="L211">
        <f t="shared" si="50"/>
        <v>0</v>
      </c>
      <c r="M211">
        <f t="shared" si="50"/>
        <v>0</v>
      </c>
      <c r="N211">
        <f t="shared" si="50"/>
        <v>0</v>
      </c>
      <c r="O211">
        <f t="shared" si="50"/>
        <v>0</v>
      </c>
      <c r="P211">
        <f t="shared" si="50"/>
        <v>0</v>
      </c>
      <c r="Q211">
        <f t="shared" si="50"/>
        <v>0</v>
      </c>
      <c r="R211">
        <f t="shared" si="50"/>
        <v>0</v>
      </c>
      <c r="S211">
        <f t="shared" si="50"/>
        <v>0</v>
      </c>
      <c r="T211">
        <f t="shared" si="50"/>
        <v>0</v>
      </c>
      <c r="U211">
        <f t="shared" si="50"/>
        <v>0</v>
      </c>
      <c r="V211">
        <f t="shared" si="50"/>
        <v>0</v>
      </c>
      <c r="W211">
        <f t="shared" si="50"/>
        <v>0</v>
      </c>
      <c r="X211">
        <f t="shared" si="50"/>
        <v>0</v>
      </c>
      <c r="Y211">
        <f t="shared" si="49"/>
        <v>0</v>
      </c>
      <c r="Z211">
        <f t="shared" si="49"/>
        <v>0</v>
      </c>
      <c r="AA211">
        <f t="shared" si="49"/>
        <v>0</v>
      </c>
      <c r="AB211">
        <f t="shared" si="49"/>
        <v>0</v>
      </c>
      <c r="AC211">
        <f t="shared" si="49"/>
        <v>0</v>
      </c>
      <c r="AD211">
        <f t="shared" si="49"/>
        <v>0</v>
      </c>
      <c r="AE211">
        <f t="shared" si="49"/>
        <v>0</v>
      </c>
      <c r="AF211">
        <f t="shared" si="49"/>
        <v>0</v>
      </c>
      <c r="AG211">
        <f t="shared" si="49"/>
        <v>0</v>
      </c>
      <c r="AH211">
        <f t="shared" si="49"/>
        <v>0</v>
      </c>
      <c r="AI211">
        <f t="shared" si="49"/>
        <v>0</v>
      </c>
      <c r="AJ211">
        <f t="shared" si="49"/>
        <v>0</v>
      </c>
      <c r="AK211">
        <f t="shared" si="49"/>
        <v>0</v>
      </c>
      <c r="AL211">
        <f t="shared" si="49"/>
        <v>0</v>
      </c>
      <c r="AM211">
        <f t="shared" si="49"/>
        <v>0</v>
      </c>
      <c r="AN211">
        <f t="shared" si="46"/>
        <v>0</v>
      </c>
      <c r="AO211">
        <f t="shared" si="46"/>
        <v>0</v>
      </c>
      <c r="AP211">
        <f t="shared" si="46"/>
        <v>0</v>
      </c>
      <c r="AQ211">
        <f t="shared" si="46"/>
        <v>0</v>
      </c>
      <c r="AR211">
        <f t="shared" si="46"/>
        <v>0</v>
      </c>
    </row>
    <row r="212" spans="5:44" x14ac:dyDescent="0.2">
      <c r="E212" s="1">
        <f>moment_rate!$M212</f>
        <v>15.285164533661609</v>
      </c>
      <c r="F212" s="1">
        <f t="shared" si="47"/>
        <v>0.31336552463191403</v>
      </c>
      <c r="G212">
        <f>moment_rate!I212-0.005</f>
        <v>2.0500000000000003</v>
      </c>
      <c r="H212" s="1">
        <f t="shared" si="48"/>
        <v>0</v>
      </c>
      <c r="I212">
        <f t="shared" si="50"/>
        <v>0</v>
      </c>
      <c r="J212">
        <f t="shared" si="50"/>
        <v>0</v>
      </c>
      <c r="K212">
        <f t="shared" si="50"/>
        <v>0</v>
      </c>
      <c r="L212">
        <f t="shared" si="50"/>
        <v>0</v>
      </c>
      <c r="M212">
        <f t="shared" si="50"/>
        <v>0</v>
      </c>
      <c r="N212">
        <f t="shared" si="50"/>
        <v>0</v>
      </c>
      <c r="O212">
        <f t="shared" si="50"/>
        <v>0</v>
      </c>
      <c r="P212">
        <f t="shared" si="50"/>
        <v>0</v>
      </c>
      <c r="Q212">
        <f t="shared" si="50"/>
        <v>0</v>
      </c>
      <c r="R212">
        <f t="shared" si="50"/>
        <v>0</v>
      </c>
      <c r="S212">
        <f t="shared" si="50"/>
        <v>0</v>
      </c>
      <c r="T212">
        <f t="shared" si="50"/>
        <v>0</v>
      </c>
      <c r="U212">
        <f t="shared" si="50"/>
        <v>0</v>
      </c>
      <c r="V212">
        <f t="shared" si="50"/>
        <v>0</v>
      </c>
      <c r="W212">
        <f t="shared" si="50"/>
        <v>0</v>
      </c>
      <c r="X212">
        <f t="shared" si="50"/>
        <v>0</v>
      </c>
      <c r="Y212">
        <f t="shared" si="49"/>
        <v>0</v>
      </c>
      <c r="Z212">
        <f t="shared" si="49"/>
        <v>0</v>
      </c>
      <c r="AA212">
        <f t="shared" si="49"/>
        <v>0</v>
      </c>
      <c r="AB212">
        <f t="shared" si="49"/>
        <v>0</v>
      </c>
      <c r="AC212">
        <f t="shared" si="49"/>
        <v>0</v>
      </c>
      <c r="AD212">
        <f t="shared" si="49"/>
        <v>0</v>
      </c>
      <c r="AE212">
        <f t="shared" si="49"/>
        <v>0</v>
      </c>
      <c r="AF212">
        <f t="shared" si="49"/>
        <v>0</v>
      </c>
      <c r="AG212">
        <f t="shared" si="49"/>
        <v>0</v>
      </c>
      <c r="AH212">
        <f t="shared" si="49"/>
        <v>0</v>
      </c>
      <c r="AI212">
        <f t="shared" si="49"/>
        <v>0</v>
      </c>
      <c r="AJ212">
        <f t="shared" si="49"/>
        <v>0</v>
      </c>
      <c r="AK212">
        <f t="shared" si="49"/>
        <v>0</v>
      </c>
      <c r="AL212">
        <f t="shared" si="49"/>
        <v>0</v>
      </c>
      <c r="AM212">
        <f t="shared" si="49"/>
        <v>0</v>
      </c>
      <c r="AN212">
        <f t="shared" si="46"/>
        <v>0</v>
      </c>
      <c r="AO212">
        <f t="shared" si="46"/>
        <v>0</v>
      </c>
      <c r="AP212">
        <f t="shared" si="46"/>
        <v>0</v>
      </c>
      <c r="AQ212">
        <f t="shared" si="46"/>
        <v>0</v>
      </c>
      <c r="AR212">
        <f t="shared" si="46"/>
        <v>0</v>
      </c>
    </row>
    <row r="213" spans="5:44" x14ac:dyDescent="0.2">
      <c r="E213" s="1">
        <f>moment_rate!$M213</f>
        <v>14.971799009029695</v>
      </c>
      <c r="F213" s="1">
        <f t="shared" si="47"/>
        <v>0.30693839314930216</v>
      </c>
      <c r="G213">
        <f>moment_rate!I213-0.005</f>
        <v>2.06</v>
      </c>
      <c r="H213" s="1">
        <f t="shared" si="48"/>
        <v>0</v>
      </c>
      <c r="I213">
        <f t="shared" si="50"/>
        <v>0</v>
      </c>
      <c r="J213">
        <f t="shared" si="50"/>
        <v>0</v>
      </c>
      <c r="K213">
        <f t="shared" si="50"/>
        <v>0</v>
      </c>
      <c r="L213">
        <f t="shared" si="50"/>
        <v>0</v>
      </c>
      <c r="M213">
        <f t="shared" si="50"/>
        <v>0</v>
      </c>
      <c r="N213">
        <f t="shared" si="50"/>
        <v>0</v>
      </c>
      <c r="O213">
        <f t="shared" si="50"/>
        <v>0</v>
      </c>
      <c r="P213">
        <f t="shared" si="50"/>
        <v>0</v>
      </c>
      <c r="Q213">
        <f t="shared" si="50"/>
        <v>0</v>
      </c>
      <c r="R213">
        <f t="shared" si="50"/>
        <v>0</v>
      </c>
      <c r="S213">
        <f t="shared" si="50"/>
        <v>0</v>
      </c>
      <c r="T213">
        <f t="shared" si="50"/>
        <v>0</v>
      </c>
      <c r="U213">
        <f t="shared" si="50"/>
        <v>0</v>
      </c>
      <c r="V213">
        <f t="shared" si="50"/>
        <v>0</v>
      </c>
      <c r="W213">
        <f t="shared" si="50"/>
        <v>0</v>
      </c>
      <c r="X213">
        <f t="shared" si="50"/>
        <v>0</v>
      </c>
      <c r="Y213">
        <f t="shared" si="49"/>
        <v>0</v>
      </c>
      <c r="Z213">
        <f t="shared" si="49"/>
        <v>0</v>
      </c>
      <c r="AA213">
        <f t="shared" si="49"/>
        <v>0</v>
      </c>
      <c r="AB213">
        <f t="shared" si="49"/>
        <v>0</v>
      </c>
      <c r="AC213">
        <f t="shared" si="49"/>
        <v>0</v>
      </c>
      <c r="AD213">
        <f t="shared" si="49"/>
        <v>0</v>
      </c>
      <c r="AE213">
        <f t="shared" si="49"/>
        <v>0</v>
      </c>
      <c r="AF213">
        <f t="shared" si="49"/>
        <v>0</v>
      </c>
      <c r="AG213">
        <f t="shared" si="49"/>
        <v>0</v>
      </c>
      <c r="AH213">
        <f t="shared" si="49"/>
        <v>0</v>
      </c>
      <c r="AI213">
        <f t="shared" si="49"/>
        <v>0</v>
      </c>
      <c r="AJ213">
        <f t="shared" si="49"/>
        <v>0</v>
      </c>
      <c r="AK213">
        <f t="shared" si="49"/>
        <v>0</v>
      </c>
      <c r="AL213">
        <f t="shared" si="49"/>
        <v>0</v>
      </c>
      <c r="AM213">
        <f t="shared" si="49"/>
        <v>0</v>
      </c>
      <c r="AN213">
        <f t="shared" si="46"/>
        <v>0</v>
      </c>
      <c r="AO213">
        <f t="shared" si="46"/>
        <v>0</v>
      </c>
      <c r="AP213">
        <f t="shared" si="46"/>
        <v>0</v>
      </c>
      <c r="AQ213">
        <f t="shared" si="46"/>
        <v>0</v>
      </c>
      <c r="AR213">
        <f t="shared" si="46"/>
        <v>0</v>
      </c>
    </row>
    <row r="214" spans="5:44" x14ac:dyDescent="0.2">
      <c r="E214" s="1">
        <f>moment_rate!$M214</f>
        <v>14.664860615880393</v>
      </c>
      <c r="F214" s="1">
        <f t="shared" si="47"/>
        <v>0.30064308222718061</v>
      </c>
      <c r="G214">
        <f>moment_rate!I214-0.005</f>
        <v>2.0699999999999998</v>
      </c>
      <c r="H214" s="1">
        <f t="shared" si="48"/>
        <v>0</v>
      </c>
      <c r="I214">
        <f t="shared" si="50"/>
        <v>0</v>
      </c>
      <c r="J214">
        <f t="shared" si="50"/>
        <v>0</v>
      </c>
      <c r="K214">
        <f t="shared" si="50"/>
        <v>0</v>
      </c>
      <c r="L214">
        <f t="shared" si="50"/>
        <v>0</v>
      </c>
      <c r="M214">
        <f t="shared" si="50"/>
        <v>0</v>
      </c>
      <c r="N214">
        <f t="shared" si="50"/>
        <v>0</v>
      </c>
      <c r="O214">
        <f t="shared" si="50"/>
        <v>0</v>
      </c>
      <c r="P214">
        <f t="shared" si="50"/>
        <v>0</v>
      </c>
      <c r="Q214">
        <f t="shared" si="50"/>
        <v>0</v>
      </c>
      <c r="R214">
        <f t="shared" si="50"/>
        <v>0</v>
      </c>
      <c r="S214">
        <f t="shared" si="50"/>
        <v>0</v>
      </c>
      <c r="T214">
        <f t="shared" si="50"/>
        <v>0</v>
      </c>
      <c r="U214">
        <f t="shared" si="50"/>
        <v>0</v>
      </c>
      <c r="V214">
        <f t="shared" si="50"/>
        <v>0</v>
      </c>
      <c r="W214">
        <f t="shared" si="50"/>
        <v>0</v>
      </c>
      <c r="X214">
        <f t="shared" si="50"/>
        <v>0</v>
      </c>
      <c r="Y214">
        <f t="shared" si="49"/>
        <v>0</v>
      </c>
      <c r="Z214">
        <f t="shared" si="49"/>
        <v>0</v>
      </c>
      <c r="AA214">
        <f t="shared" si="49"/>
        <v>0</v>
      </c>
      <c r="AB214">
        <f t="shared" si="49"/>
        <v>0</v>
      </c>
      <c r="AC214">
        <f t="shared" si="49"/>
        <v>0</v>
      </c>
      <c r="AD214">
        <f t="shared" si="49"/>
        <v>0</v>
      </c>
      <c r="AE214">
        <f t="shared" si="49"/>
        <v>0</v>
      </c>
      <c r="AF214">
        <f t="shared" si="49"/>
        <v>0</v>
      </c>
      <c r="AG214">
        <f t="shared" si="49"/>
        <v>0</v>
      </c>
      <c r="AH214">
        <f t="shared" si="49"/>
        <v>0</v>
      </c>
      <c r="AI214">
        <f t="shared" si="49"/>
        <v>0</v>
      </c>
      <c r="AJ214">
        <f t="shared" si="49"/>
        <v>0</v>
      </c>
      <c r="AK214">
        <f t="shared" si="49"/>
        <v>0</v>
      </c>
      <c r="AL214">
        <f t="shared" si="49"/>
        <v>0</v>
      </c>
      <c r="AM214">
        <f t="shared" si="49"/>
        <v>0</v>
      </c>
      <c r="AN214">
        <f t="shared" si="46"/>
        <v>0</v>
      </c>
      <c r="AO214">
        <f t="shared" si="46"/>
        <v>0</v>
      </c>
      <c r="AP214">
        <f t="shared" si="46"/>
        <v>0</v>
      </c>
      <c r="AQ214">
        <f t="shared" si="46"/>
        <v>0</v>
      </c>
      <c r="AR214">
        <f t="shared" si="46"/>
        <v>0</v>
      </c>
    </row>
    <row r="215" spans="5:44" x14ac:dyDescent="0.2">
      <c r="E215" s="1">
        <f>moment_rate!$M215</f>
        <v>14.364217533653212</v>
      </c>
      <c r="F215" s="1">
        <f t="shared" si="47"/>
        <v>0.2944768882239277</v>
      </c>
      <c r="G215">
        <f>moment_rate!I215-0.005</f>
        <v>2.0799999999999996</v>
      </c>
      <c r="H215" s="1">
        <f t="shared" si="48"/>
        <v>0</v>
      </c>
      <c r="I215">
        <f t="shared" si="50"/>
        <v>0</v>
      </c>
      <c r="J215">
        <f t="shared" si="50"/>
        <v>0</v>
      </c>
      <c r="K215">
        <f t="shared" si="50"/>
        <v>0</v>
      </c>
      <c r="L215">
        <f t="shared" si="50"/>
        <v>0</v>
      </c>
      <c r="M215">
        <f t="shared" si="50"/>
        <v>0</v>
      </c>
      <c r="N215">
        <f t="shared" si="50"/>
        <v>0</v>
      </c>
      <c r="O215">
        <f t="shared" si="50"/>
        <v>0</v>
      </c>
      <c r="P215">
        <f t="shared" si="50"/>
        <v>0</v>
      </c>
      <c r="Q215">
        <f t="shared" si="50"/>
        <v>0</v>
      </c>
      <c r="R215">
        <f t="shared" si="50"/>
        <v>0</v>
      </c>
      <c r="S215">
        <f t="shared" si="50"/>
        <v>0</v>
      </c>
      <c r="T215">
        <f t="shared" si="50"/>
        <v>0</v>
      </c>
      <c r="U215">
        <f t="shared" si="50"/>
        <v>0</v>
      </c>
      <c r="V215">
        <f t="shared" si="50"/>
        <v>0</v>
      </c>
      <c r="W215">
        <f t="shared" si="50"/>
        <v>0</v>
      </c>
      <c r="X215">
        <f t="shared" si="50"/>
        <v>0</v>
      </c>
      <c r="Y215">
        <f t="shared" si="49"/>
        <v>0</v>
      </c>
      <c r="Z215">
        <f t="shared" si="49"/>
        <v>0</v>
      </c>
      <c r="AA215">
        <f t="shared" si="49"/>
        <v>0</v>
      </c>
      <c r="AB215">
        <f t="shared" si="49"/>
        <v>0</v>
      </c>
      <c r="AC215">
        <f t="shared" si="49"/>
        <v>0</v>
      </c>
      <c r="AD215">
        <f t="shared" si="49"/>
        <v>0</v>
      </c>
      <c r="AE215">
        <f t="shared" si="49"/>
        <v>0</v>
      </c>
      <c r="AF215">
        <f t="shared" si="49"/>
        <v>0</v>
      </c>
      <c r="AG215">
        <f t="shared" si="49"/>
        <v>0</v>
      </c>
      <c r="AH215">
        <f t="shared" si="49"/>
        <v>0</v>
      </c>
      <c r="AI215">
        <f t="shared" si="49"/>
        <v>0</v>
      </c>
      <c r="AJ215">
        <f t="shared" si="49"/>
        <v>0</v>
      </c>
      <c r="AK215">
        <f t="shared" si="49"/>
        <v>0</v>
      </c>
      <c r="AL215">
        <f t="shared" si="49"/>
        <v>0</v>
      </c>
      <c r="AM215">
        <f t="shared" si="49"/>
        <v>0</v>
      </c>
      <c r="AN215">
        <f t="shared" ref="AI215:AR252" si="51">IF(AND($G215&gt;=AN$3,$G215&lt;AN$4),$F215,0)</f>
        <v>0</v>
      </c>
      <c r="AO215">
        <f t="shared" si="51"/>
        <v>0</v>
      </c>
      <c r="AP215">
        <f t="shared" si="51"/>
        <v>0</v>
      </c>
      <c r="AQ215">
        <f t="shared" si="51"/>
        <v>0</v>
      </c>
      <c r="AR215">
        <f t="shared" si="51"/>
        <v>0</v>
      </c>
    </row>
    <row r="216" spans="5:44" x14ac:dyDescent="0.2">
      <c r="E216" s="1">
        <f>moment_rate!$M216</f>
        <v>14.069740645429285</v>
      </c>
      <c r="F216" s="1">
        <f t="shared" si="47"/>
        <v>0.28843716294965382</v>
      </c>
      <c r="G216">
        <f>moment_rate!I216-0.005</f>
        <v>2.0899999999999994</v>
      </c>
      <c r="H216" s="1">
        <f t="shared" si="48"/>
        <v>0</v>
      </c>
      <c r="I216">
        <f t="shared" si="50"/>
        <v>0</v>
      </c>
      <c r="J216">
        <f t="shared" si="50"/>
        <v>0</v>
      </c>
      <c r="K216">
        <f t="shared" si="50"/>
        <v>0</v>
      </c>
      <c r="L216">
        <f t="shared" si="50"/>
        <v>0</v>
      </c>
      <c r="M216">
        <f t="shared" si="50"/>
        <v>0</v>
      </c>
      <c r="N216">
        <f t="shared" si="50"/>
        <v>0</v>
      </c>
      <c r="O216">
        <f t="shared" si="50"/>
        <v>0</v>
      </c>
      <c r="P216">
        <f t="shared" si="50"/>
        <v>0</v>
      </c>
      <c r="Q216">
        <f t="shared" si="50"/>
        <v>0</v>
      </c>
      <c r="R216">
        <f t="shared" si="50"/>
        <v>0</v>
      </c>
      <c r="S216">
        <f t="shared" si="50"/>
        <v>0</v>
      </c>
      <c r="T216">
        <f t="shared" si="50"/>
        <v>0</v>
      </c>
      <c r="U216">
        <f t="shared" si="50"/>
        <v>0</v>
      </c>
      <c r="V216">
        <f t="shared" si="50"/>
        <v>0</v>
      </c>
      <c r="W216">
        <f t="shared" si="50"/>
        <v>0</v>
      </c>
      <c r="X216">
        <f t="shared" si="50"/>
        <v>0</v>
      </c>
      <c r="Y216">
        <f t="shared" si="49"/>
        <v>0</v>
      </c>
      <c r="Z216">
        <f t="shared" si="49"/>
        <v>0</v>
      </c>
      <c r="AA216">
        <f t="shared" si="49"/>
        <v>0</v>
      </c>
      <c r="AB216">
        <f t="shared" si="49"/>
        <v>0</v>
      </c>
      <c r="AC216">
        <f t="shared" si="49"/>
        <v>0</v>
      </c>
      <c r="AD216">
        <f t="shared" si="49"/>
        <v>0</v>
      </c>
      <c r="AE216">
        <f t="shared" si="49"/>
        <v>0</v>
      </c>
      <c r="AF216">
        <f t="shared" si="49"/>
        <v>0</v>
      </c>
      <c r="AG216">
        <f t="shared" si="49"/>
        <v>0</v>
      </c>
      <c r="AH216">
        <f t="shared" si="49"/>
        <v>0</v>
      </c>
      <c r="AI216">
        <f t="shared" si="51"/>
        <v>0</v>
      </c>
      <c r="AJ216">
        <f t="shared" si="51"/>
        <v>0</v>
      </c>
      <c r="AK216">
        <f t="shared" si="51"/>
        <v>0</v>
      </c>
      <c r="AL216">
        <f t="shared" si="51"/>
        <v>0</v>
      </c>
      <c r="AM216">
        <f t="shared" si="51"/>
        <v>0</v>
      </c>
      <c r="AN216">
        <f t="shared" si="51"/>
        <v>0</v>
      </c>
      <c r="AO216">
        <f t="shared" si="51"/>
        <v>0</v>
      </c>
      <c r="AP216">
        <f t="shared" si="51"/>
        <v>0</v>
      </c>
      <c r="AQ216">
        <f t="shared" si="51"/>
        <v>0</v>
      </c>
      <c r="AR216">
        <f t="shared" si="51"/>
        <v>0</v>
      </c>
    </row>
    <row r="217" spans="5:44" x14ac:dyDescent="0.2">
      <c r="E217" s="1">
        <f>moment_rate!$M217</f>
        <v>13.781303482479631</v>
      </c>
      <c r="F217" s="1">
        <f t="shared" si="47"/>
        <v>0.28252131252888191</v>
      </c>
      <c r="G217">
        <f>moment_rate!I217-0.005</f>
        <v>2.0999999999999992</v>
      </c>
      <c r="H217" s="1">
        <f t="shared" si="48"/>
        <v>0</v>
      </c>
      <c r="I217">
        <f t="shared" si="50"/>
        <v>0</v>
      </c>
      <c r="J217">
        <f t="shared" si="50"/>
        <v>0</v>
      </c>
      <c r="K217">
        <f t="shared" si="50"/>
        <v>0</v>
      </c>
      <c r="L217">
        <f t="shared" si="50"/>
        <v>0</v>
      </c>
      <c r="M217">
        <f t="shared" si="50"/>
        <v>0</v>
      </c>
      <c r="N217">
        <f t="shared" si="50"/>
        <v>0</v>
      </c>
      <c r="O217">
        <f t="shared" si="50"/>
        <v>0</v>
      </c>
      <c r="P217">
        <f t="shared" si="50"/>
        <v>0</v>
      </c>
      <c r="Q217">
        <f t="shared" si="50"/>
        <v>0</v>
      </c>
      <c r="R217">
        <f t="shared" si="50"/>
        <v>0</v>
      </c>
      <c r="S217">
        <f t="shared" si="50"/>
        <v>0</v>
      </c>
      <c r="T217">
        <f t="shared" si="50"/>
        <v>0</v>
      </c>
      <c r="U217">
        <f t="shared" si="50"/>
        <v>0</v>
      </c>
      <c r="V217">
        <f t="shared" si="50"/>
        <v>0</v>
      </c>
      <c r="W217">
        <f t="shared" si="50"/>
        <v>0</v>
      </c>
      <c r="X217">
        <f t="shared" si="50"/>
        <v>0</v>
      </c>
      <c r="Y217">
        <f t="shared" si="49"/>
        <v>0</v>
      </c>
      <c r="Z217">
        <f t="shared" si="49"/>
        <v>0</v>
      </c>
      <c r="AA217">
        <f t="shared" si="49"/>
        <v>0</v>
      </c>
      <c r="AB217">
        <f t="shared" si="49"/>
        <v>0</v>
      </c>
      <c r="AC217">
        <f t="shared" si="49"/>
        <v>0</v>
      </c>
      <c r="AD217">
        <f t="shared" si="49"/>
        <v>0</v>
      </c>
      <c r="AE217">
        <f t="shared" si="49"/>
        <v>0</v>
      </c>
      <c r="AF217">
        <f t="shared" si="49"/>
        <v>0</v>
      </c>
      <c r="AG217">
        <f t="shared" si="49"/>
        <v>0</v>
      </c>
      <c r="AH217">
        <f t="shared" si="49"/>
        <v>0</v>
      </c>
      <c r="AI217">
        <f t="shared" si="51"/>
        <v>0</v>
      </c>
      <c r="AJ217">
        <f t="shared" si="51"/>
        <v>0</v>
      </c>
      <c r="AK217">
        <f t="shared" si="51"/>
        <v>0</v>
      </c>
      <c r="AL217">
        <f t="shared" si="51"/>
        <v>0</v>
      </c>
      <c r="AM217">
        <f t="shared" si="51"/>
        <v>0</v>
      </c>
      <c r="AN217">
        <f t="shared" si="51"/>
        <v>0</v>
      </c>
      <c r="AO217">
        <f t="shared" si="51"/>
        <v>0</v>
      </c>
      <c r="AP217">
        <f t="shared" si="51"/>
        <v>0</v>
      </c>
      <c r="AQ217">
        <f t="shared" si="51"/>
        <v>0</v>
      </c>
      <c r="AR217">
        <f t="shared" si="51"/>
        <v>0</v>
      </c>
    </row>
    <row r="218" spans="5:44" x14ac:dyDescent="0.2">
      <c r="E218" s="1">
        <f>moment_rate!$M218</f>
        <v>13.498782169950749</v>
      </c>
      <c r="F218" s="1">
        <f t="shared" si="47"/>
        <v>0.27672679628656027</v>
      </c>
      <c r="G218">
        <f>moment_rate!I218-0.005</f>
        <v>2.109999999999999</v>
      </c>
      <c r="H218" s="1">
        <f t="shared" si="48"/>
        <v>0</v>
      </c>
      <c r="I218">
        <f t="shared" si="50"/>
        <v>0</v>
      </c>
      <c r="J218">
        <f t="shared" si="50"/>
        <v>0</v>
      </c>
      <c r="K218">
        <f t="shared" si="50"/>
        <v>0</v>
      </c>
      <c r="L218">
        <f t="shared" si="50"/>
        <v>0</v>
      </c>
      <c r="M218">
        <f t="shared" si="50"/>
        <v>0</v>
      </c>
      <c r="N218">
        <f t="shared" si="50"/>
        <v>0</v>
      </c>
      <c r="O218">
        <f t="shared" si="50"/>
        <v>0</v>
      </c>
      <c r="P218">
        <f t="shared" si="50"/>
        <v>0</v>
      </c>
      <c r="Q218">
        <f t="shared" si="50"/>
        <v>0</v>
      </c>
      <c r="R218">
        <f t="shared" si="50"/>
        <v>0</v>
      </c>
      <c r="S218">
        <f t="shared" si="50"/>
        <v>0</v>
      </c>
      <c r="T218">
        <f t="shared" si="50"/>
        <v>0</v>
      </c>
      <c r="U218">
        <f t="shared" si="50"/>
        <v>0</v>
      </c>
      <c r="V218">
        <f t="shared" si="50"/>
        <v>0</v>
      </c>
      <c r="W218">
        <f t="shared" si="50"/>
        <v>0</v>
      </c>
      <c r="X218">
        <f t="shared" si="50"/>
        <v>0</v>
      </c>
      <c r="Y218">
        <f t="shared" si="49"/>
        <v>0</v>
      </c>
      <c r="Z218">
        <f t="shared" si="49"/>
        <v>0</v>
      </c>
      <c r="AA218">
        <f t="shared" si="49"/>
        <v>0</v>
      </c>
      <c r="AB218">
        <f t="shared" si="49"/>
        <v>0</v>
      </c>
      <c r="AC218">
        <f t="shared" si="49"/>
        <v>0</v>
      </c>
      <c r="AD218">
        <f t="shared" si="49"/>
        <v>0</v>
      </c>
      <c r="AE218">
        <f t="shared" si="49"/>
        <v>0</v>
      </c>
      <c r="AF218">
        <f t="shared" si="49"/>
        <v>0</v>
      </c>
      <c r="AG218">
        <f t="shared" si="49"/>
        <v>0</v>
      </c>
      <c r="AH218">
        <f t="shared" si="49"/>
        <v>0</v>
      </c>
      <c r="AI218">
        <f t="shared" si="51"/>
        <v>0</v>
      </c>
      <c r="AJ218">
        <f t="shared" si="51"/>
        <v>0</v>
      </c>
      <c r="AK218">
        <f t="shared" si="51"/>
        <v>0</v>
      </c>
      <c r="AL218">
        <f t="shared" si="51"/>
        <v>0</v>
      </c>
      <c r="AM218">
        <f t="shared" si="51"/>
        <v>0</v>
      </c>
      <c r="AN218">
        <f t="shared" si="51"/>
        <v>0</v>
      </c>
      <c r="AO218">
        <f t="shared" si="51"/>
        <v>0</v>
      </c>
      <c r="AP218">
        <f t="shared" si="51"/>
        <v>0</v>
      </c>
      <c r="AQ218">
        <f t="shared" si="51"/>
        <v>0</v>
      </c>
      <c r="AR218">
        <f t="shared" si="51"/>
        <v>0</v>
      </c>
    </row>
    <row r="219" spans="5:44" x14ac:dyDescent="0.2">
      <c r="E219" s="1">
        <f>moment_rate!$M219</f>
        <v>13.222055373664189</v>
      </c>
      <c r="F219" s="1">
        <f t="shared" si="47"/>
        <v>0.27105112565692302</v>
      </c>
      <c r="G219">
        <f>moment_rate!I219-0.005</f>
        <v>2.1199999999999988</v>
      </c>
      <c r="H219" s="1">
        <f t="shared" si="48"/>
        <v>0</v>
      </c>
      <c r="I219">
        <f t="shared" si="50"/>
        <v>0</v>
      </c>
      <c r="J219">
        <f t="shared" si="50"/>
        <v>0</v>
      </c>
      <c r="K219">
        <f t="shared" si="50"/>
        <v>0</v>
      </c>
      <c r="L219">
        <f t="shared" si="50"/>
        <v>0</v>
      </c>
      <c r="M219">
        <f t="shared" si="50"/>
        <v>0</v>
      </c>
      <c r="N219">
        <f t="shared" si="50"/>
        <v>0</v>
      </c>
      <c r="O219">
        <f t="shared" si="50"/>
        <v>0</v>
      </c>
      <c r="P219">
        <f t="shared" si="50"/>
        <v>0</v>
      </c>
      <c r="Q219">
        <f t="shared" si="50"/>
        <v>0</v>
      </c>
      <c r="R219">
        <f t="shared" si="50"/>
        <v>0</v>
      </c>
      <c r="S219">
        <f t="shared" si="50"/>
        <v>0</v>
      </c>
      <c r="T219">
        <f t="shared" si="50"/>
        <v>0</v>
      </c>
      <c r="U219">
        <f t="shared" si="50"/>
        <v>0</v>
      </c>
      <c r="V219">
        <f t="shared" si="50"/>
        <v>0</v>
      </c>
      <c r="W219">
        <f t="shared" si="50"/>
        <v>0</v>
      </c>
      <c r="X219">
        <f t="shared" si="50"/>
        <v>0</v>
      </c>
      <c r="Y219">
        <f t="shared" si="49"/>
        <v>0</v>
      </c>
      <c r="Z219">
        <f t="shared" si="49"/>
        <v>0</v>
      </c>
      <c r="AA219">
        <f t="shared" si="49"/>
        <v>0</v>
      </c>
      <c r="AB219">
        <f t="shared" si="49"/>
        <v>0</v>
      </c>
      <c r="AC219">
        <f t="shared" si="49"/>
        <v>0</v>
      </c>
      <c r="AD219">
        <f t="shared" si="49"/>
        <v>0</v>
      </c>
      <c r="AE219">
        <f t="shared" si="49"/>
        <v>0</v>
      </c>
      <c r="AF219">
        <f t="shared" si="49"/>
        <v>0</v>
      </c>
      <c r="AG219">
        <f t="shared" si="49"/>
        <v>0</v>
      </c>
      <c r="AH219">
        <f t="shared" si="49"/>
        <v>0</v>
      </c>
      <c r="AI219">
        <f t="shared" si="51"/>
        <v>0</v>
      </c>
      <c r="AJ219">
        <f t="shared" si="51"/>
        <v>0</v>
      </c>
      <c r="AK219">
        <f t="shared" si="51"/>
        <v>0</v>
      </c>
      <c r="AL219">
        <f t="shared" si="51"/>
        <v>0</v>
      </c>
      <c r="AM219">
        <f t="shared" si="51"/>
        <v>0</v>
      </c>
      <c r="AN219">
        <f t="shared" si="51"/>
        <v>0</v>
      </c>
      <c r="AO219">
        <f t="shared" si="51"/>
        <v>0</v>
      </c>
      <c r="AP219">
        <f t="shared" si="51"/>
        <v>0</v>
      </c>
      <c r="AQ219">
        <f t="shared" si="51"/>
        <v>0</v>
      </c>
      <c r="AR219">
        <f t="shared" si="51"/>
        <v>0</v>
      </c>
    </row>
    <row r="220" spans="5:44" x14ac:dyDescent="0.2">
      <c r="E220" s="1">
        <f>moment_rate!$M220</f>
        <v>12.951004248007266</v>
      </c>
      <c r="F220" s="1">
        <f t="shared" si="47"/>
        <v>0.26549186311470763</v>
      </c>
      <c r="G220">
        <f>moment_rate!I220-0.005</f>
        <v>2.1299999999999986</v>
      </c>
      <c r="H220" s="1">
        <f t="shared" si="48"/>
        <v>0</v>
      </c>
      <c r="I220">
        <f t="shared" si="50"/>
        <v>0</v>
      </c>
      <c r="J220">
        <f t="shared" si="50"/>
        <v>0</v>
      </c>
      <c r="K220">
        <f t="shared" si="50"/>
        <v>0</v>
      </c>
      <c r="L220">
        <f t="shared" si="50"/>
        <v>0</v>
      </c>
      <c r="M220">
        <f t="shared" si="50"/>
        <v>0</v>
      </c>
      <c r="N220">
        <f t="shared" si="50"/>
        <v>0</v>
      </c>
      <c r="O220">
        <f t="shared" si="50"/>
        <v>0</v>
      </c>
      <c r="P220">
        <f t="shared" si="50"/>
        <v>0</v>
      </c>
      <c r="Q220">
        <f t="shared" si="50"/>
        <v>0</v>
      </c>
      <c r="R220">
        <f t="shared" si="50"/>
        <v>0</v>
      </c>
      <c r="S220">
        <f t="shared" si="50"/>
        <v>0</v>
      </c>
      <c r="T220">
        <f t="shared" si="50"/>
        <v>0</v>
      </c>
      <c r="U220">
        <f t="shared" si="50"/>
        <v>0</v>
      </c>
      <c r="V220">
        <f t="shared" si="50"/>
        <v>0</v>
      </c>
      <c r="W220">
        <f t="shared" si="50"/>
        <v>0</v>
      </c>
      <c r="X220">
        <f t="shared" si="50"/>
        <v>0</v>
      </c>
      <c r="Y220">
        <f t="shared" si="49"/>
        <v>0</v>
      </c>
      <c r="Z220">
        <f t="shared" si="49"/>
        <v>0</v>
      </c>
      <c r="AA220">
        <f t="shared" si="49"/>
        <v>0</v>
      </c>
      <c r="AB220">
        <f t="shared" si="49"/>
        <v>0</v>
      </c>
      <c r="AC220">
        <f t="shared" si="49"/>
        <v>0</v>
      </c>
      <c r="AD220">
        <f t="shared" si="49"/>
        <v>0</v>
      </c>
      <c r="AE220">
        <f t="shared" si="49"/>
        <v>0</v>
      </c>
      <c r="AF220">
        <f t="shared" si="49"/>
        <v>0</v>
      </c>
      <c r="AG220">
        <f t="shared" si="49"/>
        <v>0</v>
      </c>
      <c r="AH220">
        <f t="shared" si="49"/>
        <v>0</v>
      </c>
      <c r="AI220">
        <f t="shared" si="49"/>
        <v>0</v>
      </c>
      <c r="AJ220">
        <f t="shared" si="49"/>
        <v>0</v>
      </c>
      <c r="AK220">
        <f t="shared" si="51"/>
        <v>0</v>
      </c>
      <c r="AL220">
        <f t="shared" si="51"/>
        <v>0</v>
      </c>
      <c r="AM220">
        <f t="shared" si="51"/>
        <v>0</v>
      </c>
      <c r="AN220">
        <f t="shared" si="51"/>
        <v>0</v>
      </c>
      <c r="AO220">
        <f t="shared" si="51"/>
        <v>0</v>
      </c>
      <c r="AP220">
        <f t="shared" si="51"/>
        <v>0</v>
      </c>
      <c r="AQ220">
        <f t="shared" si="51"/>
        <v>0</v>
      </c>
      <c r="AR220">
        <f t="shared" si="51"/>
        <v>0</v>
      </c>
    </row>
    <row r="221" spans="5:44" x14ac:dyDescent="0.2">
      <c r="E221" s="1">
        <f>moment_rate!$M221</f>
        <v>12.685512384892558</v>
      </c>
      <c r="F221" s="1">
        <f t="shared" si="47"/>
        <v>0.26004662112835497</v>
      </c>
      <c r="G221">
        <f>moment_rate!I221-0.005</f>
        <v>2.1399999999999983</v>
      </c>
      <c r="H221" s="1">
        <f t="shared" si="48"/>
        <v>0</v>
      </c>
      <c r="I221">
        <f t="shared" si="50"/>
        <v>0</v>
      </c>
      <c r="J221">
        <f t="shared" si="50"/>
        <v>0</v>
      </c>
      <c r="K221">
        <f t="shared" si="50"/>
        <v>0</v>
      </c>
      <c r="L221">
        <f t="shared" si="50"/>
        <v>0</v>
      </c>
      <c r="M221">
        <f t="shared" si="50"/>
        <v>0</v>
      </c>
      <c r="N221">
        <f t="shared" si="50"/>
        <v>0</v>
      </c>
      <c r="O221">
        <f t="shared" si="50"/>
        <v>0</v>
      </c>
      <c r="P221">
        <f t="shared" si="50"/>
        <v>0</v>
      </c>
      <c r="Q221">
        <f t="shared" si="50"/>
        <v>0</v>
      </c>
      <c r="R221">
        <f t="shared" si="50"/>
        <v>0</v>
      </c>
      <c r="S221">
        <f t="shared" si="50"/>
        <v>0</v>
      </c>
      <c r="T221">
        <f t="shared" si="50"/>
        <v>0</v>
      </c>
      <c r="U221">
        <f t="shared" si="50"/>
        <v>0</v>
      </c>
      <c r="V221">
        <f t="shared" si="50"/>
        <v>0</v>
      </c>
      <c r="W221">
        <f t="shared" si="50"/>
        <v>0</v>
      </c>
      <c r="X221">
        <f t="shared" si="50"/>
        <v>0</v>
      </c>
      <c r="Y221">
        <f t="shared" si="49"/>
        <v>0</v>
      </c>
      <c r="Z221">
        <f t="shared" si="49"/>
        <v>0</v>
      </c>
      <c r="AA221">
        <f t="shared" si="49"/>
        <v>0</v>
      </c>
      <c r="AB221">
        <f t="shared" si="49"/>
        <v>0</v>
      </c>
      <c r="AC221">
        <f t="shared" si="49"/>
        <v>0</v>
      </c>
      <c r="AD221">
        <f t="shared" si="49"/>
        <v>0</v>
      </c>
      <c r="AE221">
        <f t="shared" si="49"/>
        <v>0</v>
      </c>
      <c r="AF221">
        <f t="shared" si="49"/>
        <v>0</v>
      </c>
      <c r="AG221">
        <f t="shared" si="49"/>
        <v>0</v>
      </c>
      <c r="AH221">
        <f t="shared" si="49"/>
        <v>0</v>
      </c>
      <c r="AI221">
        <f t="shared" si="49"/>
        <v>0</v>
      </c>
      <c r="AJ221">
        <f t="shared" si="49"/>
        <v>0</v>
      </c>
      <c r="AK221">
        <f t="shared" si="51"/>
        <v>0</v>
      </c>
      <c r="AL221">
        <f t="shared" si="51"/>
        <v>0</v>
      </c>
      <c r="AM221">
        <f t="shared" si="51"/>
        <v>0</v>
      </c>
      <c r="AN221">
        <f t="shared" si="51"/>
        <v>0</v>
      </c>
      <c r="AO221">
        <f t="shared" si="51"/>
        <v>0</v>
      </c>
      <c r="AP221">
        <f t="shared" si="51"/>
        <v>0</v>
      </c>
      <c r="AQ221">
        <f t="shared" si="51"/>
        <v>0</v>
      </c>
      <c r="AR221">
        <f t="shared" si="51"/>
        <v>0</v>
      </c>
    </row>
    <row r="222" spans="5:44" x14ac:dyDescent="0.2">
      <c r="E222" s="1">
        <f>moment_rate!$M222</f>
        <v>12.425465763764203</v>
      </c>
      <c r="F222" s="1">
        <f t="shared" si="47"/>
        <v>0.25471306113459313</v>
      </c>
      <c r="G222">
        <f>moment_rate!I222-0.005</f>
        <v>2.1499999999999981</v>
      </c>
      <c r="H222" s="1">
        <f t="shared" si="48"/>
        <v>0</v>
      </c>
      <c r="I222">
        <f t="shared" si="50"/>
        <v>0</v>
      </c>
      <c r="J222">
        <f t="shared" si="50"/>
        <v>0</v>
      </c>
      <c r="K222">
        <f t="shared" si="50"/>
        <v>0</v>
      </c>
      <c r="L222">
        <f t="shared" si="50"/>
        <v>0</v>
      </c>
      <c r="M222">
        <f t="shared" si="50"/>
        <v>0</v>
      </c>
      <c r="N222">
        <f t="shared" si="50"/>
        <v>0</v>
      </c>
      <c r="O222">
        <f t="shared" si="50"/>
        <v>0</v>
      </c>
      <c r="P222">
        <f t="shared" si="50"/>
        <v>0</v>
      </c>
      <c r="Q222">
        <f t="shared" si="50"/>
        <v>0</v>
      </c>
      <c r="R222">
        <f t="shared" si="50"/>
        <v>0</v>
      </c>
      <c r="S222">
        <f t="shared" si="50"/>
        <v>0</v>
      </c>
      <c r="T222">
        <f t="shared" si="50"/>
        <v>0</v>
      </c>
      <c r="U222">
        <f t="shared" si="50"/>
        <v>0</v>
      </c>
      <c r="V222">
        <f t="shared" si="50"/>
        <v>0</v>
      </c>
      <c r="W222">
        <f t="shared" si="50"/>
        <v>0</v>
      </c>
      <c r="X222">
        <f t="shared" ref="X222:AM237" si="52">IF(AND($G222&gt;=X$3,$G222&lt;X$4),$F222,0)</f>
        <v>0</v>
      </c>
      <c r="Y222">
        <f t="shared" si="52"/>
        <v>0</v>
      </c>
      <c r="Z222">
        <f t="shared" si="49"/>
        <v>0</v>
      </c>
      <c r="AA222">
        <f t="shared" si="49"/>
        <v>0</v>
      </c>
      <c r="AB222">
        <f t="shared" si="49"/>
        <v>0</v>
      </c>
      <c r="AC222">
        <f t="shared" si="49"/>
        <v>0</v>
      </c>
      <c r="AD222">
        <f t="shared" si="49"/>
        <v>0</v>
      </c>
      <c r="AE222">
        <f t="shared" si="49"/>
        <v>0</v>
      </c>
      <c r="AF222">
        <f t="shared" si="49"/>
        <v>0</v>
      </c>
      <c r="AG222">
        <f t="shared" si="49"/>
        <v>0</v>
      </c>
      <c r="AH222">
        <f t="shared" si="49"/>
        <v>0</v>
      </c>
      <c r="AI222">
        <f t="shared" si="49"/>
        <v>0</v>
      </c>
      <c r="AJ222">
        <f t="shared" si="49"/>
        <v>0</v>
      </c>
      <c r="AK222">
        <f t="shared" si="51"/>
        <v>0</v>
      </c>
      <c r="AL222">
        <f t="shared" si="51"/>
        <v>0</v>
      </c>
      <c r="AM222">
        <f t="shared" si="51"/>
        <v>0</v>
      </c>
      <c r="AN222">
        <f t="shared" si="51"/>
        <v>0</v>
      </c>
      <c r="AO222">
        <f t="shared" si="51"/>
        <v>0</v>
      </c>
      <c r="AP222">
        <f t="shared" si="51"/>
        <v>0</v>
      </c>
      <c r="AQ222">
        <f t="shared" si="51"/>
        <v>0</v>
      </c>
      <c r="AR222">
        <f t="shared" si="51"/>
        <v>0</v>
      </c>
    </row>
    <row r="223" spans="5:44" x14ac:dyDescent="0.2">
      <c r="E223" s="1">
        <f>moment_rate!$M223</f>
        <v>12.17075270262961</v>
      </c>
      <c r="F223" s="1">
        <f t="shared" si="47"/>
        <v>0.24948889253412787</v>
      </c>
      <c r="G223">
        <f>moment_rate!I223-0.005</f>
        <v>2.1599999999999979</v>
      </c>
      <c r="H223" s="1">
        <f t="shared" si="48"/>
        <v>0</v>
      </c>
      <c r="I223">
        <f t="shared" ref="I223:X238" si="53">IF(AND($G223&gt;=I$3,$G223&lt;I$4),$F223,0)</f>
        <v>0</v>
      </c>
      <c r="J223">
        <f t="shared" si="53"/>
        <v>0</v>
      </c>
      <c r="K223">
        <f t="shared" si="53"/>
        <v>0</v>
      </c>
      <c r="L223">
        <f t="shared" si="53"/>
        <v>0</v>
      </c>
      <c r="M223">
        <f t="shared" si="53"/>
        <v>0</v>
      </c>
      <c r="N223">
        <f t="shared" si="53"/>
        <v>0</v>
      </c>
      <c r="O223">
        <f t="shared" si="53"/>
        <v>0</v>
      </c>
      <c r="P223">
        <f t="shared" si="53"/>
        <v>0</v>
      </c>
      <c r="Q223">
        <f t="shared" si="53"/>
        <v>0</v>
      </c>
      <c r="R223">
        <f t="shared" si="53"/>
        <v>0</v>
      </c>
      <c r="S223">
        <f t="shared" si="53"/>
        <v>0</v>
      </c>
      <c r="T223">
        <f t="shared" si="53"/>
        <v>0</v>
      </c>
      <c r="U223">
        <f t="shared" si="53"/>
        <v>0</v>
      </c>
      <c r="V223">
        <f t="shared" si="53"/>
        <v>0</v>
      </c>
      <c r="W223">
        <f t="shared" si="53"/>
        <v>0</v>
      </c>
      <c r="X223">
        <f t="shared" si="53"/>
        <v>0</v>
      </c>
      <c r="Y223">
        <f t="shared" si="52"/>
        <v>0</v>
      </c>
      <c r="Z223">
        <f t="shared" si="49"/>
        <v>0</v>
      </c>
      <c r="AA223">
        <f t="shared" si="49"/>
        <v>0</v>
      </c>
      <c r="AB223">
        <f t="shared" si="49"/>
        <v>0</v>
      </c>
      <c r="AC223">
        <f t="shared" si="49"/>
        <v>0</v>
      </c>
      <c r="AD223">
        <f t="shared" si="49"/>
        <v>0</v>
      </c>
      <c r="AE223">
        <f t="shared" si="49"/>
        <v>0</v>
      </c>
      <c r="AF223">
        <f t="shared" si="49"/>
        <v>0</v>
      </c>
      <c r="AG223">
        <f t="shared" si="49"/>
        <v>0</v>
      </c>
      <c r="AH223">
        <f t="shared" si="49"/>
        <v>0</v>
      </c>
      <c r="AI223">
        <f t="shared" si="49"/>
        <v>0</v>
      </c>
      <c r="AJ223">
        <f t="shared" si="49"/>
        <v>0</v>
      </c>
      <c r="AK223">
        <f t="shared" si="51"/>
        <v>0</v>
      </c>
      <c r="AL223">
        <f t="shared" si="51"/>
        <v>0</v>
      </c>
      <c r="AM223">
        <f t="shared" si="51"/>
        <v>0</v>
      </c>
      <c r="AN223">
        <f t="shared" si="51"/>
        <v>0</v>
      </c>
      <c r="AO223">
        <f t="shared" si="51"/>
        <v>0</v>
      </c>
      <c r="AP223">
        <f t="shared" si="51"/>
        <v>0</v>
      </c>
      <c r="AQ223">
        <f t="shared" si="51"/>
        <v>0</v>
      </c>
      <c r="AR223">
        <f t="shared" si="51"/>
        <v>0</v>
      </c>
    </row>
    <row r="224" spans="5:44" x14ac:dyDescent="0.2">
      <c r="E224" s="1">
        <f>moment_rate!$M224</f>
        <v>11.921263810095482</v>
      </c>
      <c r="F224" s="1">
        <f t="shared" si="47"/>
        <v>0.24437187170788732</v>
      </c>
      <c r="G224">
        <f>moment_rate!I224-0.005</f>
        <v>2.1699999999999977</v>
      </c>
      <c r="H224" s="1">
        <f t="shared" si="48"/>
        <v>0</v>
      </c>
      <c r="I224">
        <f t="shared" si="53"/>
        <v>0</v>
      </c>
      <c r="J224">
        <f t="shared" si="53"/>
        <v>0</v>
      </c>
      <c r="K224">
        <f t="shared" si="53"/>
        <v>0</v>
      </c>
      <c r="L224">
        <f t="shared" si="53"/>
        <v>0</v>
      </c>
      <c r="M224">
        <f t="shared" si="53"/>
        <v>0</v>
      </c>
      <c r="N224">
        <f t="shared" si="53"/>
        <v>0</v>
      </c>
      <c r="O224">
        <f t="shared" si="53"/>
        <v>0</v>
      </c>
      <c r="P224">
        <f t="shared" si="53"/>
        <v>0</v>
      </c>
      <c r="Q224">
        <f t="shared" si="53"/>
        <v>0</v>
      </c>
      <c r="R224">
        <f t="shared" si="53"/>
        <v>0</v>
      </c>
      <c r="S224">
        <f t="shared" si="53"/>
        <v>0</v>
      </c>
      <c r="T224">
        <f t="shared" si="53"/>
        <v>0</v>
      </c>
      <c r="U224">
        <f t="shared" si="53"/>
        <v>0</v>
      </c>
      <c r="V224">
        <f t="shared" si="53"/>
        <v>0</v>
      </c>
      <c r="W224">
        <f t="shared" si="53"/>
        <v>0</v>
      </c>
      <c r="X224">
        <f t="shared" si="53"/>
        <v>0</v>
      </c>
      <c r="Y224">
        <f t="shared" si="52"/>
        <v>0</v>
      </c>
      <c r="Z224">
        <f t="shared" si="49"/>
        <v>0</v>
      </c>
      <c r="AA224">
        <f t="shared" si="49"/>
        <v>0</v>
      </c>
      <c r="AB224">
        <f t="shared" si="49"/>
        <v>0</v>
      </c>
      <c r="AC224">
        <f t="shared" si="49"/>
        <v>0</v>
      </c>
      <c r="AD224">
        <f t="shared" si="49"/>
        <v>0</v>
      </c>
      <c r="AE224">
        <f t="shared" si="49"/>
        <v>0</v>
      </c>
      <c r="AF224">
        <f t="shared" si="49"/>
        <v>0</v>
      </c>
      <c r="AG224">
        <f t="shared" si="49"/>
        <v>0</v>
      </c>
      <c r="AH224">
        <f t="shared" si="49"/>
        <v>0</v>
      </c>
      <c r="AI224">
        <f t="shared" si="49"/>
        <v>0</v>
      </c>
      <c r="AJ224">
        <f t="shared" si="49"/>
        <v>0</v>
      </c>
      <c r="AK224">
        <f t="shared" si="51"/>
        <v>0</v>
      </c>
      <c r="AL224">
        <f t="shared" si="51"/>
        <v>0</v>
      </c>
      <c r="AM224">
        <f t="shared" si="51"/>
        <v>0</v>
      </c>
      <c r="AN224">
        <f t="shared" si="51"/>
        <v>0</v>
      </c>
      <c r="AO224">
        <f t="shared" si="51"/>
        <v>0</v>
      </c>
      <c r="AP224">
        <f t="shared" si="51"/>
        <v>0</v>
      </c>
      <c r="AQ224">
        <f t="shared" si="51"/>
        <v>0</v>
      </c>
      <c r="AR224">
        <f t="shared" si="51"/>
        <v>0</v>
      </c>
    </row>
    <row r="225" spans="5:44" x14ac:dyDescent="0.2">
      <c r="E225" s="1">
        <f>moment_rate!$M225</f>
        <v>11.676891938387595</v>
      </c>
      <c r="F225" s="1">
        <f t="shared" si="47"/>
        <v>0.239359801053455</v>
      </c>
      <c r="G225">
        <f>moment_rate!I225-0.005</f>
        <v>2.1799999999999975</v>
      </c>
      <c r="H225" s="1">
        <f t="shared" si="48"/>
        <v>0</v>
      </c>
      <c r="I225">
        <f t="shared" si="53"/>
        <v>0</v>
      </c>
      <c r="J225">
        <f t="shared" si="53"/>
        <v>0</v>
      </c>
      <c r="K225">
        <f t="shared" si="53"/>
        <v>0</v>
      </c>
      <c r="L225">
        <f t="shared" si="53"/>
        <v>0</v>
      </c>
      <c r="M225">
        <f t="shared" si="53"/>
        <v>0</v>
      </c>
      <c r="N225">
        <f t="shared" si="53"/>
        <v>0</v>
      </c>
      <c r="O225">
        <f t="shared" si="53"/>
        <v>0</v>
      </c>
      <c r="P225">
        <f t="shared" si="53"/>
        <v>0</v>
      </c>
      <c r="Q225">
        <f t="shared" si="53"/>
        <v>0</v>
      </c>
      <c r="R225">
        <f t="shared" si="53"/>
        <v>0</v>
      </c>
      <c r="S225">
        <f t="shared" si="53"/>
        <v>0</v>
      </c>
      <c r="T225">
        <f t="shared" si="53"/>
        <v>0</v>
      </c>
      <c r="U225">
        <f t="shared" si="53"/>
        <v>0</v>
      </c>
      <c r="V225">
        <f t="shared" si="53"/>
        <v>0</v>
      </c>
      <c r="W225">
        <f t="shared" si="53"/>
        <v>0</v>
      </c>
      <c r="X225">
        <f t="shared" si="53"/>
        <v>0</v>
      </c>
      <c r="Y225">
        <f t="shared" si="52"/>
        <v>0</v>
      </c>
      <c r="Z225">
        <f t="shared" si="49"/>
        <v>0</v>
      </c>
      <c r="AA225">
        <f t="shared" si="49"/>
        <v>0</v>
      </c>
      <c r="AB225">
        <f t="shared" si="49"/>
        <v>0</v>
      </c>
      <c r="AC225">
        <f t="shared" si="49"/>
        <v>0</v>
      </c>
      <c r="AD225">
        <f t="shared" si="49"/>
        <v>0</v>
      </c>
      <c r="AE225">
        <f t="shared" si="49"/>
        <v>0</v>
      </c>
      <c r="AF225">
        <f t="shared" si="49"/>
        <v>0</v>
      </c>
      <c r="AG225">
        <f>IF(AND($G225&gt;=AG$3,$G225&lt;AG$4),$F225,0)</f>
        <v>0</v>
      </c>
      <c r="AH225">
        <f>IF(AND($G225&gt;=AH$3,$G225&lt;AH$4),$F225,0)</f>
        <v>0</v>
      </c>
      <c r="AI225">
        <f>IF(AND($G225&gt;=AI$3,$G225&lt;AI$4),$F225,0)</f>
        <v>0</v>
      </c>
      <c r="AJ225">
        <f>IF(AND($G225&gt;=AJ$3,$G225&lt;AJ$4),$F225,0)</f>
        <v>0</v>
      </c>
      <c r="AK225">
        <f t="shared" si="51"/>
        <v>0</v>
      </c>
      <c r="AL225">
        <f t="shared" si="51"/>
        <v>0</v>
      </c>
      <c r="AM225">
        <f t="shared" si="51"/>
        <v>0</v>
      </c>
      <c r="AN225">
        <f t="shared" si="51"/>
        <v>0</v>
      </c>
      <c r="AO225">
        <f t="shared" si="51"/>
        <v>0</v>
      </c>
      <c r="AP225">
        <f t="shared" si="51"/>
        <v>0</v>
      </c>
      <c r="AQ225">
        <f t="shared" si="51"/>
        <v>0</v>
      </c>
      <c r="AR225">
        <f t="shared" si="51"/>
        <v>0</v>
      </c>
    </row>
    <row r="226" spans="5:44" x14ac:dyDescent="0.2">
      <c r="E226" s="1">
        <f>moment_rate!$M226</f>
        <v>11.43753213733414</v>
      </c>
      <c r="F226" s="1">
        <f t="shared" si="47"/>
        <v>0.23445052804127364</v>
      </c>
      <c r="G226">
        <f>moment_rate!I226-0.005</f>
        <v>2.1899999999999973</v>
      </c>
      <c r="H226" s="1">
        <f t="shared" si="48"/>
        <v>0</v>
      </c>
      <c r="I226">
        <f t="shared" si="53"/>
        <v>0</v>
      </c>
      <c r="J226">
        <f t="shared" si="53"/>
        <v>0</v>
      </c>
      <c r="K226">
        <f t="shared" si="53"/>
        <v>0</v>
      </c>
      <c r="L226">
        <f t="shared" si="53"/>
        <v>0</v>
      </c>
      <c r="M226">
        <f t="shared" si="53"/>
        <v>0</v>
      </c>
      <c r="N226">
        <f t="shared" si="53"/>
        <v>0</v>
      </c>
      <c r="O226">
        <f t="shared" si="53"/>
        <v>0</v>
      </c>
      <c r="P226">
        <f t="shared" si="53"/>
        <v>0</v>
      </c>
      <c r="Q226">
        <f t="shared" si="53"/>
        <v>0</v>
      </c>
      <c r="R226">
        <f t="shared" si="53"/>
        <v>0</v>
      </c>
      <c r="S226">
        <f t="shared" si="53"/>
        <v>0</v>
      </c>
      <c r="T226">
        <f t="shared" si="53"/>
        <v>0</v>
      </c>
      <c r="U226">
        <f t="shared" si="53"/>
        <v>0</v>
      </c>
      <c r="V226">
        <f t="shared" si="53"/>
        <v>0</v>
      </c>
      <c r="W226">
        <f t="shared" si="53"/>
        <v>0</v>
      </c>
      <c r="X226">
        <f t="shared" si="53"/>
        <v>0</v>
      </c>
      <c r="Y226">
        <f t="shared" si="52"/>
        <v>0</v>
      </c>
      <c r="Z226">
        <f t="shared" si="52"/>
        <v>0</v>
      </c>
      <c r="AA226">
        <f t="shared" si="52"/>
        <v>0</v>
      </c>
      <c r="AB226">
        <f t="shared" si="52"/>
        <v>0</v>
      </c>
      <c r="AC226">
        <f t="shared" si="52"/>
        <v>0</v>
      </c>
      <c r="AD226">
        <f t="shared" si="52"/>
        <v>0</v>
      </c>
      <c r="AE226">
        <f t="shared" si="52"/>
        <v>0</v>
      </c>
      <c r="AF226">
        <f t="shared" si="52"/>
        <v>0</v>
      </c>
      <c r="AG226">
        <f t="shared" si="52"/>
        <v>0</v>
      </c>
      <c r="AH226">
        <f t="shared" si="52"/>
        <v>0</v>
      </c>
      <c r="AI226">
        <f t="shared" si="52"/>
        <v>0</v>
      </c>
      <c r="AJ226">
        <f t="shared" si="52"/>
        <v>0</v>
      </c>
      <c r="AK226">
        <f t="shared" si="51"/>
        <v>0</v>
      </c>
      <c r="AL226">
        <f t="shared" si="51"/>
        <v>0</v>
      </c>
      <c r="AM226">
        <f t="shared" si="51"/>
        <v>0</v>
      </c>
      <c r="AN226">
        <f t="shared" si="51"/>
        <v>0</v>
      </c>
      <c r="AO226">
        <f t="shared" si="51"/>
        <v>0</v>
      </c>
      <c r="AP226">
        <f t="shared" si="51"/>
        <v>0</v>
      </c>
      <c r="AQ226">
        <f t="shared" si="51"/>
        <v>0</v>
      </c>
      <c r="AR226">
        <f t="shared" si="51"/>
        <v>0</v>
      </c>
    </row>
    <row r="227" spans="5:44" x14ac:dyDescent="0.2">
      <c r="E227" s="1">
        <f>moment_rate!$M227</f>
        <v>11.203081609292866</v>
      </c>
      <c r="F227" s="1">
        <f t="shared" si="47"/>
        <v>0.22964194429021134</v>
      </c>
      <c r="G227">
        <f>moment_rate!I227-0.005</f>
        <v>2.1999999999999971</v>
      </c>
      <c r="H227" s="1">
        <f t="shared" si="48"/>
        <v>0</v>
      </c>
      <c r="I227">
        <f t="shared" si="53"/>
        <v>0</v>
      </c>
      <c r="J227">
        <f t="shared" si="53"/>
        <v>0</v>
      </c>
      <c r="K227">
        <f t="shared" si="53"/>
        <v>0</v>
      </c>
      <c r="L227">
        <f t="shared" si="53"/>
        <v>0</v>
      </c>
      <c r="M227">
        <f t="shared" si="53"/>
        <v>0</v>
      </c>
      <c r="N227">
        <f t="shared" si="53"/>
        <v>0</v>
      </c>
      <c r="O227">
        <f t="shared" si="53"/>
        <v>0</v>
      </c>
      <c r="P227">
        <f t="shared" si="53"/>
        <v>0</v>
      </c>
      <c r="Q227">
        <f t="shared" si="53"/>
        <v>0</v>
      </c>
      <c r="R227">
        <f t="shared" si="53"/>
        <v>0</v>
      </c>
      <c r="S227">
        <f t="shared" si="53"/>
        <v>0</v>
      </c>
      <c r="T227">
        <f t="shared" si="53"/>
        <v>0</v>
      </c>
      <c r="U227">
        <f t="shared" si="53"/>
        <v>0</v>
      </c>
      <c r="V227">
        <f t="shared" si="53"/>
        <v>0</v>
      </c>
      <c r="W227">
        <f t="shared" si="53"/>
        <v>0</v>
      </c>
      <c r="X227">
        <f t="shared" si="53"/>
        <v>0</v>
      </c>
      <c r="Y227">
        <f t="shared" si="52"/>
        <v>0</v>
      </c>
      <c r="Z227">
        <f t="shared" si="52"/>
        <v>0</v>
      </c>
      <c r="AA227">
        <f t="shared" si="52"/>
        <v>0</v>
      </c>
      <c r="AB227">
        <f t="shared" si="52"/>
        <v>0</v>
      </c>
      <c r="AC227">
        <f t="shared" si="52"/>
        <v>0</v>
      </c>
      <c r="AD227">
        <f t="shared" si="52"/>
        <v>0</v>
      </c>
      <c r="AE227">
        <f t="shared" si="52"/>
        <v>0</v>
      </c>
      <c r="AF227">
        <f t="shared" si="52"/>
        <v>0</v>
      </c>
      <c r="AG227">
        <f t="shared" si="52"/>
        <v>0</v>
      </c>
      <c r="AH227">
        <f t="shared" si="52"/>
        <v>0</v>
      </c>
      <c r="AI227">
        <f t="shared" si="52"/>
        <v>0</v>
      </c>
      <c r="AJ227">
        <f t="shared" si="52"/>
        <v>0</v>
      </c>
      <c r="AK227">
        <f t="shared" si="51"/>
        <v>0</v>
      </c>
      <c r="AL227">
        <f t="shared" si="51"/>
        <v>0</v>
      </c>
      <c r="AM227">
        <f t="shared" si="51"/>
        <v>0</v>
      </c>
      <c r="AN227">
        <f t="shared" si="51"/>
        <v>0</v>
      </c>
      <c r="AO227">
        <f t="shared" si="51"/>
        <v>0</v>
      </c>
      <c r="AP227">
        <f t="shared" si="51"/>
        <v>0</v>
      </c>
      <c r="AQ227">
        <f t="shared" si="51"/>
        <v>0</v>
      </c>
      <c r="AR227">
        <f t="shared" si="51"/>
        <v>0</v>
      </c>
    </row>
    <row r="228" spans="5:44" x14ac:dyDescent="0.2">
      <c r="E228" s="1">
        <f>moment_rate!$M228</f>
        <v>10.973439665002655</v>
      </c>
      <c r="F228" s="1">
        <f t="shared" si="47"/>
        <v>0.22493198466204767</v>
      </c>
      <c r="G228">
        <f>moment_rate!I228-0.005</f>
        <v>2.2099999999999969</v>
      </c>
      <c r="H228" s="1">
        <f t="shared" si="48"/>
        <v>0</v>
      </c>
      <c r="I228">
        <f t="shared" si="53"/>
        <v>0</v>
      </c>
      <c r="J228">
        <f t="shared" si="53"/>
        <v>0</v>
      </c>
      <c r="K228">
        <f t="shared" si="53"/>
        <v>0</v>
      </c>
      <c r="L228">
        <f t="shared" si="53"/>
        <v>0</v>
      </c>
      <c r="M228">
        <f t="shared" si="53"/>
        <v>0</v>
      </c>
      <c r="N228">
        <f t="shared" si="53"/>
        <v>0</v>
      </c>
      <c r="O228">
        <f t="shared" si="53"/>
        <v>0</v>
      </c>
      <c r="P228">
        <f t="shared" si="53"/>
        <v>0</v>
      </c>
      <c r="Q228">
        <f t="shared" si="53"/>
        <v>0</v>
      </c>
      <c r="R228">
        <f t="shared" si="53"/>
        <v>0</v>
      </c>
      <c r="S228">
        <f t="shared" si="53"/>
        <v>0</v>
      </c>
      <c r="T228">
        <f t="shared" si="53"/>
        <v>0</v>
      </c>
      <c r="U228">
        <f t="shared" si="53"/>
        <v>0</v>
      </c>
      <c r="V228">
        <f t="shared" si="53"/>
        <v>0</v>
      </c>
      <c r="W228">
        <f t="shared" si="53"/>
        <v>0</v>
      </c>
      <c r="X228">
        <f t="shared" si="53"/>
        <v>0</v>
      </c>
      <c r="Y228">
        <f t="shared" si="52"/>
        <v>0</v>
      </c>
      <c r="Z228">
        <f t="shared" si="52"/>
        <v>0</v>
      </c>
      <c r="AA228">
        <f t="shared" si="52"/>
        <v>0</v>
      </c>
      <c r="AB228">
        <f t="shared" si="52"/>
        <v>0</v>
      </c>
      <c r="AC228">
        <f t="shared" si="52"/>
        <v>0</v>
      </c>
      <c r="AD228">
        <f t="shared" si="52"/>
        <v>0</v>
      </c>
      <c r="AE228">
        <f t="shared" si="52"/>
        <v>0</v>
      </c>
      <c r="AF228">
        <f t="shared" si="52"/>
        <v>0</v>
      </c>
      <c r="AG228">
        <f t="shared" si="52"/>
        <v>0</v>
      </c>
      <c r="AH228">
        <f t="shared" si="52"/>
        <v>0</v>
      </c>
      <c r="AI228">
        <f t="shared" si="52"/>
        <v>0</v>
      </c>
      <c r="AJ228">
        <f t="shared" si="52"/>
        <v>0</v>
      </c>
      <c r="AK228">
        <f t="shared" si="51"/>
        <v>0</v>
      </c>
      <c r="AL228">
        <f t="shared" si="51"/>
        <v>0</v>
      </c>
      <c r="AM228">
        <f t="shared" si="51"/>
        <v>0</v>
      </c>
      <c r="AN228">
        <f t="shared" si="51"/>
        <v>0</v>
      </c>
      <c r="AO228">
        <f t="shared" si="51"/>
        <v>0</v>
      </c>
      <c r="AP228">
        <f t="shared" si="51"/>
        <v>0</v>
      </c>
      <c r="AQ228">
        <f t="shared" si="51"/>
        <v>0</v>
      </c>
      <c r="AR228">
        <f t="shared" si="51"/>
        <v>0</v>
      </c>
    </row>
    <row r="229" spans="5:44" x14ac:dyDescent="0.2">
      <c r="E229" s="1">
        <f>moment_rate!$M229</f>
        <v>10.748507680340607</v>
      </c>
      <c r="F229" s="1">
        <f t="shared" si="47"/>
        <v>0.220318626374576</v>
      </c>
      <c r="G229">
        <f>moment_rate!I229-0.005</f>
        <v>2.2199999999999966</v>
      </c>
      <c r="H229" s="1">
        <f t="shared" si="48"/>
        <v>0</v>
      </c>
      <c r="I229">
        <f t="shared" si="53"/>
        <v>0</v>
      </c>
      <c r="J229">
        <f t="shared" si="53"/>
        <v>0</v>
      </c>
      <c r="K229">
        <f t="shared" si="53"/>
        <v>0</v>
      </c>
      <c r="L229">
        <f t="shared" si="53"/>
        <v>0</v>
      </c>
      <c r="M229">
        <f t="shared" si="53"/>
        <v>0</v>
      </c>
      <c r="N229">
        <f t="shared" si="53"/>
        <v>0</v>
      </c>
      <c r="O229">
        <f t="shared" si="53"/>
        <v>0</v>
      </c>
      <c r="P229">
        <f t="shared" si="53"/>
        <v>0</v>
      </c>
      <c r="Q229">
        <f t="shared" si="53"/>
        <v>0</v>
      </c>
      <c r="R229">
        <f t="shared" si="53"/>
        <v>0</v>
      </c>
      <c r="S229">
        <f t="shared" si="53"/>
        <v>0</v>
      </c>
      <c r="T229">
        <f t="shared" si="53"/>
        <v>0</v>
      </c>
      <c r="U229">
        <f t="shared" si="53"/>
        <v>0</v>
      </c>
      <c r="V229">
        <f t="shared" si="53"/>
        <v>0</v>
      </c>
      <c r="W229">
        <f t="shared" si="53"/>
        <v>0</v>
      </c>
      <c r="X229">
        <f t="shared" si="53"/>
        <v>0</v>
      </c>
      <c r="Y229">
        <f t="shared" si="52"/>
        <v>0</v>
      </c>
      <c r="Z229">
        <f t="shared" si="52"/>
        <v>0</v>
      </c>
      <c r="AA229">
        <f t="shared" si="52"/>
        <v>0</v>
      </c>
      <c r="AB229">
        <f t="shared" si="52"/>
        <v>0</v>
      </c>
      <c r="AC229">
        <f t="shared" si="52"/>
        <v>0</v>
      </c>
      <c r="AD229">
        <f t="shared" si="52"/>
        <v>0</v>
      </c>
      <c r="AE229">
        <f t="shared" si="52"/>
        <v>0</v>
      </c>
      <c r="AF229">
        <f t="shared" si="52"/>
        <v>0</v>
      </c>
      <c r="AG229">
        <f t="shared" si="52"/>
        <v>0</v>
      </c>
      <c r="AH229">
        <f t="shared" si="52"/>
        <v>0</v>
      </c>
      <c r="AI229">
        <f t="shared" si="52"/>
        <v>0</v>
      </c>
      <c r="AJ229">
        <f t="shared" si="52"/>
        <v>0</v>
      </c>
      <c r="AK229">
        <f t="shared" si="51"/>
        <v>0</v>
      </c>
      <c r="AL229">
        <f t="shared" si="51"/>
        <v>0</v>
      </c>
      <c r="AM229">
        <f t="shared" si="51"/>
        <v>0</v>
      </c>
      <c r="AN229">
        <f t="shared" si="51"/>
        <v>0</v>
      </c>
      <c r="AO229">
        <f t="shared" si="51"/>
        <v>0</v>
      </c>
      <c r="AP229">
        <f t="shared" si="51"/>
        <v>0</v>
      </c>
      <c r="AQ229">
        <f t="shared" si="51"/>
        <v>0</v>
      </c>
      <c r="AR229">
        <f t="shared" si="51"/>
        <v>0</v>
      </c>
    </row>
    <row r="230" spans="5:44" x14ac:dyDescent="0.2">
      <c r="E230" s="1">
        <f>moment_rate!$M230</f>
        <v>10.528189053966031</v>
      </c>
      <c r="F230" s="1">
        <f t="shared" si="47"/>
        <v>0.21579988813289752</v>
      </c>
      <c r="G230">
        <f>moment_rate!I230-0.005</f>
        <v>2.2299999999999964</v>
      </c>
      <c r="H230" s="1">
        <f t="shared" si="48"/>
        <v>0</v>
      </c>
      <c r="I230">
        <f t="shared" si="53"/>
        <v>0</v>
      </c>
      <c r="J230">
        <f t="shared" si="53"/>
        <v>0</v>
      </c>
      <c r="K230">
        <f t="shared" si="53"/>
        <v>0</v>
      </c>
      <c r="L230">
        <f t="shared" si="53"/>
        <v>0</v>
      </c>
      <c r="M230">
        <f t="shared" si="53"/>
        <v>0</v>
      </c>
      <c r="N230">
        <f t="shared" si="53"/>
        <v>0</v>
      </c>
      <c r="O230">
        <f t="shared" si="53"/>
        <v>0</v>
      </c>
      <c r="P230">
        <f t="shared" si="53"/>
        <v>0</v>
      </c>
      <c r="Q230">
        <f t="shared" si="53"/>
        <v>0</v>
      </c>
      <c r="R230">
        <f t="shared" si="53"/>
        <v>0</v>
      </c>
      <c r="S230">
        <f t="shared" si="53"/>
        <v>0</v>
      </c>
      <c r="T230">
        <f t="shared" si="53"/>
        <v>0</v>
      </c>
      <c r="U230">
        <f t="shared" si="53"/>
        <v>0</v>
      </c>
      <c r="V230">
        <f t="shared" si="53"/>
        <v>0</v>
      </c>
      <c r="W230">
        <f t="shared" si="53"/>
        <v>0</v>
      </c>
      <c r="X230">
        <f t="shared" si="53"/>
        <v>0</v>
      </c>
      <c r="Y230">
        <f t="shared" si="52"/>
        <v>0</v>
      </c>
      <c r="Z230">
        <f t="shared" si="52"/>
        <v>0</v>
      </c>
      <c r="AA230">
        <f t="shared" si="52"/>
        <v>0</v>
      </c>
      <c r="AB230">
        <f t="shared" si="52"/>
        <v>0</v>
      </c>
      <c r="AC230">
        <f t="shared" si="52"/>
        <v>0</v>
      </c>
      <c r="AD230">
        <f t="shared" si="52"/>
        <v>0</v>
      </c>
      <c r="AE230">
        <f t="shared" si="52"/>
        <v>0</v>
      </c>
      <c r="AF230">
        <f t="shared" si="52"/>
        <v>0</v>
      </c>
      <c r="AG230">
        <f t="shared" si="52"/>
        <v>0</v>
      </c>
      <c r="AH230">
        <f t="shared" si="52"/>
        <v>0</v>
      </c>
      <c r="AI230">
        <f t="shared" si="52"/>
        <v>0</v>
      </c>
      <c r="AJ230">
        <f t="shared" si="52"/>
        <v>0</v>
      </c>
      <c r="AK230">
        <f t="shared" si="51"/>
        <v>0</v>
      </c>
      <c r="AL230">
        <f t="shared" si="51"/>
        <v>0</v>
      </c>
      <c r="AM230">
        <f t="shared" si="51"/>
        <v>0</v>
      </c>
      <c r="AN230">
        <f t="shared" si="51"/>
        <v>0</v>
      </c>
      <c r="AO230">
        <f t="shared" si="51"/>
        <v>0</v>
      </c>
      <c r="AP230">
        <f t="shared" si="51"/>
        <v>0</v>
      </c>
      <c r="AQ230">
        <f t="shared" si="51"/>
        <v>0</v>
      </c>
      <c r="AR230">
        <f t="shared" si="51"/>
        <v>0</v>
      </c>
    </row>
    <row r="231" spans="5:44" x14ac:dyDescent="0.2">
      <c r="E231" s="1">
        <f>moment_rate!$M231</f>
        <v>10.312389165833133</v>
      </c>
      <c r="F231" s="1">
        <f t="shared" si="47"/>
        <v>0.21137382927849124</v>
      </c>
      <c r="G231">
        <f>moment_rate!I231-0.005</f>
        <v>2.2399999999999962</v>
      </c>
      <c r="H231" s="1">
        <f t="shared" si="48"/>
        <v>0</v>
      </c>
      <c r="I231">
        <f t="shared" si="53"/>
        <v>0</v>
      </c>
      <c r="J231">
        <f t="shared" si="53"/>
        <v>0</v>
      </c>
      <c r="K231">
        <f t="shared" si="53"/>
        <v>0</v>
      </c>
      <c r="L231">
        <f t="shared" si="53"/>
        <v>0</v>
      </c>
      <c r="M231">
        <f t="shared" si="53"/>
        <v>0</v>
      </c>
      <c r="N231">
        <f t="shared" si="53"/>
        <v>0</v>
      </c>
      <c r="O231">
        <f t="shared" si="53"/>
        <v>0</v>
      </c>
      <c r="P231">
        <f t="shared" si="53"/>
        <v>0</v>
      </c>
      <c r="Q231">
        <f t="shared" si="53"/>
        <v>0</v>
      </c>
      <c r="R231">
        <f t="shared" si="53"/>
        <v>0</v>
      </c>
      <c r="S231">
        <f t="shared" si="53"/>
        <v>0</v>
      </c>
      <c r="T231">
        <f t="shared" si="53"/>
        <v>0</v>
      </c>
      <c r="U231">
        <f t="shared" si="53"/>
        <v>0</v>
      </c>
      <c r="V231">
        <f t="shared" si="53"/>
        <v>0</v>
      </c>
      <c r="W231">
        <f t="shared" si="53"/>
        <v>0</v>
      </c>
      <c r="X231">
        <f t="shared" si="53"/>
        <v>0</v>
      </c>
      <c r="Y231">
        <f t="shared" si="52"/>
        <v>0</v>
      </c>
      <c r="Z231">
        <f t="shared" si="52"/>
        <v>0</v>
      </c>
      <c r="AA231">
        <f t="shared" si="52"/>
        <v>0</v>
      </c>
      <c r="AB231">
        <f t="shared" si="52"/>
        <v>0</v>
      </c>
      <c r="AC231">
        <f t="shared" si="52"/>
        <v>0</v>
      </c>
      <c r="AD231">
        <f t="shared" si="52"/>
        <v>0</v>
      </c>
      <c r="AE231">
        <f t="shared" si="52"/>
        <v>0</v>
      </c>
      <c r="AF231">
        <f t="shared" si="52"/>
        <v>0</v>
      </c>
      <c r="AG231">
        <f t="shared" si="52"/>
        <v>0</v>
      </c>
      <c r="AH231">
        <f t="shared" si="52"/>
        <v>0</v>
      </c>
      <c r="AI231">
        <f t="shared" si="52"/>
        <v>0</v>
      </c>
      <c r="AJ231">
        <f t="shared" si="52"/>
        <v>0</v>
      </c>
      <c r="AK231">
        <f t="shared" si="51"/>
        <v>0</v>
      </c>
      <c r="AL231">
        <f t="shared" si="51"/>
        <v>0</v>
      </c>
      <c r="AM231">
        <f t="shared" si="51"/>
        <v>0</v>
      </c>
      <c r="AN231">
        <f t="shared" si="51"/>
        <v>0</v>
      </c>
      <c r="AO231">
        <f t="shared" si="51"/>
        <v>0</v>
      </c>
      <c r="AP231">
        <f t="shared" si="51"/>
        <v>0</v>
      </c>
      <c r="AQ231">
        <f t="shared" si="51"/>
        <v>0</v>
      </c>
      <c r="AR231">
        <f t="shared" si="51"/>
        <v>0</v>
      </c>
    </row>
    <row r="232" spans="5:44" x14ac:dyDescent="0.2">
      <c r="E232" s="1">
        <f>moment_rate!$M232</f>
        <v>10.101015336554642</v>
      </c>
      <c r="F232" s="1">
        <f t="shared" si="47"/>
        <v>0.20703854895577045</v>
      </c>
      <c r="G232">
        <f>moment_rate!I232-0.005</f>
        <v>2.249999999999996</v>
      </c>
      <c r="H232" s="1">
        <f t="shared" si="48"/>
        <v>0</v>
      </c>
      <c r="I232">
        <f t="shared" si="53"/>
        <v>0</v>
      </c>
      <c r="J232">
        <f t="shared" si="53"/>
        <v>0</v>
      </c>
      <c r="K232">
        <f t="shared" si="53"/>
        <v>0</v>
      </c>
      <c r="L232">
        <f t="shared" si="53"/>
        <v>0</v>
      </c>
      <c r="M232">
        <f t="shared" si="53"/>
        <v>0</v>
      </c>
      <c r="N232">
        <f t="shared" si="53"/>
        <v>0</v>
      </c>
      <c r="O232">
        <f t="shared" si="53"/>
        <v>0</v>
      </c>
      <c r="P232">
        <f t="shared" si="53"/>
        <v>0</v>
      </c>
      <c r="Q232">
        <f t="shared" si="53"/>
        <v>0</v>
      </c>
      <c r="R232">
        <f t="shared" si="53"/>
        <v>0</v>
      </c>
      <c r="S232">
        <f t="shared" si="53"/>
        <v>0</v>
      </c>
      <c r="T232">
        <f t="shared" si="53"/>
        <v>0</v>
      </c>
      <c r="U232">
        <f t="shared" si="53"/>
        <v>0</v>
      </c>
      <c r="V232">
        <f t="shared" si="53"/>
        <v>0</v>
      </c>
      <c r="W232">
        <f t="shared" si="53"/>
        <v>0</v>
      </c>
      <c r="X232">
        <f t="shared" si="53"/>
        <v>0</v>
      </c>
      <c r="Y232">
        <f t="shared" si="52"/>
        <v>0</v>
      </c>
      <c r="Z232">
        <f t="shared" si="52"/>
        <v>0</v>
      </c>
      <c r="AA232">
        <f t="shared" si="52"/>
        <v>0</v>
      </c>
      <c r="AB232">
        <f t="shared" si="52"/>
        <v>0</v>
      </c>
      <c r="AC232">
        <f t="shared" si="52"/>
        <v>0</v>
      </c>
      <c r="AD232">
        <f t="shared" si="52"/>
        <v>0</v>
      </c>
      <c r="AE232">
        <f t="shared" si="52"/>
        <v>0</v>
      </c>
      <c r="AF232">
        <f t="shared" si="52"/>
        <v>0</v>
      </c>
      <c r="AG232">
        <f t="shared" si="52"/>
        <v>0</v>
      </c>
      <c r="AH232">
        <f t="shared" si="52"/>
        <v>0</v>
      </c>
      <c r="AI232">
        <f t="shared" si="52"/>
        <v>0</v>
      </c>
      <c r="AJ232">
        <f t="shared" si="52"/>
        <v>0</v>
      </c>
      <c r="AK232">
        <f t="shared" si="51"/>
        <v>0</v>
      </c>
      <c r="AL232">
        <f t="shared" si="51"/>
        <v>0</v>
      </c>
      <c r="AM232">
        <f t="shared" si="51"/>
        <v>0</v>
      </c>
      <c r="AN232">
        <f t="shared" si="51"/>
        <v>0</v>
      </c>
      <c r="AO232">
        <f t="shared" si="51"/>
        <v>0</v>
      </c>
      <c r="AP232">
        <f t="shared" si="51"/>
        <v>0</v>
      </c>
      <c r="AQ232">
        <f t="shared" si="51"/>
        <v>0</v>
      </c>
      <c r="AR232">
        <f t="shared" si="51"/>
        <v>0</v>
      </c>
    </row>
    <row r="233" spans="5:44" x14ac:dyDescent="0.2">
      <c r="E233" s="1">
        <f>moment_rate!$M233</f>
        <v>9.8939767875988718</v>
      </c>
      <c r="F233" s="1">
        <f t="shared" si="47"/>
        <v>0.20279218529572418</v>
      </c>
      <c r="G233">
        <f>moment_rate!I233-0.005</f>
        <v>2.2599999999999958</v>
      </c>
      <c r="H233" s="1">
        <f t="shared" si="48"/>
        <v>0</v>
      </c>
      <c r="I233">
        <f t="shared" si="53"/>
        <v>0</v>
      </c>
      <c r="J233">
        <f t="shared" si="53"/>
        <v>0</v>
      </c>
      <c r="K233">
        <f t="shared" si="53"/>
        <v>0</v>
      </c>
      <c r="L233">
        <f t="shared" si="53"/>
        <v>0</v>
      </c>
      <c r="M233">
        <f t="shared" si="53"/>
        <v>0</v>
      </c>
      <c r="N233">
        <f t="shared" si="53"/>
        <v>0</v>
      </c>
      <c r="O233">
        <f t="shared" si="53"/>
        <v>0</v>
      </c>
      <c r="P233">
        <f t="shared" si="53"/>
        <v>0</v>
      </c>
      <c r="Q233">
        <f t="shared" si="53"/>
        <v>0</v>
      </c>
      <c r="R233">
        <f t="shared" si="53"/>
        <v>0</v>
      </c>
      <c r="S233">
        <f t="shared" si="53"/>
        <v>0</v>
      </c>
      <c r="T233">
        <f t="shared" si="53"/>
        <v>0</v>
      </c>
      <c r="U233">
        <f t="shared" si="53"/>
        <v>0</v>
      </c>
      <c r="V233">
        <f t="shared" si="53"/>
        <v>0</v>
      </c>
      <c r="W233">
        <f t="shared" si="53"/>
        <v>0</v>
      </c>
      <c r="X233">
        <f t="shared" si="53"/>
        <v>0</v>
      </c>
      <c r="Y233">
        <f t="shared" si="52"/>
        <v>0</v>
      </c>
      <c r="Z233">
        <f t="shared" si="52"/>
        <v>0</v>
      </c>
      <c r="AA233">
        <f t="shared" si="52"/>
        <v>0</v>
      </c>
      <c r="AB233">
        <f t="shared" si="52"/>
        <v>0</v>
      </c>
      <c r="AC233">
        <f t="shared" si="52"/>
        <v>0</v>
      </c>
      <c r="AD233">
        <f t="shared" si="52"/>
        <v>0</v>
      </c>
      <c r="AE233">
        <f t="shared" si="52"/>
        <v>0</v>
      </c>
      <c r="AF233">
        <f t="shared" si="52"/>
        <v>0</v>
      </c>
      <c r="AG233">
        <f t="shared" si="52"/>
        <v>0</v>
      </c>
      <c r="AH233">
        <f t="shared" si="52"/>
        <v>0</v>
      </c>
      <c r="AI233">
        <f t="shared" si="52"/>
        <v>0</v>
      </c>
      <c r="AJ233">
        <f t="shared" si="52"/>
        <v>0</v>
      </c>
      <c r="AK233">
        <f t="shared" si="51"/>
        <v>0</v>
      </c>
      <c r="AL233">
        <f t="shared" si="51"/>
        <v>0</v>
      </c>
      <c r="AM233">
        <f t="shared" si="51"/>
        <v>0</v>
      </c>
      <c r="AN233">
        <f t="shared" si="51"/>
        <v>0</v>
      </c>
      <c r="AO233">
        <f t="shared" si="51"/>
        <v>0</v>
      </c>
      <c r="AP233">
        <f t="shared" si="51"/>
        <v>0</v>
      </c>
      <c r="AQ233">
        <f t="shared" si="51"/>
        <v>0</v>
      </c>
      <c r="AR233">
        <f t="shared" si="51"/>
        <v>0</v>
      </c>
    </row>
    <row r="234" spans="5:44" x14ac:dyDescent="0.2">
      <c r="E234" s="1">
        <f>moment_rate!$M234</f>
        <v>9.6911846023031476</v>
      </c>
      <c r="F234" s="1">
        <f t="shared" si="47"/>
        <v>0.19863291461630972</v>
      </c>
      <c r="G234">
        <f>moment_rate!I234-0.005</f>
        <v>2.2699999999999956</v>
      </c>
      <c r="H234" s="1">
        <f t="shared" si="48"/>
        <v>0</v>
      </c>
      <c r="I234">
        <f t="shared" si="53"/>
        <v>0</v>
      </c>
      <c r="J234">
        <f t="shared" si="53"/>
        <v>0</v>
      </c>
      <c r="K234">
        <f t="shared" si="53"/>
        <v>0</v>
      </c>
      <c r="L234">
        <f t="shared" si="53"/>
        <v>0</v>
      </c>
      <c r="M234">
        <f t="shared" si="53"/>
        <v>0</v>
      </c>
      <c r="N234">
        <f t="shared" si="53"/>
        <v>0</v>
      </c>
      <c r="O234">
        <f t="shared" si="53"/>
        <v>0</v>
      </c>
      <c r="P234">
        <f t="shared" si="53"/>
        <v>0</v>
      </c>
      <c r="Q234">
        <f t="shared" si="53"/>
        <v>0</v>
      </c>
      <c r="R234">
        <f t="shared" si="53"/>
        <v>0</v>
      </c>
      <c r="S234">
        <f t="shared" si="53"/>
        <v>0</v>
      </c>
      <c r="T234">
        <f t="shared" si="53"/>
        <v>0</v>
      </c>
      <c r="U234">
        <f t="shared" si="53"/>
        <v>0</v>
      </c>
      <c r="V234">
        <f t="shared" si="53"/>
        <v>0</v>
      </c>
      <c r="W234">
        <f t="shared" si="53"/>
        <v>0</v>
      </c>
      <c r="X234">
        <f t="shared" si="53"/>
        <v>0</v>
      </c>
      <c r="Y234">
        <f t="shared" si="52"/>
        <v>0</v>
      </c>
      <c r="Z234">
        <f t="shared" si="52"/>
        <v>0</v>
      </c>
      <c r="AA234">
        <f t="shared" si="52"/>
        <v>0</v>
      </c>
      <c r="AB234">
        <f t="shared" si="52"/>
        <v>0</v>
      </c>
      <c r="AC234">
        <f t="shared" si="52"/>
        <v>0</v>
      </c>
      <c r="AD234">
        <f t="shared" si="52"/>
        <v>0</v>
      </c>
      <c r="AE234">
        <f t="shared" si="52"/>
        <v>0</v>
      </c>
      <c r="AF234">
        <f t="shared" si="52"/>
        <v>0</v>
      </c>
      <c r="AG234">
        <f t="shared" si="52"/>
        <v>0</v>
      </c>
      <c r="AH234">
        <f t="shared" si="52"/>
        <v>0</v>
      </c>
      <c r="AI234">
        <f t="shared" si="52"/>
        <v>0</v>
      </c>
      <c r="AJ234">
        <f t="shared" si="52"/>
        <v>0</v>
      </c>
      <c r="AK234">
        <f t="shared" si="51"/>
        <v>0</v>
      </c>
      <c r="AL234">
        <f t="shared" si="51"/>
        <v>0</v>
      </c>
      <c r="AM234">
        <f t="shared" si="51"/>
        <v>0</v>
      </c>
      <c r="AN234">
        <f t="shared" si="51"/>
        <v>0</v>
      </c>
      <c r="AO234">
        <f t="shared" si="51"/>
        <v>0</v>
      </c>
      <c r="AP234">
        <f t="shared" si="51"/>
        <v>0</v>
      </c>
      <c r="AQ234">
        <f t="shared" si="51"/>
        <v>0</v>
      </c>
      <c r="AR234">
        <f t="shared" si="51"/>
        <v>0</v>
      </c>
    </row>
    <row r="235" spans="5:44" x14ac:dyDescent="0.2">
      <c r="E235" s="1">
        <f>moment_rate!$M235</f>
        <v>9.4925516876868379</v>
      </c>
      <c r="F235" s="1">
        <f t="shared" si="47"/>
        <v>0.19455895063921425</v>
      </c>
      <c r="G235">
        <f>moment_rate!I235-0.005</f>
        <v>2.2799999999999954</v>
      </c>
      <c r="H235" s="1">
        <f t="shared" si="48"/>
        <v>0</v>
      </c>
      <c r="I235">
        <f t="shared" si="53"/>
        <v>0</v>
      </c>
      <c r="J235">
        <f t="shared" si="53"/>
        <v>0</v>
      </c>
      <c r="K235">
        <f t="shared" si="53"/>
        <v>0</v>
      </c>
      <c r="L235">
        <f t="shared" si="53"/>
        <v>0</v>
      </c>
      <c r="M235">
        <f t="shared" si="53"/>
        <v>0</v>
      </c>
      <c r="N235">
        <f t="shared" si="53"/>
        <v>0</v>
      </c>
      <c r="O235">
        <f t="shared" si="53"/>
        <v>0</v>
      </c>
      <c r="P235">
        <f t="shared" si="53"/>
        <v>0</v>
      </c>
      <c r="Q235">
        <f t="shared" si="53"/>
        <v>0</v>
      </c>
      <c r="R235">
        <f t="shared" si="53"/>
        <v>0</v>
      </c>
      <c r="S235">
        <f t="shared" si="53"/>
        <v>0</v>
      </c>
      <c r="T235">
        <f t="shared" si="53"/>
        <v>0</v>
      </c>
      <c r="U235">
        <f t="shared" si="53"/>
        <v>0</v>
      </c>
      <c r="V235">
        <f t="shared" si="53"/>
        <v>0</v>
      </c>
      <c r="W235">
        <f t="shared" si="53"/>
        <v>0</v>
      </c>
      <c r="X235">
        <f t="shared" si="53"/>
        <v>0</v>
      </c>
      <c r="Y235">
        <f t="shared" si="52"/>
        <v>0</v>
      </c>
      <c r="Z235">
        <f t="shared" si="52"/>
        <v>0</v>
      </c>
      <c r="AA235">
        <f t="shared" si="52"/>
        <v>0</v>
      </c>
      <c r="AB235">
        <f t="shared" si="52"/>
        <v>0</v>
      </c>
      <c r="AC235">
        <f t="shared" si="52"/>
        <v>0</v>
      </c>
      <c r="AD235">
        <f t="shared" si="52"/>
        <v>0</v>
      </c>
      <c r="AE235">
        <f t="shared" si="52"/>
        <v>0</v>
      </c>
      <c r="AF235">
        <f t="shared" si="52"/>
        <v>0</v>
      </c>
      <c r="AG235">
        <f t="shared" si="52"/>
        <v>0</v>
      </c>
      <c r="AH235">
        <f t="shared" si="52"/>
        <v>0</v>
      </c>
      <c r="AI235">
        <f t="shared" si="52"/>
        <v>0</v>
      </c>
      <c r="AJ235">
        <f t="shared" si="52"/>
        <v>0</v>
      </c>
      <c r="AK235">
        <f t="shared" si="51"/>
        <v>0</v>
      </c>
      <c r="AL235">
        <f t="shared" si="51"/>
        <v>0</v>
      </c>
      <c r="AM235">
        <f t="shared" si="51"/>
        <v>0</v>
      </c>
      <c r="AN235">
        <f t="shared" si="51"/>
        <v>0</v>
      </c>
      <c r="AO235">
        <f t="shared" si="51"/>
        <v>0</v>
      </c>
      <c r="AP235">
        <f t="shared" si="51"/>
        <v>0</v>
      </c>
      <c r="AQ235">
        <f t="shared" si="51"/>
        <v>0</v>
      </c>
      <c r="AR235">
        <f t="shared" si="51"/>
        <v>0</v>
      </c>
    </row>
    <row r="236" spans="5:44" x14ac:dyDescent="0.2">
      <c r="E236" s="1">
        <f>moment_rate!$M236</f>
        <v>9.2979927370476236</v>
      </c>
      <c r="F236" s="1">
        <f t="shared" si="47"/>
        <v>0.19056854372273691</v>
      </c>
      <c r="G236">
        <f>moment_rate!I236-0.005</f>
        <v>2.2899999999999952</v>
      </c>
      <c r="H236" s="1">
        <f t="shared" si="48"/>
        <v>0</v>
      </c>
      <c r="I236">
        <f t="shared" si="53"/>
        <v>0</v>
      </c>
      <c r="J236">
        <f t="shared" si="53"/>
        <v>0</v>
      </c>
      <c r="K236">
        <f t="shared" si="53"/>
        <v>0</v>
      </c>
      <c r="L236">
        <f t="shared" si="53"/>
        <v>0</v>
      </c>
      <c r="M236">
        <f t="shared" si="53"/>
        <v>0</v>
      </c>
      <c r="N236">
        <f t="shared" si="53"/>
        <v>0</v>
      </c>
      <c r="O236">
        <f t="shared" si="53"/>
        <v>0</v>
      </c>
      <c r="P236">
        <f t="shared" si="53"/>
        <v>0</v>
      </c>
      <c r="Q236">
        <f t="shared" si="53"/>
        <v>0</v>
      </c>
      <c r="R236">
        <f t="shared" si="53"/>
        <v>0</v>
      </c>
      <c r="S236">
        <f t="shared" si="53"/>
        <v>0</v>
      </c>
      <c r="T236">
        <f t="shared" si="53"/>
        <v>0</v>
      </c>
      <c r="U236">
        <f t="shared" si="53"/>
        <v>0</v>
      </c>
      <c r="V236">
        <f t="shared" si="53"/>
        <v>0</v>
      </c>
      <c r="W236">
        <f t="shared" si="53"/>
        <v>0</v>
      </c>
      <c r="X236">
        <f t="shared" si="53"/>
        <v>0</v>
      </c>
      <c r="Y236">
        <f t="shared" si="52"/>
        <v>0</v>
      </c>
      <c r="Z236">
        <f t="shared" si="52"/>
        <v>0</v>
      </c>
      <c r="AA236">
        <f t="shared" si="52"/>
        <v>0</v>
      </c>
      <c r="AB236">
        <f t="shared" si="52"/>
        <v>0</v>
      </c>
      <c r="AC236">
        <f t="shared" si="52"/>
        <v>0</v>
      </c>
      <c r="AD236">
        <f t="shared" si="52"/>
        <v>0</v>
      </c>
      <c r="AE236">
        <f t="shared" si="52"/>
        <v>0</v>
      </c>
      <c r="AF236">
        <f t="shared" si="52"/>
        <v>0</v>
      </c>
      <c r="AG236">
        <f t="shared" si="52"/>
        <v>0</v>
      </c>
      <c r="AH236">
        <f t="shared" si="52"/>
        <v>0</v>
      </c>
      <c r="AI236">
        <f t="shared" si="52"/>
        <v>0</v>
      </c>
      <c r="AJ236">
        <f t="shared" si="52"/>
        <v>0</v>
      </c>
      <c r="AK236">
        <f t="shared" si="52"/>
        <v>0</v>
      </c>
      <c r="AL236">
        <f t="shared" si="52"/>
        <v>0</v>
      </c>
      <c r="AM236">
        <f t="shared" si="52"/>
        <v>0</v>
      </c>
      <c r="AN236">
        <f t="shared" si="51"/>
        <v>0</v>
      </c>
      <c r="AO236">
        <f t="shared" si="51"/>
        <v>0</v>
      </c>
      <c r="AP236">
        <f t="shared" si="51"/>
        <v>0</v>
      </c>
      <c r="AQ236">
        <f t="shared" si="51"/>
        <v>0</v>
      </c>
      <c r="AR236">
        <f t="shared" si="51"/>
        <v>0</v>
      </c>
    </row>
    <row r="237" spans="5:44" x14ac:dyDescent="0.2">
      <c r="E237" s="1">
        <f>moment_rate!$M237</f>
        <v>9.1074241933248867</v>
      </c>
      <c r="F237" s="1">
        <f t="shared" si="47"/>
        <v>0.18665998011034013</v>
      </c>
      <c r="G237">
        <f>moment_rate!I237-0.005</f>
        <v>2.2999999999999949</v>
      </c>
      <c r="H237" s="1">
        <f t="shared" si="48"/>
        <v>0</v>
      </c>
      <c r="I237">
        <f t="shared" si="53"/>
        <v>0</v>
      </c>
      <c r="J237">
        <f t="shared" si="53"/>
        <v>0</v>
      </c>
      <c r="K237">
        <f t="shared" si="53"/>
        <v>0</v>
      </c>
      <c r="L237">
        <f t="shared" si="53"/>
        <v>0</v>
      </c>
      <c r="M237">
        <f t="shared" si="53"/>
        <v>0</v>
      </c>
      <c r="N237">
        <f t="shared" si="53"/>
        <v>0</v>
      </c>
      <c r="O237">
        <f t="shared" si="53"/>
        <v>0</v>
      </c>
      <c r="P237">
        <f t="shared" si="53"/>
        <v>0</v>
      </c>
      <c r="Q237">
        <f t="shared" si="53"/>
        <v>0</v>
      </c>
      <c r="R237">
        <f t="shared" si="53"/>
        <v>0</v>
      </c>
      <c r="S237">
        <f t="shared" si="53"/>
        <v>0</v>
      </c>
      <c r="T237">
        <f t="shared" si="53"/>
        <v>0</v>
      </c>
      <c r="U237">
        <f t="shared" si="53"/>
        <v>0</v>
      </c>
      <c r="V237">
        <f t="shared" si="53"/>
        <v>0</v>
      </c>
      <c r="W237">
        <f t="shared" si="53"/>
        <v>0</v>
      </c>
      <c r="X237">
        <f t="shared" si="53"/>
        <v>0</v>
      </c>
      <c r="Y237">
        <f t="shared" si="52"/>
        <v>0</v>
      </c>
      <c r="Z237">
        <f t="shared" si="52"/>
        <v>0</v>
      </c>
      <c r="AA237">
        <f t="shared" si="52"/>
        <v>0</v>
      </c>
      <c r="AB237">
        <f t="shared" si="52"/>
        <v>0</v>
      </c>
      <c r="AC237">
        <f t="shared" si="52"/>
        <v>0</v>
      </c>
      <c r="AD237">
        <f t="shared" si="52"/>
        <v>0</v>
      </c>
      <c r="AE237">
        <f t="shared" si="52"/>
        <v>0</v>
      </c>
      <c r="AF237">
        <f t="shared" si="52"/>
        <v>0</v>
      </c>
      <c r="AG237">
        <f t="shared" si="52"/>
        <v>0</v>
      </c>
      <c r="AH237">
        <f t="shared" si="52"/>
        <v>0</v>
      </c>
      <c r="AI237">
        <f t="shared" si="52"/>
        <v>0</v>
      </c>
      <c r="AJ237">
        <f t="shared" si="52"/>
        <v>0</v>
      </c>
      <c r="AK237">
        <f t="shared" si="52"/>
        <v>0</v>
      </c>
      <c r="AL237">
        <f t="shared" si="52"/>
        <v>0</v>
      </c>
      <c r="AM237">
        <f t="shared" si="52"/>
        <v>0</v>
      </c>
      <c r="AN237">
        <f t="shared" si="51"/>
        <v>0</v>
      </c>
      <c r="AO237">
        <f t="shared" si="51"/>
        <v>0</v>
      </c>
      <c r="AP237">
        <f t="shared" si="51"/>
        <v>0</v>
      </c>
      <c r="AQ237">
        <f t="shared" si="51"/>
        <v>0</v>
      </c>
      <c r="AR237">
        <f t="shared" si="51"/>
        <v>0</v>
      </c>
    </row>
    <row r="238" spans="5:44" x14ac:dyDescent="0.2">
      <c r="E238" s="1">
        <f>moment_rate!$M238</f>
        <v>8.9207642132145466</v>
      </c>
      <c r="F238" s="1">
        <f t="shared" si="47"/>
        <v>0.18283158119466592</v>
      </c>
      <c r="G238">
        <f>moment_rate!I238-0.005</f>
        <v>2.3099999999999947</v>
      </c>
      <c r="H238" s="1">
        <f t="shared" si="48"/>
        <v>0</v>
      </c>
      <c r="I238">
        <f t="shared" si="53"/>
        <v>0</v>
      </c>
      <c r="J238">
        <f t="shared" si="53"/>
        <v>0</v>
      </c>
      <c r="K238">
        <f t="shared" si="53"/>
        <v>0</v>
      </c>
      <c r="L238">
        <f t="shared" si="53"/>
        <v>0</v>
      </c>
      <c r="M238">
        <f t="shared" si="53"/>
        <v>0</v>
      </c>
      <c r="N238">
        <f t="shared" si="53"/>
        <v>0</v>
      </c>
      <c r="O238">
        <f t="shared" si="53"/>
        <v>0</v>
      </c>
      <c r="P238">
        <f t="shared" si="53"/>
        <v>0</v>
      </c>
      <c r="Q238">
        <f t="shared" si="53"/>
        <v>0</v>
      </c>
      <c r="R238">
        <f t="shared" si="53"/>
        <v>0</v>
      </c>
      <c r="S238">
        <f t="shared" si="53"/>
        <v>0</v>
      </c>
      <c r="T238">
        <f t="shared" si="53"/>
        <v>0</v>
      </c>
      <c r="U238">
        <f t="shared" si="53"/>
        <v>0</v>
      </c>
      <c r="V238">
        <f t="shared" si="53"/>
        <v>0</v>
      </c>
      <c r="W238">
        <f t="shared" si="53"/>
        <v>0</v>
      </c>
      <c r="X238">
        <f t="shared" ref="X238:AM253" si="54">IF(AND($G238&gt;=X$3,$G238&lt;X$4),$F238,0)</f>
        <v>0</v>
      </c>
      <c r="Y238">
        <f t="shared" si="54"/>
        <v>0</v>
      </c>
      <c r="Z238">
        <f t="shared" si="54"/>
        <v>0</v>
      </c>
      <c r="AA238">
        <f t="shared" si="54"/>
        <v>0</v>
      </c>
      <c r="AB238">
        <f t="shared" si="54"/>
        <v>0</v>
      </c>
      <c r="AC238">
        <f t="shared" si="54"/>
        <v>0</v>
      </c>
      <c r="AD238">
        <f t="shared" si="54"/>
        <v>0</v>
      </c>
      <c r="AE238">
        <f t="shared" si="54"/>
        <v>0</v>
      </c>
      <c r="AF238">
        <f t="shared" si="54"/>
        <v>0</v>
      </c>
      <c r="AG238">
        <f t="shared" si="54"/>
        <v>0</v>
      </c>
      <c r="AH238">
        <f t="shared" si="54"/>
        <v>0</v>
      </c>
      <c r="AI238">
        <f t="shared" si="54"/>
        <v>0</v>
      </c>
      <c r="AJ238">
        <f t="shared" si="54"/>
        <v>0</v>
      </c>
      <c r="AK238">
        <f t="shared" si="54"/>
        <v>0</v>
      </c>
      <c r="AL238">
        <f t="shared" si="54"/>
        <v>0</v>
      </c>
      <c r="AM238">
        <f t="shared" si="54"/>
        <v>0</v>
      </c>
      <c r="AN238">
        <f t="shared" si="51"/>
        <v>0</v>
      </c>
      <c r="AO238">
        <f t="shared" si="51"/>
        <v>0</v>
      </c>
      <c r="AP238">
        <f t="shared" si="51"/>
        <v>0</v>
      </c>
      <c r="AQ238">
        <f t="shared" si="51"/>
        <v>0</v>
      </c>
      <c r="AR238">
        <f t="shared" si="51"/>
        <v>0</v>
      </c>
    </row>
    <row r="239" spans="5:44" x14ac:dyDescent="0.2">
      <c r="E239" s="1">
        <f>moment_rate!$M239</f>
        <v>8.7379326320198807</v>
      </c>
      <c r="F239" s="1">
        <f t="shared" si="47"/>
        <v>0.17908170279661384</v>
      </c>
      <c r="G239">
        <f>moment_rate!I239-0.005</f>
        <v>2.3199999999999945</v>
      </c>
      <c r="H239" s="1">
        <f t="shared" si="48"/>
        <v>0</v>
      </c>
      <c r="I239">
        <f t="shared" ref="I239:X254" si="55">IF(AND($G239&gt;=I$3,$G239&lt;I$4),$F239,0)</f>
        <v>0</v>
      </c>
      <c r="J239">
        <f t="shared" si="55"/>
        <v>0</v>
      </c>
      <c r="K239">
        <f t="shared" si="55"/>
        <v>0</v>
      </c>
      <c r="L239">
        <f t="shared" si="55"/>
        <v>0</v>
      </c>
      <c r="M239">
        <f t="shared" si="55"/>
        <v>0</v>
      </c>
      <c r="N239">
        <f t="shared" si="55"/>
        <v>0</v>
      </c>
      <c r="O239">
        <f t="shared" si="55"/>
        <v>0</v>
      </c>
      <c r="P239">
        <f t="shared" si="55"/>
        <v>0</v>
      </c>
      <c r="Q239">
        <f t="shared" si="55"/>
        <v>0</v>
      </c>
      <c r="R239">
        <f t="shared" si="55"/>
        <v>0</v>
      </c>
      <c r="S239">
        <f t="shared" si="55"/>
        <v>0</v>
      </c>
      <c r="T239">
        <f t="shared" si="55"/>
        <v>0</v>
      </c>
      <c r="U239">
        <f t="shared" si="55"/>
        <v>0</v>
      </c>
      <c r="V239">
        <f t="shared" si="55"/>
        <v>0</v>
      </c>
      <c r="W239">
        <f t="shared" si="55"/>
        <v>0</v>
      </c>
      <c r="X239">
        <f t="shared" si="55"/>
        <v>0</v>
      </c>
      <c r="Y239">
        <f t="shared" si="54"/>
        <v>0</v>
      </c>
      <c r="Z239">
        <f t="shared" si="54"/>
        <v>0</v>
      </c>
      <c r="AA239">
        <f t="shared" si="54"/>
        <v>0</v>
      </c>
      <c r="AB239">
        <f t="shared" si="54"/>
        <v>0</v>
      </c>
      <c r="AC239">
        <f t="shared" si="54"/>
        <v>0</v>
      </c>
      <c r="AD239">
        <f t="shared" si="54"/>
        <v>0</v>
      </c>
      <c r="AE239">
        <f t="shared" si="54"/>
        <v>0</v>
      </c>
      <c r="AF239">
        <f t="shared" si="54"/>
        <v>0</v>
      </c>
      <c r="AG239">
        <f t="shared" si="54"/>
        <v>0</v>
      </c>
      <c r="AH239">
        <f t="shared" si="54"/>
        <v>0</v>
      </c>
      <c r="AI239">
        <f t="shared" si="54"/>
        <v>0</v>
      </c>
      <c r="AJ239">
        <f t="shared" si="54"/>
        <v>0</v>
      </c>
      <c r="AK239">
        <f t="shared" si="54"/>
        <v>0</v>
      </c>
      <c r="AL239">
        <f t="shared" si="54"/>
        <v>0</v>
      </c>
      <c r="AM239">
        <f t="shared" si="54"/>
        <v>0</v>
      </c>
      <c r="AN239">
        <f t="shared" si="51"/>
        <v>0</v>
      </c>
      <c r="AO239">
        <f t="shared" si="51"/>
        <v>0</v>
      </c>
      <c r="AP239">
        <f t="shared" si="51"/>
        <v>0</v>
      </c>
      <c r="AQ239">
        <f t="shared" si="51"/>
        <v>0</v>
      </c>
      <c r="AR239">
        <f t="shared" si="51"/>
        <v>0</v>
      </c>
    </row>
    <row r="240" spans="5:44" x14ac:dyDescent="0.2">
      <c r="E240" s="1">
        <f>moment_rate!$M240</f>
        <v>8.5588509292232668</v>
      </c>
      <c r="F240" s="1">
        <f t="shared" si="47"/>
        <v>0.17540873445921967</v>
      </c>
      <c r="G240">
        <f>moment_rate!I240-0.005</f>
        <v>2.3299999999999943</v>
      </c>
      <c r="H240" s="1">
        <f t="shared" si="48"/>
        <v>0</v>
      </c>
      <c r="I240">
        <f t="shared" si="55"/>
        <v>0</v>
      </c>
      <c r="J240">
        <f t="shared" si="55"/>
        <v>0</v>
      </c>
      <c r="K240">
        <f t="shared" si="55"/>
        <v>0</v>
      </c>
      <c r="L240">
        <f t="shared" si="55"/>
        <v>0</v>
      </c>
      <c r="M240">
        <f t="shared" si="55"/>
        <v>0</v>
      </c>
      <c r="N240">
        <f t="shared" si="55"/>
        <v>0</v>
      </c>
      <c r="O240">
        <f t="shared" si="55"/>
        <v>0</v>
      </c>
      <c r="P240">
        <f t="shared" si="55"/>
        <v>0</v>
      </c>
      <c r="Q240">
        <f t="shared" si="55"/>
        <v>0</v>
      </c>
      <c r="R240">
        <f t="shared" si="55"/>
        <v>0</v>
      </c>
      <c r="S240">
        <f t="shared" si="55"/>
        <v>0</v>
      </c>
      <c r="T240">
        <f t="shared" si="55"/>
        <v>0</v>
      </c>
      <c r="U240">
        <f t="shared" si="55"/>
        <v>0</v>
      </c>
      <c r="V240">
        <f t="shared" si="55"/>
        <v>0</v>
      </c>
      <c r="W240">
        <f t="shared" si="55"/>
        <v>0</v>
      </c>
      <c r="X240">
        <f t="shared" si="55"/>
        <v>0</v>
      </c>
      <c r="Y240">
        <f t="shared" si="54"/>
        <v>0</v>
      </c>
      <c r="Z240">
        <f t="shared" si="54"/>
        <v>0</v>
      </c>
      <c r="AA240">
        <f t="shared" si="54"/>
        <v>0</v>
      </c>
      <c r="AB240">
        <f t="shared" si="54"/>
        <v>0</v>
      </c>
      <c r="AC240">
        <f t="shared" si="54"/>
        <v>0</v>
      </c>
      <c r="AD240">
        <f t="shared" si="54"/>
        <v>0</v>
      </c>
      <c r="AE240">
        <f t="shared" si="54"/>
        <v>0</v>
      </c>
      <c r="AF240">
        <f t="shared" si="54"/>
        <v>0</v>
      </c>
      <c r="AG240">
        <f t="shared" si="54"/>
        <v>0</v>
      </c>
      <c r="AH240">
        <f t="shared" si="54"/>
        <v>0</v>
      </c>
      <c r="AI240">
        <f t="shared" si="54"/>
        <v>0</v>
      </c>
      <c r="AJ240">
        <f t="shared" si="54"/>
        <v>0</v>
      </c>
      <c r="AK240">
        <f t="shared" si="54"/>
        <v>0</v>
      </c>
      <c r="AL240">
        <f t="shared" si="54"/>
        <v>0</v>
      </c>
      <c r="AM240">
        <f t="shared" si="54"/>
        <v>0</v>
      </c>
      <c r="AN240">
        <f t="shared" si="51"/>
        <v>0</v>
      </c>
      <c r="AO240">
        <f t="shared" si="51"/>
        <v>0</v>
      </c>
      <c r="AP240">
        <f t="shared" si="51"/>
        <v>0</v>
      </c>
      <c r="AQ240">
        <f t="shared" si="51"/>
        <v>0</v>
      </c>
      <c r="AR240">
        <f t="shared" si="51"/>
        <v>0</v>
      </c>
    </row>
    <row r="241" spans="5:44" x14ac:dyDescent="0.2">
      <c r="E241" s="1">
        <f>moment_rate!$M241</f>
        <v>8.3834421947640472</v>
      </c>
      <c r="F241" s="1">
        <f t="shared" si="47"/>
        <v>0.17181109875601841</v>
      </c>
      <c r="G241">
        <f>moment_rate!I241-0.005</f>
        <v>2.3399999999999941</v>
      </c>
      <c r="H241" s="1">
        <f t="shared" si="48"/>
        <v>0</v>
      </c>
      <c r="I241">
        <f t="shared" si="55"/>
        <v>0</v>
      </c>
      <c r="J241">
        <f t="shared" si="55"/>
        <v>0</v>
      </c>
      <c r="K241">
        <f t="shared" si="55"/>
        <v>0</v>
      </c>
      <c r="L241">
        <f t="shared" si="55"/>
        <v>0</v>
      </c>
      <c r="M241">
        <f t="shared" si="55"/>
        <v>0</v>
      </c>
      <c r="N241">
        <f t="shared" si="55"/>
        <v>0</v>
      </c>
      <c r="O241">
        <f t="shared" si="55"/>
        <v>0</v>
      </c>
      <c r="P241">
        <f t="shared" si="55"/>
        <v>0</v>
      </c>
      <c r="Q241">
        <f t="shared" si="55"/>
        <v>0</v>
      </c>
      <c r="R241">
        <f t="shared" si="55"/>
        <v>0</v>
      </c>
      <c r="S241">
        <f t="shared" si="55"/>
        <v>0</v>
      </c>
      <c r="T241">
        <f t="shared" si="55"/>
        <v>0</v>
      </c>
      <c r="U241">
        <f t="shared" si="55"/>
        <v>0</v>
      </c>
      <c r="V241">
        <f t="shared" si="55"/>
        <v>0</v>
      </c>
      <c r="W241">
        <f t="shared" si="55"/>
        <v>0</v>
      </c>
      <c r="X241">
        <f t="shared" si="55"/>
        <v>0</v>
      </c>
      <c r="Y241">
        <f t="shared" si="54"/>
        <v>0</v>
      </c>
      <c r="Z241">
        <f t="shared" si="54"/>
        <v>0</v>
      </c>
      <c r="AA241">
        <f t="shared" si="54"/>
        <v>0</v>
      </c>
      <c r="AB241">
        <f t="shared" si="54"/>
        <v>0</v>
      </c>
      <c r="AC241">
        <f t="shared" si="54"/>
        <v>0</v>
      </c>
      <c r="AD241">
        <f t="shared" si="54"/>
        <v>0</v>
      </c>
      <c r="AE241">
        <f t="shared" si="54"/>
        <v>0</v>
      </c>
      <c r="AF241">
        <f t="shared" si="54"/>
        <v>0</v>
      </c>
      <c r="AG241">
        <f t="shared" si="54"/>
        <v>0</v>
      </c>
      <c r="AH241">
        <f t="shared" si="54"/>
        <v>0</v>
      </c>
      <c r="AI241">
        <f t="shared" si="54"/>
        <v>0</v>
      </c>
      <c r="AJ241">
        <f t="shared" si="54"/>
        <v>0</v>
      </c>
      <c r="AK241">
        <f t="shared" si="54"/>
        <v>0</v>
      </c>
      <c r="AL241">
        <f t="shared" si="54"/>
        <v>0</v>
      </c>
      <c r="AM241">
        <f t="shared" si="54"/>
        <v>0</v>
      </c>
      <c r="AN241">
        <f t="shared" si="51"/>
        <v>0</v>
      </c>
      <c r="AO241">
        <f t="shared" si="51"/>
        <v>0</v>
      </c>
      <c r="AP241">
        <f t="shared" si="51"/>
        <v>0</v>
      </c>
      <c r="AQ241">
        <f t="shared" si="51"/>
        <v>0</v>
      </c>
      <c r="AR241">
        <f t="shared" si="51"/>
        <v>0</v>
      </c>
    </row>
    <row r="242" spans="5:44" x14ac:dyDescent="0.2">
      <c r="E242" s="1">
        <f>moment_rate!$M242</f>
        <v>8.2116310960080288</v>
      </c>
      <c r="F242" s="1">
        <f t="shared" si="47"/>
        <v>0.16828725061358618</v>
      </c>
      <c r="G242">
        <f>moment_rate!I242-0.005</f>
        <v>2.3499999999999939</v>
      </c>
      <c r="H242" s="1">
        <f t="shared" si="48"/>
        <v>0</v>
      </c>
      <c r="I242">
        <f t="shared" si="55"/>
        <v>0</v>
      </c>
      <c r="J242">
        <f t="shared" si="55"/>
        <v>0</v>
      </c>
      <c r="K242">
        <f t="shared" si="55"/>
        <v>0</v>
      </c>
      <c r="L242">
        <f t="shared" si="55"/>
        <v>0</v>
      </c>
      <c r="M242">
        <f t="shared" si="55"/>
        <v>0</v>
      </c>
      <c r="N242">
        <f t="shared" si="55"/>
        <v>0</v>
      </c>
      <c r="O242">
        <f t="shared" si="55"/>
        <v>0</v>
      </c>
      <c r="P242">
        <f t="shared" si="55"/>
        <v>0</v>
      </c>
      <c r="Q242">
        <f t="shared" si="55"/>
        <v>0</v>
      </c>
      <c r="R242">
        <f t="shared" si="55"/>
        <v>0</v>
      </c>
      <c r="S242">
        <f t="shared" si="55"/>
        <v>0</v>
      </c>
      <c r="T242">
        <f t="shared" si="55"/>
        <v>0</v>
      </c>
      <c r="U242">
        <f t="shared" si="55"/>
        <v>0</v>
      </c>
      <c r="V242">
        <f t="shared" si="55"/>
        <v>0</v>
      </c>
      <c r="W242">
        <f t="shared" si="55"/>
        <v>0</v>
      </c>
      <c r="X242">
        <f t="shared" si="55"/>
        <v>0</v>
      </c>
      <c r="Y242">
        <f t="shared" si="54"/>
        <v>0</v>
      </c>
      <c r="Z242">
        <f t="shared" si="54"/>
        <v>0</v>
      </c>
      <c r="AA242">
        <f t="shared" si="54"/>
        <v>0</v>
      </c>
      <c r="AB242">
        <f t="shared" si="54"/>
        <v>0</v>
      </c>
      <c r="AC242">
        <f t="shared" si="54"/>
        <v>0</v>
      </c>
      <c r="AD242">
        <f t="shared" si="54"/>
        <v>0</v>
      </c>
      <c r="AE242">
        <f t="shared" si="54"/>
        <v>0</v>
      </c>
      <c r="AF242">
        <f t="shared" si="54"/>
        <v>0</v>
      </c>
      <c r="AG242">
        <f t="shared" si="54"/>
        <v>0</v>
      </c>
      <c r="AH242">
        <f t="shared" si="54"/>
        <v>0</v>
      </c>
      <c r="AI242">
        <f t="shared" si="54"/>
        <v>0</v>
      </c>
      <c r="AJ242">
        <f t="shared" si="54"/>
        <v>0</v>
      </c>
      <c r="AK242">
        <f t="shared" si="54"/>
        <v>0</v>
      </c>
      <c r="AL242">
        <f t="shared" si="54"/>
        <v>0</v>
      </c>
      <c r="AM242">
        <f t="shared" si="54"/>
        <v>0</v>
      </c>
      <c r="AN242">
        <f t="shared" si="51"/>
        <v>0</v>
      </c>
      <c r="AO242">
        <f t="shared" si="51"/>
        <v>0</v>
      </c>
      <c r="AP242">
        <f t="shared" si="51"/>
        <v>0</v>
      </c>
      <c r="AQ242">
        <f t="shared" si="51"/>
        <v>0</v>
      </c>
      <c r="AR242">
        <f t="shared" si="51"/>
        <v>0</v>
      </c>
    </row>
    <row r="243" spans="5:44" x14ac:dyDescent="0.2">
      <c r="E243" s="1">
        <f>moment_rate!$M243</f>
        <v>8.0433438453944426</v>
      </c>
      <c r="F243" s="1">
        <f t="shared" si="47"/>
        <v>0.16483567664796972</v>
      </c>
      <c r="G243">
        <f>moment_rate!I243-0.005</f>
        <v>2.3599999999999937</v>
      </c>
      <c r="H243" s="1">
        <f t="shared" si="48"/>
        <v>0</v>
      </c>
      <c r="I243">
        <f t="shared" si="55"/>
        <v>0</v>
      </c>
      <c r="J243">
        <f t="shared" si="55"/>
        <v>0</v>
      </c>
      <c r="K243">
        <f t="shared" si="55"/>
        <v>0</v>
      </c>
      <c r="L243">
        <f t="shared" si="55"/>
        <v>0</v>
      </c>
      <c r="M243">
        <f t="shared" si="55"/>
        <v>0</v>
      </c>
      <c r="N243">
        <f t="shared" si="55"/>
        <v>0</v>
      </c>
      <c r="O243">
        <f t="shared" si="55"/>
        <v>0</v>
      </c>
      <c r="P243">
        <f t="shared" si="55"/>
        <v>0</v>
      </c>
      <c r="Q243">
        <f t="shared" si="55"/>
        <v>0</v>
      </c>
      <c r="R243">
        <f t="shared" si="55"/>
        <v>0</v>
      </c>
      <c r="S243">
        <f t="shared" si="55"/>
        <v>0</v>
      </c>
      <c r="T243">
        <f t="shared" si="55"/>
        <v>0</v>
      </c>
      <c r="U243">
        <f t="shared" si="55"/>
        <v>0</v>
      </c>
      <c r="V243">
        <f t="shared" si="55"/>
        <v>0</v>
      </c>
      <c r="W243">
        <f t="shared" si="55"/>
        <v>0</v>
      </c>
      <c r="X243">
        <f t="shared" si="55"/>
        <v>0</v>
      </c>
      <c r="Y243">
        <f t="shared" si="54"/>
        <v>0</v>
      </c>
      <c r="Z243">
        <f t="shared" si="54"/>
        <v>0</v>
      </c>
      <c r="AA243">
        <f t="shared" si="54"/>
        <v>0</v>
      </c>
      <c r="AB243">
        <f t="shared" si="54"/>
        <v>0</v>
      </c>
      <c r="AC243">
        <f t="shared" si="54"/>
        <v>0</v>
      </c>
      <c r="AD243">
        <f t="shared" si="54"/>
        <v>0</v>
      </c>
      <c r="AE243">
        <f t="shared" si="54"/>
        <v>0</v>
      </c>
      <c r="AF243">
        <f t="shared" si="54"/>
        <v>0</v>
      </c>
      <c r="AG243">
        <f t="shared" si="54"/>
        <v>0</v>
      </c>
      <c r="AH243">
        <f t="shared" si="54"/>
        <v>0</v>
      </c>
      <c r="AI243">
        <f t="shared" si="54"/>
        <v>0</v>
      </c>
      <c r="AJ243">
        <f t="shared" si="54"/>
        <v>0</v>
      </c>
      <c r="AK243">
        <f t="shared" si="54"/>
        <v>0</v>
      </c>
      <c r="AL243">
        <f t="shared" si="54"/>
        <v>0</v>
      </c>
      <c r="AM243">
        <f t="shared" si="54"/>
        <v>0</v>
      </c>
      <c r="AN243">
        <f t="shared" si="51"/>
        <v>0</v>
      </c>
      <c r="AO243">
        <f t="shared" si="51"/>
        <v>0</v>
      </c>
      <c r="AP243">
        <f t="shared" si="51"/>
        <v>0</v>
      </c>
      <c r="AQ243">
        <f t="shared" si="51"/>
        <v>0</v>
      </c>
      <c r="AR243">
        <f t="shared" si="51"/>
        <v>0</v>
      </c>
    </row>
    <row r="244" spans="5:44" x14ac:dyDescent="0.2">
      <c r="E244" s="1">
        <f>moment_rate!$M244</f>
        <v>7.8785081687464729</v>
      </c>
      <c r="F244" s="1">
        <f t="shared" si="47"/>
        <v>0.1614548945147547</v>
      </c>
      <c r="G244">
        <f>moment_rate!I244-0.005</f>
        <v>2.3699999999999934</v>
      </c>
      <c r="H244" s="1">
        <f t="shared" si="48"/>
        <v>0</v>
      </c>
      <c r="I244">
        <f t="shared" si="55"/>
        <v>0</v>
      </c>
      <c r="J244">
        <f t="shared" si="55"/>
        <v>0</v>
      </c>
      <c r="K244">
        <f t="shared" si="55"/>
        <v>0</v>
      </c>
      <c r="L244">
        <f t="shared" si="55"/>
        <v>0</v>
      </c>
      <c r="M244">
        <f t="shared" si="55"/>
        <v>0</v>
      </c>
      <c r="N244">
        <f t="shared" si="55"/>
        <v>0</v>
      </c>
      <c r="O244">
        <f t="shared" si="55"/>
        <v>0</v>
      </c>
      <c r="P244">
        <f t="shared" si="55"/>
        <v>0</v>
      </c>
      <c r="Q244">
        <f t="shared" si="55"/>
        <v>0</v>
      </c>
      <c r="R244">
        <f t="shared" si="55"/>
        <v>0</v>
      </c>
      <c r="S244">
        <f t="shared" si="55"/>
        <v>0</v>
      </c>
      <c r="T244">
        <f t="shared" si="55"/>
        <v>0</v>
      </c>
      <c r="U244">
        <f t="shared" si="55"/>
        <v>0</v>
      </c>
      <c r="V244">
        <f t="shared" si="55"/>
        <v>0</v>
      </c>
      <c r="W244">
        <f t="shared" si="55"/>
        <v>0</v>
      </c>
      <c r="X244">
        <f t="shared" si="55"/>
        <v>0</v>
      </c>
      <c r="Y244">
        <f t="shared" si="54"/>
        <v>0</v>
      </c>
      <c r="Z244">
        <f t="shared" si="54"/>
        <v>0</v>
      </c>
      <c r="AA244">
        <f t="shared" si="54"/>
        <v>0</v>
      </c>
      <c r="AB244">
        <f t="shared" si="54"/>
        <v>0</v>
      </c>
      <c r="AC244">
        <f t="shared" si="54"/>
        <v>0</v>
      </c>
      <c r="AD244">
        <f t="shared" si="54"/>
        <v>0</v>
      </c>
      <c r="AE244">
        <f t="shared" si="54"/>
        <v>0</v>
      </c>
      <c r="AF244">
        <f t="shared" si="54"/>
        <v>0</v>
      </c>
      <c r="AG244">
        <f t="shared" si="54"/>
        <v>0</v>
      </c>
      <c r="AH244">
        <f t="shared" si="54"/>
        <v>0</v>
      </c>
      <c r="AI244">
        <f t="shared" si="54"/>
        <v>0</v>
      </c>
      <c r="AJ244">
        <f t="shared" si="54"/>
        <v>0</v>
      </c>
      <c r="AK244">
        <f t="shared" si="54"/>
        <v>0</v>
      </c>
      <c r="AL244">
        <f t="shared" si="54"/>
        <v>0</v>
      </c>
      <c r="AM244">
        <f t="shared" si="54"/>
        <v>0</v>
      </c>
      <c r="AN244">
        <f t="shared" si="51"/>
        <v>0</v>
      </c>
      <c r="AO244">
        <f t="shared" si="51"/>
        <v>0</v>
      </c>
      <c r="AP244">
        <f t="shared" si="51"/>
        <v>0</v>
      </c>
      <c r="AQ244">
        <f t="shared" si="51"/>
        <v>0</v>
      </c>
      <c r="AR244">
        <f t="shared" si="51"/>
        <v>0</v>
      </c>
    </row>
    <row r="245" spans="5:44" x14ac:dyDescent="0.2">
      <c r="E245" s="1">
        <f>moment_rate!$M245</f>
        <v>7.7170532742317182</v>
      </c>
      <c r="F245" s="1">
        <f t="shared" si="47"/>
        <v>0.15814345227241944</v>
      </c>
      <c r="G245">
        <f>moment_rate!I245-0.005</f>
        <v>2.3799999999999932</v>
      </c>
      <c r="H245" s="1">
        <f t="shared" si="48"/>
        <v>0</v>
      </c>
      <c r="I245">
        <f t="shared" si="55"/>
        <v>0</v>
      </c>
      <c r="J245">
        <f t="shared" si="55"/>
        <v>0</v>
      </c>
      <c r="K245">
        <f t="shared" si="55"/>
        <v>0</v>
      </c>
      <c r="L245">
        <f t="shared" si="55"/>
        <v>0</v>
      </c>
      <c r="M245">
        <f t="shared" si="55"/>
        <v>0</v>
      </c>
      <c r="N245">
        <f t="shared" si="55"/>
        <v>0</v>
      </c>
      <c r="O245">
        <f t="shared" si="55"/>
        <v>0</v>
      </c>
      <c r="P245">
        <f t="shared" si="55"/>
        <v>0</v>
      </c>
      <c r="Q245">
        <f t="shared" si="55"/>
        <v>0</v>
      </c>
      <c r="R245">
        <f t="shared" si="55"/>
        <v>0</v>
      </c>
      <c r="S245">
        <f t="shared" si="55"/>
        <v>0</v>
      </c>
      <c r="T245">
        <f t="shared" si="55"/>
        <v>0</v>
      </c>
      <c r="U245">
        <f t="shared" si="55"/>
        <v>0</v>
      </c>
      <c r="V245">
        <f t="shared" si="55"/>
        <v>0</v>
      </c>
      <c r="W245">
        <f t="shared" si="55"/>
        <v>0</v>
      </c>
      <c r="X245">
        <f t="shared" si="55"/>
        <v>0</v>
      </c>
      <c r="Y245">
        <f t="shared" si="54"/>
        <v>0</v>
      </c>
      <c r="Z245">
        <f t="shared" si="54"/>
        <v>0</v>
      </c>
      <c r="AA245">
        <f t="shared" si="54"/>
        <v>0</v>
      </c>
      <c r="AB245">
        <f t="shared" si="54"/>
        <v>0</v>
      </c>
      <c r="AC245">
        <f t="shared" si="54"/>
        <v>0</v>
      </c>
      <c r="AD245">
        <f t="shared" si="54"/>
        <v>0</v>
      </c>
      <c r="AE245">
        <f t="shared" si="54"/>
        <v>0</v>
      </c>
      <c r="AF245">
        <f t="shared" si="54"/>
        <v>0</v>
      </c>
      <c r="AG245">
        <f t="shared" si="54"/>
        <v>0</v>
      </c>
      <c r="AH245">
        <f t="shared" si="54"/>
        <v>0</v>
      </c>
      <c r="AI245">
        <f t="shared" si="54"/>
        <v>0</v>
      </c>
      <c r="AJ245">
        <f t="shared" si="54"/>
        <v>0</v>
      </c>
      <c r="AK245">
        <f t="shared" si="54"/>
        <v>0</v>
      </c>
      <c r="AL245">
        <f t="shared" si="54"/>
        <v>0</v>
      </c>
      <c r="AM245">
        <f t="shared" si="54"/>
        <v>0</v>
      </c>
      <c r="AN245">
        <f t="shared" si="51"/>
        <v>0</v>
      </c>
      <c r="AO245">
        <f t="shared" si="51"/>
        <v>0</v>
      </c>
      <c r="AP245">
        <f t="shared" si="51"/>
        <v>0</v>
      </c>
      <c r="AQ245">
        <f t="shared" si="51"/>
        <v>0</v>
      </c>
      <c r="AR245">
        <f t="shared" si="51"/>
        <v>0</v>
      </c>
    </row>
    <row r="246" spans="5:44" x14ac:dyDescent="0.2">
      <c r="E246" s="1">
        <f>moment_rate!$M246</f>
        <v>7.5589098219592987</v>
      </c>
      <c r="F246" s="1">
        <f t="shared" si="47"/>
        <v>0.15489992775879369</v>
      </c>
      <c r="G246">
        <f>moment_rate!I246-0.005</f>
        <v>2.389999999999993</v>
      </c>
      <c r="H246" s="1">
        <f t="shared" si="48"/>
        <v>0</v>
      </c>
      <c r="I246">
        <f t="shared" si="55"/>
        <v>0</v>
      </c>
      <c r="J246">
        <f t="shared" si="55"/>
        <v>0</v>
      </c>
      <c r="K246">
        <f t="shared" si="55"/>
        <v>0</v>
      </c>
      <c r="L246">
        <f t="shared" si="55"/>
        <v>0</v>
      </c>
      <c r="M246">
        <f t="shared" si="55"/>
        <v>0</v>
      </c>
      <c r="N246">
        <f t="shared" si="55"/>
        <v>0</v>
      </c>
      <c r="O246">
        <f t="shared" si="55"/>
        <v>0</v>
      </c>
      <c r="P246">
        <f t="shared" si="55"/>
        <v>0</v>
      </c>
      <c r="Q246">
        <f t="shared" si="55"/>
        <v>0</v>
      </c>
      <c r="R246">
        <f t="shared" si="55"/>
        <v>0</v>
      </c>
      <c r="S246">
        <f t="shared" si="55"/>
        <v>0</v>
      </c>
      <c r="T246">
        <f t="shared" si="55"/>
        <v>0</v>
      </c>
      <c r="U246">
        <f t="shared" si="55"/>
        <v>0</v>
      </c>
      <c r="V246">
        <f t="shared" si="55"/>
        <v>0</v>
      </c>
      <c r="W246">
        <f t="shared" si="55"/>
        <v>0</v>
      </c>
      <c r="X246">
        <f t="shared" si="55"/>
        <v>0</v>
      </c>
      <c r="Y246">
        <f t="shared" si="54"/>
        <v>0</v>
      </c>
      <c r="Z246">
        <f t="shared" si="54"/>
        <v>0</v>
      </c>
      <c r="AA246">
        <f t="shared" si="54"/>
        <v>0</v>
      </c>
      <c r="AB246">
        <f t="shared" si="54"/>
        <v>0</v>
      </c>
      <c r="AC246">
        <f t="shared" si="54"/>
        <v>0</v>
      </c>
      <c r="AD246">
        <f t="shared" si="54"/>
        <v>0</v>
      </c>
      <c r="AE246">
        <f t="shared" si="54"/>
        <v>0</v>
      </c>
      <c r="AF246">
        <f t="shared" si="54"/>
        <v>0</v>
      </c>
      <c r="AG246">
        <f t="shared" si="54"/>
        <v>0</v>
      </c>
      <c r="AH246">
        <f t="shared" si="54"/>
        <v>0</v>
      </c>
      <c r="AI246">
        <f t="shared" si="54"/>
        <v>0</v>
      </c>
      <c r="AJ246">
        <f t="shared" si="54"/>
        <v>0</v>
      </c>
      <c r="AK246">
        <f t="shared" si="54"/>
        <v>0</v>
      </c>
      <c r="AL246">
        <f t="shared" si="54"/>
        <v>0</v>
      </c>
      <c r="AM246">
        <f t="shared" si="54"/>
        <v>0</v>
      </c>
      <c r="AN246">
        <f t="shared" si="51"/>
        <v>0</v>
      </c>
      <c r="AO246">
        <f t="shared" si="51"/>
        <v>0</v>
      </c>
      <c r="AP246">
        <f t="shared" si="51"/>
        <v>0</v>
      </c>
      <c r="AQ246">
        <f t="shared" si="51"/>
        <v>0</v>
      </c>
      <c r="AR246">
        <f t="shared" si="51"/>
        <v>0</v>
      </c>
    </row>
    <row r="247" spans="5:44" x14ac:dyDescent="0.2">
      <c r="E247" s="1">
        <f>moment_rate!$M247</f>
        <v>7.404009894200505</v>
      </c>
      <c r="F247" s="1">
        <f t="shared" si="47"/>
        <v>0.15172292798026987</v>
      </c>
      <c r="G247">
        <f>moment_rate!I247-0.005</f>
        <v>2.3999999999999928</v>
      </c>
      <c r="H247" s="1">
        <f t="shared" si="48"/>
        <v>0</v>
      </c>
      <c r="I247">
        <f t="shared" si="55"/>
        <v>0</v>
      </c>
      <c r="J247">
        <f t="shared" si="55"/>
        <v>0</v>
      </c>
      <c r="K247">
        <f t="shared" si="55"/>
        <v>0</v>
      </c>
      <c r="L247">
        <f t="shared" si="55"/>
        <v>0</v>
      </c>
      <c r="M247">
        <f t="shared" si="55"/>
        <v>0</v>
      </c>
      <c r="N247">
        <f t="shared" si="55"/>
        <v>0</v>
      </c>
      <c r="O247">
        <f t="shared" si="55"/>
        <v>0</v>
      </c>
      <c r="P247">
        <f t="shared" si="55"/>
        <v>0</v>
      </c>
      <c r="Q247">
        <f t="shared" si="55"/>
        <v>0</v>
      </c>
      <c r="R247">
        <f t="shared" si="55"/>
        <v>0</v>
      </c>
      <c r="S247">
        <f t="shared" si="55"/>
        <v>0</v>
      </c>
      <c r="T247">
        <f t="shared" si="55"/>
        <v>0</v>
      </c>
      <c r="U247">
        <f t="shared" si="55"/>
        <v>0</v>
      </c>
      <c r="V247">
        <f t="shared" si="55"/>
        <v>0</v>
      </c>
      <c r="W247">
        <f t="shared" si="55"/>
        <v>0</v>
      </c>
      <c r="X247">
        <f t="shared" si="55"/>
        <v>0</v>
      </c>
      <c r="Y247">
        <f t="shared" si="54"/>
        <v>0</v>
      </c>
      <c r="Z247">
        <f t="shared" si="54"/>
        <v>0</v>
      </c>
      <c r="AA247">
        <f t="shared" si="54"/>
        <v>0</v>
      </c>
      <c r="AB247">
        <f t="shared" si="54"/>
        <v>0</v>
      </c>
      <c r="AC247">
        <f t="shared" si="54"/>
        <v>0</v>
      </c>
      <c r="AD247">
        <f t="shared" si="54"/>
        <v>0</v>
      </c>
      <c r="AE247">
        <f t="shared" si="54"/>
        <v>0</v>
      </c>
      <c r="AF247">
        <f t="shared" si="54"/>
        <v>0</v>
      </c>
      <c r="AG247">
        <f t="shared" si="54"/>
        <v>0</v>
      </c>
      <c r="AH247">
        <f t="shared" si="54"/>
        <v>0</v>
      </c>
      <c r="AI247">
        <f t="shared" si="54"/>
        <v>0</v>
      </c>
      <c r="AJ247">
        <f t="shared" si="54"/>
        <v>0</v>
      </c>
      <c r="AK247">
        <f t="shared" si="54"/>
        <v>0</v>
      </c>
      <c r="AL247">
        <f t="shared" si="54"/>
        <v>0</v>
      </c>
      <c r="AM247">
        <f t="shared" si="54"/>
        <v>0</v>
      </c>
      <c r="AN247">
        <f t="shared" si="51"/>
        <v>0</v>
      </c>
      <c r="AO247">
        <f t="shared" si="51"/>
        <v>0</v>
      </c>
      <c r="AP247">
        <f t="shared" si="51"/>
        <v>0</v>
      </c>
      <c r="AQ247">
        <f t="shared" si="51"/>
        <v>0</v>
      </c>
      <c r="AR247">
        <f t="shared" si="51"/>
        <v>0</v>
      </c>
    </row>
    <row r="248" spans="5:44" x14ac:dyDescent="0.2">
      <c r="E248" s="1">
        <f>moment_rate!$M248</f>
        <v>7.2522869662202352</v>
      </c>
      <c r="F248" s="1">
        <f t="shared" si="47"/>
        <v>0.14861108851355898</v>
      </c>
      <c r="G248">
        <f>moment_rate!I248-0.005</f>
        <v>2.4099999999999926</v>
      </c>
      <c r="H248" s="1">
        <f t="shared" si="48"/>
        <v>0</v>
      </c>
      <c r="I248">
        <f t="shared" si="55"/>
        <v>0</v>
      </c>
      <c r="J248">
        <f t="shared" si="55"/>
        <v>0</v>
      </c>
      <c r="K248">
        <f t="shared" si="55"/>
        <v>0</v>
      </c>
      <c r="L248">
        <f t="shared" si="55"/>
        <v>0</v>
      </c>
      <c r="M248">
        <f t="shared" si="55"/>
        <v>0</v>
      </c>
      <c r="N248">
        <f t="shared" si="55"/>
        <v>0</v>
      </c>
      <c r="O248">
        <f t="shared" si="55"/>
        <v>0</v>
      </c>
      <c r="P248">
        <f t="shared" si="55"/>
        <v>0</v>
      </c>
      <c r="Q248">
        <f t="shared" si="55"/>
        <v>0</v>
      </c>
      <c r="R248">
        <f t="shared" si="55"/>
        <v>0</v>
      </c>
      <c r="S248">
        <f t="shared" si="55"/>
        <v>0</v>
      </c>
      <c r="T248">
        <f t="shared" si="55"/>
        <v>0</v>
      </c>
      <c r="U248">
        <f t="shared" si="55"/>
        <v>0</v>
      </c>
      <c r="V248">
        <f t="shared" si="55"/>
        <v>0</v>
      </c>
      <c r="W248">
        <f t="shared" si="55"/>
        <v>0</v>
      </c>
      <c r="X248">
        <f t="shared" si="55"/>
        <v>0</v>
      </c>
      <c r="Y248">
        <f t="shared" si="54"/>
        <v>0</v>
      </c>
      <c r="Z248">
        <f t="shared" si="54"/>
        <v>0</v>
      </c>
      <c r="AA248">
        <f t="shared" si="54"/>
        <v>0</v>
      </c>
      <c r="AB248">
        <f t="shared" si="54"/>
        <v>0</v>
      </c>
      <c r="AC248">
        <f t="shared" si="54"/>
        <v>0</v>
      </c>
      <c r="AD248">
        <f t="shared" si="54"/>
        <v>0</v>
      </c>
      <c r="AE248">
        <f t="shared" si="54"/>
        <v>0</v>
      </c>
      <c r="AF248">
        <f t="shared" si="54"/>
        <v>0</v>
      </c>
      <c r="AG248">
        <f t="shared" si="54"/>
        <v>0</v>
      </c>
      <c r="AH248">
        <f t="shared" si="54"/>
        <v>0</v>
      </c>
      <c r="AI248">
        <f t="shared" si="54"/>
        <v>0</v>
      </c>
      <c r="AJ248">
        <f t="shared" si="54"/>
        <v>0</v>
      </c>
      <c r="AK248">
        <f t="shared" si="54"/>
        <v>0</v>
      </c>
      <c r="AL248">
        <f t="shared" si="54"/>
        <v>0</v>
      </c>
      <c r="AM248">
        <f t="shared" si="54"/>
        <v>0</v>
      </c>
      <c r="AN248">
        <f t="shared" si="51"/>
        <v>0</v>
      </c>
      <c r="AO248">
        <f t="shared" si="51"/>
        <v>0</v>
      </c>
      <c r="AP248">
        <f t="shared" si="51"/>
        <v>0</v>
      </c>
      <c r="AQ248">
        <f t="shared" si="51"/>
        <v>0</v>
      </c>
      <c r="AR248">
        <f t="shared" si="51"/>
        <v>0</v>
      </c>
    </row>
    <row r="249" spans="5:44" x14ac:dyDescent="0.2">
      <c r="E249" s="1">
        <f>moment_rate!$M249</f>
        <v>7.1036758777066762</v>
      </c>
      <c r="F249" s="1">
        <f t="shared" si="47"/>
        <v>0.14556307291971748</v>
      </c>
      <c r="G249">
        <f>moment_rate!I249-0.005</f>
        <v>2.4199999999999924</v>
      </c>
      <c r="H249" s="1">
        <f t="shared" si="48"/>
        <v>0</v>
      </c>
      <c r="I249">
        <f t="shared" si="55"/>
        <v>0</v>
      </c>
      <c r="J249">
        <f t="shared" si="55"/>
        <v>0</v>
      </c>
      <c r="K249">
        <f t="shared" si="55"/>
        <v>0</v>
      </c>
      <c r="L249">
        <f t="shared" si="55"/>
        <v>0</v>
      </c>
      <c r="M249">
        <f t="shared" si="55"/>
        <v>0</v>
      </c>
      <c r="N249">
        <f t="shared" si="55"/>
        <v>0</v>
      </c>
      <c r="O249">
        <f t="shared" si="55"/>
        <v>0</v>
      </c>
      <c r="P249">
        <f t="shared" si="55"/>
        <v>0</v>
      </c>
      <c r="Q249">
        <f t="shared" si="55"/>
        <v>0</v>
      </c>
      <c r="R249">
        <f t="shared" si="55"/>
        <v>0</v>
      </c>
      <c r="S249">
        <f t="shared" si="55"/>
        <v>0</v>
      </c>
      <c r="T249">
        <f t="shared" si="55"/>
        <v>0</v>
      </c>
      <c r="U249">
        <f t="shared" si="55"/>
        <v>0</v>
      </c>
      <c r="V249">
        <f t="shared" si="55"/>
        <v>0</v>
      </c>
      <c r="W249">
        <f t="shared" si="55"/>
        <v>0</v>
      </c>
      <c r="X249">
        <f t="shared" si="55"/>
        <v>0</v>
      </c>
      <c r="Y249">
        <f t="shared" si="54"/>
        <v>0</v>
      </c>
      <c r="Z249">
        <f t="shared" si="54"/>
        <v>0</v>
      </c>
      <c r="AA249">
        <f t="shared" si="54"/>
        <v>0</v>
      </c>
      <c r="AB249">
        <f t="shared" si="54"/>
        <v>0</v>
      </c>
      <c r="AC249">
        <f t="shared" si="54"/>
        <v>0</v>
      </c>
      <c r="AD249">
        <f t="shared" si="54"/>
        <v>0</v>
      </c>
      <c r="AE249">
        <f t="shared" si="54"/>
        <v>0</v>
      </c>
      <c r="AF249">
        <f t="shared" si="54"/>
        <v>0</v>
      </c>
      <c r="AG249">
        <f t="shared" si="54"/>
        <v>0</v>
      </c>
      <c r="AH249">
        <f t="shared" si="54"/>
        <v>0</v>
      </c>
      <c r="AI249">
        <f t="shared" si="54"/>
        <v>0</v>
      </c>
      <c r="AJ249">
        <f t="shared" si="54"/>
        <v>0</v>
      </c>
      <c r="AK249">
        <f t="shared" si="54"/>
        <v>0</v>
      </c>
      <c r="AL249">
        <f t="shared" si="54"/>
        <v>0</v>
      </c>
      <c r="AM249">
        <f t="shared" si="54"/>
        <v>0</v>
      </c>
      <c r="AN249">
        <f t="shared" si="51"/>
        <v>0</v>
      </c>
      <c r="AO249">
        <f t="shared" si="51"/>
        <v>0</v>
      </c>
      <c r="AP249">
        <f t="shared" si="51"/>
        <v>0</v>
      </c>
      <c r="AQ249">
        <f t="shared" si="51"/>
        <v>0</v>
      </c>
      <c r="AR249">
        <f t="shared" si="51"/>
        <v>0</v>
      </c>
    </row>
    <row r="250" spans="5:44" x14ac:dyDescent="0.2">
      <c r="E250" s="1">
        <f>moment_rate!$M250</f>
        <v>6.9581128047869587</v>
      </c>
      <c r="F250" s="1">
        <f t="shared" si="47"/>
        <v>0.14257757217017986</v>
      </c>
      <c r="G250">
        <f>moment_rate!I250-0.005</f>
        <v>2.4299999999999922</v>
      </c>
      <c r="H250" s="1">
        <f t="shared" si="48"/>
        <v>0</v>
      </c>
      <c r="I250">
        <f t="shared" si="55"/>
        <v>0</v>
      </c>
      <c r="J250">
        <f t="shared" si="55"/>
        <v>0</v>
      </c>
      <c r="K250">
        <f t="shared" si="55"/>
        <v>0</v>
      </c>
      <c r="L250">
        <f t="shared" si="55"/>
        <v>0</v>
      </c>
      <c r="M250">
        <f t="shared" si="55"/>
        <v>0</v>
      </c>
      <c r="N250">
        <f t="shared" si="55"/>
        <v>0</v>
      </c>
      <c r="O250">
        <f t="shared" si="55"/>
        <v>0</v>
      </c>
      <c r="P250">
        <f t="shared" si="55"/>
        <v>0</v>
      </c>
      <c r="Q250">
        <f t="shared" si="55"/>
        <v>0</v>
      </c>
      <c r="R250">
        <f t="shared" si="55"/>
        <v>0</v>
      </c>
      <c r="S250">
        <f t="shared" si="55"/>
        <v>0</v>
      </c>
      <c r="T250">
        <f t="shared" si="55"/>
        <v>0</v>
      </c>
      <c r="U250">
        <f t="shared" si="55"/>
        <v>0</v>
      </c>
      <c r="V250">
        <f t="shared" si="55"/>
        <v>0</v>
      </c>
      <c r="W250">
        <f t="shared" si="55"/>
        <v>0</v>
      </c>
      <c r="X250">
        <f t="shared" si="55"/>
        <v>0</v>
      </c>
      <c r="Y250">
        <f t="shared" si="54"/>
        <v>0</v>
      </c>
      <c r="Z250">
        <f t="shared" si="54"/>
        <v>0</v>
      </c>
      <c r="AA250">
        <f t="shared" si="54"/>
        <v>0</v>
      </c>
      <c r="AB250">
        <f t="shared" si="54"/>
        <v>0</v>
      </c>
      <c r="AC250">
        <f t="shared" si="54"/>
        <v>0</v>
      </c>
      <c r="AD250">
        <f t="shared" si="54"/>
        <v>0</v>
      </c>
      <c r="AE250">
        <f t="shared" si="54"/>
        <v>0</v>
      </c>
      <c r="AF250">
        <f t="shared" si="54"/>
        <v>0</v>
      </c>
      <c r="AG250">
        <f t="shared" si="54"/>
        <v>0</v>
      </c>
      <c r="AH250">
        <f t="shared" si="54"/>
        <v>0</v>
      </c>
      <c r="AI250">
        <f t="shared" si="54"/>
        <v>0</v>
      </c>
      <c r="AJ250">
        <f t="shared" si="54"/>
        <v>0</v>
      </c>
      <c r="AK250">
        <f t="shared" si="54"/>
        <v>0</v>
      </c>
      <c r="AL250">
        <f t="shared" si="54"/>
        <v>0</v>
      </c>
      <c r="AM250">
        <f t="shared" si="54"/>
        <v>0</v>
      </c>
      <c r="AN250">
        <f t="shared" si="51"/>
        <v>0</v>
      </c>
      <c r="AO250">
        <f t="shared" si="51"/>
        <v>0</v>
      </c>
      <c r="AP250">
        <f t="shared" si="51"/>
        <v>0</v>
      </c>
      <c r="AQ250">
        <f t="shared" si="51"/>
        <v>0</v>
      </c>
      <c r="AR250">
        <f t="shared" si="51"/>
        <v>0</v>
      </c>
    </row>
    <row r="251" spans="5:44" x14ac:dyDescent="0.2">
      <c r="E251" s="1">
        <f>moment_rate!$M251</f>
        <v>6.8155352326167788</v>
      </c>
      <c r="F251" s="1">
        <f t="shared" si="47"/>
        <v>0.13965330408457621</v>
      </c>
      <c r="G251">
        <f>moment_rate!I251-0.005</f>
        <v>2.439999999999992</v>
      </c>
      <c r="H251" s="1">
        <f t="shared" si="48"/>
        <v>0</v>
      </c>
      <c r="I251">
        <f t="shared" si="55"/>
        <v>0</v>
      </c>
      <c r="J251">
        <f t="shared" si="55"/>
        <v>0</v>
      </c>
      <c r="K251">
        <f t="shared" si="55"/>
        <v>0</v>
      </c>
      <c r="L251">
        <f t="shared" si="55"/>
        <v>0</v>
      </c>
      <c r="M251">
        <f t="shared" si="55"/>
        <v>0</v>
      </c>
      <c r="N251">
        <f t="shared" si="55"/>
        <v>0</v>
      </c>
      <c r="O251">
        <f t="shared" si="55"/>
        <v>0</v>
      </c>
      <c r="P251">
        <f t="shared" si="55"/>
        <v>0</v>
      </c>
      <c r="Q251">
        <f t="shared" si="55"/>
        <v>0</v>
      </c>
      <c r="R251">
        <f t="shared" si="55"/>
        <v>0</v>
      </c>
      <c r="S251">
        <f t="shared" si="55"/>
        <v>0</v>
      </c>
      <c r="T251">
        <f t="shared" si="55"/>
        <v>0</v>
      </c>
      <c r="U251">
        <f t="shared" si="55"/>
        <v>0</v>
      </c>
      <c r="V251">
        <f t="shared" si="55"/>
        <v>0</v>
      </c>
      <c r="W251">
        <f t="shared" si="55"/>
        <v>0</v>
      </c>
      <c r="X251">
        <f t="shared" si="55"/>
        <v>0</v>
      </c>
      <c r="Y251">
        <f t="shared" si="54"/>
        <v>0</v>
      </c>
      <c r="Z251">
        <f t="shared" si="54"/>
        <v>0</v>
      </c>
      <c r="AA251">
        <f t="shared" si="54"/>
        <v>0</v>
      </c>
      <c r="AB251">
        <f t="shared" si="54"/>
        <v>0</v>
      </c>
      <c r="AC251">
        <f t="shared" si="54"/>
        <v>0</v>
      </c>
      <c r="AD251">
        <f t="shared" si="54"/>
        <v>0</v>
      </c>
      <c r="AE251">
        <f t="shared" si="54"/>
        <v>0</v>
      </c>
      <c r="AF251">
        <f t="shared" si="54"/>
        <v>0</v>
      </c>
      <c r="AG251">
        <f t="shared" si="54"/>
        <v>0</v>
      </c>
      <c r="AH251">
        <f t="shared" si="54"/>
        <v>0</v>
      </c>
      <c r="AI251">
        <f t="shared" si="54"/>
        <v>0</v>
      </c>
      <c r="AJ251">
        <f t="shared" si="54"/>
        <v>0</v>
      </c>
      <c r="AK251">
        <f t="shared" si="54"/>
        <v>0</v>
      </c>
      <c r="AL251">
        <f t="shared" si="54"/>
        <v>0</v>
      </c>
      <c r="AM251">
        <f t="shared" si="54"/>
        <v>0</v>
      </c>
      <c r="AN251">
        <f t="shared" si="51"/>
        <v>0</v>
      </c>
      <c r="AO251">
        <f t="shared" si="51"/>
        <v>0</v>
      </c>
      <c r="AP251">
        <f t="shared" si="51"/>
        <v>0</v>
      </c>
      <c r="AQ251">
        <f t="shared" si="51"/>
        <v>0</v>
      </c>
      <c r="AR251">
        <f t="shared" si="51"/>
        <v>0</v>
      </c>
    </row>
    <row r="252" spans="5:44" x14ac:dyDescent="0.2">
      <c r="E252" s="1">
        <f>moment_rate!$M252</f>
        <v>6.6758819285322026</v>
      </c>
      <c r="F252" s="1">
        <f t="shared" si="47"/>
        <v>0.1367890127800786</v>
      </c>
      <c r="G252">
        <f>moment_rate!I252-0.005</f>
        <v>2.4499999999999917</v>
      </c>
      <c r="H252" s="1">
        <f t="shared" si="48"/>
        <v>0</v>
      </c>
      <c r="I252">
        <f t="shared" si="55"/>
        <v>0</v>
      </c>
      <c r="J252">
        <f t="shared" si="55"/>
        <v>0</v>
      </c>
      <c r="K252">
        <f t="shared" si="55"/>
        <v>0</v>
      </c>
      <c r="L252">
        <f t="shared" si="55"/>
        <v>0</v>
      </c>
      <c r="M252">
        <f t="shared" si="55"/>
        <v>0</v>
      </c>
      <c r="N252">
        <f t="shared" si="55"/>
        <v>0</v>
      </c>
      <c r="O252">
        <f t="shared" si="55"/>
        <v>0</v>
      </c>
      <c r="P252">
        <f t="shared" si="55"/>
        <v>0</v>
      </c>
      <c r="Q252">
        <f t="shared" si="55"/>
        <v>0</v>
      </c>
      <c r="R252">
        <f t="shared" si="55"/>
        <v>0</v>
      </c>
      <c r="S252">
        <f t="shared" si="55"/>
        <v>0</v>
      </c>
      <c r="T252">
        <f t="shared" si="55"/>
        <v>0</v>
      </c>
      <c r="U252">
        <f t="shared" si="55"/>
        <v>0</v>
      </c>
      <c r="V252">
        <f t="shared" si="55"/>
        <v>0</v>
      </c>
      <c r="W252">
        <f t="shared" si="55"/>
        <v>0</v>
      </c>
      <c r="X252">
        <f t="shared" si="55"/>
        <v>0</v>
      </c>
      <c r="Y252">
        <f t="shared" si="54"/>
        <v>0</v>
      </c>
      <c r="Z252">
        <f t="shared" si="54"/>
        <v>0</v>
      </c>
      <c r="AA252">
        <f t="shared" si="54"/>
        <v>0</v>
      </c>
      <c r="AB252">
        <f t="shared" si="54"/>
        <v>0</v>
      </c>
      <c r="AC252">
        <f t="shared" si="54"/>
        <v>0</v>
      </c>
      <c r="AD252">
        <f t="shared" si="54"/>
        <v>0</v>
      </c>
      <c r="AE252">
        <f t="shared" si="54"/>
        <v>0</v>
      </c>
      <c r="AF252">
        <f t="shared" si="54"/>
        <v>0</v>
      </c>
      <c r="AG252">
        <f t="shared" si="54"/>
        <v>0</v>
      </c>
      <c r="AH252">
        <f t="shared" si="54"/>
        <v>0</v>
      </c>
      <c r="AI252">
        <f t="shared" si="54"/>
        <v>0</v>
      </c>
      <c r="AJ252">
        <f t="shared" si="54"/>
        <v>0</v>
      </c>
      <c r="AK252">
        <f t="shared" si="54"/>
        <v>0</v>
      </c>
      <c r="AL252">
        <f t="shared" si="54"/>
        <v>0</v>
      </c>
      <c r="AM252">
        <f t="shared" si="54"/>
        <v>0</v>
      </c>
      <c r="AN252">
        <f t="shared" si="51"/>
        <v>0</v>
      </c>
      <c r="AO252">
        <f t="shared" si="51"/>
        <v>0</v>
      </c>
      <c r="AP252">
        <f t="shared" ref="AP252:AR253" si="56">IF(AND($G252&gt;=AP$3,$G252&lt;AP$4),$F252,0)</f>
        <v>0</v>
      </c>
      <c r="AQ252">
        <f t="shared" si="56"/>
        <v>0</v>
      </c>
      <c r="AR252">
        <f t="shared" si="56"/>
        <v>0</v>
      </c>
    </row>
    <row r="253" spans="5:44" x14ac:dyDescent="0.2">
      <c r="E253" s="1">
        <f>moment_rate!$M253</f>
        <v>6.539092915752124</v>
      </c>
      <c r="F253" s="1">
        <f t="shared" si="47"/>
        <v>0.13398346813202977</v>
      </c>
      <c r="G253">
        <f>moment_rate!I253-0.005</f>
        <v>2.4599999999999915</v>
      </c>
      <c r="H253" s="1">
        <f t="shared" si="48"/>
        <v>0</v>
      </c>
      <c r="I253">
        <f t="shared" si="55"/>
        <v>0</v>
      </c>
      <c r="J253">
        <f t="shared" si="55"/>
        <v>0</v>
      </c>
      <c r="K253">
        <f t="shared" si="55"/>
        <v>0</v>
      </c>
      <c r="L253">
        <f t="shared" si="55"/>
        <v>0</v>
      </c>
      <c r="M253">
        <f t="shared" si="55"/>
        <v>0</v>
      </c>
      <c r="N253">
        <f t="shared" si="55"/>
        <v>0</v>
      </c>
      <c r="O253">
        <f t="shared" si="55"/>
        <v>0</v>
      </c>
      <c r="P253">
        <f t="shared" si="55"/>
        <v>0</v>
      </c>
      <c r="Q253">
        <f t="shared" si="55"/>
        <v>0</v>
      </c>
      <c r="R253">
        <f t="shared" si="55"/>
        <v>0</v>
      </c>
      <c r="S253">
        <f t="shared" si="55"/>
        <v>0</v>
      </c>
      <c r="T253">
        <f t="shared" si="55"/>
        <v>0</v>
      </c>
      <c r="U253">
        <f t="shared" si="55"/>
        <v>0</v>
      </c>
      <c r="V253">
        <f t="shared" si="55"/>
        <v>0</v>
      </c>
      <c r="W253">
        <f t="shared" si="55"/>
        <v>0</v>
      </c>
      <c r="X253">
        <f t="shared" si="55"/>
        <v>0</v>
      </c>
      <c r="Y253">
        <f t="shared" si="54"/>
        <v>0</v>
      </c>
      <c r="Z253">
        <f t="shared" si="54"/>
        <v>0</v>
      </c>
      <c r="AA253">
        <f t="shared" si="54"/>
        <v>0</v>
      </c>
      <c r="AB253">
        <f t="shared" si="54"/>
        <v>0</v>
      </c>
      <c r="AC253">
        <f t="shared" si="54"/>
        <v>0</v>
      </c>
      <c r="AD253">
        <f t="shared" si="54"/>
        <v>0</v>
      </c>
      <c r="AE253">
        <f t="shared" si="54"/>
        <v>0</v>
      </c>
      <c r="AF253">
        <f t="shared" si="54"/>
        <v>0</v>
      </c>
      <c r="AG253">
        <f t="shared" si="54"/>
        <v>0</v>
      </c>
      <c r="AH253">
        <f t="shared" si="54"/>
        <v>0</v>
      </c>
      <c r="AI253">
        <f t="shared" si="54"/>
        <v>0</v>
      </c>
      <c r="AJ253">
        <f t="shared" si="54"/>
        <v>0</v>
      </c>
      <c r="AK253">
        <f t="shared" si="54"/>
        <v>0</v>
      </c>
      <c r="AL253">
        <f t="shared" si="54"/>
        <v>0</v>
      </c>
      <c r="AM253">
        <f t="shared" si="54"/>
        <v>0</v>
      </c>
      <c r="AN253">
        <f>IF(AND($G253&gt;=AN$3,$G253&lt;AN$4),$F253,0)</f>
        <v>0</v>
      </c>
      <c r="AO253">
        <f>IF(AND($G253&gt;=AO$3,$G253&lt;AO$4),$F253,0)</f>
        <v>0</v>
      </c>
      <c r="AP253">
        <f t="shared" si="56"/>
        <v>0</v>
      </c>
      <c r="AQ253">
        <f t="shared" si="56"/>
        <v>0</v>
      </c>
      <c r="AR253">
        <f t="shared" si="56"/>
        <v>0</v>
      </c>
    </row>
    <row r="254" spans="5:44" x14ac:dyDescent="0.2">
      <c r="E254" s="1">
        <f>moment_rate!$M254</f>
        <v>6.4051094476200943</v>
      </c>
      <c r="F254" s="1">
        <f t="shared" si="47"/>
        <v>0.13123546524564755</v>
      </c>
      <c r="G254">
        <f>moment_rate!I254-0.005</f>
        <v>2.4699999999999913</v>
      </c>
      <c r="H254" s="1">
        <f t="shared" si="48"/>
        <v>0</v>
      </c>
      <c r="I254">
        <f t="shared" si="55"/>
        <v>0</v>
      </c>
      <c r="J254">
        <f t="shared" si="55"/>
        <v>0</v>
      </c>
      <c r="K254">
        <f t="shared" si="55"/>
        <v>0</v>
      </c>
      <c r="L254">
        <f t="shared" si="55"/>
        <v>0</v>
      </c>
      <c r="M254">
        <f t="shared" si="55"/>
        <v>0</v>
      </c>
      <c r="N254">
        <f t="shared" si="55"/>
        <v>0</v>
      </c>
      <c r="O254">
        <f t="shared" si="55"/>
        <v>0</v>
      </c>
      <c r="P254">
        <f t="shared" si="55"/>
        <v>0</v>
      </c>
      <c r="Q254">
        <f t="shared" si="55"/>
        <v>0</v>
      </c>
      <c r="R254">
        <f t="shared" si="55"/>
        <v>0</v>
      </c>
      <c r="S254">
        <f t="shared" si="55"/>
        <v>0</v>
      </c>
      <c r="T254">
        <f t="shared" si="55"/>
        <v>0</v>
      </c>
      <c r="U254">
        <f t="shared" si="55"/>
        <v>0</v>
      </c>
      <c r="V254">
        <f t="shared" si="55"/>
        <v>0</v>
      </c>
      <c r="W254">
        <f t="shared" si="55"/>
        <v>0</v>
      </c>
      <c r="X254">
        <f t="shared" ref="X254:AR266" si="57">IF(AND($G254&gt;=X$3,$G254&lt;X$4),$F254,0)</f>
        <v>0</v>
      </c>
      <c r="Y254">
        <f t="shared" si="57"/>
        <v>0</v>
      </c>
      <c r="Z254">
        <f t="shared" si="57"/>
        <v>0</v>
      </c>
      <c r="AA254">
        <f t="shared" si="57"/>
        <v>0</v>
      </c>
      <c r="AB254">
        <f t="shared" si="57"/>
        <v>0</v>
      </c>
      <c r="AC254">
        <f t="shared" si="57"/>
        <v>0</v>
      </c>
      <c r="AD254">
        <f t="shared" si="57"/>
        <v>0</v>
      </c>
      <c r="AE254">
        <f t="shared" si="57"/>
        <v>0</v>
      </c>
      <c r="AF254">
        <f t="shared" si="57"/>
        <v>0</v>
      </c>
      <c r="AG254">
        <f t="shared" si="57"/>
        <v>0</v>
      </c>
      <c r="AH254">
        <f t="shared" si="57"/>
        <v>0</v>
      </c>
      <c r="AI254">
        <f t="shared" si="57"/>
        <v>0</v>
      </c>
      <c r="AJ254">
        <f t="shared" si="57"/>
        <v>0</v>
      </c>
      <c r="AK254">
        <f t="shared" si="57"/>
        <v>0</v>
      </c>
      <c r="AL254">
        <f t="shared" si="57"/>
        <v>0</v>
      </c>
      <c r="AM254">
        <f t="shared" si="57"/>
        <v>0</v>
      </c>
      <c r="AN254">
        <f t="shared" si="57"/>
        <v>0</v>
      </c>
      <c r="AO254">
        <f t="shared" si="57"/>
        <v>0</v>
      </c>
      <c r="AP254">
        <f t="shared" si="57"/>
        <v>0</v>
      </c>
      <c r="AQ254">
        <f t="shared" si="57"/>
        <v>0</v>
      </c>
      <c r="AR254">
        <f t="shared" si="57"/>
        <v>0</v>
      </c>
    </row>
    <row r="255" spans="5:44" x14ac:dyDescent="0.2">
      <c r="E255" s="1">
        <f>moment_rate!$M255</f>
        <v>6.2738739823744467</v>
      </c>
      <c r="F255" s="1">
        <f t="shared" si="47"/>
        <v>0.128543823938565</v>
      </c>
      <c r="G255">
        <f>moment_rate!I255-0.005</f>
        <v>2.4799999999999911</v>
      </c>
      <c r="H255" s="1">
        <f t="shared" si="48"/>
        <v>0</v>
      </c>
      <c r="I255">
        <f t="shared" ref="I255:X270" si="58">IF(AND($G255&gt;=I$3,$G255&lt;I$4),$F255,0)</f>
        <v>0</v>
      </c>
      <c r="J255">
        <f t="shared" si="58"/>
        <v>0</v>
      </c>
      <c r="K255">
        <f t="shared" si="58"/>
        <v>0</v>
      </c>
      <c r="L255">
        <f t="shared" si="58"/>
        <v>0</v>
      </c>
      <c r="M255">
        <f t="shared" si="58"/>
        <v>0</v>
      </c>
      <c r="N255">
        <f t="shared" si="58"/>
        <v>0</v>
      </c>
      <c r="O255">
        <f t="shared" si="58"/>
        <v>0</v>
      </c>
      <c r="P255">
        <f t="shared" si="58"/>
        <v>0</v>
      </c>
      <c r="Q255">
        <f t="shared" si="58"/>
        <v>0</v>
      </c>
      <c r="R255">
        <f t="shared" si="58"/>
        <v>0</v>
      </c>
      <c r="S255">
        <f t="shared" si="58"/>
        <v>0</v>
      </c>
      <c r="T255">
        <f t="shared" si="58"/>
        <v>0</v>
      </c>
      <c r="U255">
        <f t="shared" si="58"/>
        <v>0</v>
      </c>
      <c r="V255">
        <f t="shared" si="58"/>
        <v>0</v>
      </c>
      <c r="W255">
        <f t="shared" si="58"/>
        <v>0</v>
      </c>
      <c r="X255">
        <f t="shared" si="58"/>
        <v>0</v>
      </c>
      <c r="Y255">
        <f t="shared" si="57"/>
        <v>0</v>
      </c>
      <c r="Z255">
        <f t="shared" si="57"/>
        <v>0</v>
      </c>
      <c r="AA255">
        <f t="shared" si="57"/>
        <v>0</v>
      </c>
      <c r="AB255">
        <f t="shared" si="57"/>
        <v>0</v>
      </c>
      <c r="AC255">
        <f t="shared" si="57"/>
        <v>0</v>
      </c>
      <c r="AD255">
        <f t="shared" si="57"/>
        <v>0</v>
      </c>
      <c r="AE255">
        <f t="shared" si="57"/>
        <v>0</v>
      </c>
      <c r="AF255">
        <f t="shared" si="57"/>
        <v>0</v>
      </c>
      <c r="AG255">
        <f t="shared" si="57"/>
        <v>0</v>
      </c>
      <c r="AH255">
        <f t="shared" si="57"/>
        <v>0</v>
      </c>
      <c r="AI255">
        <f t="shared" si="57"/>
        <v>0</v>
      </c>
      <c r="AJ255">
        <f t="shared" si="57"/>
        <v>0</v>
      </c>
      <c r="AK255">
        <f t="shared" si="57"/>
        <v>0</v>
      </c>
      <c r="AL255">
        <f t="shared" si="57"/>
        <v>0</v>
      </c>
      <c r="AM255">
        <f t="shared" si="57"/>
        <v>0</v>
      </c>
      <c r="AN255">
        <f t="shared" si="57"/>
        <v>0</v>
      </c>
      <c r="AO255">
        <f t="shared" si="57"/>
        <v>0</v>
      </c>
      <c r="AP255">
        <f t="shared" si="57"/>
        <v>0</v>
      </c>
      <c r="AQ255">
        <f t="shared" si="57"/>
        <v>0</v>
      </c>
      <c r="AR255">
        <f t="shared" si="57"/>
        <v>0</v>
      </c>
    </row>
    <row r="256" spans="5:44" x14ac:dyDescent="0.2">
      <c r="E256" s="1">
        <f>moment_rate!$M256</f>
        <v>6.1453301584358817</v>
      </c>
      <c r="F256" s="1">
        <f t="shared" si="47"/>
        <v>0.12590738823396119</v>
      </c>
      <c r="G256">
        <f>moment_rate!I256-0.005</f>
        <v>2.4899999999999909</v>
      </c>
      <c r="H256" s="1">
        <f t="shared" si="48"/>
        <v>0</v>
      </c>
      <c r="I256">
        <f t="shared" si="58"/>
        <v>0</v>
      </c>
      <c r="J256">
        <f t="shared" si="58"/>
        <v>0</v>
      </c>
      <c r="K256">
        <f t="shared" si="58"/>
        <v>0</v>
      </c>
      <c r="L256">
        <f t="shared" si="58"/>
        <v>0</v>
      </c>
      <c r="M256">
        <f t="shared" si="58"/>
        <v>0</v>
      </c>
      <c r="N256">
        <f t="shared" si="58"/>
        <v>0</v>
      </c>
      <c r="O256">
        <f t="shared" si="58"/>
        <v>0</v>
      </c>
      <c r="P256">
        <f t="shared" si="58"/>
        <v>0</v>
      </c>
      <c r="Q256">
        <f t="shared" si="58"/>
        <v>0</v>
      </c>
      <c r="R256">
        <f t="shared" si="58"/>
        <v>0</v>
      </c>
      <c r="S256">
        <f t="shared" si="58"/>
        <v>0</v>
      </c>
      <c r="T256">
        <f t="shared" si="58"/>
        <v>0</v>
      </c>
      <c r="U256">
        <f t="shared" si="58"/>
        <v>0</v>
      </c>
      <c r="V256">
        <f t="shared" si="58"/>
        <v>0</v>
      </c>
      <c r="W256">
        <f t="shared" si="58"/>
        <v>0</v>
      </c>
      <c r="X256">
        <f t="shared" si="58"/>
        <v>0</v>
      </c>
      <c r="Y256">
        <f t="shared" si="57"/>
        <v>0</v>
      </c>
      <c r="Z256">
        <f t="shared" si="57"/>
        <v>0</v>
      </c>
      <c r="AA256">
        <f t="shared" si="57"/>
        <v>0</v>
      </c>
      <c r="AB256">
        <f t="shared" si="57"/>
        <v>0</v>
      </c>
      <c r="AC256">
        <f t="shared" si="57"/>
        <v>0</v>
      </c>
      <c r="AD256">
        <f t="shared" si="57"/>
        <v>0</v>
      </c>
      <c r="AE256">
        <f t="shared" si="57"/>
        <v>0</v>
      </c>
      <c r="AF256">
        <f t="shared" si="57"/>
        <v>0</v>
      </c>
      <c r="AG256">
        <f t="shared" si="57"/>
        <v>0</v>
      </c>
      <c r="AH256">
        <f t="shared" si="57"/>
        <v>0</v>
      </c>
      <c r="AI256">
        <f t="shared" si="57"/>
        <v>0</v>
      </c>
      <c r="AJ256">
        <f t="shared" si="57"/>
        <v>0</v>
      </c>
      <c r="AK256">
        <f t="shared" si="57"/>
        <v>0</v>
      </c>
      <c r="AL256">
        <f t="shared" si="57"/>
        <v>0</v>
      </c>
      <c r="AM256">
        <f t="shared" si="57"/>
        <v>0</v>
      </c>
      <c r="AN256">
        <f t="shared" si="57"/>
        <v>0</v>
      </c>
      <c r="AO256">
        <f t="shared" si="57"/>
        <v>0</v>
      </c>
      <c r="AP256">
        <f t="shared" si="57"/>
        <v>0</v>
      </c>
      <c r="AQ256">
        <f t="shared" si="57"/>
        <v>0</v>
      </c>
      <c r="AR256">
        <f t="shared" si="57"/>
        <v>0</v>
      </c>
    </row>
    <row r="257" spans="5:44" x14ac:dyDescent="0.2">
      <c r="E257" s="1">
        <f>moment_rate!$M257</f>
        <v>6.0194227702019205</v>
      </c>
      <c r="F257" s="1">
        <f t="shared" si="47"/>
        <v>0.12332502586413163</v>
      </c>
      <c r="G257">
        <f>moment_rate!I257-0.005</f>
        <v>2.4999999999999907</v>
      </c>
      <c r="H257" s="1">
        <f t="shared" si="48"/>
        <v>0</v>
      </c>
      <c r="I257">
        <f t="shared" si="58"/>
        <v>0</v>
      </c>
      <c r="J257">
        <f t="shared" si="58"/>
        <v>0</v>
      </c>
      <c r="K257">
        <f t="shared" si="58"/>
        <v>0</v>
      </c>
      <c r="L257">
        <f t="shared" si="58"/>
        <v>0</v>
      </c>
      <c r="M257">
        <f t="shared" si="58"/>
        <v>0</v>
      </c>
      <c r="N257">
        <f t="shared" si="58"/>
        <v>0</v>
      </c>
      <c r="O257">
        <f t="shared" si="58"/>
        <v>0</v>
      </c>
      <c r="P257">
        <f t="shared" si="58"/>
        <v>0</v>
      </c>
      <c r="Q257">
        <f t="shared" si="58"/>
        <v>0</v>
      </c>
      <c r="R257">
        <f t="shared" si="58"/>
        <v>0</v>
      </c>
      <c r="S257">
        <f t="shared" si="58"/>
        <v>0</v>
      </c>
      <c r="T257">
        <f t="shared" si="58"/>
        <v>0</v>
      </c>
      <c r="U257">
        <f t="shared" si="58"/>
        <v>0</v>
      </c>
      <c r="V257">
        <f t="shared" si="58"/>
        <v>0</v>
      </c>
      <c r="W257">
        <f t="shared" si="58"/>
        <v>0</v>
      </c>
      <c r="X257">
        <f t="shared" si="58"/>
        <v>0</v>
      </c>
      <c r="Y257">
        <f t="shared" si="57"/>
        <v>0</v>
      </c>
      <c r="Z257">
        <f t="shared" si="57"/>
        <v>0</v>
      </c>
      <c r="AA257">
        <f t="shared" si="57"/>
        <v>0</v>
      </c>
      <c r="AB257">
        <f t="shared" si="57"/>
        <v>0</v>
      </c>
      <c r="AC257">
        <f t="shared" si="57"/>
        <v>0</v>
      </c>
      <c r="AD257">
        <f t="shared" si="57"/>
        <v>0</v>
      </c>
      <c r="AE257">
        <f t="shared" si="57"/>
        <v>0</v>
      </c>
      <c r="AF257">
        <f t="shared" si="57"/>
        <v>0</v>
      </c>
      <c r="AG257">
        <f t="shared" si="57"/>
        <v>0</v>
      </c>
      <c r="AH257">
        <f t="shared" si="57"/>
        <v>0</v>
      </c>
      <c r="AI257">
        <f t="shared" si="57"/>
        <v>0</v>
      </c>
      <c r="AJ257">
        <f t="shared" si="57"/>
        <v>0</v>
      </c>
      <c r="AK257">
        <f t="shared" si="57"/>
        <v>0</v>
      </c>
      <c r="AL257">
        <f t="shared" si="57"/>
        <v>0</v>
      </c>
      <c r="AM257">
        <f t="shared" si="57"/>
        <v>0</v>
      </c>
      <c r="AN257">
        <f t="shared" si="57"/>
        <v>0</v>
      </c>
      <c r="AO257">
        <f t="shared" si="57"/>
        <v>0</v>
      </c>
      <c r="AP257">
        <f t="shared" si="57"/>
        <v>0</v>
      </c>
      <c r="AQ257">
        <f t="shared" si="57"/>
        <v>0</v>
      </c>
      <c r="AR257">
        <f t="shared" si="57"/>
        <v>0</v>
      </c>
    </row>
    <row r="258" spans="5:44" x14ac:dyDescent="0.2">
      <c r="E258" s="1">
        <f>moment_rate!$M258</f>
        <v>5.8960977443377889</v>
      </c>
      <c r="F258" s="1">
        <f t="shared" si="47"/>
        <v>0.12079562778418573</v>
      </c>
      <c r="G258">
        <f>moment_rate!I258-0.005</f>
        <v>2.5099999999999905</v>
      </c>
      <c r="H258" s="1">
        <f t="shared" si="48"/>
        <v>0</v>
      </c>
      <c r="I258">
        <f t="shared" si="58"/>
        <v>0</v>
      </c>
      <c r="J258">
        <f t="shared" si="58"/>
        <v>0</v>
      </c>
      <c r="K258">
        <f t="shared" si="58"/>
        <v>0</v>
      </c>
      <c r="L258">
        <f t="shared" si="58"/>
        <v>0</v>
      </c>
      <c r="M258">
        <f t="shared" si="58"/>
        <v>0</v>
      </c>
      <c r="N258">
        <f t="shared" si="58"/>
        <v>0</v>
      </c>
      <c r="O258">
        <f t="shared" si="58"/>
        <v>0</v>
      </c>
      <c r="P258">
        <f t="shared" si="58"/>
        <v>0</v>
      </c>
      <c r="Q258">
        <f t="shared" si="58"/>
        <v>0</v>
      </c>
      <c r="R258">
        <f t="shared" si="58"/>
        <v>0</v>
      </c>
      <c r="S258">
        <f t="shared" si="58"/>
        <v>0</v>
      </c>
      <c r="T258">
        <f t="shared" si="58"/>
        <v>0</v>
      </c>
      <c r="U258">
        <f t="shared" si="58"/>
        <v>0</v>
      </c>
      <c r="V258">
        <f t="shared" si="58"/>
        <v>0</v>
      </c>
      <c r="W258">
        <f t="shared" si="58"/>
        <v>0</v>
      </c>
      <c r="X258">
        <f t="shared" si="58"/>
        <v>0</v>
      </c>
      <c r="Y258">
        <f t="shared" si="57"/>
        <v>0</v>
      </c>
      <c r="Z258">
        <f t="shared" si="57"/>
        <v>0</v>
      </c>
      <c r="AA258">
        <f t="shared" si="57"/>
        <v>0</v>
      </c>
      <c r="AB258">
        <f t="shared" si="57"/>
        <v>0</v>
      </c>
      <c r="AC258">
        <f t="shared" si="57"/>
        <v>0</v>
      </c>
      <c r="AD258">
        <f t="shared" si="57"/>
        <v>0</v>
      </c>
      <c r="AE258">
        <f t="shared" si="57"/>
        <v>0</v>
      </c>
      <c r="AF258">
        <f t="shared" si="57"/>
        <v>0</v>
      </c>
      <c r="AG258">
        <f t="shared" si="57"/>
        <v>0</v>
      </c>
      <c r="AH258">
        <f t="shared" si="57"/>
        <v>0</v>
      </c>
      <c r="AI258">
        <f t="shared" si="57"/>
        <v>0</v>
      </c>
      <c r="AJ258">
        <f t="shared" si="57"/>
        <v>0</v>
      </c>
      <c r="AK258">
        <f t="shared" si="57"/>
        <v>0</v>
      </c>
      <c r="AL258">
        <f t="shared" si="57"/>
        <v>0</v>
      </c>
      <c r="AM258">
        <f t="shared" si="57"/>
        <v>0</v>
      </c>
      <c r="AN258">
        <f t="shared" si="57"/>
        <v>0</v>
      </c>
      <c r="AO258">
        <f t="shared" si="57"/>
        <v>0</v>
      </c>
      <c r="AP258">
        <f t="shared" si="57"/>
        <v>0</v>
      </c>
      <c r="AQ258">
        <f t="shared" si="57"/>
        <v>0</v>
      </c>
      <c r="AR258">
        <f t="shared" si="57"/>
        <v>0</v>
      </c>
    </row>
    <row r="259" spans="5:44" x14ac:dyDescent="0.2">
      <c r="E259" s="1">
        <f>moment_rate!$M259</f>
        <v>5.7753021165536031</v>
      </c>
      <c r="F259" s="1">
        <f t="shared" si="47"/>
        <v>0.11831810769576645</v>
      </c>
      <c r="G259">
        <f>moment_rate!I259-0.005</f>
        <v>2.5199999999999902</v>
      </c>
      <c r="H259" s="1">
        <f t="shared" si="48"/>
        <v>0</v>
      </c>
      <c r="I259">
        <f t="shared" si="58"/>
        <v>0</v>
      </c>
      <c r="J259">
        <f t="shared" si="58"/>
        <v>0</v>
      </c>
      <c r="K259">
        <f t="shared" si="58"/>
        <v>0</v>
      </c>
      <c r="L259">
        <f t="shared" si="58"/>
        <v>0</v>
      </c>
      <c r="M259">
        <f t="shared" si="58"/>
        <v>0</v>
      </c>
      <c r="N259">
        <f t="shared" si="58"/>
        <v>0</v>
      </c>
      <c r="O259">
        <f t="shared" si="58"/>
        <v>0</v>
      </c>
      <c r="P259">
        <f t="shared" si="58"/>
        <v>0</v>
      </c>
      <c r="Q259">
        <f t="shared" si="58"/>
        <v>0</v>
      </c>
      <c r="R259">
        <f t="shared" si="58"/>
        <v>0</v>
      </c>
      <c r="S259">
        <f t="shared" si="58"/>
        <v>0</v>
      </c>
      <c r="T259">
        <f t="shared" si="58"/>
        <v>0</v>
      </c>
      <c r="U259">
        <f t="shared" si="58"/>
        <v>0</v>
      </c>
      <c r="V259">
        <f t="shared" si="58"/>
        <v>0</v>
      </c>
      <c r="W259">
        <f t="shared" si="58"/>
        <v>0</v>
      </c>
      <c r="X259">
        <f t="shared" si="58"/>
        <v>0</v>
      </c>
      <c r="Y259">
        <f t="shared" si="57"/>
        <v>0</v>
      </c>
      <c r="Z259">
        <f t="shared" si="57"/>
        <v>0</v>
      </c>
      <c r="AA259">
        <f t="shared" si="57"/>
        <v>0</v>
      </c>
      <c r="AB259">
        <f t="shared" si="57"/>
        <v>0</v>
      </c>
      <c r="AC259">
        <f t="shared" si="57"/>
        <v>0</v>
      </c>
      <c r="AD259">
        <f t="shared" si="57"/>
        <v>0</v>
      </c>
      <c r="AE259">
        <f t="shared" si="57"/>
        <v>0</v>
      </c>
      <c r="AF259">
        <f t="shared" si="57"/>
        <v>0</v>
      </c>
      <c r="AG259">
        <f t="shared" si="57"/>
        <v>0</v>
      </c>
      <c r="AH259">
        <f t="shared" si="57"/>
        <v>0</v>
      </c>
      <c r="AI259">
        <f t="shared" si="57"/>
        <v>0</v>
      </c>
      <c r="AJ259">
        <f t="shared" si="57"/>
        <v>0</v>
      </c>
      <c r="AK259">
        <f t="shared" si="57"/>
        <v>0</v>
      </c>
      <c r="AL259">
        <f t="shared" si="57"/>
        <v>0</v>
      </c>
      <c r="AM259">
        <f t="shared" si="57"/>
        <v>0</v>
      </c>
      <c r="AN259">
        <f t="shared" si="57"/>
        <v>0</v>
      </c>
      <c r="AO259">
        <f t="shared" si="57"/>
        <v>0</v>
      </c>
      <c r="AP259">
        <f t="shared" si="57"/>
        <v>0</v>
      </c>
      <c r="AQ259">
        <f t="shared" si="57"/>
        <v>0</v>
      </c>
      <c r="AR259">
        <f t="shared" si="57"/>
        <v>0</v>
      </c>
    </row>
    <row r="260" spans="5:44" x14ac:dyDescent="0.2">
      <c r="E260" s="1">
        <f>moment_rate!$M260</f>
        <v>5.6569840088578367</v>
      </c>
      <c r="F260" s="1">
        <f t="shared" si="47"/>
        <v>0.11589140158051059</v>
      </c>
      <c r="G260">
        <f>moment_rate!I260-0.005</f>
        <v>2.52999999999999</v>
      </c>
      <c r="H260" s="1">
        <f t="shared" si="48"/>
        <v>0</v>
      </c>
      <c r="I260">
        <f t="shared" si="58"/>
        <v>0</v>
      </c>
      <c r="J260">
        <f t="shared" si="58"/>
        <v>0</v>
      </c>
      <c r="K260">
        <f t="shared" si="58"/>
        <v>0</v>
      </c>
      <c r="L260">
        <f t="shared" si="58"/>
        <v>0</v>
      </c>
      <c r="M260">
        <f t="shared" si="58"/>
        <v>0</v>
      </c>
      <c r="N260">
        <f t="shared" si="58"/>
        <v>0</v>
      </c>
      <c r="O260">
        <f t="shared" si="58"/>
        <v>0</v>
      </c>
      <c r="P260">
        <f t="shared" si="58"/>
        <v>0</v>
      </c>
      <c r="Q260">
        <f t="shared" si="58"/>
        <v>0</v>
      </c>
      <c r="R260">
        <f t="shared" si="58"/>
        <v>0</v>
      </c>
      <c r="S260">
        <f t="shared" si="58"/>
        <v>0</v>
      </c>
      <c r="T260">
        <f t="shared" si="58"/>
        <v>0</v>
      </c>
      <c r="U260">
        <f t="shared" si="58"/>
        <v>0</v>
      </c>
      <c r="V260">
        <f t="shared" si="58"/>
        <v>0</v>
      </c>
      <c r="W260">
        <f t="shared" si="58"/>
        <v>0</v>
      </c>
      <c r="X260">
        <f t="shared" si="58"/>
        <v>0</v>
      </c>
      <c r="Y260">
        <f t="shared" si="57"/>
        <v>0</v>
      </c>
      <c r="Z260">
        <f t="shared" si="57"/>
        <v>0</v>
      </c>
      <c r="AA260">
        <f t="shared" si="57"/>
        <v>0</v>
      </c>
      <c r="AB260">
        <f t="shared" si="57"/>
        <v>0</v>
      </c>
      <c r="AC260">
        <f t="shared" si="57"/>
        <v>0</v>
      </c>
      <c r="AD260">
        <f t="shared" si="57"/>
        <v>0</v>
      </c>
      <c r="AE260">
        <f t="shared" si="57"/>
        <v>0</v>
      </c>
      <c r="AF260">
        <f t="shared" si="57"/>
        <v>0</v>
      </c>
      <c r="AG260">
        <f t="shared" si="57"/>
        <v>0</v>
      </c>
      <c r="AH260">
        <f t="shared" si="57"/>
        <v>0</v>
      </c>
      <c r="AI260">
        <f t="shared" si="57"/>
        <v>0</v>
      </c>
      <c r="AJ260">
        <f t="shared" si="57"/>
        <v>0</v>
      </c>
      <c r="AK260">
        <f t="shared" si="57"/>
        <v>0</v>
      </c>
      <c r="AL260">
        <f t="shared" si="57"/>
        <v>0</v>
      </c>
      <c r="AM260">
        <f t="shared" si="57"/>
        <v>0</v>
      </c>
      <c r="AN260">
        <f t="shared" si="57"/>
        <v>0</v>
      </c>
      <c r="AO260">
        <f t="shared" si="57"/>
        <v>0</v>
      </c>
      <c r="AP260">
        <f t="shared" si="57"/>
        <v>0</v>
      </c>
      <c r="AQ260">
        <f t="shared" si="57"/>
        <v>0</v>
      </c>
      <c r="AR260">
        <f t="shared" si="57"/>
        <v>0</v>
      </c>
    </row>
    <row r="261" spans="5:44" x14ac:dyDescent="0.2">
      <c r="E261" s="1">
        <f>moment_rate!$M261</f>
        <v>5.5410926072773261</v>
      </c>
      <c r="F261" s="1">
        <f t="shared" si="47"/>
        <v>0.113514467243089</v>
      </c>
      <c r="G261">
        <f>moment_rate!I261-0.005</f>
        <v>2.5399999999999898</v>
      </c>
      <c r="H261" s="1">
        <f t="shared" si="48"/>
        <v>0</v>
      </c>
      <c r="I261">
        <f t="shared" si="58"/>
        <v>0</v>
      </c>
      <c r="J261">
        <f t="shared" si="58"/>
        <v>0</v>
      </c>
      <c r="K261">
        <f t="shared" si="58"/>
        <v>0</v>
      </c>
      <c r="L261">
        <f t="shared" si="58"/>
        <v>0</v>
      </c>
      <c r="M261">
        <f t="shared" si="58"/>
        <v>0</v>
      </c>
      <c r="N261">
        <f t="shared" si="58"/>
        <v>0</v>
      </c>
      <c r="O261">
        <f t="shared" si="58"/>
        <v>0</v>
      </c>
      <c r="P261">
        <f t="shared" si="58"/>
        <v>0</v>
      </c>
      <c r="Q261">
        <f t="shared" si="58"/>
        <v>0</v>
      </c>
      <c r="R261">
        <f t="shared" si="58"/>
        <v>0</v>
      </c>
      <c r="S261">
        <f t="shared" si="58"/>
        <v>0</v>
      </c>
      <c r="T261">
        <f t="shared" si="58"/>
        <v>0</v>
      </c>
      <c r="U261">
        <f t="shared" si="58"/>
        <v>0</v>
      </c>
      <c r="V261">
        <f t="shared" si="58"/>
        <v>0</v>
      </c>
      <c r="W261">
        <f t="shared" si="58"/>
        <v>0</v>
      </c>
      <c r="X261">
        <f t="shared" si="58"/>
        <v>0</v>
      </c>
      <c r="Y261">
        <f t="shared" si="57"/>
        <v>0</v>
      </c>
      <c r="Z261">
        <f t="shared" si="57"/>
        <v>0</v>
      </c>
      <c r="AA261">
        <f t="shared" si="57"/>
        <v>0</v>
      </c>
      <c r="AB261">
        <f t="shared" si="57"/>
        <v>0</v>
      </c>
      <c r="AC261">
        <f t="shared" si="57"/>
        <v>0</v>
      </c>
      <c r="AD261">
        <f t="shared" si="57"/>
        <v>0</v>
      </c>
      <c r="AE261">
        <f t="shared" si="57"/>
        <v>0</v>
      </c>
      <c r="AF261">
        <f t="shared" si="57"/>
        <v>0</v>
      </c>
      <c r="AG261">
        <f t="shared" si="57"/>
        <v>0</v>
      </c>
      <c r="AH261">
        <f t="shared" si="57"/>
        <v>0</v>
      </c>
      <c r="AI261">
        <f t="shared" si="57"/>
        <v>0</v>
      </c>
      <c r="AJ261">
        <f t="shared" si="57"/>
        <v>0</v>
      </c>
      <c r="AK261">
        <f t="shared" si="57"/>
        <v>0</v>
      </c>
      <c r="AL261">
        <f t="shared" si="57"/>
        <v>0</v>
      </c>
      <c r="AM261">
        <f t="shared" si="57"/>
        <v>0</v>
      </c>
      <c r="AN261">
        <f t="shared" si="57"/>
        <v>0</v>
      </c>
      <c r="AO261">
        <f t="shared" si="57"/>
        <v>0</v>
      </c>
      <c r="AP261">
        <f t="shared" si="57"/>
        <v>0</v>
      </c>
      <c r="AQ261">
        <f t="shared" si="57"/>
        <v>0</v>
      </c>
      <c r="AR261">
        <f t="shared" si="57"/>
        <v>0</v>
      </c>
    </row>
    <row r="262" spans="5:44" x14ac:dyDescent="0.2">
      <c r="E262" s="1">
        <f>moment_rate!$M262</f>
        <v>5.4275781400342371</v>
      </c>
      <c r="F262" s="1">
        <f t="shared" si="47"/>
        <v>0.11118628386360996</v>
      </c>
      <c r="G262">
        <f>moment_rate!I262-0.005</f>
        <v>2.5499999999999896</v>
      </c>
      <c r="H262" s="1">
        <f t="shared" si="48"/>
        <v>0</v>
      </c>
      <c r="I262">
        <f t="shared" si="58"/>
        <v>0</v>
      </c>
      <c r="J262">
        <f t="shared" si="58"/>
        <v>0</v>
      </c>
      <c r="K262">
        <f t="shared" si="58"/>
        <v>0</v>
      </c>
      <c r="L262">
        <f t="shared" si="58"/>
        <v>0</v>
      </c>
      <c r="M262">
        <f t="shared" si="58"/>
        <v>0</v>
      </c>
      <c r="N262">
        <f t="shared" si="58"/>
        <v>0</v>
      </c>
      <c r="O262">
        <f t="shared" si="58"/>
        <v>0</v>
      </c>
      <c r="P262">
        <f t="shared" si="58"/>
        <v>0</v>
      </c>
      <c r="Q262">
        <f t="shared" si="58"/>
        <v>0</v>
      </c>
      <c r="R262">
        <f t="shared" si="58"/>
        <v>0</v>
      </c>
      <c r="S262">
        <f t="shared" si="58"/>
        <v>0</v>
      </c>
      <c r="T262">
        <f t="shared" si="58"/>
        <v>0</v>
      </c>
      <c r="U262">
        <f t="shared" si="58"/>
        <v>0</v>
      </c>
      <c r="V262">
        <f t="shared" si="58"/>
        <v>0</v>
      </c>
      <c r="W262">
        <f t="shared" si="58"/>
        <v>0</v>
      </c>
      <c r="X262">
        <f t="shared" si="58"/>
        <v>0</v>
      </c>
      <c r="Y262">
        <f t="shared" si="57"/>
        <v>0</v>
      </c>
      <c r="Z262">
        <f t="shared" si="57"/>
        <v>0</v>
      </c>
      <c r="AA262">
        <f t="shared" si="57"/>
        <v>0</v>
      </c>
      <c r="AB262">
        <f t="shared" si="57"/>
        <v>0</v>
      </c>
      <c r="AC262">
        <f t="shared" si="57"/>
        <v>0</v>
      </c>
      <c r="AD262">
        <f t="shared" si="57"/>
        <v>0</v>
      </c>
      <c r="AE262">
        <f t="shared" si="57"/>
        <v>0</v>
      </c>
      <c r="AF262">
        <f t="shared" si="57"/>
        <v>0</v>
      </c>
      <c r="AG262">
        <f t="shared" si="57"/>
        <v>0</v>
      </c>
      <c r="AH262">
        <f t="shared" si="57"/>
        <v>0</v>
      </c>
      <c r="AI262">
        <f t="shared" si="57"/>
        <v>0</v>
      </c>
      <c r="AJ262">
        <f t="shared" si="57"/>
        <v>0</v>
      </c>
      <c r="AK262">
        <f t="shared" si="57"/>
        <v>0</v>
      </c>
      <c r="AL262">
        <f t="shared" si="57"/>
        <v>0</v>
      </c>
      <c r="AM262">
        <f t="shared" si="57"/>
        <v>0</v>
      </c>
      <c r="AN262">
        <f t="shared" si="57"/>
        <v>0</v>
      </c>
      <c r="AO262">
        <f t="shared" si="57"/>
        <v>0</v>
      </c>
      <c r="AP262">
        <f t="shared" si="57"/>
        <v>0</v>
      </c>
      <c r="AQ262">
        <f t="shared" si="57"/>
        <v>0</v>
      </c>
      <c r="AR262">
        <f t="shared" si="57"/>
        <v>0</v>
      </c>
    </row>
    <row r="263" spans="5:44" x14ac:dyDescent="0.2">
      <c r="E263" s="1">
        <f>moment_rate!$M263</f>
        <v>5.3163918561706272</v>
      </c>
      <c r="F263" s="1">
        <f t="shared" si="47"/>
        <v>0.10890585155921428</v>
      </c>
      <c r="G263">
        <f>moment_rate!I263-0.005</f>
        <v>2.5599999999999894</v>
      </c>
      <c r="H263" s="1">
        <f t="shared" si="48"/>
        <v>0</v>
      </c>
      <c r="I263">
        <f t="shared" si="58"/>
        <v>0</v>
      </c>
      <c r="J263">
        <f t="shared" si="58"/>
        <v>0</v>
      </c>
      <c r="K263">
        <f t="shared" si="58"/>
        <v>0</v>
      </c>
      <c r="L263">
        <f t="shared" si="58"/>
        <v>0</v>
      </c>
      <c r="M263">
        <f t="shared" si="58"/>
        <v>0</v>
      </c>
      <c r="N263">
        <f t="shared" si="58"/>
        <v>0</v>
      </c>
      <c r="O263">
        <f t="shared" si="58"/>
        <v>0</v>
      </c>
      <c r="P263">
        <f t="shared" si="58"/>
        <v>0</v>
      </c>
      <c r="Q263">
        <f t="shared" si="58"/>
        <v>0</v>
      </c>
      <c r="R263">
        <f t="shared" si="58"/>
        <v>0</v>
      </c>
      <c r="S263">
        <f t="shared" si="58"/>
        <v>0</v>
      </c>
      <c r="T263">
        <f t="shared" si="58"/>
        <v>0</v>
      </c>
      <c r="U263">
        <f t="shared" si="58"/>
        <v>0</v>
      </c>
      <c r="V263">
        <f t="shared" si="58"/>
        <v>0</v>
      </c>
      <c r="W263">
        <f t="shared" si="58"/>
        <v>0</v>
      </c>
      <c r="X263">
        <f t="shared" si="58"/>
        <v>0</v>
      </c>
      <c r="Y263">
        <f t="shared" si="57"/>
        <v>0</v>
      </c>
      <c r="Z263">
        <f t="shared" si="57"/>
        <v>0</v>
      </c>
      <c r="AA263">
        <f t="shared" si="57"/>
        <v>0</v>
      </c>
      <c r="AB263">
        <f t="shared" si="57"/>
        <v>0</v>
      </c>
      <c r="AC263">
        <f t="shared" si="57"/>
        <v>0</v>
      </c>
      <c r="AD263">
        <f t="shared" si="57"/>
        <v>0</v>
      </c>
      <c r="AE263">
        <f t="shared" si="57"/>
        <v>0</v>
      </c>
      <c r="AF263">
        <f t="shared" si="57"/>
        <v>0</v>
      </c>
      <c r="AG263">
        <f t="shared" si="57"/>
        <v>0</v>
      </c>
      <c r="AH263">
        <f t="shared" si="57"/>
        <v>0</v>
      </c>
      <c r="AI263">
        <f t="shared" si="57"/>
        <v>0</v>
      </c>
      <c r="AJ263">
        <f t="shared" si="57"/>
        <v>0</v>
      </c>
      <c r="AK263">
        <f t="shared" si="57"/>
        <v>0</v>
      </c>
      <c r="AL263">
        <f t="shared" si="57"/>
        <v>0</v>
      </c>
      <c r="AM263">
        <f t="shared" si="57"/>
        <v>0</v>
      </c>
      <c r="AN263">
        <f t="shared" si="57"/>
        <v>0</v>
      </c>
      <c r="AO263">
        <f t="shared" si="57"/>
        <v>0</v>
      </c>
      <c r="AP263">
        <f t="shared" si="57"/>
        <v>0</v>
      </c>
      <c r="AQ263">
        <f t="shared" si="57"/>
        <v>0</v>
      </c>
      <c r="AR263">
        <f t="shared" si="57"/>
        <v>0</v>
      </c>
    </row>
    <row r="264" spans="5:44" x14ac:dyDescent="0.2">
      <c r="E264" s="1">
        <f>moment_rate!$M264</f>
        <v>5.2074860046114129</v>
      </c>
      <c r="F264" s="1">
        <f t="shared" ref="F264:F327" si="59">E264-E265</f>
        <v>0.10667219095465619</v>
      </c>
      <c r="G264">
        <f>moment_rate!I264-0.005</f>
        <v>2.5699999999999892</v>
      </c>
      <c r="H264" s="1">
        <f t="shared" ref="H264:H327" si="60">IF($G264&gt;=4.999,(E264-E265),0)</f>
        <v>0</v>
      </c>
      <c r="I264">
        <f t="shared" si="58"/>
        <v>0</v>
      </c>
      <c r="J264">
        <f t="shared" si="58"/>
        <v>0</v>
      </c>
      <c r="K264">
        <f t="shared" si="58"/>
        <v>0</v>
      </c>
      <c r="L264">
        <f t="shared" si="58"/>
        <v>0</v>
      </c>
      <c r="M264">
        <f t="shared" si="58"/>
        <v>0</v>
      </c>
      <c r="N264">
        <f t="shared" si="58"/>
        <v>0</v>
      </c>
      <c r="O264">
        <f t="shared" si="58"/>
        <v>0</v>
      </c>
      <c r="P264">
        <f t="shared" si="58"/>
        <v>0</v>
      </c>
      <c r="Q264">
        <f t="shared" si="58"/>
        <v>0</v>
      </c>
      <c r="R264">
        <f t="shared" si="58"/>
        <v>0</v>
      </c>
      <c r="S264">
        <f t="shared" si="58"/>
        <v>0</v>
      </c>
      <c r="T264">
        <f t="shared" si="58"/>
        <v>0</v>
      </c>
      <c r="U264">
        <f t="shared" si="58"/>
        <v>0</v>
      </c>
      <c r="V264">
        <f t="shared" si="58"/>
        <v>0</v>
      </c>
      <c r="W264">
        <f t="shared" si="58"/>
        <v>0</v>
      </c>
      <c r="X264">
        <f t="shared" si="58"/>
        <v>0</v>
      </c>
      <c r="Y264">
        <f t="shared" si="57"/>
        <v>0</v>
      </c>
      <c r="Z264">
        <f t="shared" si="57"/>
        <v>0</v>
      </c>
      <c r="AA264">
        <f t="shared" si="57"/>
        <v>0</v>
      </c>
      <c r="AB264">
        <f t="shared" si="57"/>
        <v>0</v>
      </c>
      <c r="AC264">
        <f t="shared" si="57"/>
        <v>0</v>
      </c>
      <c r="AD264">
        <f t="shared" si="57"/>
        <v>0</v>
      </c>
      <c r="AE264">
        <f t="shared" si="57"/>
        <v>0</v>
      </c>
      <c r="AF264">
        <f t="shared" si="57"/>
        <v>0</v>
      </c>
      <c r="AG264">
        <f t="shared" si="57"/>
        <v>0</v>
      </c>
      <c r="AH264">
        <f t="shared" si="57"/>
        <v>0</v>
      </c>
      <c r="AI264">
        <f t="shared" si="57"/>
        <v>0</v>
      </c>
      <c r="AJ264">
        <f t="shared" si="57"/>
        <v>0</v>
      </c>
      <c r="AK264">
        <f t="shared" si="57"/>
        <v>0</v>
      </c>
      <c r="AL264">
        <f t="shared" si="57"/>
        <v>0</v>
      </c>
      <c r="AM264">
        <f t="shared" si="57"/>
        <v>0</v>
      </c>
      <c r="AN264">
        <f t="shared" si="57"/>
        <v>0</v>
      </c>
      <c r="AO264">
        <f t="shared" si="57"/>
        <v>0</v>
      </c>
      <c r="AP264">
        <f t="shared" si="57"/>
        <v>0</v>
      </c>
      <c r="AQ264">
        <f t="shared" si="57"/>
        <v>0</v>
      </c>
      <c r="AR264">
        <f t="shared" si="57"/>
        <v>0</v>
      </c>
    </row>
    <row r="265" spans="5:44" x14ac:dyDescent="0.2">
      <c r="E265" s="1">
        <f>moment_rate!$M265</f>
        <v>5.1008138136567567</v>
      </c>
      <c r="F265" s="1">
        <f t="shared" si="59"/>
        <v>0.10448434276169127</v>
      </c>
      <c r="G265">
        <f>moment_rate!I265-0.005</f>
        <v>2.579999999999989</v>
      </c>
      <c r="H265" s="1">
        <f t="shared" si="60"/>
        <v>0</v>
      </c>
      <c r="I265">
        <f t="shared" si="58"/>
        <v>0</v>
      </c>
      <c r="J265">
        <f t="shared" si="58"/>
        <v>0</v>
      </c>
      <c r="K265">
        <f t="shared" si="58"/>
        <v>0</v>
      </c>
      <c r="L265">
        <f t="shared" si="58"/>
        <v>0</v>
      </c>
      <c r="M265">
        <f t="shared" si="58"/>
        <v>0</v>
      </c>
      <c r="N265">
        <f t="shared" si="58"/>
        <v>0</v>
      </c>
      <c r="O265">
        <f t="shared" si="58"/>
        <v>0</v>
      </c>
      <c r="P265">
        <f t="shared" si="58"/>
        <v>0</v>
      </c>
      <c r="Q265">
        <f t="shared" si="58"/>
        <v>0</v>
      </c>
      <c r="R265">
        <f t="shared" si="58"/>
        <v>0</v>
      </c>
      <c r="S265">
        <f t="shared" si="58"/>
        <v>0</v>
      </c>
      <c r="T265">
        <f t="shared" si="58"/>
        <v>0</v>
      </c>
      <c r="U265">
        <f t="shared" si="58"/>
        <v>0</v>
      </c>
      <c r="V265">
        <f t="shared" si="58"/>
        <v>0</v>
      </c>
      <c r="W265">
        <f t="shared" si="58"/>
        <v>0</v>
      </c>
      <c r="X265">
        <f t="shared" si="58"/>
        <v>0</v>
      </c>
      <c r="Y265">
        <f t="shared" si="57"/>
        <v>0</v>
      </c>
      <c r="Z265">
        <f t="shared" si="57"/>
        <v>0</v>
      </c>
      <c r="AA265">
        <f t="shared" si="57"/>
        <v>0</v>
      </c>
      <c r="AB265">
        <f t="shared" si="57"/>
        <v>0</v>
      </c>
      <c r="AC265">
        <f t="shared" si="57"/>
        <v>0</v>
      </c>
      <c r="AD265">
        <f t="shared" si="57"/>
        <v>0</v>
      </c>
      <c r="AE265">
        <f t="shared" si="57"/>
        <v>0</v>
      </c>
      <c r="AF265">
        <f t="shared" si="57"/>
        <v>0</v>
      </c>
      <c r="AG265">
        <f t="shared" si="57"/>
        <v>0</v>
      </c>
      <c r="AH265">
        <f t="shared" si="57"/>
        <v>0</v>
      </c>
      <c r="AI265">
        <f t="shared" si="57"/>
        <v>0</v>
      </c>
      <c r="AJ265">
        <f t="shared" si="57"/>
        <v>0</v>
      </c>
      <c r="AK265">
        <f t="shared" si="57"/>
        <v>0</v>
      </c>
      <c r="AL265">
        <f t="shared" si="57"/>
        <v>0</v>
      </c>
      <c r="AM265">
        <f t="shared" si="57"/>
        <v>0</v>
      </c>
      <c r="AN265">
        <f t="shared" si="57"/>
        <v>0</v>
      </c>
      <c r="AO265">
        <f t="shared" si="57"/>
        <v>0</v>
      </c>
      <c r="AP265">
        <f t="shared" si="57"/>
        <v>0</v>
      </c>
      <c r="AQ265">
        <f t="shared" si="57"/>
        <v>0</v>
      </c>
      <c r="AR265">
        <f t="shared" si="57"/>
        <v>0</v>
      </c>
    </row>
    <row r="266" spans="5:44" x14ac:dyDescent="0.2">
      <c r="E266" s="1">
        <f>moment_rate!$M266</f>
        <v>4.9963294708950654</v>
      </c>
      <c r="F266" s="1">
        <f t="shared" si="59"/>
        <v>0.10234136736708521</v>
      </c>
      <c r="G266">
        <f>moment_rate!I266-0.005</f>
        <v>2.5899999999999888</v>
      </c>
      <c r="H266" s="1">
        <f t="shared" si="60"/>
        <v>0</v>
      </c>
      <c r="I266">
        <f t="shared" si="58"/>
        <v>0</v>
      </c>
      <c r="J266">
        <f t="shared" si="58"/>
        <v>0</v>
      </c>
      <c r="K266">
        <f t="shared" si="58"/>
        <v>0</v>
      </c>
      <c r="L266">
        <f t="shared" si="58"/>
        <v>0</v>
      </c>
      <c r="M266">
        <f t="shared" si="58"/>
        <v>0</v>
      </c>
      <c r="N266">
        <f t="shared" si="58"/>
        <v>0</v>
      </c>
      <c r="O266">
        <f t="shared" si="58"/>
        <v>0</v>
      </c>
      <c r="P266">
        <f t="shared" si="58"/>
        <v>0</v>
      </c>
      <c r="Q266">
        <f t="shared" si="58"/>
        <v>0</v>
      </c>
      <c r="R266">
        <f t="shared" si="58"/>
        <v>0</v>
      </c>
      <c r="S266">
        <f t="shared" si="58"/>
        <v>0</v>
      </c>
      <c r="T266">
        <f t="shared" si="58"/>
        <v>0</v>
      </c>
      <c r="U266">
        <f t="shared" si="58"/>
        <v>0</v>
      </c>
      <c r="V266">
        <f t="shared" si="58"/>
        <v>0</v>
      </c>
      <c r="W266">
        <f t="shared" si="58"/>
        <v>0</v>
      </c>
      <c r="X266">
        <f t="shared" si="58"/>
        <v>0</v>
      </c>
      <c r="Y266">
        <f t="shared" si="57"/>
        <v>0</v>
      </c>
      <c r="Z266">
        <f t="shared" si="57"/>
        <v>0</v>
      </c>
      <c r="AA266">
        <f t="shared" si="57"/>
        <v>0</v>
      </c>
      <c r="AB266">
        <f t="shared" si="57"/>
        <v>0</v>
      </c>
      <c r="AC266">
        <f t="shared" si="57"/>
        <v>0</v>
      </c>
      <c r="AD266">
        <f t="shared" si="57"/>
        <v>0</v>
      </c>
      <c r="AE266">
        <f t="shared" si="57"/>
        <v>0</v>
      </c>
      <c r="AF266">
        <f t="shared" si="57"/>
        <v>0</v>
      </c>
      <c r="AG266">
        <f t="shared" si="57"/>
        <v>0</v>
      </c>
      <c r="AH266">
        <f t="shared" si="57"/>
        <v>0</v>
      </c>
      <c r="AI266">
        <f t="shared" si="57"/>
        <v>0</v>
      </c>
      <c r="AJ266">
        <f t="shared" si="57"/>
        <v>0</v>
      </c>
      <c r="AK266">
        <f t="shared" si="57"/>
        <v>0</v>
      </c>
      <c r="AL266">
        <f t="shared" si="57"/>
        <v>0</v>
      </c>
      <c r="AM266">
        <f t="shared" ref="AI266:AR301" si="61">IF(AND($G266&gt;=AM$3,$G266&lt;AM$4),$F266,0)</f>
        <v>0</v>
      </c>
      <c r="AN266">
        <f t="shared" si="61"/>
        <v>0</v>
      </c>
      <c r="AO266">
        <f t="shared" si="61"/>
        <v>0</v>
      </c>
      <c r="AP266">
        <f t="shared" si="61"/>
        <v>0</v>
      </c>
      <c r="AQ266">
        <f t="shared" si="61"/>
        <v>0</v>
      </c>
      <c r="AR266">
        <f t="shared" si="61"/>
        <v>0</v>
      </c>
    </row>
    <row r="267" spans="5:44" x14ac:dyDescent="0.2">
      <c r="E267" s="1">
        <f>moment_rate!$M267</f>
        <v>4.8939881035279802</v>
      </c>
      <c r="F267" s="1">
        <f t="shared" si="59"/>
        <v>0.10024234442909297</v>
      </c>
      <c r="G267">
        <f>moment_rate!I267-0.005</f>
        <v>2.5999999999999885</v>
      </c>
      <c r="H267" s="1">
        <f t="shared" si="60"/>
        <v>0</v>
      </c>
      <c r="I267">
        <f t="shared" si="58"/>
        <v>0</v>
      </c>
      <c r="J267">
        <f t="shared" si="58"/>
        <v>0</v>
      </c>
      <c r="K267">
        <f t="shared" si="58"/>
        <v>0</v>
      </c>
      <c r="L267">
        <f t="shared" si="58"/>
        <v>0</v>
      </c>
      <c r="M267">
        <f t="shared" si="58"/>
        <v>0</v>
      </c>
      <c r="N267">
        <f t="shared" si="58"/>
        <v>0</v>
      </c>
      <c r="O267">
        <f t="shared" si="58"/>
        <v>0</v>
      </c>
      <c r="P267">
        <f t="shared" si="58"/>
        <v>0</v>
      </c>
      <c r="Q267">
        <f t="shared" si="58"/>
        <v>0</v>
      </c>
      <c r="R267">
        <f t="shared" si="58"/>
        <v>0</v>
      </c>
      <c r="S267">
        <f t="shared" si="58"/>
        <v>0</v>
      </c>
      <c r="T267">
        <f t="shared" si="58"/>
        <v>0</v>
      </c>
      <c r="U267">
        <f t="shared" si="58"/>
        <v>0</v>
      </c>
      <c r="V267">
        <f t="shared" si="58"/>
        <v>0</v>
      </c>
      <c r="W267">
        <f t="shared" si="58"/>
        <v>0</v>
      </c>
      <c r="X267">
        <f t="shared" si="58"/>
        <v>0</v>
      </c>
      <c r="Y267">
        <f t="shared" ref="Y267:AH275" si="62">IF(AND($G267&gt;=Y$3,$G267&lt;Y$4),$F267,0)</f>
        <v>0</v>
      </c>
      <c r="Z267">
        <f t="shared" si="62"/>
        <v>0</v>
      </c>
      <c r="AA267">
        <f t="shared" si="62"/>
        <v>0</v>
      </c>
      <c r="AB267">
        <f t="shared" si="62"/>
        <v>0</v>
      </c>
      <c r="AC267">
        <f t="shared" si="62"/>
        <v>0</v>
      </c>
      <c r="AD267">
        <f t="shared" si="62"/>
        <v>0</v>
      </c>
      <c r="AE267">
        <f t="shared" si="62"/>
        <v>0</v>
      </c>
      <c r="AF267">
        <f t="shared" si="62"/>
        <v>0</v>
      </c>
      <c r="AG267">
        <f t="shared" si="62"/>
        <v>0</v>
      </c>
      <c r="AH267">
        <f t="shared" si="62"/>
        <v>0</v>
      </c>
      <c r="AI267">
        <f t="shared" si="61"/>
        <v>0</v>
      </c>
      <c r="AJ267">
        <f t="shared" si="61"/>
        <v>0</v>
      </c>
      <c r="AK267">
        <f t="shared" si="61"/>
        <v>0</v>
      </c>
      <c r="AL267">
        <f t="shared" si="61"/>
        <v>0</v>
      </c>
      <c r="AM267">
        <f t="shared" si="61"/>
        <v>0</v>
      </c>
      <c r="AN267">
        <f t="shared" si="61"/>
        <v>0</v>
      </c>
      <c r="AO267">
        <f t="shared" si="61"/>
        <v>0</v>
      </c>
      <c r="AP267">
        <f t="shared" si="61"/>
        <v>0</v>
      </c>
      <c r="AQ267">
        <f t="shared" si="61"/>
        <v>0</v>
      </c>
      <c r="AR267">
        <f t="shared" si="61"/>
        <v>0</v>
      </c>
    </row>
    <row r="268" spans="5:44" x14ac:dyDescent="0.2">
      <c r="E268" s="1">
        <f>moment_rate!$M268</f>
        <v>4.7937457590988872</v>
      </c>
      <c r="F268" s="1">
        <f t="shared" si="59"/>
        <v>9.8186372482185647E-2</v>
      </c>
      <c r="G268">
        <f>moment_rate!I268-0.005</f>
        <v>2.6099999999999883</v>
      </c>
      <c r="H268" s="1">
        <f t="shared" si="60"/>
        <v>0</v>
      </c>
      <c r="I268">
        <f t="shared" si="58"/>
        <v>0</v>
      </c>
      <c r="J268">
        <f t="shared" si="58"/>
        <v>0</v>
      </c>
      <c r="K268">
        <f t="shared" si="58"/>
        <v>0</v>
      </c>
      <c r="L268">
        <f t="shared" si="58"/>
        <v>0</v>
      </c>
      <c r="M268">
        <f t="shared" si="58"/>
        <v>0</v>
      </c>
      <c r="N268">
        <f t="shared" si="58"/>
        <v>0</v>
      </c>
      <c r="O268">
        <f t="shared" si="58"/>
        <v>0</v>
      </c>
      <c r="P268">
        <f t="shared" si="58"/>
        <v>0</v>
      </c>
      <c r="Q268">
        <f t="shared" si="58"/>
        <v>0</v>
      </c>
      <c r="R268">
        <f t="shared" si="58"/>
        <v>0</v>
      </c>
      <c r="S268">
        <f t="shared" si="58"/>
        <v>0</v>
      </c>
      <c r="T268">
        <f t="shared" si="58"/>
        <v>0</v>
      </c>
      <c r="U268">
        <f t="shared" si="58"/>
        <v>0</v>
      </c>
      <c r="V268">
        <f t="shared" si="58"/>
        <v>0</v>
      </c>
      <c r="W268">
        <f t="shared" si="58"/>
        <v>0</v>
      </c>
      <c r="X268">
        <f t="shared" si="58"/>
        <v>0</v>
      </c>
      <c r="Y268">
        <f t="shared" si="62"/>
        <v>0</v>
      </c>
      <c r="Z268">
        <f t="shared" si="62"/>
        <v>0</v>
      </c>
      <c r="AA268">
        <f t="shared" si="62"/>
        <v>0</v>
      </c>
      <c r="AB268">
        <f t="shared" si="62"/>
        <v>0</v>
      </c>
      <c r="AC268">
        <f t="shared" si="62"/>
        <v>0</v>
      </c>
      <c r="AD268">
        <f t="shared" si="62"/>
        <v>0</v>
      </c>
      <c r="AE268">
        <f t="shared" si="62"/>
        <v>0</v>
      </c>
      <c r="AF268">
        <f t="shared" si="62"/>
        <v>0</v>
      </c>
      <c r="AG268">
        <f t="shared" si="62"/>
        <v>0</v>
      </c>
      <c r="AH268">
        <f t="shared" si="62"/>
        <v>0</v>
      </c>
      <c r="AI268">
        <f t="shared" si="61"/>
        <v>0</v>
      </c>
      <c r="AJ268">
        <f t="shared" si="61"/>
        <v>0</v>
      </c>
      <c r="AK268">
        <f t="shared" si="61"/>
        <v>0</v>
      </c>
      <c r="AL268">
        <f t="shared" si="61"/>
        <v>0</v>
      </c>
      <c r="AM268">
        <f t="shared" si="61"/>
        <v>0</v>
      </c>
      <c r="AN268">
        <f t="shared" si="61"/>
        <v>0</v>
      </c>
      <c r="AO268">
        <f t="shared" si="61"/>
        <v>0</v>
      </c>
      <c r="AP268">
        <f t="shared" si="61"/>
        <v>0</v>
      </c>
      <c r="AQ268">
        <f t="shared" si="61"/>
        <v>0</v>
      </c>
      <c r="AR268">
        <f t="shared" si="61"/>
        <v>0</v>
      </c>
    </row>
    <row r="269" spans="5:44" x14ac:dyDescent="0.2">
      <c r="E269" s="1">
        <f>moment_rate!$M269</f>
        <v>4.6955593866167016</v>
      </c>
      <c r="F269" s="1">
        <f t="shared" si="59"/>
        <v>9.6172568549910409E-2</v>
      </c>
      <c r="G269">
        <f>moment_rate!I269-0.005</f>
        <v>2.6199999999999881</v>
      </c>
      <c r="H269" s="1">
        <f t="shared" si="60"/>
        <v>0</v>
      </c>
      <c r="I269">
        <f t="shared" si="58"/>
        <v>0</v>
      </c>
      <c r="J269">
        <f t="shared" si="58"/>
        <v>0</v>
      </c>
      <c r="K269">
        <f t="shared" si="58"/>
        <v>0</v>
      </c>
      <c r="L269">
        <f t="shared" si="58"/>
        <v>0</v>
      </c>
      <c r="M269">
        <f t="shared" si="58"/>
        <v>0</v>
      </c>
      <c r="N269">
        <f t="shared" si="58"/>
        <v>0</v>
      </c>
      <c r="O269">
        <f t="shared" si="58"/>
        <v>0</v>
      </c>
      <c r="P269">
        <f t="shared" si="58"/>
        <v>0</v>
      </c>
      <c r="Q269">
        <f t="shared" si="58"/>
        <v>0</v>
      </c>
      <c r="R269">
        <f t="shared" si="58"/>
        <v>0</v>
      </c>
      <c r="S269">
        <f t="shared" si="58"/>
        <v>0</v>
      </c>
      <c r="T269">
        <f t="shared" si="58"/>
        <v>0</v>
      </c>
      <c r="U269">
        <f t="shared" si="58"/>
        <v>0</v>
      </c>
      <c r="V269">
        <f t="shared" si="58"/>
        <v>0</v>
      </c>
      <c r="W269">
        <f t="shared" si="58"/>
        <v>0</v>
      </c>
      <c r="X269">
        <f t="shared" si="58"/>
        <v>0</v>
      </c>
      <c r="Y269">
        <f t="shared" si="62"/>
        <v>0</v>
      </c>
      <c r="Z269">
        <f t="shared" si="62"/>
        <v>0</v>
      </c>
      <c r="AA269">
        <f t="shared" si="62"/>
        <v>0</v>
      </c>
      <c r="AB269">
        <f t="shared" si="62"/>
        <v>0</v>
      </c>
      <c r="AC269">
        <f t="shared" si="62"/>
        <v>0</v>
      </c>
      <c r="AD269">
        <f t="shared" si="62"/>
        <v>0</v>
      </c>
      <c r="AE269">
        <f t="shared" si="62"/>
        <v>0</v>
      </c>
      <c r="AF269">
        <f t="shared" si="62"/>
        <v>0</v>
      </c>
      <c r="AG269">
        <f t="shared" si="62"/>
        <v>0</v>
      </c>
      <c r="AH269">
        <f t="shared" si="62"/>
        <v>0</v>
      </c>
      <c r="AI269">
        <f t="shared" si="61"/>
        <v>0</v>
      </c>
      <c r="AJ269">
        <f t="shared" si="61"/>
        <v>0</v>
      </c>
      <c r="AK269">
        <f t="shared" si="61"/>
        <v>0</v>
      </c>
      <c r="AL269">
        <f t="shared" si="61"/>
        <v>0</v>
      </c>
      <c r="AM269">
        <f t="shared" si="61"/>
        <v>0</v>
      </c>
      <c r="AN269">
        <f t="shared" si="61"/>
        <v>0</v>
      </c>
      <c r="AO269">
        <f t="shared" si="61"/>
        <v>0</v>
      </c>
      <c r="AP269">
        <f t="shared" si="61"/>
        <v>0</v>
      </c>
      <c r="AQ269">
        <f t="shared" si="61"/>
        <v>0</v>
      </c>
      <c r="AR269">
        <f t="shared" si="61"/>
        <v>0</v>
      </c>
    </row>
    <row r="270" spans="5:44" x14ac:dyDescent="0.2">
      <c r="E270" s="1">
        <f>moment_rate!$M270</f>
        <v>4.5993868180667912</v>
      </c>
      <c r="F270" s="1">
        <f t="shared" si="59"/>
        <v>9.4200067765668472E-2</v>
      </c>
      <c r="G270">
        <f>moment_rate!I270-0.005</f>
        <v>2.6299999999999879</v>
      </c>
      <c r="H270" s="1">
        <f t="shared" si="60"/>
        <v>0</v>
      </c>
      <c r="I270">
        <f t="shared" si="58"/>
        <v>0</v>
      </c>
      <c r="J270">
        <f t="shared" si="58"/>
        <v>0</v>
      </c>
      <c r="K270">
        <f t="shared" si="58"/>
        <v>0</v>
      </c>
      <c r="L270">
        <f t="shared" si="58"/>
        <v>0</v>
      </c>
      <c r="M270">
        <f t="shared" si="58"/>
        <v>0</v>
      </c>
      <c r="N270">
        <f t="shared" si="58"/>
        <v>0</v>
      </c>
      <c r="O270">
        <f t="shared" si="58"/>
        <v>0</v>
      </c>
      <c r="P270">
        <f t="shared" si="58"/>
        <v>0</v>
      </c>
      <c r="Q270">
        <f t="shared" si="58"/>
        <v>0</v>
      </c>
      <c r="R270">
        <f t="shared" si="58"/>
        <v>0</v>
      </c>
      <c r="S270">
        <f t="shared" si="58"/>
        <v>0</v>
      </c>
      <c r="T270">
        <f t="shared" si="58"/>
        <v>0</v>
      </c>
      <c r="U270">
        <f t="shared" si="58"/>
        <v>0</v>
      </c>
      <c r="V270">
        <f t="shared" si="58"/>
        <v>0</v>
      </c>
      <c r="W270">
        <f t="shared" si="58"/>
        <v>0</v>
      </c>
      <c r="X270">
        <f t="shared" ref="X270:AM285" si="63">IF(AND($G270&gt;=X$3,$G270&lt;X$4),$F270,0)</f>
        <v>0</v>
      </c>
      <c r="Y270">
        <f t="shared" si="63"/>
        <v>0</v>
      </c>
      <c r="Z270">
        <f t="shared" si="62"/>
        <v>0</v>
      </c>
      <c r="AA270">
        <f t="shared" si="62"/>
        <v>0</v>
      </c>
      <c r="AB270">
        <f t="shared" si="62"/>
        <v>0</v>
      </c>
      <c r="AC270">
        <f t="shared" si="62"/>
        <v>0</v>
      </c>
      <c r="AD270">
        <f t="shared" si="62"/>
        <v>0</v>
      </c>
      <c r="AE270">
        <f t="shared" si="62"/>
        <v>0</v>
      </c>
      <c r="AF270">
        <f t="shared" si="62"/>
        <v>0</v>
      </c>
      <c r="AG270">
        <f t="shared" si="62"/>
        <v>0</v>
      </c>
      <c r="AH270">
        <f t="shared" si="62"/>
        <v>0</v>
      </c>
      <c r="AI270">
        <f t="shared" si="61"/>
        <v>0</v>
      </c>
      <c r="AJ270">
        <f t="shared" si="61"/>
        <v>0</v>
      </c>
      <c r="AK270">
        <f t="shared" si="61"/>
        <v>0</v>
      </c>
      <c r="AL270">
        <f t="shared" si="61"/>
        <v>0</v>
      </c>
      <c r="AM270">
        <f t="shared" si="61"/>
        <v>0</v>
      </c>
      <c r="AN270">
        <f t="shared" si="61"/>
        <v>0</v>
      </c>
      <c r="AO270">
        <f t="shared" si="61"/>
        <v>0</v>
      </c>
      <c r="AP270">
        <f t="shared" si="61"/>
        <v>0</v>
      </c>
      <c r="AQ270">
        <f t="shared" si="61"/>
        <v>0</v>
      </c>
      <c r="AR270">
        <f t="shared" si="61"/>
        <v>0</v>
      </c>
    </row>
    <row r="271" spans="5:44" x14ac:dyDescent="0.2">
      <c r="E271" s="1">
        <f>moment_rate!$M271</f>
        <v>4.5051867503011227</v>
      </c>
      <c r="F271" s="1">
        <f t="shared" si="59"/>
        <v>9.2268023001292221E-2</v>
      </c>
      <c r="G271">
        <f>moment_rate!I271-0.005</f>
        <v>2.6399999999999877</v>
      </c>
      <c r="H271" s="1">
        <f t="shared" si="60"/>
        <v>0</v>
      </c>
      <c r="I271">
        <f t="shared" ref="I271:X286" si="64">IF(AND($G271&gt;=I$3,$G271&lt;I$4),$F271,0)</f>
        <v>0</v>
      </c>
      <c r="J271">
        <f t="shared" si="64"/>
        <v>0</v>
      </c>
      <c r="K271">
        <f t="shared" si="64"/>
        <v>0</v>
      </c>
      <c r="L271">
        <f t="shared" si="64"/>
        <v>0</v>
      </c>
      <c r="M271">
        <f t="shared" si="64"/>
        <v>0</v>
      </c>
      <c r="N271">
        <f t="shared" si="64"/>
        <v>0</v>
      </c>
      <c r="O271">
        <f t="shared" si="64"/>
        <v>0</v>
      </c>
      <c r="P271">
        <f t="shared" si="64"/>
        <v>0</v>
      </c>
      <c r="Q271">
        <f t="shared" si="64"/>
        <v>0</v>
      </c>
      <c r="R271">
        <f t="shared" si="64"/>
        <v>0</v>
      </c>
      <c r="S271">
        <f t="shared" si="64"/>
        <v>0</v>
      </c>
      <c r="T271">
        <f t="shared" si="64"/>
        <v>0</v>
      </c>
      <c r="U271">
        <f t="shared" si="64"/>
        <v>0</v>
      </c>
      <c r="V271">
        <f t="shared" si="64"/>
        <v>0</v>
      </c>
      <c r="W271">
        <f t="shared" si="64"/>
        <v>0</v>
      </c>
      <c r="X271">
        <f t="shared" si="64"/>
        <v>0</v>
      </c>
      <c r="Y271">
        <f t="shared" si="63"/>
        <v>0</v>
      </c>
      <c r="Z271">
        <f t="shared" si="62"/>
        <v>0</v>
      </c>
      <c r="AA271">
        <f t="shared" si="62"/>
        <v>0</v>
      </c>
      <c r="AB271">
        <f t="shared" si="62"/>
        <v>0</v>
      </c>
      <c r="AC271">
        <f t="shared" si="62"/>
        <v>0</v>
      </c>
      <c r="AD271">
        <f t="shared" si="62"/>
        <v>0</v>
      </c>
      <c r="AE271">
        <f t="shared" si="62"/>
        <v>0</v>
      </c>
      <c r="AF271">
        <f t="shared" si="62"/>
        <v>0</v>
      </c>
      <c r="AG271">
        <f t="shared" si="62"/>
        <v>0</v>
      </c>
      <c r="AH271">
        <f t="shared" si="62"/>
        <v>0</v>
      </c>
      <c r="AI271">
        <f t="shared" si="61"/>
        <v>0</v>
      </c>
      <c r="AJ271">
        <f t="shared" si="61"/>
        <v>0</v>
      </c>
      <c r="AK271">
        <f t="shared" si="61"/>
        <v>0</v>
      </c>
      <c r="AL271">
        <f t="shared" si="61"/>
        <v>0</v>
      </c>
      <c r="AM271">
        <f t="shared" si="61"/>
        <v>0</v>
      </c>
      <c r="AN271">
        <f t="shared" si="61"/>
        <v>0</v>
      </c>
      <c r="AO271">
        <f t="shared" si="61"/>
        <v>0</v>
      </c>
      <c r="AP271">
        <f t="shared" si="61"/>
        <v>0</v>
      </c>
      <c r="AQ271">
        <f t="shared" si="61"/>
        <v>0</v>
      </c>
      <c r="AR271">
        <f t="shared" si="61"/>
        <v>0</v>
      </c>
    </row>
    <row r="272" spans="5:44" x14ac:dyDescent="0.2">
      <c r="E272" s="1">
        <f>moment_rate!$M272</f>
        <v>4.4129187272998305</v>
      </c>
      <c r="F272" s="1">
        <f t="shared" si="59"/>
        <v>9.0375604503226015E-2</v>
      </c>
      <c r="G272">
        <f>moment_rate!I272-0.005</f>
        <v>2.6499999999999875</v>
      </c>
      <c r="H272" s="1">
        <f t="shared" si="60"/>
        <v>0</v>
      </c>
      <c r="I272">
        <f t="shared" si="64"/>
        <v>0</v>
      </c>
      <c r="J272">
        <f t="shared" si="64"/>
        <v>0</v>
      </c>
      <c r="K272">
        <f t="shared" si="64"/>
        <v>0</v>
      </c>
      <c r="L272">
        <f t="shared" si="64"/>
        <v>0</v>
      </c>
      <c r="M272">
        <f t="shared" si="64"/>
        <v>0</v>
      </c>
      <c r="N272">
        <f t="shared" si="64"/>
        <v>0</v>
      </c>
      <c r="O272">
        <f t="shared" si="64"/>
        <v>0</v>
      </c>
      <c r="P272">
        <f t="shared" si="64"/>
        <v>0</v>
      </c>
      <c r="Q272">
        <f t="shared" si="64"/>
        <v>0</v>
      </c>
      <c r="R272">
        <f t="shared" si="64"/>
        <v>0</v>
      </c>
      <c r="S272">
        <f t="shared" si="64"/>
        <v>0</v>
      </c>
      <c r="T272">
        <f t="shared" si="64"/>
        <v>0</v>
      </c>
      <c r="U272">
        <f t="shared" si="64"/>
        <v>0</v>
      </c>
      <c r="V272">
        <f t="shared" si="64"/>
        <v>0</v>
      </c>
      <c r="W272">
        <f t="shared" si="64"/>
        <v>0</v>
      </c>
      <c r="X272">
        <f t="shared" si="64"/>
        <v>0</v>
      </c>
      <c r="Y272">
        <f t="shared" si="63"/>
        <v>0</v>
      </c>
      <c r="Z272">
        <f t="shared" si="62"/>
        <v>0</v>
      </c>
      <c r="AA272">
        <f t="shared" si="62"/>
        <v>0</v>
      </c>
      <c r="AB272">
        <f t="shared" si="62"/>
        <v>0</v>
      </c>
      <c r="AC272">
        <f t="shared" si="62"/>
        <v>0</v>
      </c>
      <c r="AD272">
        <f t="shared" si="62"/>
        <v>0</v>
      </c>
      <c r="AE272">
        <f t="shared" si="62"/>
        <v>0</v>
      </c>
      <c r="AF272">
        <f t="shared" si="62"/>
        <v>0</v>
      </c>
      <c r="AG272">
        <f t="shared" si="62"/>
        <v>0</v>
      </c>
      <c r="AH272">
        <f t="shared" si="62"/>
        <v>0</v>
      </c>
      <c r="AI272">
        <f t="shared" si="61"/>
        <v>0</v>
      </c>
      <c r="AJ272">
        <f t="shared" si="61"/>
        <v>0</v>
      </c>
      <c r="AK272">
        <f t="shared" si="61"/>
        <v>0</v>
      </c>
      <c r="AL272">
        <f t="shared" si="61"/>
        <v>0</v>
      </c>
      <c r="AM272">
        <f t="shared" si="61"/>
        <v>0</v>
      </c>
      <c r="AN272">
        <f t="shared" si="61"/>
        <v>0</v>
      </c>
      <c r="AO272">
        <f t="shared" si="61"/>
        <v>0</v>
      </c>
      <c r="AP272">
        <f t="shared" si="61"/>
        <v>0</v>
      </c>
      <c r="AQ272">
        <f t="shared" si="61"/>
        <v>0</v>
      </c>
      <c r="AR272">
        <f t="shared" si="61"/>
        <v>0</v>
      </c>
    </row>
    <row r="273" spans="5:44" x14ac:dyDescent="0.2">
      <c r="E273" s="1">
        <f>moment_rate!$M273</f>
        <v>4.3225431227966045</v>
      </c>
      <c r="F273" s="1">
        <f t="shared" si="59"/>
        <v>8.8521999536167684E-2</v>
      </c>
      <c r="G273">
        <f>moment_rate!I273-0.005</f>
        <v>2.6599999999999873</v>
      </c>
      <c r="H273" s="1">
        <f t="shared" si="60"/>
        <v>0</v>
      </c>
      <c r="I273">
        <f t="shared" si="64"/>
        <v>0</v>
      </c>
      <c r="J273">
        <f t="shared" si="64"/>
        <v>0</v>
      </c>
      <c r="K273">
        <f t="shared" si="64"/>
        <v>0</v>
      </c>
      <c r="L273">
        <f t="shared" si="64"/>
        <v>0</v>
      </c>
      <c r="M273">
        <f t="shared" si="64"/>
        <v>0</v>
      </c>
      <c r="N273">
        <f t="shared" si="64"/>
        <v>0</v>
      </c>
      <c r="O273">
        <f t="shared" si="64"/>
        <v>0</v>
      </c>
      <c r="P273">
        <f t="shared" si="64"/>
        <v>0</v>
      </c>
      <c r="Q273">
        <f t="shared" si="64"/>
        <v>0</v>
      </c>
      <c r="R273">
        <f t="shared" si="64"/>
        <v>0</v>
      </c>
      <c r="S273">
        <f t="shared" si="64"/>
        <v>0</v>
      </c>
      <c r="T273">
        <f t="shared" si="64"/>
        <v>0</v>
      </c>
      <c r="U273">
        <f t="shared" si="64"/>
        <v>0</v>
      </c>
      <c r="V273">
        <f t="shared" si="64"/>
        <v>0</v>
      </c>
      <c r="W273">
        <f t="shared" si="64"/>
        <v>0</v>
      </c>
      <c r="X273">
        <f t="shared" si="64"/>
        <v>0</v>
      </c>
      <c r="Y273">
        <f t="shared" si="63"/>
        <v>0</v>
      </c>
      <c r="Z273">
        <f t="shared" si="62"/>
        <v>0</v>
      </c>
      <c r="AA273">
        <f t="shared" si="62"/>
        <v>0</v>
      </c>
      <c r="AB273">
        <f t="shared" si="62"/>
        <v>0</v>
      </c>
      <c r="AC273">
        <f t="shared" si="62"/>
        <v>0</v>
      </c>
      <c r="AD273">
        <f t="shared" si="62"/>
        <v>0</v>
      </c>
      <c r="AE273">
        <f t="shared" si="62"/>
        <v>0</v>
      </c>
      <c r="AF273">
        <f t="shared" si="62"/>
        <v>0</v>
      </c>
      <c r="AG273">
        <f t="shared" si="62"/>
        <v>0</v>
      </c>
      <c r="AH273">
        <f t="shared" si="62"/>
        <v>0</v>
      </c>
      <c r="AI273">
        <f t="shared" si="61"/>
        <v>0</v>
      </c>
      <c r="AJ273">
        <f t="shared" si="61"/>
        <v>0</v>
      </c>
      <c r="AK273">
        <f t="shared" si="61"/>
        <v>0</v>
      </c>
      <c r="AL273">
        <f t="shared" si="61"/>
        <v>0</v>
      </c>
      <c r="AM273">
        <f t="shared" si="61"/>
        <v>0</v>
      </c>
      <c r="AN273">
        <f t="shared" si="61"/>
        <v>0</v>
      </c>
      <c r="AO273">
        <f t="shared" si="61"/>
        <v>0</v>
      </c>
      <c r="AP273">
        <f t="shared" si="61"/>
        <v>0</v>
      </c>
      <c r="AQ273">
        <f t="shared" si="61"/>
        <v>0</v>
      </c>
      <c r="AR273">
        <f t="shared" si="61"/>
        <v>0</v>
      </c>
    </row>
    <row r="274" spans="5:44" x14ac:dyDescent="0.2">
      <c r="E274" s="1">
        <f>moment_rate!$M274</f>
        <v>4.2340211232604368</v>
      </c>
      <c r="F274" s="1">
        <f t="shared" si="59"/>
        <v>8.6706412034028624E-2</v>
      </c>
      <c r="G274">
        <f>moment_rate!I274-0.005</f>
        <v>2.6699999999999871</v>
      </c>
      <c r="H274" s="1">
        <f t="shared" si="60"/>
        <v>0</v>
      </c>
      <c r="I274">
        <f t="shared" si="64"/>
        <v>0</v>
      </c>
      <c r="J274">
        <f t="shared" si="64"/>
        <v>0</v>
      </c>
      <c r="K274">
        <f t="shared" si="64"/>
        <v>0</v>
      </c>
      <c r="L274">
        <f t="shared" si="64"/>
        <v>0</v>
      </c>
      <c r="M274">
        <f t="shared" si="64"/>
        <v>0</v>
      </c>
      <c r="N274">
        <f t="shared" si="64"/>
        <v>0</v>
      </c>
      <c r="O274">
        <f t="shared" si="64"/>
        <v>0</v>
      </c>
      <c r="P274">
        <f t="shared" si="64"/>
        <v>0</v>
      </c>
      <c r="Q274">
        <f t="shared" si="64"/>
        <v>0</v>
      </c>
      <c r="R274">
        <f t="shared" si="64"/>
        <v>0</v>
      </c>
      <c r="S274">
        <f t="shared" si="64"/>
        <v>0</v>
      </c>
      <c r="T274">
        <f t="shared" si="64"/>
        <v>0</v>
      </c>
      <c r="U274">
        <f t="shared" si="64"/>
        <v>0</v>
      </c>
      <c r="V274">
        <f t="shared" si="64"/>
        <v>0</v>
      </c>
      <c r="W274">
        <f t="shared" si="64"/>
        <v>0</v>
      </c>
      <c r="X274">
        <f t="shared" si="64"/>
        <v>0</v>
      </c>
      <c r="Y274">
        <f t="shared" si="63"/>
        <v>0</v>
      </c>
      <c r="Z274">
        <f t="shared" si="62"/>
        <v>0</v>
      </c>
      <c r="AA274">
        <f t="shared" si="62"/>
        <v>0</v>
      </c>
      <c r="AB274">
        <f t="shared" si="62"/>
        <v>0</v>
      </c>
      <c r="AC274">
        <f t="shared" si="62"/>
        <v>0</v>
      </c>
      <c r="AD274">
        <f t="shared" si="62"/>
        <v>0</v>
      </c>
      <c r="AE274">
        <f t="shared" si="62"/>
        <v>0</v>
      </c>
      <c r="AF274">
        <f t="shared" si="62"/>
        <v>0</v>
      </c>
      <c r="AG274">
        <f t="shared" si="62"/>
        <v>0</v>
      </c>
      <c r="AH274">
        <f t="shared" si="62"/>
        <v>0</v>
      </c>
      <c r="AI274">
        <f t="shared" si="61"/>
        <v>0</v>
      </c>
      <c r="AJ274">
        <f t="shared" si="61"/>
        <v>0</v>
      </c>
      <c r="AK274">
        <f t="shared" si="61"/>
        <v>0</v>
      </c>
      <c r="AL274">
        <f t="shared" si="61"/>
        <v>0</v>
      </c>
      <c r="AM274">
        <f t="shared" si="61"/>
        <v>0</v>
      </c>
      <c r="AN274">
        <f t="shared" si="61"/>
        <v>0</v>
      </c>
      <c r="AO274">
        <f t="shared" si="61"/>
        <v>0</v>
      </c>
      <c r="AP274">
        <f t="shared" si="61"/>
        <v>0</v>
      </c>
      <c r="AQ274">
        <f t="shared" si="61"/>
        <v>0</v>
      </c>
      <c r="AR274">
        <f t="shared" si="61"/>
        <v>0</v>
      </c>
    </row>
    <row r="275" spans="5:44" x14ac:dyDescent="0.2">
      <c r="E275" s="1">
        <f>moment_rate!$M275</f>
        <v>4.1473147112264082</v>
      </c>
      <c r="F275" s="1">
        <f t="shared" si="59"/>
        <v>8.4928062258052606E-2</v>
      </c>
      <c r="G275">
        <f>moment_rate!I275-0.005</f>
        <v>2.6799999999999868</v>
      </c>
      <c r="H275" s="1">
        <f t="shared" si="60"/>
        <v>0</v>
      </c>
      <c r="I275">
        <f t="shared" si="64"/>
        <v>0</v>
      </c>
      <c r="J275">
        <f t="shared" si="64"/>
        <v>0</v>
      </c>
      <c r="K275">
        <f t="shared" si="64"/>
        <v>0</v>
      </c>
      <c r="L275">
        <f t="shared" si="64"/>
        <v>0</v>
      </c>
      <c r="M275">
        <f t="shared" si="64"/>
        <v>0</v>
      </c>
      <c r="N275">
        <f t="shared" si="64"/>
        <v>0</v>
      </c>
      <c r="O275">
        <f t="shared" si="64"/>
        <v>0</v>
      </c>
      <c r="P275">
        <f t="shared" si="64"/>
        <v>0</v>
      </c>
      <c r="Q275">
        <f t="shared" si="64"/>
        <v>0</v>
      </c>
      <c r="R275">
        <f t="shared" si="64"/>
        <v>0</v>
      </c>
      <c r="S275">
        <f t="shared" si="64"/>
        <v>0</v>
      </c>
      <c r="T275">
        <f t="shared" si="64"/>
        <v>0</v>
      </c>
      <c r="U275">
        <f t="shared" si="64"/>
        <v>0</v>
      </c>
      <c r="V275">
        <f t="shared" si="64"/>
        <v>0</v>
      </c>
      <c r="W275">
        <f t="shared" si="64"/>
        <v>0</v>
      </c>
      <c r="X275">
        <f t="shared" si="64"/>
        <v>0</v>
      </c>
      <c r="Y275">
        <f t="shared" si="63"/>
        <v>0</v>
      </c>
      <c r="Z275">
        <f t="shared" si="62"/>
        <v>0</v>
      </c>
      <c r="AA275">
        <f t="shared" si="62"/>
        <v>0</v>
      </c>
      <c r="AB275">
        <f t="shared" si="62"/>
        <v>0</v>
      </c>
      <c r="AC275">
        <f t="shared" si="62"/>
        <v>0</v>
      </c>
      <c r="AD275">
        <f t="shared" si="62"/>
        <v>0</v>
      </c>
      <c r="AE275">
        <f t="shared" si="62"/>
        <v>0</v>
      </c>
      <c r="AF275">
        <f t="shared" si="62"/>
        <v>0</v>
      </c>
      <c r="AG275">
        <f t="shared" si="62"/>
        <v>0</v>
      </c>
      <c r="AH275">
        <f t="shared" si="62"/>
        <v>0</v>
      </c>
      <c r="AI275">
        <f t="shared" si="61"/>
        <v>0</v>
      </c>
      <c r="AJ275">
        <f t="shared" si="61"/>
        <v>0</v>
      </c>
      <c r="AK275">
        <f t="shared" si="61"/>
        <v>0</v>
      </c>
      <c r="AL275">
        <f t="shared" si="61"/>
        <v>0</v>
      </c>
      <c r="AM275">
        <f t="shared" si="61"/>
        <v>0</v>
      </c>
      <c r="AN275">
        <f t="shared" si="61"/>
        <v>0</v>
      </c>
      <c r="AO275">
        <f t="shared" si="61"/>
        <v>0</v>
      </c>
      <c r="AP275">
        <f t="shared" si="61"/>
        <v>0</v>
      </c>
      <c r="AQ275">
        <f t="shared" si="61"/>
        <v>0</v>
      </c>
      <c r="AR275">
        <f t="shared" si="61"/>
        <v>0</v>
      </c>
    </row>
    <row r="276" spans="5:44" x14ac:dyDescent="0.2">
      <c r="E276" s="1">
        <f>moment_rate!$M276</f>
        <v>4.0623866489683556</v>
      </c>
      <c r="F276" s="1">
        <f t="shared" si="59"/>
        <v>8.3186186461928102E-2</v>
      </c>
      <c r="G276">
        <f>moment_rate!I276-0.005</f>
        <v>2.6899999999999866</v>
      </c>
      <c r="H276" s="1">
        <f t="shared" si="60"/>
        <v>0</v>
      </c>
      <c r="I276">
        <f t="shared" si="64"/>
        <v>0</v>
      </c>
      <c r="J276">
        <f t="shared" si="64"/>
        <v>0</v>
      </c>
      <c r="K276">
        <f t="shared" si="64"/>
        <v>0</v>
      </c>
      <c r="L276">
        <f t="shared" si="64"/>
        <v>0</v>
      </c>
      <c r="M276">
        <f t="shared" si="64"/>
        <v>0</v>
      </c>
      <c r="N276">
        <f t="shared" si="64"/>
        <v>0</v>
      </c>
      <c r="O276">
        <f t="shared" si="64"/>
        <v>0</v>
      </c>
      <c r="P276">
        <f t="shared" si="64"/>
        <v>0</v>
      </c>
      <c r="Q276">
        <f t="shared" si="64"/>
        <v>0</v>
      </c>
      <c r="R276">
        <f t="shared" si="64"/>
        <v>0</v>
      </c>
      <c r="S276">
        <f t="shared" si="64"/>
        <v>0</v>
      </c>
      <c r="T276">
        <f t="shared" si="64"/>
        <v>0</v>
      </c>
      <c r="U276">
        <f t="shared" si="64"/>
        <v>0</v>
      </c>
      <c r="V276">
        <f t="shared" si="64"/>
        <v>0</v>
      </c>
      <c r="W276">
        <f t="shared" si="64"/>
        <v>0</v>
      </c>
      <c r="X276">
        <f t="shared" si="64"/>
        <v>0</v>
      </c>
      <c r="Y276">
        <f t="shared" si="63"/>
        <v>0</v>
      </c>
      <c r="Z276">
        <f t="shared" si="63"/>
        <v>0</v>
      </c>
      <c r="AA276">
        <f t="shared" si="63"/>
        <v>0</v>
      </c>
      <c r="AB276">
        <f t="shared" si="63"/>
        <v>0</v>
      </c>
      <c r="AC276">
        <f t="shared" si="63"/>
        <v>0</v>
      </c>
      <c r="AD276">
        <f t="shared" si="63"/>
        <v>0</v>
      </c>
      <c r="AE276">
        <f t="shared" si="63"/>
        <v>0</v>
      </c>
      <c r="AF276">
        <f t="shared" si="63"/>
        <v>0</v>
      </c>
      <c r="AG276">
        <f t="shared" si="63"/>
        <v>0</v>
      </c>
      <c r="AH276">
        <f t="shared" si="63"/>
        <v>0</v>
      </c>
      <c r="AI276">
        <f t="shared" si="63"/>
        <v>0</v>
      </c>
      <c r="AJ276">
        <f t="shared" si="63"/>
        <v>0</v>
      </c>
      <c r="AK276">
        <f t="shared" si="63"/>
        <v>0</v>
      </c>
      <c r="AL276">
        <f t="shared" si="63"/>
        <v>0</v>
      </c>
      <c r="AM276">
        <f t="shared" si="63"/>
        <v>0</v>
      </c>
      <c r="AN276">
        <f t="shared" si="61"/>
        <v>0</v>
      </c>
      <c r="AO276">
        <f t="shared" si="61"/>
        <v>0</v>
      </c>
      <c r="AP276">
        <f t="shared" si="61"/>
        <v>0</v>
      </c>
      <c r="AQ276">
        <f t="shared" si="61"/>
        <v>0</v>
      </c>
      <c r="AR276">
        <f t="shared" si="61"/>
        <v>0</v>
      </c>
    </row>
    <row r="277" spans="5:44" x14ac:dyDescent="0.2">
      <c r="E277" s="1">
        <f>moment_rate!$M277</f>
        <v>3.9792004625064274</v>
      </c>
      <c r="F277" s="1">
        <f t="shared" si="59"/>
        <v>8.1480036563799541E-2</v>
      </c>
      <c r="G277">
        <f>moment_rate!I277-0.005</f>
        <v>2.6999999999999864</v>
      </c>
      <c r="H277" s="1">
        <f t="shared" si="60"/>
        <v>0</v>
      </c>
      <c r="I277">
        <f t="shared" si="64"/>
        <v>0</v>
      </c>
      <c r="J277">
        <f t="shared" si="64"/>
        <v>0</v>
      </c>
      <c r="K277">
        <f t="shared" si="64"/>
        <v>0</v>
      </c>
      <c r="L277">
        <f t="shared" si="64"/>
        <v>0</v>
      </c>
      <c r="M277">
        <f t="shared" si="64"/>
        <v>0</v>
      </c>
      <c r="N277">
        <f t="shared" si="64"/>
        <v>0</v>
      </c>
      <c r="O277">
        <f t="shared" si="64"/>
        <v>0</v>
      </c>
      <c r="P277">
        <f t="shared" si="64"/>
        <v>0</v>
      </c>
      <c r="Q277">
        <f t="shared" si="64"/>
        <v>0</v>
      </c>
      <c r="R277">
        <f t="shared" si="64"/>
        <v>0</v>
      </c>
      <c r="S277">
        <f t="shared" si="64"/>
        <v>0</v>
      </c>
      <c r="T277">
        <f t="shared" si="64"/>
        <v>0</v>
      </c>
      <c r="U277">
        <f t="shared" si="64"/>
        <v>0</v>
      </c>
      <c r="V277">
        <f t="shared" si="64"/>
        <v>0</v>
      </c>
      <c r="W277">
        <f t="shared" si="64"/>
        <v>0</v>
      </c>
      <c r="X277">
        <f t="shared" si="64"/>
        <v>0</v>
      </c>
      <c r="Y277">
        <f t="shared" si="63"/>
        <v>0</v>
      </c>
      <c r="Z277">
        <f t="shared" si="63"/>
        <v>0</v>
      </c>
      <c r="AA277">
        <f t="shared" si="63"/>
        <v>0</v>
      </c>
      <c r="AB277">
        <f t="shared" si="63"/>
        <v>0</v>
      </c>
      <c r="AC277">
        <f t="shared" si="63"/>
        <v>0</v>
      </c>
      <c r="AD277">
        <f t="shared" si="63"/>
        <v>0</v>
      </c>
      <c r="AE277">
        <f t="shared" si="63"/>
        <v>0</v>
      </c>
      <c r="AF277">
        <f t="shared" si="63"/>
        <v>0</v>
      </c>
      <c r="AG277">
        <f t="shared" si="63"/>
        <v>0</v>
      </c>
      <c r="AH277">
        <f t="shared" si="63"/>
        <v>0</v>
      </c>
      <c r="AI277">
        <f t="shared" si="63"/>
        <v>0</v>
      </c>
      <c r="AJ277">
        <f t="shared" si="63"/>
        <v>0</v>
      </c>
      <c r="AK277">
        <f t="shared" si="63"/>
        <v>0</v>
      </c>
      <c r="AL277">
        <f t="shared" si="63"/>
        <v>0</v>
      </c>
      <c r="AM277">
        <f t="shared" si="63"/>
        <v>0</v>
      </c>
      <c r="AN277">
        <f t="shared" si="61"/>
        <v>0</v>
      </c>
      <c r="AO277">
        <f t="shared" si="61"/>
        <v>0</v>
      </c>
      <c r="AP277">
        <f t="shared" si="61"/>
        <v>0</v>
      </c>
      <c r="AQ277">
        <f t="shared" si="61"/>
        <v>0</v>
      </c>
      <c r="AR277">
        <f t="shared" si="61"/>
        <v>0</v>
      </c>
    </row>
    <row r="278" spans="5:44" x14ac:dyDescent="0.2">
      <c r="E278" s="1">
        <f>moment_rate!$M278</f>
        <v>3.8977204259426279</v>
      </c>
      <c r="F278" s="1">
        <f t="shared" si="59"/>
        <v>7.9808879824976753E-2</v>
      </c>
      <c r="G278">
        <f>moment_rate!I278-0.005</f>
        <v>2.7099999999999862</v>
      </c>
      <c r="H278" s="1">
        <f t="shared" si="60"/>
        <v>0</v>
      </c>
      <c r="I278">
        <f t="shared" si="64"/>
        <v>0</v>
      </c>
      <c r="J278">
        <f t="shared" si="64"/>
        <v>0</v>
      </c>
      <c r="K278">
        <f t="shared" si="64"/>
        <v>0</v>
      </c>
      <c r="L278">
        <f t="shared" si="64"/>
        <v>0</v>
      </c>
      <c r="M278">
        <f t="shared" si="64"/>
        <v>0</v>
      </c>
      <c r="N278">
        <f t="shared" si="64"/>
        <v>0</v>
      </c>
      <c r="O278">
        <f t="shared" si="64"/>
        <v>0</v>
      </c>
      <c r="P278">
        <f t="shared" si="64"/>
        <v>0</v>
      </c>
      <c r="Q278">
        <f t="shared" si="64"/>
        <v>0</v>
      </c>
      <c r="R278">
        <f t="shared" si="64"/>
        <v>0</v>
      </c>
      <c r="S278">
        <f t="shared" si="64"/>
        <v>0</v>
      </c>
      <c r="T278">
        <f t="shared" si="64"/>
        <v>0</v>
      </c>
      <c r="U278">
        <f t="shared" si="64"/>
        <v>0</v>
      </c>
      <c r="V278">
        <f t="shared" si="64"/>
        <v>0</v>
      </c>
      <c r="W278">
        <f t="shared" si="64"/>
        <v>0</v>
      </c>
      <c r="X278">
        <f t="shared" si="64"/>
        <v>0</v>
      </c>
      <c r="Y278">
        <f t="shared" si="63"/>
        <v>0</v>
      </c>
      <c r="Z278">
        <f t="shared" si="63"/>
        <v>0</v>
      </c>
      <c r="AA278">
        <f t="shared" si="63"/>
        <v>0</v>
      </c>
      <c r="AB278">
        <f t="shared" si="63"/>
        <v>0</v>
      </c>
      <c r="AC278">
        <f t="shared" si="63"/>
        <v>0</v>
      </c>
      <c r="AD278">
        <f t="shared" si="63"/>
        <v>0</v>
      </c>
      <c r="AE278">
        <f t="shared" si="63"/>
        <v>0</v>
      </c>
      <c r="AF278">
        <f t="shared" si="63"/>
        <v>0</v>
      </c>
      <c r="AG278">
        <f t="shared" si="63"/>
        <v>0</v>
      </c>
      <c r="AH278">
        <f t="shared" si="63"/>
        <v>0</v>
      </c>
      <c r="AI278">
        <f t="shared" si="63"/>
        <v>0</v>
      </c>
      <c r="AJ278">
        <f t="shared" si="63"/>
        <v>0</v>
      </c>
      <c r="AK278">
        <f t="shared" si="63"/>
        <v>0</v>
      </c>
      <c r="AL278">
        <f t="shared" si="63"/>
        <v>0</v>
      </c>
      <c r="AM278">
        <f t="shared" si="63"/>
        <v>0</v>
      </c>
      <c r="AN278">
        <f t="shared" si="61"/>
        <v>0</v>
      </c>
      <c r="AO278">
        <f t="shared" si="61"/>
        <v>0</v>
      </c>
      <c r="AP278">
        <f t="shared" si="61"/>
        <v>0</v>
      </c>
      <c r="AQ278">
        <f t="shared" si="61"/>
        <v>0</v>
      </c>
      <c r="AR278">
        <f t="shared" si="61"/>
        <v>0</v>
      </c>
    </row>
    <row r="279" spans="5:44" x14ac:dyDescent="0.2">
      <c r="E279" s="1">
        <f>moment_rate!$M279</f>
        <v>3.8179115461176512</v>
      </c>
      <c r="F279" s="1">
        <f t="shared" si="59"/>
        <v>7.8171998535250697E-2</v>
      </c>
      <c r="G279">
        <f>moment_rate!I279-0.005</f>
        <v>2.719999999999986</v>
      </c>
      <c r="H279" s="1">
        <f t="shared" si="60"/>
        <v>0</v>
      </c>
      <c r="I279">
        <f t="shared" si="64"/>
        <v>0</v>
      </c>
      <c r="J279">
        <f t="shared" si="64"/>
        <v>0</v>
      </c>
      <c r="K279">
        <f t="shared" si="64"/>
        <v>0</v>
      </c>
      <c r="L279">
        <f t="shared" si="64"/>
        <v>0</v>
      </c>
      <c r="M279">
        <f t="shared" si="64"/>
        <v>0</v>
      </c>
      <c r="N279">
        <f t="shared" si="64"/>
        <v>0</v>
      </c>
      <c r="O279">
        <f t="shared" si="64"/>
        <v>0</v>
      </c>
      <c r="P279">
        <f t="shared" si="64"/>
        <v>0</v>
      </c>
      <c r="Q279">
        <f t="shared" si="64"/>
        <v>0</v>
      </c>
      <c r="R279">
        <f t="shared" si="64"/>
        <v>0</v>
      </c>
      <c r="S279">
        <f t="shared" si="64"/>
        <v>0</v>
      </c>
      <c r="T279">
        <f t="shared" si="64"/>
        <v>0</v>
      </c>
      <c r="U279">
        <f t="shared" si="64"/>
        <v>0</v>
      </c>
      <c r="V279">
        <f t="shared" si="64"/>
        <v>0</v>
      </c>
      <c r="W279">
        <f t="shared" si="64"/>
        <v>0</v>
      </c>
      <c r="X279">
        <f t="shared" si="64"/>
        <v>0</v>
      </c>
      <c r="Y279">
        <f t="shared" si="63"/>
        <v>0</v>
      </c>
      <c r="Z279">
        <f t="shared" si="63"/>
        <v>0</v>
      </c>
      <c r="AA279">
        <f t="shared" si="63"/>
        <v>0</v>
      </c>
      <c r="AB279">
        <f t="shared" si="63"/>
        <v>0</v>
      </c>
      <c r="AC279">
        <f t="shared" si="63"/>
        <v>0</v>
      </c>
      <c r="AD279">
        <f t="shared" si="63"/>
        <v>0</v>
      </c>
      <c r="AE279">
        <f t="shared" si="63"/>
        <v>0</v>
      </c>
      <c r="AF279">
        <f t="shared" si="63"/>
        <v>0</v>
      </c>
      <c r="AG279">
        <f t="shared" si="63"/>
        <v>0</v>
      </c>
      <c r="AH279">
        <f t="shared" si="63"/>
        <v>0</v>
      </c>
      <c r="AI279">
        <f t="shared" si="63"/>
        <v>0</v>
      </c>
      <c r="AJ279">
        <f t="shared" si="63"/>
        <v>0</v>
      </c>
      <c r="AK279">
        <f t="shared" si="63"/>
        <v>0</v>
      </c>
      <c r="AL279">
        <f t="shared" si="63"/>
        <v>0</v>
      </c>
      <c r="AM279">
        <f t="shared" si="63"/>
        <v>0</v>
      </c>
      <c r="AN279">
        <f t="shared" si="61"/>
        <v>0</v>
      </c>
      <c r="AO279">
        <f t="shared" si="61"/>
        <v>0</v>
      </c>
      <c r="AP279">
        <f t="shared" si="61"/>
        <v>0</v>
      </c>
      <c r="AQ279">
        <f t="shared" si="61"/>
        <v>0</v>
      </c>
      <c r="AR279">
        <f t="shared" si="61"/>
        <v>0</v>
      </c>
    </row>
    <row r="280" spans="5:44" x14ac:dyDescent="0.2">
      <c r="E280" s="1">
        <f>moment_rate!$M280</f>
        <v>3.7397395475824005</v>
      </c>
      <c r="F280" s="1">
        <f t="shared" si="59"/>
        <v>7.6568689704661796E-2</v>
      </c>
      <c r="G280">
        <f>moment_rate!I280-0.005</f>
        <v>2.7299999999999858</v>
      </c>
      <c r="H280" s="1">
        <f t="shared" si="60"/>
        <v>0</v>
      </c>
      <c r="I280">
        <f t="shared" si="64"/>
        <v>0</v>
      </c>
      <c r="J280">
        <f t="shared" si="64"/>
        <v>0</v>
      </c>
      <c r="K280">
        <f t="shared" si="64"/>
        <v>0</v>
      </c>
      <c r="L280">
        <f t="shared" si="64"/>
        <v>0</v>
      </c>
      <c r="M280">
        <f t="shared" si="64"/>
        <v>0</v>
      </c>
      <c r="N280">
        <f t="shared" si="64"/>
        <v>0</v>
      </c>
      <c r="O280">
        <f t="shared" si="64"/>
        <v>0</v>
      </c>
      <c r="P280">
        <f t="shared" si="64"/>
        <v>0</v>
      </c>
      <c r="Q280">
        <f t="shared" si="64"/>
        <v>0</v>
      </c>
      <c r="R280">
        <f t="shared" si="64"/>
        <v>0</v>
      </c>
      <c r="S280">
        <f t="shared" si="64"/>
        <v>0</v>
      </c>
      <c r="T280">
        <f t="shared" si="64"/>
        <v>0</v>
      </c>
      <c r="U280">
        <f t="shared" si="64"/>
        <v>0</v>
      </c>
      <c r="V280">
        <f t="shared" si="64"/>
        <v>0</v>
      </c>
      <c r="W280">
        <f t="shared" si="64"/>
        <v>0</v>
      </c>
      <c r="X280">
        <f t="shared" si="64"/>
        <v>0</v>
      </c>
      <c r="Y280">
        <f t="shared" si="63"/>
        <v>0</v>
      </c>
      <c r="Z280">
        <f t="shared" si="63"/>
        <v>0</v>
      </c>
      <c r="AA280">
        <f t="shared" si="63"/>
        <v>0</v>
      </c>
      <c r="AB280">
        <f t="shared" si="63"/>
        <v>0</v>
      </c>
      <c r="AC280">
        <f t="shared" si="63"/>
        <v>0</v>
      </c>
      <c r="AD280">
        <f t="shared" si="63"/>
        <v>0</v>
      </c>
      <c r="AE280">
        <f t="shared" si="63"/>
        <v>0</v>
      </c>
      <c r="AF280">
        <f t="shared" si="63"/>
        <v>0</v>
      </c>
      <c r="AG280">
        <f t="shared" si="63"/>
        <v>0</v>
      </c>
      <c r="AH280">
        <f t="shared" si="63"/>
        <v>0</v>
      </c>
      <c r="AI280">
        <f t="shared" si="63"/>
        <v>0</v>
      </c>
      <c r="AJ280">
        <f t="shared" si="63"/>
        <v>0</v>
      </c>
      <c r="AK280">
        <f t="shared" si="63"/>
        <v>0</v>
      </c>
      <c r="AL280">
        <f t="shared" si="63"/>
        <v>0</v>
      </c>
      <c r="AM280">
        <f t="shared" si="63"/>
        <v>0</v>
      </c>
      <c r="AN280">
        <f t="shared" si="61"/>
        <v>0</v>
      </c>
      <c r="AO280">
        <f t="shared" si="61"/>
        <v>0</v>
      </c>
      <c r="AP280">
        <f t="shared" si="61"/>
        <v>0</v>
      </c>
      <c r="AQ280">
        <f t="shared" si="61"/>
        <v>0</v>
      </c>
      <c r="AR280">
        <f t="shared" si="61"/>
        <v>0</v>
      </c>
    </row>
    <row r="281" spans="5:44" x14ac:dyDescent="0.2">
      <c r="E281" s="1">
        <f>moment_rate!$M281</f>
        <v>3.6631708578777387</v>
      </c>
      <c r="F281" s="1">
        <f t="shared" si="59"/>
        <v>7.4998264761582334E-2</v>
      </c>
      <c r="G281">
        <f>moment_rate!I281-0.005</f>
        <v>2.7399999999999856</v>
      </c>
      <c r="H281" s="1">
        <f t="shared" si="60"/>
        <v>0</v>
      </c>
      <c r="I281">
        <f t="shared" si="64"/>
        <v>0</v>
      </c>
      <c r="J281">
        <f t="shared" si="64"/>
        <v>0</v>
      </c>
      <c r="K281">
        <f t="shared" si="64"/>
        <v>0</v>
      </c>
      <c r="L281">
        <f t="shared" si="64"/>
        <v>0</v>
      </c>
      <c r="M281">
        <f t="shared" si="64"/>
        <v>0</v>
      </c>
      <c r="N281">
        <f t="shared" si="64"/>
        <v>0</v>
      </c>
      <c r="O281">
        <f t="shared" si="64"/>
        <v>0</v>
      </c>
      <c r="P281">
        <f t="shared" si="64"/>
        <v>0</v>
      </c>
      <c r="Q281">
        <f t="shared" si="64"/>
        <v>0</v>
      </c>
      <c r="R281">
        <f t="shared" si="64"/>
        <v>0</v>
      </c>
      <c r="S281">
        <f t="shared" si="64"/>
        <v>0</v>
      </c>
      <c r="T281">
        <f t="shared" si="64"/>
        <v>0</v>
      </c>
      <c r="U281">
        <f t="shared" si="64"/>
        <v>0</v>
      </c>
      <c r="V281">
        <f t="shared" si="64"/>
        <v>0</v>
      </c>
      <c r="W281">
        <f t="shared" si="64"/>
        <v>0</v>
      </c>
      <c r="X281">
        <f t="shared" si="64"/>
        <v>0</v>
      </c>
      <c r="Y281">
        <f t="shared" si="63"/>
        <v>0</v>
      </c>
      <c r="Z281">
        <f t="shared" si="63"/>
        <v>0</v>
      </c>
      <c r="AA281">
        <f t="shared" si="63"/>
        <v>0</v>
      </c>
      <c r="AB281">
        <f t="shared" si="63"/>
        <v>0</v>
      </c>
      <c r="AC281">
        <f t="shared" si="63"/>
        <v>0</v>
      </c>
      <c r="AD281">
        <f t="shared" si="63"/>
        <v>0</v>
      </c>
      <c r="AE281">
        <f t="shared" si="63"/>
        <v>0</v>
      </c>
      <c r="AF281">
        <f t="shared" si="63"/>
        <v>0</v>
      </c>
      <c r="AG281">
        <f t="shared" si="63"/>
        <v>0</v>
      </c>
      <c r="AH281">
        <f t="shared" si="63"/>
        <v>0</v>
      </c>
      <c r="AI281">
        <f t="shared" si="63"/>
        <v>0</v>
      </c>
      <c r="AJ281">
        <f t="shared" si="63"/>
        <v>0</v>
      </c>
      <c r="AK281">
        <f t="shared" si="63"/>
        <v>0</v>
      </c>
      <c r="AL281">
        <f t="shared" si="63"/>
        <v>0</v>
      </c>
      <c r="AM281">
        <f t="shared" si="63"/>
        <v>0</v>
      </c>
      <c r="AN281">
        <f t="shared" si="61"/>
        <v>0</v>
      </c>
      <c r="AO281">
        <f t="shared" si="61"/>
        <v>0</v>
      </c>
      <c r="AP281">
        <f t="shared" si="61"/>
        <v>0</v>
      </c>
      <c r="AQ281">
        <f t="shared" si="61"/>
        <v>0</v>
      </c>
      <c r="AR281">
        <f t="shared" si="61"/>
        <v>0</v>
      </c>
    </row>
    <row r="282" spans="5:44" x14ac:dyDescent="0.2">
      <c r="E282" s="1">
        <f>moment_rate!$M282</f>
        <v>3.5881725931161563</v>
      </c>
      <c r="F282" s="1">
        <f t="shared" si="59"/>
        <v>7.3460049257000115E-2</v>
      </c>
      <c r="G282">
        <f>moment_rate!I282-0.005</f>
        <v>2.7499999999999853</v>
      </c>
      <c r="H282" s="1">
        <f t="shared" si="60"/>
        <v>0</v>
      </c>
      <c r="I282">
        <f t="shared" si="64"/>
        <v>0</v>
      </c>
      <c r="J282">
        <f t="shared" si="64"/>
        <v>0</v>
      </c>
      <c r="K282">
        <f t="shared" si="64"/>
        <v>0</v>
      </c>
      <c r="L282">
        <f t="shared" si="64"/>
        <v>0</v>
      </c>
      <c r="M282">
        <f t="shared" si="64"/>
        <v>0</v>
      </c>
      <c r="N282">
        <f t="shared" si="64"/>
        <v>0</v>
      </c>
      <c r="O282">
        <f t="shared" si="64"/>
        <v>0</v>
      </c>
      <c r="P282">
        <f t="shared" si="64"/>
        <v>0</v>
      </c>
      <c r="Q282">
        <f t="shared" si="64"/>
        <v>0</v>
      </c>
      <c r="R282">
        <f t="shared" si="64"/>
        <v>0</v>
      </c>
      <c r="S282">
        <f t="shared" si="64"/>
        <v>0</v>
      </c>
      <c r="T282">
        <f t="shared" si="64"/>
        <v>0</v>
      </c>
      <c r="U282">
        <f t="shared" si="64"/>
        <v>0</v>
      </c>
      <c r="V282">
        <f t="shared" si="64"/>
        <v>0</v>
      </c>
      <c r="W282">
        <f t="shared" si="64"/>
        <v>0</v>
      </c>
      <c r="X282">
        <f t="shared" si="64"/>
        <v>0</v>
      </c>
      <c r="Y282">
        <f t="shared" si="63"/>
        <v>0</v>
      </c>
      <c r="Z282">
        <f t="shared" si="63"/>
        <v>0</v>
      </c>
      <c r="AA282">
        <f t="shared" si="63"/>
        <v>0</v>
      </c>
      <c r="AB282">
        <f t="shared" si="63"/>
        <v>0</v>
      </c>
      <c r="AC282">
        <f t="shared" si="63"/>
        <v>0</v>
      </c>
      <c r="AD282">
        <f t="shared" si="63"/>
        <v>0</v>
      </c>
      <c r="AE282">
        <f t="shared" si="63"/>
        <v>0</v>
      </c>
      <c r="AF282">
        <f t="shared" si="63"/>
        <v>0</v>
      </c>
      <c r="AG282">
        <f t="shared" si="63"/>
        <v>0</v>
      </c>
      <c r="AH282">
        <f t="shared" si="63"/>
        <v>0</v>
      </c>
      <c r="AI282">
        <f t="shared" si="63"/>
        <v>0</v>
      </c>
      <c r="AJ282">
        <f t="shared" si="63"/>
        <v>0</v>
      </c>
      <c r="AK282">
        <f t="shared" si="63"/>
        <v>0</v>
      </c>
      <c r="AL282">
        <f t="shared" si="63"/>
        <v>0</v>
      </c>
      <c r="AM282">
        <f t="shared" si="63"/>
        <v>0</v>
      </c>
      <c r="AN282">
        <f t="shared" si="61"/>
        <v>0</v>
      </c>
      <c r="AO282">
        <f t="shared" si="61"/>
        <v>0</v>
      </c>
      <c r="AP282">
        <f t="shared" si="61"/>
        <v>0</v>
      </c>
      <c r="AQ282">
        <f t="shared" si="61"/>
        <v>0</v>
      </c>
      <c r="AR282">
        <f t="shared" si="61"/>
        <v>0</v>
      </c>
    </row>
    <row r="283" spans="5:44" x14ac:dyDescent="0.2">
      <c r="E283" s="1">
        <f>moment_rate!$M283</f>
        <v>3.5147125438591562</v>
      </c>
      <c r="F283" s="1">
        <f t="shared" si="59"/>
        <v>7.195338257486128E-2</v>
      </c>
      <c r="G283">
        <f>moment_rate!I283-0.005</f>
        <v>2.7599999999999851</v>
      </c>
      <c r="H283" s="1">
        <f t="shared" si="60"/>
        <v>0</v>
      </c>
      <c r="I283">
        <f t="shared" si="64"/>
        <v>0</v>
      </c>
      <c r="J283">
        <f t="shared" si="64"/>
        <v>0</v>
      </c>
      <c r="K283">
        <f t="shared" si="64"/>
        <v>0</v>
      </c>
      <c r="L283">
        <f t="shared" si="64"/>
        <v>0</v>
      </c>
      <c r="M283">
        <f t="shared" si="64"/>
        <v>0</v>
      </c>
      <c r="N283">
        <f t="shared" si="64"/>
        <v>0</v>
      </c>
      <c r="O283">
        <f t="shared" si="64"/>
        <v>0</v>
      </c>
      <c r="P283">
        <f t="shared" si="64"/>
        <v>0</v>
      </c>
      <c r="Q283">
        <f t="shared" si="64"/>
        <v>0</v>
      </c>
      <c r="R283">
        <f t="shared" si="64"/>
        <v>0</v>
      </c>
      <c r="S283">
        <f t="shared" si="64"/>
        <v>0</v>
      </c>
      <c r="T283">
        <f t="shared" si="64"/>
        <v>0</v>
      </c>
      <c r="U283">
        <f t="shared" si="64"/>
        <v>0</v>
      </c>
      <c r="V283">
        <f t="shared" si="64"/>
        <v>0</v>
      </c>
      <c r="W283">
        <f t="shared" si="64"/>
        <v>0</v>
      </c>
      <c r="X283">
        <f t="shared" si="64"/>
        <v>0</v>
      </c>
      <c r="Y283">
        <f t="shared" si="63"/>
        <v>0</v>
      </c>
      <c r="Z283">
        <f t="shared" si="63"/>
        <v>0</v>
      </c>
      <c r="AA283">
        <f t="shared" si="63"/>
        <v>0</v>
      </c>
      <c r="AB283">
        <f t="shared" si="63"/>
        <v>0</v>
      </c>
      <c r="AC283">
        <f t="shared" si="63"/>
        <v>0</v>
      </c>
      <c r="AD283">
        <f t="shared" si="63"/>
        <v>0</v>
      </c>
      <c r="AE283">
        <f t="shared" si="63"/>
        <v>0</v>
      </c>
      <c r="AF283">
        <f t="shared" si="63"/>
        <v>0</v>
      </c>
      <c r="AG283">
        <f t="shared" si="63"/>
        <v>0</v>
      </c>
      <c r="AH283">
        <f t="shared" si="63"/>
        <v>0</v>
      </c>
      <c r="AI283">
        <f t="shared" si="63"/>
        <v>0</v>
      </c>
      <c r="AJ283">
        <f t="shared" si="63"/>
        <v>0</v>
      </c>
      <c r="AK283">
        <f t="shared" si="63"/>
        <v>0</v>
      </c>
      <c r="AL283">
        <f t="shared" si="63"/>
        <v>0</v>
      </c>
      <c r="AM283">
        <f t="shared" si="63"/>
        <v>0</v>
      </c>
      <c r="AN283">
        <f t="shared" si="61"/>
        <v>0</v>
      </c>
      <c r="AO283">
        <f t="shared" si="61"/>
        <v>0</v>
      </c>
      <c r="AP283">
        <f t="shared" si="61"/>
        <v>0</v>
      </c>
      <c r="AQ283">
        <f t="shared" si="61"/>
        <v>0</v>
      </c>
      <c r="AR283">
        <f t="shared" si="61"/>
        <v>0</v>
      </c>
    </row>
    <row r="284" spans="5:44" x14ac:dyDescent="0.2">
      <c r="E284" s="1">
        <f>moment_rate!$M284</f>
        <v>3.4427591612842949</v>
      </c>
      <c r="F284" s="1">
        <f t="shared" si="59"/>
        <v>7.0477617648357249E-2</v>
      </c>
      <c r="G284">
        <f>moment_rate!I284-0.005</f>
        <v>2.7699999999999849</v>
      </c>
      <c r="H284" s="1">
        <f t="shared" si="60"/>
        <v>0</v>
      </c>
      <c r="I284">
        <f t="shared" si="64"/>
        <v>0</v>
      </c>
      <c r="J284">
        <f t="shared" si="64"/>
        <v>0</v>
      </c>
      <c r="K284">
        <f t="shared" si="64"/>
        <v>0</v>
      </c>
      <c r="L284">
        <f t="shared" si="64"/>
        <v>0</v>
      </c>
      <c r="M284">
        <f t="shared" si="64"/>
        <v>0</v>
      </c>
      <c r="N284">
        <f t="shared" si="64"/>
        <v>0</v>
      </c>
      <c r="O284">
        <f t="shared" si="64"/>
        <v>0</v>
      </c>
      <c r="P284">
        <f t="shared" si="64"/>
        <v>0</v>
      </c>
      <c r="Q284">
        <f t="shared" si="64"/>
        <v>0</v>
      </c>
      <c r="R284">
        <f t="shared" si="64"/>
        <v>0</v>
      </c>
      <c r="S284">
        <f t="shared" si="64"/>
        <v>0</v>
      </c>
      <c r="T284">
        <f t="shared" si="64"/>
        <v>0</v>
      </c>
      <c r="U284">
        <f t="shared" si="64"/>
        <v>0</v>
      </c>
      <c r="V284">
        <f t="shared" si="64"/>
        <v>0</v>
      </c>
      <c r="W284">
        <f t="shared" si="64"/>
        <v>0</v>
      </c>
      <c r="X284">
        <f t="shared" si="64"/>
        <v>0</v>
      </c>
      <c r="Y284">
        <f t="shared" si="63"/>
        <v>0</v>
      </c>
      <c r="Z284">
        <f t="shared" si="63"/>
        <v>0</v>
      </c>
      <c r="AA284">
        <f t="shared" si="63"/>
        <v>0</v>
      </c>
      <c r="AB284">
        <f t="shared" si="63"/>
        <v>0</v>
      </c>
      <c r="AC284">
        <f t="shared" si="63"/>
        <v>0</v>
      </c>
      <c r="AD284">
        <f t="shared" si="63"/>
        <v>0</v>
      </c>
      <c r="AE284">
        <f t="shared" si="63"/>
        <v>0</v>
      </c>
      <c r="AF284">
        <f t="shared" si="63"/>
        <v>0</v>
      </c>
      <c r="AG284">
        <f t="shared" si="63"/>
        <v>0</v>
      </c>
      <c r="AH284">
        <f t="shared" si="63"/>
        <v>0</v>
      </c>
      <c r="AI284">
        <f t="shared" si="63"/>
        <v>0</v>
      </c>
      <c r="AJ284">
        <f t="shared" si="63"/>
        <v>0</v>
      </c>
      <c r="AK284">
        <f t="shared" si="63"/>
        <v>0</v>
      </c>
      <c r="AL284">
        <f t="shared" si="63"/>
        <v>0</v>
      </c>
      <c r="AM284">
        <f t="shared" si="63"/>
        <v>0</v>
      </c>
      <c r="AN284">
        <f t="shared" si="61"/>
        <v>0</v>
      </c>
      <c r="AO284">
        <f t="shared" si="61"/>
        <v>0</v>
      </c>
      <c r="AP284">
        <f t="shared" si="61"/>
        <v>0</v>
      </c>
      <c r="AQ284">
        <f t="shared" si="61"/>
        <v>0</v>
      </c>
      <c r="AR284">
        <f t="shared" si="61"/>
        <v>0</v>
      </c>
    </row>
    <row r="285" spans="5:44" x14ac:dyDescent="0.2">
      <c r="E285" s="1">
        <f>moment_rate!$M285</f>
        <v>3.3722815436359377</v>
      </c>
      <c r="F285" s="1">
        <f t="shared" si="59"/>
        <v>6.9032120682029241E-2</v>
      </c>
      <c r="G285">
        <f>moment_rate!I285-0.005</f>
        <v>2.7799999999999847</v>
      </c>
      <c r="H285" s="1">
        <f t="shared" si="60"/>
        <v>0</v>
      </c>
      <c r="I285">
        <f t="shared" si="64"/>
        <v>0</v>
      </c>
      <c r="J285">
        <f t="shared" si="64"/>
        <v>0</v>
      </c>
      <c r="K285">
        <f t="shared" si="64"/>
        <v>0</v>
      </c>
      <c r="L285">
        <f t="shared" si="64"/>
        <v>0</v>
      </c>
      <c r="M285">
        <f t="shared" si="64"/>
        <v>0</v>
      </c>
      <c r="N285">
        <f t="shared" si="64"/>
        <v>0</v>
      </c>
      <c r="O285">
        <f t="shared" si="64"/>
        <v>0</v>
      </c>
      <c r="P285">
        <f t="shared" si="64"/>
        <v>0</v>
      </c>
      <c r="Q285">
        <f t="shared" si="64"/>
        <v>0</v>
      </c>
      <c r="R285">
        <f t="shared" si="64"/>
        <v>0</v>
      </c>
      <c r="S285">
        <f t="shared" si="64"/>
        <v>0</v>
      </c>
      <c r="T285">
        <f t="shared" si="64"/>
        <v>0</v>
      </c>
      <c r="U285">
        <f t="shared" si="64"/>
        <v>0</v>
      </c>
      <c r="V285">
        <f t="shared" si="64"/>
        <v>0</v>
      </c>
      <c r="W285">
        <f t="shared" si="64"/>
        <v>0</v>
      </c>
      <c r="X285">
        <f t="shared" si="64"/>
        <v>0</v>
      </c>
      <c r="Y285">
        <f t="shared" si="63"/>
        <v>0</v>
      </c>
      <c r="Z285">
        <f t="shared" si="63"/>
        <v>0</v>
      </c>
      <c r="AA285">
        <f t="shared" si="63"/>
        <v>0</v>
      </c>
      <c r="AB285">
        <f t="shared" si="63"/>
        <v>0</v>
      </c>
      <c r="AC285">
        <f t="shared" si="63"/>
        <v>0</v>
      </c>
      <c r="AD285">
        <f t="shared" si="63"/>
        <v>0</v>
      </c>
      <c r="AE285">
        <f t="shared" si="63"/>
        <v>0</v>
      </c>
      <c r="AF285">
        <f t="shared" si="63"/>
        <v>0</v>
      </c>
      <c r="AG285">
        <f t="shared" si="63"/>
        <v>0</v>
      </c>
      <c r="AH285">
        <f t="shared" si="63"/>
        <v>0</v>
      </c>
      <c r="AI285">
        <f t="shared" si="63"/>
        <v>0</v>
      </c>
      <c r="AJ285">
        <f t="shared" si="63"/>
        <v>0</v>
      </c>
      <c r="AK285">
        <f t="shared" si="63"/>
        <v>0</v>
      </c>
      <c r="AL285">
        <f t="shared" si="63"/>
        <v>0</v>
      </c>
      <c r="AM285">
        <f t="shared" si="63"/>
        <v>0</v>
      </c>
      <c r="AN285">
        <f t="shared" si="61"/>
        <v>0</v>
      </c>
      <c r="AO285">
        <f t="shared" si="61"/>
        <v>0</v>
      </c>
      <c r="AP285">
        <f t="shared" si="61"/>
        <v>0</v>
      </c>
      <c r="AQ285">
        <f t="shared" si="61"/>
        <v>0</v>
      </c>
      <c r="AR285">
        <f t="shared" si="61"/>
        <v>0</v>
      </c>
    </row>
    <row r="286" spans="5:44" x14ac:dyDescent="0.2">
      <c r="E286" s="1">
        <f>moment_rate!$M286</f>
        <v>3.3032494229539084</v>
      </c>
      <c r="F286" s="1">
        <f t="shared" si="59"/>
        <v>6.7616270879572671E-2</v>
      </c>
      <c r="G286">
        <f>moment_rate!I286-0.005</f>
        <v>2.7899999999999845</v>
      </c>
      <c r="H286" s="1">
        <f t="shared" si="60"/>
        <v>0</v>
      </c>
      <c r="I286">
        <f t="shared" si="64"/>
        <v>0</v>
      </c>
      <c r="J286">
        <f t="shared" si="64"/>
        <v>0</v>
      </c>
      <c r="K286">
        <f t="shared" si="64"/>
        <v>0</v>
      </c>
      <c r="L286">
        <f t="shared" si="64"/>
        <v>0</v>
      </c>
      <c r="M286">
        <f t="shared" si="64"/>
        <v>0</v>
      </c>
      <c r="N286">
        <f t="shared" si="64"/>
        <v>0</v>
      </c>
      <c r="O286">
        <f t="shared" si="64"/>
        <v>0</v>
      </c>
      <c r="P286">
        <f t="shared" si="64"/>
        <v>0</v>
      </c>
      <c r="Q286">
        <f t="shared" si="64"/>
        <v>0</v>
      </c>
      <c r="R286">
        <f t="shared" si="64"/>
        <v>0</v>
      </c>
      <c r="S286">
        <f t="shared" si="64"/>
        <v>0</v>
      </c>
      <c r="T286">
        <f t="shared" si="64"/>
        <v>0</v>
      </c>
      <c r="U286">
        <f t="shared" si="64"/>
        <v>0</v>
      </c>
      <c r="V286">
        <f t="shared" si="64"/>
        <v>0</v>
      </c>
      <c r="W286">
        <f t="shared" si="64"/>
        <v>0</v>
      </c>
      <c r="X286">
        <f t="shared" ref="X286:AM301" si="65">IF(AND($G286&gt;=X$3,$G286&lt;X$4),$F286,0)</f>
        <v>0</v>
      </c>
      <c r="Y286">
        <f t="shared" si="65"/>
        <v>0</v>
      </c>
      <c r="Z286">
        <f t="shared" si="65"/>
        <v>0</v>
      </c>
      <c r="AA286">
        <f t="shared" si="65"/>
        <v>0</v>
      </c>
      <c r="AB286">
        <f t="shared" si="65"/>
        <v>0</v>
      </c>
      <c r="AC286">
        <f t="shared" si="65"/>
        <v>0</v>
      </c>
      <c r="AD286">
        <f t="shared" si="65"/>
        <v>0</v>
      </c>
      <c r="AE286">
        <f t="shared" si="65"/>
        <v>0</v>
      </c>
      <c r="AF286">
        <f t="shared" si="65"/>
        <v>0</v>
      </c>
      <c r="AG286">
        <f t="shared" si="65"/>
        <v>0</v>
      </c>
      <c r="AH286">
        <f t="shared" si="65"/>
        <v>0</v>
      </c>
      <c r="AI286">
        <f t="shared" si="65"/>
        <v>0</v>
      </c>
      <c r="AJ286">
        <f t="shared" si="65"/>
        <v>0</v>
      </c>
      <c r="AK286">
        <f t="shared" si="65"/>
        <v>0</v>
      </c>
      <c r="AL286">
        <f t="shared" si="65"/>
        <v>0</v>
      </c>
      <c r="AM286">
        <f t="shared" si="65"/>
        <v>0</v>
      </c>
      <c r="AN286">
        <f t="shared" si="61"/>
        <v>0</v>
      </c>
      <c r="AO286">
        <f t="shared" si="61"/>
        <v>0</v>
      </c>
      <c r="AP286">
        <f t="shared" si="61"/>
        <v>0</v>
      </c>
      <c r="AQ286">
        <f t="shared" si="61"/>
        <v>0</v>
      </c>
      <c r="AR286">
        <f t="shared" si="61"/>
        <v>0</v>
      </c>
    </row>
    <row r="287" spans="5:44" x14ac:dyDescent="0.2">
      <c r="E287" s="1">
        <f>moment_rate!$M287</f>
        <v>3.2356331520743358</v>
      </c>
      <c r="F287" s="1">
        <f t="shared" si="59"/>
        <v>6.6229460177223753E-2</v>
      </c>
      <c r="G287">
        <f>moment_rate!I287-0.005</f>
        <v>2.7999999999999843</v>
      </c>
      <c r="H287" s="1">
        <f t="shared" si="60"/>
        <v>0</v>
      </c>
      <c r="I287">
        <f t="shared" ref="I287:X302" si="66">IF(AND($G287&gt;=I$3,$G287&lt;I$4),$F287,0)</f>
        <v>0</v>
      </c>
      <c r="J287">
        <f t="shared" si="66"/>
        <v>0</v>
      </c>
      <c r="K287">
        <f t="shared" si="66"/>
        <v>0</v>
      </c>
      <c r="L287">
        <f t="shared" si="66"/>
        <v>0</v>
      </c>
      <c r="M287">
        <f t="shared" si="66"/>
        <v>0</v>
      </c>
      <c r="N287">
        <f t="shared" si="66"/>
        <v>0</v>
      </c>
      <c r="O287">
        <f t="shared" si="66"/>
        <v>0</v>
      </c>
      <c r="P287">
        <f t="shared" si="66"/>
        <v>0</v>
      </c>
      <c r="Q287">
        <f t="shared" si="66"/>
        <v>0</v>
      </c>
      <c r="R287">
        <f t="shared" si="66"/>
        <v>0</v>
      </c>
      <c r="S287">
        <f t="shared" si="66"/>
        <v>0</v>
      </c>
      <c r="T287">
        <f t="shared" si="66"/>
        <v>0</v>
      </c>
      <c r="U287">
        <f t="shared" si="66"/>
        <v>0</v>
      </c>
      <c r="V287">
        <f t="shared" si="66"/>
        <v>0</v>
      </c>
      <c r="W287">
        <f t="shared" si="66"/>
        <v>0</v>
      </c>
      <c r="X287">
        <f t="shared" si="66"/>
        <v>0</v>
      </c>
      <c r="Y287">
        <f t="shared" si="65"/>
        <v>0</v>
      </c>
      <c r="Z287">
        <f t="shared" si="65"/>
        <v>0</v>
      </c>
      <c r="AA287">
        <f t="shared" si="65"/>
        <v>0</v>
      </c>
      <c r="AB287">
        <f t="shared" si="65"/>
        <v>0</v>
      </c>
      <c r="AC287">
        <f t="shared" si="65"/>
        <v>0</v>
      </c>
      <c r="AD287">
        <f t="shared" si="65"/>
        <v>0</v>
      </c>
      <c r="AE287">
        <f t="shared" si="65"/>
        <v>0</v>
      </c>
      <c r="AF287">
        <f t="shared" si="65"/>
        <v>0</v>
      </c>
      <c r="AG287">
        <f t="shared" si="65"/>
        <v>0</v>
      </c>
      <c r="AH287">
        <f t="shared" si="65"/>
        <v>0</v>
      </c>
      <c r="AI287">
        <f t="shared" si="65"/>
        <v>0</v>
      </c>
      <c r="AJ287">
        <f t="shared" si="65"/>
        <v>0</v>
      </c>
      <c r="AK287">
        <f t="shared" si="65"/>
        <v>0</v>
      </c>
      <c r="AL287">
        <f t="shared" si="65"/>
        <v>0</v>
      </c>
      <c r="AM287">
        <f t="shared" si="65"/>
        <v>0</v>
      </c>
      <c r="AN287">
        <f t="shared" si="61"/>
        <v>0</v>
      </c>
      <c r="AO287">
        <f t="shared" si="61"/>
        <v>0</v>
      </c>
      <c r="AP287">
        <f t="shared" si="61"/>
        <v>0</v>
      </c>
      <c r="AQ287">
        <f t="shared" si="61"/>
        <v>0</v>
      </c>
      <c r="AR287">
        <f t="shared" si="61"/>
        <v>0</v>
      </c>
    </row>
    <row r="288" spans="5:44" x14ac:dyDescent="0.2">
      <c r="E288" s="1">
        <f>moment_rate!$M288</f>
        <v>3.169403691897112</v>
      </c>
      <c r="F288" s="1">
        <f t="shared" si="59"/>
        <v>6.487109298261462E-2</v>
      </c>
      <c r="G288">
        <f>moment_rate!I288-0.005</f>
        <v>2.8099999999999841</v>
      </c>
      <c r="H288" s="1">
        <f t="shared" si="60"/>
        <v>0</v>
      </c>
      <c r="I288">
        <f t="shared" si="66"/>
        <v>0</v>
      </c>
      <c r="J288">
        <f t="shared" si="66"/>
        <v>0</v>
      </c>
      <c r="K288">
        <f t="shared" si="66"/>
        <v>0</v>
      </c>
      <c r="L288">
        <f t="shared" si="66"/>
        <v>0</v>
      </c>
      <c r="M288">
        <f t="shared" si="66"/>
        <v>0</v>
      </c>
      <c r="N288">
        <f t="shared" si="66"/>
        <v>0</v>
      </c>
      <c r="O288">
        <f t="shared" si="66"/>
        <v>0</v>
      </c>
      <c r="P288">
        <f t="shared" si="66"/>
        <v>0</v>
      </c>
      <c r="Q288">
        <f t="shared" si="66"/>
        <v>0</v>
      </c>
      <c r="R288">
        <f t="shared" si="66"/>
        <v>0</v>
      </c>
      <c r="S288">
        <f t="shared" si="66"/>
        <v>0</v>
      </c>
      <c r="T288">
        <f t="shared" si="66"/>
        <v>0</v>
      </c>
      <c r="U288">
        <f t="shared" si="66"/>
        <v>0</v>
      </c>
      <c r="V288">
        <f t="shared" si="66"/>
        <v>0</v>
      </c>
      <c r="W288">
        <f t="shared" si="66"/>
        <v>0</v>
      </c>
      <c r="X288">
        <f t="shared" si="66"/>
        <v>0</v>
      </c>
      <c r="Y288">
        <f t="shared" si="65"/>
        <v>0</v>
      </c>
      <c r="Z288">
        <f t="shared" si="65"/>
        <v>0</v>
      </c>
      <c r="AA288">
        <f t="shared" si="65"/>
        <v>0</v>
      </c>
      <c r="AB288">
        <f t="shared" si="65"/>
        <v>0</v>
      </c>
      <c r="AC288">
        <f t="shared" si="65"/>
        <v>0</v>
      </c>
      <c r="AD288">
        <f t="shared" si="65"/>
        <v>0</v>
      </c>
      <c r="AE288">
        <f t="shared" si="65"/>
        <v>0</v>
      </c>
      <c r="AF288">
        <f t="shared" si="65"/>
        <v>0</v>
      </c>
      <c r="AG288">
        <f t="shared" si="65"/>
        <v>0</v>
      </c>
      <c r="AH288">
        <f t="shared" si="65"/>
        <v>0</v>
      </c>
      <c r="AI288">
        <f t="shared" si="65"/>
        <v>0</v>
      </c>
      <c r="AJ288">
        <f t="shared" si="65"/>
        <v>0</v>
      </c>
      <c r="AK288">
        <f t="shared" si="65"/>
        <v>0</v>
      </c>
      <c r="AL288">
        <f t="shared" si="65"/>
        <v>0</v>
      </c>
      <c r="AM288">
        <f t="shared" si="65"/>
        <v>0</v>
      </c>
      <c r="AN288">
        <f t="shared" si="61"/>
        <v>0</v>
      </c>
      <c r="AO288">
        <f t="shared" si="61"/>
        <v>0</v>
      </c>
      <c r="AP288">
        <f t="shared" si="61"/>
        <v>0</v>
      </c>
      <c r="AQ288">
        <f t="shared" si="61"/>
        <v>0</v>
      </c>
      <c r="AR288">
        <f t="shared" si="61"/>
        <v>0</v>
      </c>
    </row>
    <row r="289" spans="5:44" x14ac:dyDescent="0.2">
      <c r="E289" s="1">
        <f>moment_rate!$M289</f>
        <v>3.1045325989144974</v>
      </c>
      <c r="F289" s="1">
        <f t="shared" si="59"/>
        <v>6.3540585918986814E-2</v>
      </c>
      <c r="G289">
        <f>moment_rate!I289-0.005</f>
        <v>2.8199999999999839</v>
      </c>
      <c r="H289" s="1">
        <f t="shared" si="60"/>
        <v>0</v>
      </c>
      <c r="I289">
        <f t="shared" si="66"/>
        <v>0</v>
      </c>
      <c r="J289">
        <f t="shared" si="66"/>
        <v>0</v>
      </c>
      <c r="K289">
        <f t="shared" si="66"/>
        <v>0</v>
      </c>
      <c r="L289">
        <f t="shared" si="66"/>
        <v>0</v>
      </c>
      <c r="M289">
        <f t="shared" si="66"/>
        <v>0</v>
      </c>
      <c r="N289">
        <f t="shared" si="66"/>
        <v>0</v>
      </c>
      <c r="O289">
        <f t="shared" si="66"/>
        <v>0</v>
      </c>
      <c r="P289">
        <f t="shared" si="66"/>
        <v>0</v>
      </c>
      <c r="Q289">
        <f t="shared" si="66"/>
        <v>0</v>
      </c>
      <c r="R289">
        <f t="shared" si="66"/>
        <v>0</v>
      </c>
      <c r="S289">
        <f t="shared" si="66"/>
        <v>0</v>
      </c>
      <c r="T289">
        <f t="shared" si="66"/>
        <v>0</v>
      </c>
      <c r="U289">
        <f t="shared" si="66"/>
        <v>0</v>
      </c>
      <c r="V289">
        <f t="shared" si="66"/>
        <v>0</v>
      </c>
      <c r="W289">
        <f t="shared" si="66"/>
        <v>0</v>
      </c>
      <c r="X289">
        <f t="shared" si="66"/>
        <v>0</v>
      </c>
      <c r="Y289">
        <f t="shared" si="65"/>
        <v>0</v>
      </c>
      <c r="Z289">
        <f t="shared" si="65"/>
        <v>0</v>
      </c>
      <c r="AA289">
        <f t="shared" si="65"/>
        <v>0</v>
      </c>
      <c r="AB289">
        <f t="shared" si="65"/>
        <v>0</v>
      </c>
      <c r="AC289">
        <f t="shared" si="65"/>
        <v>0</v>
      </c>
      <c r="AD289">
        <f t="shared" si="65"/>
        <v>0</v>
      </c>
      <c r="AE289">
        <f t="shared" si="65"/>
        <v>0</v>
      </c>
      <c r="AF289">
        <f t="shared" si="65"/>
        <v>0</v>
      </c>
      <c r="AG289">
        <f t="shared" si="65"/>
        <v>0</v>
      </c>
      <c r="AH289">
        <f t="shared" si="65"/>
        <v>0</v>
      </c>
      <c r="AI289">
        <f t="shared" si="65"/>
        <v>0</v>
      </c>
      <c r="AJ289">
        <f t="shared" si="65"/>
        <v>0</v>
      </c>
      <c r="AK289">
        <f t="shared" si="61"/>
        <v>0</v>
      </c>
      <c r="AL289">
        <f t="shared" si="61"/>
        <v>0</v>
      </c>
      <c r="AM289">
        <f t="shared" si="61"/>
        <v>0</v>
      </c>
      <c r="AN289">
        <f t="shared" si="61"/>
        <v>0</v>
      </c>
      <c r="AO289">
        <f t="shared" si="61"/>
        <v>0</v>
      </c>
      <c r="AP289">
        <f t="shared" si="61"/>
        <v>0</v>
      </c>
      <c r="AQ289">
        <f t="shared" si="61"/>
        <v>0</v>
      </c>
      <c r="AR289">
        <f t="shared" si="61"/>
        <v>0</v>
      </c>
    </row>
    <row r="290" spans="5:44" x14ac:dyDescent="0.2">
      <c r="E290" s="1">
        <f>moment_rate!$M290</f>
        <v>3.0409920129955106</v>
      </c>
      <c r="F290" s="1">
        <f t="shared" si="59"/>
        <v>6.2237367574649038E-2</v>
      </c>
      <c r="G290">
        <f>moment_rate!I290-0.005</f>
        <v>2.8299999999999836</v>
      </c>
      <c r="H290" s="1">
        <f t="shared" si="60"/>
        <v>0</v>
      </c>
      <c r="I290">
        <f t="shared" si="66"/>
        <v>0</v>
      </c>
      <c r="J290">
        <f t="shared" si="66"/>
        <v>0</v>
      </c>
      <c r="K290">
        <f t="shared" si="66"/>
        <v>0</v>
      </c>
      <c r="L290">
        <f t="shared" si="66"/>
        <v>0</v>
      </c>
      <c r="M290">
        <f t="shared" si="66"/>
        <v>0</v>
      </c>
      <c r="N290">
        <f t="shared" si="66"/>
        <v>0</v>
      </c>
      <c r="O290">
        <f t="shared" si="66"/>
        <v>0</v>
      </c>
      <c r="P290">
        <f t="shared" si="66"/>
        <v>0</v>
      </c>
      <c r="Q290">
        <f t="shared" si="66"/>
        <v>0</v>
      </c>
      <c r="R290">
        <f t="shared" si="66"/>
        <v>0</v>
      </c>
      <c r="S290">
        <f t="shared" si="66"/>
        <v>0</v>
      </c>
      <c r="T290">
        <f t="shared" si="66"/>
        <v>0</v>
      </c>
      <c r="U290">
        <f t="shared" si="66"/>
        <v>0</v>
      </c>
      <c r="V290">
        <f t="shared" si="66"/>
        <v>0</v>
      </c>
      <c r="W290">
        <f t="shared" si="66"/>
        <v>0</v>
      </c>
      <c r="X290">
        <f t="shared" si="66"/>
        <v>0</v>
      </c>
      <c r="Y290">
        <f t="shared" si="65"/>
        <v>0</v>
      </c>
      <c r="Z290">
        <f t="shared" si="65"/>
        <v>0</v>
      </c>
      <c r="AA290">
        <f t="shared" si="65"/>
        <v>0</v>
      </c>
      <c r="AB290">
        <f t="shared" si="65"/>
        <v>0</v>
      </c>
      <c r="AC290">
        <f t="shared" si="65"/>
        <v>0</v>
      </c>
      <c r="AD290">
        <f t="shared" si="65"/>
        <v>0</v>
      </c>
      <c r="AE290">
        <f t="shared" si="65"/>
        <v>0</v>
      </c>
      <c r="AF290">
        <f t="shared" si="65"/>
        <v>0</v>
      </c>
      <c r="AG290">
        <f t="shared" si="65"/>
        <v>0</v>
      </c>
      <c r="AH290">
        <f t="shared" si="65"/>
        <v>0</v>
      </c>
      <c r="AI290">
        <f t="shared" si="65"/>
        <v>0</v>
      </c>
      <c r="AJ290">
        <f t="shared" si="65"/>
        <v>0</v>
      </c>
      <c r="AK290">
        <f t="shared" si="61"/>
        <v>0</v>
      </c>
      <c r="AL290">
        <f t="shared" si="61"/>
        <v>0</v>
      </c>
      <c r="AM290">
        <f t="shared" si="61"/>
        <v>0</v>
      </c>
      <c r="AN290">
        <f t="shared" si="61"/>
        <v>0</v>
      </c>
      <c r="AO290">
        <f t="shared" si="61"/>
        <v>0</v>
      </c>
      <c r="AP290">
        <f t="shared" si="61"/>
        <v>0</v>
      </c>
      <c r="AQ290">
        <f t="shared" si="61"/>
        <v>0</v>
      </c>
      <c r="AR290">
        <f t="shared" si="61"/>
        <v>0</v>
      </c>
    </row>
    <row r="291" spans="5:44" x14ac:dyDescent="0.2">
      <c r="E291" s="1">
        <f>moment_rate!$M291</f>
        <v>2.9787546454208615</v>
      </c>
      <c r="F291" s="1">
        <f t="shared" si="59"/>
        <v>6.0960878257569018E-2</v>
      </c>
      <c r="G291">
        <f>moment_rate!I291-0.005</f>
        <v>2.8399999999999834</v>
      </c>
      <c r="H291" s="1">
        <f t="shared" si="60"/>
        <v>0</v>
      </c>
      <c r="I291">
        <f t="shared" si="66"/>
        <v>0</v>
      </c>
      <c r="J291">
        <f t="shared" si="66"/>
        <v>0</v>
      </c>
      <c r="K291">
        <f t="shared" si="66"/>
        <v>0</v>
      </c>
      <c r="L291">
        <f t="shared" si="66"/>
        <v>0</v>
      </c>
      <c r="M291">
        <f t="shared" si="66"/>
        <v>0</v>
      </c>
      <c r="N291">
        <f t="shared" si="66"/>
        <v>0</v>
      </c>
      <c r="O291">
        <f t="shared" si="66"/>
        <v>0</v>
      </c>
      <c r="P291">
        <f t="shared" si="66"/>
        <v>0</v>
      </c>
      <c r="Q291">
        <f t="shared" si="66"/>
        <v>0</v>
      </c>
      <c r="R291">
        <f t="shared" si="66"/>
        <v>0</v>
      </c>
      <c r="S291">
        <f t="shared" si="66"/>
        <v>0</v>
      </c>
      <c r="T291">
        <f t="shared" si="66"/>
        <v>0</v>
      </c>
      <c r="U291">
        <f t="shared" si="66"/>
        <v>0</v>
      </c>
      <c r="V291">
        <f t="shared" si="66"/>
        <v>0</v>
      </c>
      <c r="W291">
        <f t="shared" si="66"/>
        <v>0</v>
      </c>
      <c r="X291">
        <f t="shared" si="66"/>
        <v>0</v>
      </c>
      <c r="Y291">
        <f t="shared" si="65"/>
        <v>0</v>
      </c>
      <c r="Z291">
        <f t="shared" si="65"/>
        <v>0</v>
      </c>
      <c r="AA291">
        <f t="shared" si="65"/>
        <v>0</v>
      </c>
      <c r="AB291">
        <f t="shared" si="65"/>
        <v>0</v>
      </c>
      <c r="AC291">
        <f t="shared" si="65"/>
        <v>0</v>
      </c>
      <c r="AD291">
        <f t="shared" si="65"/>
        <v>0</v>
      </c>
      <c r="AE291">
        <f t="shared" si="65"/>
        <v>0</v>
      </c>
      <c r="AF291">
        <f t="shared" si="65"/>
        <v>0</v>
      </c>
      <c r="AG291">
        <f t="shared" si="65"/>
        <v>0</v>
      </c>
      <c r="AH291">
        <f t="shared" si="65"/>
        <v>0</v>
      </c>
      <c r="AI291">
        <f t="shared" si="65"/>
        <v>0</v>
      </c>
      <c r="AJ291">
        <f t="shared" si="65"/>
        <v>0</v>
      </c>
      <c r="AK291">
        <f t="shared" si="61"/>
        <v>0</v>
      </c>
      <c r="AL291">
        <f t="shared" si="61"/>
        <v>0</v>
      </c>
      <c r="AM291">
        <f t="shared" si="61"/>
        <v>0</v>
      </c>
      <c r="AN291">
        <f t="shared" si="61"/>
        <v>0</v>
      </c>
      <c r="AO291">
        <f t="shared" si="61"/>
        <v>0</v>
      </c>
      <c r="AP291">
        <f t="shared" si="61"/>
        <v>0</v>
      </c>
      <c r="AQ291">
        <f t="shared" si="61"/>
        <v>0</v>
      </c>
      <c r="AR291">
        <f t="shared" si="61"/>
        <v>0</v>
      </c>
    </row>
    <row r="292" spans="5:44" x14ac:dyDescent="0.2">
      <c r="E292" s="1">
        <f>moment_rate!$M292</f>
        <v>2.9177937671632925</v>
      </c>
      <c r="F292" s="1">
        <f t="shared" si="59"/>
        <v>5.9710569755007548E-2</v>
      </c>
      <c r="G292">
        <f>moment_rate!I292-0.005</f>
        <v>2.8499999999999832</v>
      </c>
      <c r="H292" s="1">
        <f t="shared" si="60"/>
        <v>0</v>
      </c>
      <c r="I292">
        <f t="shared" si="66"/>
        <v>0</v>
      </c>
      <c r="J292">
        <f t="shared" si="66"/>
        <v>0</v>
      </c>
      <c r="K292">
        <f t="shared" si="66"/>
        <v>0</v>
      </c>
      <c r="L292">
        <f t="shared" si="66"/>
        <v>0</v>
      </c>
      <c r="M292">
        <f t="shared" si="66"/>
        <v>0</v>
      </c>
      <c r="N292">
        <f t="shared" si="66"/>
        <v>0</v>
      </c>
      <c r="O292">
        <f t="shared" si="66"/>
        <v>0</v>
      </c>
      <c r="P292">
        <f t="shared" si="66"/>
        <v>0</v>
      </c>
      <c r="Q292">
        <f t="shared" si="66"/>
        <v>0</v>
      </c>
      <c r="R292">
        <f t="shared" si="66"/>
        <v>0</v>
      </c>
      <c r="S292">
        <f t="shared" si="66"/>
        <v>0</v>
      </c>
      <c r="T292">
        <f t="shared" si="66"/>
        <v>0</v>
      </c>
      <c r="U292">
        <f t="shared" si="66"/>
        <v>0</v>
      </c>
      <c r="V292">
        <f t="shared" si="66"/>
        <v>0</v>
      </c>
      <c r="W292">
        <f t="shared" si="66"/>
        <v>0</v>
      </c>
      <c r="X292">
        <f t="shared" si="66"/>
        <v>0</v>
      </c>
      <c r="Y292">
        <f t="shared" si="65"/>
        <v>0</v>
      </c>
      <c r="Z292">
        <f t="shared" si="65"/>
        <v>0</v>
      </c>
      <c r="AA292">
        <f t="shared" si="65"/>
        <v>0</v>
      </c>
      <c r="AB292">
        <f t="shared" si="65"/>
        <v>0</v>
      </c>
      <c r="AC292">
        <f t="shared" si="65"/>
        <v>0</v>
      </c>
      <c r="AD292">
        <f t="shared" si="65"/>
        <v>0</v>
      </c>
      <c r="AE292">
        <f t="shared" si="65"/>
        <v>0</v>
      </c>
      <c r="AF292">
        <f t="shared" si="65"/>
        <v>0</v>
      </c>
      <c r="AG292">
        <f t="shared" si="65"/>
        <v>0</v>
      </c>
      <c r="AH292">
        <f t="shared" si="65"/>
        <v>0</v>
      </c>
      <c r="AI292">
        <f t="shared" si="65"/>
        <v>0</v>
      </c>
      <c r="AJ292">
        <f t="shared" si="65"/>
        <v>0</v>
      </c>
      <c r="AK292">
        <f t="shared" si="61"/>
        <v>0</v>
      </c>
      <c r="AL292">
        <f t="shared" si="61"/>
        <v>0</v>
      </c>
      <c r="AM292">
        <f t="shared" si="61"/>
        <v>0</v>
      </c>
      <c r="AN292">
        <f t="shared" si="61"/>
        <v>0</v>
      </c>
      <c r="AO292">
        <f t="shared" si="61"/>
        <v>0</v>
      </c>
      <c r="AP292">
        <f t="shared" si="61"/>
        <v>0</v>
      </c>
      <c r="AQ292">
        <f t="shared" si="61"/>
        <v>0</v>
      </c>
      <c r="AR292">
        <f t="shared" si="61"/>
        <v>0</v>
      </c>
    </row>
    <row r="293" spans="5:44" x14ac:dyDescent="0.2">
      <c r="E293" s="1">
        <f>moment_rate!$M293</f>
        <v>2.858083197408285</v>
      </c>
      <c r="F293" s="1">
        <f t="shared" si="59"/>
        <v>5.8485905098077939E-2</v>
      </c>
      <c r="G293">
        <f>moment_rate!I293-0.005</f>
        <v>2.859999999999983</v>
      </c>
      <c r="H293" s="1">
        <f t="shared" si="60"/>
        <v>0</v>
      </c>
      <c r="I293">
        <f t="shared" si="66"/>
        <v>0</v>
      </c>
      <c r="J293">
        <f t="shared" si="66"/>
        <v>0</v>
      </c>
      <c r="K293">
        <f t="shared" si="66"/>
        <v>0</v>
      </c>
      <c r="L293">
        <f t="shared" si="66"/>
        <v>0</v>
      </c>
      <c r="M293">
        <f t="shared" si="66"/>
        <v>0</v>
      </c>
      <c r="N293">
        <f t="shared" si="66"/>
        <v>0</v>
      </c>
      <c r="O293">
        <f t="shared" si="66"/>
        <v>0</v>
      </c>
      <c r="P293">
        <f t="shared" si="66"/>
        <v>0</v>
      </c>
      <c r="Q293">
        <f t="shared" si="66"/>
        <v>0</v>
      </c>
      <c r="R293">
        <f t="shared" si="66"/>
        <v>0</v>
      </c>
      <c r="S293">
        <f t="shared" si="66"/>
        <v>0</v>
      </c>
      <c r="T293">
        <f t="shared" si="66"/>
        <v>0</v>
      </c>
      <c r="U293">
        <f t="shared" si="66"/>
        <v>0</v>
      </c>
      <c r="V293">
        <f t="shared" si="66"/>
        <v>0</v>
      </c>
      <c r="W293">
        <f t="shared" si="66"/>
        <v>0</v>
      </c>
      <c r="X293">
        <f t="shared" si="66"/>
        <v>0</v>
      </c>
      <c r="Y293">
        <f t="shared" si="65"/>
        <v>0</v>
      </c>
      <c r="Z293">
        <f t="shared" si="65"/>
        <v>0</v>
      </c>
      <c r="AA293">
        <f t="shared" si="65"/>
        <v>0</v>
      </c>
      <c r="AB293">
        <f t="shared" si="65"/>
        <v>0</v>
      </c>
      <c r="AC293">
        <f t="shared" si="65"/>
        <v>0</v>
      </c>
      <c r="AD293">
        <f t="shared" si="65"/>
        <v>0</v>
      </c>
      <c r="AE293">
        <f t="shared" si="65"/>
        <v>0</v>
      </c>
      <c r="AF293">
        <f t="shared" si="65"/>
        <v>0</v>
      </c>
      <c r="AG293">
        <f t="shared" si="65"/>
        <v>0</v>
      </c>
      <c r="AH293">
        <f t="shared" si="65"/>
        <v>0</v>
      </c>
      <c r="AI293">
        <f t="shared" si="65"/>
        <v>0</v>
      </c>
      <c r="AJ293">
        <f t="shared" si="65"/>
        <v>0</v>
      </c>
      <c r="AK293">
        <f t="shared" si="61"/>
        <v>0</v>
      </c>
      <c r="AL293">
        <f t="shared" si="61"/>
        <v>0</v>
      </c>
      <c r="AM293">
        <f t="shared" si="61"/>
        <v>0</v>
      </c>
      <c r="AN293">
        <f t="shared" si="61"/>
        <v>0</v>
      </c>
      <c r="AO293">
        <f t="shared" si="61"/>
        <v>0</v>
      </c>
      <c r="AP293">
        <f t="shared" si="61"/>
        <v>0</v>
      </c>
      <c r="AQ293">
        <f t="shared" si="61"/>
        <v>0</v>
      </c>
      <c r="AR293">
        <f t="shared" si="61"/>
        <v>0</v>
      </c>
    </row>
    <row r="294" spans="5:44" x14ac:dyDescent="0.2">
      <c r="E294" s="1">
        <f>moment_rate!$M294</f>
        <v>2.799597292310207</v>
      </c>
      <c r="F294" s="1">
        <f t="shared" si="59"/>
        <v>5.7286358331130494E-2</v>
      </c>
      <c r="G294">
        <f>moment_rate!I294-0.005</f>
        <v>2.8699999999999828</v>
      </c>
      <c r="H294" s="1">
        <f t="shared" si="60"/>
        <v>0</v>
      </c>
      <c r="I294">
        <f t="shared" si="66"/>
        <v>0</v>
      </c>
      <c r="J294">
        <f t="shared" si="66"/>
        <v>0</v>
      </c>
      <c r="K294">
        <f t="shared" si="66"/>
        <v>0</v>
      </c>
      <c r="L294">
        <f t="shared" si="66"/>
        <v>0</v>
      </c>
      <c r="M294">
        <f t="shared" si="66"/>
        <v>0</v>
      </c>
      <c r="N294">
        <f t="shared" si="66"/>
        <v>0</v>
      </c>
      <c r="O294">
        <f t="shared" si="66"/>
        <v>0</v>
      </c>
      <c r="P294">
        <f t="shared" si="66"/>
        <v>0</v>
      </c>
      <c r="Q294">
        <f t="shared" si="66"/>
        <v>0</v>
      </c>
      <c r="R294">
        <f t="shared" si="66"/>
        <v>0</v>
      </c>
      <c r="S294">
        <f t="shared" si="66"/>
        <v>0</v>
      </c>
      <c r="T294">
        <f t="shared" si="66"/>
        <v>0</v>
      </c>
      <c r="U294">
        <f t="shared" si="66"/>
        <v>0</v>
      </c>
      <c r="V294">
        <f t="shared" si="66"/>
        <v>0</v>
      </c>
      <c r="W294">
        <f t="shared" si="66"/>
        <v>0</v>
      </c>
      <c r="X294">
        <f t="shared" si="66"/>
        <v>0</v>
      </c>
      <c r="Y294">
        <f t="shared" si="65"/>
        <v>0</v>
      </c>
      <c r="Z294">
        <f t="shared" si="65"/>
        <v>0</v>
      </c>
      <c r="AA294">
        <f t="shared" si="65"/>
        <v>0</v>
      </c>
      <c r="AB294">
        <f t="shared" si="65"/>
        <v>0</v>
      </c>
      <c r="AC294">
        <f t="shared" si="65"/>
        <v>0</v>
      </c>
      <c r="AD294">
        <f t="shared" si="65"/>
        <v>0</v>
      </c>
      <c r="AE294">
        <f t="shared" si="65"/>
        <v>0</v>
      </c>
      <c r="AF294">
        <f t="shared" si="65"/>
        <v>0</v>
      </c>
      <c r="AG294">
        <f t="shared" si="65"/>
        <v>0</v>
      </c>
      <c r="AH294">
        <f t="shared" si="65"/>
        <v>0</v>
      </c>
      <c r="AI294">
        <f t="shared" si="65"/>
        <v>0</v>
      </c>
      <c r="AJ294">
        <f t="shared" si="65"/>
        <v>0</v>
      </c>
      <c r="AK294">
        <f t="shared" si="61"/>
        <v>0</v>
      </c>
      <c r="AL294">
        <f t="shared" si="61"/>
        <v>0</v>
      </c>
      <c r="AM294">
        <f t="shared" si="61"/>
        <v>0</v>
      </c>
      <c r="AN294">
        <f t="shared" si="61"/>
        <v>0</v>
      </c>
      <c r="AO294">
        <f t="shared" si="61"/>
        <v>0</v>
      </c>
      <c r="AP294">
        <f t="shared" si="61"/>
        <v>0</v>
      </c>
      <c r="AQ294">
        <f t="shared" si="61"/>
        <v>0</v>
      </c>
      <c r="AR294">
        <f t="shared" si="61"/>
        <v>0</v>
      </c>
    </row>
    <row r="295" spans="5:44" x14ac:dyDescent="0.2">
      <c r="E295" s="1">
        <f>moment_rate!$M295</f>
        <v>2.7423109339790765</v>
      </c>
      <c r="F295" s="1">
        <f t="shared" si="59"/>
        <v>5.6111414285876293E-2</v>
      </c>
      <c r="G295">
        <f>moment_rate!I295-0.005</f>
        <v>2.8799999999999826</v>
      </c>
      <c r="H295" s="1">
        <f t="shared" si="60"/>
        <v>0</v>
      </c>
      <c r="I295">
        <f t="shared" si="66"/>
        <v>0</v>
      </c>
      <c r="J295">
        <f t="shared" si="66"/>
        <v>0</v>
      </c>
      <c r="K295">
        <f t="shared" si="66"/>
        <v>0</v>
      </c>
      <c r="L295">
        <f t="shared" si="66"/>
        <v>0</v>
      </c>
      <c r="M295">
        <f t="shared" si="66"/>
        <v>0</v>
      </c>
      <c r="N295">
        <f t="shared" si="66"/>
        <v>0</v>
      </c>
      <c r="O295">
        <f t="shared" si="66"/>
        <v>0</v>
      </c>
      <c r="P295">
        <f t="shared" si="66"/>
        <v>0</v>
      </c>
      <c r="Q295">
        <f t="shared" si="66"/>
        <v>0</v>
      </c>
      <c r="R295">
        <f t="shared" si="66"/>
        <v>0</v>
      </c>
      <c r="S295">
        <f t="shared" si="66"/>
        <v>0</v>
      </c>
      <c r="T295">
        <f t="shared" si="66"/>
        <v>0</v>
      </c>
      <c r="U295">
        <f t="shared" si="66"/>
        <v>0</v>
      </c>
      <c r="V295">
        <f t="shared" si="66"/>
        <v>0</v>
      </c>
      <c r="W295">
        <f t="shared" si="66"/>
        <v>0</v>
      </c>
      <c r="X295">
        <f t="shared" si="66"/>
        <v>0</v>
      </c>
      <c r="Y295">
        <f t="shared" si="65"/>
        <v>0</v>
      </c>
      <c r="Z295">
        <f t="shared" si="65"/>
        <v>0</v>
      </c>
      <c r="AA295">
        <f t="shared" si="65"/>
        <v>0</v>
      </c>
      <c r="AB295">
        <f t="shared" si="65"/>
        <v>0</v>
      </c>
      <c r="AC295">
        <f t="shared" si="65"/>
        <v>0</v>
      </c>
      <c r="AD295">
        <f t="shared" si="65"/>
        <v>0</v>
      </c>
      <c r="AE295">
        <f t="shared" si="65"/>
        <v>0</v>
      </c>
      <c r="AF295">
        <f t="shared" si="65"/>
        <v>0</v>
      </c>
      <c r="AG295">
        <f t="shared" si="65"/>
        <v>0</v>
      </c>
      <c r="AH295">
        <f t="shared" si="65"/>
        <v>0</v>
      </c>
      <c r="AI295">
        <f t="shared" si="65"/>
        <v>0</v>
      </c>
      <c r="AJ295">
        <f t="shared" si="65"/>
        <v>0</v>
      </c>
      <c r="AK295">
        <f t="shared" si="61"/>
        <v>0</v>
      </c>
      <c r="AL295">
        <f t="shared" si="61"/>
        <v>0</v>
      </c>
      <c r="AM295">
        <f t="shared" si="61"/>
        <v>0</v>
      </c>
      <c r="AN295">
        <f t="shared" si="61"/>
        <v>0</v>
      </c>
      <c r="AO295">
        <f t="shared" si="61"/>
        <v>0</v>
      </c>
      <c r="AP295">
        <f t="shared" si="61"/>
        <v>0</v>
      </c>
      <c r="AQ295">
        <f t="shared" si="61"/>
        <v>0</v>
      </c>
      <c r="AR295">
        <f t="shared" si="61"/>
        <v>0</v>
      </c>
    </row>
    <row r="296" spans="5:44" x14ac:dyDescent="0.2">
      <c r="E296" s="1">
        <f>moment_rate!$M296</f>
        <v>2.6861995196932003</v>
      </c>
      <c r="F296" s="1">
        <f t="shared" si="59"/>
        <v>5.4960568360134854E-2</v>
      </c>
      <c r="G296">
        <f>moment_rate!I296-0.005</f>
        <v>2.8899999999999824</v>
      </c>
      <c r="H296" s="1">
        <f t="shared" si="60"/>
        <v>0</v>
      </c>
      <c r="I296">
        <f t="shared" si="66"/>
        <v>0</v>
      </c>
      <c r="J296">
        <f t="shared" si="66"/>
        <v>0</v>
      </c>
      <c r="K296">
        <f t="shared" si="66"/>
        <v>0</v>
      </c>
      <c r="L296">
        <f t="shared" si="66"/>
        <v>0</v>
      </c>
      <c r="M296">
        <f t="shared" si="66"/>
        <v>0</v>
      </c>
      <c r="N296">
        <f t="shared" si="66"/>
        <v>0</v>
      </c>
      <c r="O296">
        <f t="shared" si="66"/>
        <v>0</v>
      </c>
      <c r="P296">
        <f t="shared" si="66"/>
        <v>0</v>
      </c>
      <c r="Q296">
        <f t="shared" si="66"/>
        <v>0</v>
      </c>
      <c r="R296">
        <f t="shared" si="66"/>
        <v>0</v>
      </c>
      <c r="S296">
        <f t="shared" si="66"/>
        <v>0</v>
      </c>
      <c r="T296">
        <f t="shared" si="66"/>
        <v>0</v>
      </c>
      <c r="U296">
        <f t="shared" si="66"/>
        <v>0</v>
      </c>
      <c r="V296">
        <f t="shared" si="66"/>
        <v>0</v>
      </c>
      <c r="W296">
        <f t="shared" si="66"/>
        <v>0</v>
      </c>
      <c r="X296">
        <f t="shared" si="66"/>
        <v>0</v>
      </c>
      <c r="Y296">
        <f t="shared" si="65"/>
        <v>0</v>
      </c>
      <c r="Z296">
        <f t="shared" si="65"/>
        <v>0</v>
      </c>
      <c r="AA296">
        <f t="shared" si="65"/>
        <v>0</v>
      </c>
      <c r="AB296">
        <f t="shared" si="65"/>
        <v>0</v>
      </c>
      <c r="AC296">
        <f t="shared" si="65"/>
        <v>0</v>
      </c>
      <c r="AD296">
        <f t="shared" si="65"/>
        <v>0</v>
      </c>
      <c r="AE296">
        <f t="shared" si="65"/>
        <v>0</v>
      </c>
      <c r="AF296">
        <f t="shared" si="65"/>
        <v>0</v>
      </c>
      <c r="AG296">
        <f t="shared" si="65"/>
        <v>0</v>
      </c>
      <c r="AH296">
        <f t="shared" si="65"/>
        <v>0</v>
      </c>
      <c r="AI296">
        <f t="shared" si="65"/>
        <v>0</v>
      </c>
      <c r="AJ296">
        <f t="shared" si="65"/>
        <v>0</v>
      </c>
      <c r="AK296">
        <f t="shared" si="61"/>
        <v>0</v>
      </c>
      <c r="AL296">
        <f t="shared" si="61"/>
        <v>0</v>
      </c>
      <c r="AM296">
        <f t="shared" si="61"/>
        <v>0</v>
      </c>
      <c r="AN296">
        <f t="shared" si="61"/>
        <v>0</v>
      </c>
      <c r="AO296">
        <f t="shared" si="61"/>
        <v>0</v>
      </c>
      <c r="AP296">
        <f t="shared" si="61"/>
        <v>0</v>
      </c>
      <c r="AQ296">
        <f t="shared" si="61"/>
        <v>0</v>
      </c>
      <c r="AR296">
        <f t="shared" si="61"/>
        <v>0</v>
      </c>
    </row>
    <row r="297" spans="5:44" x14ac:dyDescent="0.2">
      <c r="E297" s="1">
        <f>moment_rate!$M297</f>
        <v>2.6312389513330654</v>
      </c>
      <c r="F297" s="1">
        <f t="shared" si="59"/>
        <v>5.3833326301122586E-2</v>
      </c>
      <c r="G297">
        <f>moment_rate!I297-0.005</f>
        <v>2.8999999999999821</v>
      </c>
      <c r="H297" s="1">
        <f t="shared" si="60"/>
        <v>0</v>
      </c>
      <c r="I297">
        <f t="shared" si="66"/>
        <v>0</v>
      </c>
      <c r="J297">
        <f t="shared" si="66"/>
        <v>0</v>
      </c>
      <c r="K297">
        <f t="shared" si="66"/>
        <v>0</v>
      </c>
      <c r="L297">
        <f t="shared" si="66"/>
        <v>0</v>
      </c>
      <c r="M297">
        <f t="shared" si="66"/>
        <v>0</v>
      </c>
      <c r="N297">
        <f t="shared" si="66"/>
        <v>0</v>
      </c>
      <c r="O297">
        <f t="shared" si="66"/>
        <v>0</v>
      </c>
      <c r="P297">
        <f t="shared" si="66"/>
        <v>0</v>
      </c>
      <c r="Q297">
        <f t="shared" si="66"/>
        <v>0</v>
      </c>
      <c r="R297">
        <f t="shared" si="66"/>
        <v>0</v>
      </c>
      <c r="S297">
        <f t="shared" si="66"/>
        <v>0</v>
      </c>
      <c r="T297">
        <f t="shared" si="66"/>
        <v>0</v>
      </c>
      <c r="U297">
        <f t="shared" si="66"/>
        <v>0</v>
      </c>
      <c r="V297">
        <f t="shared" si="66"/>
        <v>0</v>
      </c>
      <c r="W297">
        <f t="shared" si="66"/>
        <v>0</v>
      </c>
      <c r="X297">
        <f t="shared" si="66"/>
        <v>0</v>
      </c>
      <c r="Y297">
        <f t="shared" si="65"/>
        <v>0</v>
      </c>
      <c r="Z297">
        <f t="shared" si="65"/>
        <v>0</v>
      </c>
      <c r="AA297">
        <f t="shared" si="65"/>
        <v>0</v>
      </c>
      <c r="AB297">
        <f t="shared" si="65"/>
        <v>0</v>
      </c>
      <c r="AC297">
        <f t="shared" si="65"/>
        <v>0</v>
      </c>
      <c r="AD297">
        <f t="shared" si="65"/>
        <v>0</v>
      </c>
      <c r="AE297">
        <f t="shared" si="65"/>
        <v>0</v>
      </c>
      <c r="AF297">
        <f t="shared" si="65"/>
        <v>0</v>
      </c>
      <c r="AG297">
        <f t="shared" si="65"/>
        <v>0</v>
      </c>
      <c r="AH297">
        <f t="shared" si="65"/>
        <v>0</v>
      </c>
      <c r="AI297">
        <f t="shared" si="65"/>
        <v>0</v>
      </c>
      <c r="AJ297">
        <f t="shared" si="65"/>
        <v>0</v>
      </c>
      <c r="AK297">
        <f t="shared" si="61"/>
        <v>0</v>
      </c>
      <c r="AL297">
        <f t="shared" si="61"/>
        <v>0</v>
      </c>
      <c r="AM297">
        <f t="shared" si="61"/>
        <v>0</v>
      </c>
      <c r="AN297">
        <f t="shared" si="61"/>
        <v>0</v>
      </c>
      <c r="AO297">
        <f t="shared" si="61"/>
        <v>0</v>
      </c>
      <c r="AP297">
        <f t="shared" si="61"/>
        <v>0</v>
      </c>
      <c r="AQ297">
        <f t="shared" si="61"/>
        <v>0</v>
      </c>
      <c r="AR297">
        <f t="shared" si="61"/>
        <v>0</v>
      </c>
    </row>
    <row r="298" spans="5:44" x14ac:dyDescent="0.2">
      <c r="E298" s="1">
        <f>moment_rate!$M298</f>
        <v>2.5774056250319428</v>
      </c>
      <c r="F298" s="1">
        <f t="shared" si="59"/>
        <v>5.2729203993188367E-2</v>
      </c>
      <c r="G298">
        <f>moment_rate!I298-0.005</f>
        <v>2.9099999999999819</v>
      </c>
      <c r="H298" s="1">
        <f t="shared" si="60"/>
        <v>0</v>
      </c>
      <c r="I298">
        <f t="shared" si="66"/>
        <v>0</v>
      </c>
      <c r="J298">
        <f t="shared" si="66"/>
        <v>0</v>
      </c>
      <c r="K298">
        <f t="shared" si="66"/>
        <v>0</v>
      </c>
      <c r="L298">
        <f t="shared" si="66"/>
        <v>0</v>
      </c>
      <c r="M298">
        <f t="shared" si="66"/>
        <v>0</v>
      </c>
      <c r="N298">
        <f t="shared" si="66"/>
        <v>0</v>
      </c>
      <c r="O298">
        <f t="shared" si="66"/>
        <v>0</v>
      </c>
      <c r="P298">
        <f t="shared" si="66"/>
        <v>0</v>
      </c>
      <c r="Q298">
        <f t="shared" si="66"/>
        <v>0</v>
      </c>
      <c r="R298">
        <f t="shared" si="66"/>
        <v>0</v>
      </c>
      <c r="S298">
        <f t="shared" si="66"/>
        <v>0</v>
      </c>
      <c r="T298">
        <f t="shared" si="66"/>
        <v>0</v>
      </c>
      <c r="U298">
        <f t="shared" si="66"/>
        <v>0</v>
      </c>
      <c r="V298">
        <f t="shared" si="66"/>
        <v>0</v>
      </c>
      <c r="W298">
        <f t="shared" si="66"/>
        <v>0</v>
      </c>
      <c r="X298">
        <f t="shared" si="66"/>
        <v>0</v>
      </c>
      <c r="Y298">
        <f t="shared" si="65"/>
        <v>0</v>
      </c>
      <c r="Z298">
        <f t="shared" si="65"/>
        <v>0</v>
      </c>
      <c r="AA298">
        <f t="shared" si="65"/>
        <v>0</v>
      </c>
      <c r="AB298">
        <f t="shared" si="65"/>
        <v>0</v>
      </c>
      <c r="AC298">
        <f t="shared" si="65"/>
        <v>0</v>
      </c>
      <c r="AD298">
        <f t="shared" si="65"/>
        <v>0</v>
      </c>
      <c r="AE298">
        <f t="shared" si="65"/>
        <v>0</v>
      </c>
      <c r="AF298">
        <f t="shared" si="65"/>
        <v>0</v>
      </c>
      <c r="AG298">
        <f t="shared" si="65"/>
        <v>0</v>
      </c>
      <c r="AH298">
        <f t="shared" si="65"/>
        <v>0</v>
      </c>
      <c r="AI298">
        <f t="shared" si="65"/>
        <v>0</v>
      </c>
      <c r="AJ298">
        <f t="shared" si="65"/>
        <v>0</v>
      </c>
      <c r="AK298">
        <f t="shared" si="61"/>
        <v>0</v>
      </c>
      <c r="AL298">
        <f t="shared" si="61"/>
        <v>0</v>
      </c>
      <c r="AM298">
        <f t="shared" si="61"/>
        <v>0</v>
      </c>
      <c r="AN298">
        <f t="shared" si="61"/>
        <v>0</v>
      </c>
      <c r="AO298">
        <f t="shared" si="61"/>
        <v>0</v>
      </c>
      <c r="AP298">
        <f t="shared" si="61"/>
        <v>0</v>
      </c>
      <c r="AQ298">
        <f t="shared" si="61"/>
        <v>0</v>
      </c>
      <c r="AR298">
        <f t="shared" si="61"/>
        <v>0</v>
      </c>
    </row>
    <row r="299" spans="5:44" x14ac:dyDescent="0.2">
      <c r="E299" s="1">
        <f>moment_rate!$M299</f>
        <v>2.5246764210387544</v>
      </c>
      <c r="F299" s="1">
        <f t="shared" si="59"/>
        <v>5.1647727249899855E-2</v>
      </c>
      <c r="G299">
        <f>moment_rate!I299-0.005</f>
        <v>2.9199999999999817</v>
      </c>
      <c r="H299" s="1">
        <f t="shared" si="60"/>
        <v>0</v>
      </c>
      <c r="I299">
        <f t="shared" si="66"/>
        <v>0</v>
      </c>
      <c r="J299">
        <f t="shared" si="66"/>
        <v>0</v>
      </c>
      <c r="K299">
        <f t="shared" si="66"/>
        <v>0</v>
      </c>
      <c r="L299">
        <f t="shared" si="66"/>
        <v>0</v>
      </c>
      <c r="M299">
        <f t="shared" si="66"/>
        <v>0</v>
      </c>
      <c r="N299">
        <f t="shared" si="66"/>
        <v>0</v>
      </c>
      <c r="O299">
        <f t="shared" si="66"/>
        <v>0</v>
      </c>
      <c r="P299">
        <f t="shared" si="66"/>
        <v>0</v>
      </c>
      <c r="Q299">
        <f t="shared" si="66"/>
        <v>0</v>
      </c>
      <c r="R299">
        <f t="shared" si="66"/>
        <v>0</v>
      </c>
      <c r="S299">
        <f t="shared" si="66"/>
        <v>0</v>
      </c>
      <c r="T299">
        <f t="shared" si="66"/>
        <v>0</v>
      </c>
      <c r="U299">
        <f t="shared" si="66"/>
        <v>0</v>
      </c>
      <c r="V299">
        <f t="shared" si="66"/>
        <v>0</v>
      </c>
      <c r="W299">
        <f t="shared" si="66"/>
        <v>0</v>
      </c>
      <c r="X299">
        <f t="shared" si="66"/>
        <v>0</v>
      </c>
      <c r="Y299">
        <f t="shared" si="65"/>
        <v>0</v>
      </c>
      <c r="Z299">
        <f t="shared" si="65"/>
        <v>0</v>
      </c>
      <c r="AA299">
        <f t="shared" si="65"/>
        <v>0</v>
      </c>
      <c r="AB299">
        <f t="shared" si="65"/>
        <v>0</v>
      </c>
      <c r="AC299">
        <f t="shared" si="65"/>
        <v>0</v>
      </c>
      <c r="AD299">
        <f t="shared" si="65"/>
        <v>0</v>
      </c>
      <c r="AE299">
        <f t="shared" si="65"/>
        <v>0</v>
      </c>
      <c r="AF299">
        <f t="shared" si="65"/>
        <v>0</v>
      </c>
      <c r="AG299">
        <f t="shared" si="65"/>
        <v>0</v>
      </c>
      <c r="AH299">
        <f t="shared" si="65"/>
        <v>0</v>
      </c>
      <c r="AI299">
        <f t="shared" si="65"/>
        <v>0</v>
      </c>
      <c r="AJ299">
        <f t="shared" si="65"/>
        <v>0</v>
      </c>
      <c r="AK299">
        <f t="shared" si="61"/>
        <v>0</v>
      </c>
      <c r="AL299">
        <f t="shared" si="61"/>
        <v>0</v>
      </c>
      <c r="AM299">
        <f t="shared" si="61"/>
        <v>0</v>
      </c>
      <c r="AN299">
        <f t="shared" si="61"/>
        <v>0</v>
      </c>
      <c r="AO299">
        <f t="shared" si="61"/>
        <v>0</v>
      </c>
      <c r="AP299">
        <f t="shared" si="61"/>
        <v>0</v>
      </c>
      <c r="AQ299">
        <f t="shared" si="61"/>
        <v>0</v>
      </c>
      <c r="AR299">
        <f t="shared" si="61"/>
        <v>0</v>
      </c>
    </row>
    <row r="300" spans="5:44" x14ac:dyDescent="0.2">
      <c r="E300" s="1">
        <f>moment_rate!$M300</f>
        <v>2.4730286937888546</v>
      </c>
      <c r="F300" s="1">
        <f t="shared" si="59"/>
        <v>5.0588431610396611E-2</v>
      </c>
      <c r="G300">
        <f>moment_rate!I300-0.005</f>
        <v>2.9299999999999815</v>
      </c>
      <c r="H300" s="1">
        <f t="shared" si="60"/>
        <v>0</v>
      </c>
      <c r="I300">
        <f t="shared" si="66"/>
        <v>0</v>
      </c>
      <c r="J300">
        <f t="shared" si="66"/>
        <v>0</v>
      </c>
      <c r="K300">
        <f t="shared" si="66"/>
        <v>0</v>
      </c>
      <c r="L300">
        <f t="shared" si="66"/>
        <v>0</v>
      </c>
      <c r="M300">
        <f t="shared" si="66"/>
        <v>0</v>
      </c>
      <c r="N300">
        <f t="shared" si="66"/>
        <v>0</v>
      </c>
      <c r="O300">
        <f t="shared" si="66"/>
        <v>0</v>
      </c>
      <c r="P300">
        <f t="shared" si="66"/>
        <v>0</v>
      </c>
      <c r="Q300">
        <f t="shared" si="66"/>
        <v>0</v>
      </c>
      <c r="R300">
        <f t="shared" si="66"/>
        <v>0</v>
      </c>
      <c r="S300">
        <f t="shared" si="66"/>
        <v>0</v>
      </c>
      <c r="T300">
        <f t="shared" si="66"/>
        <v>0</v>
      </c>
      <c r="U300">
        <f t="shared" si="66"/>
        <v>0</v>
      </c>
      <c r="V300">
        <f t="shared" si="66"/>
        <v>0</v>
      </c>
      <c r="W300">
        <f t="shared" si="66"/>
        <v>0</v>
      </c>
      <c r="X300">
        <f t="shared" si="66"/>
        <v>0</v>
      </c>
      <c r="Y300">
        <f t="shared" si="65"/>
        <v>0</v>
      </c>
      <c r="Z300">
        <f t="shared" si="65"/>
        <v>0</v>
      </c>
      <c r="AA300">
        <f t="shared" si="65"/>
        <v>0</v>
      </c>
      <c r="AB300">
        <f t="shared" si="65"/>
        <v>0</v>
      </c>
      <c r="AC300">
        <f t="shared" si="65"/>
        <v>0</v>
      </c>
      <c r="AD300">
        <f t="shared" si="65"/>
        <v>0</v>
      </c>
      <c r="AE300">
        <f t="shared" si="65"/>
        <v>0</v>
      </c>
      <c r="AF300">
        <f t="shared" si="65"/>
        <v>0</v>
      </c>
      <c r="AG300">
        <f t="shared" si="65"/>
        <v>0</v>
      </c>
      <c r="AH300">
        <f t="shared" si="65"/>
        <v>0</v>
      </c>
      <c r="AI300">
        <f t="shared" si="65"/>
        <v>0</v>
      </c>
      <c r="AJ300">
        <f t="shared" si="65"/>
        <v>0</v>
      </c>
      <c r="AK300">
        <f t="shared" si="65"/>
        <v>0</v>
      </c>
      <c r="AL300">
        <f t="shared" si="65"/>
        <v>0</v>
      </c>
      <c r="AM300">
        <f t="shared" si="65"/>
        <v>0</v>
      </c>
      <c r="AN300">
        <f t="shared" si="61"/>
        <v>0</v>
      </c>
      <c r="AO300">
        <f t="shared" si="61"/>
        <v>0</v>
      </c>
      <c r="AP300">
        <f t="shared" si="61"/>
        <v>0</v>
      </c>
      <c r="AQ300">
        <f t="shared" si="61"/>
        <v>0</v>
      </c>
      <c r="AR300">
        <f t="shared" si="61"/>
        <v>0</v>
      </c>
    </row>
    <row r="301" spans="5:44" x14ac:dyDescent="0.2">
      <c r="E301" s="1">
        <f>moment_rate!$M301</f>
        <v>2.422440262178458</v>
      </c>
      <c r="F301" s="1">
        <f t="shared" si="59"/>
        <v>4.9550862139916774E-2</v>
      </c>
      <c r="G301">
        <f>moment_rate!I301-0.005</f>
        <v>2.9399999999999813</v>
      </c>
      <c r="H301" s="1">
        <f t="shared" si="60"/>
        <v>0</v>
      </c>
      <c r="I301">
        <f t="shared" si="66"/>
        <v>0</v>
      </c>
      <c r="J301">
        <f t="shared" si="66"/>
        <v>0</v>
      </c>
      <c r="K301">
        <f t="shared" si="66"/>
        <v>0</v>
      </c>
      <c r="L301">
        <f t="shared" si="66"/>
        <v>0</v>
      </c>
      <c r="M301">
        <f t="shared" si="66"/>
        <v>0</v>
      </c>
      <c r="N301">
        <f t="shared" si="66"/>
        <v>0</v>
      </c>
      <c r="O301">
        <f t="shared" si="66"/>
        <v>0</v>
      </c>
      <c r="P301">
        <f t="shared" si="66"/>
        <v>0</v>
      </c>
      <c r="Q301">
        <f t="shared" si="66"/>
        <v>0</v>
      </c>
      <c r="R301">
        <f t="shared" si="66"/>
        <v>0</v>
      </c>
      <c r="S301">
        <f t="shared" si="66"/>
        <v>0</v>
      </c>
      <c r="T301">
        <f t="shared" si="66"/>
        <v>0</v>
      </c>
      <c r="U301">
        <f t="shared" si="66"/>
        <v>0</v>
      </c>
      <c r="V301">
        <f t="shared" si="66"/>
        <v>0</v>
      </c>
      <c r="W301">
        <f t="shared" si="66"/>
        <v>0</v>
      </c>
      <c r="X301">
        <f t="shared" si="66"/>
        <v>0</v>
      </c>
      <c r="Y301">
        <f t="shared" si="65"/>
        <v>0</v>
      </c>
      <c r="Z301">
        <f t="shared" si="65"/>
        <v>0</v>
      </c>
      <c r="AA301">
        <f t="shared" si="65"/>
        <v>0</v>
      </c>
      <c r="AB301">
        <f t="shared" si="65"/>
        <v>0</v>
      </c>
      <c r="AC301">
        <f t="shared" si="65"/>
        <v>0</v>
      </c>
      <c r="AD301">
        <f t="shared" si="65"/>
        <v>0</v>
      </c>
      <c r="AE301">
        <f t="shared" si="65"/>
        <v>0</v>
      </c>
      <c r="AF301">
        <f t="shared" si="65"/>
        <v>0</v>
      </c>
      <c r="AG301">
        <f t="shared" si="65"/>
        <v>0</v>
      </c>
      <c r="AH301">
        <f t="shared" si="65"/>
        <v>0</v>
      </c>
      <c r="AI301">
        <f t="shared" si="65"/>
        <v>0</v>
      </c>
      <c r="AJ301">
        <f t="shared" si="65"/>
        <v>0</v>
      </c>
      <c r="AK301">
        <f t="shared" si="65"/>
        <v>0</v>
      </c>
      <c r="AL301">
        <f t="shared" si="65"/>
        <v>0</v>
      </c>
      <c r="AM301">
        <f t="shared" si="65"/>
        <v>0</v>
      </c>
      <c r="AN301">
        <f t="shared" si="61"/>
        <v>0</v>
      </c>
      <c r="AO301">
        <f>IF(AND($G301&gt;=AO$3,$G301&lt;AO$4),$F301,0)</f>
        <v>0</v>
      </c>
      <c r="AP301">
        <f>IF(AND($G301&gt;=AP$3,$G301&lt;AP$4),$F301,0)</f>
        <v>0</v>
      </c>
      <c r="AQ301">
        <f>IF(AND($G301&gt;=AQ$3,$G301&lt;AQ$4),$F301,0)</f>
        <v>0</v>
      </c>
      <c r="AR301">
        <f>IF(AND($G301&gt;=AR$3,$G301&lt;AR$4),$F301,0)</f>
        <v>0</v>
      </c>
    </row>
    <row r="302" spans="5:44" x14ac:dyDescent="0.2">
      <c r="E302" s="1">
        <f>moment_rate!$M302</f>
        <v>2.3728894000385412</v>
      </c>
      <c r="F302" s="1">
        <f t="shared" si="59"/>
        <v>4.8534573234415568E-2</v>
      </c>
      <c r="G302">
        <f>moment_rate!I302-0.005</f>
        <v>2.9499999999999811</v>
      </c>
      <c r="H302" s="1">
        <f t="shared" si="60"/>
        <v>0</v>
      </c>
      <c r="I302">
        <f t="shared" si="66"/>
        <v>0</v>
      </c>
      <c r="J302">
        <f t="shared" si="66"/>
        <v>0</v>
      </c>
      <c r="K302">
        <f t="shared" si="66"/>
        <v>0</v>
      </c>
      <c r="L302">
        <f t="shared" si="66"/>
        <v>0</v>
      </c>
      <c r="M302">
        <f t="shared" si="66"/>
        <v>0</v>
      </c>
      <c r="N302">
        <f t="shared" si="66"/>
        <v>0</v>
      </c>
      <c r="O302">
        <f t="shared" si="66"/>
        <v>0</v>
      </c>
      <c r="P302">
        <f t="shared" si="66"/>
        <v>0</v>
      </c>
      <c r="Q302">
        <f t="shared" si="66"/>
        <v>0</v>
      </c>
      <c r="R302">
        <f t="shared" si="66"/>
        <v>0</v>
      </c>
      <c r="S302">
        <f t="shared" si="66"/>
        <v>0</v>
      </c>
      <c r="T302">
        <f t="shared" si="66"/>
        <v>0</v>
      </c>
      <c r="U302">
        <f t="shared" si="66"/>
        <v>0</v>
      </c>
      <c r="V302">
        <f t="shared" si="66"/>
        <v>0</v>
      </c>
      <c r="W302">
        <f t="shared" si="66"/>
        <v>0</v>
      </c>
      <c r="X302">
        <f t="shared" ref="X302:AR314" si="67">IF(AND($G302&gt;=X$3,$G302&lt;X$4),$F302,0)</f>
        <v>0</v>
      </c>
      <c r="Y302">
        <f t="shared" si="67"/>
        <v>0</v>
      </c>
      <c r="Z302">
        <f t="shared" si="67"/>
        <v>0</v>
      </c>
      <c r="AA302">
        <f t="shared" si="67"/>
        <v>0</v>
      </c>
      <c r="AB302">
        <f t="shared" si="67"/>
        <v>0</v>
      </c>
      <c r="AC302">
        <f t="shared" si="67"/>
        <v>0</v>
      </c>
      <c r="AD302">
        <f t="shared" si="67"/>
        <v>0</v>
      </c>
      <c r="AE302">
        <f t="shared" si="67"/>
        <v>0</v>
      </c>
      <c r="AF302">
        <f t="shared" si="67"/>
        <v>0</v>
      </c>
      <c r="AG302">
        <f t="shared" si="67"/>
        <v>0</v>
      </c>
      <c r="AH302">
        <f t="shared" si="67"/>
        <v>0</v>
      </c>
      <c r="AI302">
        <f t="shared" si="67"/>
        <v>0</v>
      </c>
      <c r="AJ302">
        <f t="shared" si="67"/>
        <v>0</v>
      </c>
      <c r="AK302">
        <f t="shared" si="67"/>
        <v>0</v>
      </c>
      <c r="AL302">
        <f t="shared" si="67"/>
        <v>0</v>
      </c>
      <c r="AM302">
        <f t="shared" si="67"/>
        <v>0</v>
      </c>
      <c r="AN302">
        <f t="shared" si="67"/>
        <v>0</v>
      </c>
      <c r="AO302">
        <f t="shared" si="67"/>
        <v>0</v>
      </c>
      <c r="AP302">
        <f t="shared" si="67"/>
        <v>0</v>
      </c>
      <c r="AQ302">
        <f t="shared" si="67"/>
        <v>0</v>
      </c>
      <c r="AR302">
        <f t="shared" si="67"/>
        <v>0</v>
      </c>
    </row>
    <row r="303" spans="5:44" x14ac:dyDescent="0.2">
      <c r="E303" s="1">
        <f>moment_rate!$M303</f>
        <v>2.3243548268041256</v>
      </c>
      <c r="F303" s="1">
        <f t="shared" si="59"/>
        <v>4.7539128429194832E-2</v>
      </c>
      <c r="G303">
        <f>moment_rate!I303-0.005</f>
        <v>2.9599999999999809</v>
      </c>
      <c r="H303" s="1">
        <f t="shared" si="60"/>
        <v>0</v>
      </c>
      <c r="I303">
        <f t="shared" ref="I303:X318" si="68">IF(AND($G303&gt;=I$3,$G303&lt;I$4),$F303,0)</f>
        <v>0</v>
      </c>
      <c r="J303">
        <f t="shared" si="68"/>
        <v>0</v>
      </c>
      <c r="K303">
        <f t="shared" si="68"/>
        <v>0</v>
      </c>
      <c r="L303">
        <f t="shared" si="68"/>
        <v>0</v>
      </c>
      <c r="M303">
        <f t="shared" si="68"/>
        <v>0</v>
      </c>
      <c r="N303">
        <f t="shared" si="68"/>
        <v>0</v>
      </c>
      <c r="O303">
        <f t="shared" si="68"/>
        <v>0</v>
      </c>
      <c r="P303">
        <f t="shared" si="68"/>
        <v>0</v>
      </c>
      <c r="Q303">
        <f t="shared" si="68"/>
        <v>0</v>
      </c>
      <c r="R303">
        <f t="shared" si="68"/>
        <v>0</v>
      </c>
      <c r="S303">
        <f t="shared" si="68"/>
        <v>0</v>
      </c>
      <c r="T303">
        <f t="shared" si="68"/>
        <v>0</v>
      </c>
      <c r="U303">
        <f t="shared" si="68"/>
        <v>0</v>
      </c>
      <c r="V303">
        <f t="shared" si="68"/>
        <v>0</v>
      </c>
      <c r="W303">
        <f t="shared" si="68"/>
        <v>0</v>
      </c>
      <c r="X303">
        <f t="shared" si="68"/>
        <v>0</v>
      </c>
      <c r="Y303">
        <f t="shared" si="67"/>
        <v>0</v>
      </c>
      <c r="Z303">
        <f t="shared" si="67"/>
        <v>0</v>
      </c>
      <c r="AA303">
        <f t="shared" si="67"/>
        <v>0</v>
      </c>
      <c r="AB303">
        <f t="shared" si="67"/>
        <v>0</v>
      </c>
      <c r="AC303">
        <f t="shared" si="67"/>
        <v>0</v>
      </c>
      <c r="AD303">
        <f t="shared" si="67"/>
        <v>0</v>
      </c>
      <c r="AE303">
        <f t="shared" si="67"/>
        <v>0</v>
      </c>
      <c r="AF303">
        <f t="shared" si="67"/>
        <v>0</v>
      </c>
      <c r="AG303">
        <f t="shared" si="67"/>
        <v>0</v>
      </c>
      <c r="AH303">
        <f t="shared" si="67"/>
        <v>0</v>
      </c>
      <c r="AI303">
        <f t="shared" si="67"/>
        <v>0</v>
      </c>
      <c r="AJ303">
        <f t="shared" si="67"/>
        <v>0</v>
      </c>
      <c r="AK303">
        <f t="shared" si="67"/>
        <v>0</v>
      </c>
      <c r="AL303">
        <f t="shared" si="67"/>
        <v>0</v>
      </c>
      <c r="AM303">
        <f t="shared" si="67"/>
        <v>0</v>
      </c>
      <c r="AN303">
        <f t="shared" si="67"/>
        <v>0</v>
      </c>
      <c r="AO303">
        <f t="shared" si="67"/>
        <v>0</v>
      </c>
      <c r="AP303">
        <f t="shared" si="67"/>
        <v>0</v>
      </c>
      <c r="AQ303">
        <f t="shared" si="67"/>
        <v>0</v>
      </c>
      <c r="AR303">
        <f t="shared" si="67"/>
        <v>0</v>
      </c>
    </row>
    <row r="304" spans="5:44" x14ac:dyDescent="0.2">
      <c r="E304" s="1">
        <f>moment_rate!$M304</f>
        <v>2.2768156983749308</v>
      </c>
      <c r="F304" s="1">
        <f t="shared" si="59"/>
        <v>4.6564100211455184E-2</v>
      </c>
      <c r="G304">
        <f>moment_rate!I304-0.005</f>
        <v>2.9699999999999807</v>
      </c>
      <c r="H304" s="1">
        <f t="shared" si="60"/>
        <v>0</v>
      </c>
      <c r="I304">
        <f t="shared" si="68"/>
        <v>0</v>
      </c>
      <c r="J304">
        <f t="shared" si="68"/>
        <v>0</v>
      </c>
      <c r="K304">
        <f t="shared" si="68"/>
        <v>0</v>
      </c>
      <c r="L304">
        <f t="shared" si="68"/>
        <v>0</v>
      </c>
      <c r="M304">
        <f t="shared" si="68"/>
        <v>0</v>
      </c>
      <c r="N304">
        <f t="shared" si="68"/>
        <v>0</v>
      </c>
      <c r="O304">
        <f t="shared" si="68"/>
        <v>0</v>
      </c>
      <c r="P304">
        <f t="shared" si="68"/>
        <v>0</v>
      </c>
      <c r="Q304">
        <f t="shared" si="68"/>
        <v>0</v>
      </c>
      <c r="R304">
        <f t="shared" si="68"/>
        <v>0</v>
      </c>
      <c r="S304">
        <f t="shared" si="68"/>
        <v>0</v>
      </c>
      <c r="T304">
        <f t="shared" si="68"/>
        <v>0</v>
      </c>
      <c r="U304">
        <f t="shared" si="68"/>
        <v>0</v>
      </c>
      <c r="V304">
        <f t="shared" si="68"/>
        <v>0</v>
      </c>
      <c r="W304">
        <f t="shared" si="68"/>
        <v>0</v>
      </c>
      <c r="X304">
        <f t="shared" si="68"/>
        <v>0</v>
      </c>
      <c r="Y304">
        <f t="shared" si="67"/>
        <v>0</v>
      </c>
      <c r="Z304">
        <f t="shared" si="67"/>
        <v>0</v>
      </c>
      <c r="AA304">
        <f t="shared" si="67"/>
        <v>0</v>
      </c>
      <c r="AB304">
        <f t="shared" si="67"/>
        <v>0</v>
      </c>
      <c r="AC304">
        <f t="shared" si="67"/>
        <v>0</v>
      </c>
      <c r="AD304">
        <f t="shared" si="67"/>
        <v>0</v>
      </c>
      <c r="AE304">
        <f t="shared" si="67"/>
        <v>0</v>
      </c>
      <c r="AF304">
        <f t="shared" si="67"/>
        <v>0</v>
      </c>
      <c r="AG304">
        <f t="shared" si="67"/>
        <v>0</v>
      </c>
      <c r="AH304">
        <f t="shared" si="67"/>
        <v>0</v>
      </c>
      <c r="AI304">
        <f t="shared" si="67"/>
        <v>0</v>
      </c>
      <c r="AJ304">
        <f t="shared" si="67"/>
        <v>0</v>
      </c>
      <c r="AK304">
        <f t="shared" si="67"/>
        <v>0</v>
      </c>
      <c r="AL304">
        <f t="shared" si="67"/>
        <v>0</v>
      </c>
      <c r="AM304">
        <f t="shared" si="67"/>
        <v>0</v>
      </c>
      <c r="AN304">
        <f t="shared" si="67"/>
        <v>0</v>
      </c>
      <c r="AO304">
        <f t="shared" si="67"/>
        <v>0</v>
      </c>
      <c r="AP304">
        <f t="shared" si="67"/>
        <v>0</v>
      </c>
      <c r="AQ304">
        <f t="shared" si="67"/>
        <v>0</v>
      </c>
      <c r="AR304">
        <f t="shared" si="67"/>
        <v>0</v>
      </c>
    </row>
    <row r="305" spans="5:44" x14ac:dyDescent="0.2">
      <c r="E305" s="1">
        <f>moment_rate!$M305</f>
        <v>2.2302515981634756</v>
      </c>
      <c r="F305" s="1">
        <f t="shared" si="59"/>
        <v>4.5609069836686444E-2</v>
      </c>
      <c r="G305">
        <f>moment_rate!I305-0.005</f>
        <v>2.9799999999999804</v>
      </c>
      <c r="H305" s="1">
        <f t="shared" si="60"/>
        <v>0</v>
      </c>
      <c r="I305">
        <f t="shared" si="68"/>
        <v>0</v>
      </c>
      <c r="J305">
        <f t="shared" si="68"/>
        <v>0</v>
      </c>
      <c r="K305">
        <f t="shared" si="68"/>
        <v>0</v>
      </c>
      <c r="L305">
        <f t="shared" si="68"/>
        <v>0</v>
      </c>
      <c r="M305">
        <f t="shared" si="68"/>
        <v>0</v>
      </c>
      <c r="N305">
        <f t="shared" si="68"/>
        <v>0</v>
      </c>
      <c r="O305">
        <f t="shared" si="68"/>
        <v>0</v>
      </c>
      <c r="P305">
        <f t="shared" si="68"/>
        <v>0</v>
      </c>
      <c r="Q305">
        <f t="shared" si="68"/>
        <v>0</v>
      </c>
      <c r="R305">
        <f t="shared" si="68"/>
        <v>0</v>
      </c>
      <c r="S305">
        <f t="shared" si="68"/>
        <v>0</v>
      </c>
      <c r="T305">
        <f t="shared" si="68"/>
        <v>0</v>
      </c>
      <c r="U305">
        <f t="shared" si="68"/>
        <v>0</v>
      </c>
      <c r="V305">
        <f t="shared" si="68"/>
        <v>0</v>
      </c>
      <c r="W305">
        <f t="shared" si="68"/>
        <v>0</v>
      </c>
      <c r="X305">
        <f t="shared" si="68"/>
        <v>0</v>
      </c>
      <c r="Y305">
        <f t="shared" si="67"/>
        <v>0</v>
      </c>
      <c r="Z305">
        <f t="shared" si="67"/>
        <v>0</v>
      </c>
      <c r="AA305">
        <f t="shared" si="67"/>
        <v>0</v>
      </c>
      <c r="AB305">
        <f t="shared" si="67"/>
        <v>0</v>
      </c>
      <c r="AC305">
        <f t="shared" si="67"/>
        <v>0</v>
      </c>
      <c r="AD305">
        <f t="shared" si="67"/>
        <v>0</v>
      </c>
      <c r="AE305">
        <f t="shared" si="67"/>
        <v>0</v>
      </c>
      <c r="AF305">
        <f t="shared" si="67"/>
        <v>0</v>
      </c>
      <c r="AG305">
        <f t="shared" si="67"/>
        <v>0</v>
      </c>
      <c r="AH305">
        <f t="shared" si="67"/>
        <v>0</v>
      </c>
      <c r="AI305">
        <f t="shared" si="67"/>
        <v>0</v>
      </c>
      <c r="AJ305">
        <f t="shared" si="67"/>
        <v>0</v>
      </c>
      <c r="AK305">
        <f t="shared" si="67"/>
        <v>0</v>
      </c>
      <c r="AL305">
        <f t="shared" si="67"/>
        <v>0</v>
      </c>
      <c r="AM305">
        <f t="shared" si="67"/>
        <v>0</v>
      </c>
      <c r="AN305">
        <f t="shared" si="67"/>
        <v>0</v>
      </c>
      <c r="AO305">
        <f t="shared" si="67"/>
        <v>0</v>
      </c>
      <c r="AP305">
        <f t="shared" si="67"/>
        <v>0</v>
      </c>
      <c r="AQ305">
        <f t="shared" si="67"/>
        <v>0</v>
      </c>
      <c r="AR305">
        <f t="shared" si="67"/>
        <v>0</v>
      </c>
    </row>
    <row r="306" spans="5:44" x14ac:dyDescent="0.2">
      <c r="E306" s="1">
        <f>moment_rate!$M306</f>
        <v>2.1846425283267892</v>
      </c>
      <c r="F306" s="1">
        <f t="shared" si="59"/>
        <v>4.4673627148840822E-2</v>
      </c>
      <c r="G306">
        <f>moment_rate!I306-0.005</f>
        <v>2.9899999999999802</v>
      </c>
      <c r="H306" s="1">
        <f t="shared" si="60"/>
        <v>0</v>
      </c>
      <c r="I306">
        <f t="shared" si="68"/>
        <v>0</v>
      </c>
      <c r="J306">
        <f t="shared" si="68"/>
        <v>0</v>
      </c>
      <c r="K306">
        <f t="shared" si="68"/>
        <v>0</v>
      </c>
      <c r="L306">
        <f t="shared" si="68"/>
        <v>0</v>
      </c>
      <c r="M306">
        <f t="shared" si="68"/>
        <v>0</v>
      </c>
      <c r="N306">
        <f t="shared" si="68"/>
        <v>0</v>
      </c>
      <c r="O306">
        <f t="shared" si="68"/>
        <v>0</v>
      </c>
      <c r="P306">
        <f t="shared" si="68"/>
        <v>0</v>
      </c>
      <c r="Q306">
        <f t="shared" si="68"/>
        <v>0</v>
      </c>
      <c r="R306">
        <f t="shared" si="68"/>
        <v>0</v>
      </c>
      <c r="S306">
        <f t="shared" si="68"/>
        <v>0</v>
      </c>
      <c r="T306">
        <f t="shared" si="68"/>
        <v>0</v>
      </c>
      <c r="U306">
        <f t="shared" si="68"/>
        <v>0</v>
      </c>
      <c r="V306">
        <f t="shared" si="68"/>
        <v>0</v>
      </c>
      <c r="W306">
        <f t="shared" si="68"/>
        <v>0</v>
      </c>
      <c r="X306">
        <f t="shared" si="68"/>
        <v>0</v>
      </c>
      <c r="Y306">
        <f t="shared" si="67"/>
        <v>0</v>
      </c>
      <c r="Z306">
        <f t="shared" si="67"/>
        <v>0</v>
      </c>
      <c r="AA306">
        <f t="shared" si="67"/>
        <v>0</v>
      </c>
      <c r="AB306">
        <f t="shared" si="67"/>
        <v>0</v>
      </c>
      <c r="AC306">
        <f t="shared" si="67"/>
        <v>0</v>
      </c>
      <c r="AD306">
        <f t="shared" si="67"/>
        <v>0</v>
      </c>
      <c r="AE306">
        <f t="shared" si="67"/>
        <v>0</v>
      </c>
      <c r="AF306">
        <f t="shared" si="67"/>
        <v>0</v>
      </c>
      <c r="AG306">
        <f t="shared" si="67"/>
        <v>0</v>
      </c>
      <c r="AH306">
        <f t="shared" si="67"/>
        <v>0</v>
      </c>
      <c r="AI306">
        <f t="shared" si="67"/>
        <v>0</v>
      </c>
      <c r="AJ306">
        <f t="shared" si="67"/>
        <v>0</v>
      </c>
      <c r="AK306">
        <f t="shared" si="67"/>
        <v>0</v>
      </c>
      <c r="AL306">
        <f t="shared" si="67"/>
        <v>0</v>
      </c>
      <c r="AM306">
        <f t="shared" si="67"/>
        <v>0</v>
      </c>
      <c r="AN306">
        <f t="shared" si="67"/>
        <v>0</v>
      </c>
      <c r="AO306">
        <f t="shared" si="67"/>
        <v>0</v>
      </c>
      <c r="AP306">
        <f t="shared" si="67"/>
        <v>0</v>
      </c>
      <c r="AQ306">
        <f t="shared" si="67"/>
        <v>0</v>
      </c>
      <c r="AR306">
        <f t="shared" si="67"/>
        <v>0</v>
      </c>
    </row>
    <row r="307" spans="5:44" x14ac:dyDescent="0.2">
      <c r="E307" s="1">
        <f>moment_rate!$M307</f>
        <v>2.1399689011779484</v>
      </c>
      <c r="F307" s="1">
        <f t="shared" si="59"/>
        <v>4.3757370404171603E-2</v>
      </c>
      <c r="G307">
        <f>moment_rate!I307-0.005</f>
        <v>2.99999999999998</v>
      </c>
      <c r="H307" s="1">
        <f t="shared" si="60"/>
        <v>0</v>
      </c>
      <c r="I307">
        <f t="shared" si="68"/>
        <v>0</v>
      </c>
      <c r="J307">
        <f t="shared" si="68"/>
        <v>0</v>
      </c>
      <c r="K307">
        <f t="shared" si="68"/>
        <v>0</v>
      </c>
      <c r="L307">
        <f t="shared" si="68"/>
        <v>0</v>
      </c>
      <c r="M307">
        <f t="shared" si="68"/>
        <v>0</v>
      </c>
      <c r="N307">
        <f t="shared" si="68"/>
        <v>0</v>
      </c>
      <c r="O307">
        <f t="shared" si="68"/>
        <v>0</v>
      </c>
      <c r="P307">
        <f t="shared" si="68"/>
        <v>0</v>
      </c>
      <c r="Q307">
        <f t="shared" si="68"/>
        <v>0</v>
      </c>
      <c r="R307">
        <f t="shared" si="68"/>
        <v>0</v>
      </c>
      <c r="S307">
        <f t="shared" si="68"/>
        <v>0</v>
      </c>
      <c r="T307">
        <f t="shared" si="68"/>
        <v>0</v>
      </c>
      <c r="U307">
        <f t="shared" si="68"/>
        <v>0</v>
      </c>
      <c r="V307">
        <f t="shared" si="68"/>
        <v>0</v>
      </c>
      <c r="W307">
        <f t="shared" si="68"/>
        <v>0</v>
      </c>
      <c r="X307">
        <f t="shared" si="68"/>
        <v>0</v>
      </c>
      <c r="Y307">
        <f t="shared" si="67"/>
        <v>0</v>
      </c>
      <c r="Z307">
        <f t="shared" si="67"/>
        <v>0</v>
      </c>
      <c r="AA307">
        <f t="shared" si="67"/>
        <v>0</v>
      </c>
      <c r="AB307">
        <f t="shared" si="67"/>
        <v>0</v>
      </c>
      <c r="AC307">
        <f t="shared" si="67"/>
        <v>0</v>
      </c>
      <c r="AD307">
        <f t="shared" si="67"/>
        <v>0</v>
      </c>
      <c r="AE307">
        <f t="shared" si="67"/>
        <v>0</v>
      </c>
      <c r="AF307">
        <f t="shared" si="67"/>
        <v>0</v>
      </c>
      <c r="AG307">
        <f t="shared" si="67"/>
        <v>0</v>
      </c>
      <c r="AH307">
        <f t="shared" si="67"/>
        <v>0</v>
      </c>
      <c r="AI307">
        <f t="shared" si="67"/>
        <v>0</v>
      </c>
      <c r="AJ307">
        <f t="shared" si="67"/>
        <v>0</v>
      </c>
      <c r="AK307">
        <f t="shared" si="67"/>
        <v>0</v>
      </c>
      <c r="AL307">
        <f t="shared" si="67"/>
        <v>0</v>
      </c>
      <c r="AM307">
        <f t="shared" si="67"/>
        <v>0</v>
      </c>
      <c r="AN307">
        <f t="shared" si="67"/>
        <v>0</v>
      </c>
      <c r="AO307">
        <f t="shared" si="67"/>
        <v>0</v>
      </c>
      <c r="AP307">
        <f t="shared" si="67"/>
        <v>0</v>
      </c>
      <c r="AQ307">
        <f t="shared" si="67"/>
        <v>0</v>
      </c>
      <c r="AR307">
        <f t="shared" si="67"/>
        <v>0</v>
      </c>
    </row>
    <row r="308" spans="5:44" x14ac:dyDescent="0.2">
      <c r="E308" s="1">
        <f>moment_rate!$M308</f>
        <v>2.0962115307737768</v>
      </c>
      <c r="F308" s="1">
        <f t="shared" si="59"/>
        <v>4.285990609870538E-2</v>
      </c>
      <c r="G308">
        <f>moment_rate!I308-0.005</f>
        <v>3.0099999999999798</v>
      </c>
      <c r="H308" s="1">
        <f t="shared" si="60"/>
        <v>0</v>
      </c>
      <c r="I308">
        <f t="shared" si="68"/>
        <v>0</v>
      </c>
      <c r="J308">
        <f t="shared" si="68"/>
        <v>0</v>
      </c>
      <c r="K308">
        <f t="shared" si="68"/>
        <v>0</v>
      </c>
      <c r="L308">
        <f t="shared" si="68"/>
        <v>0</v>
      </c>
      <c r="M308">
        <f t="shared" si="68"/>
        <v>0</v>
      </c>
      <c r="N308">
        <f t="shared" si="68"/>
        <v>0</v>
      </c>
      <c r="O308">
        <f t="shared" si="68"/>
        <v>0</v>
      </c>
      <c r="P308">
        <f t="shared" si="68"/>
        <v>0</v>
      </c>
      <c r="Q308">
        <f t="shared" si="68"/>
        <v>0</v>
      </c>
      <c r="R308">
        <f t="shared" si="68"/>
        <v>0</v>
      </c>
      <c r="S308">
        <f t="shared" si="68"/>
        <v>0</v>
      </c>
      <c r="T308">
        <f t="shared" si="68"/>
        <v>0</v>
      </c>
      <c r="U308">
        <f t="shared" si="68"/>
        <v>0</v>
      </c>
      <c r="V308">
        <f t="shared" si="68"/>
        <v>0</v>
      </c>
      <c r="W308">
        <f t="shared" si="68"/>
        <v>0</v>
      </c>
      <c r="X308">
        <f t="shared" si="68"/>
        <v>0</v>
      </c>
      <c r="Y308">
        <f t="shared" si="67"/>
        <v>0</v>
      </c>
      <c r="Z308">
        <f t="shared" si="67"/>
        <v>0</v>
      </c>
      <c r="AA308">
        <f t="shared" si="67"/>
        <v>0</v>
      </c>
      <c r="AB308">
        <f t="shared" si="67"/>
        <v>0</v>
      </c>
      <c r="AC308">
        <f t="shared" si="67"/>
        <v>0</v>
      </c>
      <c r="AD308">
        <f t="shared" si="67"/>
        <v>0</v>
      </c>
      <c r="AE308">
        <f t="shared" si="67"/>
        <v>0</v>
      </c>
      <c r="AF308">
        <f t="shared" si="67"/>
        <v>0</v>
      </c>
      <c r="AG308">
        <f t="shared" si="67"/>
        <v>0</v>
      </c>
      <c r="AH308">
        <f t="shared" si="67"/>
        <v>0</v>
      </c>
      <c r="AI308">
        <f t="shared" si="67"/>
        <v>0</v>
      </c>
      <c r="AJ308">
        <f t="shared" si="67"/>
        <v>0</v>
      </c>
      <c r="AK308">
        <f t="shared" si="67"/>
        <v>0</v>
      </c>
      <c r="AL308">
        <f t="shared" si="67"/>
        <v>0</v>
      </c>
      <c r="AM308">
        <f t="shared" si="67"/>
        <v>0</v>
      </c>
      <c r="AN308">
        <f t="shared" si="67"/>
        <v>0</v>
      </c>
      <c r="AO308">
        <f t="shared" si="67"/>
        <v>0</v>
      </c>
      <c r="AP308">
        <f t="shared" si="67"/>
        <v>0</v>
      </c>
      <c r="AQ308">
        <f t="shared" si="67"/>
        <v>0</v>
      </c>
      <c r="AR308">
        <f t="shared" si="67"/>
        <v>0</v>
      </c>
    </row>
    <row r="309" spans="5:44" x14ac:dyDescent="0.2">
      <c r="E309" s="1">
        <f>moment_rate!$M309</f>
        <v>2.0533516246750714</v>
      </c>
      <c r="F309" s="1">
        <f t="shared" si="59"/>
        <v>4.1980848799239023E-2</v>
      </c>
      <c r="G309">
        <f>moment_rate!I309-0.005</f>
        <v>3.0199999999999796</v>
      </c>
      <c r="H309" s="1">
        <f t="shared" si="60"/>
        <v>0</v>
      </c>
      <c r="I309">
        <f t="shared" si="68"/>
        <v>0</v>
      </c>
      <c r="J309">
        <f t="shared" si="68"/>
        <v>0</v>
      </c>
      <c r="K309">
        <f t="shared" si="68"/>
        <v>0</v>
      </c>
      <c r="L309">
        <f t="shared" si="68"/>
        <v>0</v>
      </c>
      <c r="M309">
        <f t="shared" si="68"/>
        <v>0</v>
      </c>
      <c r="N309">
        <f t="shared" si="68"/>
        <v>0</v>
      </c>
      <c r="O309">
        <f t="shared" si="68"/>
        <v>0</v>
      </c>
      <c r="P309">
        <f t="shared" si="68"/>
        <v>0</v>
      </c>
      <c r="Q309">
        <f t="shared" si="68"/>
        <v>0</v>
      </c>
      <c r="R309">
        <f t="shared" si="68"/>
        <v>0</v>
      </c>
      <c r="S309">
        <f t="shared" si="68"/>
        <v>0</v>
      </c>
      <c r="T309">
        <f t="shared" si="68"/>
        <v>0</v>
      </c>
      <c r="U309">
        <f t="shared" si="68"/>
        <v>0</v>
      </c>
      <c r="V309">
        <f t="shared" si="68"/>
        <v>0</v>
      </c>
      <c r="W309">
        <f t="shared" si="68"/>
        <v>0</v>
      </c>
      <c r="X309">
        <f t="shared" si="68"/>
        <v>0</v>
      </c>
      <c r="Y309">
        <f t="shared" si="67"/>
        <v>0</v>
      </c>
      <c r="Z309">
        <f t="shared" si="67"/>
        <v>0</v>
      </c>
      <c r="AA309">
        <f t="shared" si="67"/>
        <v>0</v>
      </c>
      <c r="AB309">
        <f t="shared" si="67"/>
        <v>0</v>
      </c>
      <c r="AC309">
        <f t="shared" si="67"/>
        <v>0</v>
      </c>
      <c r="AD309">
        <f t="shared" si="67"/>
        <v>0</v>
      </c>
      <c r="AE309">
        <f t="shared" si="67"/>
        <v>0</v>
      </c>
      <c r="AF309">
        <f t="shared" si="67"/>
        <v>0</v>
      </c>
      <c r="AG309">
        <f t="shared" si="67"/>
        <v>0</v>
      </c>
      <c r="AH309">
        <f t="shared" si="67"/>
        <v>0</v>
      </c>
      <c r="AI309">
        <f t="shared" si="67"/>
        <v>0</v>
      </c>
      <c r="AJ309">
        <f t="shared" si="67"/>
        <v>0</v>
      </c>
      <c r="AK309">
        <f t="shared" si="67"/>
        <v>0</v>
      </c>
      <c r="AL309">
        <f t="shared" si="67"/>
        <v>0</v>
      </c>
      <c r="AM309">
        <f t="shared" si="67"/>
        <v>0</v>
      </c>
      <c r="AN309">
        <f t="shared" si="67"/>
        <v>0</v>
      </c>
      <c r="AO309">
        <f t="shared" si="67"/>
        <v>0</v>
      </c>
      <c r="AP309">
        <f t="shared" si="67"/>
        <v>0</v>
      </c>
      <c r="AQ309">
        <f t="shared" si="67"/>
        <v>0</v>
      </c>
      <c r="AR309">
        <f t="shared" si="67"/>
        <v>0</v>
      </c>
    </row>
    <row r="310" spans="5:44" x14ac:dyDescent="0.2">
      <c r="E310" s="1">
        <f>moment_rate!$M310</f>
        <v>2.0113707758758324</v>
      </c>
      <c r="F310" s="1">
        <f t="shared" si="59"/>
        <v>4.1119820977811861E-2</v>
      </c>
      <c r="G310">
        <f>moment_rate!I310-0.005</f>
        <v>3.0299999999999794</v>
      </c>
      <c r="H310" s="1">
        <f t="shared" si="60"/>
        <v>0</v>
      </c>
      <c r="I310">
        <f t="shared" si="68"/>
        <v>0</v>
      </c>
      <c r="J310">
        <f t="shared" si="68"/>
        <v>0</v>
      </c>
      <c r="K310">
        <f t="shared" si="68"/>
        <v>0</v>
      </c>
      <c r="L310">
        <f t="shared" si="68"/>
        <v>0</v>
      </c>
      <c r="M310">
        <f t="shared" si="68"/>
        <v>0</v>
      </c>
      <c r="N310">
        <f t="shared" si="68"/>
        <v>0</v>
      </c>
      <c r="O310">
        <f t="shared" si="68"/>
        <v>0</v>
      </c>
      <c r="P310">
        <f t="shared" si="68"/>
        <v>0</v>
      </c>
      <c r="Q310">
        <f t="shared" si="68"/>
        <v>0</v>
      </c>
      <c r="R310">
        <f t="shared" si="68"/>
        <v>0</v>
      </c>
      <c r="S310">
        <f t="shared" si="68"/>
        <v>0</v>
      </c>
      <c r="T310">
        <f t="shared" si="68"/>
        <v>0</v>
      </c>
      <c r="U310">
        <f t="shared" si="68"/>
        <v>0</v>
      </c>
      <c r="V310">
        <f t="shared" si="68"/>
        <v>0</v>
      </c>
      <c r="W310">
        <f t="shared" si="68"/>
        <v>0</v>
      </c>
      <c r="X310">
        <f t="shared" si="68"/>
        <v>0</v>
      </c>
      <c r="Y310">
        <f t="shared" si="67"/>
        <v>0</v>
      </c>
      <c r="Z310">
        <f t="shared" si="67"/>
        <v>0</v>
      </c>
      <c r="AA310">
        <f t="shared" si="67"/>
        <v>0</v>
      </c>
      <c r="AB310">
        <f t="shared" si="67"/>
        <v>0</v>
      </c>
      <c r="AC310">
        <f t="shared" si="67"/>
        <v>0</v>
      </c>
      <c r="AD310">
        <f t="shared" si="67"/>
        <v>0</v>
      </c>
      <c r="AE310">
        <f t="shared" si="67"/>
        <v>0</v>
      </c>
      <c r="AF310">
        <f t="shared" si="67"/>
        <v>0</v>
      </c>
      <c r="AG310">
        <f t="shared" si="67"/>
        <v>0</v>
      </c>
      <c r="AH310">
        <f t="shared" si="67"/>
        <v>0</v>
      </c>
      <c r="AI310">
        <f t="shared" si="67"/>
        <v>0</v>
      </c>
      <c r="AJ310">
        <f t="shared" si="67"/>
        <v>0</v>
      </c>
      <c r="AK310">
        <f t="shared" si="67"/>
        <v>0</v>
      </c>
      <c r="AL310">
        <f t="shared" si="67"/>
        <v>0</v>
      </c>
      <c r="AM310">
        <f t="shared" si="67"/>
        <v>0</v>
      </c>
      <c r="AN310">
        <f t="shared" si="67"/>
        <v>0</v>
      </c>
      <c r="AO310">
        <f t="shared" si="67"/>
        <v>0</v>
      </c>
      <c r="AP310">
        <f t="shared" si="67"/>
        <v>0</v>
      </c>
      <c r="AQ310">
        <f t="shared" si="67"/>
        <v>0</v>
      </c>
      <c r="AR310">
        <f t="shared" si="67"/>
        <v>0</v>
      </c>
    </row>
    <row r="311" spans="5:44" x14ac:dyDescent="0.2">
      <c r="E311" s="1">
        <f>moment_rate!$M311</f>
        <v>1.9702509548980205</v>
      </c>
      <c r="F311" s="1">
        <f t="shared" si="59"/>
        <v>4.0276452849564714E-2</v>
      </c>
      <c r="G311">
        <f>moment_rate!I311-0.005</f>
        <v>3.0399999999999792</v>
      </c>
      <c r="H311" s="1">
        <f t="shared" si="60"/>
        <v>0</v>
      </c>
      <c r="I311">
        <f t="shared" si="68"/>
        <v>0</v>
      </c>
      <c r="J311">
        <f t="shared" si="68"/>
        <v>0</v>
      </c>
      <c r="K311">
        <f t="shared" si="68"/>
        <v>0</v>
      </c>
      <c r="L311">
        <f t="shared" si="68"/>
        <v>0</v>
      </c>
      <c r="M311">
        <f t="shared" si="68"/>
        <v>0</v>
      </c>
      <c r="N311">
        <f t="shared" si="68"/>
        <v>0</v>
      </c>
      <c r="O311">
        <f t="shared" si="68"/>
        <v>0</v>
      </c>
      <c r="P311">
        <f t="shared" si="68"/>
        <v>0</v>
      </c>
      <c r="Q311">
        <f t="shared" si="68"/>
        <v>0</v>
      </c>
      <c r="R311">
        <f t="shared" si="68"/>
        <v>0</v>
      </c>
      <c r="S311">
        <f t="shared" si="68"/>
        <v>0</v>
      </c>
      <c r="T311">
        <f t="shared" si="68"/>
        <v>0</v>
      </c>
      <c r="U311">
        <f t="shared" si="68"/>
        <v>0</v>
      </c>
      <c r="V311">
        <f t="shared" si="68"/>
        <v>0</v>
      </c>
      <c r="W311">
        <f t="shared" si="68"/>
        <v>0</v>
      </c>
      <c r="X311">
        <f t="shared" si="68"/>
        <v>0</v>
      </c>
      <c r="Y311">
        <f t="shared" si="67"/>
        <v>0</v>
      </c>
      <c r="Z311">
        <f t="shared" si="67"/>
        <v>0</v>
      </c>
      <c r="AA311">
        <f t="shared" si="67"/>
        <v>0</v>
      </c>
      <c r="AB311">
        <f t="shared" si="67"/>
        <v>0</v>
      </c>
      <c r="AC311">
        <f t="shared" si="67"/>
        <v>0</v>
      </c>
      <c r="AD311">
        <f t="shared" si="67"/>
        <v>0</v>
      </c>
      <c r="AE311">
        <f t="shared" si="67"/>
        <v>0</v>
      </c>
      <c r="AF311">
        <f t="shared" si="67"/>
        <v>0</v>
      </c>
      <c r="AG311">
        <f t="shared" si="67"/>
        <v>0</v>
      </c>
      <c r="AH311">
        <f t="shared" si="67"/>
        <v>0</v>
      </c>
      <c r="AI311">
        <f t="shared" si="67"/>
        <v>0</v>
      </c>
      <c r="AJ311">
        <f t="shared" si="67"/>
        <v>0</v>
      </c>
      <c r="AK311">
        <f t="shared" si="67"/>
        <v>0</v>
      </c>
      <c r="AL311">
        <f t="shared" si="67"/>
        <v>0</v>
      </c>
      <c r="AM311">
        <f t="shared" si="67"/>
        <v>0</v>
      </c>
      <c r="AN311">
        <f t="shared" si="67"/>
        <v>0</v>
      </c>
      <c r="AO311">
        <f t="shared" si="67"/>
        <v>0</v>
      </c>
      <c r="AP311">
        <f t="shared" si="67"/>
        <v>0</v>
      </c>
      <c r="AQ311">
        <f t="shared" si="67"/>
        <v>0</v>
      </c>
      <c r="AR311">
        <f t="shared" si="67"/>
        <v>0</v>
      </c>
    </row>
    <row r="312" spans="5:44" x14ac:dyDescent="0.2">
      <c r="E312" s="1">
        <f>moment_rate!$M312</f>
        <v>1.9299745020484558</v>
      </c>
      <c r="F312" s="1">
        <f t="shared" si="59"/>
        <v>3.9450382213934265E-2</v>
      </c>
      <c r="G312">
        <f>moment_rate!I312-0.005</f>
        <v>3.049999999999979</v>
      </c>
      <c r="H312" s="1">
        <f t="shared" si="60"/>
        <v>0</v>
      </c>
      <c r="I312">
        <f t="shared" si="68"/>
        <v>0</v>
      </c>
      <c r="J312">
        <f t="shared" si="68"/>
        <v>0</v>
      </c>
      <c r="K312">
        <f t="shared" si="68"/>
        <v>0</v>
      </c>
      <c r="L312">
        <f t="shared" si="68"/>
        <v>0</v>
      </c>
      <c r="M312">
        <f t="shared" si="68"/>
        <v>0</v>
      </c>
      <c r="N312">
        <f t="shared" si="68"/>
        <v>0</v>
      </c>
      <c r="O312">
        <f t="shared" si="68"/>
        <v>0</v>
      </c>
      <c r="P312">
        <f t="shared" si="68"/>
        <v>0</v>
      </c>
      <c r="Q312">
        <f t="shared" si="68"/>
        <v>0</v>
      </c>
      <c r="R312">
        <f t="shared" si="68"/>
        <v>0</v>
      </c>
      <c r="S312">
        <f t="shared" si="68"/>
        <v>0</v>
      </c>
      <c r="T312">
        <f t="shared" si="68"/>
        <v>0</v>
      </c>
      <c r="U312">
        <f t="shared" si="68"/>
        <v>0</v>
      </c>
      <c r="V312">
        <f t="shared" si="68"/>
        <v>0</v>
      </c>
      <c r="W312">
        <f t="shared" si="68"/>
        <v>0</v>
      </c>
      <c r="X312">
        <f t="shared" si="68"/>
        <v>0</v>
      </c>
      <c r="Y312">
        <f t="shared" si="67"/>
        <v>0</v>
      </c>
      <c r="Z312">
        <f t="shared" si="67"/>
        <v>0</v>
      </c>
      <c r="AA312">
        <f t="shared" si="67"/>
        <v>0</v>
      </c>
      <c r="AB312">
        <f t="shared" si="67"/>
        <v>0</v>
      </c>
      <c r="AC312">
        <f t="shared" si="67"/>
        <v>0</v>
      </c>
      <c r="AD312">
        <f t="shared" si="67"/>
        <v>0</v>
      </c>
      <c r="AE312">
        <f t="shared" si="67"/>
        <v>0</v>
      </c>
      <c r="AF312">
        <f t="shared" si="67"/>
        <v>0</v>
      </c>
      <c r="AG312">
        <f t="shared" si="67"/>
        <v>0</v>
      </c>
      <c r="AH312">
        <f t="shared" si="67"/>
        <v>0</v>
      </c>
      <c r="AI312">
        <f t="shared" si="67"/>
        <v>0</v>
      </c>
      <c r="AJ312">
        <f t="shared" si="67"/>
        <v>0</v>
      </c>
      <c r="AK312">
        <f t="shared" si="67"/>
        <v>0</v>
      </c>
      <c r="AL312">
        <f t="shared" si="67"/>
        <v>0</v>
      </c>
      <c r="AM312">
        <f t="shared" si="67"/>
        <v>0</v>
      </c>
      <c r="AN312">
        <f t="shared" si="67"/>
        <v>0</v>
      </c>
      <c r="AO312">
        <f t="shared" si="67"/>
        <v>0</v>
      </c>
      <c r="AP312">
        <f t="shared" si="67"/>
        <v>0</v>
      </c>
      <c r="AQ312">
        <f t="shared" si="67"/>
        <v>0</v>
      </c>
      <c r="AR312">
        <f t="shared" si="67"/>
        <v>0</v>
      </c>
    </row>
    <row r="313" spans="5:44" x14ac:dyDescent="0.2">
      <c r="E313" s="1">
        <f>moment_rate!$M313</f>
        <v>1.8905241198345215</v>
      </c>
      <c r="F313" s="1">
        <f t="shared" si="59"/>
        <v>3.8641254299094374E-2</v>
      </c>
      <c r="G313">
        <f>moment_rate!I313-0.005</f>
        <v>3.0599999999999787</v>
      </c>
      <c r="H313" s="1">
        <f t="shared" si="60"/>
        <v>0</v>
      </c>
      <c r="I313">
        <f t="shared" si="68"/>
        <v>0</v>
      </c>
      <c r="J313">
        <f t="shared" si="68"/>
        <v>0</v>
      </c>
      <c r="K313">
        <f t="shared" si="68"/>
        <v>0</v>
      </c>
      <c r="L313">
        <f t="shared" si="68"/>
        <v>0</v>
      </c>
      <c r="M313">
        <f t="shared" si="68"/>
        <v>0</v>
      </c>
      <c r="N313">
        <f t="shared" si="68"/>
        <v>0</v>
      </c>
      <c r="O313">
        <f t="shared" si="68"/>
        <v>0</v>
      </c>
      <c r="P313">
        <f t="shared" si="68"/>
        <v>0</v>
      </c>
      <c r="Q313">
        <f t="shared" si="68"/>
        <v>0</v>
      </c>
      <c r="R313">
        <f t="shared" si="68"/>
        <v>0</v>
      </c>
      <c r="S313">
        <f t="shared" si="68"/>
        <v>0</v>
      </c>
      <c r="T313">
        <f t="shared" si="68"/>
        <v>0</v>
      </c>
      <c r="U313">
        <f t="shared" si="68"/>
        <v>0</v>
      </c>
      <c r="V313">
        <f t="shared" si="68"/>
        <v>0</v>
      </c>
      <c r="W313">
        <f t="shared" si="68"/>
        <v>0</v>
      </c>
      <c r="X313">
        <f t="shared" si="68"/>
        <v>0</v>
      </c>
      <c r="Y313">
        <f t="shared" si="67"/>
        <v>0</v>
      </c>
      <c r="Z313">
        <f t="shared" si="67"/>
        <v>0</v>
      </c>
      <c r="AA313">
        <f t="shared" si="67"/>
        <v>0</v>
      </c>
      <c r="AB313">
        <f t="shared" si="67"/>
        <v>0</v>
      </c>
      <c r="AC313">
        <f t="shared" si="67"/>
        <v>0</v>
      </c>
      <c r="AD313">
        <f t="shared" si="67"/>
        <v>0</v>
      </c>
      <c r="AE313">
        <f t="shared" si="67"/>
        <v>0</v>
      </c>
      <c r="AF313">
        <f t="shared" si="67"/>
        <v>0</v>
      </c>
      <c r="AG313">
        <f t="shared" si="67"/>
        <v>0</v>
      </c>
      <c r="AH313">
        <f t="shared" si="67"/>
        <v>0</v>
      </c>
      <c r="AI313">
        <f t="shared" si="67"/>
        <v>0</v>
      </c>
      <c r="AJ313">
        <f t="shared" si="67"/>
        <v>0</v>
      </c>
      <c r="AK313">
        <f t="shared" si="67"/>
        <v>0</v>
      </c>
      <c r="AL313">
        <f t="shared" si="67"/>
        <v>0</v>
      </c>
      <c r="AM313">
        <f t="shared" si="67"/>
        <v>0</v>
      </c>
      <c r="AN313">
        <f t="shared" si="67"/>
        <v>0</v>
      </c>
      <c r="AO313">
        <f t="shared" si="67"/>
        <v>0</v>
      </c>
      <c r="AP313">
        <f t="shared" si="67"/>
        <v>0</v>
      </c>
      <c r="AQ313">
        <f t="shared" si="67"/>
        <v>0</v>
      </c>
      <c r="AR313">
        <f t="shared" si="67"/>
        <v>0</v>
      </c>
    </row>
    <row r="314" spans="5:44" x14ac:dyDescent="0.2">
      <c r="E314" s="1">
        <f>moment_rate!$M314</f>
        <v>1.8518828655354271</v>
      </c>
      <c r="F314" s="1">
        <f t="shared" si="59"/>
        <v>3.784872160959396E-2</v>
      </c>
      <c r="G314">
        <f>moment_rate!I314-0.005</f>
        <v>3.0699999999999785</v>
      </c>
      <c r="H314" s="1">
        <f t="shared" si="60"/>
        <v>0</v>
      </c>
      <c r="I314">
        <f t="shared" si="68"/>
        <v>0</v>
      </c>
      <c r="J314">
        <f t="shared" si="68"/>
        <v>0</v>
      </c>
      <c r="K314">
        <f t="shared" si="68"/>
        <v>0</v>
      </c>
      <c r="L314">
        <f t="shared" si="68"/>
        <v>0</v>
      </c>
      <c r="M314">
        <f t="shared" si="68"/>
        <v>0</v>
      </c>
      <c r="N314">
        <f t="shared" si="68"/>
        <v>0</v>
      </c>
      <c r="O314">
        <f t="shared" si="68"/>
        <v>0</v>
      </c>
      <c r="P314">
        <f t="shared" si="68"/>
        <v>0</v>
      </c>
      <c r="Q314">
        <f t="shared" si="68"/>
        <v>0</v>
      </c>
      <c r="R314">
        <f t="shared" si="68"/>
        <v>0</v>
      </c>
      <c r="S314">
        <f t="shared" si="68"/>
        <v>0</v>
      </c>
      <c r="T314">
        <f t="shared" si="68"/>
        <v>0</v>
      </c>
      <c r="U314">
        <f t="shared" si="68"/>
        <v>0</v>
      </c>
      <c r="V314">
        <f t="shared" si="68"/>
        <v>0</v>
      </c>
      <c r="W314">
        <f t="shared" si="68"/>
        <v>0</v>
      </c>
      <c r="X314">
        <f t="shared" si="68"/>
        <v>0</v>
      </c>
      <c r="Y314">
        <f t="shared" si="67"/>
        <v>0</v>
      </c>
      <c r="Z314">
        <f t="shared" si="67"/>
        <v>0</v>
      </c>
      <c r="AA314">
        <f t="shared" si="67"/>
        <v>0</v>
      </c>
      <c r="AB314">
        <f t="shared" si="67"/>
        <v>0</v>
      </c>
      <c r="AC314">
        <f t="shared" si="67"/>
        <v>0</v>
      </c>
      <c r="AD314">
        <f t="shared" si="67"/>
        <v>0</v>
      </c>
      <c r="AE314">
        <f t="shared" si="67"/>
        <v>0</v>
      </c>
      <c r="AF314">
        <f t="shared" si="67"/>
        <v>0</v>
      </c>
      <c r="AG314">
        <f t="shared" si="67"/>
        <v>0</v>
      </c>
      <c r="AH314">
        <f t="shared" si="67"/>
        <v>0</v>
      </c>
      <c r="AI314">
        <f t="shared" si="67"/>
        <v>0</v>
      </c>
      <c r="AJ314">
        <f t="shared" si="67"/>
        <v>0</v>
      </c>
      <c r="AK314">
        <f t="shared" si="67"/>
        <v>0</v>
      </c>
      <c r="AL314">
        <f t="shared" si="67"/>
        <v>0</v>
      </c>
      <c r="AM314">
        <f t="shared" ref="AI314:AR349" si="69">IF(AND($G314&gt;=AM$3,$G314&lt;AM$4),$F314,0)</f>
        <v>0</v>
      </c>
      <c r="AN314">
        <f t="shared" si="69"/>
        <v>0</v>
      </c>
      <c r="AO314">
        <f t="shared" si="69"/>
        <v>0</v>
      </c>
      <c r="AP314">
        <f t="shared" si="69"/>
        <v>0</v>
      </c>
      <c r="AQ314">
        <f t="shared" si="69"/>
        <v>0</v>
      </c>
      <c r="AR314">
        <f t="shared" si="69"/>
        <v>0</v>
      </c>
    </row>
    <row r="315" spans="5:44" x14ac:dyDescent="0.2">
      <c r="E315" s="1">
        <f>moment_rate!$M315</f>
        <v>1.8140341439258332</v>
      </c>
      <c r="F315" s="1">
        <f t="shared" si="59"/>
        <v>3.7072443777118824E-2</v>
      </c>
      <c r="G315">
        <f>moment_rate!I315-0.005</f>
        <v>3.0799999999999783</v>
      </c>
      <c r="H315" s="1">
        <f t="shared" si="60"/>
        <v>0</v>
      </c>
      <c r="I315">
        <f t="shared" si="68"/>
        <v>0</v>
      </c>
      <c r="J315">
        <f t="shared" si="68"/>
        <v>0</v>
      </c>
      <c r="K315">
        <f t="shared" si="68"/>
        <v>0</v>
      </c>
      <c r="L315">
        <f t="shared" si="68"/>
        <v>0</v>
      </c>
      <c r="M315">
        <f t="shared" si="68"/>
        <v>0</v>
      </c>
      <c r="N315">
        <f t="shared" si="68"/>
        <v>0</v>
      </c>
      <c r="O315">
        <f t="shared" si="68"/>
        <v>0</v>
      </c>
      <c r="P315">
        <f t="shared" si="68"/>
        <v>0</v>
      </c>
      <c r="Q315">
        <f t="shared" si="68"/>
        <v>0</v>
      </c>
      <c r="R315">
        <f t="shared" si="68"/>
        <v>0</v>
      </c>
      <c r="S315">
        <f t="shared" si="68"/>
        <v>0</v>
      </c>
      <c r="T315">
        <f t="shared" si="68"/>
        <v>0</v>
      </c>
      <c r="U315">
        <f t="shared" si="68"/>
        <v>0</v>
      </c>
      <c r="V315">
        <f t="shared" si="68"/>
        <v>0</v>
      </c>
      <c r="W315">
        <f t="shared" si="68"/>
        <v>0</v>
      </c>
      <c r="X315">
        <f t="shared" si="68"/>
        <v>0</v>
      </c>
      <c r="Y315">
        <f t="shared" ref="Y315:AH322" si="70">IF(AND($G315&gt;=Y$3,$G315&lt;Y$4),$F315,0)</f>
        <v>0</v>
      </c>
      <c r="Z315">
        <f t="shared" si="70"/>
        <v>0</v>
      </c>
      <c r="AA315">
        <f t="shared" si="70"/>
        <v>0</v>
      </c>
      <c r="AB315">
        <f t="shared" si="70"/>
        <v>0</v>
      </c>
      <c r="AC315">
        <f t="shared" si="70"/>
        <v>0</v>
      </c>
      <c r="AD315">
        <f t="shared" si="70"/>
        <v>0</v>
      </c>
      <c r="AE315">
        <f t="shared" si="70"/>
        <v>0</v>
      </c>
      <c r="AF315">
        <f t="shared" si="70"/>
        <v>0</v>
      </c>
      <c r="AG315">
        <f t="shared" si="70"/>
        <v>0</v>
      </c>
      <c r="AH315">
        <f t="shared" si="70"/>
        <v>0</v>
      </c>
      <c r="AI315">
        <f t="shared" si="69"/>
        <v>0</v>
      </c>
      <c r="AJ315">
        <f t="shared" si="69"/>
        <v>0</v>
      </c>
      <c r="AK315">
        <f t="shared" si="69"/>
        <v>0</v>
      </c>
      <c r="AL315">
        <f t="shared" si="69"/>
        <v>0</v>
      </c>
      <c r="AM315">
        <f t="shared" si="69"/>
        <v>0</v>
      </c>
      <c r="AN315">
        <f t="shared" si="69"/>
        <v>0</v>
      </c>
      <c r="AO315">
        <f t="shared" si="69"/>
        <v>0</v>
      </c>
      <c r="AP315">
        <f t="shared" si="69"/>
        <v>0</v>
      </c>
      <c r="AQ315">
        <f t="shared" si="69"/>
        <v>0</v>
      </c>
      <c r="AR315">
        <f t="shared" si="69"/>
        <v>0</v>
      </c>
    </row>
    <row r="316" spans="5:44" x14ac:dyDescent="0.2">
      <c r="E316" s="1">
        <f>moment_rate!$M316</f>
        <v>1.7769617001487144</v>
      </c>
      <c r="F316" s="1">
        <f t="shared" si="59"/>
        <v>3.631208741431502E-2</v>
      </c>
      <c r="G316">
        <f>moment_rate!I316-0.005</f>
        <v>3.0899999999999781</v>
      </c>
      <c r="H316" s="1">
        <f t="shared" si="60"/>
        <v>0</v>
      </c>
      <c r="I316">
        <f t="shared" si="68"/>
        <v>0</v>
      </c>
      <c r="J316">
        <f t="shared" si="68"/>
        <v>0</v>
      </c>
      <c r="K316">
        <f t="shared" si="68"/>
        <v>0</v>
      </c>
      <c r="L316">
        <f t="shared" si="68"/>
        <v>0</v>
      </c>
      <c r="M316">
        <f t="shared" si="68"/>
        <v>0</v>
      </c>
      <c r="N316">
        <f t="shared" si="68"/>
        <v>0</v>
      </c>
      <c r="O316">
        <f t="shared" si="68"/>
        <v>0</v>
      </c>
      <c r="P316">
        <f t="shared" si="68"/>
        <v>0</v>
      </c>
      <c r="Q316">
        <f t="shared" si="68"/>
        <v>0</v>
      </c>
      <c r="R316">
        <f t="shared" si="68"/>
        <v>0</v>
      </c>
      <c r="S316">
        <f t="shared" si="68"/>
        <v>0</v>
      </c>
      <c r="T316">
        <f t="shared" si="68"/>
        <v>0</v>
      </c>
      <c r="U316">
        <f t="shared" si="68"/>
        <v>0</v>
      </c>
      <c r="V316">
        <f t="shared" si="68"/>
        <v>0</v>
      </c>
      <c r="W316">
        <f t="shared" si="68"/>
        <v>0</v>
      </c>
      <c r="X316">
        <f t="shared" si="68"/>
        <v>0</v>
      </c>
      <c r="Y316">
        <f t="shared" si="70"/>
        <v>0</v>
      </c>
      <c r="Z316">
        <f t="shared" si="70"/>
        <v>0</v>
      </c>
      <c r="AA316">
        <f t="shared" si="70"/>
        <v>0</v>
      </c>
      <c r="AB316">
        <f t="shared" si="70"/>
        <v>0</v>
      </c>
      <c r="AC316">
        <f t="shared" si="70"/>
        <v>0</v>
      </c>
      <c r="AD316">
        <f t="shared" si="70"/>
        <v>0</v>
      </c>
      <c r="AE316">
        <f t="shared" si="70"/>
        <v>0</v>
      </c>
      <c r="AF316">
        <f t="shared" si="70"/>
        <v>0</v>
      </c>
      <c r="AG316">
        <f t="shared" si="70"/>
        <v>0</v>
      </c>
      <c r="AH316">
        <f t="shared" si="70"/>
        <v>0</v>
      </c>
      <c r="AI316">
        <f t="shared" si="69"/>
        <v>0</v>
      </c>
      <c r="AJ316">
        <f t="shared" si="69"/>
        <v>0</v>
      </c>
      <c r="AK316">
        <f t="shared" si="69"/>
        <v>0</v>
      </c>
      <c r="AL316">
        <f t="shared" si="69"/>
        <v>0</v>
      </c>
      <c r="AM316">
        <f t="shared" si="69"/>
        <v>0</v>
      </c>
      <c r="AN316">
        <f t="shared" si="69"/>
        <v>0</v>
      </c>
      <c r="AO316">
        <f t="shared" si="69"/>
        <v>0</v>
      </c>
      <c r="AP316">
        <f t="shared" si="69"/>
        <v>0</v>
      </c>
      <c r="AQ316">
        <f t="shared" si="69"/>
        <v>0</v>
      </c>
      <c r="AR316">
        <f t="shared" si="69"/>
        <v>0</v>
      </c>
    </row>
    <row r="317" spans="5:44" x14ac:dyDescent="0.2">
      <c r="E317" s="1">
        <f>moment_rate!$M317</f>
        <v>1.7406496127343993</v>
      </c>
      <c r="F317" s="1">
        <f t="shared" si="59"/>
        <v>3.5567325971606722E-2</v>
      </c>
      <c r="G317">
        <f>moment_rate!I317-0.005</f>
        <v>3.0999999999999779</v>
      </c>
      <c r="H317" s="1">
        <f t="shared" si="60"/>
        <v>0</v>
      </c>
      <c r="I317">
        <f t="shared" si="68"/>
        <v>0</v>
      </c>
      <c r="J317">
        <f t="shared" si="68"/>
        <v>0</v>
      </c>
      <c r="K317">
        <f t="shared" si="68"/>
        <v>0</v>
      </c>
      <c r="L317">
        <f t="shared" si="68"/>
        <v>0</v>
      </c>
      <c r="M317">
        <f t="shared" si="68"/>
        <v>0</v>
      </c>
      <c r="N317">
        <f t="shared" si="68"/>
        <v>0</v>
      </c>
      <c r="O317">
        <f t="shared" si="68"/>
        <v>0</v>
      </c>
      <c r="P317">
        <f t="shared" si="68"/>
        <v>0</v>
      </c>
      <c r="Q317">
        <f t="shared" si="68"/>
        <v>0</v>
      </c>
      <c r="R317">
        <f t="shared" si="68"/>
        <v>0</v>
      </c>
      <c r="S317">
        <f t="shared" si="68"/>
        <v>0</v>
      </c>
      <c r="T317">
        <f t="shared" si="68"/>
        <v>0</v>
      </c>
      <c r="U317">
        <f t="shared" si="68"/>
        <v>0</v>
      </c>
      <c r="V317">
        <f t="shared" si="68"/>
        <v>0</v>
      </c>
      <c r="W317">
        <f t="shared" si="68"/>
        <v>0</v>
      </c>
      <c r="X317">
        <f t="shared" si="68"/>
        <v>0</v>
      </c>
      <c r="Y317">
        <f t="shared" si="70"/>
        <v>0</v>
      </c>
      <c r="Z317">
        <f t="shared" si="70"/>
        <v>0</v>
      </c>
      <c r="AA317">
        <f t="shared" si="70"/>
        <v>0</v>
      </c>
      <c r="AB317">
        <f t="shared" si="70"/>
        <v>0</v>
      </c>
      <c r="AC317">
        <f t="shared" si="70"/>
        <v>0</v>
      </c>
      <c r="AD317">
        <f t="shared" si="70"/>
        <v>0</v>
      </c>
      <c r="AE317">
        <f t="shared" si="70"/>
        <v>0</v>
      </c>
      <c r="AF317">
        <f t="shared" si="70"/>
        <v>0</v>
      </c>
      <c r="AG317">
        <f t="shared" si="70"/>
        <v>0</v>
      </c>
      <c r="AH317">
        <f t="shared" si="70"/>
        <v>0</v>
      </c>
      <c r="AI317">
        <f t="shared" si="69"/>
        <v>0</v>
      </c>
      <c r="AJ317">
        <f t="shared" si="69"/>
        <v>0</v>
      </c>
      <c r="AK317">
        <f t="shared" si="69"/>
        <v>0</v>
      </c>
      <c r="AL317">
        <f t="shared" si="69"/>
        <v>0</v>
      </c>
      <c r="AM317">
        <f t="shared" si="69"/>
        <v>0</v>
      </c>
      <c r="AN317">
        <f t="shared" si="69"/>
        <v>0</v>
      </c>
      <c r="AO317">
        <f t="shared" si="69"/>
        <v>0</v>
      </c>
      <c r="AP317">
        <f t="shared" si="69"/>
        <v>0</v>
      </c>
      <c r="AQ317">
        <f t="shared" si="69"/>
        <v>0</v>
      </c>
      <c r="AR317">
        <f t="shared" si="69"/>
        <v>0</v>
      </c>
    </row>
    <row r="318" spans="5:44" x14ac:dyDescent="0.2">
      <c r="E318" s="1">
        <f>moment_rate!$M318</f>
        <v>1.7050822867627926</v>
      </c>
      <c r="F318" s="1">
        <f t="shared" si="59"/>
        <v>3.4837839596955522E-2</v>
      </c>
      <c r="G318">
        <f>moment_rate!I318-0.005</f>
        <v>3.1099999999999777</v>
      </c>
      <c r="H318" s="1">
        <f t="shared" si="60"/>
        <v>0</v>
      </c>
      <c r="I318">
        <f t="shared" si="68"/>
        <v>0</v>
      </c>
      <c r="J318">
        <f t="shared" si="68"/>
        <v>0</v>
      </c>
      <c r="K318">
        <f t="shared" si="68"/>
        <v>0</v>
      </c>
      <c r="L318">
        <f t="shared" si="68"/>
        <v>0</v>
      </c>
      <c r="M318">
        <f t="shared" si="68"/>
        <v>0</v>
      </c>
      <c r="N318">
        <f t="shared" si="68"/>
        <v>0</v>
      </c>
      <c r="O318">
        <f t="shared" si="68"/>
        <v>0</v>
      </c>
      <c r="P318">
        <f t="shared" si="68"/>
        <v>0</v>
      </c>
      <c r="Q318">
        <f t="shared" si="68"/>
        <v>0</v>
      </c>
      <c r="R318">
        <f t="shared" si="68"/>
        <v>0</v>
      </c>
      <c r="S318">
        <f t="shared" si="68"/>
        <v>0</v>
      </c>
      <c r="T318">
        <f t="shared" si="68"/>
        <v>0</v>
      </c>
      <c r="U318">
        <f t="shared" si="68"/>
        <v>0</v>
      </c>
      <c r="V318">
        <f t="shared" si="68"/>
        <v>0</v>
      </c>
      <c r="W318">
        <f t="shared" si="68"/>
        <v>0</v>
      </c>
      <c r="X318">
        <f t="shared" ref="X318:AM333" si="71">IF(AND($G318&gt;=X$3,$G318&lt;X$4),$F318,0)</f>
        <v>0</v>
      </c>
      <c r="Y318">
        <f t="shared" si="71"/>
        <v>0</v>
      </c>
      <c r="Z318">
        <f t="shared" si="70"/>
        <v>0</v>
      </c>
      <c r="AA318">
        <f t="shared" si="70"/>
        <v>0</v>
      </c>
      <c r="AB318">
        <f t="shared" si="70"/>
        <v>0</v>
      </c>
      <c r="AC318">
        <f t="shared" si="70"/>
        <v>0</v>
      </c>
      <c r="AD318">
        <f t="shared" si="70"/>
        <v>0</v>
      </c>
      <c r="AE318">
        <f t="shared" si="70"/>
        <v>0</v>
      </c>
      <c r="AF318">
        <f t="shared" si="70"/>
        <v>0</v>
      </c>
      <c r="AG318">
        <f t="shared" si="70"/>
        <v>0</v>
      </c>
      <c r="AH318">
        <f t="shared" si="70"/>
        <v>0</v>
      </c>
      <c r="AI318">
        <f t="shared" si="69"/>
        <v>0</v>
      </c>
      <c r="AJ318">
        <f t="shared" si="69"/>
        <v>0</v>
      </c>
      <c r="AK318">
        <f t="shared" si="69"/>
        <v>0</v>
      </c>
      <c r="AL318">
        <f t="shared" si="69"/>
        <v>0</v>
      </c>
      <c r="AM318">
        <f t="shared" si="69"/>
        <v>0</v>
      </c>
      <c r="AN318">
        <f t="shared" si="69"/>
        <v>0</v>
      </c>
      <c r="AO318">
        <f t="shared" si="69"/>
        <v>0</v>
      </c>
      <c r="AP318">
        <f t="shared" si="69"/>
        <v>0</v>
      </c>
      <c r="AQ318">
        <f t="shared" si="69"/>
        <v>0</v>
      </c>
      <c r="AR318">
        <f t="shared" si="69"/>
        <v>0</v>
      </c>
    </row>
    <row r="319" spans="5:44" x14ac:dyDescent="0.2">
      <c r="E319" s="1">
        <f>moment_rate!$M319</f>
        <v>1.6702444471658371</v>
      </c>
      <c r="F319" s="1">
        <f t="shared" si="59"/>
        <v>3.4123314998492527E-2</v>
      </c>
      <c r="G319">
        <f>moment_rate!I319-0.005</f>
        <v>3.1199999999999775</v>
      </c>
      <c r="H319" s="1">
        <f t="shared" si="60"/>
        <v>0</v>
      </c>
      <c r="I319">
        <f t="shared" ref="I319:X334" si="72">IF(AND($G319&gt;=I$3,$G319&lt;I$4),$F319,0)</f>
        <v>0</v>
      </c>
      <c r="J319">
        <f t="shared" si="72"/>
        <v>0</v>
      </c>
      <c r="K319">
        <f t="shared" si="72"/>
        <v>0</v>
      </c>
      <c r="L319">
        <f t="shared" si="72"/>
        <v>0</v>
      </c>
      <c r="M319">
        <f t="shared" si="72"/>
        <v>0</v>
      </c>
      <c r="N319">
        <f t="shared" si="72"/>
        <v>0</v>
      </c>
      <c r="O319">
        <f t="shared" si="72"/>
        <v>0</v>
      </c>
      <c r="P319">
        <f t="shared" si="72"/>
        <v>0</v>
      </c>
      <c r="Q319">
        <f t="shared" si="72"/>
        <v>0</v>
      </c>
      <c r="R319">
        <f t="shared" si="72"/>
        <v>0</v>
      </c>
      <c r="S319">
        <f t="shared" si="72"/>
        <v>0</v>
      </c>
      <c r="T319">
        <f t="shared" si="72"/>
        <v>0</v>
      </c>
      <c r="U319">
        <f t="shared" si="72"/>
        <v>0</v>
      </c>
      <c r="V319">
        <f t="shared" si="72"/>
        <v>0</v>
      </c>
      <c r="W319">
        <f t="shared" si="72"/>
        <v>0</v>
      </c>
      <c r="X319">
        <f t="shared" si="72"/>
        <v>0</v>
      </c>
      <c r="Y319">
        <f t="shared" si="71"/>
        <v>0</v>
      </c>
      <c r="Z319">
        <f t="shared" si="70"/>
        <v>0</v>
      </c>
      <c r="AA319">
        <f t="shared" si="70"/>
        <v>0</v>
      </c>
      <c r="AB319">
        <f t="shared" si="70"/>
        <v>0</v>
      </c>
      <c r="AC319">
        <f t="shared" si="70"/>
        <v>0</v>
      </c>
      <c r="AD319">
        <f t="shared" si="70"/>
        <v>0</v>
      </c>
      <c r="AE319">
        <f t="shared" si="70"/>
        <v>0</v>
      </c>
      <c r="AF319">
        <f t="shared" si="70"/>
        <v>0</v>
      </c>
      <c r="AG319">
        <f t="shared" si="70"/>
        <v>0</v>
      </c>
      <c r="AH319">
        <f t="shared" si="70"/>
        <v>0</v>
      </c>
      <c r="AI319">
        <f t="shared" si="69"/>
        <v>0</v>
      </c>
      <c r="AJ319">
        <f t="shared" si="69"/>
        <v>0</v>
      </c>
      <c r="AK319">
        <f t="shared" si="69"/>
        <v>0</v>
      </c>
      <c r="AL319">
        <f t="shared" si="69"/>
        <v>0</v>
      </c>
      <c r="AM319">
        <f t="shared" si="69"/>
        <v>0</v>
      </c>
      <c r="AN319">
        <f t="shared" si="69"/>
        <v>0</v>
      </c>
      <c r="AO319">
        <f t="shared" si="69"/>
        <v>0</v>
      </c>
      <c r="AP319">
        <f t="shared" si="69"/>
        <v>0</v>
      </c>
      <c r="AQ319">
        <f t="shared" si="69"/>
        <v>0</v>
      </c>
      <c r="AR319">
        <f t="shared" si="69"/>
        <v>0</v>
      </c>
    </row>
    <row r="320" spans="5:44" x14ac:dyDescent="0.2">
      <c r="E320" s="1">
        <f>moment_rate!$M320</f>
        <v>1.6361211321673446</v>
      </c>
      <c r="F320" s="1">
        <f t="shared" si="59"/>
        <v>3.342344530996999E-2</v>
      </c>
      <c r="G320">
        <f>moment_rate!I320-0.005</f>
        <v>3.1299999999999772</v>
      </c>
      <c r="H320" s="1">
        <f t="shared" si="60"/>
        <v>0</v>
      </c>
      <c r="I320">
        <f t="shared" si="72"/>
        <v>0</v>
      </c>
      <c r="J320">
        <f t="shared" si="72"/>
        <v>0</v>
      </c>
      <c r="K320">
        <f t="shared" si="72"/>
        <v>0</v>
      </c>
      <c r="L320">
        <f t="shared" si="72"/>
        <v>0</v>
      </c>
      <c r="M320">
        <f t="shared" si="72"/>
        <v>0</v>
      </c>
      <c r="N320">
        <f t="shared" si="72"/>
        <v>0</v>
      </c>
      <c r="O320">
        <f t="shared" si="72"/>
        <v>0</v>
      </c>
      <c r="P320">
        <f t="shared" si="72"/>
        <v>0</v>
      </c>
      <c r="Q320">
        <f t="shared" si="72"/>
        <v>0</v>
      </c>
      <c r="R320">
        <f t="shared" si="72"/>
        <v>0</v>
      </c>
      <c r="S320">
        <f t="shared" si="72"/>
        <v>0</v>
      </c>
      <c r="T320">
        <f t="shared" si="72"/>
        <v>0</v>
      </c>
      <c r="U320">
        <f t="shared" si="72"/>
        <v>0</v>
      </c>
      <c r="V320">
        <f t="shared" si="72"/>
        <v>0</v>
      </c>
      <c r="W320">
        <f t="shared" si="72"/>
        <v>0</v>
      </c>
      <c r="X320">
        <f t="shared" si="72"/>
        <v>0</v>
      </c>
      <c r="Y320">
        <f t="shared" si="71"/>
        <v>0</v>
      </c>
      <c r="Z320">
        <f t="shared" si="70"/>
        <v>0</v>
      </c>
      <c r="AA320">
        <f t="shared" si="70"/>
        <v>0</v>
      </c>
      <c r="AB320">
        <f t="shared" si="70"/>
        <v>0</v>
      </c>
      <c r="AC320">
        <f t="shared" si="70"/>
        <v>0</v>
      </c>
      <c r="AD320">
        <f t="shared" si="70"/>
        <v>0</v>
      </c>
      <c r="AE320">
        <f t="shared" si="70"/>
        <v>0</v>
      </c>
      <c r="AF320">
        <f t="shared" si="70"/>
        <v>0</v>
      </c>
      <c r="AG320">
        <f t="shared" si="70"/>
        <v>0</v>
      </c>
      <c r="AH320">
        <f t="shared" si="70"/>
        <v>0</v>
      </c>
      <c r="AI320">
        <f t="shared" si="69"/>
        <v>0</v>
      </c>
      <c r="AJ320">
        <f t="shared" si="69"/>
        <v>0</v>
      </c>
      <c r="AK320">
        <f t="shared" si="69"/>
        <v>0</v>
      </c>
      <c r="AL320">
        <f t="shared" si="69"/>
        <v>0</v>
      </c>
      <c r="AM320">
        <f t="shared" si="69"/>
        <v>0</v>
      </c>
      <c r="AN320">
        <f t="shared" si="69"/>
        <v>0</v>
      </c>
      <c r="AO320">
        <f t="shared" si="69"/>
        <v>0</v>
      </c>
      <c r="AP320">
        <f t="shared" si="69"/>
        <v>0</v>
      </c>
      <c r="AQ320">
        <f t="shared" si="69"/>
        <v>0</v>
      </c>
      <c r="AR320">
        <f t="shared" si="69"/>
        <v>0</v>
      </c>
    </row>
    <row r="321" spans="5:44" x14ac:dyDescent="0.2">
      <c r="E321" s="1">
        <f>moment_rate!$M321</f>
        <v>1.6026976868573746</v>
      </c>
      <c r="F321" s="1">
        <f t="shared" si="59"/>
        <v>3.2737929958971179E-2</v>
      </c>
      <c r="G321">
        <f>moment_rate!I321-0.005</f>
        <v>3.139999999999977</v>
      </c>
      <c r="H321" s="1">
        <f t="shared" si="60"/>
        <v>0</v>
      </c>
      <c r="I321">
        <f t="shared" si="72"/>
        <v>0</v>
      </c>
      <c r="J321">
        <f t="shared" si="72"/>
        <v>0</v>
      </c>
      <c r="K321">
        <f t="shared" si="72"/>
        <v>0</v>
      </c>
      <c r="L321">
        <f t="shared" si="72"/>
        <v>0</v>
      </c>
      <c r="M321">
        <f t="shared" si="72"/>
        <v>0</v>
      </c>
      <c r="N321">
        <f t="shared" si="72"/>
        <v>0</v>
      </c>
      <c r="O321">
        <f t="shared" si="72"/>
        <v>0</v>
      </c>
      <c r="P321">
        <f t="shared" si="72"/>
        <v>0</v>
      </c>
      <c r="Q321">
        <f t="shared" si="72"/>
        <v>0</v>
      </c>
      <c r="R321">
        <f t="shared" si="72"/>
        <v>0</v>
      </c>
      <c r="S321">
        <f t="shared" si="72"/>
        <v>0</v>
      </c>
      <c r="T321">
        <f t="shared" si="72"/>
        <v>0</v>
      </c>
      <c r="U321">
        <f t="shared" si="72"/>
        <v>0</v>
      </c>
      <c r="V321">
        <f t="shared" si="72"/>
        <v>0</v>
      </c>
      <c r="W321">
        <f t="shared" si="72"/>
        <v>0</v>
      </c>
      <c r="X321">
        <f t="shared" si="72"/>
        <v>0</v>
      </c>
      <c r="Y321">
        <f t="shared" si="71"/>
        <v>0</v>
      </c>
      <c r="Z321">
        <f t="shared" si="70"/>
        <v>0</v>
      </c>
      <c r="AA321">
        <f t="shared" si="70"/>
        <v>0</v>
      </c>
      <c r="AB321">
        <f t="shared" si="70"/>
        <v>0</v>
      </c>
      <c r="AC321">
        <f t="shared" si="70"/>
        <v>0</v>
      </c>
      <c r="AD321">
        <f t="shared" si="70"/>
        <v>0</v>
      </c>
      <c r="AE321">
        <f t="shared" si="70"/>
        <v>0</v>
      </c>
      <c r="AF321">
        <f t="shared" si="70"/>
        <v>0</v>
      </c>
      <c r="AG321">
        <f t="shared" si="70"/>
        <v>0</v>
      </c>
      <c r="AH321">
        <f t="shared" si="70"/>
        <v>0</v>
      </c>
      <c r="AI321">
        <f t="shared" si="69"/>
        <v>0</v>
      </c>
      <c r="AJ321">
        <f t="shared" si="69"/>
        <v>0</v>
      </c>
      <c r="AK321">
        <f t="shared" si="69"/>
        <v>0</v>
      </c>
      <c r="AL321">
        <f t="shared" si="69"/>
        <v>0</v>
      </c>
      <c r="AM321">
        <f t="shared" si="69"/>
        <v>0</v>
      </c>
      <c r="AN321">
        <f t="shared" si="69"/>
        <v>0</v>
      </c>
      <c r="AO321">
        <f t="shared" si="69"/>
        <v>0</v>
      </c>
      <c r="AP321">
        <f t="shared" si="69"/>
        <v>0</v>
      </c>
      <c r="AQ321">
        <f t="shared" si="69"/>
        <v>0</v>
      </c>
      <c r="AR321">
        <f t="shared" si="69"/>
        <v>0</v>
      </c>
    </row>
    <row r="322" spans="5:44" x14ac:dyDescent="0.2">
      <c r="E322" s="1">
        <f>moment_rate!$M322</f>
        <v>1.5699597568984034</v>
      </c>
      <c r="F322" s="1">
        <f t="shared" si="59"/>
        <v>3.206647453782363E-2</v>
      </c>
      <c r="G322">
        <f>moment_rate!I322-0.005</f>
        <v>3.1499999999999768</v>
      </c>
      <c r="H322" s="1">
        <f t="shared" si="60"/>
        <v>0</v>
      </c>
      <c r="I322">
        <f t="shared" si="72"/>
        <v>0</v>
      </c>
      <c r="J322">
        <f t="shared" si="72"/>
        <v>0</v>
      </c>
      <c r="K322">
        <f t="shared" si="72"/>
        <v>0</v>
      </c>
      <c r="L322">
        <f t="shared" si="72"/>
        <v>0</v>
      </c>
      <c r="M322">
        <f t="shared" si="72"/>
        <v>0</v>
      </c>
      <c r="N322">
        <f t="shared" si="72"/>
        <v>0</v>
      </c>
      <c r="O322">
        <f t="shared" si="72"/>
        <v>0</v>
      </c>
      <c r="P322">
        <f t="shared" si="72"/>
        <v>0</v>
      </c>
      <c r="Q322">
        <f t="shared" si="72"/>
        <v>0</v>
      </c>
      <c r="R322">
        <f t="shared" si="72"/>
        <v>0</v>
      </c>
      <c r="S322">
        <f t="shared" si="72"/>
        <v>0</v>
      </c>
      <c r="T322">
        <f t="shared" si="72"/>
        <v>0</v>
      </c>
      <c r="U322">
        <f t="shared" si="72"/>
        <v>0</v>
      </c>
      <c r="V322">
        <f t="shared" si="72"/>
        <v>0</v>
      </c>
      <c r="W322">
        <f t="shared" si="72"/>
        <v>0</v>
      </c>
      <c r="X322">
        <f t="shared" si="72"/>
        <v>0</v>
      </c>
      <c r="Y322">
        <f t="shared" si="71"/>
        <v>0</v>
      </c>
      <c r="Z322">
        <f t="shared" si="70"/>
        <v>0</v>
      </c>
      <c r="AA322">
        <f t="shared" si="70"/>
        <v>0</v>
      </c>
      <c r="AB322">
        <f t="shared" si="70"/>
        <v>0</v>
      </c>
      <c r="AC322">
        <f t="shared" si="70"/>
        <v>0</v>
      </c>
      <c r="AD322">
        <f t="shared" si="70"/>
        <v>0</v>
      </c>
      <c r="AE322">
        <f t="shared" si="70"/>
        <v>0</v>
      </c>
      <c r="AF322">
        <f t="shared" si="70"/>
        <v>0</v>
      </c>
      <c r="AG322">
        <f t="shared" si="70"/>
        <v>0</v>
      </c>
      <c r="AH322">
        <f t="shared" si="70"/>
        <v>0</v>
      </c>
      <c r="AI322">
        <f t="shared" si="69"/>
        <v>0</v>
      </c>
      <c r="AJ322">
        <f t="shared" si="69"/>
        <v>0</v>
      </c>
      <c r="AK322">
        <f t="shared" si="69"/>
        <v>0</v>
      </c>
      <c r="AL322">
        <f t="shared" si="69"/>
        <v>0</v>
      </c>
      <c r="AM322">
        <f t="shared" si="69"/>
        <v>0</v>
      </c>
      <c r="AN322">
        <f t="shared" si="69"/>
        <v>0</v>
      </c>
      <c r="AO322">
        <f t="shared" si="69"/>
        <v>0</v>
      </c>
      <c r="AP322">
        <f t="shared" si="69"/>
        <v>0</v>
      </c>
      <c r="AQ322">
        <f t="shared" si="69"/>
        <v>0</v>
      </c>
      <c r="AR322">
        <f t="shared" si="69"/>
        <v>0</v>
      </c>
    </row>
    <row r="323" spans="5:44" x14ac:dyDescent="0.2">
      <c r="E323" s="1">
        <f>moment_rate!$M323</f>
        <v>1.5378932823605798</v>
      </c>
      <c r="F323" s="1">
        <f t="shared" si="59"/>
        <v>3.1408790677160958E-2</v>
      </c>
      <c r="G323">
        <f>moment_rate!I323-0.005</f>
        <v>3.1599999999999766</v>
      </c>
      <c r="H323" s="1">
        <f t="shared" si="60"/>
        <v>0</v>
      </c>
      <c r="I323">
        <f t="shared" si="72"/>
        <v>0</v>
      </c>
      <c r="J323">
        <f t="shared" si="72"/>
        <v>0</v>
      </c>
      <c r="K323">
        <f t="shared" si="72"/>
        <v>0</v>
      </c>
      <c r="L323">
        <f t="shared" si="72"/>
        <v>0</v>
      </c>
      <c r="M323">
        <f t="shared" si="72"/>
        <v>0</v>
      </c>
      <c r="N323">
        <f t="shared" si="72"/>
        <v>0</v>
      </c>
      <c r="O323">
        <f t="shared" si="72"/>
        <v>0</v>
      </c>
      <c r="P323">
        <f t="shared" si="72"/>
        <v>0</v>
      </c>
      <c r="Q323">
        <f t="shared" si="72"/>
        <v>0</v>
      </c>
      <c r="R323">
        <f t="shared" si="72"/>
        <v>0</v>
      </c>
      <c r="S323">
        <f t="shared" si="72"/>
        <v>0</v>
      </c>
      <c r="T323">
        <f t="shared" si="72"/>
        <v>0</v>
      </c>
      <c r="U323">
        <f t="shared" si="72"/>
        <v>0</v>
      </c>
      <c r="V323">
        <f t="shared" si="72"/>
        <v>0</v>
      </c>
      <c r="W323">
        <f t="shared" si="72"/>
        <v>0</v>
      </c>
      <c r="X323">
        <f t="shared" si="72"/>
        <v>0</v>
      </c>
      <c r="Y323">
        <f t="shared" si="71"/>
        <v>0</v>
      </c>
      <c r="Z323">
        <f t="shared" si="71"/>
        <v>0</v>
      </c>
      <c r="AA323">
        <f t="shared" si="71"/>
        <v>0</v>
      </c>
      <c r="AB323">
        <f t="shared" si="71"/>
        <v>0</v>
      </c>
      <c r="AC323">
        <f t="shared" si="71"/>
        <v>0</v>
      </c>
      <c r="AD323">
        <f t="shared" si="71"/>
        <v>0</v>
      </c>
      <c r="AE323">
        <f t="shared" si="71"/>
        <v>0</v>
      </c>
      <c r="AF323">
        <f t="shared" si="71"/>
        <v>0</v>
      </c>
      <c r="AG323">
        <f t="shared" si="71"/>
        <v>0</v>
      </c>
      <c r="AH323">
        <f t="shared" si="71"/>
        <v>0</v>
      </c>
      <c r="AI323">
        <f t="shared" si="71"/>
        <v>0</v>
      </c>
      <c r="AJ323">
        <f t="shared" si="71"/>
        <v>0</v>
      </c>
      <c r="AK323">
        <f t="shared" si="71"/>
        <v>0</v>
      </c>
      <c r="AL323">
        <f t="shared" si="71"/>
        <v>0</v>
      </c>
      <c r="AM323">
        <f t="shared" si="71"/>
        <v>0</v>
      </c>
      <c r="AN323">
        <f t="shared" si="69"/>
        <v>0</v>
      </c>
      <c r="AO323">
        <f t="shared" si="69"/>
        <v>0</v>
      </c>
      <c r="AP323">
        <f t="shared" si="69"/>
        <v>0</v>
      </c>
      <c r="AQ323">
        <f t="shared" si="69"/>
        <v>0</v>
      </c>
      <c r="AR323">
        <f t="shared" si="69"/>
        <v>0</v>
      </c>
    </row>
    <row r="324" spans="5:44" x14ac:dyDescent="0.2">
      <c r="E324" s="1">
        <f>moment_rate!$M324</f>
        <v>1.5064844916834188</v>
      </c>
      <c r="F324" s="1">
        <f t="shared" si="59"/>
        <v>3.0764595922077476E-2</v>
      </c>
      <c r="G324">
        <f>moment_rate!I324-0.005</f>
        <v>3.1699999999999764</v>
      </c>
      <c r="H324" s="1">
        <f t="shared" si="60"/>
        <v>0</v>
      </c>
      <c r="I324">
        <f t="shared" si="72"/>
        <v>0</v>
      </c>
      <c r="J324">
        <f t="shared" si="72"/>
        <v>0</v>
      </c>
      <c r="K324">
        <f t="shared" si="72"/>
        <v>0</v>
      </c>
      <c r="L324">
        <f t="shared" si="72"/>
        <v>0</v>
      </c>
      <c r="M324">
        <f t="shared" si="72"/>
        <v>0</v>
      </c>
      <c r="N324">
        <f t="shared" si="72"/>
        <v>0</v>
      </c>
      <c r="O324">
        <f t="shared" si="72"/>
        <v>0</v>
      </c>
      <c r="P324">
        <f t="shared" si="72"/>
        <v>0</v>
      </c>
      <c r="Q324">
        <f t="shared" si="72"/>
        <v>0</v>
      </c>
      <c r="R324">
        <f t="shared" si="72"/>
        <v>0</v>
      </c>
      <c r="S324">
        <f t="shared" si="72"/>
        <v>0</v>
      </c>
      <c r="T324">
        <f t="shared" si="72"/>
        <v>0</v>
      </c>
      <c r="U324">
        <f t="shared" si="72"/>
        <v>0</v>
      </c>
      <c r="V324">
        <f t="shared" si="72"/>
        <v>0</v>
      </c>
      <c r="W324">
        <f t="shared" si="72"/>
        <v>0</v>
      </c>
      <c r="X324">
        <f t="shared" si="72"/>
        <v>0</v>
      </c>
      <c r="Y324">
        <f t="shared" si="71"/>
        <v>0</v>
      </c>
      <c r="Z324">
        <f t="shared" si="71"/>
        <v>0</v>
      </c>
      <c r="AA324">
        <f t="shared" si="71"/>
        <v>0</v>
      </c>
      <c r="AB324">
        <f t="shared" si="71"/>
        <v>0</v>
      </c>
      <c r="AC324">
        <f t="shared" si="71"/>
        <v>0</v>
      </c>
      <c r="AD324">
        <f t="shared" si="71"/>
        <v>0</v>
      </c>
      <c r="AE324">
        <f t="shared" si="71"/>
        <v>0</v>
      </c>
      <c r="AF324">
        <f t="shared" si="71"/>
        <v>0</v>
      </c>
      <c r="AG324">
        <f t="shared" si="71"/>
        <v>0</v>
      </c>
      <c r="AH324">
        <f t="shared" si="71"/>
        <v>0</v>
      </c>
      <c r="AI324">
        <f t="shared" si="71"/>
        <v>0</v>
      </c>
      <c r="AJ324">
        <f t="shared" si="71"/>
        <v>0</v>
      </c>
      <c r="AK324">
        <f t="shared" si="71"/>
        <v>0</v>
      </c>
      <c r="AL324">
        <f t="shared" si="71"/>
        <v>0</v>
      </c>
      <c r="AM324">
        <f t="shared" si="71"/>
        <v>0</v>
      </c>
      <c r="AN324">
        <f t="shared" si="69"/>
        <v>0</v>
      </c>
      <c r="AO324">
        <f t="shared" si="69"/>
        <v>0</v>
      </c>
      <c r="AP324">
        <f t="shared" si="69"/>
        <v>0</v>
      </c>
      <c r="AQ324">
        <f t="shared" si="69"/>
        <v>0</v>
      </c>
      <c r="AR324">
        <f t="shared" si="69"/>
        <v>0</v>
      </c>
    </row>
    <row r="325" spans="5:44" x14ac:dyDescent="0.2">
      <c r="E325" s="1">
        <f>moment_rate!$M325</f>
        <v>1.4757198957613413</v>
      </c>
      <c r="F325" s="1">
        <f t="shared" si="59"/>
        <v>3.0133613610820342E-2</v>
      </c>
      <c r="G325">
        <f>moment_rate!I325-0.005</f>
        <v>3.1799999999999762</v>
      </c>
      <c r="H325" s="1">
        <f t="shared" si="60"/>
        <v>0</v>
      </c>
      <c r="I325">
        <f t="shared" si="72"/>
        <v>0</v>
      </c>
      <c r="J325">
        <f t="shared" si="72"/>
        <v>0</v>
      </c>
      <c r="K325">
        <f t="shared" si="72"/>
        <v>0</v>
      </c>
      <c r="L325">
        <f t="shared" si="72"/>
        <v>0</v>
      </c>
      <c r="M325">
        <f t="shared" si="72"/>
        <v>0</v>
      </c>
      <c r="N325">
        <f t="shared" si="72"/>
        <v>0</v>
      </c>
      <c r="O325">
        <f t="shared" si="72"/>
        <v>0</v>
      </c>
      <c r="P325">
        <f t="shared" si="72"/>
        <v>0</v>
      </c>
      <c r="Q325">
        <f t="shared" si="72"/>
        <v>0</v>
      </c>
      <c r="R325">
        <f t="shared" si="72"/>
        <v>0</v>
      </c>
      <c r="S325">
        <f t="shared" si="72"/>
        <v>0</v>
      </c>
      <c r="T325">
        <f t="shared" si="72"/>
        <v>0</v>
      </c>
      <c r="U325">
        <f t="shared" si="72"/>
        <v>0</v>
      </c>
      <c r="V325">
        <f t="shared" si="72"/>
        <v>0</v>
      </c>
      <c r="W325">
        <f t="shared" si="72"/>
        <v>0</v>
      </c>
      <c r="X325">
        <f t="shared" si="72"/>
        <v>0</v>
      </c>
      <c r="Y325">
        <f t="shared" si="71"/>
        <v>0</v>
      </c>
      <c r="Z325">
        <f t="shared" si="71"/>
        <v>0</v>
      </c>
      <c r="AA325">
        <f t="shared" si="71"/>
        <v>0</v>
      </c>
      <c r="AB325">
        <f t="shared" si="71"/>
        <v>0</v>
      </c>
      <c r="AC325">
        <f t="shared" si="71"/>
        <v>0</v>
      </c>
      <c r="AD325">
        <f t="shared" si="71"/>
        <v>0</v>
      </c>
      <c r="AE325">
        <f t="shared" si="71"/>
        <v>0</v>
      </c>
      <c r="AF325">
        <f t="shared" si="71"/>
        <v>0</v>
      </c>
      <c r="AG325">
        <f t="shared" si="71"/>
        <v>0</v>
      </c>
      <c r="AH325">
        <f t="shared" si="71"/>
        <v>0</v>
      </c>
      <c r="AI325">
        <f t="shared" si="71"/>
        <v>0</v>
      </c>
      <c r="AJ325">
        <f t="shared" si="71"/>
        <v>0</v>
      </c>
      <c r="AK325">
        <f t="shared" si="71"/>
        <v>0</v>
      </c>
      <c r="AL325">
        <f t="shared" si="71"/>
        <v>0</v>
      </c>
      <c r="AM325">
        <f t="shared" si="71"/>
        <v>0</v>
      </c>
      <c r="AN325">
        <f t="shared" si="69"/>
        <v>0</v>
      </c>
      <c r="AO325">
        <f t="shared" si="69"/>
        <v>0</v>
      </c>
      <c r="AP325">
        <f t="shared" si="69"/>
        <v>0</v>
      </c>
      <c r="AQ325">
        <f t="shared" si="69"/>
        <v>0</v>
      </c>
      <c r="AR325">
        <f t="shared" si="69"/>
        <v>0</v>
      </c>
    </row>
    <row r="326" spans="5:44" x14ac:dyDescent="0.2">
      <c r="E326" s="1">
        <f>moment_rate!$M326</f>
        <v>1.445586282150521</v>
      </c>
      <c r="F326" s="1">
        <f t="shared" si="59"/>
        <v>2.9515572755973718E-2</v>
      </c>
      <c r="G326">
        <f>moment_rate!I326-0.005</f>
        <v>3.189999999999976</v>
      </c>
      <c r="H326" s="1">
        <f t="shared" si="60"/>
        <v>0</v>
      </c>
      <c r="I326">
        <f t="shared" si="72"/>
        <v>0</v>
      </c>
      <c r="J326">
        <f t="shared" si="72"/>
        <v>0</v>
      </c>
      <c r="K326">
        <f t="shared" si="72"/>
        <v>0</v>
      </c>
      <c r="L326">
        <f t="shared" si="72"/>
        <v>0</v>
      </c>
      <c r="M326">
        <f t="shared" si="72"/>
        <v>0</v>
      </c>
      <c r="N326">
        <f t="shared" si="72"/>
        <v>0</v>
      </c>
      <c r="O326">
        <f t="shared" si="72"/>
        <v>0</v>
      </c>
      <c r="P326">
        <f t="shared" si="72"/>
        <v>0</v>
      </c>
      <c r="Q326">
        <f t="shared" si="72"/>
        <v>0</v>
      </c>
      <c r="R326">
        <f t="shared" si="72"/>
        <v>0</v>
      </c>
      <c r="S326">
        <f t="shared" si="72"/>
        <v>0</v>
      </c>
      <c r="T326">
        <f t="shared" si="72"/>
        <v>0</v>
      </c>
      <c r="U326">
        <f t="shared" si="72"/>
        <v>0</v>
      </c>
      <c r="V326">
        <f t="shared" si="72"/>
        <v>0</v>
      </c>
      <c r="W326">
        <f t="shared" si="72"/>
        <v>0</v>
      </c>
      <c r="X326">
        <f t="shared" si="72"/>
        <v>0</v>
      </c>
      <c r="Y326">
        <f t="shared" si="71"/>
        <v>0</v>
      </c>
      <c r="Z326">
        <f t="shared" si="71"/>
        <v>0</v>
      </c>
      <c r="AA326">
        <f t="shared" si="71"/>
        <v>0</v>
      </c>
      <c r="AB326">
        <f t="shared" si="71"/>
        <v>0</v>
      </c>
      <c r="AC326">
        <f t="shared" si="71"/>
        <v>0</v>
      </c>
      <c r="AD326">
        <f t="shared" si="71"/>
        <v>0</v>
      </c>
      <c r="AE326">
        <f t="shared" si="71"/>
        <v>0</v>
      </c>
      <c r="AF326">
        <f t="shared" si="71"/>
        <v>0</v>
      </c>
      <c r="AG326">
        <f t="shared" si="71"/>
        <v>0</v>
      </c>
      <c r="AH326">
        <f t="shared" si="71"/>
        <v>0</v>
      </c>
      <c r="AI326">
        <f t="shared" si="71"/>
        <v>0</v>
      </c>
      <c r="AJ326">
        <f t="shared" si="71"/>
        <v>0</v>
      </c>
      <c r="AK326">
        <f t="shared" si="71"/>
        <v>0</v>
      </c>
      <c r="AL326">
        <f t="shared" si="71"/>
        <v>0</v>
      </c>
      <c r="AM326">
        <f t="shared" si="71"/>
        <v>0</v>
      </c>
      <c r="AN326">
        <f t="shared" si="69"/>
        <v>0</v>
      </c>
      <c r="AO326">
        <f t="shared" si="69"/>
        <v>0</v>
      </c>
      <c r="AP326">
        <f t="shared" si="69"/>
        <v>0</v>
      </c>
      <c r="AQ326">
        <f t="shared" si="69"/>
        <v>0</v>
      </c>
      <c r="AR326">
        <f t="shared" si="69"/>
        <v>0</v>
      </c>
    </row>
    <row r="327" spans="5:44" x14ac:dyDescent="0.2">
      <c r="E327" s="1">
        <f>moment_rate!$M327</f>
        <v>1.4160707093945473</v>
      </c>
      <c r="F327" s="1">
        <f t="shared" si="59"/>
        <v>2.891020792807808E-2</v>
      </c>
      <c r="G327">
        <f>moment_rate!I327-0.005</f>
        <v>3.1999999999999758</v>
      </c>
      <c r="H327" s="1">
        <f t="shared" si="60"/>
        <v>0</v>
      </c>
      <c r="I327">
        <f t="shared" si="72"/>
        <v>0</v>
      </c>
      <c r="J327">
        <f t="shared" si="72"/>
        <v>0</v>
      </c>
      <c r="K327">
        <f t="shared" si="72"/>
        <v>0</v>
      </c>
      <c r="L327">
        <f t="shared" si="72"/>
        <v>0</v>
      </c>
      <c r="M327">
        <f t="shared" si="72"/>
        <v>0</v>
      </c>
      <c r="N327">
        <f t="shared" si="72"/>
        <v>0</v>
      </c>
      <c r="O327">
        <f t="shared" si="72"/>
        <v>0</v>
      </c>
      <c r="P327">
        <f t="shared" si="72"/>
        <v>0</v>
      </c>
      <c r="Q327">
        <f t="shared" si="72"/>
        <v>0</v>
      </c>
      <c r="R327">
        <f t="shared" si="72"/>
        <v>0</v>
      </c>
      <c r="S327">
        <f t="shared" si="72"/>
        <v>0</v>
      </c>
      <c r="T327">
        <f t="shared" si="72"/>
        <v>0</v>
      </c>
      <c r="U327">
        <f t="shared" si="72"/>
        <v>0</v>
      </c>
      <c r="V327">
        <f t="shared" si="72"/>
        <v>0</v>
      </c>
      <c r="W327">
        <f t="shared" si="72"/>
        <v>0</v>
      </c>
      <c r="X327">
        <f t="shared" si="72"/>
        <v>0</v>
      </c>
      <c r="Y327">
        <f t="shared" si="71"/>
        <v>0</v>
      </c>
      <c r="Z327">
        <f t="shared" si="71"/>
        <v>0</v>
      </c>
      <c r="AA327">
        <f t="shared" si="71"/>
        <v>0</v>
      </c>
      <c r="AB327">
        <f t="shared" si="71"/>
        <v>0</v>
      </c>
      <c r="AC327">
        <f t="shared" si="71"/>
        <v>0</v>
      </c>
      <c r="AD327">
        <f t="shared" si="71"/>
        <v>0</v>
      </c>
      <c r="AE327">
        <f t="shared" si="71"/>
        <v>0</v>
      </c>
      <c r="AF327">
        <f t="shared" si="71"/>
        <v>0</v>
      </c>
      <c r="AG327">
        <f t="shared" si="71"/>
        <v>0</v>
      </c>
      <c r="AH327">
        <f t="shared" si="71"/>
        <v>0</v>
      </c>
      <c r="AI327">
        <f t="shared" si="71"/>
        <v>0</v>
      </c>
      <c r="AJ327">
        <f t="shared" si="71"/>
        <v>0</v>
      </c>
      <c r="AK327">
        <f t="shared" si="71"/>
        <v>0</v>
      </c>
      <c r="AL327">
        <f t="shared" si="71"/>
        <v>0</v>
      </c>
      <c r="AM327">
        <f t="shared" si="71"/>
        <v>0</v>
      </c>
      <c r="AN327">
        <f t="shared" si="69"/>
        <v>0</v>
      </c>
      <c r="AO327">
        <f t="shared" si="69"/>
        <v>0</v>
      </c>
      <c r="AP327">
        <f t="shared" si="69"/>
        <v>0</v>
      </c>
      <c r="AQ327">
        <f t="shared" si="69"/>
        <v>0</v>
      </c>
      <c r="AR327">
        <f t="shared" si="69"/>
        <v>0</v>
      </c>
    </row>
    <row r="328" spans="5:44" x14ac:dyDescent="0.2">
      <c r="E328" s="1">
        <f>moment_rate!$M328</f>
        <v>1.3871605014664692</v>
      </c>
      <c r="F328" s="1">
        <f t="shared" ref="F328:F391" si="73">E328-E329</f>
        <v>2.8317259141635631E-2</v>
      </c>
      <c r="G328">
        <f>moment_rate!I328-0.005</f>
        <v>3.2099999999999755</v>
      </c>
      <c r="H328" s="1">
        <f t="shared" ref="H328:H391" si="74">IF($G328&gt;=4.999,(E328-E329),0)</f>
        <v>0</v>
      </c>
      <c r="I328">
        <f t="shared" si="72"/>
        <v>0</v>
      </c>
      <c r="J328">
        <f t="shared" si="72"/>
        <v>0</v>
      </c>
      <c r="K328">
        <f t="shared" si="72"/>
        <v>0</v>
      </c>
      <c r="L328">
        <f t="shared" si="72"/>
        <v>0</v>
      </c>
      <c r="M328">
        <f t="shared" si="72"/>
        <v>0</v>
      </c>
      <c r="N328">
        <f t="shared" si="72"/>
        <v>0</v>
      </c>
      <c r="O328">
        <f t="shared" si="72"/>
        <v>0</v>
      </c>
      <c r="P328">
        <f t="shared" si="72"/>
        <v>0</v>
      </c>
      <c r="Q328">
        <f t="shared" si="72"/>
        <v>0</v>
      </c>
      <c r="R328">
        <f t="shared" si="72"/>
        <v>0</v>
      </c>
      <c r="S328">
        <f t="shared" si="72"/>
        <v>0</v>
      </c>
      <c r="T328">
        <f t="shared" si="72"/>
        <v>0</v>
      </c>
      <c r="U328">
        <f t="shared" si="72"/>
        <v>0</v>
      </c>
      <c r="V328">
        <f t="shared" si="72"/>
        <v>0</v>
      </c>
      <c r="W328">
        <f t="shared" si="72"/>
        <v>0</v>
      </c>
      <c r="X328">
        <f t="shared" si="72"/>
        <v>0</v>
      </c>
      <c r="Y328">
        <f t="shared" si="71"/>
        <v>0</v>
      </c>
      <c r="Z328">
        <f t="shared" si="71"/>
        <v>0</v>
      </c>
      <c r="AA328">
        <f t="shared" si="71"/>
        <v>0</v>
      </c>
      <c r="AB328">
        <f t="shared" si="71"/>
        <v>0</v>
      </c>
      <c r="AC328">
        <f t="shared" si="71"/>
        <v>0</v>
      </c>
      <c r="AD328">
        <f t="shared" si="71"/>
        <v>0</v>
      </c>
      <c r="AE328">
        <f t="shared" si="71"/>
        <v>0</v>
      </c>
      <c r="AF328">
        <f t="shared" si="71"/>
        <v>0</v>
      </c>
      <c r="AG328">
        <f t="shared" si="71"/>
        <v>0</v>
      </c>
      <c r="AH328">
        <f t="shared" si="71"/>
        <v>0</v>
      </c>
      <c r="AI328">
        <f t="shared" si="71"/>
        <v>0</v>
      </c>
      <c r="AJ328">
        <f t="shared" si="71"/>
        <v>0</v>
      </c>
      <c r="AK328">
        <f t="shared" si="71"/>
        <v>0</v>
      </c>
      <c r="AL328">
        <f t="shared" si="71"/>
        <v>0</v>
      </c>
      <c r="AM328">
        <f t="shared" si="71"/>
        <v>0</v>
      </c>
      <c r="AN328">
        <f t="shared" si="69"/>
        <v>0</v>
      </c>
      <c r="AO328">
        <f t="shared" si="69"/>
        <v>0</v>
      </c>
      <c r="AP328">
        <f t="shared" si="69"/>
        <v>0</v>
      </c>
      <c r="AQ328">
        <f t="shared" si="69"/>
        <v>0</v>
      </c>
      <c r="AR328">
        <f t="shared" si="69"/>
        <v>0</v>
      </c>
    </row>
    <row r="329" spans="5:44" x14ac:dyDescent="0.2">
      <c r="E329" s="1">
        <f>moment_rate!$M329</f>
        <v>1.3588432423248336</v>
      </c>
      <c r="F329" s="1">
        <f t="shared" si="73"/>
        <v>2.7736471743455171E-2</v>
      </c>
      <c r="G329">
        <f>moment_rate!I329-0.005</f>
        <v>3.2199999999999753</v>
      </c>
      <c r="H329" s="1">
        <f t="shared" si="74"/>
        <v>0</v>
      </c>
      <c r="I329">
        <f t="shared" si="72"/>
        <v>0</v>
      </c>
      <c r="J329">
        <f t="shared" si="72"/>
        <v>0</v>
      </c>
      <c r="K329">
        <f t="shared" si="72"/>
        <v>0</v>
      </c>
      <c r="L329">
        <f t="shared" si="72"/>
        <v>0</v>
      </c>
      <c r="M329">
        <f t="shared" si="72"/>
        <v>0</v>
      </c>
      <c r="N329">
        <f t="shared" si="72"/>
        <v>0</v>
      </c>
      <c r="O329">
        <f t="shared" si="72"/>
        <v>0</v>
      </c>
      <c r="P329">
        <f t="shared" si="72"/>
        <v>0</v>
      </c>
      <c r="Q329">
        <f t="shared" si="72"/>
        <v>0</v>
      </c>
      <c r="R329">
        <f t="shared" si="72"/>
        <v>0</v>
      </c>
      <c r="S329">
        <f t="shared" si="72"/>
        <v>0</v>
      </c>
      <c r="T329">
        <f t="shared" si="72"/>
        <v>0</v>
      </c>
      <c r="U329">
        <f t="shared" si="72"/>
        <v>0</v>
      </c>
      <c r="V329">
        <f t="shared" si="72"/>
        <v>0</v>
      </c>
      <c r="W329">
        <f t="shared" si="72"/>
        <v>0</v>
      </c>
      <c r="X329">
        <f t="shared" si="72"/>
        <v>0</v>
      </c>
      <c r="Y329">
        <f t="shared" si="71"/>
        <v>0</v>
      </c>
      <c r="Z329">
        <f t="shared" si="71"/>
        <v>0</v>
      </c>
      <c r="AA329">
        <f t="shared" si="71"/>
        <v>0</v>
      </c>
      <c r="AB329">
        <f t="shared" si="71"/>
        <v>0</v>
      </c>
      <c r="AC329">
        <f t="shared" si="71"/>
        <v>0</v>
      </c>
      <c r="AD329">
        <f t="shared" si="71"/>
        <v>0</v>
      </c>
      <c r="AE329">
        <f t="shared" si="71"/>
        <v>0</v>
      </c>
      <c r="AF329">
        <f t="shared" si="71"/>
        <v>0</v>
      </c>
      <c r="AG329">
        <f t="shared" si="71"/>
        <v>0</v>
      </c>
      <c r="AH329">
        <f t="shared" si="71"/>
        <v>0</v>
      </c>
      <c r="AI329">
        <f t="shared" si="71"/>
        <v>0</v>
      </c>
      <c r="AJ329">
        <f t="shared" si="71"/>
        <v>0</v>
      </c>
      <c r="AK329">
        <f t="shared" si="71"/>
        <v>0</v>
      </c>
      <c r="AL329">
        <f t="shared" si="71"/>
        <v>0</v>
      </c>
      <c r="AM329">
        <f t="shared" si="71"/>
        <v>0</v>
      </c>
      <c r="AN329">
        <f t="shared" si="69"/>
        <v>0</v>
      </c>
      <c r="AO329">
        <f t="shared" si="69"/>
        <v>0</v>
      </c>
      <c r="AP329">
        <f t="shared" si="69"/>
        <v>0</v>
      </c>
      <c r="AQ329">
        <f t="shared" si="69"/>
        <v>0</v>
      </c>
      <c r="AR329">
        <f t="shared" si="69"/>
        <v>0</v>
      </c>
    </row>
    <row r="330" spans="5:44" x14ac:dyDescent="0.2">
      <c r="E330" s="1">
        <f>moment_rate!$M330</f>
        <v>1.3311067705813784</v>
      </c>
      <c r="F330" s="1">
        <f t="shared" si="73"/>
        <v>2.7167596303285579E-2</v>
      </c>
      <c r="G330">
        <f>moment_rate!I330-0.005</f>
        <v>3.2299999999999751</v>
      </c>
      <c r="H330" s="1">
        <f t="shared" si="74"/>
        <v>0</v>
      </c>
      <c r="I330">
        <f t="shared" si="72"/>
        <v>0</v>
      </c>
      <c r="J330">
        <f t="shared" si="72"/>
        <v>0</v>
      </c>
      <c r="K330">
        <f t="shared" si="72"/>
        <v>0</v>
      </c>
      <c r="L330">
        <f t="shared" si="72"/>
        <v>0</v>
      </c>
      <c r="M330">
        <f t="shared" si="72"/>
        <v>0</v>
      </c>
      <c r="N330">
        <f t="shared" si="72"/>
        <v>0</v>
      </c>
      <c r="O330">
        <f t="shared" si="72"/>
        <v>0</v>
      </c>
      <c r="P330">
        <f t="shared" si="72"/>
        <v>0</v>
      </c>
      <c r="Q330">
        <f t="shared" si="72"/>
        <v>0</v>
      </c>
      <c r="R330">
        <f t="shared" si="72"/>
        <v>0</v>
      </c>
      <c r="S330">
        <f t="shared" si="72"/>
        <v>0</v>
      </c>
      <c r="T330">
        <f t="shared" si="72"/>
        <v>0</v>
      </c>
      <c r="U330">
        <f t="shared" si="72"/>
        <v>0</v>
      </c>
      <c r="V330">
        <f t="shared" si="72"/>
        <v>0</v>
      </c>
      <c r="W330">
        <f t="shared" si="72"/>
        <v>0</v>
      </c>
      <c r="X330">
        <f t="shared" si="72"/>
        <v>0</v>
      </c>
      <c r="Y330">
        <f t="shared" si="71"/>
        <v>0</v>
      </c>
      <c r="Z330">
        <f t="shared" si="71"/>
        <v>0</v>
      </c>
      <c r="AA330">
        <f t="shared" si="71"/>
        <v>0</v>
      </c>
      <c r="AB330">
        <f t="shared" si="71"/>
        <v>0</v>
      </c>
      <c r="AC330">
        <f t="shared" si="71"/>
        <v>0</v>
      </c>
      <c r="AD330">
        <f t="shared" si="71"/>
        <v>0</v>
      </c>
      <c r="AE330">
        <f t="shared" si="71"/>
        <v>0</v>
      </c>
      <c r="AF330">
        <f t="shared" si="71"/>
        <v>0</v>
      </c>
      <c r="AG330">
        <f t="shared" si="71"/>
        <v>0</v>
      </c>
      <c r="AH330">
        <f t="shared" si="71"/>
        <v>0</v>
      </c>
      <c r="AI330">
        <f t="shared" si="71"/>
        <v>0</v>
      </c>
      <c r="AJ330">
        <f t="shared" si="71"/>
        <v>0</v>
      </c>
      <c r="AK330">
        <f t="shared" si="71"/>
        <v>0</v>
      </c>
      <c r="AL330">
        <f t="shared" si="71"/>
        <v>0</v>
      </c>
      <c r="AM330">
        <f t="shared" si="71"/>
        <v>0</v>
      </c>
      <c r="AN330">
        <f t="shared" si="69"/>
        <v>0</v>
      </c>
      <c r="AO330">
        <f t="shared" si="69"/>
        <v>0</v>
      </c>
      <c r="AP330">
        <f t="shared" si="69"/>
        <v>0</v>
      </c>
      <c r="AQ330">
        <f t="shared" si="69"/>
        <v>0</v>
      </c>
      <c r="AR330">
        <f t="shared" si="69"/>
        <v>0</v>
      </c>
    </row>
    <row r="331" spans="5:44" x14ac:dyDescent="0.2">
      <c r="E331" s="1">
        <f>moment_rate!$M331</f>
        <v>1.3039391742780928</v>
      </c>
      <c r="F331" s="1">
        <f t="shared" si="73"/>
        <v>2.6610388506694393E-2</v>
      </c>
      <c r="G331">
        <f>moment_rate!I331-0.005</f>
        <v>3.2399999999999749</v>
      </c>
      <c r="H331" s="1">
        <f t="shared" si="74"/>
        <v>0</v>
      </c>
      <c r="I331">
        <f t="shared" si="72"/>
        <v>0</v>
      </c>
      <c r="J331">
        <f t="shared" si="72"/>
        <v>0</v>
      </c>
      <c r="K331">
        <f t="shared" si="72"/>
        <v>0</v>
      </c>
      <c r="L331">
        <f t="shared" si="72"/>
        <v>0</v>
      </c>
      <c r="M331">
        <f t="shared" si="72"/>
        <v>0</v>
      </c>
      <c r="N331">
        <f t="shared" si="72"/>
        <v>0</v>
      </c>
      <c r="O331">
        <f t="shared" si="72"/>
        <v>0</v>
      </c>
      <c r="P331">
        <f t="shared" si="72"/>
        <v>0</v>
      </c>
      <c r="Q331">
        <f t="shared" si="72"/>
        <v>0</v>
      </c>
      <c r="R331">
        <f t="shared" si="72"/>
        <v>0</v>
      </c>
      <c r="S331">
        <f t="shared" si="72"/>
        <v>0</v>
      </c>
      <c r="T331">
        <f t="shared" si="72"/>
        <v>0</v>
      </c>
      <c r="U331">
        <f t="shared" si="72"/>
        <v>0</v>
      </c>
      <c r="V331">
        <f t="shared" si="72"/>
        <v>0</v>
      </c>
      <c r="W331">
        <f t="shared" si="72"/>
        <v>0</v>
      </c>
      <c r="X331">
        <f t="shared" si="72"/>
        <v>0</v>
      </c>
      <c r="Y331">
        <f t="shared" si="71"/>
        <v>0</v>
      </c>
      <c r="Z331">
        <f t="shared" si="71"/>
        <v>0</v>
      </c>
      <c r="AA331">
        <f t="shared" si="71"/>
        <v>0</v>
      </c>
      <c r="AB331">
        <f t="shared" si="71"/>
        <v>0</v>
      </c>
      <c r="AC331">
        <f t="shared" si="71"/>
        <v>0</v>
      </c>
      <c r="AD331">
        <f t="shared" si="71"/>
        <v>0</v>
      </c>
      <c r="AE331">
        <f t="shared" si="71"/>
        <v>0</v>
      </c>
      <c r="AF331">
        <f t="shared" si="71"/>
        <v>0</v>
      </c>
      <c r="AG331">
        <f t="shared" si="71"/>
        <v>0</v>
      </c>
      <c r="AH331">
        <f t="shared" si="71"/>
        <v>0</v>
      </c>
      <c r="AI331">
        <f t="shared" si="71"/>
        <v>0</v>
      </c>
      <c r="AJ331">
        <f t="shared" si="71"/>
        <v>0</v>
      </c>
      <c r="AK331">
        <f t="shared" si="71"/>
        <v>0</v>
      </c>
      <c r="AL331">
        <f t="shared" si="71"/>
        <v>0</v>
      </c>
      <c r="AM331">
        <f t="shared" si="71"/>
        <v>0</v>
      </c>
      <c r="AN331">
        <f t="shared" si="69"/>
        <v>0</v>
      </c>
      <c r="AO331">
        <f t="shared" si="69"/>
        <v>0</v>
      </c>
      <c r="AP331">
        <f t="shared" si="69"/>
        <v>0</v>
      </c>
      <c r="AQ331">
        <f t="shared" si="69"/>
        <v>0</v>
      </c>
      <c r="AR331">
        <f t="shared" si="69"/>
        <v>0</v>
      </c>
    </row>
    <row r="332" spans="5:44" x14ac:dyDescent="0.2">
      <c r="E332" s="1">
        <f>moment_rate!$M332</f>
        <v>1.2773287857713984</v>
      </c>
      <c r="F332" s="1">
        <f t="shared" si="73"/>
        <v>2.6064609050142185E-2</v>
      </c>
      <c r="G332">
        <f>moment_rate!I332-0.005</f>
        <v>3.2499999999999747</v>
      </c>
      <c r="H332" s="1">
        <f t="shared" si="74"/>
        <v>0</v>
      </c>
      <c r="I332">
        <f t="shared" si="72"/>
        <v>0</v>
      </c>
      <c r="J332">
        <f t="shared" si="72"/>
        <v>0</v>
      </c>
      <c r="K332">
        <f t="shared" si="72"/>
        <v>0</v>
      </c>
      <c r="L332">
        <f t="shared" si="72"/>
        <v>0</v>
      </c>
      <c r="M332">
        <f t="shared" si="72"/>
        <v>0</v>
      </c>
      <c r="N332">
        <f t="shared" si="72"/>
        <v>0</v>
      </c>
      <c r="O332">
        <f t="shared" si="72"/>
        <v>0</v>
      </c>
      <c r="P332">
        <f t="shared" si="72"/>
        <v>0</v>
      </c>
      <c r="Q332">
        <f t="shared" si="72"/>
        <v>0</v>
      </c>
      <c r="R332">
        <f t="shared" si="72"/>
        <v>0</v>
      </c>
      <c r="S332">
        <f t="shared" si="72"/>
        <v>0</v>
      </c>
      <c r="T332">
        <f t="shared" si="72"/>
        <v>0</v>
      </c>
      <c r="U332">
        <f t="shared" si="72"/>
        <v>0</v>
      </c>
      <c r="V332">
        <f t="shared" si="72"/>
        <v>0</v>
      </c>
      <c r="W332">
        <f t="shared" si="72"/>
        <v>0</v>
      </c>
      <c r="X332">
        <f t="shared" si="72"/>
        <v>0</v>
      </c>
      <c r="Y332">
        <f t="shared" si="71"/>
        <v>0</v>
      </c>
      <c r="Z332">
        <f t="shared" si="71"/>
        <v>0</v>
      </c>
      <c r="AA332">
        <f t="shared" si="71"/>
        <v>0</v>
      </c>
      <c r="AB332">
        <f t="shared" si="71"/>
        <v>0</v>
      </c>
      <c r="AC332">
        <f t="shared" si="71"/>
        <v>0</v>
      </c>
      <c r="AD332">
        <f t="shared" si="71"/>
        <v>0</v>
      </c>
      <c r="AE332">
        <f t="shared" si="71"/>
        <v>0</v>
      </c>
      <c r="AF332">
        <f t="shared" si="71"/>
        <v>0</v>
      </c>
      <c r="AG332">
        <f t="shared" si="71"/>
        <v>0</v>
      </c>
      <c r="AH332">
        <f t="shared" si="71"/>
        <v>0</v>
      </c>
      <c r="AI332">
        <f t="shared" si="71"/>
        <v>0</v>
      </c>
      <c r="AJ332">
        <f t="shared" si="71"/>
        <v>0</v>
      </c>
      <c r="AK332">
        <f t="shared" si="71"/>
        <v>0</v>
      </c>
      <c r="AL332">
        <f t="shared" si="71"/>
        <v>0</v>
      </c>
      <c r="AM332">
        <f t="shared" si="71"/>
        <v>0</v>
      </c>
      <c r="AN332">
        <f t="shared" si="69"/>
        <v>0</v>
      </c>
      <c r="AO332">
        <f t="shared" si="69"/>
        <v>0</v>
      </c>
      <c r="AP332">
        <f t="shared" si="69"/>
        <v>0</v>
      </c>
      <c r="AQ332">
        <f t="shared" si="69"/>
        <v>0</v>
      </c>
      <c r="AR332">
        <f t="shared" si="69"/>
        <v>0</v>
      </c>
    </row>
    <row r="333" spans="5:44" x14ac:dyDescent="0.2">
      <c r="E333" s="1">
        <f>moment_rate!$M333</f>
        <v>1.2512641767212562</v>
      </c>
      <c r="F333" s="1">
        <f t="shared" si="73"/>
        <v>2.5530023538207214E-2</v>
      </c>
      <c r="G333">
        <f>moment_rate!I333-0.005</f>
        <v>3.2599999999999745</v>
      </c>
      <c r="H333" s="1">
        <f t="shared" si="74"/>
        <v>0</v>
      </c>
      <c r="I333">
        <f t="shared" si="72"/>
        <v>0</v>
      </c>
      <c r="J333">
        <f t="shared" si="72"/>
        <v>0</v>
      </c>
      <c r="K333">
        <f t="shared" si="72"/>
        <v>0</v>
      </c>
      <c r="L333">
        <f t="shared" si="72"/>
        <v>0</v>
      </c>
      <c r="M333">
        <f t="shared" si="72"/>
        <v>0</v>
      </c>
      <c r="N333">
        <f t="shared" si="72"/>
        <v>0</v>
      </c>
      <c r="O333">
        <f t="shared" si="72"/>
        <v>0</v>
      </c>
      <c r="P333">
        <f t="shared" si="72"/>
        <v>0</v>
      </c>
      <c r="Q333">
        <f t="shared" si="72"/>
        <v>0</v>
      </c>
      <c r="R333">
        <f t="shared" si="72"/>
        <v>0</v>
      </c>
      <c r="S333">
        <f t="shared" si="72"/>
        <v>0</v>
      </c>
      <c r="T333">
        <f t="shared" si="72"/>
        <v>0</v>
      </c>
      <c r="U333">
        <f t="shared" si="72"/>
        <v>0</v>
      </c>
      <c r="V333">
        <f t="shared" si="72"/>
        <v>0</v>
      </c>
      <c r="W333">
        <f t="shared" si="72"/>
        <v>0</v>
      </c>
      <c r="X333">
        <f t="shared" si="72"/>
        <v>0</v>
      </c>
      <c r="Y333">
        <f t="shared" si="71"/>
        <v>0</v>
      </c>
      <c r="Z333">
        <f t="shared" si="71"/>
        <v>0</v>
      </c>
      <c r="AA333">
        <f t="shared" si="71"/>
        <v>0</v>
      </c>
      <c r="AB333">
        <f t="shared" si="71"/>
        <v>0</v>
      </c>
      <c r="AC333">
        <f t="shared" si="71"/>
        <v>0</v>
      </c>
      <c r="AD333">
        <f t="shared" si="71"/>
        <v>0</v>
      </c>
      <c r="AE333">
        <f t="shared" si="71"/>
        <v>0</v>
      </c>
      <c r="AF333">
        <f t="shared" si="71"/>
        <v>0</v>
      </c>
      <c r="AG333">
        <f t="shared" si="71"/>
        <v>0</v>
      </c>
      <c r="AH333">
        <f t="shared" si="71"/>
        <v>0</v>
      </c>
      <c r="AI333">
        <f t="shared" si="71"/>
        <v>0</v>
      </c>
      <c r="AJ333">
        <f t="shared" si="71"/>
        <v>0</v>
      </c>
      <c r="AK333">
        <f t="shared" si="71"/>
        <v>0</v>
      </c>
      <c r="AL333">
        <f t="shared" si="71"/>
        <v>0</v>
      </c>
      <c r="AM333">
        <f t="shared" si="71"/>
        <v>0</v>
      </c>
      <c r="AN333">
        <f t="shared" si="69"/>
        <v>0</v>
      </c>
      <c r="AO333">
        <f t="shared" si="69"/>
        <v>0</v>
      </c>
      <c r="AP333">
        <f t="shared" si="69"/>
        <v>0</v>
      </c>
      <c r="AQ333">
        <f t="shared" si="69"/>
        <v>0</v>
      </c>
      <c r="AR333">
        <f t="shared" si="69"/>
        <v>0</v>
      </c>
    </row>
    <row r="334" spans="5:44" x14ac:dyDescent="0.2">
      <c r="E334" s="1">
        <f>moment_rate!$M334</f>
        <v>1.225734153183049</v>
      </c>
      <c r="F334" s="1">
        <f t="shared" si="73"/>
        <v>2.5006402382922399E-2</v>
      </c>
      <c r="G334">
        <f>moment_rate!I334-0.005</f>
        <v>3.2699999999999743</v>
      </c>
      <c r="H334" s="1">
        <f t="shared" si="74"/>
        <v>0</v>
      </c>
      <c r="I334">
        <f t="shared" si="72"/>
        <v>0</v>
      </c>
      <c r="J334">
        <f t="shared" si="72"/>
        <v>0</v>
      </c>
      <c r="K334">
        <f t="shared" si="72"/>
        <v>0</v>
      </c>
      <c r="L334">
        <f t="shared" si="72"/>
        <v>0</v>
      </c>
      <c r="M334">
        <f t="shared" si="72"/>
        <v>0</v>
      </c>
      <c r="N334">
        <f t="shared" si="72"/>
        <v>0</v>
      </c>
      <c r="O334">
        <f t="shared" si="72"/>
        <v>0</v>
      </c>
      <c r="P334">
        <f t="shared" si="72"/>
        <v>0</v>
      </c>
      <c r="Q334">
        <f t="shared" si="72"/>
        <v>0</v>
      </c>
      <c r="R334">
        <f t="shared" si="72"/>
        <v>0</v>
      </c>
      <c r="S334">
        <f t="shared" si="72"/>
        <v>0</v>
      </c>
      <c r="T334">
        <f t="shared" si="72"/>
        <v>0</v>
      </c>
      <c r="U334">
        <f t="shared" si="72"/>
        <v>0</v>
      </c>
      <c r="V334">
        <f t="shared" si="72"/>
        <v>0</v>
      </c>
      <c r="W334">
        <f t="shared" si="72"/>
        <v>0</v>
      </c>
      <c r="X334">
        <f t="shared" ref="X334:AM349" si="75">IF(AND($G334&gt;=X$3,$G334&lt;X$4),$F334,0)</f>
        <v>0</v>
      </c>
      <c r="Y334">
        <f t="shared" si="75"/>
        <v>0</v>
      </c>
      <c r="Z334">
        <f t="shared" si="75"/>
        <v>0</v>
      </c>
      <c r="AA334">
        <f t="shared" si="75"/>
        <v>0</v>
      </c>
      <c r="AB334">
        <f t="shared" si="75"/>
        <v>0</v>
      </c>
      <c r="AC334">
        <f t="shared" si="75"/>
        <v>0</v>
      </c>
      <c r="AD334">
        <f t="shared" si="75"/>
        <v>0</v>
      </c>
      <c r="AE334">
        <f t="shared" si="75"/>
        <v>0</v>
      </c>
      <c r="AF334">
        <f t="shared" si="75"/>
        <v>0</v>
      </c>
      <c r="AG334">
        <f t="shared" si="75"/>
        <v>0</v>
      </c>
      <c r="AH334">
        <f t="shared" si="75"/>
        <v>0</v>
      </c>
      <c r="AI334">
        <f t="shared" si="75"/>
        <v>0</v>
      </c>
      <c r="AJ334">
        <f t="shared" si="75"/>
        <v>0</v>
      </c>
      <c r="AK334">
        <f t="shared" si="75"/>
        <v>0</v>
      </c>
      <c r="AL334">
        <f t="shared" si="75"/>
        <v>0</v>
      </c>
      <c r="AM334">
        <f t="shared" si="75"/>
        <v>0</v>
      </c>
      <c r="AN334">
        <f t="shared" si="69"/>
        <v>0</v>
      </c>
      <c r="AO334">
        <f t="shared" si="69"/>
        <v>0</v>
      </c>
      <c r="AP334">
        <f t="shared" si="69"/>
        <v>0</v>
      </c>
      <c r="AQ334">
        <f t="shared" si="69"/>
        <v>0</v>
      </c>
      <c r="AR334">
        <f t="shared" si="69"/>
        <v>0</v>
      </c>
    </row>
    <row r="335" spans="5:44" x14ac:dyDescent="0.2">
      <c r="E335" s="1">
        <f>moment_rate!$M335</f>
        <v>1.2007277508001266</v>
      </c>
      <c r="F335" s="1">
        <f t="shared" si="73"/>
        <v>2.4493520705172633E-2</v>
      </c>
      <c r="G335">
        <f>moment_rate!I335-0.005</f>
        <v>3.279999999999974</v>
      </c>
      <c r="H335" s="1">
        <f t="shared" si="74"/>
        <v>0</v>
      </c>
      <c r="I335">
        <f t="shared" ref="I335:X350" si="76">IF(AND($G335&gt;=I$3,$G335&lt;I$4),$F335,0)</f>
        <v>0</v>
      </c>
      <c r="J335">
        <f t="shared" si="76"/>
        <v>0</v>
      </c>
      <c r="K335">
        <f t="shared" si="76"/>
        <v>0</v>
      </c>
      <c r="L335">
        <f t="shared" si="76"/>
        <v>0</v>
      </c>
      <c r="M335">
        <f t="shared" si="76"/>
        <v>0</v>
      </c>
      <c r="N335">
        <f t="shared" si="76"/>
        <v>0</v>
      </c>
      <c r="O335">
        <f t="shared" si="76"/>
        <v>0</v>
      </c>
      <c r="P335">
        <f t="shared" si="76"/>
        <v>0</v>
      </c>
      <c r="Q335">
        <f t="shared" si="76"/>
        <v>0</v>
      </c>
      <c r="R335">
        <f t="shared" si="76"/>
        <v>0</v>
      </c>
      <c r="S335">
        <f t="shared" si="76"/>
        <v>0</v>
      </c>
      <c r="T335">
        <f t="shared" si="76"/>
        <v>0</v>
      </c>
      <c r="U335">
        <f t="shared" si="76"/>
        <v>0</v>
      </c>
      <c r="V335">
        <f t="shared" si="76"/>
        <v>0</v>
      </c>
      <c r="W335">
        <f t="shared" si="76"/>
        <v>0</v>
      </c>
      <c r="X335">
        <f t="shared" si="76"/>
        <v>0</v>
      </c>
      <c r="Y335">
        <f t="shared" si="75"/>
        <v>0</v>
      </c>
      <c r="Z335">
        <f t="shared" si="75"/>
        <v>0</v>
      </c>
      <c r="AA335">
        <f t="shared" si="75"/>
        <v>0</v>
      </c>
      <c r="AB335">
        <f t="shared" si="75"/>
        <v>0</v>
      </c>
      <c r="AC335">
        <f t="shared" si="75"/>
        <v>0</v>
      </c>
      <c r="AD335">
        <f t="shared" si="75"/>
        <v>0</v>
      </c>
      <c r="AE335">
        <f t="shared" si="75"/>
        <v>0</v>
      </c>
      <c r="AF335">
        <f t="shared" si="75"/>
        <v>0</v>
      </c>
      <c r="AG335">
        <f t="shared" si="75"/>
        <v>0</v>
      </c>
      <c r="AH335">
        <f t="shared" si="75"/>
        <v>0</v>
      </c>
      <c r="AI335">
        <f t="shared" si="75"/>
        <v>0</v>
      </c>
      <c r="AJ335">
        <f t="shared" si="75"/>
        <v>0</v>
      </c>
      <c r="AK335">
        <f t="shared" si="75"/>
        <v>0</v>
      </c>
      <c r="AL335">
        <f t="shared" si="75"/>
        <v>0</v>
      </c>
      <c r="AM335">
        <f t="shared" si="75"/>
        <v>0</v>
      </c>
      <c r="AN335">
        <f t="shared" si="69"/>
        <v>0</v>
      </c>
      <c r="AO335">
        <f t="shared" si="69"/>
        <v>0</v>
      </c>
      <c r="AP335">
        <f t="shared" si="69"/>
        <v>0</v>
      </c>
      <c r="AQ335">
        <f t="shared" si="69"/>
        <v>0</v>
      </c>
      <c r="AR335">
        <f t="shared" si="69"/>
        <v>0</v>
      </c>
    </row>
    <row r="336" spans="5:44" x14ac:dyDescent="0.2">
      <c r="E336" s="1">
        <f>moment_rate!$M336</f>
        <v>1.176234230094954</v>
      </c>
      <c r="F336" s="1">
        <f t="shared" si="73"/>
        <v>2.399115823811715E-2</v>
      </c>
      <c r="G336">
        <f>moment_rate!I336-0.005</f>
        <v>3.2899999999999738</v>
      </c>
      <c r="H336" s="1">
        <f t="shared" si="74"/>
        <v>0</v>
      </c>
      <c r="I336">
        <f t="shared" si="76"/>
        <v>0</v>
      </c>
      <c r="J336">
        <f t="shared" si="76"/>
        <v>0</v>
      </c>
      <c r="K336">
        <f t="shared" si="76"/>
        <v>0</v>
      </c>
      <c r="L336">
        <f t="shared" si="76"/>
        <v>0</v>
      </c>
      <c r="M336">
        <f t="shared" si="76"/>
        <v>0</v>
      </c>
      <c r="N336">
        <f t="shared" si="76"/>
        <v>0</v>
      </c>
      <c r="O336">
        <f t="shared" si="76"/>
        <v>0</v>
      </c>
      <c r="P336">
        <f t="shared" si="76"/>
        <v>0</v>
      </c>
      <c r="Q336">
        <f t="shared" si="76"/>
        <v>0</v>
      </c>
      <c r="R336">
        <f t="shared" si="76"/>
        <v>0</v>
      </c>
      <c r="S336">
        <f t="shared" si="76"/>
        <v>0</v>
      </c>
      <c r="T336">
        <f t="shared" si="76"/>
        <v>0</v>
      </c>
      <c r="U336">
        <f t="shared" si="76"/>
        <v>0</v>
      </c>
      <c r="V336">
        <f t="shared" si="76"/>
        <v>0</v>
      </c>
      <c r="W336">
        <f t="shared" si="76"/>
        <v>0</v>
      </c>
      <c r="X336">
        <f t="shared" si="76"/>
        <v>0</v>
      </c>
      <c r="Y336">
        <f t="shared" si="75"/>
        <v>0</v>
      </c>
      <c r="Z336">
        <f t="shared" si="75"/>
        <v>0</v>
      </c>
      <c r="AA336">
        <f t="shared" si="75"/>
        <v>0</v>
      </c>
      <c r="AB336">
        <f t="shared" si="75"/>
        <v>0</v>
      </c>
      <c r="AC336">
        <f t="shared" si="75"/>
        <v>0</v>
      </c>
      <c r="AD336">
        <f t="shared" si="75"/>
        <v>0</v>
      </c>
      <c r="AE336">
        <f t="shared" si="75"/>
        <v>0</v>
      </c>
      <c r="AF336">
        <f t="shared" si="75"/>
        <v>0</v>
      </c>
      <c r="AG336">
        <f t="shared" si="75"/>
        <v>0</v>
      </c>
      <c r="AH336">
        <f t="shared" si="75"/>
        <v>0</v>
      </c>
      <c r="AI336">
        <f t="shared" si="75"/>
        <v>0</v>
      </c>
      <c r="AJ336">
        <f t="shared" si="75"/>
        <v>0</v>
      </c>
      <c r="AK336">
        <f t="shared" si="75"/>
        <v>0</v>
      </c>
      <c r="AL336">
        <f t="shared" si="75"/>
        <v>0</v>
      </c>
      <c r="AM336">
        <f t="shared" si="75"/>
        <v>0</v>
      </c>
      <c r="AN336">
        <f t="shared" si="69"/>
        <v>0</v>
      </c>
      <c r="AO336">
        <f t="shared" si="69"/>
        <v>0</v>
      </c>
      <c r="AP336">
        <f t="shared" si="69"/>
        <v>0</v>
      </c>
      <c r="AQ336">
        <f t="shared" si="69"/>
        <v>0</v>
      </c>
      <c r="AR336">
        <f t="shared" si="69"/>
        <v>0</v>
      </c>
    </row>
    <row r="337" spans="5:44" x14ac:dyDescent="0.2">
      <c r="E337" s="1">
        <f>moment_rate!$M337</f>
        <v>1.1522430718568368</v>
      </c>
      <c r="F337" s="1">
        <f t="shared" si="73"/>
        <v>2.3499099232591192E-2</v>
      </c>
      <c r="G337">
        <f>moment_rate!I337-0.005</f>
        <v>3.2999999999999736</v>
      </c>
      <c r="H337" s="1">
        <f t="shared" si="74"/>
        <v>0</v>
      </c>
      <c r="I337">
        <f t="shared" si="76"/>
        <v>0</v>
      </c>
      <c r="J337">
        <f t="shared" si="76"/>
        <v>0</v>
      </c>
      <c r="K337">
        <f t="shared" si="76"/>
        <v>0</v>
      </c>
      <c r="L337">
        <f t="shared" si="76"/>
        <v>0</v>
      </c>
      <c r="M337">
        <f t="shared" si="76"/>
        <v>0</v>
      </c>
      <c r="N337">
        <f t="shared" si="76"/>
        <v>0</v>
      </c>
      <c r="O337">
        <f t="shared" si="76"/>
        <v>0</v>
      </c>
      <c r="P337">
        <f t="shared" si="76"/>
        <v>0</v>
      </c>
      <c r="Q337">
        <f t="shared" si="76"/>
        <v>0</v>
      </c>
      <c r="R337">
        <f t="shared" si="76"/>
        <v>0</v>
      </c>
      <c r="S337">
        <f t="shared" si="76"/>
        <v>0</v>
      </c>
      <c r="T337">
        <f t="shared" si="76"/>
        <v>0</v>
      </c>
      <c r="U337">
        <f t="shared" si="76"/>
        <v>0</v>
      </c>
      <c r="V337">
        <f t="shared" si="76"/>
        <v>0</v>
      </c>
      <c r="W337">
        <f t="shared" si="76"/>
        <v>0</v>
      </c>
      <c r="X337">
        <f t="shared" si="76"/>
        <v>0</v>
      </c>
      <c r="Y337">
        <f t="shared" si="75"/>
        <v>0</v>
      </c>
      <c r="Z337">
        <f t="shared" si="75"/>
        <v>0</v>
      </c>
      <c r="AA337">
        <f t="shared" si="75"/>
        <v>0</v>
      </c>
      <c r="AB337">
        <f t="shared" si="75"/>
        <v>0</v>
      </c>
      <c r="AC337">
        <f t="shared" si="75"/>
        <v>0</v>
      </c>
      <c r="AD337">
        <f t="shared" si="75"/>
        <v>0</v>
      </c>
      <c r="AE337">
        <f t="shared" si="75"/>
        <v>0</v>
      </c>
      <c r="AF337">
        <f t="shared" si="75"/>
        <v>0</v>
      </c>
      <c r="AG337">
        <f t="shared" si="75"/>
        <v>0</v>
      </c>
      <c r="AH337">
        <f t="shared" si="75"/>
        <v>0</v>
      </c>
      <c r="AI337">
        <f t="shared" si="75"/>
        <v>0</v>
      </c>
      <c r="AJ337">
        <f t="shared" si="75"/>
        <v>0</v>
      </c>
      <c r="AK337">
        <f t="shared" si="75"/>
        <v>0</v>
      </c>
      <c r="AL337">
        <f t="shared" si="75"/>
        <v>0</v>
      </c>
      <c r="AM337">
        <f t="shared" si="75"/>
        <v>0</v>
      </c>
      <c r="AN337">
        <f t="shared" si="69"/>
        <v>0</v>
      </c>
      <c r="AO337">
        <f t="shared" si="69"/>
        <v>0</v>
      </c>
      <c r="AP337">
        <f t="shared" si="69"/>
        <v>0</v>
      </c>
      <c r="AQ337">
        <f t="shared" si="69"/>
        <v>0</v>
      </c>
      <c r="AR337">
        <f t="shared" si="69"/>
        <v>0</v>
      </c>
    </row>
    <row r="338" spans="5:44" x14ac:dyDescent="0.2">
      <c r="E338" s="1">
        <f>moment_rate!$M338</f>
        <v>1.1287439726242456</v>
      </c>
      <c r="F338" s="1">
        <f t="shared" si="73"/>
        <v>2.3017132364448356E-2</v>
      </c>
      <c r="G338">
        <f>moment_rate!I338-0.005</f>
        <v>3.3099999999999734</v>
      </c>
      <c r="H338" s="1">
        <f t="shared" si="74"/>
        <v>0</v>
      </c>
      <c r="I338">
        <f t="shared" si="76"/>
        <v>0</v>
      </c>
      <c r="J338">
        <f t="shared" si="76"/>
        <v>0</v>
      </c>
      <c r="K338">
        <f t="shared" si="76"/>
        <v>0</v>
      </c>
      <c r="L338">
        <f t="shared" si="76"/>
        <v>0</v>
      </c>
      <c r="M338">
        <f t="shared" si="76"/>
        <v>0</v>
      </c>
      <c r="N338">
        <f t="shared" si="76"/>
        <v>0</v>
      </c>
      <c r="O338">
        <f t="shared" si="76"/>
        <v>0</v>
      </c>
      <c r="P338">
        <f t="shared" si="76"/>
        <v>0</v>
      </c>
      <c r="Q338">
        <f t="shared" si="76"/>
        <v>0</v>
      </c>
      <c r="R338">
        <f t="shared" si="76"/>
        <v>0</v>
      </c>
      <c r="S338">
        <f t="shared" si="76"/>
        <v>0</v>
      </c>
      <c r="T338">
        <f t="shared" si="76"/>
        <v>0</v>
      </c>
      <c r="U338">
        <f t="shared" si="76"/>
        <v>0</v>
      </c>
      <c r="V338">
        <f t="shared" si="76"/>
        <v>0</v>
      </c>
      <c r="W338">
        <f t="shared" si="76"/>
        <v>0</v>
      </c>
      <c r="X338">
        <f t="shared" si="76"/>
        <v>0</v>
      </c>
      <c r="Y338">
        <f t="shared" si="75"/>
        <v>0</v>
      </c>
      <c r="Z338">
        <f t="shared" si="75"/>
        <v>0</v>
      </c>
      <c r="AA338">
        <f t="shared" si="75"/>
        <v>0</v>
      </c>
      <c r="AB338">
        <f t="shared" si="75"/>
        <v>0</v>
      </c>
      <c r="AC338">
        <f t="shared" si="75"/>
        <v>0</v>
      </c>
      <c r="AD338">
        <f t="shared" si="75"/>
        <v>0</v>
      </c>
      <c r="AE338">
        <f t="shared" si="75"/>
        <v>0</v>
      </c>
      <c r="AF338">
        <f t="shared" si="75"/>
        <v>0</v>
      </c>
      <c r="AG338">
        <f t="shared" si="75"/>
        <v>0</v>
      </c>
      <c r="AH338">
        <f t="shared" si="75"/>
        <v>0</v>
      </c>
      <c r="AI338">
        <f t="shared" si="75"/>
        <v>0</v>
      </c>
      <c r="AJ338">
        <f t="shared" si="75"/>
        <v>0</v>
      </c>
      <c r="AK338">
        <f t="shared" si="75"/>
        <v>0</v>
      </c>
      <c r="AL338">
        <f t="shared" si="75"/>
        <v>0</v>
      </c>
      <c r="AM338">
        <f t="shared" si="75"/>
        <v>0</v>
      </c>
      <c r="AN338">
        <f t="shared" si="69"/>
        <v>0</v>
      </c>
      <c r="AO338">
        <f t="shared" si="69"/>
        <v>0</v>
      </c>
      <c r="AP338">
        <f t="shared" si="69"/>
        <v>0</v>
      </c>
      <c r="AQ338">
        <f t="shared" si="69"/>
        <v>0</v>
      </c>
      <c r="AR338">
        <f t="shared" si="69"/>
        <v>0</v>
      </c>
    </row>
    <row r="339" spans="5:44" x14ac:dyDescent="0.2">
      <c r="E339" s="1">
        <f>moment_rate!$M339</f>
        <v>1.1057268402597973</v>
      </c>
      <c r="F339" s="1">
        <f t="shared" si="73"/>
        <v>2.254505064380341E-2</v>
      </c>
      <c r="G339">
        <f>moment_rate!I339-0.005</f>
        <v>3.3199999999999732</v>
      </c>
      <c r="H339" s="1">
        <f t="shared" si="74"/>
        <v>0</v>
      </c>
      <c r="I339">
        <f t="shared" si="76"/>
        <v>0</v>
      </c>
      <c r="J339">
        <f t="shared" si="76"/>
        <v>0</v>
      </c>
      <c r="K339">
        <f t="shared" si="76"/>
        <v>0</v>
      </c>
      <c r="L339">
        <f t="shared" si="76"/>
        <v>0</v>
      </c>
      <c r="M339">
        <f t="shared" si="76"/>
        <v>0</v>
      </c>
      <c r="N339">
        <f t="shared" si="76"/>
        <v>0</v>
      </c>
      <c r="O339">
        <f t="shared" si="76"/>
        <v>0</v>
      </c>
      <c r="P339">
        <f t="shared" si="76"/>
        <v>0</v>
      </c>
      <c r="Q339">
        <f t="shared" si="76"/>
        <v>0</v>
      </c>
      <c r="R339">
        <f t="shared" si="76"/>
        <v>0</v>
      </c>
      <c r="S339">
        <f t="shared" si="76"/>
        <v>0</v>
      </c>
      <c r="T339">
        <f t="shared" si="76"/>
        <v>0</v>
      </c>
      <c r="U339">
        <f t="shared" si="76"/>
        <v>0</v>
      </c>
      <c r="V339">
        <f t="shared" si="76"/>
        <v>0</v>
      </c>
      <c r="W339">
        <f t="shared" si="76"/>
        <v>0</v>
      </c>
      <c r="X339">
        <f t="shared" si="76"/>
        <v>0</v>
      </c>
      <c r="Y339">
        <f t="shared" si="75"/>
        <v>0</v>
      </c>
      <c r="Z339">
        <f t="shared" si="75"/>
        <v>0</v>
      </c>
      <c r="AA339">
        <f t="shared" si="75"/>
        <v>0</v>
      </c>
      <c r="AB339">
        <f t="shared" si="75"/>
        <v>0</v>
      </c>
      <c r="AC339">
        <f t="shared" si="75"/>
        <v>0</v>
      </c>
      <c r="AD339">
        <f t="shared" si="75"/>
        <v>0</v>
      </c>
      <c r="AE339">
        <f t="shared" si="75"/>
        <v>0</v>
      </c>
      <c r="AF339">
        <f t="shared" si="75"/>
        <v>0</v>
      </c>
      <c r="AG339">
        <f t="shared" si="75"/>
        <v>0</v>
      </c>
      <c r="AH339">
        <f t="shared" si="75"/>
        <v>0</v>
      </c>
      <c r="AI339">
        <f t="shared" si="75"/>
        <v>0</v>
      </c>
      <c r="AJ339">
        <f t="shared" si="75"/>
        <v>0</v>
      </c>
      <c r="AK339">
        <f t="shared" si="75"/>
        <v>0</v>
      </c>
      <c r="AL339">
        <f t="shared" si="75"/>
        <v>0</v>
      </c>
      <c r="AM339">
        <f t="shared" si="75"/>
        <v>0</v>
      </c>
      <c r="AN339">
        <f t="shared" si="69"/>
        <v>0</v>
      </c>
      <c r="AO339">
        <f t="shared" si="69"/>
        <v>0</v>
      </c>
      <c r="AP339">
        <f t="shared" si="69"/>
        <v>0</v>
      </c>
      <c r="AQ339">
        <f t="shared" si="69"/>
        <v>0</v>
      </c>
      <c r="AR339">
        <f t="shared" si="69"/>
        <v>0</v>
      </c>
    </row>
    <row r="340" spans="5:44" x14ac:dyDescent="0.2">
      <c r="E340" s="1">
        <f>moment_rate!$M340</f>
        <v>1.0831817896159939</v>
      </c>
      <c r="F340" s="1">
        <f t="shared" si="73"/>
        <v>2.2082651326137626E-2</v>
      </c>
      <c r="G340">
        <f>moment_rate!I340-0.005</f>
        <v>3.329999999999973</v>
      </c>
      <c r="H340" s="1">
        <f t="shared" si="74"/>
        <v>0</v>
      </c>
      <c r="I340">
        <f t="shared" si="76"/>
        <v>0</v>
      </c>
      <c r="J340">
        <f t="shared" si="76"/>
        <v>0</v>
      </c>
      <c r="K340">
        <f t="shared" si="76"/>
        <v>0</v>
      </c>
      <c r="L340">
        <f t="shared" si="76"/>
        <v>0</v>
      </c>
      <c r="M340">
        <f t="shared" si="76"/>
        <v>0</v>
      </c>
      <c r="N340">
        <f t="shared" si="76"/>
        <v>0</v>
      </c>
      <c r="O340">
        <f t="shared" si="76"/>
        <v>0</v>
      </c>
      <c r="P340">
        <f t="shared" si="76"/>
        <v>0</v>
      </c>
      <c r="Q340">
        <f t="shared" si="76"/>
        <v>0</v>
      </c>
      <c r="R340">
        <f t="shared" si="76"/>
        <v>0</v>
      </c>
      <c r="S340">
        <f t="shared" si="76"/>
        <v>0</v>
      </c>
      <c r="T340">
        <f t="shared" si="76"/>
        <v>0</v>
      </c>
      <c r="U340">
        <f t="shared" si="76"/>
        <v>0</v>
      </c>
      <c r="V340">
        <f t="shared" si="76"/>
        <v>0</v>
      </c>
      <c r="W340">
        <f t="shared" si="76"/>
        <v>0</v>
      </c>
      <c r="X340">
        <f t="shared" si="76"/>
        <v>0</v>
      </c>
      <c r="Y340">
        <f t="shared" si="75"/>
        <v>0</v>
      </c>
      <c r="Z340">
        <f t="shared" si="75"/>
        <v>0</v>
      </c>
      <c r="AA340">
        <f t="shared" si="75"/>
        <v>0</v>
      </c>
      <c r="AB340">
        <f t="shared" si="75"/>
        <v>0</v>
      </c>
      <c r="AC340">
        <f t="shared" si="75"/>
        <v>0</v>
      </c>
      <c r="AD340">
        <f t="shared" si="75"/>
        <v>0</v>
      </c>
      <c r="AE340">
        <f t="shared" si="75"/>
        <v>0</v>
      </c>
      <c r="AF340">
        <f t="shared" si="75"/>
        <v>0</v>
      </c>
      <c r="AG340">
        <f t="shared" si="75"/>
        <v>0</v>
      </c>
      <c r="AH340">
        <f t="shared" si="75"/>
        <v>0</v>
      </c>
      <c r="AI340">
        <f t="shared" si="75"/>
        <v>0</v>
      </c>
      <c r="AJ340">
        <f t="shared" si="75"/>
        <v>0</v>
      </c>
      <c r="AK340">
        <f t="shared" si="75"/>
        <v>0</v>
      </c>
      <c r="AL340">
        <f t="shared" si="75"/>
        <v>0</v>
      </c>
      <c r="AM340">
        <f t="shared" si="75"/>
        <v>0</v>
      </c>
      <c r="AN340">
        <f t="shared" si="69"/>
        <v>0</v>
      </c>
      <c r="AO340">
        <f t="shared" si="69"/>
        <v>0</v>
      </c>
      <c r="AP340">
        <f t="shared" si="69"/>
        <v>0</v>
      </c>
      <c r="AQ340">
        <f t="shared" si="69"/>
        <v>0</v>
      </c>
      <c r="AR340">
        <f t="shared" si="69"/>
        <v>0</v>
      </c>
    </row>
    <row r="341" spans="5:44" x14ac:dyDescent="0.2">
      <c r="E341" s="1">
        <f>moment_rate!$M341</f>
        <v>1.0610991382898562</v>
      </c>
      <c r="F341" s="1">
        <f t="shared" si="73"/>
        <v>2.1629735825223984E-2</v>
      </c>
      <c r="G341">
        <f>moment_rate!I341-0.005</f>
        <v>3.3399999999999728</v>
      </c>
      <c r="H341" s="1">
        <f t="shared" si="74"/>
        <v>0</v>
      </c>
      <c r="I341">
        <f t="shared" si="76"/>
        <v>0</v>
      </c>
      <c r="J341">
        <f t="shared" si="76"/>
        <v>0</v>
      </c>
      <c r="K341">
        <f t="shared" si="76"/>
        <v>0</v>
      </c>
      <c r="L341">
        <f t="shared" si="76"/>
        <v>0</v>
      </c>
      <c r="M341">
        <f t="shared" si="76"/>
        <v>0</v>
      </c>
      <c r="N341">
        <f t="shared" si="76"/>
        <v>0</v>
      </c>
      <c r="O341">
        <f t="shared" si="76"/>
        <v>0</v>
      </c>
      <c r="P341">
        <f t="shared" si="76"/>
        <v>0</v>
      </c>
      <c r="Q341">
        <f t="shared" si="76"/>
        <v>0</v>
      </c>
      <c r="R341">
        <f t="shared" si="76"/>
        <v>0</v>
      </c>
      <c r="S341">
        <f t="shared" si="76"/>
        <v>0</v>
      </c>
      <c r="T341">
        <f t="shared" si="76"/>
        <v>0</v>
      </c>
      <c r="U341">
        <f t="shared" si="76"/>
        <v>0</v>
      </c>
      <c r="V341">
        <f t="shared" si="76"/>
        <v>0</v>
      </c>
      <c r="W341">
        <f t="shared" si="76"/>
        <v>0</v>
      </c>
      <c r="X341">
        <f t="shared" si="76"/>
        <v>0</v>
      </c>
      <c r="Y341">
        <f t="shared" si="75"/>
        <v>0</v>
      </c>
      <c r="Z341">
        <f t="shared" si="75"/>
        <v>0</v>
      </c>
      <c r="AA341">
        <f t="shared" si="75"/>
        <v>0</v>
      </c>
      <c r="AB341">
        <f t="shared" si="75"/>
        <v>0</v>
      </c>
      <c r="AC341">
        <f t="shared" si="75"/>
        <v>0</v>
      </c>
      <c r="AD341">
        <f t="shared" si="75"/>
        <v>0</v>
      </c>
      <c r="AE341">
        <f t="shared" si="75"/>
        <v>0</v>
      </c>
      <c r="AF341">
        <f t="shared" si="75"/>
        <v>0</v>
      </c>
      <c r="AG341">
        <f t="shared" si="75"/>
        <v>0</v>
      </c>
      <c r="AH341">
        <f t="shared" si="75"/>
        <v>0</v>
      </c>
      <c r="AI341">
        <f t="shared" si="75"/>
        <v>0</v>
      </c>
      <c r="AJ341">
        <f t="shared" si="75"/>
        <v>0</v>
      </c>
      <c r="AK341">
        <f t="shared" si="75"/>
        <v>0</v>
      </c>
      <c r="AL341">
        <f t="shared" si="75"/>
        <v>0</v>
      </c>
      <c r="AM341">
        <f t="shared" si="75"/>
        <v>0</v>
      </c>
      <c r="AN341">
        <f t="shared" si="69"/>
        <v>0</v>
      </c>
      <c r="AO341">
        <f t="shared" si="69"/>
        <v>0</v>
      </c>
      <c r="AP341">
        <f t="shared" si="69"/>
        <v>0</v>
      </c>
      <c r="AQ341">
        <f t="shared" si="69"/>
        <v>0</v>
      </c>
      <c r="AR341">
        <f t="shared" si="69"/>
        <v>0</v>
      </c>
    </row>
    <row r="342" spans="5:44" x14ac:dyDescent="0.2">
      <c r="E342" s="1">
        <f>moment_rate!$M342</f>
        <v>1.0394694024646323</v>
      </c>
      <c r="F342" s="1">
        <f t="shared" si="73"/>
        <v>2.1186109627842509E-2</v>
      </c>
      <c r="G342">
        <f>moment_rate!I342-0.005</f>
        <v>3.3499999999999726</v>
      </c>
      <c r="H342" s="1">
        <f t="shared" si="74"/>
        <v>0</v>
      </c>
      <c r="I342">
        <f t="shared" si="76"/>
        <v>0</v>
      </c>
      <c r="J342">
        <f t="shared" si="76"/>
        <v>0</v>
      </c>
      <c r="K342">
        <f t="shared" si="76"/>
        <v>0</v>
      </c>
      <c r="L342">
        <f t="shared" si="76"/>
        <v>0</v>
      </c>
      <c r="M342">
        <f t="shared" si="76"/>
        <v>0</v>
      </c>
      <c r="N342">
        <f t="shared" si="76"/>
        <v>0</v>
      </c>
      <c r="O342">
        <f t="shared" si="76"/>
        <v>0</v>
      </c>
      <c r="P342">
        <f t="shared" si="76"/>
        <v>0</v>
      </c>
      <c r="Q342">
        <f t="shared" si="76"/>
        <v>0</v>
      </c>
      <c r="R342">
        <f t="shared" si="76"/>
        <v>0</v>
      </c>
      <c r="S342">
        <f t="shared" si="76"/>
        <v>0</v>
      </c>
      <c r="T342">
        <f t="shared" si="76"/>
        <v>0</v>
      </c>
      <c r="U342">
        <f t="shared" si="76"/>
        <v>0</v>
      </c>
      <c r="V342">
        <f t="shared" si="76"/>
        <v>0</v>
      </c>
      <c r="W342">
        <f t="shared" si="76"/>
        <v>0</v>
      </c>
      <c r="X342">
        <f t="shared" si="76"/>
        <v>0</v>
      </c>
      <c r="Y342">
        <f t="shared" si="75"/>
        <v>0</v>
      </c>
      <c r="Z342">
        <f t="shared" si="75"/>
        <v>0</v>
      </c>
      <c r="AA342">
        <f t="shared" si="75"/>
        <v>0</v>
      </c>
      <c r="AB342">
        <f t="shared" si="75"/>
        <v>0</v>
      </c>
      <c r="AC342">
        <f t="shared" si="75"/>
        <v>0</v>
      </c>
      <c r="AD342">
        <f t="shared" si="75"/>
        <v>0</v>
      </c>
      <c r="AE342">
        <f t="shared" si="75"/>
        <v>0</v>
      </c>
      <c r="AF342">
        <f t="shared" si="75"/>
        <v>0</v>
      </c>
      <c r="AG342">
        <f t="shared" si="75"/>
        <v>0</v>
      </c>
      <c r="AH342">
        <f t="shared" si="75"/>
        <v>0</v>
      </c>
      <c r="AI342">
        <f t="shared" si="75"/>
        <v>0</v>
      </c>
      <c r="AJ342">
        <f t="shared" si="75"/>
        <v>0</v>
      </c>
      <c r="AK342">
        <f t="shared" si="75"/>
        <v>0</v>
      </c>
      <c r="AL342">
        <f t="shared" si="75"/>
        <v>0</v>
      </c>
      <c r="AM342">
        <f t="shared" si="75"/>
        <v>0</v>
      </c>
      <c r="AN342">
        <f t="shared" si="69"/>
        <v>0</v>
      </c>
      <c r="AO342">
        <f t="shared" si="69"/>
        <v>0</v>
      </c>
      <c r="AP342">
        <f t="shared" si="69"/>
        <v>0</v>
      </c>
      <c r="AQ342">
        <f t="shared" si="69"/>
        <v>0</v>
      </c>
      <c r="AR342">
        <f t="shared" si="69"/>
        <v>0</v>
      </c>
    </row>
    <row r="343" spans="5:44" x14ac:dyDescent="0.2">
      <c r="E343" s="1">
        <f>moment_rate!$M343</f>
        <v>1.0182832928367898</v>
      </c>
      <c r="F343" s="1">
        <f t="shared" si="73"/>
        <v>2.0751582210242536E-2</v>
      </c>
      <c r="G343">
        <f>moment_rate!I343-0.005</f>
        <v>3.3599999999999723</v>
      </c>
      <c r="H343" s="1">
        <f t="shared" si="74"/>
        <v>0</v>
      </c>
      <c r="I343">
        <f t="shared" si="76"/>
        <v>0</v>
      </c>
      <c r="J343">
        <f t="shared" si="76"/>
        <v>0</v>
      </c>
      <c r="K343">
        <f t="shared" si="76"/>
        <v>0</v>
      </c>
      <c r="L343">
        <f t="shared" si="76"/>
        <v>0</v>
      </c>
      <c r="M343">
        <f t="shared" si="76"/>
        <v>0</v>
      </c>
      <c r="N343">
        <f t="shared" si="76"/>
        <v>0</v>
      </c>
      <c r="O343">
        <f t="shared" si="76"/>
        <v>0</v>
      </c>
      <c r="P343">
        <f t="shared" si="76"/>
        <v>0</v>
      </c>
      <c r="Q343">
        <f t="shared" si="76"/>
        <v>0</v>
      </c>
      <c r="R343">
        <f t="shared" si="76"/>
        <v>0</v>
      </c>
      <c r="S343">
        <f t="shared" si="76"/>
        <v>0</v>
      </c>
      <c r="T343">
        <f t="shared" si="76"/>
        <v>0</v>
      </c>
      <c r="U343">
        <f t="shared" si="76"/>
        <v>0</v>
      </c>
      <c r="V343">
        <f t="shared" si="76"/>
        <v>0</v>
      </c>
      <c r="W343">
        <f t="shared" si="76"/>
        <v>0</v>
      </c>
      <c r="X343">
        <f t="shared" si="76"/>
        <v>0</v>
      </c>
      <c r="Y343">
        <f t="shared" si="75"/>
        <v>0</v>
      </c>
      <c r="Z343">
        <f t="shared" si="75"/>
        <v>0</v>
      </c>
      <c r="AA343">
        <f t="shared" si="75"/>
        <v>0</v>
      </c>
      <c r="AB343">
        <f t="shared" si="75"/>
        <v>0</v>
      </c>
      <c r="AC343">
        <f t="shared" si="75"/>
        <v>0</v>
      </c>
      <c r="AD343">
        <f t="shared" si="75"/>
        <v>0</v>
      </c>
      <c r="AE343">
        <f t="shared" si="75"/>
        <v>0</v>
      </c>
      <c r="AF343">
        <f t="shared" si="75"/>
        <v>0</v>
      </c>
      <c r="AG343">
        <f t="shared" si="75"/>
        <v>0</v>
      </c>
      <c r="AH343">
        <f t="shared" si="75"/>
        <v>0</v>
      </c>
      <c r="AI343">
        <f t="shared" si="75"/>
        <v>0</v>
      </c>
      <c r="AJ343">
        <f t="shared" si="75"/>
        <v>0</v>
      </c>
      <c r="AK343">
        <f t="shared" si="75"/>
        <v>0</v>
      </c>
      <c r="AL343">
        <f t="shared" si="75"/>
        <v>0</v>
      </c>
      <c r="AM343">
        <f t="shared" si="75"/>
        <v>0</v>
      </c>
      <c r="AN343">
        <f t="shared" si="69"/>
        <v>0</v>
      </c>
      <c r="AO343">
        <f t="shared" si="69"/>
        <v>0</v>
      </c>
      <c r="AP343">
        <f t="shared" si="69"/>
        <v>0</v>
      </c>
      <c r="AQ343">
        <f t="shared" si="69"/>
        <v>0</v>
      </c>
      <c r="AR343">
        <f t="shared" si="69"/>
        <v>0</v>
      </c>
    </row>
    <row r="344" spans="5:44" x14ac:dyDescent="0.2">
      <c r="E344" s="1">
        <f>moment_rate!$M344</f>
        <v>0.99753171062654722</v>
      </c>
      <c r="F344" s="1">
        <f t="shared" si="73"/>
        <v>2.0325966956318053E-2</v>
      </c>
      <c r="G344">
        <f>moment_rate!I344-0.005</f>
        <v>3.3699999999999721</v>
      </c>
      <c r="H344" s="1">
        <f t="shared" si="74"/>
        <v>0</v>
      </c>
      <c r="I344">
        <f t="shared" si="76"/>
        <v>0</v>
      </c>
      <c r="J344">
        <f t="shared" si="76"/>
        <v>0</v>
      </c>
      <c r="K344">
        <f t="shared" si="76"/>
        <v>0</v>
      </c>
      <c r="L344">
        <f t="shared" si="76"/>
        <v>0</v>
      </c>
      <c r="M344">
        <f t="shared" si="76"/>
        <v>0</v>
      </c>
      <c r="N344">
        <f t="shared" si="76"/>
        <v>0</v>
      </c>
      <c r="O344">
        <f t="shared" si="76"/>
        <v>0</v>
      </c>
      <c r="P344">
        <f t="shared" si="76"/>
        <v>0</v>
      </c>
      <c r="Q344">
        <f t="shared" si="76"/>
        <v>0</v>
      </c>
      <c r="R344">
        <f t="shared" si="76"/>
        <v>0</v>
      </c>
      <c r="S344">
        <f t="shared" si="76"/>
        <v>0</v>
      </c>
      <c r="T344">
        <f t="shared" si="76"/>
        <v>0</v>
      </c>
      <c r="U344">
        <f t="shared" si="76"/>
        <v>0</v>
      </c>
      <c r="V344">
        <f t="shared" si="76"/>
        <v>0</v>
      </c>
      <c r="W344">
        <f t="shared" si="76"/>
        <v>0</v>
      </c>
      <c r="X344">
        <f t="shared" si="76"/>
        <v>0</v>
      </c>
      <c r="Y344">
        <f t="shared" si="75"/>
        <v>0</v>
      </c>
      <c r="Z344">
        <f t="shared" si="75"/>
        <v>0</v>
      </c>
      <c r="AA344">
        <f t="shared" si="75"/>
        <v>0</v>
      </c>
      <c r="AB344">
        <f t="shared" si="75"/>
        <v>0</v>
      </c>
      <c r="AC344">
        <f t="shared" si="75"/>
        <v>0</v>
      </c>
      <c r="AD344">
        <f t="shared" si="75"/>
        <v>0</v>
      </c>
      <c r="AE344">
        <f t="shared" si="75"/>
        <v>0</v>
      </c>
      <c r="AF344">
        <f t="shared" si="75"/>
        <v>0</v>
      </c>
      <c r="AG344">
        <f t="shared" si="75"/>
        <v>0</v>
      </c>
      <c r="AH344">
        <f t="shared" si="75"/>
        <v>0</v>
      </c>
      <c r="AI344">
        <f t="shared" si="75"/>
        <v>0</v>
      </c>
      <c r="AJ344">
        <f t="shared" si="75"/>
        <v>0</v>
      </c>
      <c r="AK344">
        <f t="shared" si="75"/>
        <v>0</v>
      </c>
      <c r="AL344">
        <f t="shared" si="75"/>
        <v>0</v>
      </c>
      <c r="AM344">
        <f t="shared" si="75"/>
        <v>0</v>
      </c>
      <c r="AN344">
        <f t="shared" si="69"/>
        <v>0</v>
      </c>
      <c r="AO344">
        <f t="shared" si="69"/>
        <v>0</v>
      </c>
      <c r="AP344">
        <f t="shared" si="69"/>
        <v>0</v>
      </c>
      <c r="AQ344">
        <f t="shared" si="69"/>
        <v>0</v>
      </c>
      <c r="AR344">
        <f t="shared" si="69"/>
        <v>0</v>
      </c>
    </row>
    <row r="345" spans="5:44" x14ac:dyDescent="0.2">
      <c r="E345" s="1">
        <f>moment_rate!$M345</f>
        <v>0.97720574367022917</v>
      </c>
      <c r="F345" s="1">
        <f t="shared" si="73"/>
        <v>1.9909081077461477E-2</v>
      </c>
      <c r="G345">
        <f>moment_rate!I345-0.005</f>
        <v>3.3799999999999719</v>
      </c>
      <c r="H345" s="1">
        <f t="shared" si="74"/>
        <v>0</v>
      </c>
      <c r="I345">
        <f t="shared" si="76"/>
        <v>0</v>
      </c>
      <c r="J345">
        <f t="shared" si="76"/>
        <v>0</v>
      </c>
      <c r="K345">
        <f t="shared" si="76"/>
        <v>0</v>
      </c>
      <c r="L345">
        <f t="shared" si="76"/>
        <v>0</v>
      </c>
      <c r="M345">
        <f t="shared" si="76"/>
        <v>0</v>
      </c>
      <c r="N345">
        <f t="shared" si="76"/>
        <v>0</v>
      </c>
      <c r="O345">
        <f t="shared" si="76"/>
        <v>0</v>
      </c>
      <c r="P345">
        <f t="shared" si="76"/>
        <v>0</v>
      </c>
      <c r="Q345">
        <f t="shared" si="76"/>
        <v>0</v>
      </c>
      <c r="R345">
        <f t="shared" si="76"/>
        <v>0</v>
      </c>
      <c r="S345">
        <f t="shared" si="76"/>
        <v>0</v>
      </c>
      <c r="T345">
        <f t="shared" si="76"/>
        <v>0</v>
      </c>
      <c r="U345">
        <f t="shared" si="76"/>
        <v>0</v>
      </c>
      <c r="V345">
        <f t="shared" si="76"/>
        <v>0</v>
      </c>
      <c r="W345">
        <f t="shared" si="76"/>
        <v>0</v>
      </c>
      <c r="X345">
        <f t="shared" si="76"/>
        <v>0</v>
      </c>
      <c r="Y345">
        <f t="shared" si="75"/>
        <v>0</v>
      </c>
      <c r="Z345">
        <f t="shared" si="75"/>
        <v>0</v>
      </c>
      <c r="AA345">
        <f t="shared" si="75"/>
        <v>0</v>
      </c>
      <c r="AB345">
        <f t="shared" si="75"/>
        <v>0</v>
      </c>
      <c r="AC345">
        <f t="shared" si="75"/>
        <v>0</v>
      </c>
      <c r="AD345">
        <f t="shared" si="75"/>
        <v>0</v>
      </c>
      <c r="AE345">
        <f t="shared" si="75"/>
        <v>0</v>
      </c>
      <c r="AF345">
        <f t="shared" si="75"/>
        <v>0</v>
      </c>
      <c r="AG345">
        <f t="shared" si="75"/>
        <v>0</v>
      </c>
      <c r="AH345">
        <f t="shared" si="75"/>
        <v>0</v>
      </c>
      <c r="AI345">
        <f t="shared" si="75"/>
        <v>0</v>
      </c>
      <c r="AJ345">
        <f t="shared" si="75"/>
        <v>0</v>
      </c>
      <c r="AK345">
        <f t="shared" si="75"/>
        <v>0</v>
      </c>
      <c r="AL345">
        <f t="shared" si="75"/>
        <v>0</v>
      </c>
      <c r="AM345">
        <f t="shared" si="75"/>
        <v>0</v>
      </c>
      <c r="AN345">
        <f t="shared" si="69"/>
        <v>0</v>
      </c>
      <c r="AO345">
        <f t="shared" si="69"/>
        <v>0</v>
      </c>
      <c r="AP345">
        <f t="shared" si="69"/>
        <v>0</v>
      </c>
      <c r="AQ345">
        <f t="shared" si="69"/>
        <v>0</v>
      </c>
      <c r="AR345">
        <f t="shared" si="69"/>
        <v>0</v>
      </c>
    </row>
    <row r="346" spans="5:44" x14ac:dyDescent="0.2">
      <c r="E346" s="1">
        <f>moment_rate!$M346</f>
        <v>0.95729666259276769</v>
      </c>
      <c r="F346" s="1">
        <f t="shared" si="73"/>
        <v>1.9500745534063668E-2</v>
      </c>
      <c r="G346">
        <f>moment_rate!I346-0.005</f>
        <v>3.3899999999999717</v>
      </c>
      <c r="H346" s="1">
        <f t="shared" si="74"/>
        <v>0</v>
      </c>
      <c r="I346">
        <f t="shared" si="76"/>
        <v>0</v>
      </c>
      <c r="J346">
        <f t="shared" si="76"/>
        <v>0</v>
      </c>
      <c r="K346">
        <f t="shared" si="76"/>
        <v>0</v>
      </c>
      <c r="L346">
        <f t="shared" si="76"/>
        <v>0</v>
      </c>
      <c r="M346">
        <f t="shared" si="76"/>
        <v>0</v>
      </c>
      <c r="N346">
        <f t="shared" si="76"/>
        <v>0</v>
      </c>
      <c r="O346">
        <f t="shared" si="76"/>
        <v>0</v>
      </c>
      <c r="P346">
        <f t="shared" si="76"/>
        <v>0</v>
      </c>
      <c r="Q346">
        <f t="shared" si="76"/>
        <v>0</v>
      </c>
      <c r="R346">
        <f t="shared" si="76"/>
        <v>0</v>
      </c>
      <c r="S346">
        <f t="shared" si="76"/>
        <v>0</v>
      </c>
      <c r="T346">
        <f t="shared" si="76"/>
        <v>0</v>
      </c>
      <c r="U346">
        <f t="shared" si="76"/>
        <v>0</v>
      </c>
      <c r="V346">
        <f t="shared" si="76"/>
        <v>0</v>
      </c>
      <c r="W346">
        <f t="shared" si="76"/>
        <v>0</v>
      </c>
      <c r="X346">
        <f t="shared" si="76"/>
        <v>0</v>
      </c>
      <c r="Y346">
        <f t="shared" si="75"/>
        <v>0</v>
      </c>
      <c r="Z346">
        <f t="shared" si="75"/>
        <v>0</v>
      </c>
      <c r="AA346">
        <f t="shared" si="75"/>
        <v>0</v>
      </c>
      <c r="AB346">
        <f t="shared" si="75"/>
        <v>0</v>
      </c>
      <c r="AC346">
        <f t="shared" si="75"/>
        <v>0</v>
      </c>
      <c r="AD346">
        <f t="shared" si="75"/>
        <v>0</v>
      </c>
      <c r="AE346">
        <f t="shared" si="75"/>
        <v>0</v>
      </c>
      <c r="AF346">
        <f t="shared" si="75"/>
        <v>0</v>
      </c>
      <c r="AG346">
        <f t="shared" si="75"/>
        <v>0</v>
      </c>
      <c r="AH346">
        <f t="shared" si="75"/>
        <v>0</v>
      </c>
      <c r="AI346">
        <f t="shared" si="75"/>
        <v>0</v>
      </c>
      <c r="AJ346">
        <f t="shared" si="75"/>
        <v>0</v>
      </c>
      <c r="AK346">
        <f t="shared" si="75"/>
        <v>0</v>
      </c>
      <c r="AL346">
        <f t="shared" si="75"/>
        <v>0</v>
      </c>
      <c r="AM346">
        <f t="shared" si="75"/>
        <v>0</v>
      </c>
      <c r="AN346">
        <f t="shared" si="69"/>
        <v>0</v>
      </c>
      <c r="AO346">
        <f t="shared" si="69"/>
        <v>0</v>
      </c>
      <c r="AP346">
        <f t="shared" si="69"/>
        <v>0</v>
      </c>
      <c r="AQ346">
        <f t="shared" si="69"/>
        <v>0</v>
      </c>
      <c r="AR346">
        <f t="shared" si="69"/>
        <v>0</v>
      </c>
    </row>
    <row r="347" spans="5:44" x14ac:dyDescent="0.2">
      <c r="E347" s="1">
        <f>moment_rate!$M347</f>
        <v>0.93779591705870402</v>
      </c>
      <c r="F347" s="1">
        <f t="shared" si="73"/>
        <v>1.9100784958618555E-2</v>
      </c>
      <c r="G347">
        <f>moment_rate!I347-0.005</f>
        <v>3.3999999999999715</v>
      </c>
      <c r="H347" s="1">
        <f t="shared" si="74"/>
        <v>0</v>
      </c>
      <c r="I347">
        <f t="shared" si="76"/>
        <v>0</v>
      </c>
      <c r="J347">
        <f t="shared" si="76"/>
        <v>0</v>
      </c>
      <c r="K347">
        <f t="shared" si="76"/>
        <v>0</v>
      </c>
      <c r="L347">
        <f t="shared" si="76"/>
        <v>0</v>
      </c>
      <c r="M347">
        <f t="shared" si="76"/>
        <v>0</v>
      </c>
      <c r="N347">
        <f t="shared" si="76"/>
        <v>0</v>
      </c>
      <c r="O347">
        <f t="shared" si="76"/>
        <v>0</v>
      </c>
      <c r="P347">
        <f t="shared" si="76"/>
        <v>0</v>
      </c>
      <c r="Q347">
        <f t="shared" si="76"/>
        <v>0</v>
      </c>
      <c r="R347">
        <f t="shared" si="76"/>
        <v>0</v>
      </c>
      <c r="S347">
        <f t="shared" si="76"/>
        <v>0</v>
      </c>
      <c r="T347">
        <f t="shared" si="76"/>
        <v>0</v>
      </c>
      <c r="U347">
        <f t="shared" si="76"/>
        <v>0</v>
      </c>
      <c r="V347">
        <f t="shared" si="76"/>
        <v>0</v>
      </c>
      <c r="W347">
        <f t="shared" si="76"/>
        <v>0</v>
      </c>
      <c r="X347">
        <f t="shared" si="76"/>
        <v>0</v>
      </c>
      <c r="Y347">
        <f t="shared" si="75"/>
        <v>0</v>
      </c>
      <c r="Z347">
        <f t="shared" si="75"/>
        <v>0</v>
      </c>
      <c r="AA347">
        <f t="shared" si="75"/>
        <v>0</v>
      </c>
      <c r="AB347">
        <f t="shared" si="75"/>
        <v>0</v>
      </c>
      <c r="AC347">
        <f t="shared" si="75"/>
        <v>0</v>
      </c>
      <c r="AD347">
        <f t="shared" si="75"/>
        <v>0</v>
      </c>
      <c r="AE347">
        <f t="shared" si="75"/>
        <v>0</v>
      </c>
      <c r="AF347">
        <f t="shared" si="75"/>
        <v>0</v>
      </c>
      <c r="AG347">
        <f t="shared" si="75"/>
        <v>0</v>
      </c>
      <c r="AH347">
        <f t="shared" si="75"/>
        <v>0</v>
      </c>
      <c r="AI347">
        <f t="shared" si="75"/>
        <v>0</v>
      </c>
      <c r="AJ347">
        <f t="shared" si="75"/>
        <v>0</v>
      </c>
      <c r="AK347">
        <f t="shared" si="75"/>
        <v>0</v>
      </c>
      <c r="AL347">
        <f t="shared" si="75"/>
        <v>0</v>
      </c>
      <c r="AM347">
        <f t="shared" si="75"/>
        <v>0</v>
      </c>
      <c r="AN347">
        <f t="shared" si="69"/>
        <v>0</v>
      </c>
      <c r="AO347">
        <f t="shared" si="69"/>
        <v>0</v>
      </c>
      <c r="AP347">
        <f t="shared" si="69"/>
        <v>0</v>
      </c>
      <c r="AQ347">
        <f t="shared" si="69"/>
        <v>0</v>
      </c>
      <c r="AR347">
        <f t="shared" si="69"/>
        <v>0</v>
      </c>
    </row>
    <row r="348" spans="5:44" x14ac:dyDescent="0.2">
      <c r="E348" s="1">
        <f>moment_rate!$M348</f>
        <v>0.91869513210008547</v>
      </c>
      <c r="F348" s="1">
        <f t="shared" si="73"/>
        <v>1.8709027580412041E-2</v>
      </c>
      <c r="G348">
        <f>moment_rate!I348-0.005</f>
        <v>3.4099999999999713</v>
      </c>
      <c r="H348" s="1">
        <f t="shared" si="74"/>
        <v>0</v>
      </c>
      <c r="I348">
        <f t="shared" si="76"/>
        <v>0</v>
      </c>
      <c r="J348">
        <f t="shared" si="76"/>
        <v>0</v>
      </c>
      <c r="K348">
        <f t="shared" si="76"/>
        <v>0</v>
      </c>
      <c r="L348">
        <f t="shared" si="76"/>
        <v>0</v>
      </c>
      <c r="M348">
        <f t="shared" si="76"/>
        <v>0</v>
      </c>
      <c r="N348">
        <f t="shared" si="76"/>
        <v>0</v>
      </c>
      <c r="O348">
        <f t="shared" si="76"/>
        <v>0</v>
      </c>
      <c r="P348">
        <f t="shared" si="76"/>
        <v>0</v>
      </c>
      <c r="Q348">
        <f t="shared" si="76"/>
        <v>0</v>
      </c>
      <c r="R348">
        <f t="shared" si="76"/>
        <v>0</v>
      </c>
      <c r="S348">
        <f t="shared" si="76"/>
        <v>0</v>
      </c>
      <c r="T348">
        <f t="shared" si="76"/>
        <v>0</v>
      </c>
      <c r="U348">
        <f t="shared" si="76"/>
        <v>0</v>
      </c>
      <c r="V348">
        <f t="shared" si="76"/>
        <v>0</v>
      </c>
      <c r="W348">
        <f t="shared" si="76"/>
        <v>0</v>
      </c>
      <c r="X348">
        <f t="shared" si="76"/>
        <v>0</v>
      </c>
      <c r="Y348">
        <f t="shared" si="75"/>
        <v>0</v>
      </c>
      <c r="Z348">
        <f t="shared" si="75"/>
        <v>0</v>
      </c>
      <c r="AA348">
        <f t="shared" si="75"/>
        <v>0</v>
      </c>
      <c r="AB348">
        <f t="shared" si="75"/>
        <v>0</v>
      </c>
      <c r="AC348">
        <f t="shared" si="75"/>
        <v>0</v>
      </c>
      <c r="AD348">
        <f t="shared" si="75"/>
        <v>0</v>
      </c>
      <c r="AE348">
        <f t="shared" si="75"/>
        <v>0</v>
      </c>
      <c r="AF348">
        <f t="shared" si="75"/>
        <v>0</v>
      </c>
      <c r="AG348">
        <f t="shared" si="75"/>
        <v>0</v>
      </c>
      <c r="AH348">
        <f t="shared" si="75"/>
        <v>0</v>
      </c>
      <c r="AI348">
        <f t="shared" si="75"/>
        <v>0</v>
      </c>
      <c r="AJ348">
        <f t="shared" si="75"/>
        <v>0</v>
      </c>
      <c r="AK348">
        <f t="shared" si="75"/>
        <v>0</v>
      </c>
      <c r="AL348">
        <f t="shared" si="75"/>
        <v>0</v>
      </c>
      <c r="AM348">
        <f t="shared" si="75"/>
        <v>0</v>
      </c>
      <c r="AN348">
        <f t="shared" si="69"/>
        <v>0</v>
      </c>
      <c r="AO348">
        <f t="shared" si="69"/>
        <v>0</v>
      </c>
      <c r="AP348">
        <f t="shared" si="69"/>
        <v>0</v>
      </c>
      <c r="AQ348">
        <f t="shared" si="69"/>
        <v>0</v>
      </c>
      <c r="AR348">
        <f t="shared" si="69"/>
        <v>0</v>
      </c>
    </row>
    <row r="349" spans="5:44" x14ac:dyDescent="0.2">
      <c r="E349" s="1">
        <f>moment_rate!$M349</f>
        <v>0.89998610451967342</v>
      </c>
      <c r="F349" s="1">
        <f t="shared" si="73"/>
        <v>1.8325305151748905E-2</v>
      </c>
      <c r="G349">
        <f>moment_rate!I349-0.005</f>
        <v>3.4199999999999711</v>
      </c>
      <c r="H349" s="1">
        <f t="shared" si="74"/>
        <v>0</v>
      </c>
      <c r="I349">
        <f t="shared" si="76"/>
        <v>0</v>
      </c>
      <c r="J349">
        <f t="shared" si="76"/>
        <v>0</v>
      </c>
      <c r="K349">
        <f t="shared" si="76"/>
        <v>0</v>
      </c>
      <c r="L349">
        <f t="shared" si="76"/>
        <v>0</v>
      </c>
      <c r="M349">
        <f t="shared" si="76"/>
        <v>0</v>
      </c>
      <c r="N349">
        <f t="shared" si="76"/>
        <v>0</v>
      </c>
      <c r="O349">
        <f t="shared" si="76"/>
        <v>0</v>
      </c>
      <c r="P349">
        <f t="shared" si="76"/>
        <v>0</v>
      </c>
      <c r="Q349">
        <f t="shared" si="76"/>
        <v>0</v>
      </c>
      <c r="R349">
        <f t="shared" si="76"/>
        <v>0</v>
      </c>
      <c r="S349">
        <f t="shared" si="76"/>
        <v>0</v>
      </c>
      <c r="T349">
        <f t="shared" si="76"/>
        <v>0</v>
      </c>
      <c r="U349">
        <f t="shared" si="76"/>
        <v>0</v>
      </c>
      <c r="V349">
        <f t="shared" si="76"/>
        <v>0</v>
      </c>
      <c r="W349">
        <f t="shared" si="76"/>
        <v>0</v>
      </c>
      <c r="X349">
        <f t="shared" si="76"/>
        <v>0</v>
      </c>
      <c r="Y349">
        <f t="shared" si="75"/>
        <v>0</v>
      </c>
      <c r="Z349">
        <f t="shared" si="75"/>
        <v>0</v>
      </c>
      <c r="AA349">
        <f t="shared" si="75"/>
        <v>0</v>
      </c>
      <c r="AB349">
        <f t="shared" si="75"/>
        <v>0</v>
      </c>
      <c r="AC349">
        <f t="shared" si="75"/>
        <v>0</v>
      </c>
      <c r="AD349">
        <f t="shared" si="75"/>
        <v>0</v>
      </c>
      <c r="AE349">
        <f t="shared" si="75"/>
        <v>0</v>
      </c>
      <c r="AF349">
        <f t="shared" si="75"/>
        <v>0</v>
      </c>
      <c r="AG349">
        <f t="shared" si="75"/>
        <v>0</v>
      </c>
      <c r="AH349">
        <f t="shared" si="75"/>
        <v>0</v>
      </c>
      <c r="AI349">
        <f t="shared" si="75"/>
        <v>0</v>
      </c>
      <c r="AJ349">
        <f t="shared" si="75"/>
        <v>0</v>
      </c>
      <c r="AK349">
        <f t="shared" si="75"/>
        <v>0</v>
      </c>
      <c r="AL349">
        <f t="shared" si="75"/>
        <v>0</v>
      </c>
      <c r="AM349">
        <f t="shared" si="75"/>
        <v>0</v>
      </c>
      <c r="AN349">
        <f t="shared" si="69"/>
        <v>0</v>
      </c>
      <c r="AO349">
        <f t="shared" si="69"/>
        <v>0</v>
      </c>
      <c r="AP349">
        <f t="shared" si="69"/>
        <v>0</v>
      </c>
      <c r="AQ349">
        <f t="shared" si="69"/>
        <v>0</v>
      </c>
      <c r="AR349">
        <f t="shared" si="69"/>
        <v>0</v>
      </c>
    </row>
    <row r="350" spans="5:44" x14ac:dyDescent="0.2">
      <c r="E350" s="1">
        <f>moment_rate!$M350</f>
        <v>0.88166079936792452</v>
      </c>
      <c r="F350" s="1">
        <f t="shared" si="73"/>
        <v>1.794945287569627E-2</v>
      </c>
      <c r="G350">
        <f>moment_rate!I350-0.005</f>
        <v>3.4299999999999708</v>
      </c>
      <c r="H350" s="1">
        <f t="shared" si="74"/>
        <v>0</v>
      </c>
      <c r="I350">
        <f t="shared" si="76"/>
        <v>0</v>
      </c>
      <c r="J350">
        <f t="shared" si="76"/>
        <v>0</v>
      </c>
      <c r="K350">
        <f t="shared" si="76"/>
        <v>0</v>
      </c>
      <c r="L350">
        <f t="shared" si="76"/>
        <v>0</v>
      </c>
      <c r="M350">
        <f t="shared" si="76"/>
        <v>0</v>
      </c>
      <c r="N350">
        <f t="shared" si="76"/>
        <v>0</v>
      </c>
      <c r="O350">
        <f t="shared" si="76"/>
        <v>0</v>
      </c>
      <c r="P350">
        <f t="shared" si="76"/>
        <v>0</v>
      </c>
      <c r="Q350">
        <f t="shared" si="76"/>
        <v>0</v>
      </c>
      <c r="R350">
        <f t="shared" si="76"/>
        <v>0</v>
      </c>
      <c r="S350">
        <f t="shared" si="76"/>
        <v>0</v>
      </c>
      <c r="T350">
        <f t="shared" si="76"/>
        <v>0</v>
      </c>
      <c r="U350">
        <f t="shared" si="76"/>
        <v>0</v>
      </c>
      <c r="V350">
        <f t="shared" si="76"/>
        <v>0</v>
      </c>
      <c r="W350">
        <f t="shared" si="76"/>
        <v>0</v>
      </c>
      <c r="X350">
        <f t="shared" ref="X350:AR362" si="77">IF(AND($G350&gt;=X$3,$G350&lt;X$4),$F350,0)</f>
        <v>0</v>
      </c>
      <c r="Y350">
        <f t="shared" si="77"/>
        <v>0</v>
      </c>
      <c r="Z350">
        <f t="shared" si="77"/>
        <v>0</v>
      </c>
      <c r="AA350">
        <f t="shared" si="77"/>
        <v>0</v>
      </c>
      <c r="AB350">
        <f t="shared" si="77"/>
        <v>0</v>
      </c>
      <c r="AC350">
        <f t="shared" si="77"/>
        <v>0</v>
      </c>
      <c r="AD350">
        <f t="shared" si="77"/>
        <v>0</v>
      </c>
      <c r="AE350">
        <f t="shared" si="77"/>
        <v>0</v>
      </c>
      <c r="AF350">
        <f t="shared" si="77"/>
        <v>0</v>
      </c>
      <c r="AG350">
        <f t="shared" si="77"/>
        <v>0</v>
      </c>
      <c r="AH350">
        <f t="shared" si="77"/>
        <v>0</v>
      </c>
      <c r="AI350">
        <f t="shared" si="77"/>
        <v>0</v>
      </c>
      <c r="AJ350">
        <f t="shared" si="77"/>
        <v>0</v>
      </c>
      <c r="AK350">
        <f t="shared" si="77"/>
        <v>0</v>
      </c>
      <c r="AL350">
        <f t="shared" si="77"/>
        <v>0</v>
      </c>
      <c r="AM350">
        <f t="shared" si="77"/>
        <v>0</v>
      </c>
      <c r="AN350">
        <f t="shared" si="77"/>
        <v>0</v>
      </c>
      <c r="AO350">
        <f t="shared" si="77"/>
        <v>0</v>
      </c>
      <c r="AP350">
        <f t="shared" si="77"/>
        <v>0</v>
      </c>
      <c r="AQ350">
        <f t="shared" si="77"/>
        <v>0</v>
      </c>
      <c r="AR350">
        <f t="shared" si="77"/>
        <v>0</v>
      </c>
    </row>
    <row r="351" spans="5:44" x14ac:dyDescent="0.2">
      <c r="E351" s="1">
        <f>moment_rate!$M351</f>
        <v>0.86371134649222825</v>
      </c>
      <c r="F351" s="1">
        <f t="shared" si="73"/>
        <v>1.758130933530988E-2</v>
      </c>
      <c r="G351">
        <f>moment_rate!I351-0.005</f>
        <v>3.4399999999999706</v>
      </c>
      <c r="H351" s="1">
        <f t="shared" si="74"/>
        <v>0</v>
      </c>
      <c r="I351">
        <f t="shared" ref="I351:X366" si="78">IF(AND($G351&gt;=I$3,$G351&lt;I$4),$F351,0)</f>
        <v>0</v>
      </c>
      <c r="J351">
        <f t="shared" si="78"/>
        <v>0</v>
      </c>
      <c r="K351">
        <f t="shared" si="78"/>
        <v>0</v>
      </c>
      <c r="L351">
        <f t="shared" si="78"/>
        <v>0</v>
      </c>
      <c r="M351">
        <f t="shared" si="78"/>
        <v>0</v>
      </c>
      <c r="N351">
        <f t="shared" si="78"/>
        <v>0</v>
      </c>
      <c r="O351">
        <f t="shared" si="78"/>
        <v>0</v>
      </c>
      <c r="P351">
        <f t="shared" si="78"/>
        <v>0</v>
      </c>
      <c r="Q351">
        <f t="shared" si="78"/>
        <v>0</v>
      </c>
      <c r="R351">
        <f t="shared" si="78"/>
        <v>0</v>
      </c>
      <c r="S351">
        <f t="shared" si="78"/>
        <v>0</v>
      </c>
      <c r="T351">
        <f t="shared" si="78"/>
        <v>0</v>
      </c>
      <c r="U351">
        <f t="shared" si="78"/>
        <v>0</v>
      </c>
      <c r="V351">
        <f t="shared" si="78"/>
        <v>0</v>
      </c>
      <c r="W351">
        <f t="shared" si="78"/>
        <v>0</v>
      </c>
      <c r="X351">
        <f t="shared" si="78"/>
        <v>0</v>
      </c>
      <c r="Y351">
        <f t="shared" si="77"/>
        <v>0</v>
      </c>
      <c r="Z351">
        <f t="shared" si="77"/>
        <v>0</v>
      </c>
      <c r="AA351">
        <f t="shared" si="77"/>
        <v>0</v>
      </c>
      <c r="AB351">
        <f t="shared" si="77"/>
        <v>0</v>
      </c>
      <c r="AC351">
        <f t="shared" si="77"/>
        <v>0</v>
      </c>
      <c r="AD351">
        <f t="shared" si="77"/>
        <v>0</v>
      </c>
      <c r="AE351">
        <f t="shared" si="77"/>
        <v>0</v>
      </c>
      <c r="AF351">
        <f t="shared" si="77"/>
        <v>0</v>
      </c>
      <c r="AG351">
        <f t="shared" si="77"/>
        <v>0</v>
      </c>
      <c r="AH351">
        <f t="shared" si="77"/>
        <v>0</v>
      </c>
      <c r="AI351">
        <f t="shared" si="77"/>
        <v>0</v>
      </c>
      <c r="AJ351">
        <f t="shared" si="77"/>
        <v>0</v>
      </c>
      <c r="AK351">
        <f t="shared" si="77"/>
        <v>0</v>
      </c>
      <c r="AL351">
        <f t="shared" si="77"/>
        <v>0</v>
      </c>
      <c r="AM351">
        <f t="shared" si="77"/>
        <v>0</v>
      </c>
      <c r="AN351">
        <f t="shared" si="77"/>
        <v>0</v>
      </c>
      <c r="AO351">
        <f t="shared" si="77"/>
        <v>0</v>
      </c>
      <c r="AP351">
        <f t="shared" si="77"/>
        <v>0</v>
      </c>
      <c r="AQ351">
        <f t="shared" si="77"/>
        <v>0</v>
      </c>
      <c r="AR351">
        <f t="shared" si="77"/>
        <v>0</v>
      </c>
    </row>
    <row r="352" spans="5:44" x14ac:dyDescent="0.2">
      <c r="E352" s="1">
        <f>moment_rate!$M352</f>
        <v>0.84613003715691837</v>
      </c>
      <c r="F352" s="1">
        <f t="shared" si="73"/>
        <v>1.7220716424308447E-2</v>
      </c>
      <c r="G352">
        <f>moment_rate!I352-0.005</f>
        <v>3.4499999999999704</v>
      </c>
      <c r="H352" s="1">
        <f t="shared" si="74"/>
        <v>0</v>
      </c>
      <c r="I352">
        <f t="shared" si="78"/>
        <v>0</v>
      </c>
      <c r="J352">
        <f t="shared" si="78"/>
        <v>0</v>
      </c>
      <c r="K352">
        <f t="shared" si="78"/>
        <v>0</v>
      </c>
      <c r="L352">
        <f t="shared" si="78"/>
        <v>0</v>
      </c>
      <c r="M352">
        <f t="shared" si="78"/>
        <v>0</v>
      </c>
      <c r="N352">
        <f t="shared" si="78"/>
        <v>0</v>
      </c>
      <c r="O352">
        <f t="shared" si="78"/>
        <v>0</v>
      </c>
      <c r="P352">
        <f t="shared" si="78"/>
        <v>0</v>
      </c>
      <c r="Q352">
        <f t="shared" si="78"/>
        <v>0</v>
      </c>
      <c r="R352">
        <f t="shared" si="78"/>
        <v>0</v>
      </c>
      <c r="S352">
        <f t="shared" si="78"/>
        <v>0</v>
      </c>
      <c r="T352">
        <f t="shared" si="78"/>
        <v>0</v>
      </c>
      <c r="U352">
        <f t="shared" si="78"/>
        <v>0</v>
      </c>
      <c r="V352">
        <f t="shared" si="78"/>
        <v>0</v>
      </c>
      <c r="W352">
        <f t="shared" si="78"/>
        <v>0</v>
      </c>
      <c r="X352">
        <f t="shared" si="78"/>
        <v>0</v>
      </c>
      <c r="Y352">
        <f t="shared" si="77"/>
        <v>0</v>
      </c>
      <c r="Z352">
        <f t="shared" si="77"/>
        <v>0</v>
      </c>
      <c r="AA352">
        <f t="shared" si="77"/>
        <v>0</v>
      </c>
      <c r="AB352">
        <f t="shared" si="77"/>
        <v>0</v>
      </c>
      <c r="AC352">
        <f t="shared" si="77"/>
        <v>0</v>
      </c>
      <c r="AD352">
        <f t="shared" si="77"/>
        <v>0</v>
      </c>
      <c r="AE352">
        <f t="shared" si="77"/>
        <v>0</v>
      </c>
      <c r="AF352">
        <f t="shared" si="77"/>
        <v>0</v>
      </c>
      <c r="AG352">
        <f t="shared" si="77"/>
        <v>0</v>
      </c>
      <c r="AH352">
        <f t="shared" si="77"/>
        <v>0</v>
      </c>
      <c r="AI352">
        <f t="shared" si="77"/>
        <v>0</v>
      </c>
      <c r="AJ352">
        <f t="shared" si="77"/>
        <v>0</v>
      </c>
      <c r="AK352">
        <f t="shared" si="77"/>
        <v>0</v>
      </c>
      <c r="AL352">
        <f t="shared" si="77"/>
        <v>0</v>
      </c>
      <c r="AM352">
        <f t="shared" si="77"/>
        <v>0</v>
      </c>
      <c r="AN352">
        <f t="shared" si="77"/>
        <v>0</v>
      </c>
      <c r="AO352">
        <f t="shared" si="77"/>
        <v>0</v>
      </c>
      <c r="AP352">
        <f t="shared" si="77"/>
        <v>0</v>
      </c>
      <c r="AQ352">
        <f t="shared" si="77"/>
        <v>0</v>
      </c>
      <c r="AR352">
        <f t="shared" si="77"/>
        <v>0</v>
      </c>
    </row>
    <row r="353" spans="5:44" x14ac:dyDescent="0.2">
      <c r="E353" s="1">
        <f>moment_rate!$M353</f>
        <v>0.82890932073260992</v>
      </c>
      <c r="F353" s="1">
        <f t="shared" si="73"/>
        <v>1.6867519279173293E-2</v>
      </c>
      <c r="G353">
        <f>moment_rate!I353-0.005</f>
        <v>3.4599999999999702</v>
      </c>
      <c r="H353" s="1">
        <f t="shared" si="74"/>
        <v>0</v>
      </c>
      <c r="I353">
        <f t="shared" si="78"/>
        <v>0</v>
      </c>
      <c r="J353">
        <f t="shared" si="78"/>
        <v>0</v>
      </c>
      <c r="K353">
        <f t="shared" si="78"/>
        <v>0</v>
      </c>
      <c r="L353">
        <f t="shared" si="78"/>
        <v>0</v>
      </c>
      <c r="M353">
        <f t="shared" si="78"/>
        <v>0</v>
      </c>
      <c r="N353">
        <f t="shared" si="78"/>
        <v>0</v>
      </c>
      <c r="O353">
        <f t="shared" si="78"/>
        <v>0</v>
      </c>
      <c r="P353">
        <f t="shared" si="78"/>
        <v>0</v>
      </c>
      <c r="Q353">
        <f t="shared" si="78"/>
        <v>0</v>
      </c>
      <c r="R353">
        <f t="shared" si="78"/>
        <v>0</v>
      </c>
      <c r="S353">
        <f t="shared" si="78"/>
        <v>0</v>
      </c>
      <c r="T353">
        <f t="shared" si="78"/>
        <v>0</v>
      </c>
      <c r="U353">
        <f t="shared" si="78"/>
        <v>0</v>
      </c>
      <c r="V353">
        <f t="shared" si="78"/>
        <v>0</v>
      </c>
      <c r="W353">
        <f t="shared" si="78"/>
        <v>0</v>
      </c>
      <c r="X353">
        <f t="shared" si="78"/>
        <v>0</v>
      </c>
      <c r="Y353">
        <f t="shared" si="77"/>
        <v>0</v>
      </c>
      <c r="Z353">
        <f t="shared" si="77"/>
        <v>0</v>
      </c>
      <c r="AA353">
        <f t="shared" si="77"/>
        <v>0</v>
      </c>
      <c r="AB353">
        <f t="shared" si="77"/>
        <v>0</v>
      </c>
      <c r="AC353">
        <f t="shared" si="77"/>
        <v>0</v>
      </c>
      <c r="AD353">
        <f t="shared" si="77"/>
        <v>0</v>
      </c>
      <c r="AE353">
        <f t="shared" si="77"/>
        <v>0</v>
      </c>
      <c r="AF353">
        <f t="shared" si="77"/>
        <v>0</v>
      </c>
      <c r="AG353">
        <f t="shared" si="77"/>
        <v>0</v>
      </c>
      <c r="AH353">
        <f t="shared" si="77"/>
        <v>0</v>
      </c>
      <c r="AI353">
        <f t="shared" si="77"/>
        <v>0</v>
      </c>
      <c r="AJ353">
        <f t="shared" si="77"/>
        <v>0</v>
      </c>
      <c r="AK353">
        <f t="shared" si="77"/>
        <v>0</v>
      </c>
      <c r="AL353">
        <f t="shared" si="77"/>
        <v>0</v>
      </c>
      <c r="AM353">
        <f t="shared" si="77"/>
        <v>0</v>
      </c>
      <c r="AN353">
        <f t="shared" si="77"/>
        <v>0</v>
      </c>
      <c r="AO353">
        <f t="shared" si="77"/>
        <v>0</v>
      </c>
      <c r="AP353">
        <f t="shared" si="77"/>
        <v>0</v>
      </c>
      <c r="AQ353">
        <f t="shared" si="77"/>
        <v>0</v>
      </c>
      <c r="AR353">
        <f t="shared" si="77"/>
        <v>0</v>
      </c>
    </row>
    <row r="354" spans="5:44" x14ac:dyDescent="0.2">
      <c r="E354" s="1">
        <f>moment_rate!$M354</f>
        <v>0.81204180145343663</v>
      </c>
      <c r="F354" s="1">
        <f t="shared" si="73"/>
        <v>1.652156621263845E-2</v>
      </c>
      <c r="G354">
        <f>moment_rate!I354-0.005</f>
        <v>3.46999999999997</v>
      </c>
      <c r="H354" s="1">
        <f t="shared" si="74"/>
        <v>0</v>
      </c>
      <c r="I354">
        <f t="shared" si="78"/>
        <v>0</v>
      </c>
      <c r="J354">
        <f t="shared" si="78"/>
        <v>0</v>
      </c>
      <c r="K354">
        <f t="shared" si="78"/>
        <v>0</v>
      </c>
      <c r="L354">
        <f t="shared" si="78"/>
        <v>0</v>
      </c>
      <c r="M354">
        <f t="shared" si="78"/>
        <v>0</v>
      </c>
      <c r="N354">
        <f t="shared" si="78"/>
        <v>0</v>
      </c>
      <c r="O354">
        <f t="shared" si="78"/>
        <v>0</v>
      </c>
      <c r="P354">
        <f t="shared" si="78"/>
        <v>0</v>
      </c>
      <c r="Q354">
        <f t="shared" si="78"/>
        <v>0</v>
      </c>
      <c r="R354">
        <f t="shared" si="78"/>
        <v>0</v>
      </c>
      <c r="S354">
        <f t="shared" si="78"/>
        <v>0</v>
      </c>
      <c r="T354">
        <f t="shared" si="78"/>
        <v>0</v>
      </c>
      <c r="U354">
        <f t="shared" si="78"/>
        <v>0</v>
      </c>
      <c r="V354">
        <f t="shared" si="78"/>
        <v>0</v>
      </c>
      <c r="W354">
        <f t="shared" si="78"/>
        <v>0</v>
      </c>
      <c r="X354">
        <f t="shared" si="78"/>
        <v>0</v>
      </c>
      <c r="Y354">
        <f t="shared" si="77"/>
        <v>0</v>
      </c>
      <c r="Z354">
        <f t="shared" si="77"/>
        <v>0</v>
      </c>
      <c r="AA354">
        <f t="shared" si="77"/>
        <v>0</v>
      </c>
      <c r="AB354">
        <f t="shared" si="77"/>
        <v>0</v>
      </c>
      <c r="AC354">
        <f t="shared" si="77"/>
        <v>0</v>
      </c>
      <c r="AD354">
        <f t="shared" si="77"/>
        <v>0</v>
      </c>
      <c r="AE354">
        <f t="shared" si="77"/>
        <v>0</v>
      </c>
      <c r="AF354">
        <f t="shared" si="77"/>
        <v>0</v>
      </c>
      <c r="AG354">
        <f t="shared" si="77"/>
        <v>0</v>
      </c>
      <c r="AH354">
        <f t="shared" si="77"/>
        <v>0</v>
      </c>
      <c r="AI354">
        <f t="shared" si="77"/>
        <v>0</v>
      </c>
      <c r="AJ354">
        <f t="shared" si="77"/>
        <v>0</v>
      </c>
      <c r="AK354">
        <f t="shared" si="77"/>
        <v>0</v>
      </c>
      <c r="AL354">
        <f t="shared" si="77"/>
        <v>0</v>
      </c>
      <c r="AM354">
        <f t="shared" si="77"/>
        <v>0</v>
      </c>
      <c r="AN354">
        <f t="shared" si="77"/>
        <v>0</v>
      </c>
      <c r="AO354">
        <f t="shared" si="77"/>
        <v>0</v>
      </c>
      <c r="AP354">
        <f t="shared" si="77"/>
        <v>0</v>
      </c>
      <c r="AQ354">
        <f t="shared" si="77"/>
        <v>0</v>
      </c>
      <c r="AR354">
        <f t="shared" si="77"/>
        <v>0</v>
      </c>
    </row>
    <row r="355" spans="5:44" x14ac:dyDescent="0.2">
      <c r="E355" s="1">
        <f>moment_rate!$M355</f>
        <v>0.79552023524079818</v>
      </c>
      <c r="F355" s="1">
        <f t="shared" si="73"/>
        <v>1.6182708648546096E-2</v>
      </c>
      <c r="G355">
        <f>moment_rate!I355-0.005</f>
        <v>3.4799999999999698</v>
      </c>
      <c r="H355" s="1">
        <f t="shared" si="74"/>
        <v>0</v>
      </c>
      <c r="I355">
        <f t="shared" si="78"/>
        <v>0</v>
      </c>
      <c r="J355">
        <f t="shared" si="78"/>
        <v>0</v>
      </c>
      <c r="K355">
        <f t="shared" si="78"/>
        <v>0</v>
      </c>
      <c r="L355">
        <f t="shared" si="78"/>
        <v>0</v>
      </c>
      <c r="M355">
        <f t="shared" si="78"/>
        <v>0</v>
      </c>
      <c r="N355">
        <f t="shared" si="78"/>
        <v>0</v>
      </c>
      <c r="O355">
        <f t="shared" si="78"/>
        <v>0</v>
      </c>
      <c r="P355">
        <f t="shared" si="78"/>
        <v>0</v>
      </c>
      <c r="Q355">
        <f t="shared" si="78"/>
        <v>0</v>
      </c>
      <c r="R355">
        <f t="shared" si="78"/>
        <v>0</v>
      </c>
      <c r="S355">
        <f t="shared" si="78"/>
        <v>0</v>
      </c>
      <c r="T355">
        <f t="shared" si="78"/>
        <v>0</v>
      </c>
      <c r="U355">
        <f t="shared" si="78"/>
        <v>0</v>
      </c>
      <c r="V355">
        <f t="shared" si="78"/>
        <v>0</v>
      </c>
      <c r="W355">
        <f t="shared" si="78"/>
        <v>0</v>
      </c>
      <c r="X355">
        <f t="shared" si="78"/>
        <v>0</v>
      </c>
      <c r="Y355">
        <f t="shared" si="77"/>
        <v>0</v>
      </c>
      <c r="Z355">
        <f t="shared" si="77"/>
        <v>0</v>
      </c>
      <c r="AA355">
        <f t="shared" si="77"/>
        <v>0</v>
      </c>
      <c r="AB355">
        <f t="shared" si="77"/>
        <v>0</v>
      </c>
      <c r="AC355">
        <f t="shared" si="77"/>
        <v>0</v>
      </c>
      <c r="AD355">
        <f t="shared" si="77"/>
        <v>0</v>
      </c>
      <c r="AE355">
        <f t="shared" si="77"/>
        <v>0</v>
      </c>
      <c r="AF355">
        <f t="shared" si="77"/>
        <v>0</v>
      </c>
      <c r="AG355">
        <f t="shared" si="77"/>
        <v>0</v>
      </c>
      <c r="AH355">
        <f t="shared" si="77"/>
        <v>0</v>
      </c>
      <c r="AI355">
        <f t="shared" si="77"/>
        <v>0</v>
      </c>
      <c r="AJ355">
        <f t="shared" si="77"/>
        <v>0</v>
      </c>
      <c r="AK355">
        <f t="shared" si="77"/>
        <v>0</v>
      </c>
      <c r="AL355">
        <f t="shared" si="77"/>
        <v>0</v>
      </c>
      <c r="AM355">
        <f t="shared" si="77"/>
        <v>0</v>
      </c>
      <c r="AN355">
        <f t="shared" si="77"/>
        <v>0</v>
      </c>
      <c r="AO355">
        <f t="shared" si="77"/>
        <v>0</v>
      </c>
      <c r="AP355">
        <f t="shared" si="77"/>
        <v>0</v>
      </c>
      <c r="AQ355">
        <f t="shared" si="77"/>
        <v>0</v>
      </c>
      <c r="AR355">
        <f t="shared" si="77"/>
        <v>0</v>
      </c>
    </row>
    <row r="356" spans="5:44" x14ac:dyDescent="0.2">
      <c r="E356" s="1">
        <f>moment_rate!$M356</f>
        <v>0.77933752659225208</v>
      </c>
      <c r="F356" s="1">
        <f t="shared" si="73"/>
        <v>1.58508010580376E-2</v>
      </c>
      <c r="G356">
        <f>moment_rate!I356-0.005</f>
        <v>3.4899999999999696</v>
      </c>
      <c r="H356" s="1">
        <f t="shared" si="74"/>
        <v>0</v>
      </c>
      <c r="I356">
        <f t="shared" si="78"/>
        <v>0</v>
      </c>
      <c r="J356">
        <f t="shared" si="78"/>
        <v>0</v>
      </c>
      <c r="K356">
        <f t="shared" si="78"/>
        <v>0</v>
      </c>
      <c r="L356">
        <f t="shared" si="78"/>
        <v>0</v>
      </c>
      <c r="M356">
        <f t="shared" si="78"/>
        <v>0</v>
      </c>
      <c r="N356">
        <f t="shared" si="78"/>
        <v>0</v>
      </c>
      <c r="O356">
        <f t="shared" si="78"/>
        <v>0</v>
      </c>
      <c r="P356">
        <f t="shared" si="78"/>
        <v>0</v>
      </c>
      <c r="Q356">
        <f t="shared" si="78"/>
        <v>0</v>
      </c>
      <c r="R356">
        <f t="shared" si="78"/>
        <v>0</v>
      </c>
      <c r="S356">
        <f t="shared" si="78"/>
        <v>0</v>
      </c>
      <c r="T356">
        <f t="shared" si="78"/>
        <v>0</v>
      </c>
      <c r="U356">
        <f t="shared" si="78"/>
        <v>0</v>
      </c>
      <c r="V356">
        <f t="shared" si="78"/>
        <v>0</v>
      </c>
      <c r="W356">
        <f t="shared" si="78"/>
        <v>0</v>
      </c>
      <c r="X356">
        <f t="shared" si="78"/>
        <v>0</v>
      </c>
      <c r="Y356">
        <f t="shared" si="77"/>
        <v>0</v>
      </c>
      <c r="Z356">
        <f t="shared" si="77"/>
        <v>0</v>
      </c>
      <c r="AA356">
        <f t="shared" si="77"/>
        <v>0</v>
      </c>
      <c r="AB356">
        <f t="shared" si="77"/>
        <v>0</v>
      </c>
      <c r="AC356">
        <f t="shared" si="77"/>
        <v>0</v>
      </c>
      <c r="AD356">
        <f t="shared" si="77"/>
        <v>0</v>
      </c>
      <c r="AE356">
        <f t="shared" si="77"/>
        <v>0</v>
      </c>
      <c r="AF356">
        <f t="shared" si="77"/>
        <v>0</v>
      </c>
      <c r="AG356">
        <f t="shared" si="77"/>
        <v>0</v>
      </c>
      <c r="AH356">
        <f t="shared" si="77"/>
        <v>0</v>
      </c>
      <c r="AI356">
        <f t="shared" si="77"/>
        <v>0</v>
      </c>
      <c r="AJ356">
        <f t="shared" si="77"/>
        <v>0</v>
      </c>
      <c r="AK356">
        <f t="shared" si="77"/>
        <v>0</v>
      </c>
      <c r="AL356">
        <f t="shared" si="77"/>
        <v>0</v>
      </c>
      <c r="AM356">
        <f t="shared" si="77"/>
        <v>0</v>
      </c>
      <c r="AN356">
        <f t="shared" si="77"/>
        <v>0</v>
      </c>
      <c r="AO356">
        <f t="shared" si="77"/>
        <v>0</v>
      </c>
      <c r="AP356">
        <f t="shared" si="77"/>
        <v>0</v>
      </c>
      <c r="AQ356">
        <f t="shared" si="77"/>
        <v>0</v>
      </c>
      <c r="AR356">
        <f t="shared" si="77"/>
        <v>0</v>
      </c>
    </row>
    <row r="357" spans="5:44" x14ac:dyDescent="0.2">
      <c r="E357" s="1">
        <f>moment_rate!$M357</f>
        <v>0.76348672553421448</v>
      </c>
      <c r="F357" s="1">
        <f t="shared" si="73"/>
        <v>1.5525700897053518E-2</v>
      </c>
      <c r="G357">
        <f>moment_rate!I357-0.005</f>
        <v>3.4999999999999694</v>
      </c>
      <c r="H357" s="1">
        <f t="shared" si="74"/>
        <v>0</v>
      </c>
      <c r="I357">
        <f t="shared" si="78"/>
        <v>0</v>
      </c>
      <c r="J357">
        <f t="shared" si="78"/>
        <v>0</v>
      </c>
      <c r="K357">
        <f t="shared" si="78"/>
        <v>0</v>
      </c>
      <c r="L357">
        <f t="shared" si="78"/>
        <v>0</v>
      </c>
      <c r="M357">
        <f t="shared" si="78"/>
        <v>0</v>
      </c>
      <c r="N357">
        <f t="shared" si="78"/>
        <v>0</v>
      </c>
      <c r="O357">
        <f t="shared" si="78"/>
        <v>0</v>
      </c>
      <c r="P357">
        <f t="shared" si="78"/>
        <v>0</v>
      </c>
      <c r="Q357">
        <f t="shared" si="78"/>
        <v>0</v>
      </c>
      <c r="R357">
        <f t="shared" si="78"/>
        <v>0</v>
      </c>
      <c r="S357">
        <f t="shared" si="78"/>
        <v>0</v>
      </c>
      <c r="T357">
        <f t="shared" si="78"/>
        <v>0</v>
      </c>
      <c r="U357">
        <f t="shared" si="78"/>
        <v>0</v>
      </c>
      <c r="V357">
        <f t="shared" si="78"/>
        <v>0</v>
      </c>
      <c r="W357">
        <f t="shared" si="78"/>
        <v>0</v>
      </c>
      <c r="X357">
        <f t="shared" si="78"/>
        <v>0</v>
      </c>
      <c r="Y357">
        <f t="shared" si="77"/>
        <v>0</v>
      </c>
      <c r="Z357">
        <f t="shared" si="77"/>
        <v>0</v>
      </c>
      <c r="AA357">
        <f t="shared" si="77"/>
        <v>0</v>
      </c>
      <c r="AB357">
        <f t="shared" si="77"/>
        <v>0</v>
      </c>
      <c r="AC357">
        <f t="shared" si="77"/>
        <v>0</v>
      </c>
      <c r="AD357">
        <f t="shared" si="77"/>
        <v>0</v>
      </c>
      <c r="AE357">
        <f t="shared" si="77"/>
        <v>0</v>
      </c>
      <c r="AF357">
        <f t="shared" si="77"/>
        <v>0</v>
      </c>
      <c r="AG357">
        <f t="shared" si="77"/>
        <v>0</v>
      </c>
      <c r="AH357">
        <f t="shared" si="77"/>
        <v>0</v>
      </c>
      <c r="AI357">
        <f t="shared" si="77"/>
        <v>0</v>
      </c>
      <c r="AJ357">
        <f t="shared" si="77"/>
        <v>0</v>
      </c>
      <c r="AK357">
        <f t="shared" si="77"/>
        <v>0</v>
      </c>
      <c r="AL357">
        <f t="shared" si="77"/>
        <v>0</v>
      </c>
      <c r="AM357">
        <f t="shared" si="77"/>
        <v>0</v>
      </c>
      <c r="AN357">
        <f t="shared" si="77"/>
        <v>0</v>
      </c>
      <c r="AO357">
        <f t="shared" si="77"/>
        <v>0</v>
      </c>
      <c r="AP357">
        <f t="shared" si="77"/>
        <v>0</v>
      </c>
      <c r="AQ357">
        <f t="shared" si="77"/>
        <v>0</v>
      </c>
      <c r="AR357">
        <f t="shared" si="77"/>
        <v>0</v>
      </c>
    </row>
    <row r="358" spans="5:44" x14ac:dyDescent="0.2">
      <c r="E358" s="1">
        <f>moment_rate!$M358</f>
        <v>0.74796102463716096</v>
      </c>
      <c r="F358" s="1">
        <f t="shared" si="73"/>
        <v>1.5207268545114672E-2</v>
      </c>
      <c r="G358">
        <f>moment_rate!I358-0.005</f>
        <v>3.5099999999999691</v>
      </c>
      <c r="H358" s="1">
        <f t="shared" si="74"/>
        <v>0</v>
      </c>
      <c r="I358">
        <f t="shared" si="78"/>
        <v>0</v>
      </c>
      <c r="J358">
        <f t="shared" si="78"/>
        <v>0</v>
      </c>
      <c r="K358">
        <f t="shared" si="78"/>
        <v>0</v>
      </c>
      <c r="L358">
        <f t="shared" si="78"/>
        <v>0</v>
      </c>
      <c r="M358">
        <f t="shared" si="78"/>
        <v>0</v>
      </c>
      <c r="N358">
        <f t="shared" si="78"/>
        <v>0</v>
      </c>
      <c r="O358">
        <f t="shared" si="78"/>
        <v>0</v>
      </c>
      <c r="P358">
        <f t="shared" si="78"/>
        <v>0</v>
      </c>
      <c r="Q358">
        <f t="shared" si="78"/>
        <v>0</v>
      </c>
      <c r="R358">
        <f t="shared" si="78"/>
        <v>0</v>
      </c>
      <c r="S358">
        <f t="shared" si="78"/>
        <v>0</v>
      </c>
      <c r="T358">
        <f t="shared" si="78"/>
        <v>0</v>
      </c>
      <c r="U358">
        <f t="shared" si="78"/>
        <v>0</v>
      </c>
      <c r="V358">
        <f t="shared" si="78"/>
        <v>0</v>
      </c>
      <c r="W358">
        <f t="shared" si="78"/>
        <v>0</v>
      </c>
      <c r="X358">
        <f t="shared" si="78"/>
        <v>0</v>
      </c>
      <c r="Y358">
        <f t="shared" si="77"/>
        <v>0</v>
      </c>
      <c r="Z358">
        <f t="shared" si="77"/>
        <v>0</v>
      </c>
      <c r="AA358">
        <f t="shared" si="77"/>
        <v>0</v>
      </c>
      <c r="AB358">
        <f t="shared" si="77"/>
        <v>0</v>
      </c>
      <c r="AC358">
        <f t="shared" si="77"/>
        <v>0</v>
      </c>
      <c r="AD358">
        <f t="shared" si="77"/>
        <v>0</v>
      </c>
      <c r="AE358">
        <f t="shared" si="77"/>
        <v>0</v>
      </c>
      <c r="AF358">
        <f t="shared" si="77"/>
        <v>0</v>
      </c>
      <c r="AG358">
        <f t="shared" si="77"/>
        <v>0</v>
      </c>
      <c r="AH358">
        <f t="shared" si="77"/>
        <v>0</v>
      </c>
      <c r="AI358">
        <f t="shared" si="77"/>
        <v>0</v>
      </c>
      <c r="AJ358">
        <f t="shared" si="77"/>
        <v>0</v>
      </c>
      <c r="AK358">
        <f t="shared" si="77"/>
        <v>0</v>
      </c>
      <c r="AL358">
        <f t="shared" si="77"/>
        <v>0</v>
      </c>
      <c r="AM358">
        <f t="shared" si="77"/>
        <v>0</v>
      </c>
      <c r="AN358">
        <f t="shared" si="77"/>
        <v>0</v>
      </c>
      <c r="AO358">
        <f t="shared" si="77"/>
        <v>0</v>
      </c>
      <c r="AP358">
        <f t="shared" si="77"/>
        <v>0</v>
      </c>
      <c r="AQ358">
        <f t="shared" si="77"/>
        <v>0</v>
      </c>
      <c r="AR358">
        <f t="shared" si="77"/>
        <v>0</v>
      </c>
    </row>
    <row r="359" spans="5:44" x14ac:dyDescent="0.2">
      <c r="E359" s="1">
        <f>moment_rate!$M359</f>
        <v>0.73275375609204629</v>
      </c>
      <c r="F359" s="1">
        <f t="shared" si="73"/>
        <v>1.4895367245360558E-2</v>
      </c>
      <c r="G359">
        <f>moment_rate!I359-0.005</f>
        <v>3.5199999999999689</v>
      </c>
      <c r="H359" s="1">
        <f t="shared" si="74"/>
        <v>0</v>
      </c>
      <c r="I359">
        <f t="shared" si="78"/>
        <v>0</v>
      </c>
      <c r="J359">
        <f t="shared" si="78"/>
        <v>0</v>
      </c>
      <c r="K359">
        <f t="shared" si="78"/>
        <v>0</v>
      </c>
      <c r="L359">
        <f t="shared" si="78"/>
        <v>0</v>
      </c>
      <c r="M359">
        <f t="shared" si="78"/>
        <v>0</v>
      </c>
      <c r="N359">
        <f t="shared" si="78"/>
        <v>0</v>
      </c>
      <c r="O359">
        <f t="shared" si="78"/>
        <v>0</v>
      </c>
      <c r="P359">
        <f t="shared" si="78"/>
        <v>0</v>
      </c>
      <c r="Q359">
        <f t="shared" si="78"/>
        <v>0</v>
      </c>
      <c r="R359">
        <f t="shared" si="78"/>
        <v>0</v>
      </c>
      <c r="S359">
        <f t="shared" si="78"/>
        <v>0</v>
      </c>
      <c r="T359">
        <f t="shared" si="78"/>
        <v>0</v>
      </c>
      <c r="U359">
        <f t="shared" si="78"/>
        <v>0</v>
      </c>
      <c r="V359">
        <f t="shared" si="78"/>
        <v>0</v>
      </c>
      <c r="W359">
        <f t="shared" si="78"/>
        <v>0</v>
      </c>
      <c r="X359">
        <f t="shared" si="78"/>
        <v>0</v>
      </c>
      <c r="Y359">
        <f t="shared" si="77"/>
        <v>0</v>
      </c>
      <c r="Z359">
        <f t="shared" si="77"/>
        <v>0</v>
      </c>
      <c r="AA359">
        <f t="shared" si="77"/>
        <v>0</v>
      </c>
      <c r="AB359">
        <f t="shared" si="77"/>
        <v>0</v>
      </c>
      <c r="AC359">
        <f t="shared" si="77"/>
        <v>0</v>
      </c>
      <c r="AD359">
        <f t="shared" si="77"/>
        <v>0</v>
      </c>
      <c r="AE359">
        <f t="shared" si="77"/>
        <v>0</v>
      </c>
      <c r="AF359">
        <f t="shared" si="77"/>
        <v>0</v>
      </c>
      <c r="AG359">
        <f t="shared" si="77"/>
        <v>0</v>
      </c>
      <c r="AH359">
        <f t="shared" si="77"/>
        <v>0</v>
      </c>
      <c r="AI359">
        <f t="shared" si="77"/>
        <v>0</v>
      </c>
      <c r="AJ359">
        <f t="shared" si="77"/>
        <v>0</v>
      </c>
      <c r="AK359">
        <f t="shared" si="77"/>
        <v>0</v>
      </c>
      <c r="AL359">
        <f t="shared" si="77"/>
        <v>0</v>
      </c>
      <c r="AM359">
        <f t="shared" si="77"/>
        <v>0</v>
      </c>
      <c r="AN359">
        <f t="shared" si="77"/>
        <v>0</v>
      </c>
      <c r="AO359">
        <f t="shared" si="77"/>
        <v>0</v>
      </c>
      <c r="AP359">
        <f t="shared" si="77"/>
        <v>0</v>
      </c>
      <c r="AQ359">
        <f t="shared" si="77"/>
        <v>0</v>
      </c>
      <c r="AR359">
        <f t="shared" si="77"/>
        <v>0</v>
      </c>
    </row>
    <row r="360" spans="5:44" x14ac:dyDescent="0.2">
      <c r="E360" s="1">
        <f>moment_rate!$M360</f>
        <v>0.71785838884668574</v>
      </c>
      <c r="F360" s="1">
        <f t="shared" si="73"/>
        <v>1.4589863045815554E-2</v>
      </c>
      <c r="G360">
        <f>moment_rate!I360-0.005</f>
        <v>3.5299999999999687</v>
      </c>
      <c r="H360" s="1">
        <f t="shared" si="74"/>
        <v>0</v>
      </c>
      <c r="I360">
        <f t="shared" si="78"/>
        <v>0</v>
      </c>
      <c r="J360">
        <f t="shared" si="78"/>
        <v>0</v>
      </c>
      <c r="K360">
        <f t="shared" si="78"/>
        <v>0</v>
      </c>
      <c r="L360">
        <f t="shared" si="78"/>
        <v>0</v>
      </c>
      <c r="M360">
        <f t="shared" si="78"/>
        <v>0</v>
      </c>
      <c r="N360">
        <f t="shared" si="78"/>
        <v>0</v>
      </c>
      <c r="O360">
        <f t="shared" si="78"/>
        <v>0</v>
      </c>
      <c r="P360">
        <f t="shared" si="78"/>
        <v>0</v>
      </c>
      <c r="Q360">
        <f t="shared" si="78"/>
        <v>0</v>
      </c>
      <c r="R360">
        <f t="shared" si="78"/>
        <v>0</v>
      </c>
      <c r="S360">
        <f t="shared" si="78"/>
        <v>0</v>
      </c>
      <c r="T360">
        <f t="shared" si="78"/>
        <v>0</v>
      </c>
      <c r="U360">
        <f t="shared" si="78"/>
        <v>0</v>
      </c>
      <c r="V360">
        <f t="shared" si="78"/>
        <v>0</v>
      </c>
      <c r="W360">
        <f t="shared" si="78"/>
        <v>0</v>
      </c>
      <c r="X360">
        <f t="shared" si="78"/>
        <v>0</v>
      </c>
      <c r="Y360">
        <f t="shared" si="77"/>
        <v>0</v>
      </c>
      <c r="Z360">
        <f t="shared" si="77"/>
        <v>0</v>
      </c>
      <c r="AA360">
        <f t="shared" si="77"/>
        <v>0</v>
      </c>
      <c r="AB360">
        <f t="shared" si="77"/>
        <v>0</v>
      </c>
      <c r="AC360">
        <f t="shared" si="77"/>
        <v>0</v>
      </c>
      <c r="AD360">
        <f t="shared" si="77"/>
        <v>0</v>
      </c>
      <c r="AE360">
        <f t="shared" si="77"/>
        <v>0</v>
      </c>
      <c r="AF360">
        <f t="shared" si="77"/>
        <v>0</v>
      </c>
      <c r="AG360">
        <f t="shared" si="77"/>
        <v>0</v>
      </c>
      <c r="AH360">
        <f t="shared" si="77"/>
        <v>0</v>
      </c>
      <c r="AI360">
        <f t="shared" si="77"/>
        <v>0</v>
      </c>
      <c r="AJ360">
        <f t="shared" si="77"/>
        <v>0</v>
      </c>
      <c r="AK360">
        <f t="shared" si="77"/>
        <v>0</v>
      </c>
      <c r="AL360">
        <f t="shared" si="77"/>
        <v>0</v>
      </c>
      <c r="AM360">
        <f t="shared" si="77"/>
        <v>0</v>
      </c>
      <c r="AN360">
        <f t="shared" si="77"/>
        <v>0</v>
      </c>
      <c r="AO360">
        <f t="shared" si="77"/>
        <v>0</v>
      </c>
      <c r="AP360">
        <f t="shared" si="77"/>
        <v>0</v>
      </c>
      <c r="AQ360">
        <f t="shared" si="77"/>
        <v>0</v>
      </c>
      <c r="AR360">
        <f t="shared" si="77"/>
        <v>0</v>
      </c>
    </row>
    <row r="361" spans="5:44" x14ac:dyDescent="0.2">
      <c r="E361" s="1">
        <f>moment_rate!$M361</f>
        <v>0.70326852580087018</v>
      </c>
      <c r="F361" s="1">
        <f t="shared" si="73"/>
        <v>1.4290624741860714E-2</v>
      </c>
      <c r="G361">
        <f>moment_rate!I361-0.005</f>
        <v>3.5399999999999685</v>
      </c>
      <c r="H361" s="1">
        <f t="shared" si="74"/>
        <v>0</v>
      </c>
      <c r="I361">
        <f t="shared" si="78"/>
        <v>0</v>
      </c>
      <c r="J361">
        <f t="shared" si="78"/>
        <v>0</v>
      </c>
      <c r="K361">
        <f t="shared" si="78"/>
        <v>0</v>
      </c>
      <c r="L361">
        <f t="shared" si="78"/>
        <v>0</v>
      </c>
      <c r="M361">
        <f t="shared" si="78"/>
        <v>0</v>
      </c>
      <c r="N361">
        <f t="shared" si="78"/>
        <v>0</v>
      </c>
      <c r="O361">
        <f t="shared" si="78"/>
        <v>0</v>
      </c>
      <c r="P361">
        <f t="shared" si="78"/>
        <v>0</v>
      </c>
      <c r="Q361">
        <f t="shared" si="78"/>
        <v>0</v>
      </c>
      <c r="R361">
        <f t="shared" si="78"/>
        <v>0</v>
      </c>
      <c r="S361">
        <f t="shared" si="78"/>
        <v>0</v>
      </c>
      <c r="T361">
        <f t="shared" si="78"/>
        <v>0</v>
      </c>
      <c r="U361">
        <f t="shared" si="78"/>
        <v>0</v>
      </c>
      <c r="V361">
        <f t="shared" si="78"/>
        <v>0</v>
      </c>
      <c r="W361">
        <f t="shared" si="78"/>
        <v>0</v>
      </c>
      <c r="X361">
        <f t="shared" si="78"/>
        <v>0</v>
      </c>
      <c r="Y361">
        <f t="shared" si="77"/>
        <v>0</v>
      </c>
      <c r="Z361">
        <f t="shared" si="77"/>
        <v>0</v>
      </c>
      <c r="AA361">
        <f t="shared" si="77"/>
        <v>0</v>
      </c>
      <c r="AB361">
        <f t="shared" si="77"/>
        <v>0</v>
      </c>
      <c r="AC361">
        <f t="shared" si="77"/>
        <v>0</v>
      </c>
      <c r="AD361">
        <f t="shared" si="77"/>
        <v>0</v>
      </c>
      <c r="AE361">
        <f t="shared" si="77"/>
        <v>0</v>
      </c>
      <c r="AF361">
        <f t="shared" si="77"/>
        <v>0</v>
      </c>
      <c r="AG361">
        <f t="shared" si="77"/>
        <v>0</v>
      </c>
      <c r="AH361">
        <f t="shared" si="77"/>
        <v>0</v>
      </c>
      <c r="AI361">
        <f t="shared" si="77"/>
        <v>0</v>
      </c>
      <c r="AJ361">
        <f t="shared" si="77"/>
        <v>0</v>
      </c>
      <c r="AK361">
        <f t="shared" si="77"/>
        <v>0</v>
      </c>
      <c r="AL361">
        <f t="shared" si="77"/>
        <v>0</v>
      </c>
      <c r="AM361">
        <f t="shared" si="77"/>
        <v>0</v>
      </c>
      <c r="AN361">
        <f t="shared" si="77"/>
        <v>0</v>
      </c>
      <c r="AO361">
        <f t="shared" si="77"/>
        <v>0</v>
      </c>
      <c r="AP361">
        <f t="shared" si="77"/>
        <v>0</v>
      </c>
      <c r="AQ361">
        <f t="shared" si="77"/>
        <v>0</v>
      </c>
      <c r="AR361">
        <f t="shared" si="77"/>
        <v>0</v>
      </c>
    </row>
    <row r="362" spans="5:44" x14ac:dyDescent="0.2">
      <c r="E362" s="1">
        <f>moment_rate!$M362</f>
        <v>0.68897790105900947</v>
      </c>
      <c r="F362" s="1">
        <f t="shared" si="73"/>
        <v>1.3997523819886393E-2</v>
      </c>
      <c r="G362">
        <f>moment_rate!I362-0.005</f>
        <v>3.5499999999999683</v>
      </c>
      <c r="H362" s="1">
        <f t="shared" si="74"/>
        <v>0</v>
      </c>
      <c r="I362">
        <f t="shared" si="78"/>
        <v>0</v>
      </c>
      <c r="J362">
        <f t="shared" si="78"/>
        <v>0</v>
      </c>
      <c r="K362">
        <f t="shared" si="78"/>
        <v>0</v>
      </c>
      <c r="L362">
        <f t="shared" si="78"/>
        <v>0</v>
      </c>
      <c r="M362">
        <f t="shared" si="78"/>
        <v>0</v>
      </c>
      <c r="N362">
        <f t="shared" si="78"/>
        <v>0</v>
      </c>
      <c r="O362">
        <f t="shared" si="78"/>
        <v>0</v>
      </c>
      <c r="P362">
        <f t="shared" si="78"/>
        <v>0</v>
      </c>
      <c r="Q362">
        <f t="shared" si="78"/>
        <v>0</v>
      </c>
      <c r="R362">
        <f t="shared" si="78"/>
        <v>0</v>
      </c>
      <c r="S362">
        <f t="shared" si="78"/>
        <v>0</v>
      </c>
      <c r="T362">
        <f t="shared" si="78"/>
        <v>0</v>
      </c>
      <c r="U362">
        <f t="shared" si="78"/>
        <v>0</v>
      </c>
      <c r="V362">
        <f t="shared" si="78"/>
        <v>0</v>
      </c>
      <c r="W362">
        <f t="shared" si="78"/>
        <v>0</v>
      </c>
      <c r="X362">
        <f t="shared" si="78"/>
        <v>0</v>
      </c>
      <c r="Y362">
        <f t="shared" si="77"/>
        <v>0</v>
      </c>
      <c r="Z362">
        <f t="shared" si="77"/>
        <v>0</v>
      </c>
      <c r="AA362">
        <f t="shared" si="77"/>
        <v>0</v>
      </c>
      <c r="AB362">
        <f t="shared" si="77"/>
        <v>0</v>
      </c>
      <c r="AC362">
        <f t="shared" si="77"/>
        <v>0</v>
      </c>
      <c r="AD362">
        <f t="shared" si="77"/>
        <v>0</v>
      </c>
      <c r="AE362">
        <f t="shared" si="77"/>
        <v>0</v>
      </c>
      <c r="AF362">
        <f t="shared" si="77"/>
        <v>0</v>
      </c>
      <c r="AG362">
        <f t="shared" si="77"/>
        <v>0</v>
      </c>
      <c r="AH362">
        <f t="shared" si="77"/>
        <v>0</v>
      </c>
      <c r="AI362">
        <f t="shared" si="77"/>
        <v>0</v>
      </c>
      <c r="AJ362">
        <f t="shared" si="77"/>
        <v>0</v>
      </c>
      <c r="AK362">
        <f t="shared" si="77"/>
        <v>0</v>
      </c>
      <c r="AL362">
        <f t="shared" si="77"/>
        <v>0</v>
      </c>
      <c r="AM362">
        <f t="shared" ref="AK362:AR397" si="79">IF(AND($G362&gt;=AM$3,$G362&lt;AM$4),$F362,0)</f>
        <v>0</v>
      </c>
      <c r="AN362">
        <f t="shared" si="79"/>
        <v>0</v>
      </c>
      <c r="AO362">
        <f t="shared" si="79"/>
        <v>0</v>
      </c>
      <c r="AP362">
        <f t="shared" si="79"/>
        <v>0</v>
      </c>
      <c r="AQ362">
        <f t="shared" si="79"/>
        <v>0</v>
      </c>
      <c r="AR362">
        <f t="shared" si="79"/>
        <v>0</v>
      </c>
    </row>
    <row r="363" spans="5:44" x14ac:dyDescent="0.2">
      <c r="E363" s="1">
        <f>moment_rate!$M363</f>
        <v>0.67498037723912307</v>
      </c>
      <c r="F363" s="1">
        <f t="shared" si="73"/>
        <v>1.3710434402098515E-2</v>
      </c>
      <c r="G363">
        <f>moment_rate!I363-0.005</f>
        <v>3.5599999999999681</v>
      </c>
      <c r="H363" s="1">
        <f t="shared" si="74"/>
        <v>0</v>
      </c>
      <c r="I363">
        <f t="shared" si="78"/>
        <v>0</v>
      </c>
      <c r="J363">
        <f t="shared" si="78"/>
        <v>0</v>
      </c>
      <c r="K363">
        <f t="shared" si="78"/>
        <v>0</v>
      </c>
      <c r="L363">
        <f t="shared" si="78"/>
        <v>0</v>
      </c>
      <c r="M363">
        <f t="shared" si="78"/>
        <v>0</v>
      </c>
      <c r="N363">
        <f t="shared" si="78"/>
        <v>0</v>
      </c>
      <c r="O363">
        <f t="shared" si="78"/>
        <v>0</v>
      </c>
      <c r="P363">
        <f t="shared" si="78"/>
        <v>0</v>
      </c>
      <c r="Q363">
        <f t="shared" si="78"/>
        <v>0</v>
      </c>
      <c r="R363">
        <f t="shared" si="78"/>
        <v>0</v>
      </c>
      <c r="S363">
        <f t="shared" si="78"/>
        <v>0</v>
      </c>
      <c r="T363">
        <f t="shared" si="78"/>
        <v>0</v>
      </c>
      <c r="U363">
        <f t="shared" si="78"/>
        <v>0</v>
      </c>
      <c r="V363">
        <f t="shared" si="78"/>
        <v>0</v>
      </c>
      <c r="W363">
        <f t="shared" si="78"/>
        <v>0</v>
      </c>
      <c r="X363">
        <f t="shared" si="78"/>
        <v>0</v>
      </c>
      <c r="Y363">
        <f t="shared" ref="Y363:AJ375" si="80">IF(AND($G363&gt;=Y$3,$G363&lt;Y$4),$F363,0)</f>
        <v>0</v>
      </c>
      <c r="Z363">
        <f t="shared" si="80"/>
        <v>0</v>
      </c>
      <c r="AA363">
        <f t="shared" si="80"/>
        <v>0</v>
      </c>
      <c r="AB363">
        <f t="shared" si="80"/>
        <v>0</v>
      </c>
      <c r="AC363">
        <f t="shared" si="80"/>
        <v>0</v>
      </c>
      <c r="AD363">
        <f t="shared" si="80"/>
        <v>0</v>
      </c>
      <c r="AE363">
        <f t="shared" si="80"/>
        <v>0</v>
      </c>
      <c r="AF363">
        <f t="shared" si="80"/>
        <v>0</v>
      </c>
      <c r="AG363">
        <f t="shared" si="80"/>
        <v>0</v>
      </c>
      <c r="AH363">
        <f t="shared" si="80"/>
        <v>0</v>
      </c>
      <c r="AI363">
        <f t="shared" si="80"/>
        <v>0</v>
      </c>
      <c r="AJ363">
        <f t="shared" si="80"/>
        <v>0</v>
      </c>
      <c r="AK363">
        <f t="shared" si="79"/>
        <v>0</v>
      </c>
      <c r="AL363">
        <f t="shared" si="79"/>
        <v>0</v>
      </c>
      <c r="AM363">
        <f t="shared" si="79"/>
        <v>0</v>
      </c>
      <c r="AN363">
        <f t="shared" si="79"/>
        <v>0</v>
      </c>
      <c r="AO363">
        <f t="shared" si="79"/>
        <v>0</v>
      </c>
      <c r="AP363">
        <f t="shared" si="79"/>
        <v>0</v>
      </c>
      <c r="AQ363">
        <f t="shared" si="79"/>
        <v>0</v>
      </c>
      <c r="AR363">
        <f t="shared" si="79"/>
        <v>0</v>
      </c>
    </row>
    <row r="364" spans="5:44" x14ac:dyDescent="0.2">
      <c r="E364" s="1">
        <f>moment_rate!$M364</f>
        <v>0.66126994283702456</v>
      </c>
      <c r="F364" s="1">
        <f t="shared" si="73"/>
        <v>1.3429233192458256E-2</v>
      </c>
      <c r="G364">
        <f>moment_rate!I364-0.005</f>
        <v>3.5699999999999679</v>
      </c>
      <c r="H364" s="1">
        <f t="shared" si="74"/>
        <v>0</v>
      </c>
      <c r="I364">
        <f t="shared" si="78"/>
        <v>0</v>
      </c>
      <c r="J364">
        <f t="shared" si="78"/>
        <v>0</v>
      </c>
      <c r="K364">
        <f t="shared" si="78"/>
        <v>0</v>
      </c>
      <c r="L364">
        <f t="shared" si="78"/>
        <v>0</v>
      </c>
      <c r="M364">
        <f t="shared" si="78"/>
        <v>0</v>
      </c>
      <c r="N364">
        <f t="shared" si="78"/>
        <v>0</v>
      </c>
      <c r="O364">
        <f t="shared" si="78"/>
        <v>0</v>
      </c>
      <c r="P364">
        <f t="shared" si="78"/>
        <v>0</v>
      </c>
      <c r="Q364">
        <f t="shared" si="78"/>
        <v>0</v>
      </c>
      <c r="R364">
        <f t="shared" si="78"/>
        <v>0</v>
      </c>
      <c r="S364">
        <f t="shared" si="78"/>
        <v>0</v>
      </c>
      <c r="T364">
        <f t="shared" si="78"/>
        <v>0</v>
      </c>
      <c r="U364">
        <f t="shared" si="78"/>
        <v>0</v>
      </c>
      <c r="V364">
        <f t="shared" si="78"/>
        <v>0</v>
      </c>
      <c r="W364">
        <f t="shared" si="78"/>
        <v>0</v>
      </c>
      <c r="X364">
        <f t="shared" si="78"/>
        <v>0</v>
      </c>
      <c r="Y364">
        <f t="shared" si="80"/>
        <v>0</v>
      </c>
      <c r="Z364">
        <f t="shared" si="80"/>
        <v>0</v>
      </c>
      <c r="AA364">
        <f t="shared" si="80"/>
        <v>0</v>
      </c>
      <c r="AB364">
        <f t="shared" si="80"/>
        <v>0</v>
      </c>
      <c r="AC364">
        <f t="shared" si="80"/>
        <v>0</v>
      </c>
      <c r="AD364">
        <f t="shared" si="80"/>
        <v>0</v>
      </c>
      <c r="AE364">
        <f t="shared" si="80"/>
        <v>0</v>
      </c>
      <c r="AF364">
        <f t="shared" si="80"/>
        <v>0</v>
      </c>
      <c r="AG364">
        <f t="shared" si="80"/>
        <v>0</v>
      </c>
      <c r="AH364">
        <f t="shared" si="80"/>
        <v>0</v>
      </c>
      <c r="AI364">
        <f t="shared" si="80"/>
        <v>0</v>
      </c>
      <c r="AJ364">
        <f t="shared" si="80"/>
        <v>0</v>
      </c>
      <c r="AK364">
        <f t="shared" si="79"/>
        <v>0</v>
      </c>
      <c r="AL364">
        <f t="shared" si="79"/>
        <v>0</v>
      </c>
      <c r="AM364">
        <f t="shared" si="79"/>
        <v>0</v>
      </c>
      <c r="AN364">
        <f t="shared" si="79"/>
        <v>0</v>
      </c>
      <c r="AO364">
        <f t="shared" si="79"/>
        <v>0</v>
      </c>
      <c r="AP364">
        <f t="shared" si="79"/>
        <v>0</v>
      </c>
      <c r="AQ364">
        <f t="shared" si="79"/>
        <v>0</v>
      </c>
      <c r="AR364">
        <f t="shared" si="79"/>
        <v>0</v>
      </c>
    </row>
    <row r="365" spans="5:44" x14ac:dyDescent="0.2">
      <c r="E365" s="1">
        <f>moment_rate!$M365</f>
        <v>0.6478407096445663</v>
      </c>
      <c r="F365" s="1">
        <f t="shared" si="73"/>
        <v>1.3153799423731072E-2</v>
      </c>
      <c r="G365">
        <f>moment_rate!I365-0.005</f>
        <v>3.5799999999999677</v>
      </c>
      <c r="H365" s="1">
        <f t="shared" si="74"/>
        <v>0</v>
      </c>
      <c r="I365">
        <f t="shared" si="78"/>
        <v>0</v>
      </c>
      <c r="J365">
        <f t="shared" si="78"/>
        <v>0</v>
      </c>
      <c r="K365">
        <f t="shared" si="78"/>
        <v>0</v>
      </c>
      <c r="L365">
        <f t="shared" si="78"/>
        <v>0</v>
      </c>
      <c r="M365">
        <f t="shared" si="78"/>
        <v>0</v>
      </c>
      <c r="N365">
        <f t="shared" si="78"/>
        <v>0</v>
      </c>
      <c r="O365">
        <f t="shared" si="78"/>
        <v>0</v>
      </c>
      <c r="P365">
        <f t="shared" si="78"/>
        <v>0</v>
      </c>
      <c r="Q365">
        <f t="shared" si="78"/>
        <v>0</v>
      </c>
      <c r="R365">
        <f t="shared" si="78"/>
        <v>0</v>
      </c>
      <c r="S365">
        <f t="shared" si="78"/>
        <v>0</v>
      </c>
      <c r="T365">
        <f t="shared" si="78"/>
        <v>0</v>
      </c>
      <c r="U365">
        <f t="shared" si="78"/>
        <v>0</v>
      </c>
      <c r="V365">
        <f t="shared" si="78"/>
        <v>0</v>
      </c>
      <c r="W365">
        <f t="shared" si="78"/>
        <v>0</v>
      </c>
      <c r="X365">
        <f t="shared" si="78"/>
        <v>0</v>
      </c>
      <c r="Y365">
        <f t="shared" si="80"/>
        <v>0</v>
      </c>
      <c r="Z365">
        <f t="shared" si="80"/>
        <v>0</v>
      </c>
      <c r="AA365">
        <f t="shared" si="80"/>
        <v>0</v>
      </c>
      <c r="AB365">
        <f t="shared" si="80"/>
        <v>0</v>
      </c>
      <c r="AC365">
        <f t="shared" si="80"/>
        <v>0</v>
      </c>
      <c r="AD365">
        <f t="shared" si="80"/>
        <v>0</v>
      </c>
      <c r="AE365">
        <f t="shared" si="80"/>
        <v>0</v>
      </c>
      <c r="AF365">
        <f t="shared" si="80"/>
        <v>0</v>
      </c>
      <c r="AG365">
        <f t="shared" si="80"/>
        <v>0</v>
      </c>
      <c r="AH365">
        <f t="shared" si="80"/>
        <v>0</v>
      </c>
      <c r="AI365">
        <f t="shared" si="80"/>
        <v>0</v>
      </c>
      <c r="AJ365">
        <f t="shared" si="80"/>
        <v>0</v>
      </c>
      <c r="AK365">
        <f t="shared" si="79"/>
        <v>0</v>
      </c>
      <c r="AL365">
        <f t="shared" si="79"/>
        <v>0</v>
      </c>
      <c r="AM365">
        <f t="shared" si="79"/>
        <v>0</v>
      </c>
      <c r="AN365">
        <f t="shared" si="79"/>
        <v>0</v>
      </c>
      <c r="AO365">
        <f t="shared" si="79"/>
        <v>0</v>
      </c>
      <c r="AP365">
        <f t="shared" si="79"/>
        <v>0</v>
      </c>
      <c r="AQ365">
        <f t="shared" si="79"/>
        <v>0</v>
      </c>
      <c r="AR365">
        <f t="shared" si="79"/>
        <v>0</v>
      </c>
    </row>
    <row r="366" spans="5:44" x14ac:dyDescent="0.2">
      <c r="E366" s="1">
        <f>moment_rate!$M366</f>
        <v>0.63468691022083523</v>
      </c>
      <c r="F366" s="1">
        <f t="shared" si="73"/>
        <v>1.2884014805619182E-2</v>
      </c>
      <c r="G366">
        <f>moment_rate!I366-0.005</f>
        <v>3.5899999999999674</v>
      </c>
      <c r="H366" s="1">
        <f t="shared" si="74"/>
        <v>0</v>
      </c>
      <c r="I366">
        <f t="shared" si="78"/>
        <v>0</v>
      </c>
      <c r="J366">
        <f t="shared" si="78"/>
        <v>0</v>
      </c>
      <c r="K366">
        <f t="shared" si="78"/>
        <v>0</v>
      </c>
      <c r="L366">
        <f t="shared" si="78"/>
        <v>0</v>
      </c>
      <c r="M366">
        <f t="shared" si="78"/>
        <v>0</v>
      </c>
      <c r="N366">
        <f t="shared" si="78"/>
        <v>0</v>
      </c>
      <c r="O366">
        <f t="shared" si="78"/>
        <v>0</v>
      </c>
      <c r="P366">
        <f t="shared" si="78"/>
        <v>0</v>
      </c>
      <c r="Q366">
        <f t="shared" si="78"/>
        <v>0</v>
      </c>
      <c r="R366">
        <f t="shared" si="78"/>
        <v>0</v>
      </c>
      <c r="S366">
        <f t="shared" si="78"/>
        <v>0</v>
      </c>
      <c r="T366">
        <f t="shared" si="78"/>
        <v>0</v>
      </c>
      <c r="U366">
        <f t="shared" si="78"/>
        <v>0</v>
      </c>
      <c r="V366">
        <f t="shared" si="78"/>
        <v>0</v>
      </c>
      <c r="W366">
        <f t="shared" si="78"/>
        <v>0</v>
      </c>
      <c r="X366">
        <f>IF(AND($G366&gt;=X$3,$G366&lt;X$4),$F366,0)</f>
        <v>0</v>
      </c>
      <c r="Y366">
        <f>IF(AND($G366&gt;=Y$3,$G366&lt;Y$4),$F366,0)</f>
        <v>0</v>
      </c>
      <c r="Z366">
        <f t="shared" si="80"/>
        <v>0</v>
      </c>
      <c r="AA366">
        <f t="shared" si="80"/>
        <v>0</v>
      </c>
      <c r="AB366">
        <f t="shared" si="80"/>
        <v>0</v>
      </c>
      <c r="AC366">
        <f t="shared" si="80"/>
        <v>0</v>
      </c>
      <c r="AD366">
        <f t="shared" si="80"/>
        <v>0</v>
      </c>
      <c r="AE366">
        <f t="shared" si="80"/>
        <v>0</v>
      </c>
      <c r="AF366">
        <f t="shared" si="80"/>
        <v>0</v>
      </c>
      <c r="AG366">
        <f t="shared" si="80"/>
        <v>0</v>
      </c>
      <c r="AH366">
        <f t="shared" si="80"/>
        <v>0</v>
      </c>
      <c r="AI366">
        <f t="shared" si="80"/>
        <v>0</v>
      </c>
      <c r="AJ366">
        <f t="shared" si="80"/>
        <v>0</v>
      </c>
      <c r="AK366">
        <f t="shared" si="79"/>
        <v>0</v>
      </c>
      <c r="AL366">
        <f t="shared" si="79"/>
        <v>0</v>
      </c>
      <c r="AM366">
        <f t="shared" si="79"/>
        <v>0</v>
      </c>
      <c r="AN366">
        <f t="shared" si="79"/>
        <v>0</v>
      </c>
      <c r="AO366">
        <f t="shared" si="79"/>
        <v>0</v>
      </c>
      <c r="AP366">
        <f t="shared" si="79"/>
        <v>0</v>
      </c>
      <c r="AQ366">
        <f t="shared" si="79"/>
        <v>0</v>
      </c>
      <c r="AR366">
        <f t="shared" si="79"/>
        <v>0</v>
      </c>
    </row>
    <row r="367" spans="5:44" x14ac:dyDescent="0.2">
      <c r="E367" s="1">
        <f>moment_rate!$M367</f>
        <v>0.62180289541521605</v>
      </c>
      <c r="F367" s="1">
        <f t="shared" si="73"/>
        <v>1.2619763473961321E-2</v>
      </c>
      <c r="G367">
        <f>moment_rate!I367-0.005</f>
        <v>3.5999999999999672</v>
      </c>
      <c r="H367" s="1">
        <f t="shared" si="74"/>
        <v>0</v>
      </c>
      <c r="I367">
        <f t="shared" ref="I367:X382" si="81">IF(AND($G367&gt;=I$3,$G367&lt;I$4),$F367,0)</f>
        <v>0</v>
      </c>
      <c r="J367">
        <f t="shared" si="81"/>
        <v>0</v>
      </c>
      <c r="K367">
        <f t="shared" si="81"/>
        <v>0</v>
      </c>
      <c r="L367">
        <f t="shared" si="81"/>
        <v>0</v>
      </c>
      <c r="M367">
        <f t="shared" si="81"/>
        <v>0</v>
      </c>
      <c r="N367">
        <f t="shared" si="81"/>
        <v>0</v>
      </c>
      <c r="O367">
        <f t="shared" si="81"/>
        <v>0</v>
      </c>
      <c r="P367">
        <f t="shared" si="81"/>
        <v>0</v>
      </c>
      <c r="Q367">
        <f t="shared" si="81"/>
        <v>0</v>
      </c>
      <c r="R367">
        <f t="shared" si="81"/>
        <v>0</v>
      </c>
      <c r="S367">
        <f t="shared" si="81"/>
        <v>0</v>
      </c>
      <c r="T367">
        <f t="shared" si="81"/>
        <v>0</v>
      </c>
      <c r="U367">
        <f t="shared" si="81"/>
        <v>0</v>
      </c>
      <c r="V367">
        <f t="shared" si="81"/>
        <v>0</v>
      </c>
      <c r="W367">
        <f t="shared" si="81"/>
        <v>0</v>
      </c>
      <c r="X367">
        <f t="shared" si="81"/>
        <v>0</v>
      </c>
      <c r="Y367">
        <f t="shared" ref="Y367:Y381" si="82">IF(AND($G367&gt;=Y$3,$G367&lt;Y$4),$F367,0)</f>
        <v>0</v>
      </c>
      <c r="Z367">
        <f t="shared" si="80"/>
        <v>0</v>
      </c>
      <c r="AA367">
        <f t="shared" si="80"/>
        <v>0</v>
      </c>
      <c r="AB367">
        <f t="shared" si="80"/>
        <v>0</v>
      </c>
      <c r="AC367">
        <f t="shared" si="80"/>
        <v>0</v>
      </c>
      <c r="AD367">
        <f t="shared" si="80"/>
        <v>0</v>
      </c>
      <c r="AE367">
        <f t="shared" si="80"/>
        <v>0</v>
      </c>
      <c r="AF367">
        <f t="shared" si="80"/>
        <v>0</v>
      </c>
      <c r="AG367">
        <f t="shared" si="80"/>
        <v>0</v>
      </c>
      <c r="AH367">
        <f t="shared" si="80"/>
        <v>0</v>
      </c>
      <c r="AI367">
        <f t="shared" si="80"/>
        <v>0</v>
      </c>
      <c r="AJ367">
        <f t="shared" si="80"/>
        <v>0</v>
      </c>
      <c r="AK367">
        <f t="shared" si="79"/>
        <v>0</v>
      </c>
      <c r="AL367">
        <f t="shared" si="79"/>
        <v>0</v>
      </c>
      <c r="AM367">
        <f t="shared" si="79"/>
        <v>0</v>
      </c>
      <c r="AN367">
        <f t="shared" si="79"/>
        <v>0</v>
      </c>
      <c r="AO367">
        <f t="shared" si="79"/>
        <v>0</v>
      </c>
      <c r="AP367">
        <f t="shared" si="79"/>
        <v>0</v>
      </c>
      <c r="AQ367">
        <f t="shared" si="79"/>
        <v>0</v>
      </c>
      <c r="AR367">
        <f t="shared" si="79"/>
        <v>0</v>
      </c>
    </row>
    <row r="368" spans="5:44" x14ac:dyDescent="0.2">
      <c r="E368" s="1">
        <f>moment_rate!$M368</f>
        <v>0.60918313194125473</v>
      </c>
      <c r="F368" s="1">
        <f t="shared" si="73"/>
        <v>1.2360931940971764E-2</v>
      </c>
      <c r="G368">
        <f>moment_rate!I368-0.005</f>
        <v>3.609999999999967</v>
      </c>
      <c r="H368" s="1">
        <f t="shared" si="74"/>
        <v>0</v>
      </c>
      <c r="I368">
        <f t="shared" si="81"/>
        <v>0</v>
      </c>
      <c r="J368">
        <f t="shared" si="81"/>
        <v>0</v>
      </c>
      <c r="K368">
        <f t="shared" si="81"/>
        <v>0</v>
      </c>
      <c r="L368">
        <f t="shared" si="81"/>
        <v>0</v>
      </c>
      <c r="M368">
        <f t="shared" si="81"/>
        <v>0</v>
      </c>
      <c r="N368">
        <f t="shared" si="81"/>
        <v>0</v>
      </c>
      <c r="O368">
        <f t="shared" si="81"/>
        <v>0</v>
      </c>
      <c r="P368">
        <f t="shared" si="81"/>
        <v>0</v>
      </c>
      <c r="Q368">
        <f t="shared" si="81"/>
        <v>0</v>
      </c>
      <c r="R368">
        <f t="shared" si="81"/>
        <v>0</v>
      </c>
      <c r="S368">
        <f t="shared" si="81"/>
        <v>0</v>
      </c>
      <c r="T368">
        <f t="shared" si="81"/>
        <v>0</v>
      </c>
      <c r="U368">
        <f t="shared" si="81"/>
        <v>0</v>
      </c>
      <c r="V368">
        <f t="shared" si="81"/>
        <v>0</v>
      </c>
      <c r="W368">
        <f t="shared" si="81"/>
        <v>0</v>
      </c>
      <c r="X368">
        <f t="shared" si="81"/>
        <v>0</v>
      </c>
      <c r="Y368">
        <f t="shared" si="82"/>
        <v>0</v>
      </c>
      <c r="Z368">
        <f t="shared" si="80"/>
        <v>0</v>
      </c>
      <c r="AA368">
        <f t="shared" si="80"/>
        <v>0</v>
      </c>
      <c r="AB368">
        <f t="shared" si="80"/>
        <v>0</v>
      </c>
      <c r="AC368">
        <f t="shared" si="80"/>
        <v>0</v>
      </c>
      <c r="AD368">
        <f t="shared" si="80"/>
        <v>0</v>
      </c>
      <c r="AE368">
        <f t="shared" si="80"/>
        <v>0</v>
      </c>
      <c r="AF368">
        <f t="shared" si="80"/>
        <v>0</v>
      </c>
      <c r="AG368">
        <f t="shared" si="80"/>
        <v>0</v>
      </c>
      <c r="AH368">
        <f t="shared" si="80"/>
        <v>0</v>
      </c>
      <c r="AI368">
        <f t="shared" si="80"/>
        <v>0</v>
      </c>
      <c r="AJ368">
        <f t="shared" si="80"/>
        <v>0</v>
      </c>
      <c r="AK368">
        <f t="shared" si="79"/>
        <v>0</v>
      </c>
      <c r="AL368">
        <f t="shared" si="79"/>
        <v>0</v>
      </c>
      <c r="AM368">
        <f t="shared" si="79"/>
        <v>0</v>
      </c>
      <c r="AN368">
        <f t="shared" si="79"/>
        <v>0</v>
      </c>
      <c r="AO368">
        <f t="shared" si="79"/>
        <v>0</v>
      </c>
      <c r="AP368">
        <f t="shared" si="79"/>
        <v>0</v>
      </c>
      <c r="AQ368">
        <f t="shared" si="79"/>
        <v>0</v>
      </c>
      <c r="AR368">
        <f t="shared" si="79"/>
        <v>0</v>
      </c>
    </row>
    <row r="369" spans="5:44" x14ac:dyDescent="0.2">
      <c r="E369" s="1">
        <f>moment_rate!$M369</f>
        <v>0.59682220000028297</v>
      </c>
      <c r="F369" s="1">
        <f t="shared" si="73"/>
        <v>1.2107409046500428E-2</v>
      </c>
      <c r="G369">
        <f>moment_rate!I369-0.005</f>
        <v>3.6199999999999668</v>
      </c>
      <c r="H369" s="1">
        <f t="shared" si="74"/>
        <v>0</v>
      </c>
      <c r="I369">
        <f t="shared" si="81"/>
        <v>0</v>
      </c>
      <c r="J369">
        <f t="shared" si="81"/>
        <v>0</v>
      </c>
      <c r="K369">
        <f t="shared" si="81"/>
        <v>0</v>
      </c>
      <c r="L369">
        <f t="shared" si="81"/>
        <v>0</v>
      </c>
      <c r="M369">
        <f t="shared" si="81"/>
        <v>0</v>
      </c>
      <c r="N369">
        <f t="shared" si="81"/>
        <v>0</v>
      </c>
      <c r="O369">
        <f t="shared" si="81"/>
        <v>0</v>
      </c>
      <c r="P369">
        <f t="shared" si="81"/>
        <v>0</v>
      </c>
      <c r="Q369">
        <f t="shared" si="81"/>
        <v>0</v>
      </c>
      <c r="R369">
        <f t="shared" si="81"/>
        <v>0</v>
      </c>
      <c r="S369">
        <f t="shared" si="81"/>
        <v>0</v>
      </c>
      <c r="T369">
        <f t="shared" si="81"/>
        <v>0</v>
      </c>
      <c r="U369">
        <f t="shared" si="81"/>
        <v>0</v>
      </c>
      <c r="V369">
        <f t="shared" si="81"/>
        <v>0</v>
      </c>
      <c r="W369">
        <f t="shared" si="81"/>
        <v>0</v>
      </c>
      <c r="X369">
        <f t="shared" si="81"/>
        <v>0</v>
      </c>
      <c r="Y369">
        <f t="shared" si="82"/>
        <v>0</v>
      </c>
      <c r="Z369">
        <f t="shared" si="80"/>
        <v>0</v>
      </c>
      <c r="AA369">
        <f t="shared" si="80"/>
        <v>0</v>
      </c>
      <c r="AB369">
        <f t="shared" si="80"/>
        <v>0</v>
      </c>
      <c r="AC369">
        <f t="shared" si="80"/>
        <v>0</v>
      </c>
      <c r="AD369">
        <f t="shared" si="80"/>
        <v>0</v>
      </c>
      <c r="AE369">
        <f t="shared" si="80"/>
        <v>0</v>
      </c>
      <c r="AF369">
        <f t="shared" si="80"/>
        <v>0</v>
      </c>
      <c r="AG369">
        <f t="shared" si="80"/>
        <v>0</v>
      </c>
      <c r="AH369">
        <f t="shared" si="80"/>
        <v>0</v>
      </c>
      <c r="AI369">
        <f t="shared" si="80"/>
        <v>0</v>
      </c>
      <c r="AJ369">
        <f t="shared" si="80"/>
        <v>0</v>
      </c>
      <c r="AK369">
        <f t="shared" si="79"/>
        <v>0</v>
      </c>
      <c r="AL369">
        <f t="shared" si="79"/>
        <v>0</v>
      </c>
      <c r="AM369">
        <f t="shared" si="79"/>
        <v>0</v>
      </c>
      <c r="AN369">
        <f t="shared" si="79"/>
        <v>0</v>
      </c>
      <c r="AO369">
        <f t="shared" si="79"/>
        <v>0</v>
      </c>
      <c r="AP369">
        <f t="shared" si="79"/>
        <v>0</v>
      </c>
      <c r="AQ369">
        <f t="shared" si="79"/>
        <v>0</v>
      </c>
      <c r="AR369">
        <f t="shared" si="79"/>
        <v>0</v>
      </c>
    </row>
    <row r="370" spans="5:44" x14ac:dyDescent="0.2">
      <c r="E370" s="1">
        <f>moment_rate!$M370</f>
        <v>0.58471479095378254</v>
      </c>
      <c r="F370" s="1">
        <f t="shared" si="73"/>
        <v>1.1859085910293721E-2</v>
      </c>
      <c r="G370">
        <f>moment_rate!I370-0.005</f>
        <v>3.6299999999999666</v>
      </c>
      <c r="H370" s="1">
        <f t="shared" si="74"/>
        <v>0</v>
      </c>
      <c r="I370">
        <f t="shared" si="81"/>
        <v>0</v>
      </c>
      <c r="J370">
        <f t="shared" si="81"/>
        <v>0</v>
      </c>
      <c r="K370">
        <f t="shared" si="81"/>
        <v>0</v>
      </c>
      <c r="L370">
        <f t="shared" si="81"/>
        <v>0</v>
      </c>
      <c r="M370">
        <f t="shared" si="81"/>
        <v>0</v>
      </c>
      <c r="N370">
        <f t="shared" si="81"/>
        <v>0</v>
      </c>
      <c r="O370">
        <f t="shared" si="81"/>
        <v>0</v>
      </c>
      <c r="P370">
        <f t="shared" si="81"/>
        <v>0</v>
      </c>
      <c r="Q370">
        <f t="shared" si="81"/>
        <v>0</v>
      </c>
      <c r="R370">
        <f t="shared" si="81"/>
        <v>0</v>
      </c>
      <c r="S370">
        <f t="shared" si="81"/>
        <v>0</v>
      </c>
      <c r="T370">
        <f t="shared" si="81"/>
        <v>0</v>
      </c>
      <c r="U370">
        <f t="shared" si="81"/>
        <v>0</v>
      </c>
      <c r="V370">
        <f t="shared" si="81"/>
        <v>0</v>
      </c>
      <c r="W370">
        <f t="shared" si="81"/>
        <v>0</v>
      </c>
      <c r="X370">
        <f t="shared" si="81"/>
        <v>0</v>
      </c>
      <c r="Y370">
        <f t="shared" si="82"/>
        <v>0</v>
      </c>
      <c r="Z370">
        <f t="shared" si="80"/>
        <v>0</v>
      </c>
      <c r="AA370">
        <f t="shared" si="80"/>
        <v>0</v>
      </c>
      <c r="AB370">
        <f t="shared" si="80"/>
        <v>0</v>
      </c>
      <c r="AC370">
        <f t="shared" si="80"/>
        <v>0</v>
      </c>
      <c r="AD370">
        <f t="shared" si="80"/>
        <v>0</v>
      </c>
      <c r="AE370">
        <f t="shared" si="80"/>
        <v>0</v>
      </c>
      <c r="AF370">
        <f t="shared" si="80"/>
        <v>0</v>
      </c>
      <c r="AG370">
        <f t="shared" si="80"/>
        <v>0</v>
      </c>
      <c r="AH370">
        <f t="shared" si="80"/>
        <v>0</v>
      </c>
      <c r="AI370">
        <f t="shared" si="80"/>
        <v>0</v>
      </c>
      <c r="AJ370">
        <f t="shared" si="80"/>
        <v>0</v>
      </c>
      <c r="AK370">
        <f t="shared" si="79"/>
        <v>0</v>
      </c>
      <c r="AL370">
        <f t="shared" si="79"/>
        <v>0</v>
      </c>
      <c r="AM370">
        <f t="shared" si="79"/>
        <v>0</v>
      </c>
      <c r="AN370">
        <f t="shared" si="79"/>
        <v>0</v>
      </c>
      <c r="AO370">
        <f t="shared" si="79"/>
        <v>0</v>
      </c>
      <c r="AP370">
        <f t="shared" si="79"/>
        <v>0</v>
      </c>
      <c r="AQ370">
        <f t="shared" si="79"/>
        <v>0</v>
      </c>
      <c r="AR370">
        <f t="shared" si="79"/>
        <v>0</v>
      </c>
    </row>
    <row r="371" spans="5:44" x14ac:dyDescent="0.2">
      <c r="E371" s="1">
        <f>moment_rate!$M371</f>
        <v>0.57285570504348882</v>
      </c>
      <c r="F371" s="1">
        <f t="shared" si="73"/>
        <v>1.1615855885234061E-2</v>
      </c>
      <c r="G371">
        <f>moment_rate!I371-0.005</f>
        <v>3.6399999999999664</v>
      </c>
      <c r="H371" s="1">
        <f t="shared" si="74"/>
        <v>0</v>
      </c>
      <c r="I371">
        <f t="shared" si="81"/>
        <v>0</v>
      </c>
      <c r="J371">
        <f t="shared" si="81"/>
        <v>0</v>
      </c>
      <c r="K371">
        <f t="shared" si="81"/>
        <v>0</v>
      </c>
      <c r="L371">
        <f t="shared" si="81"/>
        <v>0</v>
      </c>
      <c r="M371">
        <f t="shared" si="81"/>
        <v>0</v>
      </c>
      <c r="N371">
        <f t="shared" si="81"/>
        <v>0</v>
      </c>
      <c r="O371">
        <f t="shared" si="81"/>
        <v>0</v>
      </c>
      <c r="P371">
        <f t="shared" si="81"/>
        <v>0</v>
      </c>
      <c r="Q371">
        <f t="shared" si="81"/>
        <v>0</v>
      </c>
      <c r="R371">
        <f t="shared" si="81"/>
        <v>0</v>
      </c>
      <c r="S371">
        <f t="shared" si="81"/>
        <v>0</v>
      </c>
      <c r="T371">
        <f t="shared" si="81"/>
        <v>0</v>
      </c>
      <c r="U371">
        <f t="shared" si="81"/>
        <v>0</v>
      </c>
      <c r="V371">
        <f t="shared" si="81"/>
        <v>0</v>
      </c>
      <c r="W371">
        <f t="shared" si="81"/>
        <v>0</v>
      </c>
      <c r="X371">
        <f t="shared" si="81"/>
        <v>0</v>
      </c>
      <c r="Y371">
        <f t="shared" si="82"/>
        <v>0</v>
      </c>
      <c r="Z371">
        <f t="shared" si="80"/>
        <v>0</v>
      </c>
      <c r="AA371">
        <f t="shared" si="80"/>
        <v>0</v>
      </c>
      <c r="AB371">
        <f t="shared" si="80"/>
        <v>0</v>
      </c>
      <c r="AC371">
        <f t="shared" si="80"/>
        <v>0</v>
      </c>
      <c r="AD371">
        <f t="shared" si="80"/>
        <v>0</v>
      </c>
      <c r="AE371">
        <f t="shared" si="80"/>
        <v>0</v>
      </c>
      <c r="AF371">
        <f t="shared" si="80"/>
        <v>0</v>
      </c>
      <c r="AG371">
        <f t="shared" si="80"/>
        <v>0</v>
      </c>
      <c r="AH371">
        <f t="shared" si="80"/>
        <v>0</v>
      </c>
      <c r="AI371">
        <f t="shared" si="80"/>
        <v>0</v>
      </c>
      <c r="AJ371">
        <f t="shared" si="80"/>
        <v>0</v>
      </c>
      <c r="AK371">
        <f t="shared" si="79"/>
        <v>0</v>
      </c>
      <c r="AL371">
        <f t="shared" si="79"/>
        <v>0</v>
      </c>
      <c r="AM371">
        <f t="shared" si="79"/>
        <v>0</v>
      </c>
      <c r="AN371">
        <f t="shared" si="79"/>
        <v>0</v>
      </c>
      <c r="AO371">
        <f t="shared" si="79"/>
        <v>0</v>
      </c>
      <c r="AP371">
        <f t="shared" si="79"/>
        <v>0</v>
      </c>
      <c r="AQ371">
        <f t="shared" si="79"/>
        <v>0</v>
      </c>
      <c r="AR371">
        <f t="shared" si="79"/>
        <v>0</v>
      </c>
    </row>
    <row r="372" spans="5:44" x14ac:dyDescent="0.2">
      <c r="E372" s="1">
        <f>moment_rate!$M372</f>
        <v>0.56123984915825476</v>
      </c>
      <c r="F372" s="1">
        <f t="shared" si="73"/>
        <v>1.1377614511537515E-2</v>
      </c>
      <c r="G372">
        <f>moment_rate!I372-0.005</f>
        <v>3.6499999999999662</v>
      </c>
      <c r="H372" s="1">
        <f t="shared" si="74"/>
        <v>0</v>
      </c>
      <c r="I372">
        <f t="shared" si="81"/>
        <v>0</v>
      </c>
      <c r="J372">
        <f t="shared" si="81"/>
        <v>0</v>
      </c>
      <c r="K372">
        <f t="shared" si="81"/>
        <v>0</v>
      </c>
      <c r="L372">
        <f t="shared" si="81"/>
        <v>0</v>
      </c>
      <c r="M372">
        <f t="shared" si="81"/>
        <v>0</v>
      </c>
      <c r="N372">
        <f t="shared" si="81"/>
        <v>0</v>
      </c>
      <c r="O372">
        <f t="shared" si="81"/>
        <v>0</v>
      </c>
      <c r="P372">
        <f t="shared" si="81"/>
        <v>0</v>
      </c>
      <c r="Q372">
        <f t="shared" si="81"/>
        <v>0</v>
      </c>
      <c r="R372">
        <f t="shared" si="81"/>
        <v>0</v>
      </c>
      <c r="S372">
        <f t="shared" si="81"/>
        <v>0</v>
      </c>
      <c r="T372">
        <f t="shared" si="81"/>
        <v>0</v>
      </c>
      <c r="U372">
        <f t="shared" si="81"/>
        <v>0</v>
      </c>
      <c r="V372">
        <f t="shared" si="81"/>
        <v>0</v>
      </c>
      <c r="W372">
        <f t="shared" si="81"/>
        <v>0</v>
      </c>
      <c r="X372">
        <f t="shared" si="81"/>
        <v>0</v>
      </c>
      <c r="Y372">
        <f t="shared" si="82"/>
        <v>0</v>
      </c>
      <c r="Z372">
        <f t="shared" si="80"/>
        <v>0</v>
      </c>
      <c r="AA372">
        <f t="shared" si="80"/>
        <v>0</v>
      </c>
      <c r="AB372">
        <f t="shared" si="80"/>
        <v>0</v>
      </c>
      <c r="AC372">
        <f t="shared" si="80"/>
        <v>0</v>
      </c>
      <c r="AD372">
        <f t="shared" si="80"/>
        <v>0</v>
      </c>
      <c r="AE372">
        <f t="shared" si="80"/>
        <v>0</v>
      </c>
      <c r="AF372">
        <f t="shared" si="80"/>
        <v>0</v>
      </c>
      <c r="AG372">
        <f t="shared" si="80"/>
        <v>0</v>
      </c>
      <c r="AH372">
        <f t="shared" si="80"/>
        <v>0</v>
      </c>
      <c r="AI372">
        <f t="shared" si="80"/>
        <v>0</v>
      </c>
      <c r="AJ372">
        <f t="shared" si="80"/>
        <v>0</v>
      </c>
      <c r="AK372">
        <f t="shared" si="79"/>
        <v>0</v>
      </c>
      <c r="AL372">
        <f t="shared" si="79"/>
        <v>0</v>
      </c>
      <c r="AM372">
        <f t="shared" si="79"/>
        <v>0</v>
      </c>
      <c r="AN372">
        <f t="shared" si="79"/>
        <v>0</v>
      </c>
      <c r="AO372">
        <f t="shared" si="79"/>
        <v>0</v>
      </c>
      <c r="AP372">
        <f t="shared" si="79"/>
        <v>0</v>
      </c>
      <c r="AQ372">
        <f t="shared" si="79"/>
        <v>0</v>
      </c>
      <c r="AR372">
        <f t="shared" si="79"/>
        <v>0</v>
      </c>
    </row>
    <row r="373" spans="5:44" x14ac:dyDescent="0.2">
      <c r="E373" s="1">
        <f>moment_rate!$M373</f>
        <v>0.54986223464671724</v>
      </c>
      <c r="F373" s="1">
        <f t="shared" si="73"/>
        <v>1.1144259471891793E-2</v>
      </c>
      <c r="G373">
        <f>moment_rate!I373-0.005</f>
        <v>3.6599999999999659</v>
      </c>
      <c r="H373" s="1">
        <f t="shared" si="74"/>
        <v>0</v>
      </c>
      <c r="I373">
        <f t="shared" si="81"/>
        <v>0</v>
      </c>
      <c r="J373">
        <f t="shared" si="81"/>
        <v>0</v>
      </c>
      <c r="K373">
        <f t="shared" si="81"/>
        <v>0</v>
      </c>
      <c r="L373">
        <f t="shared" si="81"/>
        <v>0</v>
      </c>
      <c r="M373">
        <f t="shared" si="81"/>
        <v>0</v>
      </c>
      <c r="N373">
        <f t="shared" si="81"/>
        <v>0</v>
      </c>
      <c r="O373">
        <f t="shared" si="81"/>
        <v>0</v>
      </c>
      <c r="P373">
        <f t="shared" si="81"/>
        <v>0</v>
      </c>
      <c r="Q373">
        <f t="shared" si="81"/>
        <v>0</v>
      </c>
      <c r="R373">
        <f t="shared" si="81"/>
        <v>0</v>
      </c>
      <c r="S373">
        <f t="shared" si="81"/>
        <v>0</v>
      </c>
      <c r="T373">
        <f t="shared" si="81"/>
        <v>0</v>
      </c>
      <c r="U373">
        <f t="shared" si="81"/>
        <v>0</v>
      </c>
      <c r="V373">
        <f t="shared" si="81"/>
        <v>0</v>
      </c>
      <c r="W373">
        <f t="shared" si="81"/>
        <v>0</v>
      </c>
      <c r="X373">
        <f t="shared" si="81"/>
        <v>0</v>
      </c>
      <c r="Y373">
        <f t="shared" si="82"/>
        <v>0</v>
      </c>
      <c r="Z373">
        <f t="shared" si="80"/>
        <v>0</v>
      </c>
      <c r="AA373">
        <f t="shared" si="80"/>
        <v>0</v>
      </c>
      <c r="AB373">
        <f t="shared" si="80"/>
        <v>0</v>
      </c>
      <c r="AC373">
        <f t="shared" si="80"/>
        <v>0</v>
      </c>
      <c r="AD373">
        <f t="shared" si="80"/>
        <v>0</v>
      </c>
      <c r="AE373">
        <f t="shared" si="80"/>
        <v>0</v>
      </c>
      <c r="AF373">
        <f t="shared" si="80"/>
        <v>0</v>
      </c>
      <c r="AG373">
        <f t="shared" si="80"/>
        <v>0</v>
      </c>
      <c r="AH373">
        <f t="shared" si="80"/>
        <v>0</v>
      </c>
      <c r="AI373">
        <f t="shared" si="80"/>
        <v>0</v>
      </c>
      <c r="AJ373">
        <f t="shared" si="80"/>
        <v>0</v>
      </c>
      <c r="AK373">
        <f t="shared" si="79"/>
        <v>0</v>
      </c>
      <c r="AL373">
        <f t="shared" si="79"/>
        <v>0</v>
      </c>
      <c r="AM373">
        <f t="shared" si="79"/>
        <v>0</v>
      </c>
      <c r="AN373">
        <f t="shared" si="79"/>
        <v>0</v>
      </c>
      <c r="AO373">
        <f t="shared" si="79"/>
        <v>0</v>
      </c>
      <c r="AP373">
        <f t="shared" si="79"/>
        <v>0</v>
      </c>
      <c r="AQ373">
        <f t="shared" si="79"/>
        <v>0</v>
      </c>
      <c r="AR373">
        <f t="shared" si="79"/>
        <v>0</v>
      </c>
    </row>
    <row r="374" spans="5:44" x14ac:dyDescent="0.2">
      <c r="E374" s="1">
        <f>moment_rate!$M374</f>
        <v>0.53871797517482545</v>
      </c>
      <c r="F374" s="1">
        <f t="shared" si="73"/>
        <v>1.0915690547513845E-2</v>
      </c>
      <c r="G374">
        <f>moment_rate!I374-0.005</f>
        <v>3.6699999999999657</v>
      </c>
      <c r="H374" s="1">
        <f t="shared" si="74"/>
        <v>0</v>
      </c>
      <c r="I374">
        <f t="shared" si="81"/>
        <v>0</v>
      </c>
      <c r="J374">
        <f t="shared" si="81"/>
        <v>0</v>
      </c>
      <c r="K374">
        <f t="shared" si="81"/>
        <v>0</v>
      </c>
      <c r="L374">
        <f t="shared" si="81"/>
        <v>0</v>
      </c>
      <c r="M374">
        <f t="shared" si="81"/>
        <v>0</v>
      </c>
      <c r="N374">
        <f t="shared" si="81"/>
        <v>0</v>
      </c>
      <c r="O374">
        <f t="shared" si="81"/>
        <v>0</v>
      </c>
      <c r="P374">
        <f t="shared" si="81"/>
        <v>0</v>
      </c>
      <c r="Q374">
        <f t="shared" si="81"/>
        <v>0</v>
      </c>
      <c r="R374">
        <f t="shared" si="81"/>
        <v>0</v>
      </c>
      <c r="S374">
        <f t="shared" si="81"/>
        <v>0</v>
      </c>
      <c r="T374">
        <f t="shared" si="81"/>
        <v>0</v>
      </c>
      <c r="U374">
        <f t="shared" si="81"/>
        <v>0</v>
      </c>
      <c r="V374">
        <f t="shared" si="81"/>
        <v>0</v>
      </c>
      <c r="W374">
        <f t="shared" si="81"/>
        <v>0</v>
      </c>
      <c r="X374">
        <f t="shared" si="81"/>
        <v>0</v>
      </c>
      <c r="Y374">
        <f t="shared" si="82"/>
        <v>0</v>
      </c>
      <c r="Z374">
        <f t="shared" si="80"/>
        <v>0</v>
      </c>
      <c r="AA374">
        <f t="shared" si="80"/>
        <v>0</v>
      </c>
      <c r="AB374">
        <f t="shared" si="80"/>
        <v>0</v>
      </c>
      <c r="AC374">
        <f t="shared" si="80"/>
        <v>0</v>
      </c>
      <c r="AD374">
        <f t="shared" si="80"/>
        <v>0</v>
      </c>
      <c r="AE374">
        <f t="shared" si="80"/>
        <v>0</v>
      </c>
      <c r="AF374">
        <f t="shared" si="80"/>
        <v>0</v>
      </c>
      <c r="AG374">
        <f t="shared" si="80"/>
        <v>0</v>
      </c>
      <c r="AH374">
        <f t="shared" si="80"/>
        <v>0</v>
      </c>
      <c r="AI374">
        <f t="shared" si="80"/>
        <v>0</v>
      </c>
      <c r="AJ374">
        <f t="shared" si="80"/>
        <v>0</v>
      </c>
      <c r="AK374">
        <f t="shared" si="79"/>
        <v>0</v>
      </c>
      <c r="AL374">
        <f t="shared" si="79"/>
        <v>0</v>
      </c>
      <c r="AM374">
        <f t="shared" si="79"/>
        <v>0</v>
      </c>
      <c r="AN374">
        <f t="shared" si="79"/>
        <v>0</v>
      </c>
      <c r="AO374">
        <f t="shared" si="79"/>
        <v>0</v>
      </c>
      <c r="AP374">
        <f t="shared" si="79"/>
        <v>0</v>
      </c>
      <c r="AQ374">
        <f t="shared" si="79"/>
        <v>0</v>
      </c>
      <c r="AR374">
        <f t="shared" si="79"/>
        <v>0</v>
      </c>
    </row>
    <row r="375" spans="5:44" x14ac:dyDescent="0.2">
      <c r="E375" s="1">
        <f>moment_rate!$M375</f>
        <v>0.5278022846273116</v>
      </c>
      <c r="F375" s="1">
        <f t="shared" si="73"/>
        <v>1.06918095751104E-2</v>
      </c>
      <c r="G375">
        <f>moment_rate!I375-0.005</f>
        <v>3.6799999999999655</v>
      </c>
      <c r="H375" s="1">
        <f t="shared" si="74"/>
        <v>0</v>
      </c>
      <c r="I375">
        <f t="shared" si="81"/>
        <v>0</v>
      </c>
      <c r="J375">
        <f t="shared" si="81"/>
        <v>0</v>
      </c>
      <c r="K375">
        <f t="shared" si="81"/>
        <v>0</v>
      </c>
      <c r="L375">
        <f t="shared" si="81"/>
        <v>0</v>
      </c>
      <c r="M375">
        <f t="shared" si="81"/>
        <v>0</v>
      </c>
      <c r="N375">
        <f t="shared" si="81"/>
        <v>0</v>
      </c>
      <c r="O375">
        <f t="shared" si="81"/>
        <v>0</v>
      </c>
      <c r="P375">
        <f t="shared" si="81"/>
        <v>0</v>
      </c>
      <c r="Q375">
        <f t="shared" si="81"/>
        <v>0</v>
      </c>
      <c r="R375">
        <f t="shared" si="81"/>
        <v>0</v>
      </c>
      <c r="S375">
        <f t="shared" si="81"/>
        <v>0</v>
      </c>
      <c r="T375">
        <f t="shared" si="81"/>
        <v>0</v>
      </c>
      <c r="U375">
        <f t="shared" si="81"/>
        <v>0</v>
      </c>
      <c r="V375">
        <f t="shared" si="81"/>
        <v>0</v>
      </c>
      <c r="W375">
        <f t="shared" si="81"/>
        <v>0</v>
      </c>
      <c r="X375">
        <f t="shared" si="81"/>
        <v>0</v>
      </c>
      <c r="Y375">
        <f t="shared" si="82"/>
        <v>0</v>
      </c>
      <c r="Z375">
        <f t="shared" si="80"/>
        <v>0</v>
      </c>
      <c r="AA375">
        <f t="shared" si="80"/>
        <v>0</v>
      </c>
      <c r="AB375">
        <f t="shared" si="80"/>
        <v>0</v>
      </c>
      <c r="AC375">
        <f t="shared" si="80"/>
        <v>0</v>
      </c>
      <c r="AD375">
        <f t="shared" si="80"/>
        <v>0</v>
      </c>
      <c r="AE375">
        <f t="shared" si="80"/>
        <v>0</v>
      </c>
      <c r="AF375">
        <f t="shared" si="80"/>
        <v>0</v>
      </c>
      <c r="AG375">
        <f t="shared" si="80"/>
        <v>0</v>
      </c>
      <c r="AH375">
        <f t="shared" si="80"/>
        <v>0</v>
      </c>
      <c r="AI375">
        <f t="shared" si="80"/>
        <v>0</v>
      </c>
      <c r="AJ375">
        <f t="shared" si="80"/>
        <v>0</v>
      </c>
      <c r="AK375">
        <f t="shared" si="79"/>
        <v>0</v>
      </c>
      <c r="AL375">
        <f t="shared" si="79"/>
        <v>0</v>
      </c>
      <c r="AM375">
        <f t="shared" si="79"/>
        <v>0</v>
      </c>
      <c r="AN375">
        <f t="shared" si="79"/>
        <v>0</v>
      </c>
      <c r="AO375">
        <f t="shared" si="79"/>
        <v>0</v>
      </c>
      <c r="AP375">
        <f t="shared" si="79"/>
        <v>0</v>
      </c>
      <c r="AQ375">
        <f t="shared" si="79"/>
        <v>0</v>
      </c>
      <c r="AR375">
        <f t="shared" si="79"/>
        <v>0</v>
      </c>
    </row>
    <row r="376" spans="5:44" x14ac:dyDescent="0.2">
      <c r="E376" s="1">
        <f>moment_rate!$M376</f>
        <v>0.5171104750522012</v>
      </c>
      <c r="F376" s="1">
        <f t="shared" si="73"/>
        <v>1.0472520404717467E-2</v>
      </c>
      <c r="G376">
        <f>moment_rate!I376-0.005</f>
        <v>3.6899999999999653</v>
      </c>
      <c r="H376" s="1">
        <f t="shared" si="74"/>
        <v>0</v>
      </c>
      <c r="I376">
        <f t="shared" si="81"/>
        <v>0</v>
      </c>
      <c r="J376">
        <f t="shared" si="81"/>
        <v>0</v>
      </c>
      <c r="K376">
        <f t="shared" si="81"/>
        <v>0</v>
      </c>
      <c r="L376">
        <f t="shared" si="81"/>
        <v>0</v>
      </c>
      <c r="M376">
        <f t="shared" si="81"/>
        <v>0</v>
      </c>
      <c r="N376">
        <f t="shared" si="81"/>
        <v>0</v>
      </c>
      <c r="O376">
        <f t="shared" si="81"/>
        <v>0</v>
      </c>
      <c r="P376">
        <f t="shared" si="81"/>
        <v>0</v>
      </c>
      <c r="Q376">
        <f t="shared" si="81"/>
        <v>0</v>
      </c>
      <c r="R376">
        <f t="shared" si="81"/>
        <v>0</v>
      </c>
      <c r="S376">
        <f t="shared" si="81"/>
        <v>0</v>
      </c>
      <c r="T376">
        <f t="shared" si="81"/>
        <v>0</v>
      </c>
      <c r="U376">
        <f t="shared" si="81"/>
        <v>0</v>
      </c>
      <c r="V376">
        <f t="shared" si="81"/>
        <v>0</v>
      </c>
      <c r="W376">
        <f t="shared" si="81"/>
        <v>0</v>
      </c>
      <c r="X376">
        <f t="shared" si="81"/>
        <v>0</v>
      </c>
      <c r="Y376">
        <f t="shared" si="82"/>
        <v>0</v>
      </c>
      <c r="Z376">
        <f t="shared" ref="Z376:AM381" si="83">IF(AND($G376&gt;=Z$3,$G376&lt;Z$4),$F376,0)</f>
        <v>0</v>
      </c>
      <c r="AA376">
        <f t="shared" si="83"/>
        <v>0</v>
      </c>
      <c r="AB376">
        <f t="shared" si="83"/>
        <v>0</v>
      </c>
      <c r="AC376">
        <f t="shared" si="83"/>
        <v>0</v>
      </c>
      <c r="AD376">
        <f t="shared" si="83"/>
        <v>0</v>
      </c>
      <c r="AE376">
        <f t="shared" si="83"/>
        <v>0</v>
      </c>
      <c r="AF376">
        <f t="shared" si="83"/>
        <v>0</v>
      </c>
      <c r="AG376">
        <f t="shared" si="83"/>
        <v>0</v>
      </c>
      <c r="AH376">
        <f t="shared" si="83"/>
        <v>0</v>
      </c>
      <c r="AI376">
        <f t="shared" si="83"/>
        <v>0</v>
      </c>
      <c r="AJ376">
        <f t="shared" si="83"/>
        <v>0</v>
      </c>
      <c r="AK376">
        <f t="shared" si="83"/>
        <v>0</v>
      </c>
      <c r="AL376">
        <f t="shared" si="83"/>
        <v>0</v>
      </c>
      <c r="AM376">
        <f t="shared" si="83"/>
        <v>0</v>
      </c>
      <c r="AN376">
        <f t="shared" si="79"/>
        <v>0</v>
      </c>
      <c r="AO376">
        <f t="shared" si="79"/>
        <v>0</v>
      </c>
      <c r="AP376">
        <f t="shared" si="79"/>
        <v>0</v>
      </c>
      <c r="AQ376">
        <f t="shared" si="79"/>
        <v>0</v>
      </c>
      <c r="AR376">
        <f t="shared" si="79"/>
        <v>0</v>
      </c>
    </row>
    <row r="377" spans="5:44" x14ac:dyDescent="0.2">
      <c r="E377" s="1">
        <f>moment_rate!$M377</f>
        <v>0.50663795464748373</v>
      </c>
      <c r="F377" s="1">
        <f t="shared" si="73"/>
        <v>1.0257728858408977E-2</v>
      </c>
      <c r="G377">
        <f>moment_rate!I377-0.005</f>
        <v>3.6999999999999651</v>
      </c>
      <c r="H377" s="1">
        <f t="shared" si="74"/>
        <v>0</v>
      </c>
      <c r="I377">
        <f t="shared" si="81"/>
        <v>0</v>
      </c>
      <c r="J377">
        <f t="shared" si="81"/>
        <v>0</v>
      </c>
      <c r="K377">
        <f t="shared" si="81"/>
        <v>0</v>
      </c>
      <c r="L377">
        <f t="shared" si="81"/>
        <v>0</v>
      </c>
      <c r="M377">
        <f t="shared" si="81"/>
        <v>0</v>
      </c>
      <c r="N377">
        <f t="shared" si="81"/>
        <v>0</v>
      </c>
      <c r="O377">
        <f t="shared" si="81"/>
        <v>0</v>
      </c>
      <c r="P377">
        <f t="shared" si="81"/>
        <v>0</v>
      </c>
      <c r="Q377">
        <f t="shared" si="81"/>
        <v>0</v>
      </c>
      <c r="R377">
        <f t="shared" si="81"/>
        <v>0</v>
      </c>
      <c r="S377">
        <f t="shared" si="81"/>
        <v>0</v>
      </c>
      <c r="T377">
        <f t="shared" si="81"/>
        <v>0</v>
      </c>
      <c r="U377">
        <f t="shared" si="81"/>
        <v>0</v>
      </c>
      <c r="V377">
        <f t="shared" si="81"/>
        <v>0</v>
      </c>
      <c r="W377">
        <f t="shared" si="81"/>
        <v>0</v>
      </c>
      <c r="X377">
        <f t="shared" si="81"/>
        <v>0</v>
      </c>
      <c r="Y377">
        <f t="shared" si="82"/>
        <v>0</v>
      </c>
      <c r="Z377">
        <f t="shared" si="83"/>
        <v>0</v>
      </c>
      <c r="AA377">
        <f t="shared" si="83"/>
        <v>0</v>
      </c>
      <c r="AB377">
        <f t="shared" si="83"/>
        <v>0</v>
      </c>
      <c r="AC377">
        <f t="shared" si="83"/>
        <v>0</v>
      </c>
      <c r="AD377">
        <f t="shared" si="83"/>
        <v>0</v>
      </c>
      <c r="AE377">
        <f t="shared" si="83"/>
        <v>0</v>
      </c>
      <c r="AF377">
        <f t="shared" si="83"/>
        <v>0</v>
      </c>
      <c r="AG377">
        <f t="shared" si="83"/>
        <v>0</v>
      </c>
      <c r="AH377">
        <f t="shared" si="83"/>
        <v>0</v>
      </c>
      <c r="AI377">
        <f t="shared" si="83"/>
        <v>0</v>
      </c>
      <c r="AJ377">
        <f t="shared" si="83"/>
        <v>0</v>
      </c>
      <c r="AK377">
        <f t="shared" si="83"/>
        <v>0</v>
      </c>
      <c r="AL377">
        <f t="shared" si="83"/>
        <v>0</v>
      </c>
      <c r="AM377">
        <f t="shared" si="83"/>
        <v>0</v>
      </c>
      <c r="AN377">
        <f t="shared" si="79"/>
        <v>0</v>
      </c>
      <c r="AO377">
        <f t="shared" si="79"/>
        <v>0</v>
      </c>
      <c r="AP377">
        <f t="shared" si="79"/>
        <v>0</v>
      </c>
      <c r="AQ377">
        <f t="shared" si="79"/>
        <v>0</v>
      </c>
      <c r="AR377">
        <f t="shared" si="79"/>
        <v>0</v>
      </c>
    </row>
    <row r="378" spans="5:44" x14ac:dyDescent="0.2">
      <c r="E378" s="1">
        <f>moment_rate!$M378</f>
        <v>0.49638022578907476</v>
      </c>
      <c r="F378" s="1">
        <f t="shared" si="73"/>
        <v>1.0047342689849359E-2</v>
      </c>
      <c r="G378">
        <f>moment_rate!I378-0.005</f>
        <v>3.7099999999999649</v>
      </c>
      <c r="H378" s="1">
        <f t="shared" si="74"/>
        <v>0</v>
      </c>
      <c r="I378">
        <f t="shared" si="81"/>
        <v>0</v>
      </c>
      <c r="J378">
        <f t="shared" si="81"/>
        <v>0</v>
      </c>
      <c r="K378">
        <f t="shared" si="81"/>
        <v>0</v>
      </c>
      <c r="L378">
        <f t="shared" si="81"/>
        <v>0</v>
      </c>
      <c r="M378">
        <f t="shared" si="81"/>
        <v>0</v>
      </c>
      <c r="N378">
        <f t="shared" si="81"/>
        <v>0</v>
      </c>
      <c r="O378">
        <f t="shared" si="81"/>
        <v>0</v>
      </c>
      <c r="P378">
        <f t="shared" si="81"/>
        <v>0</v>
      </c>
      <c r="Q378">
        <f t="shared" si="81"/>
        <v>0</v>
      </c>
      <c r="R378">
        <f t="shared" si="81"/>
        <v>0</v>
      </c>
      <c r="S378">
        <f t="shared" si="81"/>
        <v>0</v>
      </c>
      <c r="T378">
        <f t="shared" si="81"/>
        <v>0</v>
      </c>
      <c r="U378">
        <f t="shared" si="81"/>
        <v>0</v>
      </c>
      <c r="V378">
        <f t="shared" si="81"/>
        <v>0</v>
      </c>
      <c r="W378">
        <f t="shared" si="81"/>
        <v>0</v>
      </c>
      <c r="X378">
        <f t="shared" si="81"/>
        <v>0</v>
      </c>
      <c r="Y378">
        <f t="shared" si="82"/>
        <v>0</v>
      </c>
      <c r="Z378">
        <f t="shared" si="83"/>
        <v>0</v>
      </c>
      <c r="AA378">
        <f t="shared" si="83"/>
        <v>0</v>
      </c>
      <c r="AB378">
        <f t="shared" si="83"/>
        <v>0</v>
      </c>
      <c r="AC378">
        <f t="shared" si="83"/>
        <v>0</v>
      </c>
      <c r="AD378">
        <f t="shared" si="83"/>
        <v>0</v>
      </c>
      <c r="AE378">
        <f t="shared" si="83"/>
        <v>0</v>
      </c>
      <c r="AF378">
        <f t="shared" si="83"/>
        <v>0</v>
      </c>
      <c r="AG378">
        <f t="shared" si="83"/>
        <v>0</v>
      </c>
      <c r="AH378">
        <f t="shared" si="83"/>
        <v>0</v>
      </c>
      <c r="AI378">
        <f t="shared" si="83"/>
        <v>0</v>
      </c>
      <c r="AJ378">
        <f t="shared" si="83"/>
        <v>0</v>
      </c>
      <c r="AK378">
        <f t="shared" si="83"/>
        <v>0</v>
      </c>
      <c r="AL378">
        <f t="shared" si="83"/>
        <v>0</v>
      </c>
      <c r="AM378">
        <f t="shared" si="83"/>
        <v>0</v>
      </c>
      <c r="AN378">
        <f t="shared" si="79"/>
        <v>0</v>
      </c>
      <c r="AO378">
        <f t="shared" si="79"/>
        <v>0</v>
      </c>
      <c r="AP378">
        <f t="shared" si="79"/>
        <v>0</v>
      </c>
      <c r="AQ378">
        <f t="shared" si="79"/>
        <v>0</v>
      </c>
      <c r="AR378">
        <f t="shared" si="79"/>
        <v>0</v>
      </c>
    </row>
    <row r="379" spans="5:44" x14ac:dyDescent="0.2">
      <c r="E379" s="1">
        <f>moment_rate!$M379</f>
        <v>0.4863328830992254</v>
      </c>
      <c r="F379" s="1">
        <f t="shared" si="73"/>
        <v>9.841271544676844E-3</v>
      </c>
      <c r="G379">
        <f>moment_rate!I379-0.005</f>
        <v>3.7199999999999647</v>
      </c>
      <c r="H379" s="1">
        <f t="shared" si="74"/>
        <v>0</v>
      </c>
      <c r="I379">
        <f t="shared" si="81"/>
        <v>0</v>
      </c>
      <c r="J379">
        <f t="shared" si="81"/>
        <v>0</v>
      </c>
      <c r="K379">
        <f t="shared" si="81"/>
        <v>0</v>
      </c>
      <c r="L379">
        <f t="shared" si="81"/>
        <v>0</v>
      </c>
      <c r="M379">
        <f t="shared" si="81"/>
        <v>0</v>
      </c>
      <c r="N379">
        <f t="shared" si="81"/>
        <v>0</v>
      </c>
      <c r="O379">
        <f t="shared" si="81"/>
        <v>0</v>
      </c>
      <c r="P379">
        <f t="shared" si="81"/>
        <v>0</v>
      </c>
      <c r="Q379">
        <f t="shared" si="81"/>
        <v>0</v>
      </c>
      <c r="R379">
        <f t="shared" si="81"/>
        <v>0</v>
      </c>
      <c r="S379">
        <f t="shared" si="81"/>
        <v>0</v>
      </c>
      <c r="T379">
        <f t="shared" si="81"/>
        <v>0</v>
      </c>
      <c r="U379">
        <f t="shared" si="81"/>
        <v>0</v>
      </c>
      <c r="V379">
        <f t="shared" si="81"/>
        <v>0</v>
      </c>
      <c r="W379">
        <f t="shared" si="81"/>
        <v>0</v>
      </c>
      <c r="X379">
        <f t="shared" si="81"/>
        <v>0</v>
      </c>
      <c r="Y379">
        <f t="shared" si="82"/>
        <v>0</v>
      </c>
      <c r="Z379">
        <f t="shared" si="83"/>
        <v>0</v>
      </c>
      <c r="AA379">
        <f t="shared" si="83"/>
        <v>0</v>
      </c>
      <c r="AB379">
        <f t="shared" si="83"/>
        <v>0</v>
      </c>
      <c r="AC379">
        <f t="shared" si="83"/>
        <v>0</v>
      </c>
      <c r="AD379">
        <f t="shared" si="83"/>
        <v>0</v>
      </c>
      <c r="AE379">
        <f t="shared" si="83"/>
        <v>0</v>
      </c>
      <c r="AF379">
        <f t="shared" si="83"/>
        <v>0</v>
      </c>
      <c r="AG379">
        <f t="shared" si="83"/>
        <v>0</v>
      </c>
      <c r="AH379">
        <f t="shared" si="83"/>
        <v>0</v>
      </c>
      <c r="AI379">
        <f t="shared" si="83"/>
        <v>0</v>
      </c>
      <c r="AJ379">
        <f t="shared" si="83"/>
        <v>0</v>
      </c>
      <c r="AK379">
        <f t="shared" si="83"/>
        <v>0</v>
      </c>
      <c r="AL379">
        <f t="shared" si="83"/>
        <v>0</v>
      </c>
      <c r="AM379">
        <f t="shared" si="83"/>
        <v>0</v>
      </c>
      <c r="AN379">
        <f t="shared" si="79"/>
        <v>0</v>
      </c>
      <c r="AO379">
        <f t="shared" si="79"/>
        <v>0</v>
      </c>
      <c r="AP379">
        <f t="shared" si="79"/>
        <v>0</v>
      </c>
      <c r="AQ379">
        <f t="shared" si="79"/>
        <v>0</v>
      </c>
      <c r="AR379">
        <f t="shared" si="79"/>
        <v>0</v>
      </c>
    </row>
    <row r="380" spans="5:44" x14ac:dyDescent="0.2">
      <c r="E380" s="1">
        <f>moment_rate!$M380</f>
        <v>0.47649161155454856</v>
      </c>
      <c r="F380" s="1">
        <f t="shared" si="73"/>
        <v>9.6394269216985018E-3</v>
      </c>
      <c r="G380">
        <f>moment_rate!I380-0.005</f>
        <v>3.7299999999999645</v>
      </c>
      <c r="H380" s="1">
        <f t="shared" si="74"/>
        <v>0</v>
      </c>
      <c r="I380">
        <f t="shared" si="81"/>
        <v>0</v>
      </c>
      <c r="J380">
        <f t="shared" si="81"/>
        <v>0</v>
      </c>
      <c r="K380">
        <f t="shared" si="81"/>
        <v>0</v>
      </c>
      <c r="L380">
        <f t="shared" si="81"/>
        <v>0</v>
      </c>
      <c r="M380">
        <f t="shared" si="81"/>
        <v>0</v>
      </c>
      <c r="N380">
        <f t="shared" si="81"/>
        <v>0</v>
      </c>
      <c r="O380">
        <f t="shared" si="81"/>
        <v>0</v>
      </c>
      <c r="P380">
        <f t="shared" si="81"/>
        <v>0</v>
      </c>
      <c r="Q380">
        <f t="shared" si="81"/>
        <v>0</v>
      </c>
      <c r="R380">
        <f t="shared" si="81"/>
        <v>0</v>
      </c>
      <c r="S380">
        <f t="shared" si="81"/>
        <v>0</v>
      </c>
      <c r="T380">
        <f t="shared" si="81"/>
        <v>0</v>
      </c>
      <c r="U380">
        <f t="shared" si="81"/>
        <v>0</v>
      </c>
      <c r="V380">
        <f t="shared" si="81"/>
        <v>0</v>
      </c>
      <c r="W380">
        <f t="shared" si="81"/>
        <v>0</v>
      </c>
      <c r="X380">
        <f t="shared" si="81"/>
        <v>0</v>
      </c>
      <c r="Y380">
        <f t="shared" si="82"/>
        <v>0</v>
      </c>
      <c r="Z380">
        <f t="shared" si="83"/>
        <v>0</v>
      </c>
      <c r="AA380">
        <f t="shared" si="83"/>
        <v>0</v>
      </c>
      <c r="AB380">
        <f t="shared" si="83"/>
        <v>0</v>
      </c>
      <c r="AC380">
        <f t="shared" si="83"/>
        <v>0</v>
      </c>
      <c r="AD380">
        <f t="shared" si="83"/>
        <v>0</v>
      </c>
      <c r="AE380">
        <f t="shared" si="83"/>
        <v>0</v>
      </c>
      <c r="AF380">
        <f t="shared" si="83"/>
        <v>0</v>
      </c>
      <c r="AG380">
        <f t="shared" si="83"/>
        <v>0</v>
      </c>
      <c r="AH380">
        <f t="shared" si="83"/>
        <v>0</v>
      </c>
      <c r="AI380">
        <f t="shared" si="83"/>
        <v>0</v>
      </c>
      <c r="AJ380">
        <f t="shared" si="83"/>
        <v>0</v>
      </c>
      <c r="AK380">
        <f t="shared" si="83"/>
        <v>0</v>
      </c>
      <c r="AL380">
        <f t="shared" si="83"/>
        <v>0</v>
      </c>
      <c r="AM380">
        <f t="shared" si="83"/>
        <v>0</v>
      </c>
      <c r="AN380">
        <f t="shared" si="79"/>
        <v>0</v>
      </c>
      <c r="AO380">
        <f t="shared" si="79"/>
        <v>0</v>
      </c>
      <c r="AP380">
        <f t="shared" si="79"/>
        <v>0</v>
      </c>
      <c r="AQ380">
        <f t="shared" si="79"/>
        <v>0</v>
      </c>
      <c r="AR380">
        <f t="shared" si="79"/>
        <v>0</v>
      </c>
    </row>
    <row r="381" spans="5:44" x14ac:dyDescent="0.2">
      <c r="E381" s="1">
        <f>moment_rate!$M381</f>
        <v>0.46685218463285005</v>
      </c>
      <c r="F381" s="1">
        <f t="shared" si="73"/>
        <v>9.4417221348827018E-3</v>
      </c>
      <c r="G381">
        <f>moment_rate!I381-0.005</f>
        <v>3.7399999999999642</v>
      </c>
      <c r="H381" s="1">
        <f t="shared" si="74"/>
        <v>0</v>
      </c>
      <c r="I381">
        <f t="shared" si="81"/>
        <v>0</v>
      </c>
      <c r="J381">
        <f t="shared" si="81"/>
        <v>0</v>
      </c>
      <c r="K381">
        <f t="shared" si="81"/>
        <v>0</v>
      </c>
      <c r="L381">
        <f t="shared" si="81"/>
        <v>0</v>
      </c>
      <c r="M381">
        <f t="shared" si="81"/>
        <v>0</v>
      </c>
      <c r="N381">
        <f t="shared" si="81"/>
        <v>0</v>
      </c>
      <c r="O381">
        <f t="shared" si="81"/>
        <v>0</v>
      </c>
      <c r="P381">
        <f t="shared" si="81"/>
        <v>0</v>
      </c>
      <c r="Q381">
        <f t="shared" si="81"/>
        <v>0</v>
      </c>
      <c r="R381">
        <f t="shared" si="81"/>
        <v>0</v>
      </c>
      <c r="S381">
        <f t="shared" si="81"/>
        <v>0</v>
      </c>
      <c r="T381">
        <f t="shared" si="81"/>
        <v>0</v>
      </c>
      <c r="U381">
        <f t="shared" si="81"/>
        <v>0</v>
      </c>
      <c r="V381">
        <f t="shared" si="81"/>
        <v>0</v>
      </c>
      <c r="W381">
        <f t="shared" si="81"/>
        <v>0</v>
      </c>
      <c r="X381">
        <f t="shared" si="81"/>
        <v>0</v>
      </c>
      <c r="Y381">
        <f t="shared" si="82"/>
        <v>0</v>
      </c>
      <c r="Z381">
        <f t="shared" si="83"/>
        <v>0</v>
      </c>
      <c r="AA381">
        <f t="shared" si="83"/>
        <v>0</v>
      </c>
      <c r="AB381">
        <f t="shared" si="83"/>
        <v>0</v>
      </c>
      <c r="AC381">
        <f t="shared" si="83"/>
        <v>0</v>
      </c>
      <c r="AD381">
        <f t="shared" si="83"/>
        <v>0</v>
      </c>
      <c r="AE381">
        <f t="shared" si="83"/>
        <v>0</v>
      </c>
      <c r="AF381">
        <f t="shared" si="83"/>
        <v>0</v>
      </c>
      <c r="AG381">
        <f t="shared" si="83"/>
        <v>0</v>
      </c>
      <c r="AH381">
        <f t="shared" si="83"/>
        <v>0</v>
      </c>
      <c r="AI381">
        <f t="shared" si="83"/>
        <v>0</v>
      </c>
      <c r="AJ381">
        <f t="shared" si="83"/>
        <v>0</v>
      </c>
      <c r="AK381">
        <f t="shared" si="83"/>
        <v>0</v>
      </c>
      <c r="AL381">
        <f t="shared" si="83"/>
        <v>0</v>
      </c>
      <c r="AM381">
        <f t="shared" si="83"/>
        <v>0</v>
      </c>
      <c r="AN381">
        <f t="shared" si="79"/>
        <v>0</v>
      </c>
      <c r="AO381">
        <f t="shared" si="79"/>
        <v>0</v>
      </c>
      <c r="AP381">
        <f t="shared" si="79"/>
        <v>0</v>
      </c>
      <c r="AQ381">
        <f t="shared" si="79"/>
        <v>0</v>
      </c>
      <c r="AR381">
        <f t="shared" si="79"/>
        <v>0</v>
      </c>
    </row>
    <row r="382" spans="5:44" x14ac:dyDescent="0.2">
      <c r="E382" s="1">
        <f>moment_rate!$M382</f>
        <v>0.45741046249796735</v>
      </c>
      <c r="F382" s="1">
        <f t="shared" si="73"/>
        <v>9.2480722761292822E-3</v>
      </c>
      <c r="G382">
        <f>moment_rate!I382-0.005</f>
        <v>3.749999999999964</v>
      </c>
      <c r="H382" s="1">
        <f t="shared" si="74"/>
        <v>0</v>
      </c>
      <c r="I382">
        <f t="shared" si="81"/>
        <v>0</v>
      </c>
      <c r="J382">
        <f t="shared" si="81"/>
        <v>0</v>
      </c>
      <c r="K382">
        <f t="shared" si="81"/>
        <v>0</v>
      </c>
      <c r="L382">
        <f t="shared" si="81"/>
        <v>0</v>
      </c>
      <c r="M382">
        <f t="shared" si="81"/>
        <v>0</v>
      </c>
      <c r="N382">
        <f t="shared" si="81"/>
        <v>0</v>
      </c>
      <c r="O382">
        <f t="shared" si="81"/>
        <v>0</v>
      </c>
      <c r="P382">
        <f t="shared" si="81"/>
        <v>0</v>
      </c>
      <c r="Q382">
        <f t="shared" si="81"/>
        <v>0</v>
      </c>
      <c r="R382">
        <f t="shared" si="81"/>
        <v>0</v>
      </c>
      <c r="S382">
        <f t="shared" si="81"/>
        <v>0</v>
      </c>
      <c r="T382">
        <f t="shared" si="81"/>
        <v>0</v>
      </c>
      <c r="U382">
        <f t="shared" si="81"/>
        <v>0</v>
      </c>
      <c r="V382">
        <f t="shared" si="81"/>
        <v>0</v>
      </c>
      <c r="W382">
        <f t="shared" si="81"/>
        <v>0</v>
      </c>
      <c r="X382">
        <f t="shared" ref="X382:AM397" si="84">IF(AND($G382&gt;=X$3,$G382&lt;X$4),$F382,0)</f>
        <v>0</v>
      </c>
      <c r="Y382">
        <f t="shared" si="84"/>
        <v>0</v>
      </c>
      <c r="Z382">
        <f t="shared" si="84"/>
        <v>0</v>
      </c>
      <c r="AA382">
        <f t="shared" si="84"/>
        <v>0</v>
      </c>
      <c r="AB382">
        <f t="shared" si="84"/>
        <v>0</v>
      </c>
      <c r="AC382">
        <f t="shared" si="84"/>
        <v>0</v>
      </c>
      <c r="AD382">
        <f t="shared" si="84"/>
        <v>0</v>
      </c>
      <c r="AE382">
        <f t="shared" si="84"/>
        <v>0</v>
      </c>
      <c r="AF382">
        <f t="shared" si="84"/>
        <v>0</v>
      </c>
      <c r="AG382">
        <f t="shared" si="84"/>
        <v>0</v>
      </c>
      <c r="AH382">
        <f t="shared" si="84"/>
        <v>0</v>
      </c>
      <c r="AI382">
        <f t="shared" si="84"/>
        <v>0</v>
      </c>
      <c r="AJ382">
        <f t="shared" si="84"/>
        <v>0</v>
      </c>
      <c r="AK382">
        <f t="shared" si="84"/>
        <v>0</v>
      </c>
      <c r="AL382">
        <f t="shared" si="84"/>
        <v>0</v>
      </c>
      <c r="AM382">
        <f t="shared" si="84"/>
        <v>0</v>
      </c>
      <c r="AN382">
        <f t="shared" si="79"/>
        <v>0</v>
      </c>
      <c r="AO382">
        <f t="shared" si="79"/>
        <v>0</v>
      </c>
      <c r="AP382">
        <f t="shared" si="79"/>
        <v>0</v>
      </c>
      <c r="AQ382">
        <f t="shared" si="79"/>
        <v>0</v>
      </c>
      <c r="AR382">
        <f t="shared" si="79"/>
        <v>0</v>
      </c>
    </row>
    <row r="383" spans="5:44" x14ac:dyDescent="0.2">
      <c r="E383" s="1">
        <f>moment_rate!$M383</f>
        <v>0.44816239022183807</v>
      </c>
      <c r="F383" s="1">
        <f t="shared" si="73"/>
        <v>9.0583941788044964E-3</v>
      </c>
      <c r="G383">
        <f>moment_rate!I383-0.005</f>
        <v>3.7599999999999638</v>
      </c>
      <c r="H383" s="1">
        <f t="shared" si="74"/>
        <v>0</v>
      </c>
      <c r="I383">
        <f t="shared" ref="I383:X398" si="85">IF(AND($G383&gt;=I$3,$G383&lt;I$4),$F383,0)</f>
        <v>0</v>
      </c>
      <c r="J383">
        <f t="shared" si="85"/>
        <v>0</v>
      </c>
      <c r="K383">
        <f t="shared" si="85"/>
        <v>0</v>
      </c>
      <c r="L383">
        <f t="shared" si="85"/>
        <v>0</v>
      </c>
      <c r="M383">
        <f t="shared" si="85"/>
        <v>0</v>
      </c>
      <c r="N383">
        <f t="shared" si="85"/>
        <v>0</v>
      </c>
      <c r="O383">
        <f t="shared" si="85"/>
        <v>0</v>
      </c>
      <c r="P383">
        <f t="shared" si="85"/>
        <v>0</v>
      </c>
      <c r="Q383">
        <f t="shared" si="85"/>
        <v>0</v>
      </c>
      <c r="R383">
        <f t="shared" si="85"/>
        <v>0</v>
      </c>
      <c r="S383">
        <f t="shared" si="85"/>
        <v>0</v>
      </c>
      <c r="T383">
        <f t="shared" si="85"/>
        <v>0</v>
      </c>
      <c r="U383">
        <f t="shared" si="85"/>
        <v>0</v>
      </c>
      <c r="V383">
        <f t="shared" si="85"/>
        <v>0</v>
      </c>
      <c r="W383">
        <f t="shared" si="85"/>
        <v>0</v>
      </c>
      <c r="X383">
        <f t="shared" si="85"/>
        <v>0</v>
      </c>
      <c r="Y383">
        <f t="shared" si="84"/>
        <v>0</v>
      </c>
      <c r="Z383">
        <f t="shared" si="84"/>
        <v>0</v>
      </c>
      <c r="AA383">
        <f t="shared" si="84"/>
        <v>0</v>
      </c>
      <c r="AB383">
        <f t="shared" si="84"/>
        <v>0</v>
      </c>
      <c r="AC383">
        <f t="shared" si="84"/>
        <v>0</v>
      </c>
      <c r="AD383">
        <f t="shared" si="84"/>
        <v>0</v>
      </c>
      <c r="AE383">
        <f t="shared" si="84"/>
        <v>0</v>
      </c>
      <c r="AF383">
        <f t="shared" si="84"/>
        <v>0</v>
      </c>
      <c r="AG383">
        <f t="shared" si="84"/>
        <v>0</v>
      </c>
      <c r="AH383">
        <f t="shared" si="84"/>
        <v>0</v>
      </c>
      <c r="AI383">
        <f t="shared" si="84"/>
        <v>0</v>
      </c>
      <c r="AJ383">
        <f t="shared" si="84"/>
        <v>0</v>
      </c>
      <c r="AK383">
        <f t="shared" si="84"/>
        <v>0</v>
      </c>
      <c r="AL383">
        <f t="shared" si="84"/>
        <v>0</v>
      </c>
      <c r="AM383">
        <f t="shared" si="84"/>
        <v>0</v>
      </c>
      <c r="AN383">
        <f t="shared" si="79"/>
        <v>0</v>
      </c>
      <c r="AO383">
        <f t="shared" si="79"/>
        <v>0</v>
      </c>
      <c r="AP383">
        <f t="shared" si="79"/>
        <v>0</v>
      </c>
      <c r="AQ383">
        <f t="shared" si="79"/>
        <v>0</v>
      </c>
      <c r="AR383">
        <f t="shared" si="79"/>
        <v>0</v>
      </c>
    </row>
    <row r="384" spans="5:44" x14ac:dyDescent="0.2">
      <c r="E384" s="1">
        <f>moment_rate!$M384</f>
        <v>0.43910399604303357</v>
      </c>
      <c r="F384" s="1">
        <f t="shared" si="73"/>
        <v>8.8726063820233625E-3</v>
      </c>
      <c r="G384">
        <f>moment_rate!I384-0.005</f>
        <v>3.7699999999999636</v>
      </c>
      <c r="H384" s="1">
        <f t="shared" si="74"/>
        <v>0</v>
      </c>
      <c r="I384">
        <f t="shared" si="85"/>
        <v>0</v>
      </c>
      <c r="J384">
        <f t="shared" si="85"/>
        <v>0</v>
      </c>
      <c r="K384">
        <f t="shared" si="85"/>
        <v>0</v>
      </c>
      <c r="L384">
        <f t="shared" si="85"/>
        <v>0</v>
      </c>
      <c r="M384">
        <f t="shared" si="85"/>
        <v>0</v>
      </c>
      <c r="N384">
        <f t="shared" si="85"/>
        <v>0</v>
      </c>
      <c r="O384">
        <f t="shared" si="85"/>
        <v>0</v>
      </c>
      <c r="P384">
        <f t="shared" si="85"/>
        <v>0</v>
      </c>
      <c r="Q384">
        <f t="shared" si="85"/>
        <v>0</v>
      </c>
      <c r="R384">
        <f t="shared" si="85"/>
        <v>0</v>
      </c>
      <c r="S384">
        <f t="shared" si="85"/>
        <v>0</v>
      </c>
      <c r="T384">
        <f t="shared" si="85"/>
        <v>0</v>
      </c>
      <c r="U384">
        <f t="shared" si="85"/>
        <v>0</v>
      </c>
      <c r="V384">
        <f t="shared" si="85"/>
        <v>0</v>
      </c>
      <c r="W384">
        <f t="shared" si="85"/>
        <v>0</v>
      </c>
      <c r="X384">
        <f t="shared" si="85"/>
        <v>0</v>
      </c>
      <c r="Y384">
        <f t="shared" si="84"/>
        <v>0</v>
      </c>
      <c r="Z384">
        <f t="shared" si="84"/>
        <v>0</v>
      </c>
      <c r="AA384">
        <f t="shared" si="84"/>
        <v>0</v>
      </c>
      <c r="AB384">
        <f t="shared" si="84"/>
        <v>0</v>
      </c>
      <c r="AC384">
        <f t="shared" si="84"/>
        <v>0</v>
      </c>
      <c r="AD384">
        <f t="shared" si="84"/>
        <v>0</v>
      </c>
      <c r="AE384">
        <f t="shared" si="84"/>
        <v>0</v>
      </c>
      <c r="AF384">
        <f t="shared" si="84"/>
        <v>0</v>
      </c>
      <c r="AG384">
        <f t="shared" si="84"/>
        <v>0</v>
      </c>
      <c r="AH384">
        <f t="shared" si="84"/>
        <v>0</v>
      </c>
      <c r="AI384">
        <f t="shared" si="84"/>
        <v>0</v>
      </c>
      <c r="AJ384">
        <f t="shared" si="84"/>
        <v>0</v>
      </c>
      <c r="AK384">
        <f t="shared" si="84"/>
        <v>0</v>
      </c>
      <c r="AL384">
        <f t="shared" si="84"/>
        <v>0</v>
      </c>
      <c r="AM384">
        <f t="shared" si="84"/>
        <v>0</v>
      </c>
      <c r="AN384">
        <f t="shared" si="79"/>
        <v>0</v>
      </c>
      <c r="AO384">
        <f t="shared" si="79"/>
        <v>0</v>
      </c>
      <c r="AP384">
        <f t="shared" si="79"/>
        <v>0</v>
      </c>
      <c r="AQ384">
        <f t="shared" si="79"/>
        <v>0</v>
      </c>
      <c r="AR384">
        <f t="shared" si="79"/>
        <v>0</v>
      </c>
    </row>
    <row r="385" spans="5:44" x14ac:dyDescent="0.2">
      <c r="E385" s="1">
        <f>moment_rate!$M385</f>
        <v>0.43023138966101021</v>
      </c>
      <c r="F385" s="1">
        <f t="shared" si="73"/>
        <v>8.6906290956652588E-3</v>
      </c>
      <c r="G385">
        <f>moment_rate!I385-0.005</f>
        <v>3.7799999999999634</v>
      </c>
      <c r="H385" s="1">
        <f t="shared" si="74"/>
        <v>0</v>
      </c>
      <c r="I385">
        <f t="shared" si="85"/>
        <v>0</v>
      </c>
      <c r="J385">
        <f t="shared" si="85"/>
        <v>0</v>
      </c>
      <c r="K385">
        <f t="shared" si="85"/>
        <v>0</v>
      </c>
      <c r="L385">
        <f t="shared" si="85"/>
        <v>0</v>
      </c>
      <c r="M385">
        <f t="shared" si="85"/>
        <v>0</v>
      </c>
      <c r="N385">
        <f t="shared" si="85"/>
        <v>0</v>
      </c>
      <c r="O385">
        <f t="shared" si="85"/>
        <v>0</v>
      </c>
      <c r="P385">
        <f t="shared" si="85"/>
        <v>0</v>
      </c>
      <c r="Q385">
        <f t="shared" si="85"/>
        <v>0</v>
      </c>
      <c r="R385">
        <f t="shared" si="85"/>
        <v>0</v>
      </c>
      <c r="S385">
        <f t="shared" si="85"/>
        <v>0</v>
      </c>
      <c r="T385">
        <f t="shared" si="85"/>
        <v>0</v>
      </c>
      <c r="U385">
        <f t="shared" si="85"/>
        <v>0</v>
      </c>
      <c r="V385">
        <f t="shared" si="85"/>
        <v>0</v>
      </c>
      <c r="W385">
        <f t="shared" si="85"/>
        <v>0</v>
      </c>
      <c r="X385">
        <f t="shared" si="85"/>
        <v>0</v>
      </c>
      <c r="Y385">
        <f t="shared" si="84"/>
        <v>0</v>
      </c>
      <c r="Z385">
        <f t="shared" si="84"/>
        <v>0</v>
      </c>
      <c r="AA385">
        <f t="shared" si="84"/>
        <v>0</v>
      </c>
      <c r="AB385">
        <f t="shared" si="84"/>
        <v>0</v>
      </c>
      <c r="AC385">
        <f t="shared" si="84"/>
        <v>0</v>
      </c>
      <c r="AD385">
        <f t="shared" si="84"/>
        <v>0</v>
      </c>
      <c r="AE385">
        <f t="shared" si="84"/>
        <v>0</v>
      </c>
      <c r="AF385">
        <f t="shared" si="84"/>
        <v>0</v>
      </c>
      <c r="AG385">
        <f t="shared" si="84"/>
        <v>0</v>
      </c>
      <c r="AH385">
        <f t="shared" si="84"/>
        <v>0</v>
      </c>
      <c r="AI385">
        <f t="shared" si="84"/>
        <v>0</v>
      </c>
      <c r="AJ385">
        <f t="shared" si="84"/>
        <v>0</v>
      </c>
      <c r="AK385">
        <f t="shared" si="84"/>
        <v>0</v>
      </c>
      <c r="AL385">
        <f t="shared" si="84"/>
        <v>0</v>
      </c>
      <c r="AM385">
        <f t="shared" si="84"/>
        <v>0</v>
      </c>
      <c r="AN385">
        <f t="shared" si="79"/>
        <v>0</v>
      </c>
      <c r="AO385">
        <f t="shared" si="79"/>
        <v>0</v>
      </c>
      <c r="AP385">
        <f t="shared" si="79"/>
        <v>0</v>
      </c>
      <c r="AQ385">
        <f t="shared" si="79"/>
        <v>0</v>
      </c>
      <c r="AR385">
        <f t="shared" si="79"/>
        <v>0</v>
      </c>
    </row>
    <row r="386" spans="5:44" x14ac:dyDescent="0.2">
      <c r="E386" s="1">
        <f>moment_rate!$M386</f>
        <v>0.42154076056534495</v>
      </c>
      <c r="F386" s="1">
        <f t="shared" si="73"/>
        <v>8.5123841661055577E-3</v>
      </c>
      <c r="G386">
        <f>moment_rate!I386-0.005</f>
        <v>3.7899999999999632</v>
      </c>
      <c r="H386" s="1">
        <f t="shared" si="74"/>
        <v>0</v>
      </c>
      <c r="I386">
        <f t="shared" si="85"/>
        <v>0</v>
      </c>
      <c r="J386">
        <f t="shared" si="85"/>
        <v>0</v>
      </c>
      <c r="K386">
        <f t="shared" si="85"/>
        <v>0</v>
      </c>
      <c r="L386">
        <f t="shared" si="85"/>
        <v>0</v>
      </c>
      <c r="M386">
        <f t="shared" si="85"/>
        <v>0</v>
      </c>
      <c r="N386">
        <f t="shared" si="85"/>
        <v>0</v>
      </c>
      <c r="O386">
        <f t="shared" si="85"/>
        <v>0</v>
      </c>
      <c r="P386">
        <f t="shared" si="85"/>
        <v>0</v>
      </c>
      <c r="Q386">
        <f t="shared" si="85"/>
        <v>0</v>
      </c>
      <c r="R386">
        <f t="shared" si="85"/>
        <v>0</v>
      </c>
      <c r="S386">
        <f t="shared" si="85"/>
        <v>0</v>
      </c>
      <c r="T386">
        <f t="shared" si="85"/>
        <v>0</v>
      </c>
      <c r="U386">
        <f t="shared" si="85"/>
        <v>0</v>
      </c>
      <c r="V386">
        <f t="shared" si="85"/>
        <v>0</v>
      </c>
      <c r="W386">
        <f t="shared" si="85"/>
        <v>0</v>
      </c>
      <c r="X386">
        <f t="shared" si="85"/>
        <v>0</v>
      </c>
      <c r="Y386">
        <f t="shared" si="84"/>
        <v>0</v>
      </c>
      <c r="Z386">
        <f t="shared" si="84"/>
        <v>0</v>
      </c>
      <c r="AA386">
        <f t="shared" si="84"/>
        <v>0</v>
      </c>
      <c r="AB386">
        <f t="shared" si="84"/>
        <v>0</v>
      </c>
      <c r="AC386">
        <f t="shared" si="84"/>
        <v>0</v>
      </c>
      <c r="AD386">
        <f t="shared" si="84"/>
        <v>0</v>
      </c>
      <c r="AE386">
        <f t="shared" si="84"/>
        <v>0</v>
      </c>
      <c r="AF386">
        <f t="shared" si="84"/>
        <v>0</v>
      </c>
      <c r="AG386">
        <f t="shared" si="84"/>
        <v>0</v>
      </c>
      <c r="AH386">
        <f t="shared" si="84"/>
        <v>0</v>
      </c>
      <c r="AI386">
        <f t="shared" si="84"/>
        <v>0</v>
      </c>
      <c r="AJ386">
        <f t="shared" si="84"/>
        <v>0</v>
      </c>
      <c r="AK386">
        <f t="shared" si="84"/>
        <v>0</v>
      </c>
      <c r="AL386">
        <f t="shared" si="84"/>
        <v>0</v>
      </c>
      <c r="AM386">
        <f t="shared" si="84"/>
        <v>0</v>
      </c>
      <c r="AN386">
        <f t="shared" si="79"/>
        <v>0</v>
      </c>
      <c r="AO386">
        <f t="shared" si="79"/>
        <v>0</v>
      </c>
      <c r="AP386">
        <f t="shared" si="79"/>
        <v>0</v>
      </c>
      <c r="AQ386">
        <f t="shared" si="79"/>
        <v>0</v>
      </c>
      <c r="AR386">
        <f t="shared" si="79"/>
        <v>0</v>
      </c>
    </row>
    <row r="387" spans="5:44" x14ac:dyDescent="0.2">
      <c r="E387" s="1">
        <f>moment_rate!$M387</f>
        <v>0.41302837639923939</v>
      </c>
      <c r="F387" s="1">
        <f t="shared" si="73"/>
        <v>8.3377950426519742E-3</v>
      </c>
      <c r="G387">
        <f>moment_rate!I387-0.005</f>
        <v>3.799999999999963</v>
      </c>
      <c r="H387" s="1">
        <f t="shared" si="74"/>
        <v>0</v>
      </c>
      <c r="I387">
        <f t="shared" si="85"/>
        <v>0</v>
      </c>
      <c r="J387">
        <f t="shared" si="85"/>
        <v>0</v>
      </c>
      <c r="K387">
        <f t="shared" si="85"/>
        <v>0</v>
      </c>
      <c r="L387">
        <f t="shared" si="85"/>
        <v>0</v>
      </c>
      <c r="M387">
        <f t="shared" si="85"/>
        <v>0</v>
      </c>
      <c r="N387">
        <f t="shared" si="85"/>
        <v>0</v>
      </c>
      <c r="O387">
        <f t="shared" si="85"/>
        <v>0</v>
      </c>
      <c r="P387">
        <f t="shared" si="85"/>
        <v>0</v>
      </c>
      <c r="Q387">
        <f t="shared" si="85"/>
        <v>0</v>
      </c>
      <c r="R387">
        <f t="shared" si="85"/>
        <v>0</v>
      </c>
      <c r="S387">
        <f t="shared" si="85"/>
        <v>0</v>
      </c>
      <c r="T387">
        <f t="shared" si="85"/>
        <v>0</v>
      </c>
      <c r="U387">
        <f t="shared" si="85"/>
        <v>0</v>
      </c>
      <c r="V387">
        <f t="shared" si="85"/>
        <v>0</v>
      </c>
      <c r="W387">
        <f t="shared" si="85"/>
        <v>0</v>
      </c>
      <c r="X387">
        <f t="shared" si="85"/>
        <v>0</v>
      </c>
      <c r="Y387">
        <f t="shared" si="84"/>
        <v>0</v>
      </c>
      <c r="Z387">
        <f t="shared" si="84"/>
        <v>0</v>
      </c>
      <c r="AA387">
        <f t="shared" si="84"/>
        <v>0</v>
      </c>
      <c r="AB387">
        <f t="shared" si="84"/>
        <v>0</v>
      </c>
      <c r="AC387">
        <f t="shared" si="84"/>
        <v>0</v>
      </c>
      <c r="AD387">
        <f t="shared" si="84"/>
        <v>0</v>
      </c>
      <c r="AE387">
        <f t="shared" si="84"/>
        <v>0</v>
      </c>
      <c r="AF387">
        <f t="shared" si="84"/>
        <v>0</v>
      </c>
      <c r="AG387">
        <f t="shared" si="84"/>
        <v>0</v>
      </c>
      <c r="AH387">
        <f t="shared" si="84"/>
        <v>0</v>
      </c>
      <c r="AI387">
        <f t="shared" si="84"/>
        <v>0</v>
      </c>
      <c r="AJ387">
        <f t="shared" si="84"/>
        <v>0</v>
      </c>
      <c r="AK387">
        <f t="shared" si="84"/>
        <v>0</v>
      </c>
      <c r="AL387">
        <f t="shared" si="84"/>
        <v>0</v>
      </c>
      <c r="AM387">
        <f t="shared" si="84"/>
        <v>0</v>
      </c>
      <c r="AN387">
        <f t="shared" si="79"/>
        <v>0</v>
      </c>
      <c r="AO387">
        <f t="shared" si="79"/>
        <v>0</v>
      </c>
      <c r="AP387">
        <f t="shared" si="79"/>
        <v>0</v>
      </c>
      <c r="AQ387">
        <f t="shared" si="79"/>
        <v>0</v>
      </c>
      <c r="AR387">
        <f t="shared" si="79"/>
        <v>0</v>
      </c>
    </row>
    <row r="388" spans="5:44" x14ac:dyDescent="0.2">
      <c r="E388" s="1">
        <f>moment_rate!$M388</f>
        <v>0.40469058135658742</v>
      </c>
      <c r="F388" s="1">
        <f t="shared" si="73"/>
        <v>8.1667867446679754E-3</v>
      </c>
      <c r="G388">
        <f>moment_rate!I388-0.005</f>
        <v>3.8099999999999627</v>
      </c>
      <c r="H388" s="1">
        <f t="shared" si="74"/>
        <v>0</v>
      </c>
      <c r="I388">
        <f t="shared" si="85"/>
        <v>0</v>
      </c>
      <c r="J388">
        <f t="shared" si="85"/>
        <v>0</v>
      </c>
      <c r="K388">
        <f t="shared" si="85"/>
        <v>0</v>
      </c>
      <c r="L388">
        <f t="shared" si="85"/>
        <v>0</v>
      </c>
      <c r="M388">
        <f t="shared" si="85"/>
        <v>0</v>
      </c>
      <c r="N388">
        <f t="shared" si="85"/>
        <v>0</v>
      </c>
      <c r="O388">
        <f t="shared" si="85"/>
        <v>0</v>
      </c>
      <c r="P388">
        <f t="shared" si="85"/>
        <v>0</v>
      </c>
      <c r="Q388">
        <f t="shared" si="85"/>
        <v>0</v>
      </c>
      <c r="R388">
        <f t="shared" si="85"/>
        <v>0</v>
      </c>
      <c r="S388">
        <f t="shared" si="85"/>
        <v>0</v>
      </c>
      <c r="T388">
        <f t="shared" si="85"/>
        <v>0</v>
      </c>
      <c r="U388">
        <f t="shared" si="85"/>
        <v>0</v>
      </c>
      <c r="V388">
        <f t="shared" si="85"/>
        <v>0</v>
      </c>
      <c r="W388">
        <f t="shared" si="85"/>
        <v>0</v>
      </c>
      <c r="X388">
        <f t="shared" si="85"/>
        <v>0</v>
      </c>
      <c r="Y388">
        <f t="shared" si="84"/>
        <v>0</v>
      </c>
      <c r="Z388">
        <f t="shared" si="84"/>
        <v>0</v>
      </c>
      <c r="AA388">
        <f t="shared" si="84"/>
        <v>0</v>
      </c>
      <c r="AB388">
        <f t="shared" si="84"/>
        <v>0</v>
      </c>
      <c r="AC388">
        <f t="shared" si="84"/>
        <v>0</v>
      </c>
      <c r="AD388">
        <f t="shared" si="84"/>
        <v>0</v>
      </c>
      <c r="AE388">
        <f t="shared" si="84"/>
        <v>0</v>
      </c>
      <c r="AF388">
        <f t="shared" si="84"/>
        <v>0</v>
      </c>
      <c r="AG388">
        <f t="shared" si="84"/>
        <v>0</v>
      </c>
      <c r="AH388">
        <f t="shared" si="84"/>
        <v>0</v>
      </c>
      <c r="AI388">
        <f t="shared" si="84"/>
        <v>0</v>
      </c>
      <c r="AJ388">
        <f t="shared" si="84"/>
        <v>0</v>
      </c>
      <c r="AK388">
        <f t="shared" si="84"/>
        <v>0</v>
      </c>
      <c r="AL388">
        <f t="shared" si="84"/>
        <v>0</v>
      </c>
      <c r="AM388">
        <f t="shared" si="84"/>
        <v>0</v>
      </c>
      <c r="AN388">
        <f t="shared" si="79"/>
        <v>0</v>
      </c>
      <c r="AO388">
        <f t="shared" si="79"/>
        <v>0</v>
      </c>
      <c r="AP388">
        <f t="shared" si="79"/>
        <v>0</v>
      </c>
      <c r="AQ388">
        <f t="shared" si="79"/>
        <v>0</v>
      </c>
      <c r="AR388">
        <f t="shared" si="79"/>
        <v>0</v>
      </c>
    </row>
    <row r="389" spans="5:44" x14ac:dyDescent="0.2">
      <c r="E389" s="1">
        <f>moment_rate!$M389</f>
        <v>0.39652379461191944</v>
      </c>
      <c r="F389" s="1">
        <f t="shared" si="73"/>
        <v>7.9992858293706504E-3</v>
      </c>
      <c r="G389">
        <f>moment_rate!I389-0.005</f>
        <v>3.8199999999999625</v>
      </c>
      <c r="H389" s="1">
        <f t="shared" si="74"/>
        <v>0</v>
      </c>
      <c r="I389">
        <f t="shared" si="85"/>
        <v>0</v>
      </c>
      <c r="J389">
        <f t="shared" si="85"/>
        <v>0</v>
      </c>
      <c r="K389">
        <f t="shared" si="85"/>
        <v>0</v>
      </c>
      <c r="L389">
        <f t="shared" si="85"/>
        <v>0</v>
      </c>
      <c r="M389">
        <f t="shared" si="85"/>
        <v>0</v>
      </c>
      <c r="N389">
        <f t="shared" si="85"/>
        <v>0</v>
      </c>
      <c r="O389">
        <f t="shared" si="85"/>
        <v>0</v>
      </c>
      <c r="P389">
        <f t="shared" si="85"/>
        <v>0</v>
      </c>
      <c r="Q389">
        <f t="shared" si="85"/>
        <v>0</v>
      </c>
      <c r="R389">
        <f t="shared" si="85"/>
        <v>0</v>
      </c>
      <c r="S389">
        <f t="shared" si="85"/>
        <v>0</v>
      </c>
      <c r="T389">
        <f t="shared" si="85"/>
        <v>0</v>
      </c>
      <c r="U389">
        <f t="shared" si="85"/>
        <v>0</v>
      </c>
      <c r="V389">
        <f t="shared" si="85"/>
        <v>0</v>
      </c>
      <c r="W389">
        <f t="shared" si="85"/>
        <v>0</v>
      </c>
      <c r="X389">
        <f t="shared" si="85"/>
        <v>0</v>
      </c>
      <c r="Y389">
        <f t="shared" si="84"/>
        <v>0</v>
      </c>
      <c r="Z389">
        <f t="shared" si="84"/>
        <v>0</v>
      </c>
      <c r="AA389">
        <f t="shared" si="84"/>
        <v>0</v>
      </c>
      <c r="AB389">
        <f t="shared" si="84"/>
        <v>0</v>
      </c>
      <c r="AC389">
        <f t="shared" si="84"/>
        <v>0</v>
      </c>
      <c r="AD389">
        <f t="shared" si="84"/>
        <v>0</v>
      </c>
      <c r="AE389">
        <f t="shared" si="84"/>
        <v>0</v>
      </c>
      <c r="AF389">
        <f t="shared" si="84"/>
        <v>0</v>
      </c>
      <c r="AG389">
        <f t="shared" si="84"/>
        <v>0</v>
      </c>
      <c r="AH389">
        <f t="shared" si="84"/>
        <v>0</v>
      </c>
      <c r="AI389">
        <f t="shared" si="84"/>
        <v>0</v>
      </c>
      <c r="AJ389">
        <f t="shared" si="84"/>
        <v>0</v>
      </c>
      <c r="AK389">
        <f t="shared" si="84"/>
        <v>0</v>
      </c>
      <c r="AL389">
        <f t="shared" si="84"/>
        <v>0</v>
      </c>
      <c r="AM389">
        <f t="shared" si="84"/>
        <v>0</v>
      </c>
      <c r="AN389">
        <f t="shared" si="79"/>
        <v>0</v>
      </c>
      <c r="AO389">
        <f t="shared" si="79"/>
        <v>0</v>
      </c>
      <c r="AP389">
        <f t="shared" si="79"/>
        <v>0</v>
      </c>
      <c r="AQ389">
        <f t="shared" si="79"/>
        <v>0</v>
      </c>
      <c r="AR389">
        <f t="shared" si="79"/>
        <v>0</v>
      </c>
    </row>
    <row r="390" spans="5:44" x14ac:dyDescent="0.2">
      <c r="E390" s="1">
        <f>moment_rate!$M390</f>
        <v>0.38852450878254879</v>
      </c>
      <c r="F390" s="1">
        <f t="shared" si="73"/>
        <v>7.8352203602903847E-3</v>
      </c>
      <c r="G390">
        <f>moment_rate!I390-0.005</f>
        <v>3.8299999999999623</v>
      </c>
      <c r="H390" s="1">
        <f t="shared" si="74"/>
        <v>0</v>
      </c>
      <c r="I390">
        <f t="shared" si="85"/>
        <v>0</v>
      </c>
      <c r="J390">
        <f t="shared" si="85"/>
        <v>0</v>
      </c>
      <c r="K390">
        <f t="shared" si="85"/>
        <v>0</v>
      </c>
      <c r="L390">
        <f t="shared" si="85"/>
        <v>0</v>
      </c>
      <c r="M390">
        <f t="shared" si="85"/>
        <v>0</v>
      </c>
      <c r="N390">
        <f t="shared" si="85"/>
        <v>0</v>
      </c>
      <c r="O390">
        <f t="shared" si="85"/>
        <v>0</v>
      </c>
      <c r="P390">
        <f t="shared" si="85"/>
        <v>0</v>
      </c>
      <c r="Q390">
        <f t="shared" si="85"/>
        <v>0</v>
      </c>
      <c r="R390">
        <f t="shared" si="85"/>
        <v>0</v>
      </c>
      <c r="S390">
        <f t="shared" si="85"/>
        <v>0</v>
      </c>
      <c r="T390">
        <f t="shared" si="85"/>
        <v>0</v>
      </c>
      <c r="U390">
        <f t="shared" si="85"/>
        <v>0</v>
      </c>
      <c r="V390">
        <f t="shared" si="85"/>
        <v>0</v>
      </c>
      <c r="W390">
        <f t="shared" si="85"/>
        <v>0</v>
      </c>
      <c r="X390">
        <f t="shared" si="85"/>
        <v>0</v>
      </c>
      <c r="Y390">
        <f t="shared" si="84"/>
        <v>0</v>
      </c>
      <c r="Z390">
        <f t="shared" si="84"/>
        <v>0</v>
      </c>
      <c r="AA390">
        <f t="shared" si="84"/>
        <v>0</v>
      </c>
      <c r="AB390">
        <f t="shared" si="84"/>
        <v>0</v>
      </c>
      <c r="AC390">
        <f t="shared" si="84"/>
        <v>0</v>
      </c>
      <c r="AD390">
        <f t="shared" si="84"/>
        <v>0</v>
      </c>
      <c r="AE390">
        <f t="shared" si="84"/>
        <v>0</v>
      </c>
      <c r="AF390">
        <f t="shared" si="84"/>
        <v>0</v>
      </c>
      <c r="AG390">
        <f t="shared" si="84"/>
        <v>0</v>
      </c>
      <c r="AH390">
        <f t="shared" si="84"/>
        <v>0</v>
      </c>
      <c r="AI390">
        <f t="shared" si="84"/>
        <v>0</v>
      </c>
      <c r="AJ390">
        <f t="shared" si="84"/>
        <v>0</v>
      </c>
      <c r="AK390">
        <f t="shared" si="84"/>
        <v>0</v>
      </c>
      <c r="AL390">
        <f t="shared" si="84"/>
        <v>0</v>
      </c>
      <c r="AM390">
        <f t="shared" si="84"/>
        <v>0</v>
      </c>
      <c r="AN390">
        <f t="shared" si="79"/>
        <v>0</v>
      </c>
      <c r="AO390">
        <f t="shared" si="79"/>
        <v>0</v>
      </c>
      <c r="AP390">
        <f t="shared" si="79"/>
        <v>0</v>
      </c>
      <c r="AQ390">
        <f t="shared" si="79"/>
        <v>0</v>
      </c>
      <c r="AR390">
        <f t="shared" si="79"/>
        <v>0</v>
      </c>
    </row>
    <row r="391" spans="5:44" x14ac:dyDescent="0.2">
      <c r="E391" s="1">
        <f>moment_rate!$M391</f>
        <v>0.38068928842225841</v>
      </c>
      <c r="F391" s="1">
        <f t="shared" si="73"/>
        <v>7.6745198763747413E-3</v>
      </c>
      <c r="G391">
        <f>moment_rate!I391-0.005</f>
        <v>3.8399999999999621</v>
      </c>
      <c r="H391" s="1">
        <f t="shared" si="74"/>
        <v>0</v>
      </c>
      <c r="I391">
        <f t="shared" si="85"/>
        <v>0</v>
      </c>
      <c r="J391">
        <f t="shared" si="85"/>
        <v>0</v>
      </c>
      <c r="K391">
        <f t="shared" si="85"/>
        <v>0</v>
      </c>
      <c r="L391">
        <f t="shared" si="85"/>
        <v>0</v>
      </c>
      <c r="M391">
        <f t="shared" si="85"/>
        <v>0</v>
      </c>
      <c r="N391">
        <f t="shared" si="85"/>
        <v>0</v>
      </c>
      <c r="O391">
        <f t="shared" si="85"/>
        <v>0</v>
      </c>
      <c r="P391">
        <f t="shared" si="85"/>
        <v>0</v>
      </c>
      <c r="Q391">
        <f t="shared" si="85"/>
        <v>0</v>
      </c>
      <c r="R391">
        <f t="shared" si="85"/>
        <v>0</v>
      </c>
      <c r="S391">
        <f t="shared" si="85"/>
        <v>0</v>
      </c>
      <c r="T391">
        <f t="shared" si="85"/>
        <v>0</v>
      </c>
      <c r="U391">
        <f t="shared" si="85"/>
        <v>0</v>
      </c>
      <c r="V391">
        <f t="shared" si="85"/>
        <v>0</v>
      </c>
      <c r="W391">
        <f t="shared" si="85"/>
        <v>0</v>
      </c>
      <c r="X391">
        <f t="shared" si="85"/>
        <v>0</v>
      </c>
      <c r="Y391">
        <f t="shared" si="84"/>
        <v>0</v>
      </c>
      <c r="Z391">
        <f t="shared" si="84"/>
        <v>0</v>
      </c>
      <c r="AA391">
        <f t="shared" si="84"/>
        <v>0</v>
      </c>
      <c r="AB391">
        <f t="shared" si="84"/>
        <v>0</v>
      </c>
      <c r="AC391">
        <f t="shared" si="84"/>
        <v>0</v>
      </c>
      <c r="AD391">
        <f t="shared" si="84"/>
        <v>0</v>
      </c>
      <c r="AE391">
        <f t="shared" si="84"/>
        <v>0</v>
      </c>
      <c r="AF391">
        <f t="shared" si="84"/>
        <v>0</v>
      </c>
      <c r="AG391">
        <f t="shared" si="84"/>
        <v>0</v>
      </c>
      <c r="AH391">
        <f t="shared" si="84"/>
        <v>0</v>
      </c>
      <c r="AI391">
        <f t="shared" si="84"/>
        <v>0</v>
      </c>
      <c r="AJ391">
        <f t="shared" si="84"/>
        <v>0</v>
      </c>
      <c r="AK391">
        <f t="shared" si="84"/>
        <v>0</v>
      </c>
      <c r="AL391">
        <f t="shared" si="84"/>
        <v>0</v>
      </c>
      <c r="AM391">
        <f t="shared" si="84"/>
        <v>0</v>
      </c>
      <c r="AN391">
        <f t="shared" si="79"/>
        <v>0</v>
      </c>
      <c r="AO391">
        <f t="shared" si="79"/>
        <v>0</v>
      </c>
      <c r="AP391">
        <f t="shared" si="79"/>
        <v>0</v>
      </c>
      <c r="AQ391">
        <f t="shared" si="79"/>
        <v>0</v>
      </c>
      <c r="AR391">
        <f t="shared" si="79"/>
        <v>0</v>
      </c>
    </row>
    <row r="392" spans="5:44" x14ac:dyDescent="0.2">
      <c r="E392" s="1">
        <f>moment_rate!$M392</f>
        <v>0.37301476854588367</v>
      </c>
      <c r="F392" s="1">
        <f t="shared" ref="F392:F455" si="86">E392-E393</f>
        <v>7.5171153617291653E-3</v>
      </c>
      <c r="G392">
        <f>moment_rate!I392-0.005</f>
        <v>3.8499999999999619</v>
      </c>
      <c r="H392" s="1">
        <f t="shared" ref="H392:H455" si="87">IF($G392&gt;=4.999,(E392-E393),0)</f>
        <v>0</v>
      </c>
      <c r="I392">
        <f t="shared" si="85"/>
        <v>0</v>
      </c>
      <c r="J392">
        <f t="shared" si="85"/>
        <v>0</v>
      </c>
      <c r="K392">
        <f t="shared" si="85"/>
        <v>0</v>
      </c>
      <c r="L392">
        <f t="shared" si="85"/>
        <v>0</v>
      </c>
      <c r="M392">
        <f t="shared" si="85"/>
        <v>0</v>
      </c>
      <c r="N392">
        <f t="shared" si="85"/>
        <v>0</v>
      </c>
      <c r="O392">
        <f t="shared" si="85"/>
        <v>0</v>
      </c>
      <c r="P392">
        <f t="shared" si="85"/>
        <v>0</v>
      </c>
      <c r="Q392">
        <f t="shared" si="85"/>
        <v>0</v>
      </c>
      <c r="R392">
        <f t="shared" si="85"/>
        <v>0</v>
      </c>
      <c r="S392">
        <f t="shared" si="85"/>
        <v>0</v>
      </c>
      <c r="T392">
        <f t="shared" si="85"/>
        <v>0</v>
      </c>
      <c r="U392">
        <f t="shared" si="85"/>
        <v>0</v>
      </c>
      <c r="V392">
        <f t="shared" si="85"/>
        <v>0</v>
      </c>
      <c r="W392">
        <f t="shared" si="85"/>
        <v>0</v>
      </c>
      <c r="X392">
        <f t="shared" si="85"/>
        <v>0</v>
      </c>
      <c r="Y392">
        <f t="shared" si="84"/>
        <v>0</v>
      </c>
      <c r="Z392">
        <f t="shared" si="84"/>
        <v>0</v>
      </c>
      <c r="AA392">
        <f t="shared" si="84"/>
        <v>0</v>
      </c>
      <c r="AB392">
        <f t="shared" si="84"/>
        <v>0</v>
      </c>
      <c r="AC392">
        <f t="shared" si="84"/>
        <v>0</v>
      </c>
      <c r="AD392">
        <f t="shared" si="84"/>
        <v>0</v>
      </c>
      <c r="AE392">
        <f t="shared" si="84"/>
        <v>0</v>
      </c>
      <c r="AF392">
        <f t="shared" si="84"/>
        <v>0</v>
      </c>
      <c r="AG392">
        <f t="shared" si="84"/>
        <v>0</v>
      </c>
      <c r="AH392">
        <f t="shared" si="84"/>
        <v>0</v>
      </c>
      <c r="AI392">
        <f t="shared" si="84"/>
        <v>0</v>
      </c>
      <c r="AJ392">
        <f t="shared" si="84"/>
        <v>0</v>
      </c>
      <c r="AK392">
        <f t="shared" si="84"/>
        <v>0</v>
      </c>
      <c r="AL392">
        <f t="shared" si="84"/>
        <v>0</v>
      </c>
      <c r="AM392">
        <f t="shared" si="84"/>
        <v>0</v>
      </c>
      <c r="AN392">
        <f t="shared" si="79"/>
        <v>0</v>
      </c>
      <c r="AO392">
        <f t="shared" si="79"/>
        <v>0</v>
      </c>
      <c r="AP392">
        <f t="shared" si="79"/>
        <v>0</v>
      </c>
      <c r="AQ392">
        <f t="shared" si="79"/>
        <v>0</v>
      </c>
      <c r="AR392">
        <f t="shared" si="79"/>
        <v>0</v>
      </c>
    </row>
    <row r="393" spans="5:44" x14ac:dyDescent="0.2">
      <c r="E393" s="1">
        <f>moment_rate!$M393</f>
        <v>0.3654976531841545</v>
      </c>
      <c r="F393" s="1">
        <f t="shared" si="86"/>
        <v>7.3629392159754725E-3</v>
      </c>
      <c r="G393">
        <f>moment_rate!I393-0.005</f>
        <v>3.8599999999999617</v>
      </c>
      <c r="H393" s="1">
        <f t="shared" si="87"/>
        <v>0</v>
      </c>
      <c r="I393">
        <f t="shared" si="85"/>
        <v>0</v>
      </c>
      <c r="J393">
        <f t="shared" si="85"/>
        <v>0</v>
      </c>
      <c r="K393">
        <f t="shared" si="85"/>
        <v>0</v>
      </c>
      <c r="L393">
        <f t="shared" si="85"/>
        <v>0</v>
      </c>
      <c r="M393">
        <f t="shared" si="85"/>
        <v>0</v>
      </c>
      <c r="N393">
        <f t="shared" si="85"/>
        <v>0</v>
      </c>
      <c r="O393">
        <f t="shared" si="85"/>
        <v>0</v>
      </c>
      <c r="P393">
        <f t="shared" si="85"/>
        <v>0</v>
      </c>
      <c r="Q393">
        <f t="shared" si="85"/>
        <v>0</v>
      </c>
      <c r="R393">
        <f t="shared" si="85"/>
        <v>0</v>
      </c>
      <c r="S393">
        <f t="shared" si="85"/>
        <v>0</v>
      </c>
      <c r="T393">
        <f t="shared" si="85"/>
        <v>0</v>
      </c>
      <c r="U393">
        <f t="shared" si="85"/>
        <v>0</v>
      </c>
      <c r="V393">
        <f t="shared" si="85"/>
        <v>0</v>
      </c>
      <c r="W393">
        <f t="shared" si="85"/>
        <v>0</v>
      </c>
      <c r="X393">
        <f t="shared" si="85"/>
        <v>0</v>
      </c>
      <c r="Y393">
        <f t="shared" si="84"/>
        <v>0</v>
      </c>
      <c r="Z393">
        <f t="shared" si="84"/>
        <v>0</v>
      </c>
      <c r="AA393">
        <f t="shared" si="84"/>
        <v>0</v>
      </c>
      <c r="AB393">
        <f t="shared" si="84"/>
        <v>0</v>
      </c>
      <c r="AC393">
        <f t="shared" si="84"/>
        <v>0</v>
      </c>
      <c r="AD393">
        <f t="shared" si="84"/>
        <v>0</v>
      </c>
      <c r="AE393">
        <f t="shared" si="84"/>
        <v>0</v>
      </c>
      <c r="AF393">
        <f t="shared" si="84"/>
        <v>0</v>
      </c>
      <c r="AG393">
        <f t="shared" si="84"/>
        <v>0</v>
      </c>
      <c r="AH393">
        <f t="shared" si="84"/>
        <v>0</v>
      </c>
      <c r="AI393">
        <f t="shared" si="84"/>
        <v>0</v>
      </c>
      <c r="AJ393">
        <f t="shared" si="84"/>
        <v>0</v>
      </c>
      <c r="AK393">
        <f t="shared" si="84"/>
        <v>0</v>
      </c>
      <c r="AL393">
        <f t="shared" si="84"/>
        <v>0</v>
      </c>
      <c r="AM393">
        <f t="shared" si="84"/>
        <v>0</v>
      </c>
      <c r="AN393">
        <f t="shared" si="79"/>
        <v>0</v>
      </c>
      <c r="AO393">
        <f t="shared" si="79"/>
        <v>0</v>
      </c>
      <c r="AP393">
        <f t="shared" si="79"/>
        <v>0</v>
      </c>
      <c r="AQ393">
        <f t="shared" si="79"/>
        <v>0</v>
      </c>
      <c r="AR393">
        <f t="shared" si="79"/>
        <v>0</v>
      </c>
    </row>
    <row r="394" spans="5:44" x14ac:dyDescent="0.2">
      <c r="E394" s="1">
        <f>moment_rate!$M394</f>
        <v>0.35813471396817903</v>
      </c>
      <c r="F394" s="1">
        <f t="shared" si="86"/>
        <v>7.2119252252210164E-3</v>
      </c>
      <c r="G394">
        <f>moment_rate!I394-0.005</f>
        <v>3.8699999999999615</v>
      </c>
      <c r="H394" s="1">
        <f t="shared" si="87"/>
        <v>0</v>
      </c>
      <c r="I394">
        <f t="shared" si="85"/>
        <v>0</v>
      </c>
      <c r="J394">
        <f t="shared" si="85"/>
        <v>0</v>
      </c>
      <c r="K394">
        <f t="shared" si="85"/>
        <v>0</v>
      </c>
      <c r="L394">
        <f t="shared" si="85"/>
        <v>0</v>
      </c>
      <c r="M394">
        <f t="shared" si="85"/>
        <v>0</v>
      </c>
      <c r="N394">
        <f t="shared" si="85"/>
        <v>0</v>
      </c>
      <c r="O394">
        <f t="shared" si="85"/>
        <v>0</v>
      </c>
      <c r="P394">
        <f t="shared" si="85"/>
        <v>0</v>
      </c>
      <c r="Q394">
        <f t="shared" si="85"/>
        <v>0</v>
      </c>
      <c r="R394">
        <f t="shared" si="85"/>
        <v>0</v>
      </c>
      <c r="S394">
        <f t="shared" si="85"/>
        <v>0</v>
      </c>
      <c r="T394">
        <f t="shared" si="85"/>
        <v>0</v>
      </c>
      <c r="U394">
        <f t="shared" si="85"/>
        <v>0</v>
      </c>
      <c r="V394">
        <f t="shared" si="85"/>
        <v>0</v>
      </c>
      <c r="W394">
        <f t="shared" si="85"/>
        <v>0</v>
      </c>
      <c r="X394">
        <f t="shared" si="85"/>
        <v>0</v>
      </c>
      <c r="Y394">
        <f t="shared" si="84"/>
        <v>0</v>
      </c>
      <c r="Z394">
        <f t="shared" si="84"/>
        <v>0</v>
      </c>
      <c r="AA394">
        <f t="shared" si="84"/>
        <v>0</v>
      </c>
      <c r="AB394">
        <f t="shared" si="84"/>
        <v>0</v>
      </c>
      <c r="AC394">
        <f t="shared" si="84"/>
        <v>0</v>
      </c>
      <c r="AD394">
        <f t="shared" si="84"/>
        <v>0</v>
      </c>
      <c r="AE394">
        <f t="shared" si="84"/>
        <v>0</v>
      </c>
      <c r="AF394">
        <f t="shared" si="84"/>
        <v>0</v>
      </c>
      <c r="AG394">
        <f t="shared" si="84"/>
        <v>0</v>
      </c>
      <c r="AH394">
        <f t="shared" si="84"/>
        <v>0</v>
      </c>
      <c r="AI394">
        <f t="shared" si="84"/>
        <v>0</v>
      </c>
      <c r="AJ394">
        <f t="shared" si="84"/>
        <v>0</v>
      </c>
      <c r="AK394">
        <f t="shared" si="84"/>
        <v>0</v>
      </c>
      <c r="AL394">
        <f t="shared" si="84"/>
        <v>0</v>
      </c>
      <c r="AM394">
        <f t="shared" si="84"/>
        <v>0</v>
      </c>
      <c r="AN394">
        <f t="shared" si="79"/>
        <v>0</v>
      </c>
      <c r="AO394">
        <f t="shared" si="79"/>
        <v>0</v>
      </c>
      <c r="AP394">
        <f t="shared" si="79"/>
        <v>0</v>
      </c>
      <c r="AQ394">
        <f t="shared" si="79"/>
        <v>0</v>
      </c>
      <c r="AR394">
        <f t="shared" si="79"/>
        <v>0</v>
      </c>
    </row>
    <row r="395" spans="5:44" x14ac:dyDescent="0.2">
      <c r="E395" s="1">
        <f>moment_rate!$M395</f>
        <v>0.35092278874295801</v>
      </c>
      <c r="F395" s="1">
        <f t="shared" si="86"/>
        <v>7.0640085336203251E-3</v>
      </c>
      <c r="G395">
        <f>moment_rate!I395-0.005</f>
        <v>3.8799999999999613</v>
      </c>
      <c r="H395" s="1">
        <f t="shared" si="87"/>
        <v>0</v>
      </c>
      <c r="I395">
        <f t="shared" si="85"/>
        <v>0</v>
      </c>
      <c r="J395">
        <f t="shared" si="85"/>
        <v>0</v>
      </c>
      <c r="K395">
        <f t="shared" si="85"/>
        <v>0</v>
      </c>
      <c r="L395">
        <f t="shared" si="85"/>
        <v>0</v>
      </c>
      <c r="M395">
        <f t="shared" si="85"/>
        <v>0</v>
      </c>
      <c r="N395">
        <f t="shared" si="85"/>
        <v>0</v>
      </c>
      <c r="O395">
        <f t="shared" si="85"/>
        <v>0</v>
      </c>
      <c r="P395">
        <f t="shared" si="85"/>
        <v>0</v>
      </c>
      <c r="Q395">
        <f t="shared" si="85"/>
        <v>0</v>
      </c>
      <c r="R395">
        <f t="shared" si="85"/>
        <v>0</v>
      </c>
      <c r="S395">
        <f t="shared" si="85"/>
        <v>0</v>
      </c>
      <c r="T395">
        <f t="shared" si="85"/>
        <v>0</v>
      </c>
      <c r="U395">
        <f t="shared" si="85"/>
        <v>0</v>
      </c>
      <c r="V395">
        <f t="shared" si="85"/>
        <v>0</v>
      </c>
      <c r="W395">
        <f t="shared" si="85"/>
        <v>0</v>
      </c>
      <c r="X395">
        <f t="shared" si="85"/>
        <v>0</v>
      </c>
      <c r="Y395">
        <f t="shared" si="84"/>
        <v>0</v>
      </c>
      <c r="Z395">
        <f t="shared" si="84"/>
        <v>0</v>
      </c>
      <c r="AA395">
        <f t="shared" si="84"/>
        <v>0</v>
      </c>
      <c r="AB395">
        <f t="shared" si="84"/>
        <v>0</v>
      </c>
      <c r="AC395">
        <f t="shared" si="84"/>
        <v>0</v>
      </c>
      <c r="AD395">
        <f t="shared" si="84"/>
        <v>0</v>
      </c>
      <c r="AE395">
        <f t="shared" si="84"/>
        <v>0</v>
      </c>
      <c r="AF395">
        <f t="shared" si="84"/>
        <v>0</v>
      </c>
      <c r="AG395">
        <f t="shared" si="84"/>
        <v>0</v>
      </c>
      <c r="AH395">
        <f t="shared" si="84"/>
        <v>0</v>
      </c>
      <c r="AI395">
        <f t="shared" si="84"/>
        <v>0</v>
      </c>
      <c r="AJ395">
        <f t="shared" si="84"/>
        <v>0</v>
      </c>
      <c r="AK395">
        <f t="shared" si="84"/>
        <v>0</v>
      </c>
      <c r="AL395">
        <f t="shared" si="84"/>
        <v>0</v>
      </c>
      <c r="AM395">
        <f t="shared" si="84"/>
        <v>0</v>
      </c>
      <c r="AN395">
        <f t="shared" si="79"/>
        <v>0</v>
      </c>
      <c r="AO395">
        <f t="shared" si="79"/>
        <v>0</v>
      </c>
      <c r="AP395">
        <f t="shared" si="79"/>
        <v>0</v>
      </c>
      <c r="AQ395">
        <f t="shared" si="79"/>
        <v>0</v>
      </c>
      <c r="AR395">
        <f t="shared" si="79"/>
        <v>0</v>
      </c>
    </row>
    <row r="396" spans="5:44" x14ac:dyDescent="0.2">
      <c r="E396" s="1">
        <f>moment_rate!$M396</f>
        <v>0.34385878020933769</v>
      </c>
      <c r="F396" s="1">
        <f t="shared" si="86"/>
        <v>6.9191256155227143E-3</v>
      </c>
      <c r="G396">
        <f>moment_rate!I396-0.005</f>
        <v>3.889999999999961</v>
      </c>
      <c r="H396" s="1">
        <f t="shared" si="87"/>
        <v>0</v>
      </c>
      <c r="I396">
        <f t="shared" si="85"/>
        <v>0</v>
      </c>
      <c r="J396">
        <f t="shared" si="85"/>
        <v>0</v>
      </c>
      <c r="K396">
        <f t="shared" si="85"/>
        <v>0</v>
      </c>
      <c r="L396">
        <f t="shared" si="85"/>
        <v>0</v>
      </c>
      <c r="M396">
        <f t="shared" si="85"/>
        <v>0</v>
      </c>
      <c r="N396">
        <f t="shared" si="85"/>
        <v>0</v>
      </c>
      <c r="O396">
        <f t="shared" si="85"/>
        <v>0</v>
      </c>
      <c r="P396">
        <f t="shared" si="85"/>
        <v>0</v>
      </c>
      <c r="Q396">
        <f t="shared" si="85"/>
        <v>0</v>
      </c>
      <c r="R396">
        <f t="shared" si="85"/>
        <v>0</v>
      </c>
      <c r="S396">
        <f t="shared" si="85"/>
        <v>0</v>
      </c>
      <c r="T396">
        <f t="shared" si="85"/>
        <v>0</v>
      </c>
      <c r="U396">
        <f t="shared" si="85"/>
        <v>0</v>
      </c>
      <c r="V396">
        <f t="shared" si="85"/>
        <v>0</v>
      </c>
      <c r="W396">
        <f t="shared" si="85"/>
        <v>0</v>
      </c>
      <c r="X396">
        <f t="shared" si="85"/>
        <v>0</v>
      </c>
      <c r="Y396">
        <f t="shared" si="84"/>
        <v>0</v>
      </c>
      <c r="Z396">
        <f t="shared" si="84"/>
        <v>0</v>
      </c>
      <c r="AA396">
        <f t="shared" si="84"/>
        <v>0</v>
      </c>
      <c r="AB396">
        <f t="shared" si="84"/>
        <v>0</v>
      </c>
      <c r="AC396">
        <f t="shared" si="84"/>
        <v>0</v>
      </c>
      <c r="AD396">
        <f t="shared" si="84"/>
        <v>0</v>
      </c>
      <c r="AE396">
        <f t="shared" si="84"/>
        <v>0</v>
      </c>
      <c r="AF396">
        <f t="shared" si="84"/>
        <v>0</v>
      </c>
      <c r="AG396">
        <f t="shared" si="84"/>
        <v>0</v>
      </c>
      <c r="AH396">
        <f t="shared" si="84"/>
        <v>0</v>
      </c>
      <c r="AI396">
        <f t="shared" si="84"/>
        <v>0</v>
      </c>
      <c r="AJ396">
        <f t="shared" si="84"/>
        <v>0</v>
      </c>
      <c r="AK396">
        <f t="shared" si="84"/>
        <v>0</v>
      </c>
      <c r="AL396">
        <f t="shared" si="84"/>
        <v>0</v>
      </c>
      <c r="AM396">
        <f t="shared" si="84"/>
        <v>0</v>
      </c>
      <c r="AN396">
        <f t="shared" si="79"/>
        <v>0</v>
      </c>
      <c r="AO396">
        <f t="shared" si="79"/>
        <v>0</v>
      </c>
      <c r="AP396">
        <f t="shared" si="79"/>
        <v>0</v>
      </c>
      <c r="AQ396">
        <f t="shared" si="79"/>
        <v>0</v>
      </c>
      <c r="AR396">
        <f t="shared" si="79"/>
        <v>0</v>
      </c>
    </row>
    <row r="397" spans="5:44" x14ac:dyDescent="0.2">
      <c r="E397" s="1">
        <f>moment_rate!$M397</f>
        <v>0.33693965459381497</v>
      </c>
      <c r="F397" s="1">
        <f t="shared" si="86"/>
        <v>6.7772142481893338E-3</v>
      </c>
      <c r="G397">
        <f>moment_rate!I397-0.005</f>
        <v>3.8999999999999608</v>
      </c>
      <c r="H397" s="1">
        <f t="shared" si="87"/>
        <v>0</v>
      </c>
      <c r="I397">
        <f t="shared" si="85"/>
        <v>0</v>
      </c>
      <c r="J397">
        <f t="shared" si="85"/>
        <v>0</v>
      </c>
      <c r="K397">
        <f t="shared" si="85"/>
        <v>0</v>
      </c>
      <c r="L397">
        <f t="shared" si="85"/>
        <v>0</v>
      </c>
      <c r="M397">
        <f t="shared" si="85"/>
        <v>0</v>
      </c>
      <c r="N397">
        <f t="shared" si="85"/>
        <v>0</v>
      </c>
      <c r="O397">
        <f t="shared" si="85"/>
        <v>0</v>
      </c>
      <c r="P397">
        <f t="shared" si="85"/>
        <v>0</v>
      </c>
      <c r="Q397">
        <f t="shared" si="85"/>
        <v>0</v>
      </c>
      <c r="R397">
        <f t="shared" si="85"/>
        <v>0</v>
      </c>
      <c r="S397">
        <f t="shared" si="85"/>
        <v>0</v>
      </c>
      <c r="T397">
        <f t="shared" si="85"/>
        <v>0</v>
      </c>
      <c r="U397">
        <f t="shared" si="85"/>
        <v>0</v>
      </c>
      <c r="V397">
        <f t="shared" si="85"/>
        <v>0</v>
      </c>
      <c r="W397">
        <f t="shared" si="85"/>
        <v>0</v>
      </c>
      <c r="X397">
        <f t="shared" si="85"/>
        <v>0</v>
      </c>
      <c r="Y397">
        <f t="shared" si="84"/>
        <v>0</v>
      </c>
      <c r="Z397">
        <f t="shared" si="84"/>
        <v>0</v>
      </c>
      <c r="AA397">
        <f t="shared" si="84"/>
        <v>0</v>
      </c>
      <c r="AB397">
        <f t="shared" si="84"/>
        <v>0</v>
      </c>
      <c r="AC397">
        <f t="shared" si="84"/>
        <v>0</v>
      </c>
      <c r="AD397">
        <f t="shared" si="84"/>
        <v>0</v>
      </c>
      <c r="AE397">
        <f t="shared" si="84"/>
        <v>0</v>
      </c>
      <c r="AF397">
        <f t="shared" si="84"/>
        <v>0</v>
      </c>
      <c r="AG397">
        <f t="shared" si="84"/>
        <v>0</v>
      </c>
      <c r="AH397">
        <f t="shared" si="84"/>
        <v>0</v>
      </c>
      <c r="AI397">
        <f t="shared" si="84"/>
        <v>0</v>
      </c>
      <c r="AJ397">
        <f t="shared" si="84"/>
        <v>0</v>
      </c>
      <c r="AK397">
        <f t="shared" si="84"/>
        <v>0</v>
      </c>
      <c r="AL397">
        <f t="shared" si="84"/>
        <v>0</v>
      </c>
      <c r="AM397">
        <f t="shared" si="84"/>
        <v>0</v>
      </c>
      <c r="AN397">
        <f t="shared" si="79"/>
        <v>0</v>
      </c>
      <c r="AO397">
        <f t="shared" si="79"/>
        <v>0</v>
      </c>
      <c r="AP397">
        <f t="shared" si="79"/>
        <v>0</v>
      </c>
      <c r="AQ397">
        <f t="shared" si="79"/>
        <v>0</v>
      </c>
      <c r="AR397">
        <f t="shared" si="79"/>
        <v>0</v>
      </c>
    </row>
    <row r="398" spans="5:44" x14ac:dyDescent="0.2">
      <c r="E398" s="1">
        <f>moment_rate!$M398</f>
        <v>0.33016244034562564</v>
      </c>
      <c r="F398" s="1">
        <f t="shared" si="86"/>
        <v>6.6382134850705432E-3</v>
      </c>
      <c r="G398">
        <f>moment_rate!I398-0.005</f>
        <v>3.9099999999999606</v>
      </c>
      <c r="H398" s="1">
        <f t="shared" si="87"/>
        <v>0</v>
      </c>
      <c r="I398">
        <f t="shared" si="85"/>
        <v>0</v>
      </c>
      <c r="J398">
        <f t="shared" si="85"/>
        <v>0</v>
      </c>
      <c r="K398">
        <f t="shared" si="85"/>
        <v>0</v>
      </c>
      <c r="L398">
        <f t="shared" si="85"/>
        <v>0</v>
      </c>
      <c r="M398">
        <f t="shared" si="85"/>
        <v>0</v>
      </c>
      <c r="N398">
        <f t="shared" si="85"/>
        <v>0</v>
      </c>
      <c r="O398">
        <f t="shared" si="85"/>
        <v>0</v>
      </c>
      <c r="P398">
        <f t="shared" si="85"/>
        <v>0</v>
      </c>
      <c r="Q398">
        <f t="shared" si="85"/>
        <v>0</v>
      </c>
      <c r="R398">
        <f t="shared" si="85"/>
        <v>0</v>
      </c>
      <c r="S398">
        <f t="shared" si="85"/>
        <v>0</v>
      </c>
      <c r="T398">
        <f t="shared" si="85"/>
        <v>0</v>
      </c>
      <c r="U398">
        <f t="shared" si="85"/>
        <v>0</v>
      </c>
      <c r="V398">
        <f t="shared" si="85"/>
        <v>0</v>
      </c>
      <c r="W398">
        <f t="shared" si="85"/>
        <v>0</v>
      </c>
      <c r="X398">
        <f t="shared" ref="X398:AR410" si="88">IF(AND($G398&gt;=X$3,$G398&lt;X$4),$F398,0)</f>
        <v>0</v>
      </c>
      <c r="Y398">
        <f t="shared" si="88"/>
        <v>0</v>
      </c>
      <c r="Z398">
        <f t="shared" si="88"/>
        <v>0</v>
      </c>
      <c r="AA398">
        <f t="shared" si="88"/>
        <v>0</v>
      </c>
      <c r="AB398">
        <f t="shared" si="88"/>
        <v>0</v>
      </c>
      <c r="AC398">
        <f t="shared" si="88"/>
        <v>0</v>
      </c>
      <c r="AD398">
        <f t="shared" si="88"/>
        <v>0</v>
      </c>
      <c r="AE398">
        <f t="shared" si="88"/>
        <v>0</v>
      </c>
      <c r="AF398">
        <f t="shared" si="88"/>
        <v>0</v>
      </c>
      <c r="AG398">
        <f t="shared" si="88"/>
        <v>0</v>
      </c>
      <c r="AH398">
        <f t="shared" si="88"/>
        <v>0</v>
      </c>
      <c r="AI398">
        <f t="shared" si="88"/>
        <v>0</v>
      </c>
      <c r="AJ398">
        <f t="shared" si="88"/>
        <v>0</v>
      </c>
      <c r="AK398">
        <f t="shared" si="88"/>
        <v>0</v>
      </c>
      <c r="AL398">
        <f t="shared" si="88"/>
        <v>0</v>
      </c>
      <c r="AM398">
        <f t="shared" si="88"/>
        <v>0</v>
      </c>
      <c r="AN398">
        <f t="shared" si="88"/>
        <v>0</v>
      </c>
      <c r="AO398">
        <f t="shared" si="88"/>
        <v>0</v>
      </c>
      <c r="AP398">
        <f t="shared" si="88"/>
        <v>0</v>
      </c>
      <c r="AQ398">
        <f t="shared" si="88"/>
        <v>0</v>
      </c>
      <c r="AR398">
        <f t="shared" si="88"/>
        <v>0</v>
      </c>
    </row>
    <row r="399" spans="5:44" x14ac:dyDescent="0.2">
      <c r="E399" s="1">
        <f>moment_rate!$M399</f>
        <v>0.3235242268605551</v>
      </c>
      <c r="F399" s="1">
        <f t="shared" si="86"/>
        <v>6.502063629631627E-3</v>
      </c>
      <c r="G399">
        <f>moment_rate!I399-0.005</f>
        <v>3.9199999999999604</v>
      </c>
      <c r="H399" s="1">
        <f t="shared" si="87"/>
        <v>0</v>
      </c>
      <c r="I399">
        <f t="shared" ref="I399:X414" si="89">IF(AND($G399&gt;=I$3,$G399&lt;I$4),$F399,0)</f>
        <v>0</v>
      </c>
      <c r="J399">
        <f t="shared" si="89"/>
        <v>0</v>
      </c>
      <c r="K399">
        <f t="shared" si="89"/>
        <v>0</v>
      </c>
      <c r="L399">
        <f t="shared" si="89"/>
        <v>0</v>
      </c>
      <c r="M399">
        <f t="shared" si="89"/>
        <v>0</v>
      </c>
      <c r="N399">
        <f t="shared" si="89"/>
        <v>0</v>
      </c>
      <c r="O399">
        <f t="shared" si="89"/>
        <v>0</v>
      </c>
      <c r="P399">
        <f t="shared" si="89"/>
        <v>0</v>
      </c>
      <c r="Q399">
        <f t="shared" si="89"/>
        <v>0</v>
      </c>
      <c r="R399">
        <f t="shared" si="89"/>
        <v>0</v>
      </c>
      <c r="S399">
        <f t="shared" si="89"/>
        <v>0</v>
      </c>
      <c r="T399">
        <f t="shared" si="89"/>
        <v>0</v>
      </c>
      <c r="U399">
        <f t="shared" si="89"/>
        <v>0</v>
      </c>
      <c r="V399">
        <f t="shared" si="89"/>
        <v>0</v>
      </c>
      <c r="W399">
        <f t="shared" si="89"/>
        <v>0</v>
      </c>
      <c r="X399">
        <f t="shared" si="89"/>
        <v>0</v>
      </c>
      <c r="Y399">
        <f t="shared" si="88"/>
        <v>0</v>
      </c>
      <c r="Z399">
        <f t="shared" si="88"/>
        <v>0</v>
      </c>
      <c r="AA399">
        <f t="shared" si="88"/>
        <v>0</v>
      </c>
      <c r="AB399">
        <f t="shared" si="88"/>
        <v>0</v>
      </c>
      <c r="AC399">
        <f t="shared" si="88"/>
        <v>0</v>
      </c>
      <c r="AD399">
        <f t="shared" si="88"/>
        <v>0</v>
      </c>
      <c r="AE399">
        <f t="shared" si="88"/>
        <v>0</v>
      </c>
      <c r="AF399">
        <f t="shared" si="88"/>
        <v>0</v>
      </c>
      <c r="AG399">
        <f t="shared" si="88"/>
        <v>0</v>
      </c>
      <c r="AH399">
        <f t="shared" si="88"/>
        <v>0</v>
      </c>
      <c r="AI399">
        <f t="shared" si="88"/>
        <v>0</v>
      </c>
      <c r="AJ399">
        <f t="shared" si="88"/>
        <v>0</v>
      </c>
      <c r="AK399">
        <f t="shared" si="88"/>
        <v>0</v>
      </c>
      <c r="AL399">
        <f t="shared" si="88"/>
        <v>0</v>
      </c>
      <c r="AM399">
        <f t="shared" si="88"/>
        <v>0</v>
      </c>
      <c r="AN399">
        <f t="shared" si="88"/>
        <v>0</v>
      </c>
      <c r="AO399">
        <f t="shared" si="88"/>
        <v>0</v>
      </c>
      <c r="AP399">
        <f t="shared" si="88"/>
        <v>0</v>
      </c>
      <c r="AQ399">
        <f t="shared" si="88"/>
        <v>0</v>
      </c>
      <c r="AR399">
        <f t="shared" si="88"/>
        <v>0</v>
      </c>
    </row>
    <row r="400" spans="5:44" x14ac:dyDescent="0.2">
      <c r="E400" s="1">
        <f>moment_rate!$M400</f>
        <v>0.31702216323092347</v>
      </c>
      <c r="F400" s="1">
        <f t="shared" si="86"/>
        <v>6.3687062097143032E-3</v>
      </c>
      <c r="G400">
        <f>moment_rate!I400-0.005</f>
        <v>3.9299999999999602</v>
      </c>
      <c r="H400" s="1">
        <f t="shared" si="87"/>
        <v>0</v>
      </c>
      <c r="I400">
        <f t="shared" si="89"/>
        <v>0</v>
      </c>
      <c r="J400">
        <f t="shared" si="89"/>
        <v>0</v>
      </c>
      <c r="K400">
        <f t="shared" si="89"/>
        <v>0</v>
      </c>
      <c r="L400">
        <f t="shared" si="89"/>
        <v>0</v>
      </c>
      <c r="M400">
        <f t="shared" si="89"/>
        <v>0</v>
      </c>
      <c r="N400">
        <f t="shared" si="89"/>
        <v>0</v>
      </c>
      <c r="O400">
        <f t="shared" si="89"/>
        <v>0</v>
      </c>
      <c r="P400">
        <f t="shared" si="89"/>
        <v>0</v>
      </c>
      <c r="Q400">
        <f t="shared" si="89"/>
        <v>0</v>
      </c>
      <c r="R400">
        <f t="shared" si="89"/>
        <v>0</v>
      </c>
      <c r="S400">
        <f t="shared" si="89"/>
        <v>0</v>
      </c>
      <c r="T400">
        <f t="shared" si="89"/>
        <v>0</v>
      </c>
      <c r="U400">
        <f t="shared" si="89"/>
        <v>0</v>
      </c>
      <c r="V400">
        <f t="shared" si="89"/>
        <v>0</v>
      </c>
      <c r="W400">
        <f t="shared" si="89"/>
        <v>0</v>
      </c>
      <c r="X400">
        <f t="shared" si="89"/>
        <v>0</v>
      </c>
      <c r="Y400">
        <f t="shared" si="88"/>
        <v>0</v>
      </c>
      <c r="Z400">
        <f t="shared" si="88"/>
        <v>0</v>
      </c>
      <c r="AA400">
        <f t="shared" si="88"/>
        <v>0</v>
      </c>
      <c r="AB400">
        <f t="shared" si="88"/>
        <v>0</v>
      </c>
      <c r="AC400">
        <f t="shared" si="88"/>
        <v>0</v>
      </c>
      <c r="AD400">
        <f t="shared" si="88"/>
        <v>0</v>
      </c>
      <c r="AE400">
        <f t="shared" si="88"/>
        <v>0</v>
      </c>
      <c r="AF400">
        <f t="shared" si="88"/>
        <v>0</v>
      </c>
      <c r="AG400">
        <f t="shared" si="88"/>
        <v>0</v>
      </c>
      <c r="AH400">
        <f t="shared" si="88"/>
        <v>0</v>
      </c>
      <c r="AI400">
        <f t="shared" si="88"/>
        <v>0</v>
      </c>
      <c r="AJ400">
        <f t="shared" si="88"/>
        <v>0</v>
      </c>
      <c r="AK400">
        <f t="shared" si="88"/>
        <v>0</v>
      </c>
      <c r="AL400">
        <f t="shared" si="88"/>
        <v>0</v>
      </c>
      <c r="AM400">
        <f t="shared" si="88"/>
        <v>0</v>
      </c>
      <c r="AN400">
        <f t="shared" si="88"/>
        <v>0</v>
      </c>
      <c r="AO400">
        <f t="shared" si="88"/>
        <v>0</v>
      </c>
      <c r="AP400">
        <f t="shared" si="88"/>
        <v>0</v>
      </c>
      <c r="AQ400">
        <f t="shared" si="88"/>
        <v>0</v>
      </c>
      <c r="AR400">
        <f t="shared" si="88"/>
        <v>0</v>
      </c>
    </row>
    <row r="401" spans="5:44" x14ac:dyDescent="0.2">
      <c r="E401" s="1">
        <f>moment_rate!$M401</f>
        <v>0.31065345702120917</v>
      </c>
      <c r="F401" s="1">
        <f t="shared" si="86"/>
        <v>6.2380839524253662E-3</v>
      </c>
      <c r="G401">
        <f>moment_rate!I401-0.005</f>
        <v>3.93999999999996</v>
      </c>
      <c r="H401" s="1">
        <f t="shared" si="87"/>
        <v>0</v>
      </c>
      <c r="I401">
        <f t="shared" si="89"/>
        <v>0</v>
      </c>
      <c r="J401">
        <f t="shared" si="89"/>
        <v>0</v>
      </c>
      <c r="K401">
        <f t="shared" si="89"/>
        <v>0</v>
      </c>
      <c r="L401">
        <f t="shared" si="89"/>
        <v>0</v>
      </c>
      <c r="M401">
        <f t="shared" si="89"/>
        <v>0</v>
      </c>
      <c r="N401">
        <f t="shared" si="89"/>
        <v>0</v>
      </c>
      <c r="O401">
        <f t="shared" si="89"/>
        <v>0</v>
      </c>
      <c r="P401">
        <f t="shared" si="89"/>
        <v>0</v>
      </c>
      <c r="Q401">
        <f t="shared" si="89"/>
        <v>0</v>
      </c>
      <c r="R401">
        <f t="shared" si="89"/>
        <v>0</v>
      </c>
      <c r="S401">
        <f t="shared" si="89"/>
        <v>0</v>
      </c>
      <c r="T401">
        <f t="shared" si="89"/>
        <v>0</v>
      </c>
      <c r="U401">
        <f t="shared" si="89"/>
        <v>0</v>
      </c>
      <c r="V401">
        <f t="shared" si="89"/>
        <v>0</v>
      </c>
      <c r="W401">
        <f t="shared" si="89"/>
        <v>0</v>
      </c>
      <c r="X401">
        <f t="shared" si="89"/>
        <v>0</v>
      </c>
      <c r="Y401">
        <f t="shared" si="88"/>
        <v>0</v>
      </c>
      <c r="Z401">
        <f t="shared" si="88"/>
        <v>0</v>
      </c>
      <c r="AA401">
        <f t="shared" si="88"/>
        <v>0</v>
      </c>
      <c r="AB401">
        <f t="shared" si="88"/>
        <v>0</v>
      </c>
      <c r="AC401">
        <f t="shared" si="88"/>
        <v>0</v>
      </c>
      <c r="AD401">
        <f t="shared" si="88"/>
        <v>0</v>
      </c>
      <c r="AE401">
        <f t="shared" si="88"/>
        <v>0</v>
      </c>
      <c r="AF401">
        <f t="shared" si="88"/>
        <v>0</v>
      </c>
      <c r="AG401">
        <f t="shared" si="88"/>
        <v>0</v>
      </c>
      <c r="AH401">
        <f t="shared" si="88"/>
        <v>0</v>
      </c>
      <c r="AI401">
        <f t="shared" si="88"/>
        <v>0</v>
      </c>
      <c r="AJ401">
        <f t="shared" si="88"/>
        <v>0</v>
      </c>
      <c r="AK401">
        <f t="shared" si="88"/>
        <v>0</v>
      </c>
      <c r="AL401">
        <f t="shared" si="88"/>
        <v>0</v>
      </c>
      <c r="AM401">
        <f t="shared" si="88"/>
        <v>0</v>
      </c>
      <c r="AN401">
        <f t="shared" si="88"/>
        <v>0</v>
      </c>
      <c r="AO401">
        <f t="shared" si="88"/>
        <v>0</v>
      </c>
      <c r="AP401">
        <f t="shared" si="88"/>
        <v>0</v>
      </c>
      <c r="AQ401">
        <f t="shared" si="88"/>
        <v>0</v>
      </c>
      <c r="AR401">
        <f t="shared" si="88"/>
        <v>0</v>
      </c>
    </row>
    <row r="402" spans="5:44" x14ac:dyDescent="0.2">
      <c r="E402" s="1">
        <f>moment_rate!$M402</f>
        <v>0.3044153730687838</v>
      </c>
      <c r="F402" s="1">
        <f t="shared" si="86"/>
        <v>6.110140759539362E-3</v>
      </c>
      <c r="G402">
        <f>moment_rate!I402-0.005</f>
        <v>3.9499999999999598</v>
      </c>
      <c r="H402" s="1">
        <f t="shared" si="87"/>
        <v>0</v>
      </c>
      <c r="I402">
        <f t="shared" si="89"/>
        <v>0</v>
      </c>
      <c r="J402">
        <f t="shared" si="89"/>
        <v>0</v>
      </c>
      <c r="K402">
        <f t="shared" si="89"/>
        <v>0</v>
      </c>
      <c r="L402">
        <f t="shared" si="89"/>
        <v>0</v>
      </c>
      <c r="M402">
        <f t="shared" si="89"/>
        <v>0</v>
      </c>
      <c r="N402">
        <f t="shared" si="89"/>
        <v>0</v>
      </c>
      <c r="O402">
        <f t="shared" si="89"/>
        <v>0</v>
      </c>
      <c r="P402">
        <f t="shared" si="89"/>
        <v>0</v>
      </c>
      <c r="Q402">
        <f t="shared" si="89"/>
        <v>0</v>
      </c>
      <c r="R402">
        <f t="shared" si="89"/>
        <v>0</v>
      </c>
      <c r="S402">
        <f t="shared" si="89"/>
        <v>0</v>
      </c>
      <c r="T402">
        <f t="shared" si="89"/>
        <v>0</v>
      </c>
      <c r="U402">
        <f t="shared" si="89"/>
        <v>0</v>
      </c>
      <c r="V402">
        <f t="shared" si="89"/>
        <v>0</v>
      </c>
      <c r="W402">
        <f t="shared" si="89"/>
        <v>0</v>
      </c>
      <c r="X402">
        <f t="shared" si="89"/>
        <v>0</v>
      </c>
      <c r="Y402">
        <f t="shared" si="88"/>
        <v>0</v>
      </c>
      <c r="Z402">
        <f t="shared" si="88"/>
        <v>0</v>
      </c>
      <c r="AA402">
        <f t="shared" si="88"/>
        <v>0</v>
      </c>
      <c r="AB402">
        <f t="shared" si="88"/>
        <v>0</v>
      </c>
      <c r="AC402">
        <f t="shared" si="88"/>
        <v>0</v>
      </c>
      <c r="AD402">
        <f t="shared" si="88"/>
        <v>0</v>
      </c>
      <c r="AE402">
        <f t="shared" si="88"/>
        <v>0</v>
      </c>
      <c r="AF402">
        <f t="shared" si="88"/>
        <v>0</v>
      </c>
      <c r="AG402">
        <f t="shared" si="88"/>
        <v>0</v>
      </c>
      <c r="AH402">
        <f t="shared" si="88"/>
        <v>0</v>
      </c>
      <c r="AI402">
        <f t="shared" si="88"/>
        <v>0</v>
      </c>
      <c r="AJ402">
        <f t="shared" si="88"/>
        <v>0</v>
      </c>
      <c r="AK402">
        <f t="shared" si="88"/>
        <v>0</v>
      </c>
      <c r="AL402">
        <f t="shared" si="88"/>
        <v>0</v>
      </c>
      <c r="AM402">
        <f t="shared" si="88"/>
        <v>0</v>
      </c>
      <c r="AN402">
        <f t="shared" si="88"/>
        <v>0</v>
      </c>
      <c r="AO402">
        <f t="shared" si="88"/>
        <v>0</v>
      </c>
      <c r="AP402">
        <f t="shared" si="88"/>
        <v>0</v>
      </c>
      <c r="AQ402">
        <f t="shared" si="88"/>
        <v>0</v>
      </c>
      <c r="AR402">
        <f t="shared" si="88"/>
        <v>0</v>
      </c>
    </row>
    <row r="403" spans="5:44" x14ac:dyDescent="0.2">
      <c r="E403" s="1">
        <f>moment_rate!$M403</f>
        <v>0.29830523230924444</v>
      </c>
      <c r="F403" s="1">
        <f t="shared" si="86"/>
        <v>5.9848216834062495E-3</v>
      </c>
      <c r="G403">
        <f>moment_rate!I403-0.005</f>
        <v>3.9599999999999596</v>
      </c>
      <c r="H403" s="1">
        <f t="shared" si="87"/>
        <v>0</v>
      </c>
      <c r="I403">
        <f t="shared" si="89"/>
        <v>0</v>
      </c>
      <c r="J403">
        <f t="shared" si="89"/>
        <v>0</v>
      </c>
      <c r="K403">
        <f t="shared" si="89"/>
        <v>0</v>
      </c>
      <c r="L403">
        <f t="shared" si="89"/>
        <v>0</v>
      </c>
      <c r="M403">
        <f t="shared" si="89"/>
        <v>0</v>
      </c>
      <c r="N403">
        <f t="shared" si="89"/>
        <v>0</v>
      </c>
      <c r="O403">
        <f t="shared" si="89"/>
        <v>0</v>
      </c>
      <c r="P403">
        <f t="shared" si="89"/>
        <v>0</v>
      </c>
      <c r="Q403">
        <f t="shared" si="89"/>
        <v>0</v>
      </c>
      <c r="R403">
        <f t="shared" si="89"/>
        <v>0</v>
      </c>
      <c r="S403">
        <f t="shared" si="89"/>
        <v>0</v>
      </c>
      <c r="T403">
        <f t="shared" si="89"/>
        <v>0</v>
      </c>
      <c r="U403">
        <f t="shared" si="89"/>
        <v>0</v>
      </c>
      <c r="V403">
        <f t="shared" si="89"/>
        <v>0</v>
      </c>
      <c r="W403">
        <f t="shared" si="89"/>
        <v>0</v>
      </c>
      <c r="X403">
        <f t="shared" si="89"/>
        <v>0</v>
      </c>
      <c r="Y403">
        <f t="shared" si="88"/>
        <v>0</v>
      </c>
      <c r="Z403">
        <f t="shared" si="88"/>
        <v>0</v>
      </c>
      <c r="AA403">
        <f t="shared" si="88"/>
        <v>0</v>
      </c>
      <c r="AB403">
        <f t="shared" si="88"/>
        <v>0</v>
      </c>
      <c r="AC403">
        <f t="shared" si="88"/>
        <v>0</v>
      </c>
      <c r="AD403">
        <f t="shared" si="88"/>
        <v>0</v>
      </c>
      <c r="AE403">
        <f t="shared" si="88"/>
        <v>0</v>
      </c>
      <c r="AF403">
        <f t="shared" si="88"/>
        <v>0</v>
      </c>
      <c r="AG403">
        <f t="shared" si="88"/>
        <v>0</v>
      </c>
      <c r="AH403">
        <f t="shared" si="88"/>
        <v>0</v>
      </c>
      <c r="AI403">
        <f t="shared" si="88"/>
        <v>0</v>
      </c>
      <c r="AJ403">
        <f t="shared" si="88"/>
        <v>0</v>
      </c>
      <c r="AK403">
        <f t="shared" si="88"/>
        <v>0</v>
      </c>
      <c r="AL403">
        <f t="shared" si="88"/>
        <v>0</v>
      </c>
      <c r="AM403">
        <f t="shared" si="88"/>
        <v>0</v>
      </c>
      <c r="AN403">
        <f t="shared" si="88"/>
        <v>0</v>
      </c>
      <c r="AO403">
        <f t="shared" si="88"/>
        <v>0</v>
      </c>
      <c r="AP403">
        <f t="shared" si="88"/>
        <v>0</v>
      </c>
      <c r="AQ403">
        <f t="shared" si="88"/>
        <v>0</v>
      </c>
      <c r="AR403">
        <f t="shared" si="88"/>
        <v>0</v>
      </c>
    </row>
    <row r="404" spans="5:44" x14ac:dyDescent="0.2">
      <c r="E404" s="1">
        <f>moment_rate!$M404</f>
        <v>0.29232041062583819</v>
      </c>
      <c r="F404" s="1">
        <f t="shared" si="86"/>
        <v>5.8620729033533325E-3</v>
      </c>
      <c r="G404">
        <f>moment_rate!I404-0.005</f>
        <v>3.9699999999999593</v>
      </c>
      <c r="H404" s="1">
        <f t="shared" si="87"/>
        <v>0</v>
      </c>
      <c r="I404">
        <f t="shared" si="89"/>
        <v>0</v>
      </c>
      <c r="J404">
        <f t="shared" si="89"/>
        <v>0</v>
      </c>
      <c r="K404">
        <f t="shared" si="89"/>
        <v>0</v>
      </c>
      <c r="L404">
        <f t="shared" si="89"/>
        <v>0</v>
      </c>
      <c r="M404">
        <f t="shared" si="89"/>
        <v>0</v>
      </c>
      <c r="N404">
        <f t="shared" si="89"/>
        <v>0</v>
      </c>
      <c r="O404">
        <f t="shared" si="89"/>
        <v>0</v>
      </c>
      <c r="P404">
        <f t="shared" si="89"/>
        <v>0</v>
      </c>
      <c r="Q404">
        <f t="shared" si="89"/>
        <v>0</v>
      </c>
      <c r="R404">
        <f t="shared" si="89"/>
        <v>0</v>
      </c>
      <c r="S404">
        <f t="shared" si="89"/>
        <v>0</v>
      </c>
      <c r="T404">
        <f t="shared" si="89"/>
        <v>0</v>
      </c>
      <c r="U404">
        <f t="shared" si="89"/>
        <v>0</v>
      </c>
      <c r="V404">
        <f t="shared" si="89"/>
        <v>0</v>
      </c>
      <c r="W404">
        <f t="shared" si="89"/>
        <v>0</v>
      </c>
      <c r="X404">
        <f t="shared" si="89"/>
        <v>0</v>
      </c>
      <c r="Y404">
        <f t="shared" si="88"/>
        <v>0</v>
      </c>
      <c r="Z404">
        <f t="shared" si="88"/>
        <v>0</v>
      </c>
      <c r="AA404">
        <f t="shared" si="88"/>
        <v>0</v>
      </c>
      <c r="AB404">
        <f t="shared" si="88"/>
        <v>0</v>
      </c>
      <c r="AC404">
        <f t="shared" si="88"/>
        <v>0</v>
      </c>
      <c r="AD404">
        <f t="shared" si="88"/>
        <v>0</v>
      </c>
      <c r="AE404">
        <f t="shared" si="88"/>
        <v>0</v>
      </c>
      <c r="AF404">
        <f t="shared" si="88"/>
        <v>0</v>
      </c>
      <c r="AG404">
        <f t="shared" si="88"/>
        <v>0</v>
      </c>
      <c r="AH404">
        <f t="shared" si="88"/>
        <v>0</v>
      </c>
      <c r="AI404">
        <f t="shared" si="88"/>
        <v>0</v>
      </c>
      <c r="AJ404">
        <f t="shared" si="88"/>
        <v>0</v>
      </c>
      <c r="AK404">
        <f t="shared" si="88"/>
        <v>0</v>
      </c>
      <c r="AL404">
        <f t="shared" si="88"/>
        <v>0</v>
      </c>
      <c r="AM404">
        <f t="shared" si="88"/>
        <v>0</v>
      </c>
      <c r="AN404">
        <f t="shared" si="88"/>
        <v>0</v>
      </c>
      <c r="AO404">
        <f t="shared" si="88"/>
        <v>0</v>
      </c>
      <c r="AP404">
        <f t="shared" si="88"/>
        <v>0</v>
      </c>
      <c r="AQ404">
        <f t="shared" si="88"/>
        <v>0</v>
      </c>
      <c r="AR404">
        <f t="shared" si="88"/>
        <v>0</v>
      </c>
    </row>
    <row r="405" spans="5:44" x14ac:dyDescent="0.2">
      <c r="E405" s="1">
        <f>moment_rate!$M405</f>
        <v>0.28645833772248486</v>
      </c>
      <c r="F405" s="1">
        <f t="shared" si="86"/>
        <v>5.741841702570194E-3</v>
      </c>
      <c r="G405">
        <f>moment_rate!I405-0.005</f>
        <v>3.9799999999999591</v>
      </c>
      <c r="H405" s="1">
        <f t="shared" si="87"/>
        <v>0</v>
      </c>
      <c r="I405">
        <f t="shared" si="89"/>
        <v>0</v>
      </c>
      <c r="J405">
        <f t="shared" si="89"/>
        <v>0</v>
      </c>
      <c r="K405">
        <f t="shared" si="89"/>
        <v>0</v>
      </c>
      <c r="L405">
        <f t="shared" si="89"/>
        <v>0</v>
      </c>
      <c r="M405">
        <f t="shared" si="89"/>
        <v>0</v>
      </c>
      <c r="N405">
        <f t="shared" si="89"/>
        <v>0</v>
      </c>
      <c r="O405">
        <f t="shared" si="89"/>
        <v>0</v>
      </c>
      <c r="P405">
        <f t="shared" si="89"/>
        <v>0</v>
      </c>
      <c r="Q405">
        <f t="shared" si="89"/>
        <v>0</v>
      </c>
      <c r="R405">
        <f t="shared" si="89"/>
        <v>0</v>
      </c>
      <c r="S405">
        <f t="shared" si="89"/>
        <v>0</v>
      </c>
      <c r="T405">
        <f t="shared" si="89"/>
        <v>0</v>
      </c>
      <c r="U405">
        <f t="shared" si="89"/>
        <v>0</v>
      </c>
      <c r="V405">
        <f t="shared" si="89"/>
        <v>0</v>
      </c>
      <c r="W405">
        <f t="shared" si="89"/>
        <v>0</v>
      </c>
      <c r="X405">
        <f t="shared" si="89"/>
        <v>0</v>
      </c>
      <c r="Y405">
        <f t="shared" si="88"/>
        <v>0</v>
      </c>
      <c r="Z405">
        <f t="shared" si="88"/>
        <v>0</v>
      </c>
      <c r="AA405">
        <f t="shared" si="88"/>
        <v>0</v>
      </c>
      <c r="AB405">
        <f t="shared" si="88"/>
        <v>0</v>
      </c>
      <c r="AC405">
        <f t="shared" si="88"/>
        <v>0</v>
      </c>
      <c r="AD405">
        <f t="shared" si="88"/>
        <v>0</v>
      </c>
      <c r="AE405">
        <f t="shared" si="88"/>
        <v>0</v>
      </c>
      <c r="AF405">
        <f t="shared" si="88"/>
        <v>0</v>
      </c>
      <c r="AG405">
        <f t="shared" si="88"/>
        <v>0</v>
      </c>
      <c r="AH405">
        <f t="shared" si="88"/>
        <v>0</v>
      </c>
      <c r="AI405">
        <f t="shared" si="88"/>
        <v>0</v>
      </c>
      <c r="AJ405">
        <f t="shared" si="88"/>
        <v>0</v>
      </c>
      <c r="AK405">
        <f t="shared" si="88"/>
        <v>0</v>
      </c>
      <c r="AL405">
        <f t="shared" si="88"/>
        <v>0</v>
      </c>
      <c r="AM405">
        <f t="shared" si="88"/>
        <v>0</v>
      </c>
      <c r="AN405">
        <f t="shared" si="88"/>
        <v>0</v>
      </c>
      <c r="AO405">
        <f t="shared" si="88"/>
        <v>0</v>
      </c>
      <c r="AP405">
        <f t="shared" si="88"/>
        <v>0</v>
      </c>
      <c r="AQ405">
        <f t="shared" si="88"/>
        <v>0</v>
      </c>
      <c r="AR405">
        <f t="shared" si="88"/>
        <v>0</v>
      </c>
    </row>
    <row r="406" spans="5:44" x14ac:dyDescent="0.2">
      <c r="E406" s="1">
        <f>moment_rate!$M406</f>
        <v>0.28071649601991466</v>
      </c>
      <c r="F406" s="1">
        <f t="shared" si="86"/>
        <v>5.624076445469639E-3</v>
      </c>
      <c r="G406">
        <f>moment_rate!I406-0.005</f>
        <v>3.9899999999999589</v>
      </c>
      <c r="H406" s="1">
        <f t="shared" si="87"/>
        <v>0</v>
      </c>
      <c r="I406">
        <f t="shared" si="89"/>
        <v>0</v>
      </c>
      <c r="J406">
        <f t="shared" si="89"/>
        <v>0</v>
      </c>
      <c r="K406">
        <f t="shared" si="89"/>
        <v>0</v>
      </c>
      <c r="L406">
        <f t="shared" si="89"/>
        <v>0</v>
      </c>
      <c r="M406">
        <f t="shared" si="89"/>
        <v>0</v>
      </c>
      <c r="N406">
        <f t="shared" si="89"/>
        <v>0</v>
      </c>
      <c r="O406">
        <f t="shared" si="89"/>
        <v>0</v>
      </c>
      <c r="P406">
        <f t="shared" si="89"/>
        <v>0</v>
      </c>
      <c r="Q406">
        <f t="shared" si="89"/>
        <v>0</v>
      </c>
      <c r="R406">
        <f t="shared" si="89"/>
        <v>0</v>
      </c>
      <c r="S406">
        <f t="shared" si="89"/>
        <v>0</v>
      </c>
      <c r="T406">
        <f t="shared" si="89"/>
        <v>0</v>
      </c>
      <c r="U406">
        <f t="shared" si="89"/>
        <v>0</v>
      </c>
      <c r="V406">
        <f t="shared" si="89"/>
        <v>0</v>
      </c>
      <c r="W406">
        <f t="shared" si="89"/>
        <v>0</v>
      </c>
      <c r="X406">
        <f t="shared" si="89"/>
        <v>0</v>
      </c>
      <c r="Y406">
        <f t="shared" si="88"/>
        <v>0</v>
      </c>
      <c r="Z406">
        <f t="shared" si="88"/>
        <v>0</v>
      </c>
      <c r="AA406">
        <f t="shared" si="88"/>
        <v>0</v>
      </c>
      <c r="AB406">
        <f t="shared" si="88"/>
        <v>0</v>
      </c>
      <c r="AC406">
        <f t="shared" si="88"/>
        <v>0</v>
      </c>
      <c r="AD406">
        <f t="shared" si="88"/>
        <v>0</v>
      </c>
      <c r="AE406">
        <f t="shared" si="88"/>
        <v>0</v>
      </c>
      <c r="AF406">
        <f t="shared" si="88"/>
        <v>0</v>
      </c>
      <c r="AG406">
        <f t="shared" si="88"/>
        <v>0</v>
      </c>
      <c r="AH406">
        <f t="shared" si="88"/>
        <v>0</v>
      </c>
      <c r="AI406">
        <f t="shared" si="88"/>
        <v>0</v>
      </c>
      <c r="AJ406">
        <f t="shared" si="88"/>
        <v>0</v>
      </c>
      <c r="AK406">
        <f t="shared" si="88"/>
        <v>0</v>
      </c>
      <c r="AL406">
        <f t="shared" si="88"/>
        <v>0</v>
      </c>
      <c r="AM406">
        <f t="shared" si="88"/>
        <v>0</v>
      </c>
      <c r="AN406">
        <f t="shared" si="88"/>
        <v>0</v>
      </c>
      <c r="AO406">
        <f t="shared" si="88"/>
        <v>0</v>
      </c>
      <c r="AP406">
        <f t="shared" si="88"/>
        <v>0</v>
      </c>
      <c r="AQ406">
        <f t="shared" si="88"/>
        <v>0</v>
      </c>
      <c r="AR406">
        <f t="shared" si="88"/>
        <v>0</v>
      </c>
    </row>
    <row r="407" spans="5:44" x14ac:dyDescent="0.2">
      <c r="E407" s="1">
        <f>moment_rate!$M407</f>
        <v>0.27509241957444502</v>
      </c>
      <c r="F407" s="1">
        <f t="shared" si="86"/>
        <v>5.5087265555104348E-3</v>
      </c>
      <c r="G407">
        <f>moment_rate!I407-0.005</f>
        <v>3.9999999999999591</v>
      </c>
      <c r="H407" s="1">
        <f t="shared" si="87"/>
        <v>0</v>
      </c>
      <c r="I407">
        <f t="shared" si="89"/>
        <v>0</v>
      </c>
      <c r="J407">
        <f t="shared" si="89"/>
        <v>0</v>
      </c>
      <c r="K407">
        <f t="shared" si="89"/>
        <v>0</v>
      </c>
      <c r="L407">
        <f t="shared" si="89"/>
        <v>0</v>
      </c>
      <c r="M407">
        <f t="shared" si="89"/>
        <v>0</v>
      </c>
      <c r="N407">
        <f t="shared" si="89"/>
        <v>0</v>
      </c>
      <c r="O407">
        <f t="shared" si="89"/>
        <v>0</v>
      </c>
      <c r="P407">
        <f t="shared" si="89"/>
        <v>0</v>
      </c>
      <c r="Q407">
        <f t="shared" si="89"/>
        <v>0</v>
      </c>
      <c r="R407">
        <f t="shared" si="89"/>
        <v>0</v>
      </c>
      <c r="S407">
        <f t="shared" si="89"/>
        <v>0</v>
      </c>
      <c r="T407">
        <f t="shared" si="89"/>
        <v>0</v>
      </c>
      <c r="U407">
        <f t="shared" si="89"/>
        <v>0</v>
      </c>
      <c r="V407">
        <f t="shared" si="89"/>
        <v>0</v>
      </c>
      <c r="W407">
        <f t="shared" si="89"/>
        <v>0</v>
      </c>
      <c r="X407">
        <f t="shared" si="89"/>
        <v>0</v>
      </c>
      <c r="Y407">
        <f t="shared" si="88"/>
        <v>0</v>
      </c>
      <c r="Z407">
        <f t="shared" si="88"/>
        <v>0</v>
      </c>
      <c r="AA407">
        <f t="shared" si="88"/>
        <v>0</v>
      </c>
      <c r="AB407">
        <f t="shared" si="88"/>
        <v>0</v>
      </c>
      <c r="AC407">
        <f t="shared" si="88"/>
        <v>0</v>
      </c>
      <c r="AD407">
        <f t="shared" si="88"/>
        <v>0</v>
      </c>
      <c r="AE407">
        <f t="shared" si="88"/>
        <v>0</v>
      </c>
      <c r="AF407">
        <f t="shared" si="88"/>
        <v>0</v>
      </c>
      <c r="AG407">
        <f t="shared" si="88"/>
        <v>0</v>
      </c>
      <c r="AH407">
        <f t="shared" si="88"/>
        <v>0</v>
      </c>
      <c r="AI407">
        <f t="shared" si="88"/>
        <v>0</v>
      </c>
      <c r="AJ407">
        <f t="shared" si="88"/>
        <v>0</v>
      </c>
      <c r="AK407">
        <f t="shared" si="88"/>
        <v>0</v>
      </c>
      <c r="AL407">
        <f t="shared" si="88"/>
        <v>0</v>
      </c>
      <c r="AM407">
        <f t="shared" si="88"/>
        <v>0</v>
      </c>
      <c r="AN407">
        <f t="shared" si="88"/>
        <v>0</v>
      </c>
      <c r="AO407">
        <f t="shared" si="88"/>
        <v>0</v>
      </c>
      <c r="AP407">
        <f t="shared" si="88"/>
        <v>0</v>
      </c>
      <c r="AQ407">
        <f t="shared" si="88"/>
        <v>0</v>
      </c>
      <c r="AR407">
        <f t="shared" si="88"/>
        <v>0</v>
      </c>
    </row>
    <row r="408" spans="5:44" x14ac:dyDescent="0.2">
      <c r="E408" s="1">
        <f>moment_rate!$M408</f>
        <v>0.26958369301893459</v>
      </c>
      <c r="F408" s="1">
        <f t="shared" si="86"/>
        <v>5.3957424934774068E-3</v>
      </c>
      <c r="G408">
        <f>moment_rate!I408-0.005</f>
        <v>4.0099999999999589</v>
      </c>
      <c r="H408" s="1">
        <f t="shared" si="87"/>
        <v>0</v>
      </c>
      <c r="I408">
        <f t="shared" si="89"/>
        <v>0</v>
      </c>
      <c r="J408">
        <f t="shared" si="89"/>
        <v>0</v>
      </c>
      <c r="K408">
        <f t="shared" si="89"/>
        <v>0</v>
      </c>
      <c r="L408">
        <f t="shared" si="89"/>
        <v>0</v>
      </c>
      <c r="M408">
        <f t="shared" si="89"/>
        <v>0</v>
      </c>
      <c r="N408">
        <f t="shared" si="89"/>
        <v>0</v>
      </c>
      <c r="O408">
        <f t="shared" si="89"/>
        <v>0</v>
      </c>
      <c r="P408">
        <f t="shared" si="89"/>
        <v>0</v>
      </c>
      <c r="Q408">
        <f t="shared" si="89"/>
        <v>0</v>
      </c>
      <c r="R408">
        <f t="shared" si="89"/>
        <v>0</v>
      </c>
      <c r="S408">
        <f t="shared" si="89"/>
        <v>0</v>
      </c>
      <c r="T408">
        <f t="shared" si="89"/>
        <v>0</v>
      </c>
      <c r="U408">
        <f t="shared" si="89"/>
        <v>0</v>
      </c>
      <c r="V408">
        <f t="shared" si="89"/>
        <v>0</v>
      </c>
      <c r="W408">
        <f t="shared" si="89"/>
        <v>0</v>
      </c>
      <c r="X408">
        <f t="shared" si="89"/>
        <v>0</v>
      </c>
      <c r="Y408">
        <f t="shared" si="88"/>
        <v>0</v>
      </c>
      <c r="Z408">
        <f t="shared" si="88"/>
        <v>0</v>
      </c>
      <c r="AA408">
        <f t="shared" si="88"/>
        <v>0</v>
      </c>
      <c r="AB408">
        <f t="shared" si="88"/>
        <v>0</v>
      </c>
      <c r="AC408">
        <f t="shared" si="88"/>
        <v>0</v>
      </c>
      <c r="AD408">
        <f t="shared" si="88"/>
        <v>0</v>
      </c>
      <c r="AE408">
        <f t="shared" si="88"/>
        <v>0</v>
      </c>
      <c r="AF408">
        <f t="shared" si="88"/>
        <v>0</v>
      </c>
      <c r="AG408">
        <f t="shared" si="88"/>
        <v>0</v>
      </c>
      <c r="AH408">
        <f t="shared" si="88"/>
        <v>0</v>
      </c>
      <c r="AI408">
        <f t="shared" si="88"/>
        <v>0</v>
      </c>
      <c r="AJ408">
        <f t="shared" si="88"/>
        <v>0</v>
      </c>
      <c r="AK408">
        <f t="shared" si="88"/>
        <v>0</v>
      </c>
      <c r="AL408">
        <f t="shared" si="88"/>
        <v>0</v>
      </c>
      <c r="AM408">
        <f t="shared" si="88"/>
        <v>0</v>
      </c>
      <c r="AN408">
        <f t="shared" si="88"/>
        <v>0</v>
      </c>
      <c r="AO408">
        <f t="shared" si="88"/>
        <v>0</v>
      </c>
      <c r="AP408">
        <f t="shared" si="88"/>
        <v>0</v>
      </c>
      <c r="AQ408">
        <f t="shared" si="88"/>
        <v>0</v>
      </c>
      <c r="AR408">
        <f t="shared" si="88"/>
        <v>0</v>
      </c>
    </row>
    <row r="409" spans="5:44" x14ac:dyDescent="0.2">
      <c r="E409" s="1">
        <f>moment_rate!$M409</f>
        <v>0.26418795052545718</v>
      </c>
      <c r="F409" s="1">
        <f t="shared" si="86"/>
        <v>5.2850757362052914E-3</v>
      </c>
      <c r="G409">
        <f>moment_rate!I409-0.005</f>
        <v>4.0199999999999587</v>
      </c>
      <c r="H409" s="1">
        <f t="shared" si="87"/>
        <v>0</v>
      </c>
      <c r="I409">
        <f t="shared" si="89"/>
        <v>0</v>
      </c>
      <c r="J409">
        <f t="shared" si="89"/>
        <v>0</v>
      </c>
      <c r="K409">
        <f t="shared" si="89"/>
        <v>0</v>
      </c>
      <c r="L409">
        <f t="shared" si="89"/>
        <v>0</v>
      </c>
      <c r="M409">
        <f t="shared" si="89"/>
        <v>0</v>
      </c>
      <c r="N409">
        <f t="shared" si="89"/>
        <v>0</v>
      </c>
      <c r="O409">
        <f t="shared" si="89"/>
        <v>0</v>
      </c>
      <c r="P409">
        <f t="shared" si="89"/>
        <v>0</v>
      </c>
      <c r="Q409">
        <f t="shared" si="89"/>
        <v>0</v>
      </c>
      <c r="R409">
        <f t="shared" si="89"/>
        <v>0</v>
      </c>
      <c r="S409">
        <f t="shared" si="89"/>
        <v>0</v>
      </c>
      <c r="T409">
        <f t="shared" si="89"/>
        <v>0</v>
      </c>
      <c r="U409">
        <f t="shared" si="89"/>
        <v>0</v>
      </c>
      <c r="V409">
        <f t="shared" si="89"/>
        <v>0</v>
      </c>
      <c r="W409">
        <f t="shared" si="89"/>
        <v>0</v>
      </c>
      <c r="X409">
        <f t="shared" si="89"/>
        <v>0</v>
      </c>
      <c r="Y409">
        <f t="shared" si="88"/>
        <v>0</v>
      </c>
      <c r="Z409">
        <f t="shared" si="88"/>
        <v>0</v>
      </c>
      <c r="AA409">
        <f t="shared" si="88"/>
        <v>0</v>
      </c>
      <c r="AB409">
        <f t="shared" si="88"/>
        <v>0</v>
      </c>
      <c r="AC409">
        <f t="shared" si="88"/>
        <v>0</v>
      </c>
      <c r="AD409">
        <f t="shared" si="88"/>
        <v>0</v>
      </c>
      <c r="AE409">
        <f t="shared" si="88"/>
        <v>0</v>
      </c>
      <c r="AF409">
        <f t="shared" si="88"/>
        <v>0</v>
      </c>
      <c r="AG409">
        <f t="shared" si="88"/>
        <v>0</v>
      </c>
      <c r="AH409">
        <f t="shared" si="88"/>
        <v>0</v>
      </c>
      <c r="AI409">
        <f t="shared" si="88"/>
        <v>0</v>
      </c>
      <c r="AJ409">
        <f t="shared" si="88"/>
        <v>0</v>
      </c>
      <c r="AK409">
        <f t="shared" si="88"/>
        <v>0</v>
      </c>
      <c r="AL409">
        <f t="shared" si="88"/>
        <v>0</v>
      </c>
      <c r="AM409">
        <f t="shared" si="88"/>
        <v>0</v>
      </c>
      <c r="AN409">
        <f t="shared" si="88"/>
        <v>0</v>
      </c>
      <c r="AO409">
        <f t="shared" si="88"/>
        <v>0</v>
      </c>
      <c r="AP409">
        <f t="shared" si="88"/>
        <v>0</v>
      </c>
      <c r="AQ409">
        <f t="shared" si="88"/>
        <v>0</v>
      </c>
      <c r="AR409">
        <f t="shared" si="88"/>
        <v>0</v>
      </c>
    </row>
    <row r="410" spans="5:44" x14ac:dyDescent="0.2">
      <c r="E410" s="1">
        <f>moment_rate!$M410</f>
        <v>0.25890287478925189</v>
      </c>
      <c r="F410" s="1">
        <f t="shared" si="86"/>
        <v>5.1766787557396277E-3</v>
      </c>
      <c r="G410">
        <f>moment_rate!I410-0.005</f>
        <v>4.0299999999999585</v>
      </c>
      <c r="H410" s="1">
        <f t="shared" si="87"/>
        <v>0</v>
      </c>
      <c r="I410">
        <f t="shared" si="89"/>
        <v>0</v>
      </c>
      <c r="J410">
        <f t="shared" si="89"/>
        <v>0</v>
      </c>
      <c r="K410">
        <f t="shared" si="89"/>
        <v>0</v>
      </c>
      <c r="L410">
        <f t="shared" si="89"/>
        <v>0</v>
      </c>
      <c r="M410">
        <f t="shared" si="89"/>
        <v>0</v>
      </c>
      <c r="N410">
        <f t="shared" si="89"/>
        <v>0</v>
      </c>
      <c r="O410">
        <f t="shared" si="89"/>
        <v>0</v>
      </c>
      <c r="P410">
        <f t="shared" si="89"/>
        <v>0</v>
      </c>
      <c r="Q410">
        <f t="shared" si="89"/>
        <v>0</v>
      </c>
      <c r="R410">
        <f t="shared" si="89"/>
        <v>0</v>
      </c>
      <c r="S410">
        <f t="shared" si="89"/>
        <v>0</v>
      </c>
      <c r="T410">
        <f t="shared" si="89"/>
        <v>0</v>
      </c>
      <c r="U410">
        <f t="shared" si="89"/>
        <v>0</v>
      </c>
      <c r="V410">
        <f t="shared" si="89"/>
        <v>0</v>
      </c>
      <c r="W410">
        <f t="shared" si="89"/>
        <v>0</v>
      </c>
      <c r="X410">
        <f t="shared" si="89"/>
        <v>0</v>
      </c>
      <c r="Y410">
        <f t="shared" si="88"/>
        <v>0</v>
      </c>
      <c r="Z410">
        <f t="shared" si="88"/>
        <v>0</v>
      </c>
      <c r="AA410">
        <f t="shared" si="88"/>
        <v>0</v>
      </c>
      <c r="AB410">
        <f t="shared" si="88"/>
        <v>0</v>
      </c>
      <c r="AC410">
        <f t="shared" si="88"/>
        <v>0</v>
      </c>
      <c r="AD410">
        <f t="shared" si="88"/>
        <v>0</v>
      </c>
      <c r="AE410">
        <f t="shared" si="88"/>
        <v>0</v>
      </c>
      <c r="AF410">
        <f t="shared" si="88"/>
        <v>0</v>
      </c>
      <c r="AG410">
        <f t="shared" si="88"/>
        <v>0</v>
      </c>
      <c r="AH410">
        <f t="shared" si="88"/>
        <v>0</v>
      </c>
      <c r="AI410">
        <f t="shared" si="88"/>
        <v>0</v>
      </c>
      <c r="AJ410">
        <f t="shared" si="88"/>
        <v>0</v>
      </c>
      <c r="AK410">
        <f t="shared" si="88"/>
        <v>0</v>
      </c>
      <c r="AL410">
        <f t="shared" si="88"/>
        <v>0</v>
      </c>
      <c r="AM410">
        <f t="shared" ref="AI410:AR438" si="90">IF(AND($G410&gt;=AM$3,$G410&lt;AM$4),$F410,0)</f>
        <v>0</v>
      </c>
      <c r="AN410">
        <f t="shared" si="90"/>
        <v>0</v>
      </c>
      <c r="AO410">
        <f t="shared" si="90"/>
        <v>0</v>
      </c>
      <c r="AP410">
        <f t="shared" si="90"/>
        <v>0</v>
      </c>
      <c r="AQ410">
        <f t="shared" si="90"/>
        <v>0</v>
      </c>
      <c r="AR410">
        <f t="shared" si="90"/>
        <v>0</v>
      </c>
    </row>
    <row r="411" spans="5:44" x14ac:dyDescent="0.2">
      <c r="E411" s="1">
        <f>moment_rate!$M411</f>
        <v>0.25372619603351226</v>
      </c>
      <c r="F411" s="1">
        <f t="shared" si="86"/>
        <v>5.0705049989248907E-3</v>
      </c>
      <c r="G411">
        <f>moment_rate!I411-0.005</f>
        <v>4.0399999999999583</v>
      </c>
      <c r="H411" s="1">
        <f t="shared" si="87"/>
        <v>0</v>
      </c>
      <c r="I411">
        <f t="shared" si="89"/>
        <v>0</v>
      </c>
      <c r="J411">
        <f t="shared" si="89"/>
        <v>0</v>
      </c>
      <c r="K411">
        <f t="shared" si="89"/>
        <v>0</v>
      </c>
      <c r="L411">
        <f t="shared" si="89"/>
        <v>0</v>
      </c>
      <c r="M411">
        <f t="shared" si="89"/>
        <v>0</v>
      </c>
      <c r="N411">
        <f t="shared" si="89"/>
        <v>0</v>
      </c>
      <c r="O411">
        <f t="shared" si="89"/>
        <v>0</v>
      </c>
      <c r="P411">
        <f t="shared" si="89"/>
        <v>0</v>
      </c>
      <c r="Q411">
        <f t="shared" si="89"/>
        <v>0</v>
      </c>
      <c r="R411">
        <f t="shared" si="89"/>
        <v>0</v>
      </c>
      <c r="S411">
        <f t="shared" si="89"/>
        <v>0</v>
      </c>
      <c r="T411">
        <f t="shared" si="89"/>
        <v>0</v>
      </c>
      <c r="U411">
        <f t="shared" si="89"/>
        <v>0</v>
      </c>
      <c r="V411">
        <f t="shared" si="89"/>
        <v>0</v>
      </c>
      <c r="W411">
        <f t="shared" si="89"/>
        <v>0</v>
      </c>
      <c r="X411">
        <f t="shared" si="89"/>
        <v>0</v>
      </c>
      <c r="Y411">
        <f t="shared" ref="Y411:AJ426" si="91">IF(AND($G411&gt;=Y$3,$G411&lt;Y$4),$F411,0)</f>
        <v>0</v>
      </c>
      <c r="Z411">
        <f t="shared" si="91"/>
        <v>0</v>
      </c>
      <c r="AA411">
        <f t="shared" si="91"/>
        <v>0</v>
      </c>
      <c r="AB411">
        <f t="shared" si="91"/>
        <v>0</v>
      </c>
      <c r="AC411">
        <f t="shared" si="91"/>
        <v>0</v>
      </c>
      <c r="AD411">
        <f t="shared" si="91"/>
        <v>0</v>
      </c>
      <c r="AE411">
        <f t="shared" si="91"/>
        <v>0</v>
      </c>
      <c r="AF411">
        <f t="shared" si="91"/>
        <v>0</v>
      </c>
      <c r="AG411">
        <f t="shared" si="91"/>
        <v>0</v>
      </c>
      <c r="AH411">
        <f t="shared" si="91"/>
        <v>0</v>
      </c>
      <c r="AI411">
        <f t="shared" si="90"/>
        <v>0</v>
      </c>
      <c r="AJ411">
        <f t="shared" si="90"/>
        <v>0</v>
      </c>
      <c r="AK411">
        <f t="shared" si="90"/>
        <v>0</v>
      </c>
      <c r="AL411">
        <f t="shared" si="90"/>
        <v>0</v>
      </c>
      <c r="AM411">
        <f t="shared" si="90"/>
        <v>0</v>
      </c>
      <c r="AN411">
        <f t="shared" si="90"/>
        <v>0</v>
      </c>
      <c r="AO411">
        <f t="shared" si="90"/>
        <v>0</v>
      </c>
      <c r="AP411">
        <f t="shared" si="90"/>
        <v>0</v>
      </c>
      <c r="AQ411">
        <f t="shared" si="90"/>
        <v>0</v>
      </c>
      <c r="AR411">
        <f t="shared" si="90"/>
        <v>0</v>
      </c>
    </row>
    <row r="412" spans="5:44" x14ac:dyDescent="0.2">
      <c r="E412" s="1">
        <f>moment_rate!$M412</f>
        <v>0.24865569103458737</v>
      </c>
      <c r="F412" s="1">
        <f t="shared" si="86"/>
        <v>4.9665088674116786E-3</v>
      </c>
      <c r="G412">
        <f>moment_rate!I412-0.005</f>
        <v>4.0499999999999581</v>
      </c>
      <c r="H412" s="1">
        <f t="shared" si="87"/>
        <v>0</v>
      </c>
      <c r="I412">
        <f t="shared" si="89"/>
        <v>0</v>
      </c>
      <c r="J412">
        <f t="shared" si="89"/>
        <v>0</v>
      </c>
      <c r="K412">
        <f t="shared" si="89"/>
        <v>0</v>
      </c>
      <c r="L412">
        <f t="shared" si="89"/>
        <v>0</v>
      </c>
      <c r="M412">
        <f t="shared" si="89"/>
        <v>0</v>
      </c>
      <c r="N412">
        <f t="shared" si="89"/>
        <v>0</v>
      </c>
      <c r="O412">
        <f t="shared" si="89"/>
        <v>0</v>
      </c>
      <c r="P412">
        <f t="shared" si="89"/>
        <v>0</v>
      </c>
      <c r="Q412">
        <f t="shared" si="89"/>
        <v>0</v>
      </c>
      <c r="R412">
        <f t="shared" si="89"/>
        <v>0</v>
      </c>
      <c r="S412">
        <f t="shared" si="89"/>
        <v>0</v>
      </c>
      <c r="T412">
        <f t="shared" si="89"/>
        <v>0</v>
      </c>
      <c r="U412">
        <f t="shared" si="89"/>
        <v>0</v>
      </c>
      <c r="V412">
        <f t="shared" si="89"/>
        <v>0</v>
      </c>
      <c r="W412">
        <f t="shared" si="89"/>
        <v>0</v>
      </c>
      <c r="X412">
        <f t="shared" si="89"/>
        <v>0</v>
      </c>
      <c r="Y412">
        <f t="shared" si="91"/>
        <v>0</v>
      </c>
      <c r="Z412">
        <f t="shared" si="91"/>
        <v>0</v>
      </c>
      <c r="AA412">
        <f t="shared" si="91"/>
        <v>0</v>
      </c>
      <c r="AB412">
        <f t="shared" si="91"/>
        <v>0</v>
      </c>
      <c r="AC412">
        <f t="shared" si="91"/>
        <v>0</v>
      </c>
      <c r="AD412">
        <f t="shared" si="91"/>
        <v>0</v>
      </c>
      <c r="AE412">
        <f t="shared" si="91"/>
        <v>0</v>
      </c>
      <c r="AF412">
        <f t="shared" si="91"/>
        <v>0</v>
      </c>
      <c r="AG412">
        <f t="shared" si="91"/>
        <v>0</v>
      </c>
      <c r="AH412">
        <f t="shared" si="91"/>
        <v>0</v>
      </c>
      <c r="AI412">
        <f t="shared" si="90"/>
        <v>0</v>
      </c>
      <c r="AJ412">
        <f t="shared" si="90"/>
        <v>0</v>
      </c>
      <c r="AK412">
        <f t="shared" si="90"/>
        <v>0</v>
      </c>
      <c r="AL412">
        <f t="shared" si="90"/>
        <v>0</v>
      </c>
      <c r="AM412">
        <f t="shared" si="90"/>
        <v>0</v>
      </c>
      <c r="AN412">
        <f t="shared" si="90"/>
        <v>0</v>
      </c>
      <c r="AO412">
        <f t="shared" si="90"/>
        <v>0</v>
      </c>
      <c r="AP412">
        <f t="shared" si="90"/>
        <v>0</v>
      </c>
      <c r="AQ412">
        <f t="shared" si="90"/>
        <v>0</v>
      </c>
      <c r="AR412">
        <f t="shared" si="90"/>
        <v>0</v>
      </c>
    </row>
    <row r="413" spans="5:44" x14ac:dyDescent="0.2">
      <c r="E413" s="1">
        <f>moment_rate!$M413</f>
        <v>0.24368918216717569</v>
      </c>
      <c r="F413" s="1">
        <f t="shared" si="86"/>
        <v>4.8646456980732389E-3</v>
      </c>
      <c r="G413">
        <f>moment_rate!I413-0.005</f>
        <v>4.0599999999999579</v>
      </c>
      <c r="H413" s="1">
        <f t="shared" si="87"/>
        <v>0</v>
      </c>
      <c r="I413">
        <f t="shared" si="89"/>
        <v>0</v>
      </c>
      <c r="J413">
        <f t="shared" si="89"/>
        <v>0</v>
      </c>
      <c r="K413">
        <f t="shared" si="89"/>
        <v>0</v>
      </c>
      <c r="L413">
        <f t="shared" si="89"/>
        <v>0</v>
      </c>
      <c r="M413">
        <f t="shared" si="89"/>
        <v>0</v>
      </c>
      <c r="N413">
        <f t="shared" si="89"/>
        <v>0</v>
      </c>
      <c r="O413">
        <f t="shared" si="89"/>
        <v>0</v>
      </c>
      <c r="P413">
        <f t="shared" si="89"/>
        <v>0</v>
      </c>
      <c r="Q413">
        <f t="shared" si="89"/>
        <v>0</v>
      </c>
      <c r="R413">
        <f t="shared" si="89"/>
        <v>0</v>
      </c>
      <c r="S413">
        <f t="shared" si="89"/>
        <v>0</v>
      </c>
      <c r="T413">
        <f t="shared" si="89"/>
        <v>0</v>
      </c>
      <c r="U413">
        <f t="shared" si="89"/>
        <v>0</v>
      </c>
      <c r="V413">
        <f t="shared" si="89"/>
        <v>0</v>
      </c>
      <c r="W413">
        <f t="shared" si="89"/>
        <v>0</v>
      </c>
      <c r="X413">
        <f t="shared" si="89"/>
        <v>0</v>
      </c>
      <c r="Y413">
        <f t="shared" si="91"/>
        <v>0</v>
      </c>
      <c r="Z413">
        <f t="shared" si="91"/>
        <v>0</v>
      </c>
      <c r="AA413">
        <f t="shared" si="91"/>
        <v>0</v>
      </c>
      <c r="AB413">
        <f t="shared" si="91"/>
        <v>0</v>
      </c>
      <c r="AC413">
        <f t="shared" si="91"/>
        <v>0</v>
      </c>
      <c r="AD413">
        <f t="shared" si="91"/>
        <v>0</v>
      </c>
      <c r="AE413">
        <f t="shared" si="91"/>
        <v>0</v>
      </c>
      <c r="AF413">
        <f t="shared" si="91"/>
        <v>0</v>
      </c>
      <c r="AG413">
        <f t="shared" si="91"/>
        <v>0</v>
      </c>
      <c r="AH413">
        <f t="shared" si="91"/>
        <v>0</v>
      </c>
      <c r="AI413">
        <f t="shared" si="91"/>
        <v>0</v>
      </c>
      <c r="AJ413">
        <f t="shared" si="91"/>
        <v>0</v>
      </c>
      <c r="AK413">
        <f t="shared" si="90"/>
        <v>0</v>
      </c>
      <c r="AL413">
        <f t="shared" si="90"/>
        <v>0</v>
      </c>
      <c r="AM413">
        <f t="shared" si="90"/>
        <v>0</v>
      </c>
      <c r="AN413">
        <f t="shared" si="90"/>
        <v>0</v>
      </c>
      <c r="AO413">
        <f t="shared" si="90"/>
        <v>0</v>
      </c>
      <c r="AP413">
        <f t="shared" si="90"/>
        <v>0</v>
      </c>
      <c r="AQ413">
        <f t="shared" si="90"/>
        <v>0</v>
      </c>
      <c r="AR413">
        <f t="shared" si="90"/>
        <v>0</v>
      </c>
    </row>
    <row r="414" spans="5:44" x14ac:dyDescent="0.2">
      <c r="E414" s="1">
        <f>moment_rate!$M414</f>
        <v>0.23882453646910246</v>
      </c>
      <c r="F414" s="1">
        <f t="shared" si="86"/>
        <v>4.764871743824256E-3</v>
      </c>
      <c r="G414">
        <f>moment_rate!I414-0.005</f>
        <v>4.0699999999999577</v>
      </c>
      <c r="H414" s="1">
        <f t="shared" si="87"/>
        <v>0</v>
      </c>
      <c r="I414">
        <f t="shared" si="89"/>
        <v>0</v>
      </c>
      <c r="J414">
        <f t="shared" si="89"/>
        <v>0</v>
      </c>
      <c r="K414">
        <f t="shared" si="89"/>
        <v>0</v>
      </c>
      <c r="L414">
        <f t="shared" si="89"/>
        <v>0</v>
      </c>
      <c r="M414">
        <f t="shared" si="89"/>
        <v>0</v>
      </c>
      <c r="N414">
        <f t="shared" si="89"/>
        <v>0</v>
      </c>
      <c r="O414">
        <f t="shared" si="89"/>
        <v>0</v>
      </c>
      <c r="P414">
        <f t="shared" si="89"/>
        <v>0</v>
      </c>
      <c r="Q414">
        <f t="shared" si="89"/>
        <v>0</v>
      </c>
      <c r="R414">
        <f t="shared" si="89"/>
        <v>0</v>
      </c>
      <c r="S414">
        <f t="shared" si="89"/>
        <v>0</v>
      </c>
      <c r="T414">
        <f t="shared" si="89"/>
        <v>0</v>
      </c>
      <c r="U414">
        <f t="shared" si="89"/>
        <v>0</v>
      </c>
      <c r="V414">
        <f t="shared" si="89"/>
        <v>0</v>
      </c>
      <c r="W414">
        <f t="shared" si="89"/>
        <v>0</v>
      </c>
      <c r="X414">
        <f>IF(AND($G414&gt;=X$3,$G414&lt;X$4),$F414,0)</f>
        <v>0</v>
      </c>
      <c r="Y414">
        <f>IF(AND($G414&gt;=Y$3,$G414&lt;Y$4),$F414,0)</f>
        <v>0</v>
      </c>
      <c r="Z414">
        <f t="shared" si="91"/>
        <v>0</v>
      </c>
      <c r="AA414">
        <f t="shared" si="91"/>
        <v>0</v>
      </c>
      <c r="AB414">
        <f t="shared" si="91"/>
        <v>0</v>
      </c>
      <c r="AC414">
        <f t="shared" si="91"/>
        <v>0</v>
      </c>
      <c r="AD414">
        <f t="shared" si="91"/>
        <v>0</v>
      </c>
      <c r="AE414">
        <f t="shared" si="91"/>
        <v>0</v>
      </c>
      <c r="AF414">
        <f t="shared" si="91"/>
        <v>0</v>
      </c>
      <c r="AG414">
        <f t="shared" si="91"/>
        <v>0</v>
      </c>
      <c r="AH414">
        <f t="shared" si="91"/>
        <v>0</v>
      </c>
      <c r="AI414">
        <f t="shared" si="91"/>
        <v>0</v>
      </c>
      <c r="AJ414">
        <f t="shared" si="91"/>
        <v>0</v>
      </c>
      <c r="AK414">
        <f t="shared" si="90"/>
        <v>0</v>
      </c>
      <c r="AL414">
        <f t="shared" si="90"/>
        <v>0</v>
      </c>
      <c r="AM414">
        <f t="shared" si="90"/>
        <v>0</v>
      </c>
      <c r="AN414">
        <f t="shared" si="90"/>
        <v>0</v>
      </c>
      <c r="AO414">
        <f t="shared" si="90"/>
        <v>0</v>
      </c>
      <c r="AP414">
        <f t="shared" si="90"/>
        <v>0</v>
      </c>
      <c r="AQ414">
        <f t="shared" si="90"/>
        <v>0</v>
      </c>
      <c r="AR414">
        <f t="shared" si="90"/>
        <v>0</v>
      </c>
    </row>
    <row r="415" spans="5:44" x14ac:dyDescent="0.2">
      <c r="E415" s="1">
        <f>moment_rate!$M415</f>
        <v>0.2340596647252782</v>
      </c>
      <c r="F415" s="1">
        <f t="shared" si="86"/>
        <v>4.6671441548327697E-3</v>
      </c>
      <c r="G415">
        <f>moment_rate!I415-0.005</f>
        <v>4.0799999999999574</v>
      </c>
      <c r="H415" s="1">
        <f t="shared" si="87"/>
        <v>0</v>
      </c>
      <c r="I415">
        <f t="shared" ref="I415:X430" si="92">IF(AND($G415&gt;=I$3,$G415&lt;I$4),$F415,0)</f>
        <v>0</v>
      </c>
      <c r="J415">
        <f t="shared" si="92"/>
        <v>0</v>
      </c>
      <c r="K415">
        <f t="shared" si="92"/>
        <v>0</v>
      </c>
      <c r="L415">
        <f t="shared" si="92"/>
        <v>0</v>
      </c>
      <c r="M415">
        <f t="shared" si="92"/>
        <v>0</v>
      </c>
      <c r="N415">
        <f t="shared" si="92"/>
        <v>0</v>
      </c>
      <c r="O415">
        <f t="shared" si="92"/>
        <v>0</v>
      </c>
      <c r="P415">
        <f t="shared" si="92"/>
        <v>0</v>
      </c>
      <c r="Q415">
        <f t="shared" si="92"/>
        <v>0</v>
      </c>
      <c r="R415">
        <f t="shared" si="92"/>
        <v>0</v>
      </c>
      <c r="S415">
        <f t="shared" si="92"/>
        <v>0</v>
      </c>
      <c r="T415">
        <f t="shared" si="92"/>
        <v>0</v>
      </c>
      <c r="U415">
        <f t="shared" si="92"/>
        <v>0</v>
      </c>
      <c r="V415">
        <f t="shared" si="92"/>
        <v>0</v>
      </c>
      <c r="W415">
        <f t="shared" si="92"/>
        <v>0</v>
      </c>
      <c r="X415">
        <f t="shared" si="92"/>
        <v>0</v>
      </c>
      <c r="Y415">
        <f t="shared" ref="Y415:Y429" si="93">IF(AND($G415&gt;=Y$3,$G415&lt;Y$4),$F415,0)</f>
        <v>0</v>
      </c>
      <c r="Z415">
        <f t="shared" si="91"/>
        <v>0</v>
      </c>
      <c r="AA415">
        <f t="shared" si="91"/>
        <v>0</v>
      </c>
      <c r="AB415">
        <f t="shared" si="91"/>
        <v>0</v>
      </c>
      <c r="AC415">
        <f t="shared" si="91"/>
        <v>0</v>
      </c>
      <c r="AD415">
        <f t="shared" si="91"/>
        <v>0</v>
      </c>
      <c r="AE415">
        <f t="shared" si="91"/>
        <v>0</v>
      </c>
      <c r="AF415">
        <f t="shared" si="91"/>
        <v>0</v>
      </c>
      <c r="AG415">
        <f t="shared" si="91"/>
        <v>0</v>
      </c>
      <c r="AH415">
        <f t="shared" si="91"/>
        <v>0</v>
      </c>
      <c r="AI415">
        <f t="shared" si="91"/>
        <v>0</v>
      </c>
      <c r="AJ415">
        <f t="shared" si="91"/>
        <v>0</v>
      </c>
      <c r="AK415">
        <f t="shared" si="90"/>
        <v>0</v>
      </c>
      <c r="AL415">
        <f t="shared" si="90"/>
        <v>0</v>
      </c>
      <c r="AM415">
        <f t="shared" si="90"/>
        <v>0</v>
      </c>
      <c r="AN415">
        <f t="shared" si="90"/>
        <v>0</v>
      </c>
      <c r="AO415">
        <f t="shared" si="90"/>
        <v>0</v>
      </c>
      <c r="AP415">
        <f t="shared" si="90"/>
        <v>0</v>
      </c>
      <c r="AQ415">
        <f t="shared" si="90"/>
        <v>0</v>
      </c>
      <c r="AR415">
        <f t="shared" si="90"/>
        <v>0</v>
      </c>
    </row>
    <row r="416" spans="5:44" x14ac:dyDescent="0.2">
      <c r="E416" s="1">
        <f>moment_rate!$M416</f>
        <v>0.22939252057044543</v>
      </c>
      <c r="F416" s="1">
        <f t="shared" si="86"/>
        <v>4.571420960117395E-3</v>
      </c>
      <c r="G416">
        <f>moment_rate!I416-0.005</f>
        <v>4.0899999999999572</v>
      </c>
      <c r="H416" s="1">
        <f t="shared" si="87"/>
        <v>0</v>
      </c>
      <c r="I416">
        <f t="shared" si="92"/>
        <v>0</v>
      </c>
      <c r="J416">
        <f t="shared" si="92"/>
        <v>0</v>
      </c>
      <c r="K416">
        <f t="shared" si="92"/>
        <v>0</v>
      </c>
      <c r="L416">
        <f t="shared" si="92"/>
        <v>0</v>
      </c>
      <c r="M416">
        <f t="shared" si="92"/>
        <v>0</v>
      </c>
      <c r="N416">
        <f t="shared" si="92"/>
        <v>0</v>
      </c>
      <c r="O416">
        <f t="shared" si="92"/>
        <v>0</v>
      </c>
      <c r="P416">
        <f t="shared" si="92"/>
        <v>0</v>
      </c>
      <c r="Q416">
        <f t="shared" si="92"/>
        <v>0</v>
      </c>
      <c r="R416">
        <f t="shared" si="92"/>
        <v>0</v>
      </c>
      <c r="S416">
        <f t="shared" si="92"/>
        <v>0</v>
      </c>
      <c r="T416">
        <f t="shared" si="92"/>
        <v>0</v>
      </c>
      <c r="U416">
        <f t="shared" si="92"/>
        <v>0</v>
      </c>
      <c r="V416">
        <f t="shared" si="92"/>
        <v>0</v>
      </c>
      <c r="W416">
        <f t="shared" si="92"/>
        <v>0</v>
      </c>
      <c r="X416">
        <f t="shared" si="92"/>
        <v>0</v>
      </c>
      <c r="Y416">
        <f t="shared" si="93"/>
        <v>0</v>
      </c>
      <c r="Z416">
        <f t="shared" si="91"/>
        <v>0</v>
      </c>
      <c r="AA416">
        <f t="shared" si="91"/>
        <v>0</v>
      </c>
      <c r="AB416">
        <f t="shared" si="91"/>
        <v>0</v>
      </c>
      <c r="AC416">
        <f t="shared" si="91"/>
        <v>0</v>
      </c>
      <c r="AD416">
        <f t="shared" si="91"/>
        <v>0</v>
      </c>
      <c r="AE416">
        <f t="shared" si="91"/>
        <v>0</v>
      </c>
      <c r="AF416">
        <f t="shared" si="91"/>
        <v>0</v>
      </c>
      <c r="AG416">
        <f t="shared" si="91"/>
        <v>0</v>
      </c>
      <c r="AH416">
        <f t="shared" si="91"/>
        <v>0</v>
      </c>
      <c r="AI416">
        <f t="shared" si="91"/>
        <v>0</v>
      </c>
      <c r="AJ416">
        <f t="shared" si="91"/>
        <v>0</v>
      </c>
      <c r="AK416">
        <f t="shared" si="90"/>
        <v>0</v>
      </c>
      <c r="AL416">
        <f t="shared" si="90"/>
        <v>0</v>
      </c>
      <c r="AM416">
        <f t="shared" si="90"/>
        <v>0</v>
      </c>
      <c r="AN416">
        <f t="shared" si="90"/>
        <v>0</v>
      </c>
      <c r="AO416">
        <f t="shared" si="90"/>
        <v>0</v>
      </c>
      <c r="AP416">
        <f t="shared" si="90"/>
        <v>0</v>
      </c>
      <c r="AQ416">
        <f t="shared" si="90"/>
        <v>0</v>
      </c>
      <c r="AR416">
        <f t="shared" si="90"/>
        <v>0</v>
      </c>
    </row>
    <row r="417" spans="5:44" x14ac:dyDescent="0.2">
      <c r="E417" s="1">
        <f>moment_rate!$M417</f>
        <v>0.22482109961032803</v>
      </c>
      <c r="F417" s="1">
        <f t="shared" si="86"/>
        <v>4.4776610495224634E-3</v>
      </c>
      <c r="G417">
        <f>moment_rate!I417-0.005</f>
        <v>4.099999999999957</v>
      </c>
      <c r="H417" s="1">
        <f t="shared" si="87"/>
        <v>0</v>
      </c>
      <c r="I417">
        <f t="shared" si="92"/>
        <v>0</v>
      </c>
      <c r="J417">
        <f t="shared" si="92"/>
        <v>0</v>
      </c>
      <c r="K417">
        <f t="shared" si="92"/>
        <v>0</v>
      </c>
      <c r="L417">
        <f t="shared" si="92"/>
        <v>0</v>
      </c>
      <c r="M417">
        <f t="shared" si="92"/>
        <v>0</v>
      </c>
      <c r="N417">
        <f t="shared" si="92"/>
        <v>0</v>
      </c>
      <c r="O417">
        <f t="shared" si="92"/>
        <v>0</v>
      </c>
      <c r="P417">
        <f t="shared" si="92"/>
        <v>0</v>
      </c>
      <c r="Q417">
        <f t="shared" si="92"/>
        <v>0</v>
      </c>
      <c r="R417">
        <f t="shared" si="92"/>
        <v>0</v>
      </c>
      <c r="S417">
        <f t="shared" si="92"/>
        <v>0</v>
      </c>
      <c r="T417">
        <f t="shared" si="92"/>
        <v>0</v>
      </c>
      <c r="U417">
        <f t="shared" si="92"/>
        <v>0</v>
      </c>
      <c r="V417">
        <f t="shared" si="92"/>
        <v>0</v>
      </c>
      <c r="W417">
        <f t="shared" si="92"/>
        <v>0</v>
      </c>
      <c r="X417">
        <f t="shared" si="92"/>
        <v>0</v>
      </c>
      <c r="Y417">
        <f t="shared" si="93"/>
        <v>0</v>
      </c>
      <c r="Z417">
        <f t="shared" si="91"/>
        <v>0</v>
      </c>
      <c r="AA417">
        <f t="shared" si="91"/>
        <v>0</v>
      </c>
      <c r="AB417">
        <f t="shared" si="91"/>
        <v>0</v>
      </c>
      <c r="AC417">
        <f t="shared" si="91"/>
        <v>0</v>
      </c>
      <c r="AD417">
        <f t="shared" si="91"/>
        <v>0</v>
      </c>
      <c r="AE417">
        <f t="shared" si="91"/>
        <v>0</v>
      </c>
      <c r="AF417">
        <f t="shared" si="91"/>
        <v>0</v>
      </c>
      <c r="AG417">
        <f t="shared" si="91"/>
        <v>0</v>
      </c>
      <c r="AH417">
        <f t="shared" si="91"/>
        <v>0</v>
      </c>
      <c r="AI417">
        <f t="shared" si="91"/>
        <v>0</v>
      </c>
      <c r="AJ417">
        <f t="shared" si="91"/>
        <v>0</v>
      </c>
      <c r="AK417">
        <f t="shared" si="90"/>
        <v>0</v>
      </c>
      <c r="AL417">
        <f t="shared" si="90"/>
        <v>0</v>
      </c>
      <c r="AM417">
        <f t="shared" si="90"/>
        <v>0</v>
      </c>
      <c r="AN417">
        <f t="shared" si="90"/>
        <v>0</v>
      </c>
      <c r="AO417">
        <f t="shared" si="90"/>
        <v>0</v>
      </c>
      <c r="AP417">
        <f t="shared" si="90"/>
        <v>0</v>
      </c>
      <c r="AQ417">
        <f t="shared" si="90"/>
        <v>0</v>
      </c>
      <c r="AR417">
        <f t="shared" si="90"/>
        <v>0</v>
      </c>
    </row>
    <row r="418" spans="5:44" x14ac:dyDescent="0.2">
      <c r="E418" s="1">
        <f>moment_rate!$M418</f>
        <v>0.22034343856080557</v>
      </c>
      <c r="F418" s="1">
        <f t="shared" si="86"/>
        <v>4.3858241560618683E-3</v>
      </c>
      <c r="G418">
        <f>moment_rate!I418-0.005</f>
        <v>4.1099999999999568</v>
      </c>
      <c r="H418" s="1">
        <f t="shared" si="87"/>
        <v>0</v>
      </c>
      <c r="I418">
        <f t="shared" si="92"/>
        <v>0</v>
      </c>
      <c r="J418">
        <f t="shared" si="92"/>
        <v>0</v>
      </c>
      <c r="K418">
        <f t="shared" si="92"/>
        <v>0</v>
      </c>
      <c r="L418">
        <f t="shared" si="92"/>
        <v>0</v>
      </c>
      <c r="M418">
        <f t="shared" si="92"/>
        <v>0</v>
      </c>
      <c r="N418">
        <f t="shared" si="92"/>
        <v>0</v>
      </c>
      <c r="O418">
        <f t="shared" si="92"/>
        <v>0</v>
      </c>
      <c r="P418">
        <f t="shared" si="92"/>
        <v>0</v>
      </c>
      <c r="Q418">
        <f t="shared" si="92"/>
        <v>0</v>
      </c>
      <c r="R418">
        <f t="shared" si="92"/>
        <v>0</v>
      </c>
      <c r="S418">
        <f t="shared" si="92"/>
        <v>0</v>
      </c>
      <c r="T418">
        <f t="shared" si="92"/>
        <v>0</v>
      </c>
      <c r="U418">
        <f t="shared" si="92"/>
        <v>0</v>
      </c>
      <c r="V418">
        <f t="shared" si="92"/>
        <v>0</v>
      </c>
      <c r="W418">
        <f t="shared" si="92"/>
        <v>0</v>
      </c>
      <c r="X418">
        <f t="shared" si="92"/>
        <v>0</v>
      </c>
      <c r="Y418">
        <f t="shared" si="93"/>
        <v>0</v>
      </c>
      <c r="Z418">
        <f t="shared" si="91"/>
        <v>0</v>
      </c>
      <c r="AA418">
        <f t="shared" si="91"/>
        <v>0</v>
      </c>
      <c r="AB418">
        <f t="shared" si="91"/>
        <v>0</v>
      </c>
      <c r="AC418">
        <f t="shared" si="91"/>
        <v>0</v>
      </c>
      <c r="AD418">
        <f t="shared" si="91"/>
        <v>0</v>
      </c>
      <c r="AE418">
        <f t="shared" si="91"/>
        <v>0</v>
      </c>
      <c r="AF418">
        <f t="shared" si="91"/>
        <v>0</v>
      </c>
      <c r="AG418">
        <f t="shared" si="91"/>
        <v>0</v>
      </c>
      <c r="AH418">
        <f t="shared" si="91"/>
        <v>0</v>
      </c>
      <c r="AI418">
        <f t="shared" si="91"/>
        <v>0</v>
      </c>
      <c r="AJ418">
        <f t="shared" si="91"/>
        <v>0</v>
      </c>
      <c r="AK418">
        <f t="shared" si="90"/>
        <v>0</v>
      </c>
      <c r="AL418">
        <f t="shared" si="90"/>
        <v>0</v>
      </c>
      <c r="AM418">
        <f t="shared" si="90"/>
        <v>0</v>
      </c>
      <c r="AN418">
        <f t="shared" si="90"/>
        <v>0</v>
      </c>
      <c r="AO418">
        <f t="shared" si="90"/>
        <v>0</v>
      </c>
      <c r="AP418">
        <f t="shared" si="90"/>
        <v>0</v>
      </c>
      <c r="AQ418">
        <f t="shared" si="90"/>
        <v>0</v>
      </c>
      <c r="AR418">
        <f t="shared" si="90"/>
        <v>0</v>
      </c>
    </row>
    <row r="419" spans="5:44" x14ac:dyDescent="0.2">
      <c r="E419" s="1">
        <f>moment_rate!$M419</f>
        <v>0.2159576144047437</v>
      </c>
      <c r="F419" s="1">
        <f t="shared" si="86"/>
        <v>4.2958708386260924E-3</v>
      </c>
      <c r="G419">
        <f>moment_rate!I419-0.005</f>
        <v>4.1199999999999566</v>
      </c>
      <c r="H419" s="1">
        <f t="shared" si="87"/>
        <v>0</v>
      </c>
      <c r="I419">
        <f t="shared" si="92"/>
        <v>0</v>
      </c>
      <c r="J419">
        <f t="shared" si="92"/>
        <v>0</v>
      </c>
      <c r="K419">
        <f t="shared" si="92"/>
        <v>0</v>
      </c>
      <c r="L419">
        <f t="shared" si="92"/>
        <v>0</v>
      </c>
      <c r="M419">
        <f t="shared" si="92"/>
        <v>0</v>
      </c>
      <c r="N419">
        <f t="shared" si="92"/>
        <v>0</v>
      </c>
      <c r="O419">
        <f t="shared" si="92"/>
        <v>0</v>
      </c>
      <c r="P419">
        <f t="shared" si="92"/>
        <v>0</v>
      </c>
      <c r="Q419">
        <f t="shared" si="92"/>
        <v>0</v>
      </c>
      <c r="R419">
        <f t="shared" si="92"/>
        <v>0</v>
      </c>
      <c r="S419">
        <f t="shared" si="92"/>
        <v>0</v>
      </c>
      <c r="T419">
        <f t="shared" si="92"/>
        <v>0</v>
      </c>
      <c r="U419">
        <f t="shared" si="92"/>
        <v>0</v>
      </c>
      <c r="V419">
        <f t="shared" si="92"/>
        <v>0</v>
      </c>
      <c r="W419">
        <f t="shared" si="92"/>
        <v>0</v>
      </c>
      <c r="X419">
        <f t="shared" si="92"/>
        <v>0</v>
      </c>
      <c r="Y419">
        <f t="shared" si="93"/>
        <v>0</v>
      </c>
      <c r="Z419">
        <f t="shared" si="91"/>
        <v>0</v>
      </c>
      <c r="AA419">
        <f t="shared" si="91"/>
        <v>0</v>
      </c>
      <c r="AB419">
        <f t="shared" si="91"/>
        <v>0</v>
      </c>
      <c r="AC419">
        <f t="shared" si="91"/>
        <v>0</v>
      </c>
      <c r="AD419">
        <f t="shared" si="91"/>
        <v>0</v>
      </c>
      <c r="AE419">
        <f t="shared" si="91"/>
        <v>0</v>
      </c>
      <c r="AF419">
        <f t="shared" si="91"/>
        <v>0</v>
      </c>
      <c r="AG419">
        <f t="shared" si="91"/>
        <v>0</v>
      </c>
      <c r="AH419">
        <f t="shared" si="91"/>
        <v>0</v>
      </c>
      <c r="AI419">
        <f t="shared" si="91"/>
        <v>0</v>
      </c>
      <c r="AJ419">
        <f t="shared" si="91"/>
        <v>0</v>
      </c>
      <c r="AK419">
        <f t="shared" si="90"/>
        <v>0</v>
      </c>
      <c r="AL419">
        <f t="shared" si="90"/>
        <v>0</v>
      </c>
      <c r="AM419">
        <f t="shared" si="90"/>
        <v>0</v>
      </c>
      <c r="AN419">
        <f t="shared" si="90"/>
        <v>0</v>
      </c>
      <c r="AO419">
        <f t="shared" si="90"/>
        <v>0</v>
      </c>
      <c r="AP419">
        <f t="shared" si="90"/>
        <v>0</v>
      </c>
      <c r="AQ419">
        <f t="shared" si="90"/>
        <v>0</v>
      </c>
      <c r="AR419">
        <f t="shared" si="90"/>
        <v>0</v>
      </c>
    </row>
    <row r="420" spans="5:44" x14ac:dyDescent="0.2">
      <c r="E420" s="1">
        <f>moment_rate!$M420</f>
        <v>0.21166174356611761</v>
      </c>
      <c r="F420" s="1">
        <f t="shared" si="86"/>
        <v>4.2077624650435907E-3</v>
      </c>
      <c r="G420">
        <f>moment_rate!I420-0.005</f>
        <v>4.1299999999999564</v>
      </c>
      <c r="H420" s="1">
        <f t="shared" si="87"/>
        <v>0</v>
      </c>
      <c r="I420">
        <f t="shared" si="92"/>
        <v>0</v>
      </c>
      <c r="J420">
        <f t="shared" si="92"/>
        <v>0</v>
      </c>
      <c r="K420">
        <f t="shared" si="92"/>
        <v>0</v>
      </c>
      <c r="L420">
        <f t="shared" si="92"/>
        <v>0</v>
      </c>
      <c r="M420">
        <f t="shared" si="92"/>
        <v>0</v>
      </c>
      <c r="N420">
        <f t="shared" si="92"/>
        <v>0</v>
      </c>
      <c r="O420">
        <f t="shared" si="92"/>
        <v>0</v>
      </c>
      <c r="P420">
        <f t="shared" si="92"/>
        <v>0</v>
      </c>
      <c r="Q420">
        <f t="shared" si="92"/>
        <v>0</v>
      </c>
      <c r="R420">
        <f t="shared" si="92"/>
        <v>0</v>
      </c>
      <c r="S420">
        <f t="shared" si="92"/>
        <v>0</v>
      </c>
      <c r="T420">
        <f t="shared" si="92"/>
        <v>0</v>
      </c>
      <c r="U420">
        <f t="shared" si="92"/>
        <v>0</v>
      </c>
      <c r="V420">
        <f t="shared" si="92"/>
        <v>0</v>
      </c>
      <c r="W420">
        <f t="shared" si="92"/>
        <v>0</v>
      </c>
      <c r="X420">
        <f t="shared" si="92"/>
        <v>0</v>
      </c>
      <c r="Y420">
        <f t="shared" si="93"/>
        <v>0</v>
      </c>
      <c r="Z420">
        <f t="shared" si="91"/>
        <v>0</v>
      </c>
      <c r="AA420">
        <f t="shared" si="91"/>
        <v>0</v>
      </c>
      <c r="AB420">
        <f t="shared" si="91"/>
        <v>0</v>
      </c>
      <c r="AC420">
        <f t="shared" si="91"/>
        <v>0</v>
      </c>
      <c r="AD420">
        <f t="shared" si="91"/>
        <v>0</v>
      </c>
      <c r="AE420">
        <f t="shared" si="91"/>
        <v>0</v>
      </c>
      <c r="AF420">
        <f t="shared" si="91"/>
        <v>0</v>
      </c>
      <c r="AG420">
        <f t="shared" si="91"/>
        <v>0</v>
      </c>
      <c r="AH420">
        <f t="shared" si="91"/>
        <v>0</v>
      </c>
      <c r="AI420">
        <f t="shared" si="91"/>
        <v>0</v>
      </c>
      <c r="AJ420">
        <f t="shared" si="91"/>
        <v>0</v>
      </c>
      <c r="AK420">
        <f t="shared" si="90"/>
        <v>0</v>
      </c>
      <c r="AL420">
        <f t="shared" si="90"/>
        <v>0</v>
      </c>
      <c r="AM420">
        <f t="shared" si="90"/>
        <v>0</v>
      </c>
      <c r="AN420">
        <f t="shared" si="90"/>
        <v>0</v>
      </c>
      <c r="AO420">
        <f t="shared" si="90"/>
        <v>0</v>
      </c>
      <c r="AP420">
        <f t="shared" si="90"/>
        <v>0</v>
      </c>
      <c r="AQ420">
        <f t="shared" si="90"/>
        <v>0</v>
      </c>
      <c r="AR420">
        <f t="shared" si="90"/>
        <v>0</v>
      </c>
    </row>
    <row r="421" spans="5:44" x14ac:dyDescent="0.2">
      <c r="E421" s="1">
        <f>moment_rate!$M421</f>
        <v>0.20745398110107402</v>
      </c>
      <c r="F421" s="1">
        <f t="shared" si="86"/>
        <v>4.121461195488757E-3</v>
      </c>
      <c r="G421">
        <f>moment_rate!I421-0.005</f>
        <v>4.1399999999999562</v>
      </c>
      <c r="H421" s="1">
        <f t="shared" si="87"/>
        <v>0</v>
      </c>
      <c r="I421">
        <f t="shared" si="92"/>
        <v>0</v>
      </c>
      <c r="J421">
        <f t="shared" si="92"/>
        <v>0</v>
      </c>
      <c r="K421">
        <f t="shared" si="92"/>
        <v>0</v>
      </c>
      <c r="L421">
        <f t="shared" si="92"/>
        <v>0</v>
      </c>
      <c r="M421">
        <f t="shared" si="92"/>
        <v>0</v>
      </c>
      <c r="N421">
        <f t="shared" si="92"/>
        <v>0</v>
      </c>
      <c r="O421">
        <f t="shared" si="92"/>
        <v>0</v>
      </c>
      <c r="P421">
        <f t="shared" si="92"/>
        <v>0</v>
      </c>
      <c r="Q421">
        <f t="shared" si="92"/>
        <v>0</v>
      </c>
      <c r="R421">
        <f t="shared" si="92"/>
        <v>0</v>
      </c>
      <c r="S421">
        <f t="shared" si="92"/>
        <v>0</v>
      </c>
      <c r="T421">
        <f t="shared" si="92"/>
        <v>0</v>
      </c>
      <c r="U421">
        <f t="shared" si="92"/>
        <v>0</v>
      </c>
      <c r="V421">
        <f t="shared" si="92"/>
        <v>0</v>
      </c>
      <c r="W421">
        <f t="shared" si="92"/>
        <v>0</v>
      </c>
      <c r="X421">
        <f t="shared" si="92"/>
        <v>0</v>
      </c>
      <c r="Y421">
        <f t="shared" si="93"/>
        <v>0</v>
      </c>
      <c r="Z421">
        <f t="shared" si="91"/>
        <v>0</v>
      </c>
      <c r="AA421">
        <f t="shared" si="91"/>
        <v>0</v>
      </c>
      <c r="AB421">
        <f t="shared" si="91"/>
        <v>0</v>
      </c>
      <c r="AC421">
        <f t="shared" si="91"/>
        <v>0</v>
      </c>
      <c r="AD421">
        <f t="shared" si="91"/>
        <v>0</v>
      </c>
      <c r="AE421">
        <f t="shared" si="91"/>
        <v>0</v>
      </c>
      <c r="AF421">
        <f t="shared" si="91"/>
        <v>0</v>
      </c>
      <c r="AG421">
        <f t="shared" si="91"/>
        <v>0</v>
      </c>
      <c r="AH421">
        <f t="shared" si="91"/>
        <v>0</v>
      </c>
      <c r="AI421">
        <f t="shared" si="91"/>
        <v>0</v>
      </c>
      <c r="AJ421">
        <f t="shared" si="91"/>
        <v>0</v>
      </c>
      <c r="AK421">
        <f t="shared" si="90"/>
        <v>0</v>
      </c>
      <c r="AL421">
        <f t="shared" si="90"/>
        <v>0</v>
      </c>
      <c r="AM421">
        <f t="shared" si="90"/>
        <v>0</v>
      </c>
      <c r="AN421">
        <f t="shared" si="90"/>
        <v>0</v>
      </c>
      <c r="AO421">
        <f t="shared" si="90"/>
        <v>0</v>
      </c>
      <c r="AP421">
        <f t="shared" si="90"/>
        <v>0</v>
      </c>
      <c r="AQ421">
        <f t="shared" si="90"/>
        <v>0</v>
      </c>
      <c r="AR421">
        <f t="shared" si="90"/>
        <v>0</v>
      </c>
    </row>
    <row r="422" spans="5:44" x14ac:dyDescent="0.2">
      <c r="E422" s="1">
        <f>moment_rate!$M422</f>
        <v>0.20333251990558526</v>
      </c>
      <c r="F422" s="1">
        <f t="shared" si="86"/>
        <v>4.036929966231867E-3</v>
      </c>
      <c r="G422">
        <f>moment_rate!I422-0.005</f>
        <v>4.1499999999999559</v>
      </c>
      <c r="H422" s="1">
        <f t="shared" si="87"/>
        <v>0</v>
      </c>
      <c r="I422">
        <f t="shared" si="92"/>
        <v>0</v>
      </c>
      <c r="J422">
        <f t="shared" si="92"/>
        <v>0</v>
      </c>
      <c r="K422">
        <f t="shared" si="92"/>
        <v>0</v>
      </c>
      <c r="L422">
        <f t="shared" si="92"/>
        <v>0</v>
      </c>
      <c r="M422">
        <f t="shared" si="92"/>
        <v>0</v>
      </c>
      <c r="N422">
        <f t="shared" si="92"/>
        <v>0</v>
      </c>
      <c r="O422">
        <f t="shared" si="92"/>
        <v>0</v>
      </c>
      <c r="P422">
        <f t="shared" si="92"/>
        <v>0</v>
      </c>
      <c r="Q422">
        <f t="shared" si="92"/>
        <v>0</v>
      </c>
      <c r="R422">
        <f t="shared" si="92"/>
        <v>0</v>
      </c>
      <c r="S422">
        <f t="shared" si="92"/>
        <v>0</v>
      </c>
      <c r="T422">
        <f t="shared" si="92"/>
        <v>0</v>
      </c>
      <c r="U422">
        <f t="shared" si="92"/>
        <v>0</v>
      </c>
      <c r="V422">
        <f t="shared" si="92"/>
        <v>0</v>
      </c>
      <c r="W422">
        <f t="shared" si="92"/>
        <v>0</v>
      </c>
      <c r="X422">
        <f t="shared" si="92"/>
        <v>0</v>
      </c>
      <c r="Y422">
        <f t="shared" si="93"/>
        <v>0</v>
      </c>
      <c r="Z422">
        <f t="shared" si="91"/>
        <v>0</v>
      </c>
      <c r="AA422">
        <f t="shared" si="91"/>
        <v>0</v>
      </c>
      <c r="AB422">
        <f t="shared" si="91"/>
        <v>0</v>
      </c>
      <c r="AC422">
        <f t="shared" si="91"/>
        <v>0</v>
      </c>
      <c r="AD422">
        <f t="shared" si="91"/>
        <v>0</v>
      </c>
      <c r="AE422">
        <f t="shared" si="91"/>
        <v>0</v>
      </c>
      <c r="AF422">
        <f t="shared" si="91"/>
        <v>0</v>
      </c>
      <c r="AG422">
        <f t="shared" si="91"/>
        <v>0</v>
      </c>
      <c r="AH422">
        <f t="shared" si="91"/>
        <v>0</v>
      </c>
      <c r="AI422">
        <f t="shared" si="91"/>
        <v>0</v>
      </c>
      <c r="AJ422">
        <f t="shared" si="91"/>
        <v>0</v>
      </c>
      <c r="AK422">
        <f t="shared" si="90"/>
        <v>0</v>
      </c>
      <c r="AL422">
        <f t="shared" si="90"/>
        <v>0</v>
      </c>
      <c r="AM422">
        <f t="shared" si="90"/>
        <v>0</v>
      </c>
      <c r="AN422">
        <f t="shared" si="90"/>
        <v>0</v>
      </c>
      <c r="AO422">
        <f t="shared" si="90"/>
        <v>0</v>
      </c>
      <c r="AP422">
        <f t="shared" si="90"/>
        <v>0</v>
      </c>
      <c r="AQ422">
        <f t="shared" si="90"/>
        <v>0</v>
      </c>
      <c r="AR422">
        <f t="shared" si="90"/>
        <v>0</v>
      </c>
    </row>
    <row r="423" spans="5:44" x14ac:dyDescent="0.2">
      <c r="E423" s="1">
        <f>moment_rate!$M423</f>
        <v>0.1992955899393534</v>
      </c>
      <c r="F423" s="1">
        <f t="shared" si="86"/>
        <v>3.9541324737203676E-3</v>
      </c>
      <c r="G423">
        <f>moment_rate!I423-0.005</f>
        <v>4.1599999999999557</v>
      </c>
      <c r="H423" s="1">
        <f t="shared" si="87"/>
        <v>0</v>
      </c>
      <c r="I423">
        <f t="shared" si="92"/>
        <v>0</v>
      </c>
      <c r="J423">
        <f t="shared" si="92"/>
        <v>0</v>
      </c>
      <c r="K423">
        <f t="shared" si="92"/>
        <v>0</v>
      </c>
      <c r="L423">
        <f t="shared" si="92"/>
        <v>0</v>
      </c>
      <c r="M423">
        <f t="shared" si="92"/>
        <v>0</v>
      </c>
      <c r="N423">
        <f t="shared" si="92"/>
        <v>0</v>
      </c>
      <c r="O423">
        <f t="shared" si="92"/>
        <v>0</v>
      </c>
      <c r="P423">
        <f t="shared" si="92"/>
        <v>0</v>
      </c>
      <c r="Q423">
        <f t="shared" si="92"/>
        <v>0</v>
      </c>
      <c r="R423">
        <f t="shared" si="92"/>
        <v>0</v>
      </c>
      <c r="S423">
        <f t="shared" si="92"/>
        <v>0</v>
      </c>
      <c r="T423">
        <f t="shared" si="92"/>
        <v>0</v>
      </c>
      <c r="U423">
        <f t="shared" si="92"/>
        <v>0</v>
      </c>
      <c r="V423">
        <f t="shared" si="92"/>
        <v>0</v>
      </c>
      <c r="W423">
        <f t="shared" si="92"/>
        <v>0</v>
      </c>
      <c r="X423">
        <f t="shared" si="92"/>
        <v>0</v>
      </c>
      <c r="Y423">
        <f t="shared" si="93"/>
        <v>0</v>
      </c>
      <c r="Z423">
        <f t="shared" si="91"/>
        <v>0</v>
      </c>
      <c r="AA423">
        <f t="shared" si="91"/>
        <v>0</v>
      </c>
      <c r="AB423">
        <f t="shared" si="91"/>
        <v>0</v>
      </c>
      <c r="AC423">
        <f t="shared" si="91"/>
        <v>0</v>
      </c>
      <c r="AD423">
        <f t="shared" si="91"/>
        <v>0</v>
      </c>
      <c r="AE423">
        <f t="shared" si="91"/>
        <v>0</v>
      </c>
      <c r="AF423">
        <f t="shared" si="91"/>
        <v>0</v>
      </c>
      <c r="AG423">
        <f t="shared" si="91"/>
        <v>0</v>
      </c>
      <c r="AH423">
        <f t="shared" si="91"/>
        <v>0</v>
      </c>
      <c r="AI423">
        <f t="shared" si="91"/>
        <v>0</v>
      </c>
      <c r="AJ423">
        <f t="shared" si="91"/>
        <v>0</v>
      </c>
      <c r="AK423">
        <f t="shared" si="90"/>
        <v>0</v>
      </c>
      <c r="AL423">
        <f t="shared" si="90"/>
        <v>0</v>
      </c>
      <c r="AM423">
        <f t="shared" si="90"/>
        <v>0</v>
      </c>
      <c r="AN423">
        <f t="shared" si="90"/>
        <v>0</v>
      </c>
      <c r="AO423">
        <f t="shared" si="90"/>
        <v>0</v>
      </c>
      <c r="AP423">
        <f t="shared" si="90"/>
        <v>0</v>
      </c>
      <c r="AQ423">
        <f t="shared" si="90"/>
        <v>0</v>
      </c>
      <c r="AR423">
        <f t="shared" si="90"/>
        <v>0</v>
      </c>
    </row>
    <row r="424" spans="5:44" x14ac:dyDescent="0.2">
      <c r="E424" s="1">
        <f>moment_rate!$M424</f>
        <v>0.19534145746563303</v>
      </c>
      <c r="F424" s="1">
        <f t="shared" si="86"/>
        <v>3.8730331589884037E-3</v>
      </c>
      <c r="G424">
        <f>moment_rate!I424-0.005</f>
        <v>4.1699999999999555</v>
      </c>
      <c r="H424" s="1">
        <f t="shared" si="87"/>
        <v>0</v>
      </c>
      <c r="I424">
        <f t="shared" si="92"/>
        <v>0</v>
      </c>
      <c r="J424">
        <f t="shared" si="92"/>
        <v>0</v>
      </c>
      <c r="K424">
        <f t="shared" si="92"/>
        <v>0</v>
      </c>
      <c r="L424">
        <f t="shared" si="92"/>
        <v>0</v>
      </c>
      <c r="M424">
        <f t="shared" si="92"/>
        <v>0</v>
      </c>
      <c r="N424">
        <f t="shared" si="92"/>
        <v>0</v>
      </c>
      <c r="O424">
        <f t="shared" si="92"/>
        <v>0</v>
      </c>
      <c r="P424">
        <f t="shared" si="92"/>
        <v>0</v>
      </c>
      <c r="Q424">
        <f t="shared" si="92"/>
        <v>0</v>
      </c>
      <c r="R424">
        <f t="shared" si="92"/>
        <v>0</v>
      </c>
      <c r="S424">
        <f t="shared" si="92"/>
        <v>0</v>
      </c>
      <c r="T424">
        <f t="shared" si="92"/>
        <v>0</v>
      </c>
      <c r="U424">
        <f t="shared" si="92"/>
        <v>0</v>
      </c>
      <c r="V424">
        <f t="shared" si="92"/>
        <v>0</v>
      </c>
      <c r="W424">
        <f t="shared" si="92"/>
        <v>0</v>
      </c>
      <c r="X424">
        <f t="shared" si="92"/>
        <v>0</v>
      </c>
      <c r="Y424">
        <f t="shared" si="93"/>
        <v>0</v>
      </c>
      <c r="Z424">
        <f t="shared" si="91"/>
        <v>0</v>
      </c>
      <c r="AA424">
        <f t="shared" si="91"/>
        <v>0</v>
      </c>
      <c r="AB424">
        <f t="shared" si="91"/>
        <v>0</v>
      </c>
      <c r="AC424">
        <f t="shared" si="91"/>
        <v>0</v>
      </c>
      <c r="AD424">
        <f t="shared" si="91"/>
        <v>0</v>
      </c>
      <c r="AE424">
        <f t="shared" si="91"/>
        <v>0</v>
      </c>
      <c r="AF424">
        <f t="shared" si="91"/>
        <v>0</v>
      </c>
      <c r="AG424">
        <f t="shared" si="91"/>
        <v>0</v>
      </c>
      <c r="AH424">
        <f t="shared" si="91"/>
        <v>0</v>
      </c>
      <c r="AI424">
        <f t="shared" si="91"/>
        <v>0</v>
      </c>
      <c r="AJ424">
        <f t="shared" si="91"/>
        <v>0</v>
      </c>
      <c r="AK424">
        <f t="shared" si="90"/>
        <v>0</v>
      </c>
      <c r="AL424">
        <f t="shared" si="90"/>
        <v>0</v>
      </c>
      <c r="AM424">
        <f t="shared" si="90"/>
        <v>0</v>
      </c>
      <c r="AN424">
        <f t="shared" si="90"/>
        <v>0</v>
      </c>
      <c r="AO424">
        <f t="shared" si="90"/>
        <v>0</v>
      </c>
      <c r="AP424">
        <f t="shared" si="90"/>
        <v>0</v>
      </c>
      <c r="AQ424">
        <f t="shared" si="90"/>
        <v>0</v>
      </c>
      <c r="AR424">
        <f t="shared" si="90"/>
        <v>0</v>
      </c>
    </row>
    <row r="425" spans="5:44" x14ac:dyDescent="0.2">
      <c r="E425" s="1">
        <f>moment_rate!$M425</f>
        <v>0.19146842430664462</v>
      </c>
      <c r="F425" s="1">
        <f t="shared" si="86"/>
        <v>3.793597192384951E-3</v>
      </c>
      <c r="G425">
        <f>moment_rate!I425-0.005</f>
        <v>4.1799999999999553</v>
      </c>
      <c r="H425" s="1">
        <f t="shared" si="87"/>
        <v>0</v>
      </c>
      <c r="I425">
        <f t="shared" si="92"/>
        <v>0</v>
      </c>
      <c r="J425">
        <f t="shared" si="92"/>
        <v>0</v>
      </c>
      <c r="K425">
        <f t="shared" si="92"/>
        <v>0</v>
      </c>
      <c r="L425">
        <f t="shared" si="92"/>
        <v>0</v>
      </c>
      <c r="M425">
        <f t="shared" si="92"/>
        <v>0</v>
      </c>
      <c r="N425">
        <f t="shared" si="92"/>
        <v>0</v>
      </c>
      <c r="O425">
        <f t="shared" si="92"/>
        <v>0</v>
      </c>
      <c r="P425">
        <f t="shared" si="92"/>
        <v>0</v>
      </c>
      <c r="Q425">
        <f t="shared" si="92"/>
        <v>0</v>
      </c>
      <c r="R425">
        <f t="shared" si="92"/>
        <v>0</v>
      </c>
      <c r="S425">
        <f t="shared" si="92"/>
        <v>0</v>
      </c>
      <c r="T425">
        <f t="shared" si="92"/>
        <v>0</v>
      </c>
      <c r="U425">
        <f t="shared" si="92"/>
        <v>0</v>
      </c>
      <c r="V425">
        <f t="shared" si="92"/>
        <v>0</v>
      </c>
      <c r="W425">
        <f t="shared" si="92"/>
        <v>0</v>
      </c>
      <c r="X425">
        <f t="shared" si="92"/>
        <v>0</v>
      </c>
      <c r="Y425">
        <f t="shared" si="93"/>
        <v>0</v>
      </c>
      <c r="Z425">
        <f t="shared" si="91"/>
        <v>0</v>
      </c>
      <c r="AA425">
        <f t="shared" si="91"/>
        <v>0</v>
      </c>
      <c r="AB425">
        <f t="shared" si="91"/>
        <v>0</v>
      </c>
      <c r="AC425">
        <f t="shared" si="91"/>
        <v>0</v>
      </c>
      <c r="AD425">
        <f t="shared" si="91"/>
        <v>0</v>
      </c>
      <c r="AE425">
        <f t="shared" si="91"/>
        <v>0</v>
      </c>
      <c r="AF425">
        <f t="shared" si="91"/>
        <v>0</v>
      </c>
      <c r="AG425">
        <f t="shared" si="91"/>
        <v>0</v>
      </c>
      <c r="AH425">
        <f t="shared" si="91"/>
        <v>0</v>
      </c>
      <c r="AI425">
        <f t="shared" si="91"/>
        <v>0</v>
      </c>
      <c r="AJ425">
        <f t="shared" si="91"/>
        <v>0</v>
      </c>
      <c r="AK425">
        <f t="shared" si="90"/>
        <v>0</v>
      </c>
      <c r="AL425">
        <f t="shared" si="90"/>
        <v>0</v>
      </c>
      <c r="AM425">
        <f t="shared" si="90"/>
        <v>0</v>
      </c>
      <c r="AN425">
        <f t="shared" si="90"/>
        <v>0</v>
      </c>
      <c r="AO425">
        <f t="shared" si="90"/>
        <v>0</v>
      </c>
      <c r="AP425">
        <f t="shared" si="90"/>
        <v>0</v>
      </c>
      <c r="AQ425">
        <f t="shared" si="90"/>
        <v>0</v>
      </c>
      <c r="AR425">
        <f t="shared" si="90"/>
        <v>0</v>
      </c>
    </row>
    <row r="426" spans="5:44" x14ac:dyDescent="0.2">
      <c r="E426" s="1">
        <f>moment_rate!$M426</f>
        <v>0.18767482711425967</v>
      </c>
      <c r="F426" s="1">
        <f t="shared" si="86"/>
        <v>3.7157904586156698E-3</v>
      </c>
      <c r="G426">
        <f>moment_rate!I426-0.005</f>
        <v>4.1899999999999551</v>
      </c>
      <c r="H426" s="1">
        <f t="shared" si="87"/>
        <v>0</v>
      </c>
      <c r="I426">
        <f t="shared" si="92"/>
        <v>0</v>
      </c>
      <c r="J426">
        <f t="shared" si="92"/>
        <v>0</v>
      </c>
      <c r="K426">
        <f t="shared" si="92"/>
        <v>0</v>
      </c>
      <c r="L426">
        <f t="shared" si="92"/>
        <v>0</v>
      </c>
      <c r="M426">
        <f t="shared" si="92"/>
        <v>0</v>
      </c>
      <c r="N426">
        <f t="shared" si="92"/>
        <v>0</v>
      </c>
      <c r="O426">
        <f t="shared" si="92"/>
        <v>0</v>
      </c>
      <c r="P426">
        <f t="shared" si="92"/>
        <v>0</v>
      </c>
      <c r="Q426">
        <f t="shared" si="92"/>
        <v>0</v>
      </c>
      <c r="R426">
        <f t="shared" si="92"/>
        <v>0</v>
      </c>
      <c r="S426">
        <f t="shared" si="92"/>
        <v>0</v>
      </c>
      <c r="T426">
        <f t="shared" si="92"/>
        <v>0</v>
      </c>
      <c r="U426">
        <f t="shared" si="92"/>
        <v>0</v>
      </c>
      <c r="V426">
        <f t="shared" si="92"/>
        <v>0</v>
      </c>
      <c r="W426">
        <f t="shared" si="92"/>
        <v>0</v>
      </c>
      <c r="X426">
        <f t="shared" si="92"/>
        <v>0</v>
      </c>
      <c r="Y426">
        <f t="shared" si="93"/>
        <v>0</v>
      </c>
      <c r="Z426">
        <f t="shared" si="91"/>
        <v>0</v>
      </c>
      <c r="AA426">
        <f t="shared" si="91"/>
        <v>0</v>
      </c>
      <c r="AB426">
        <f t="shared" si="91"/>
        <v>0</v>
      </c>
      <c r="AC426">
        <f t="shared" si="91"/>
        <v>0</v>
      </c>
      <c r="AD426">
        <f t="shared" si="91"/>
        <v>0</v>
      </c>
      <c r="AE426">
        <f t="shared" si="91"/>
        <v>0</v>
      </c>
      <c r="AF426">
        <f t="shared" si="91"/>
        <v>0</v>
      </c>
      <c r="AG426">
        <f t="shared" si="91"/>
        <v>0</v>
      </c>
      <c r="AH426">
        <f t="shared" si="91"/>
        <v>0</v>
      </c>
      <c r="AI426">
        <f t="shared" si="91"/>
        <v>0</v>
      </c>
      <c r="AJ426">
        <f t="shared" si="91"/>
        <v>0</v>
      </c>
      <c r="AK426">
        <f t="shared" si="90"/>
        <v>0</v>
      </c>
      <c r="AL426">
        <f t="shared" si="90"/>
        <v>0</v>
      </c>
      <c r="AM426">
        <f t="shared" si="90"/>
        <v>0</v>
      </c>
      <c r="AN426">
        <f t="shared" si="90"/>
        <v>0</v>
      </c>
      <c r="AO426">
        <f t="shared" si="90"/>
        <v>0</v>
      </c>
      <c r="AP426">
        <f t="shared" si="90"/>
        <v>0</v>
      </c>
      <c r="AQ426">
        <f t="shared" si="90"/>
        <v>0</v>
      </c>
      <c r="AR426">
        <f t="shared" si="90"/>
        <v>0</v>
      </c>
    </row>
    <row r="427" spans="5:44" x14ac:dyDescent="0.2">
      <c r="E427" s="1">
        <f>moment_rate!$M427</f>
        <v>0.183959036655644</v>
      </c>
      <c r="F427" s="1">
        <f t="shared" si="86"/>
        <v>3.6395795420912092E-3</v>
      </c>
      <c r="G427">
        <f>moment_rate!I427-0.005</f>
        <v>4.1999999999999549</v>
      </c>
      <c r="H427" s="1">
        <f t="shared" si="87"/>
        <v>0</v>
      </c>
      <c r="I427">
        <f t="shared" si="92"/>
        <v>0</v>
      </c>
      <c r="J427">
        <f t="shared" si="92"/>
        <v>0</v>
      </c>
      <c r="K427">
        <f t="shared" si="92"/>
        <v>0</v>
      </c>
      <c r="L427">
        <f t="shared" si="92"/>
        <v>0</v>
      </c>
      <c r="M427">
        <f t="shared" si="92"/>
        <v>0</v>
      </c>
      <c r="N427">
        <f t="shared" si="92"/>
        <v>0</v>
      </c>
      <c r="O427">
        <f t="shared" si="92"/>
        <v>0</v>
      </c>
      <c r="P427">
        <f t="shared" si="92"/>
        <v>0</v>
      </c>
      <c r="Q427">
        <f t="shared" si="92"/>
        <v>0</v>
      </c>
      <c r="R427">
        <f t="shared" si="92"/>
        <v>0</v>
      </c>
      <c r="S427">
        <f t="shared" si="92"/>
        <v>0</v>
      </c>
      <c r="T427">
        <f t="shared" si="92"/>
        <v>0</v>
      </c>
      <c r="U427">
        <f t="shared" si="92"/>
        <v>0</v>
      </c>
      <c r="V427">
        <f t="shared" si="92"/>
        <v>0</v>
      </c>
      <c r="W427">
        <f t="shared" si="92"/>
        <v>0</v>
      </c>
      <c r="X427">
        <f t="shared" si="92"/>
        <v>0</v>
      </c>
      <c r="Y427">
        <f t="shared" si="93"/>
        <v>0</v>
      </c>
      <c r="Z427">
        <f t="shared" ref="Z427:AJ429" si="94">IF(AND($G427&gt;=Z$3,$G427&lt;Z$4),$F427,0)</f>
        <v>0</v>
      </c>
      <c r="AA427">
        <f t="shared" si="94"/>
        <v>0</v>
      </c>
      <c r="AB427">
        <f t="shared" si="94"/>
        <v>0</v>
      </c>
      <c r="AC427">
        <f t="shared" si="94"/>
        <v>0</v>
      </c>
      <c r="AD427">
        <f t="shared" si="94"/>
        <v>0</v>
      </c>
      <c r="AE427">
        <f t="shared" si="94"/>
        <v>0</v>
      </c>
      <c r="AF427">
        <f t="shared" si="94"/>
        <v>0</v>
      </c>
      <c r="AG427">
        <f t="shared" si="94"/>
        <v>0</v>
      </c>
      <c r="AH427">
        <f t="shared" si="94"/>
        <v>0</v>
      </c>
      <c r="AI427">
        <f t="shared" si="94"/>
        <v>0</v>
      </c>
      <c r="AJ427">
        <f t="shared" si="94"/>
        <v>0</v>
      </c>
      <c r="AK427">
        <f t="shared" si="90"/>
        <v>0</v>
      </c>
      <c r="AL427">
        <f t="shared" si="90"/>
        <v>0</v>
      </c>
      <c r="AM427">
        <f t="shared" si="90"/>
        <v>0</v>
      </c>
      <c r="AN427">
        <f t="shared" si="90"/>
        <v>0</v>
      </c>
      <c r="AO427">
        <f t="shared" si="90"/>
        <v>0</v>
      </c>
      <c r="AP427">
        <f t="shared" si="90"/>
        <v>0</v>
      </c>
      <c r="AQ427">
        <f t="shared" si="90"/>
        <v>0</v>
      </c>
      <c r="AR427">
        <f t="shared" si="90"/>
        <v>0</v>
      </c>
    </row>
    <row r="428" spans="5:44" x14ac:dyDescent="0.2">
      <c r="E428" s="1">
        <f>moment_rate!$M428</f>
        <v>0.18031945711355279</v>
      </c>
      <c r="F428" s="1">
        <f t="shared" si="86"/>
        <v>3.564931712576741E-3</v>
      </c>
      <c r="G428">
        <f>moment_rate!I428-0.005</f>
        <v>4.2099999999999547</v>
      </c>
      <c r="H428" s="1">
        <f t="shared" si="87"/>
        <v>0</v>
      </c>
      <c r="I428">
        <f t="shared" si="92"/>
        <v>0</v>
      </c>
      <c r="J428">
        <f t="shared" si="92"/>
        <v>0</v>
      </c>
      <c r="K428">
        <f t="shared" si="92"/>
        <v>0</v>
      </c>
      <c r="L428">
        <f t="shared" si="92"/>
        <v>0</v>
      </c>
      <c r="M428">
        <f t="shared" si="92"/>
        <v>0</v>
      </c>
      <c r="N428">
        <f t="shared" si="92"/>
        <v>0</v>
      </c>
      <c r="O428">
        <f t="shared" si="92"/>
        <v>0</v>
      </c>
      <c r="P428">
        <f t="shared" si="92"/>
        <v>0</v>
      </c>
      <c r="Q428">
        <f t="shared" si="92"/>
        <v>0</v>
      </c>
      <c r="R428">
        <f t="shared" si="92"/>
        <v>0</v>
      </c>
      <c r="S428">
        <f t="shared" si="92"/>
        <v>0</v>
      </c>
      <c r="T428">
        <f t="shared" si="92"/>
        <v>0</v>
      </c>
      <c r="U428">
        <f t="shared" si="92"/>
        <v>0</v>
      </c>
      <c r="V428">
        <f t="shared" si="92"/>
        <v>0</v>
      </c>
      <c r="W428">
        <f t="shared" si="92"/>
        <v>0</v>
      </c>
      <c r="X428">
        <f t="shared" si="92"/>
        <v>0</v>
      </c>
      <c r="Y428">
        <f t="shared" si="93"/>
        <v>0</v>
      </c>
      <c r="Z428">
        <f t="shared" si="94"/>
        <v>0</v>
      </c>
      <c r="AA428">
        <f t="shared" si="94"/>
        <v>0</v>
      </c>
      <c r="AB428">
        <f t="shared" si="94"/>
        <v>0</v>
      </c>
      <c r="AC428">
        <f t="shared" si="94"/>
        <v>0</v>
      </c>
      <c r="AD428">
        <f t="shared" si="94"/>
        <v>0</v>
      </c>
      <c r="AE428">
        <f t="shared" si="94"/>
        <v>0</v>
      </c>
      <c r="AF428">
        <f t="shared" si="94"/>
        <v>0</v>
      </c>
      <c r="AG428">
        <f t="shared" si="94"/>
        <v>0</v>
      </c>
      <c r="AH428">
        <f t="shared" si="94"/>
        <v>0</v>
      </c>
      <c r="AI428">
        <f t="shared" si="94"/>
        <v>0</v>
      </c>
      <c r="AJ428">
        <f t="shared" si="94"/>
        <v>0</v>
      </c>
      <c r="AK428">
        <f t="shared" si="90"/>
        <v>0</v>
      </c>
      <c r="AL428">
        <f t="shared" si="90"/>
        <v>0</v>
      </c>
      <c r="AM428">
        <f t="shared" si="90"/>
        <v>0</v>
      </c>
      <c r="AN428">
        <f t="shared" si="90"/>
        <v>0</v>
      </c>
      <c r="AO428">
        <f t="shared" si="90"/>
        <v>0</v>
      </c>
      <c r="AP428">
        <f t="shared" si="90"/>
        <v>0</v>
      </c>
      <c r="AQ428">
        <f t="shared" si="90"/>
        <v>0</v>
      </c>
      <c r="AR428">
        <f t="shared" si="90"/>
        <v>0</v>
      </c>
    </row>
    <row r="429" spans="5:44" x14ac:dyDescent="0.2">
      <c r="E429" s="1">
        <f>moment_rate!$M429</f>
        <v>0.17675452540097605</v>
      </c>
      <c r="F429" s="1">
        <f t="shared" si="86"/>
        <v>3.4918149111348162E-3</v>
      </c>
      <c r="G429">
        <f>moment_rate!I429-0.005</f>
        <v>4.2199999999999545</v>
      </c>
      <c r="H429" s="1">
        <f t="shared" si="87"/>
        <v>0</v>
      </c>
      <c r="I429">
        <f t="shared" si="92"/>
        <v>0</v>
      </c>
      <c r="J429">
        <f t="shared" si="92"/>
        <v>0</v>
      </c>
      <c r="K429">
        <f t="shared" si="92"/>
        <v>0</v>
      </c>
      <c r="L429">
        <f t="shared" si="92"/>
        <v>0</v>
      </c>
      <c r="M429">
        <f t="shared" si="92"/>
        <v>0</v>
      </c>
      <c r="N429">
        <f t="shared" si="92"/>
        <v>0</v>
      </c>
      <c r="O429">
        <f t="shared" si="92"/>
        <v>0</v>
      </c>
      <c r="P429">
        <f t="shared" si="92"/>
        <v>0</v>
      </c>
      <c r="Q429">
        <f t="shared" si="92"/>
        <v>0</v>
      </c>
      <c r="R429">
        <f t="shared" si="92"/>
        <v>0</v>
      </c>
      <c r="S429">
        <f t="shared" si="92"/>
        <v>0</v>
      </c>
      <c r="T429">
        <f t="shared" si="92"/>
        <v>0</v>
      </c>
      <c r="U429">
        <f t="shared" si="92"/>
        <v>0</v>
      </c>
      <c r="V429">
        <f t="shared" si="92"/>
        <v>0</v>
      </c>
      <c r="W429">
        <f t="shared" si="92"/>
        <v>0</v>
      </c>
      <c r="X429">
        <f t="shared" si="92"/>
        <v>0</v>
      </c>
      <c r="Y429">
        <f t="shared" si="93"/>
        <v>0</v>
      </c>
      <c r="Z429">
        <f t="shared" si="94"/>
        <v>0</v>
      </c>
      <c r="AA429">
        <f t="shared" si="94"/>
        <v>0</v>
      </c>
      <c r="AB429">
        <f t="shared" si="94"/>
        <v>0</v>
      </c>
      <c r="AC429">
        <f t="shared" si="94"/>
        <v>0</v>
      </c>
      <c r="AD429">
        <f t="shared" si="94"/>
        <v>0</v>
      </c>
      <c r="AE429">
        <f t="shared" si="94"/>
        <v>0</v>
      </c>
      <c r="AF429">
        <f t="shared" si="94"/>
        <v>0</v>
      </c>
      <c r="AG429">
        <f t="shared" si="94"/>
        <v>0</v>
      </c>
      <c r="AH429">
        <f t="shared" si="94"/>
        <v>0</v>
      </c>
      <c r="AI429">
        <f t="shared" si="94"/>
        <v>0</v>
      </c>
      <c r="AJ429">
        <f t="shared" si="94"/>
        <v>0</v>
      </c>
      <c r="AK429">
        <f>IF(AND($G429&gt;=AK$3,$G429&lt;AK$4),$F429,0)</f>
        <v>0</v>
      </c>
      <c r="AL429">
        <f>IF(AND($G429&gt;=AL$3,$G429&lt;AL$4),$F429,0)</f>
        <v>0</v>
      </c>
      <c r="AM429">
        <f>IF(AND($G429&gt;=AM$3,$G429&lt;AM$4),$F429,0)</f>
        <v>0</v>
      </c>
      <c r="AN429">
        <f t="shared" si="90"/>
        <v>0</v>
      </c>
      <c r="AO429">
        <f t="shared" si="90"/>
        <v>0</v>
      </c>
      <c r="AP429">
        <f t="shared" si="90"/>
        <v>0</v>
      </c>
      <c r="AQ429">
        <f t="shared" si="90"/>
        <v>0</v>
      </c>
      <c r="AR429">
        <f t="shared" si="90"/>
        <v>0</v>
      </c>
    </row>
    <row r="430" spans="5:44" x14ac:dyDescent="0.2">
      <c r="E430" s="1">
        <f>moment_rate!$M430</f>
        <v>0.17326271048984124</v>
      </c>
      <c r="F430" s="1">
        <f t="shared" si="86"/>
        <v>3.4201977363572389E-3</v>
      </c>
      <c r="G430">
        <f>moment_rate!I430-0.005</f>
        <v>4.2299999999999542</v>
      </c>
      <c r="H430" s="1">
        <f t="shared" si="87"/>
        <v>0</v>
      </c>
      <c r="I430">
        <f t="shared" si="92"/>
        <v>0</v>
      </c>
      <c r="J430">
        <f t="shared" si="92"/>
        <v>0</v>
      </c>
      <c r="K430">
        <f t="shared" si="92"/>
        <v>0</v>
      </c>
      <c r="L430">
        <f t="shared" si="92"/>
        <v>0</v>
      </c>
      <c r="M430">
        <f t="shared" si="92"/>
        <v>0</v>
      </c>
      <c r="N430">
        <f t="shared" si="92"/>
        <v>0</v>
      </c>
      <c r="O430">
        <f t="shared" si="92"/>
        <v>0</v>
      </c>
      <c r="P430">
        <f t="shared" si="92"/>
        <v>0</v>
      </c>
      <c r="Q430">
        <f t="shared" si="92"/>
        <v>0</v>
      </c>
      <c r="R430">
        <f t="shared" si="92"/>
        <v>0</v>
      </c>
      <c r="S430">
        <f t="shared" si="92"/>
        <v>0</v>
      </c>
      <c r="T430">
        <f t="shared" si="92"/>
        <v>0</v>
      </c>
      <c r="U430">
        <f t="shared" si="92"/>
        <v>0</v>
      </c>
      <c r="V430">
        <f t="shared" si="92"/>
        <v>0</v>
      </c>
      <c r="W430">
        <f t="shared" si="92"/>
        <v>0</v>
      </c>
      <c r="X430">
        <f t="shared" ref="X430:AM445" si="95">IF(AND($G430&gt;=X$3,$G430&lt;X$4),$F430,0)</f>
        <v>0</v>
      </c>
      <c r="Y430">
        <f t="shared" si="95"/>
        <v>0</v>
      </c>
      <c r="Z430">
        <f t="shared" si="95"/>
        <v>0</v>
      </c>
      <c r="AA430">
        <f t="shared" si="95"/>
        <v>0</v>
      </c>
      <c r="AB430">
        <f t="shared" si="95"/>
        <v>0</v>
      </c>
      <c r="AC430">
        <f t="shared" si="95"/>
        <v>0</v>
      </c>
      <c r="AD430">
        <f t="shared" si="95"/>
        <v>0</v>
      </c>
      <c r="AE430">
        <f t="shared" si="95"/>
        <v>0</v>
      </c>
      <c r="AF430">
        <f t="shared" si="95"/>
        <v>0</v>
      </c>
      <c r="AG430">
        <f t="shared" si="95"/>
        <v>0</v>
      </c>
      <c r="AH430">
        <f t="shared" si="95"/>
        <v>0</v>
      </c>
      <c r="AI430">
        <f t="shared" si="95"/>
        <v>0</v>
      </c>
      <c r="AJ430">
        <f t="shared" si="95"/>
        <v>0</v>
      </c>
      <c r="AK430">
        <f t="shared" si="95"/>
        <v>0</v>
      </c>
      <c r="AL430">
        <f t="shared" si="95"/>
        <v>0</v>
      </c>
      <c r="AM430">
        <f t="shared" si="95"/>
        <v>0</v>
      </c>
      <c r="AN430">
        <f t="shared" si="90"/>
        <v>0</v>
      </c>
      <c r="AO430">
        <f t="shared" si="90"/>
        <v>0</v>
      </c>
      <c r="AP430">
        <f t="shared" si="90"/>
        <v>0</v>
      </c>
      <c r="AQ430">
        <f t="shared" si="90"/>
        <v>0</v>
      </c>
      <c r="AR430">
        <f t="shared" si="90"/>
        <v>0</v>
      </c>
    </row>
    <row r="431" spans="5:44" x14ac:dyDescent="0.2">
      <c r="E431" s="1">
        <f>moment_rate!$M431</f>
        <v>0.169842512753484</v>
      </c>
      <c r="F431" s="1">
        <f t="shared" si="86"/>
        <v>3.3500494308795203E-3</v>
      </c>
      <c r="G431">
        <f>moment_rate!I431-0.005</f>
        <v>4.239999999999954</v>
      </c>
      <c r="H431" s="1">
        <f t="shared" si="87"/>
        <v>0</v>
      </c>
      <c r="I431">
        <f t="shared" ref="I431:X446" si="96">IF(AND($G431&gt;=I$3,$G431&lt;I$4),$F431,0)</f>
        <v>0</v>
      </c>
      <c r="J431">
        <f t="shared" si="96"/>
        <v>0</v>
      </c>
      <c r="K431">
        <f t="shared" si="96"/>
        <v>0</v>
      </c>
      <c r="L431">
        <f t="shared" si="96"/>
        <v>0</v>
      </c>
      <c r="M431">
        <f t="shared" si="96"/>
        <v>0</v>
      </c>
      <c r="N431">
        <f t="shared" si="96"/>
        <v>0</v>
      </c>
      <c r="O431">
        <f t="shared" si="96"/>
        <v>0</v>
      </c>
      <c r="P431">
        <f t="shared" si="96"/>
        <v>0</v>
      </c>
      <c r="Q431">
        <f t="shared" si="96"/>
        <v>0</v>
      </c>
      <c r="R431">
        <f t="shared" si="96"/>
        <v>0</v>
      </c>
      <c r="S431">
        <f t="shared" si="96"/>
        <v>0</v>
      </c>
      <c r="T431">
        <f t="shared" si="96"/>
        <v>0</v>
      </c>
      <c r="U431">
        <f t="shared" si="96"/>
        <v>0</v>
      </c>
      <c r="V431">
        <f t="shared" si="96"/>
        <v>0</v>
      </c>
      <c r="W431">
        <f t="shared" si="96"/>
        <v>0</v>
      </c>
      <c r="X431">
        <f t="shared" si="96"/>
        <v>0</v>
      </c>
      <c r="Y431">
        <f t="shared" si="95"/>
        <v>0</v>
      </c>
      <c r="Z431">
        <f t="shared" si="95"/>
        <v>0</v>
      </c>
      <c r="AA431">
        <f t="shared" si="95"/>
        <v>0</v>
      </c>
      <c r="AB431">
        <f t="shared" si="95"/>
        <v>0</v>
      </c>
      <c r="AC431">
        <f t="shared" si="95"/>
        <v>0</v>
      </c>
      <c r="AD431">
        <f t="shared" si="95"/>
        <v>0</v>
      </c>
      <c r="AE431">
        <f t="shared" si="95"/>
        <v>0</v>
      </c>
      <c r="AF431">
        <f t="shared" si="95"/>
        <v>0</v>
      </c>
      <c r="AG431">
        <f t="shared" si="95"/>
        <v>0</v>
      </c>
      <c r="AH431">
        <f t="shared" si="95"/>
        <v>0</v>
      </c>
      <c r="AI431">
        <f t="shared" si="95"/>
        <v>0</v>
      </c>
      <c r="AJ431">
        <f t="shared" si="95"/>
        <v>0</v>
      </c>
      <c r="AK431">
        <f t="shared" si="95"/>
        <v>0</v>
      </c>
      <c r="AL431">
        <f t="shared" si="95"/>
        <v>0</v>
      </c>
      <c r="AM431">
        <f t="shared" si="95"/>
        <v>0</v>
      </c>
      <c r="AN431">
        <f t="shared" si="90"/>
        <v>0</v>
      </c>
      <c r="AO431">
        <f t="shared" si="90"/>
        <v>0</v>
      </c>
      <c r="AP431">
        <f t="shared" si="90"/>
        <v>0</v>
      </c>
      <c r="AQ431">
        <f t="shared" si="90"/>
        <v>0</v>
      </c>
      <c r="AR431">
        <f t="shared" si="90"/>
        <v>0</v>
      </c>
    </row>
    <row r="432" spans="5:44" x14ac:dyDescent="0.2">
      <c r="E432" s="1">
        <f>moment_rate!$M432</f>
        <v>0.16649246332260448</v>
      </c>
      <c r="F432" s="1">
        <f t="shared" si="86"/>
        <v>3.2813398681705297E-3</v>
      </c>
      <c r="G432">
        <f>moment_rate!I432-0.005</f>
        <v>4.2499999999999538</v>
      </c>
      <c r="H432" s="1">
        <f t="shared" si="87"/>
        <v>0</v>
      </c>
      <c r="I432">
        <f t="shared" si="96"/>
        <v>0</v>
      </c>
      <c r="J432">
        <f t="shared" si="96"/>
        <v>0</v>
      </c>
      <c r="K432">
        <f t="shared" si="96"/>
        <v>0</v>
      </c>
      <c r="L432">
        <f t="shared" si="96"/>
        <v>0</v>
      </c>
      <c r="M432">
        <f t="shared" si="96"/>
        <v>0</v>
      </c>
      <c r="N432">
        <f t="shared" si="96"/>
        <v>0</v>
      </c>
      <c r="O432">
        <f t="shared" si="96"/>
        <v>0</v>
      </c>
      <c r="P432">
        <f t="shared" si="96"/>
        <v>0</v>
      </c>
      <c r="Q432">
        <f t="shared" si="96"/>
        <v>0</v>
      </c>
      <c r="R432">
        <f t="shared" si="96"/>
        <v>0</v>
      </c>
      <c r="S432">
        <f t="shared" si="96"/>
        <v>0</v>
      </c>
      <c r="T432">
        <f t="shared" si="96"/>
        <v>0</v>
      </c>
      <c r="U432">
        <f t="shared" si="96"/>
        <v>0</v>
      </c>
      <c r="V432">
        <f t="shared" si="96"/>
        <v>0</v>
      </c>
      <c r="W432">
        <f t="shared" si="96"/>
        <v>0</v>
      </c>
      <c r="X432">
        <f t="shared" si="96"/>
        <v>0</v>
      </c>
      <c r="Y432">
        <f t="shared" si="95"/>
        <v>0</v>
      </c>
      <c r="Z432">
        <f t="shared" si="95"/>
        <v>0</v>
      </c>
      <c r="AA432">
        <f t="shared" si="95"/>
        <v>0</v>
      </c>
      <c r="AB432">
        <f t="shared" si="95"/>
        <v>0</v>
      </c>
      <c r="AC432">
        <f t="shared" si="95"/>
        <v>0</v>
      </c>
      <c r="AD432">
        <f t="shared" si="95"/>
        <v>0</v>
      </c>
      <c r="AE432">
        <f t="shared" si="95"/>
        <v>0</v>
      </c>
      <c r="AF432">
        <f t="shared" si="95"/>
        <v>0</v>
      </c>
      <c r="AG432">
        <f t="shared" si="95"/>
        <v>0</v>
      </c>
      <c r="AH432">
        <f t="shared" si="95"/>
        <v>0</v>
      </c>
      <c r="AI432">
        <f t="shared" si="95"/>
        <v>0</v>
      </c>
      <c r="AJ432">
        <f t="shared" si="95"/>
        <v>0</v>
      </c>
      <c r="AK432">
        <f t="shared" si="95"/>
        <v>0</v>
      </c>
      <c r="AL432">
        <f t="shared" si="95"/>
        <v>0</v>
      </c>
      <c r="AM432">
        <f t="shared" si="95"/>
        <v>0</v>
      </c>
      <c r="AN432">
        <f t="shared" si="90"/>
        <v>0</v>
      </c>
      <c r="AO432">
        <f t="shared" si="90"/>
        <v>0</v>
      </c>
      <c r="AP432">
        <f t="shared" si="90"/>
        <v>0</v>
      </c>
      <c r="AQ432">
        <f t="shared" si="90"/>
        <v>0</v>
      </c>
      <c r="AR432">
        <f t="shared" si="90"/>
        <v>0</v>
      </c>
    </row>
    <row r="433" spans="5:44" x14ac:dyDescent="0.2">
      <c r="E433" s="1">
        <f>moment_rate!$M433</f>
        <v>0.16321112345443395</v>
      </c>
      <c r="F433" s="1">
        <f t="shared" si="86"/>
        <v>3.2140395395953703E-3</v>
      </c>
      <c r="G433">
        <f>moment_rate!I433-0.005</f>
        <v>4.2599999999999536</v>
      </c>
      <c r="H433" s="1">
        <f t="shared" si="87"/>
        <v>0</v>
      </c>
      <c r="I433">
        <f t="shared" si="96"/>
        <v>0</v>
      </c>
      <c r="J433">
        <f t="shared" si="96"/>
        <v>0</v>
      </c>
      <c r="K433">
        <f t="shared" si="96"/>
        <v>0</v>
      </c>
      <c r="L433">
        <f t="shared" si="96"/>
        <v>0</v>
      </c>
      <c r="M433">
        <f t="shared" si="96"/>
        <v>0</v>
      </c>
      <c r="N433">
        <f t="shared" si="96"/>
        <v>0</v>
      </c>
      <c r="O433">
        <f t="shared" si="96"/>
        <v>0</v>
      </c>
      <c r="P433">
        <f t="shared" si="96"/>
        <v>0</v>
      </c>
      <c r="Q433">
        <f t="shared" si="96"/>
        <v>0</v>
      </c>
      <c r="R433">
        <f t="shared" si="96"/>
        <v>0</v>
      </c>
      <c r="S433">
        <f t="shared" si="96"/>
        <v>0</v>
      </c>
      <c r="T433">
        <f t="shared" si="96"/>
        <v>0</v>
      </c>
      <c r="U433">
        <f t="shared" si="96"/>
        <v>0</v>
      </c>
      <c r="V433">
        <f t="shared" si="96"/>
        <v>0</v>
      </c>
      <c r="W433">
        <f t="shared" si="96"/>
        <v>0</v>
      </c>
      <c r="X433">
        <f t="shared" si="96"/>
        <v>0</v>
      </c>
      <c r="Y433">
        <f t="shared" si="95"/>
        <v>0</v>
      </c>
      <c r="Z433">
        <f t="shared" si="95"/>
        <v>0</v>
      </c>
      <c r="AA433">
        <f t="shared" si="95"/>
        <v>0</v>
      </c>
      <c r="AB433">
        <f t="shared" si="95"/>
        <v>0</v>
      </c>
      <c r="AC433">
        <f t="shared" si="95"/>
        <v>0</v>
      </c>
      <c r="AD433">
        <f t="shared" si="95"/>
        <v>0</v>
      </c>
      <c r="AE433">
        <f t="shared" si="95"/>
        <v>0</v>
      </c>
      <c r="AF433">
        <f t="shared" si="95"/>
        <v>0</v>
      </c>
      <c r="AG433">
        <f t="shared" si="95"/>
        <v>0</v>
      </c>
      <c r="AH433">
        <f t="shared" si="95"/>
        <v>0</v>
      </c>
      <c r="AI433">
        <f t="shared" si="95"/>
        <v>0</v>
      </c>
      <c r="AJ433">
        <f t="shared" si="95"/>
        <v>0</v>
      </c>
      <c r="AK433">
        <f t="shared" si="95"/>
        <v>0</v>
      </c>
      <c r="AL433">
        <f t="shared" si="95"/>
        <v>0</v>
      </c>
      <c r="AM433">
        <f t="shared" si="95"/>
        <v>0</v>
      </c>
      <c r="AN433">
        <f t="shared" si="90"/>
        <v>0</v>
      </c>
      <c r="AO433">
        <f t="shared" si="90"/>
        <v>0</v>
      </c>
      <c r="AP433">
        <f t="shared" si="90"/>
        <v>0</v>
      </c>
      <c r="AQ433">
        <f t="shared" si="90"/>
        <v>0</v>
      </c>
      <c r="AR433">
        <f t="shared" si="90"/>
        <v>0</v>
      </c>
    </row>
    <row r="434" spans="5:44" x14ac:dyDescent="0.2">
      <c r="E434" s="1">
        <f>moment_rate!$M434</f>
        <v>0.15999708391483858</v>
      </c>
      <c r="F434" s="1">
        <f t="shared" si="86"/>
        <v>3.14811954174124E-3</v>
      </c>
      <c r="G434">
        <f>moment_rate!I434-0.005</f>
        <v>4.2699999999999534</v>
      </c>
      <c r="H434" s="1">
        <f t="shared" si="87"/>
        <v>0</v>
      </c>
      <c r="I434">
        <f t="shared" si="96"/>
        <v>0</v>
      </c>
      <c r="J434">
        <f t="shared" si="96"/>
        <v>0</v>
      </c>
      <c r="K434">
        <f t="shared" si="96"/>
        <v>0</v>
      </c>
      <c r="L434">
        <f t="shared" si="96"/>
        <v>0</v>
      </c>
      <c r="M434">
        <f t="shared" si="96"/>
        <v>0</v>
      </c>
      <c r="N434">
        <f t="shared" si="96"/>
        <v>0</v>
      </c>
      <c r="O434">
        <f t="shared" si="96"/>
        <v>0</v>
      </c>
      <c r="P434">
        <f t="shared" si="96"/>
        <v>0</v>
      </c>
      <c r="Q434">
        <f t="shared" si="96"/>
        <v>0</v>
      </c>
      <c r="R434">
        <f t="shared" si="96"/>
        <v>0</v>
      </c>
      <c r="S434">
        <f t="shared" si="96"/>
        <v>0</v>
      </c>
      <c r="T434">
        <f t="shared" si="96"/>
        <v>0</v>
      </c>
      <c r="U434">
        <f t="shared" si="96"/>
        <v>0</v>
      </c>
      <c r="V434">
        <f t="shared" si="96"/>
        <v>0</v>
      </c>
      <c r="W434">
        <f t="shared" si="96"/>
        <v>0</v>
      </c>
      <c r="X434">
        <f t="shared" si="96"/>
        <v>0</v>
      </c>
      <c r="Y434">
        <f t="shared" si="95"/>
        <v>0</v>
      </c>
      <c r="Z434">
        <f t="shared" si="95"/>
        <v>0</v>
      </c>
      <c r="AA434">
        <f t="shared" si="95"/>
        <v>0</v>
      </c>
      <c r="AB434">
        <f t="shared" si="95"/>
        <v>0</v>
      </c>
      <c r="AC434">
        <f t="shared" si="95"/>
        <v>0</v>
      </c>
      <c r="AD434">
        <f t="shared" si="95"/>
        <v>0</v>
      </c>
      <c r="AE434">
        <f t="shared" si="95"/>
        <v>0</v>
      </c>
      <c r="AF434">
        <f t="shared" si="95"/>
        <v>0</v>
      </c>
      <c r="AG434">
        <f t="shared" si="95"/>
        <v>0</v>
      </c>
      <c r="AH434">
        <f t="shared" si="95"/>
        <v>0</v>
      </c>
      <c r="AI434">
        <f t="shared" si="95"/>
        <v>0</v>
      </c>
      <c r="AJ434">
        <f t="shared" si="95"/>
        <v>0</v>
      </c>
      <c r="AK434">
        <f t="shared" si="95"/>
        <v>0</v>
      </c>
      <c r="AL434">
        <f t="shared" si="95"/>
        <v>0</v>
      </c>
      <c r="AM434">
        <f t="shared" si="95"/>
        <v>0</v>
      </c>
      <c r="AN434">
        <f t="shared" si="90"/>
        <v>0</v>
      </c>
      <c r="AO434">
        <f t="shared" si="90"/>
        <v>0</v>
      </c>
      <c r="AP434">
        <f t="shared" si="90"/>
        <v>0</v>
      </c>
      <c r="AQ434">
        <f t="shared" si="90"/>
        <v>0</v>
      </c>
      <c r="AR434">
        <f t="shared" si="90"/>
        <v>0</v>
      </c>
    </row>
    <row r="435" spans="5:44" x14ac:dyDescent="0.2">
      <c r="E435" s="1">
        <f>moment_rate!$M435</f>
        <v>0.15684896437309734</v>
      </c>
      <c r="F435" s="1">
        <f t="shared" si="86"/>
        <v>3.0835515640049715E-3</v>
      </c>
      <c r="G435">
        <f>moment_rate!I435-0.005</f>
        <v>4.2799999999999532</v>
      </c>
      <c r="H435" s="1">
        <f t="shared" si="87"/>
        <v>0</v>
      </c>
      <c r="I435">
        <f t="shared" si="96"/>
        <v>0</v>
      </c>
      <c r="J435">
        <f t="shared" si="96"/>
        <v>0</v>
      </c>
      <c r="K435">
        <f t="shared" si="96"/>
        <v>0</v>
      </c>
      <c r="L435">
        <f t="shared" si="96"/>
        <v>0</v>
      </c>
      <c r="M435">
        <f t="shared" si="96"/>
        <v>0</v>
      </c>
      <c r="N435">
        <f t="shared" si="96"/>
        <v>0</v>
      </c>
      <c r="O435">
        <f t="shared" si="96"/>
        <v>0</v>
      </c>
      <c r="P435">
        <f t="shared" si="96"/>
        <v>0</v>
      </c>
      <c r="Q435">
        <f t="shared" si="96"/>
        <v>0</v>
      </c>
      <c r="R435">
        <f t="shared" si="96"/>
        <v>0</v>
      </c>
      <c r="S435">
        <f t="shared" si="96"/>
        <v>0</v>
      </c>
      <c r="T435">
        <f t="shared" si="96"/>
        <v>0</v>
      </c>
      <c r="U435">
        <f t="shared" si="96"/>
        <v>0</v>
      </c>
      <c r="V435">
        <f t="shared" si="96"/>
        <v>0</v>
      </c>
      <c r="W435">
        <f t="shared" si="96"/>
        <v>0</v>
      </c>
      <c r="X435">
        <f t="shared" si="96"/>
        <v>0</v>
      </c>
      <c r="Y435">
        <f t="shared" si="95"/>
        <v>0</v>
      </c>
      <c r="Z435">
        <f t="shared" si="95"/>
        <v>0</v>
      </c>
      <c r="AA435">
        <f t="shared" si="95"/>
        <v>0</v>
      </c>
      <c r="AB435">
        <f t="shared" si="95"/>
        <v>0</v>
      </c>
      <c r="AC435">
        <f t="shared" si="95"/>
        <v>0</v>
      </c>
      <c r="AD435">
        <f t="shared" si="95"/>
        <v>0</v>
      </c>
      <c r="AE435">
        <f t="shared" si="95"/>
        <v>0</v>
      </c>
      <c r="AF435">
        <f t="shared" si="95"/>
        <v>0</v>
      </c>
      <c r="AG435">
        <f t="shared" si="95"/>
        <v>0</v>
      </c>
      <c r="AH435">
        <f t="shared" si="95"/>
        <v>0</v>
      </c>
      <c r="AI435">
        <f t="shared" si="95"/>
        <v>0</v>
      </c>
      <c r="AJ435">
        <f t="shared" si="95"/>
        <v>0</v>
      </c>
      <c r="AK435">
        <f t="shared" si="95"/>
        <v>0</v>
      </c>
      <c r="AL435">
        <f t="shared" si="95"/>
        <v>0</v>
      </c>
      <c r="AM435">
        <f t="shared" si="95"/>
        <v>0</v>
      </c>
      <c r="AN435">
        <f t="shared" si="90"/>
        <v>0</v>
      </c>
      <c r="AO435">
        <f t="shared" si="90"/>
        <v>0</v>
      </c>
      <c r="AP435">
        <f t="shared" si="90"/>
        <v>0</v>
      </c>
      <c r="AQ435">
        <f t="shared" si="90"/>
        <v>0</v>
      </c>
      <c r="AR435">
        <f t="shared" si="90"/>
        <v>0</v>
      </c>
    </row>
    <row r="436" spans="5:44" x14ac:dyDescent="0.2">
      <c r="E436" s="1">
        <f>moment_rate!$M436</f>
        <v>0.15376541280909237</v>
      </c>
      <c r="F436" s="1">
        <f t="shared" si="86"/>
        <v>3.0203078764342028E-3</v>
      </c>
      <c r="G436">
        <f>moment_rate!I436-0.005</f>
        <v>4.289999999999953</v>
      </c>
      <c r="H436" s="1">
        <f t="shared" si="87"/>
        <v>0</v>
      </c>
      <c r="I436">
        <f t="shared" si="96"/>
        <v>0</v>
      </c>
      <c r="J436">
        <f t="shared" si="96"/>
        <v>0</v>
      </c>
      <c r="K436">
        <f t="shared" si="96"/>
        <v>0</v>
      </c>
      <c r="L436">
        <f t="shared" si="96"/>
        <v>0</v>
      </c>
      <c r="M436">
        <f t="shared" si="96"/>
        <v>0</v>
      </c>
      <c r="N436">
        <f t="shared" si="96"/>
        <v>0</v>
      </c>
      <c r="O436">
        <f t="shared" si="96"/>
        <v>0</v>
      </c>
      <c r="P436">
        <f t="shared" si="96"/>
        <v>0</v>
      </c>
      <c r="Q436">
        <f t="shared" si="96"/>
        <v>0</v>
      </c>
      <c r="R436">
        <f t="shared" si="96"/>
        <v>0</v>
      </c>
      <c r="S436">
        <f t="shared" si="96"/>
        <v>0</v>
      </c>
      <c r="T436">
        <f t="shared" si="96"/>
        <v>0</v>
      </c>
      <c r="U436">
        <f t="shared" si="96"/>
        <v>0</v>
      </c>
      <c r="V436">
        <f t="shared" si="96"/>
        <v>0</v>
      </c>
      <c r="W436">
        <f t="shared" si="96"/>
        <v>0</v>
      </c>
      <c r="X436">
        <f t="shared" si="96"/>
        <v>0</v>
      </c>
      <c r="Y436">
        <f t="shared" si="95"/>
        <v>0</v>
      </c>
      <c r="Z436">
        <f t="shared" si="95"/>
        <v>0</v>
      </c>
      <c r="AA436">
        <f t="shared" si="95"/>
        <v>0</v>
      </c>
      <c r="AB436">
        <f t="shared" si="95"/>
        <v>0</v>
      </c>
      <c r="AC436">
        <f t="shared" si="95"/>
        <v>0</v>
      </c>
      <c r="AD436">
        <f t="shared" si="95"/>
        <v>0</v>
      </c>
      <c r="AE436">
        <f t="shared" si="95"/>
        <v>0</v>
      </c>
      <c r="AF436">
        <f t="shared" si="95"/>
        <v>0</v>
      </c>
      <c r="AG436">
        <f t="shared" si="95"/>
        <v>0</v>
      </c>
      <c r="AH436">
        <f t="shared" si="95"/>
        <v>0</v>
      </c>
      <c r="AI436">
        <f t="shared" si="95"/>
        <v>0</v>
      </c>
      <c r="AJ436">
        <f t="shared" si="95"/>
        <v>0</v>
      </c>
      <c r="AK436">
        <f t="shared" si="95"/>
        <v>0</v>
      </c>
      <c r="AL436">
        <f t="shared" si="95"/>
        <v>0</v>
      </c>
      <c r="AM436">
        <f t="shared" si="95"/>
        <v>0</v>
      </c>
      <c r="AN436">
        <f t="shared" si="90"/>
        <v>0</v>
      </c>
      <c r="AO436">
        <f t="shared" si="90"/>
        <v>0</v>
      </c>
      <c r="AP436">
        <f t="shared" si="90"/>
        <v>0</v>
      </c>
      <c r="AQ436">
        <f t="shared" si="90"/>
        <v>0</v>
      </c>
      <c r="AR436">
        <f t="shared" si="90"/>
        <v>0</v>
      </c>
    </row>
    <row r="437" spans="5:44" x14ac:dyDescent="0.2">
      <c r="E437" s="1">
        <f>moment_rate!$M437</f>
        <v>0.15074510493265816</v>
      </c>
      <c r="F437" s="1">
        <f t="shared" si="86"/>
        <v>2.9583613178183199E-3</v>
      </c>
      <c r="G437">
        <f>moment_rate!I437-0.005</f>
        <v>4.2999999999999527</v>
      </c>
      <c r="H437" s="1">
        <f t="shared" si="87"/>
        <v>0</v>
      </c>
      <c r="I437">
        <f t="shared" si="96"/>
        <v>0</v>
      </c>
      <c r="J437">
        <f t="shared" si="96"/>
        <v>0</v>
      </c>
      <c r="K437">
        <f t="shared" si="96"/>
        <v>0</v>
      </c>
      <c r="L437">
        <f t="shared" si="96"/>
        <v>0</v>
      </c>
      <c r="M437">
        <f t="shared" si="96"/>
        <v>0</v>
      </c>
      <c r="N437">
        <f t="shared" si="96"/>
        <v>0</v>
      </c>
      <c r="O437">
        <f t="shared" si="96"/>
        <v>0</v>
      </c>
      <c r="P437">
        <f t="shared" si="96"/>
        <v>0</v>
      </c>
      <c r="Q437">
        <f t="shared" si="96"/>
        <v>0</v>
      </c>
      <c r="R437">
        <f t="shared" si="96"/>
        <v>0</v>
      </c>
      <c r="S437">
        <f t="shared" si="96"/>
        <v>0</v>
      </c>
      <c r="T437">
        <f t="shared" si="96"/>
        <v>0</v>
      </c>
      <c r="U437">
        <f t="shared" si="96"/>
        <v>0</v>
      </c>
      <c r="V437">
        <f t="shared" si="96"/>
        <v>0</v>
      </c>
      <c r="W437">
        <f t="shared" si="96"/>
        <v>0</v>
      </c>
      <c r="X437">
        <f t="shared" si="96"/>
        <v>0</v>
      </c>
      <c r="Y437">
        <f t="shared" si="95"/>
        <v>0</v>
      </c>
      <c r="Z437">
        <f t="shared" si="95"/>
        <v>0</v>
      </c>
      <c r="AA437">
        <f t="shared" si="95"/>
        <v>0</v>
      </c>
      <c r="AB437">
        <f t="shared" si="95"/>
        <v>0</v>
      </c>
      <c r="AC437">
        <f t="shared" si="95"/>
        <v>0</v>
      </c>
      <c r="AD437">
        <f t="shared" si="95"/>
        <v>0</v>
      </c>
      <c r="AE437">
        <f t="shared" si="95"/>
        <v>0</v>
      </c>
      <c r="AF437">
        <f t="shared" si="95"/>
        <v>0</v>
      </c>
      <c r="AG437">
        <f t="shared" si="95"/>
        <v>0</v>
      </c>
      <c r="AH437">
        <f t="shared" si="95"/>
        <v>0</v>
      </c>
      <c r="AI437">
        <f t="shared" si="95"/>
        <v>0</v>
      </c>
      <c r="AJ437">
        <f t="shared" si="95"/>
        <v>0</v>
      </c>
      <c r="AK437">
        <f t="shared" si="95"/>
        <v>0</v>
      </c>
      <c r="AL437">
        <f t="shared" si="95"/>
        <v>0</v>
      </c>
      <c r="AM437">
        <f t="shared" si="95"/>
        <v>0</v>
      </c>
      <c r="AN437">
        <f t="shared" si="90"/>
        <v>0</v>
      </c>
      <c r="AO437">
        <f t="shared" si="90"/>
        <v>0</v>
      </c>
      <c r="AP437">
        <f t="shared" si="90"/>
        <v>0</v>
      </c>
      <c r="AQ437">
        <f t="shared" si="90"/>
        <v>0</v>
      </c>
      <c r="AR437">
        <f t="shared" si="90"/>
        <v>0</v>
      </c>
    </row>
    <row r="438" spans="5:44" x14ac:dyDescent="0.2">
      <c r="E438" s="1">
        <f>moment_rate!$M438</f>
        <v>0.14778674361483984</v>
      </c>
      <c r="F438" s="1">
        <f t="shared" si="86"/>
        <v>2.8976852840234824E-3</v>
      </c>
      <c r="G438">
        <f>moment_rate!I438-0.005</f>
        <v>4.3099999999999525</v>
      </c>
      <c r="H438" s="1">
        <f t="shared" si="87"/>
        <v>0</v>
      </c>
      <c r="I438">
        <f t="shared" si="96"/>
        <v>0</v>
      </c>
      <c r="J438">
        <f t="shared" si="96"/>
        <v>0</v>
      </c>
      <c r="K438">
        <f t="shared" si="96"/>
        <v>0</v>
      </c>
      <c r="L438">
        <f t="shared" si="96"/>
        <v>0</v>
      </c>
      <c r="M438">
        <f t="shared" si="96"/>
        <v>0</v>
      </c>
      <c r="N438">
        <f t="shared" si="96"/>
        <v>0</v>
      </c>
      <c r="O438">
        <f t="shared" si="96"/>
        <v>0</v>
      </c>
      <c r="P438">
        <f t="shared" si="96"/>
        <v>0</v>
      </c>
      <c r="Q438">
        <f t="shared" si="96"/>
        <v>0</v>
      </c>
      <c r="R438">
        <f t="shared" si="96"/>
        <v>0</v>
      </c>
      <c r="S438">
        <f t="shared" si="96"/>
        <v>0</v>
      </c>
      <c r="T438">
        <f t="shared" si="96"/>
        <v>0</v>
      </c>
      <c r="U438">
        <f t="shared" si="96"/>
        <v>0</v>
      </c>
      <c r="V438">
        <f t="shared" si="96"/>
        <v>0</v>
      </c>
      <c r="W438">
        <f t="shared" si="96"/>
        <v>0</v>
      </c>
      <c r="X438">
        <f t="shared" si="96"/>
        <v>0</v>
      </c>
      <c r="Y438">
        <f t="shared" si="95"/>
        <v>0</v>
      </c>
      <c r="Z438">
        <f t="shared" si="95"/>
        <v>0</v>
      </c>
      <c r="AA438">
        <f t="shared" si="95"/>
        <v>0</v>
      </c>
      <c r="AB438">
        <f t="shared" si="95"/>
        <v>0</v>
      </c>
      <c r="AC438">
        <f t="shared" si="95"/>
        <v>0</v>
      </c>
      <c r="AD438">
        <f t="shared" si="95"/>
        <v>0</v>
      </c>
      <c r="AE438">
        <f t="shared" si="95"/>
        <v>0</v>
      </c>
      <c r="AF438">
        <f t="shared" si="95"/>
        <v>0</v>
      </c>
      <c r="AG438">
        <f t="shared" si="95"/>
        <v>0</v>
      </c>
      <c r="AH438">
        <f t="shared" si="95"/>
        <v>0</v>
      </c>
      <c r="AI438">
        <f t="shared" si="95"/>
        <v>0</v>
      </c>
      <c r="AJ438">
        <f t="shared" si="95"/>
        <v>0</v>
      </c>
      <c r="AK438">
        <f t="shared" si="95"/>
        <v>0</v>
      </c>
      <c r="AL438">
        <f t="shared" si="95"/>
        <v>0</v>
      </c>
      <c r="AM438">
        <f t="shared" si="95"/>
        <v>0</v>
      </c>
      <c r="AN438">
        <f t="shared" si="90"/>
        <v>0</v>
      </c>
      <c r="AO438">
        <f t="shared" si="90"/>
        <v>0</v>
      </c>
      <c r="AP438">
        <f t="shared" si="90"/>
        <v>0</v>
      </c>
      <c r="AQ438">
        <f t="shared" si="90"/>
        <v>0</v>
      </c>
      <c r="AR438">
        <f t="shared" si="90"/>
        <v>0</v>
      </c>
    </row>
    <row r="439" spans="5:44" x14ac:dyDescent="0.2">
      <c r="E439" s="1">
        <f>moment_rate!$M439</f>
        <v>0.14488905833081636</v>
      </c>
      <c r="F439" s="1">
        <f t="shared" si="86"/>
        <v>2.8382537165672073E-3</v>
      </c>
      <c r="G439">
        <f>moment_rate!I439-0.005</f>
        <v>4.3199999999999523</v>
      </c>
      <c r="H439" s="1">
        <f t="shared" si="87"/>
        <v>0</v>
      </c>
      <c r="I439">
        <f t="shared" si="96"/>
        <v>0</v>
      </c>
      <c r="J439">
        <f t="shared" si="96"/>
        <v>0</v>
      </c>
      <c r="K439">
        <f t="shared" si="96"/>
        <v>0</v>
      </c>
      <c r="L439">
        <f t="shared" si="96"/>
        <v>0</v>
      </c>
      <c r="M439">
        <f t="shared" si="96"/>
        <v>0</v>
      </c>
      <c r="N439">
        <f t="shared" si="96"/>
        <v>0</v>
      </c>
      <c r="O439">
        <f t="shared" si="96"/>
        <v>0</v>
      </c>
      <c r="P439">
        <f t="shared" si="96"/>
        <v>0</v>
      </c>
      <c r="Q439">
        <f t="shared" si="96"/>
        <v>0</v>
      </c>
      <c r="R439">
        <f t="shared" si="96"/>
        <v>0</v>
      </c>
      <c r="S439">
        <f t="shared" si="96"/>
        <v>0</v>
      </c>
      <c r="T439">
        <f t="shared" si="96"/>
        <v>0</v>
      </c>
      <c r="U439">
        <f t="shared" si="96"/>
        <v>0</v>
      </c>
      <c r="V439">
        <f t="shared" si="96"/>
        <v>0</v>
      </c>
      <c r="W439">
        <f t="shared" si="96"/>
        <v>0</v>
      </c>
      <c r="X439">
        <f t="shared" si="96"/>
        <v>0</v>
      </c>
      <c r="Y439">
        <f t="shared" si="95"/>
        <v>0</v>
      </c>
      <c r="Z439">
        <f t="shared" si="95"/>
        <v>0</v>
      </c>
      <c r="AA439">
        <f t="shared" si="95"/>
        <v>0</v>
      </c>
      <c r="AB439">
        <f t="shared" si="95"/>
        <v>0</v>
      </c>
      <c r="AC439">
        <f t="shared" si="95"/>
        <v>0</v>
      </c>
      <c r="AD439">
        <f t="shared" si="95"/>
        <v>0</v>
      </c>
      <c r="AE439">
        <f t="shared" si="95"/>
        <v>0</v>
      </c>
      <c r="AF439">
        <f t="shared" si="95"/>
        <v>0</v>
      </c>
      <c r="AG439">
        <f t="shared" si="95"/>
        <v>0</v>
      </c>
      <c r="AH439">
        <f t="shared" si="95"/>
        <v>0</v>
      </c>
      <c r="AI439">
        <f t="shared" si="95"/>
        <v>0</v>
      </c>
      <c r="AJ439">
        <f t="shared" si="95"/>
        <v>0</v>
      </c>
      <c r="AK439">
        <f t="shared" si="95"/>
        <v>0</v>
      </c>
      <c r="AL439">
        <f t="shared" si="95"/>
        <v>0</v>
      </c>
      <c r="AM439">
        <f t="shared" si="95"/>
        <v>0</v>
      </c>
      <c r="AN439">
        <f t="shared" ref="AN439:AR454" si="97">IF(AND($G439&gt;=AN$3,$G439&lt;AN$4),$F439,0)</f>
        <v>0</v>
      </c>
      <c r="AO439">
        <f t="shared" si="97"/>
        <v>0</v>
      </c>
      <c r="AP439">
        <f t="shared" si="97"/>
        <v>0</v>
      </c>
      <c r="AQ439">
        <f t="shared" si="97"/>
        <v>0</v>
      </c>
      <c r="AR439">
        <f t="shared" si="97"/>
        <v>0</v>
      </c>
    </row>
    <row r="440" spans="5:44" x14ac:dyDescent="0.2">
      <c r="E440" s="1">
        <f>moment_rate!$M440</f>
        <v>0.14205080461424915</v>
      </c>
      <c r="F440" s="1">
        <f t="shared" si="86"/>
        <v>2.7800410914266271E-3</v>
      </c>
      <c r="G440">
        <f>moment_rate!I440-0.005</f>
        <v>4.3299999999999521</v>
      </c>
      <c r="H440" s="1">
        <f t="shared" si="87"/>
        <v>0</v>
      </c>
      <c r="I440">
        <f t="shared" si="96"/>
        <v>0</v>
      </c>
      <c r="J440">
        <f t="shared" si="96"/>
        <v>0</v>
      </c>
      <c r="K440">
        <f t="shared" si="96"/>
        <v>0</v>
      </c>
      <c r="L440">
        <f t="shared" si="96"/>
        <v>0</v>
      </c>
      <c r="M440">
        <f t="shared" si="96"/>
        <v>0</v>
      </c>
      <c r="N440">
        <f t="shared" si="96"/>
        <v>0</v>
      </c>
      <c r="O440">
        <f t="shared" si="96"/>
        <v>0</v>
      </c>
      <c r="P440">
        <f t="shared" si="96"/>
        <v>0</v>
      </c>
      <c r="Q440">
        <f t="shared" si="96"/>
        <v>0</v>
      </c>
      <c r="R440">
        <f t="shared" si="96"/>
        <v>0</v>
      </c>
      <c r="S440">
        <f t="shared" si="96"/>
        <v>0</v>
      </c>
      <c r="T440">
        <f t="shared" si="96"/>
        <v>0</v>
      </c>
      <c r="U440">
        <f t="shared" si="96"/>
        <v>0</v>
      </c>
      <c r="V440">
        <f t="shared" si="96"/>
        <v>0</v>
      </c>
      <c r="W440">
        <f t="shared" si="96"/>
        <v>0</v>
      </c>
      <c r="X440">
        <f t="shared" si="96"/>
        <v>0</v>
      </c>
      <c r="Y440">
        <f t="shared" si="95"/>
        <v>0</v>
      </c>
      <c r="Z440">
        <f t="shared" si="95"/>
        <v>0</v>
      </c>
      <c r="AA440">
        <f t="shared" si="95"/>
        <v>0</v>
      </c>
      <c r="AB440">
        <f t="shared" si="95"/>
        <v>0</v>
      </c>
      <c r="AC440">
        <f t="shared" si="95"/>
        <v>0</v>
      </c>
      <c r="AD440">
        <f t="shared" si="95"/>
        <v>0</v>
      </c>
      <c r="AE440">
        <f t="shared" si="95"/>
        <v>0</v>
      </c>
      <c r="AF440">
        <f t="shared" si="95"/>
        <v>0</v>
      </c>
      <c r="AG440">
        <f t="shared" si="95"/>
        <v>0</v>
      </c>
      <c r="AH440">
        <f t="shared" si="95"/>
        <v>0</v>
      </c>
      <c r="AI440">
        <f t="shared" si="95"/>
        <v>0</v>
      </c>
      <c r="AJ440">
        <f t="shared" si="95"/>
        <v>0</v>
      </c>
      <c r="AK440">
        <f t="shared" si="95"/>
        <v>0</v>
      </c>
      <c r="AL440">
        <f t="shared" si="95"/>
        <v>0</v>
      </c>
      <c r="AM440">
        <f t="shared" si="95"/>
        <v>0</v>
      </c>
      <c r="AN440">
        <f t="shared" si="97"/>
        <v>0</v>
      </c>
      <c r="AO440">
        <f t="shared" si="97"/>
        <v>0</v>
      </c>
      <c r="AP440">
        <f t="shared" si="97"/>
        <v>0</v>
      </c>
      <c r="AQ440">
        <f t="shared" si="97"/>
        <v>0</v>
      </c>
      <c r="AR440">
        <f t="shared" si="97"/>
        <v>0</v>
      </c>
    </row>
    <row r="441" spans="5:44" x14ac:dyDescent="0.2">
      <c r="E441" s="1">
        <f>moment_rate!$M441</f>
        <v>0.13927076352282253</v>
      </c>
      <c r="F441" s="1">
        <f t="shared" si="86"/>
        <v>2.723022408077036E-3</v>
      </c>
      <c r="G441">
        <f>moment_rate!I441-0.005</f>
        <v>4.3399999999999519</v>
      </c>
      <c r="H441" s="1">
        <f t="shared" si="87"/>
        <v>0</v>
      </c>
      <c r="I441">
        <f t="shared" si="96"/>
        <v>0</v>
      </c>
      <c r="J441">
        <f t="shared" si="96"/>
        <v>0</v>
      </c>
      <c r="K441">
        <f t="shared" si="96"/>
        <v>0</v>
      </c>
      <c r="L441">
        <f t="shared" si="96"/>
        <v>0</v>
      </c>
      <c r="M441">
        <f t="shared" si="96"/>
        <v>0</v>
      </c>
      <c r="N441">
        <f t="shared" si="96"/>
        <v>0</v>
      </c>
      <c r="O441">
        <f t="shared" si="96"/>
        <v>0</v>
      </c>
      <c r="P441">
        <f t="shared" si="96"/>
        <v>0</v>
      </c>
      <c r="Q441">
        <f t="shared" si="96"/>
        <v>0</v>
      </c>
      <c r="R441">
        <f t="shared" si="96"/>
        <v>0</v>
      </c>
      <c r="S441">
        <f t="shared" si="96"/>
        <v>0</v>
      </c>
      <c r="T441">
        <f t="shared" si="96"/>
        <v>0</v>
      </c>
      <c r="U441">
        <f t="shared" si="96"/>
        <v>0</v>
      </c>
      <c r="V441">
        <f t="shared" si="96"/>
        <v>0</v>
      </c>
      <c r="W441">
        <f t="shared" si="96"/>
        <v>0</v>
      </c>
      <c r="X441">
        <f t="shared" si="96"/>
        <v>0</v>
      </c>
      <c r="Y441">
        <f t="shared" si="95"/>
        <v>0</v>
      </c>
      <c r="Z441">
        <f t="shared" si="95"/>
        <v>0</v>
      </c>
      <c r="AA441">
        <f t="shared" si="95"/>
        <v>0</v>
      </c>
      <c r="AB441">
        <f t="shared" si="95"/>
        <v>0</v>
      </c>
      <c r="AC441">
        <f t="shared" si="95"/>
        <v>0</v>
      </c>
      <c r="AD441">
        <f t="shared" si="95"/>
        <v>0</v>
      </c>
      <c r="AE441">
        <f t="shared" si="95"/>
        <v>0</v>
      </c>
      <c r="AF441">
        <f t="shared" si="95"/>
        <v>0</v>
      </c>
      <c r="AG441">
        <f t="shared" si="95"/>
        <v>0</v>
      </c>
      <c r="AH441">
        <f t="shared" si="95"/>
        <v>0</v>
      </c>
      <c r="AI441">
        <f t="shared" si="95"/>
        <v>0</v>
      </c>
      <c r="AJ441">
        <f t="shared" si="95"/>
        <v>0</v>
      </c>
      <c r="AK441">
        <f t="shared" si="95"/>
        <v>0</v>
      </c>
      <c r="AL441">
        <f t="shared" si="95"/>
        <v>0</v>
      </c>
      <c r="AM441">
        <f t="shared" si="95"/>
        <v>0</v>
      </c>
      <c r="AN441">
        <f t="shared" si="97"/>
        <v>0</v>
      </c>
      <c r="AO441">
        <f t="shared" si="97"/>
        <v>0</v>
      </c>
      <c r="AP441">
        <f t="shared" si="97"/>
        <v>0</v>
      </c>
      <c r="AQ441">
        <f t="shared" si="97"/>
        <v>0</v>
      </c>
      <c r="AR441">
        <f t="shared" si="97"/>
        <v>0</v>
      </c>
    </row>
    <row r="442" spans="5:44" x14ac:dyDescent="0.2">
      <c r="E442" s="1">
        <f>moment_rate!$M442</f>
        <v>0.13654774111474549</v>
      </c>
      <c r="F442" s="1">
        <f t="shared" si="86"/>
        <v>2.6671731787549224E-3</v>
      </c>
      <c r="G442">
        <f>moment_rate!I442-0.005</f>
        <v>4.3499999999999517</v>
      </c>
      <c r="H442" s="1">
        <f t="shared" si="87"/>
        <v>0</v>
      </c>
      <c r="I442">
        <f t="shared" si="96"/>
        <v>0</v>
      </c>
      <c r="J442">
        <f t="shared" si="96"/>
        <v>0</v>
      </c>
      <c r="K442">
        <f t="shared" si="96"/>
        <v>0</v>
      </c>
      <c r="L442">
        <f t="shared" si="96"/>
        <v>0</v>
      </c>
      <c r="M442">
        <f t="shared" si="96"/>
        <v>0</v>
      </c>
      <c r="N442">
        <f t="shared" si="96"/>
        <v>0</v>
      </c>
      <c r="O442">
        <f t="shared" si="96"/>
        <v>0</v>
      </c>
      <c r="P442">
        <f t="shared" si="96"/>
        <v>0</v>
      </c>
      <c r="Q442">
        <f t="shared" si="96"/>
        <v>0</v>
      </c>
      <c r="R442">
        <f t="shared" si="96"/>
        <v>0</v>
      </c>
      <c r="S442">
        <f t="shared" si="96"/>
        <v>0</v>
      </c>
      <c r="T442">
        <f t="shared" si="96"/>
        <v>0</v>
      </c>
      <c r="U442">
        <f t="shared" si="96"/>
        <v>0</v>
      </c>
      <c r="V442">
        <f t="shared" si="96"/>
        <v>0</v>
      </c>
      <c r="W442">
        <f t="shared" si="96"/>
        <v>0</v>
      </c>
      <c r="X442">
        <f t="shared" si="96"/>
        <v>0</v>
      </c>
      <c r="Y442">
        <f t="shared" si="95"/>
        <v>0</v>
      </c>
      <c r="Z442">
        <f t="shared" si="95"/>
        <v>0</v>
      </c>
      <c r="AA442">
        <f t="shared" si="95"/>
        <v>0</v>
      </c>
      <c r="AB442">
        <f t="shared" si="95"/>
        <v>0</v>
      </c>
      <c r="AC442">
        <f t="shared" si="95"/>
        <v>0</v>
      </c>
      <c r="AD442">
        <f t="shared" si="95"/>
        <v>0</v>
      </c>
      <c r="AE442">
        <f t="shared" si="95"/>
        <v>0</v>
      </c>
      <c r="AF442">
        <f t="shared" si="95"/>
        <v>0</v>
      </c>
      <c r="AG442">
        <f t="shared" si="95"/>
        <v>0</v>
      </c>
      <c r="AH442">
        <f t="shared" si="95"/>
        <v>0</v>
      </c>
      <c r="AI442">
        <f t="shared" si="95"/>
        <v>0</v>
      </c>
      <c r="AJ442">
        <f t="shared" si="95"/>
        <v>0</v>
      </c>
      <c r="AK442">
        <f t="shared" si="95"/>
        <v>0</v>
      </c>
      <c r="AL442">
        <f t="shared" si="95"/>
        <v>0</v>
      </c>
      <c r="AM442">
        <f t="shared" si="95"/>
        <v>0</v>
      </c>
      <c r="AN442">
        <f t="shared" si="97"/>
        <v>0</v>
      </c>
      <c r="AO442">
        <f t="shared" si="97"/>
        <v>0</v>
      </c>
      <c r="AP442">
        <f t="shared" si="97"/>
        <v>0</v>
      </c>
      <c r="AQ442">
        <f t="shared" si="97"/>
        <v>0</v>
      </c>
      <c r="AR442">
        <f t="shared" si="97"/>
        <v>0</v>
      </c>
    </row>
    <row r="443" spans="5:44" x14ac:dyDescent="0.2">
      <c r="E443" s="1">
        <f>moment_rate!$M443</f>
        <v>0.13388056793599057</v>
      </c>
      <c r="F443" s="1">
        <f t="shared" si="86"/>
        <v>2.6124694179411323E-3</v>
      </c>
      <c r="G443">
        <f>moment_rate!I443-0.005</f>
        <v>4.3599999999999515</v>
      </c>
      <c r="H443" s="1">
        <f t="shared" si="87"/>
        <v>0</v>
      </c>
      <c r="I443">
        <f t="shared" si="96"/>
        <v>0</v>
      </c>
      <c r="J443">
        <f t="shared" si="96"/>
        <v>0</v>
      </c>
      <c r="K443">
        <f t="shared" si="96"/>
        <v>0</v>
      </c>
      <c r="L443">
        <f t="shared" si="96"/>
        <v>0</v>
      </c>
      <c r="M443">
        <f t="shared" si="96"/>
        <v>0</v>
      </c>
      <c r="N443">
        <f t="shared" si="96"/>
        <v>0</v>
      </c>
      <c r="O443">
        <f t="shared" si="96"/>
        <v>0</v>
      </c>
      <c r="P443">
        <f t="shared" si="96"/>
        <v>0</v>
      </c>
      <c r="Q443">
        <f t="shared" si="96"/>
        <v>0</v>
      </c>
      <c r="R443">
        <f t="shared" si="96"/>
        <v>0</v>
      </c>
      <c r="S443">
        <f t="shared" si="96"/>
        <v>0</v>
      </c>
      <c r="T443">
        <f t="shared" si="96"/>
        <v>0</v>
      </c>
      <c r="U443">
        <f t="shared" si="96"/>
        <v>0</v>
      </c>
      <c r="V443">
        <f t="shared" si="96"/>
        <v>0</v>
      </c>
      <c r="W443">
        <f t="shared" si="96"/>
        <v>0</v>
      </c>
      <c r="X443">
        <f t="shared" si="96"/>
        <v>0</v>
      </c>
      <c r="Y443">
        <f t="shared" si="95"/>
        <v>0</v>
      </c>
      <c r="Z443">
        <f t="shared" si="95"/>
        <v>0</v>
      </c>
      <c r="AA443">
        <f t="shared" si="95"/>
        <v>0</v>
      </c>
      <c r="AB443">
        <f t="shared" si="95"/>
        <v>0</v>
      </c>
      <c r="AC443">
        <f t="shared" si="95"/>
        <v>0</v>
      </c>
      <c r="AD443">
        <f t="shared" si="95"/>
        <v>0</v>
      </c>
      <c r="AE443">
        <f t="shared" si="95"/>
        <v>0</v>
      </c>
      <c r="AF443">
        <f t="shared" si="95"/>
        <v>0</v>
      </c>
      <c r="AG443">
        <f t="shared" si="95"/>
        <v>0</v>
      </c>
      <c r="AH443">
        <f t="shared" si="95"/>
        <v>0</v>
      </c>
      <c r="AI443">
        <f t="shared" si="95"/>
        <v>0</v>
      </c>
      <c r="AJ443">
        <f t="shared" si="95"/>
        <v>0</v>
      </c>
      <c r="AK443">
        <f t="shared" si="95"/>
        <v>0</v>
      </c>
      <c r="AL443">
        <f t="shared" si="95"/>
        <v>0</v>
      </c>
      <c r="AM443">
        <f t="shared" si="95"/>
        <v>0</v>
      </c>
      <c r="AN443">
        <f t="shared" si="97"/>
        <v>0</v>
      </c>
      <c r="AO443">
        <f t="shared" si="97"/>
        <v>0</v>
      </c>
      <c r="AP443">
        <f t="shared" si="97"/>
        <v>0</v>
      </c>
      <c r="AQ443">
        <f t="shared" si="97"/>
        <v>0</v>
      </c>
      <c r="AR443">
        <f t="shared" si="97"/>
        <v>0</v>
      </c>
    </row>
    <row r="444" spans="5:44" x14ac:dyDescent="0.2">
      <c r="E444" s="1">
        <f>moment_rate!$M444</f>
        <v>0.13126809851804944</v>
      </c>
      <c r="F444" s="1">
        <f t="shared" si="86"/>
        <v>2.5588876320598586E-3</v>
      </c>
      <c r="G444">
        <f>moment_rate!I444-0.005</f>
        <v>4.3699999999999513</v>
      </c>
      <c r="H444" s="1">
        <f t="shared" si="87"/>
        <v>0</v>
      </c>
      <c r="I444">
        <f t="shared" si="96"/>
        <v>0</v>
      </c>
      <c r="J444">
        <f t="shared" si="96"/>
        <v>0</v>
      </c>
      <c r="K444">
        <f t="shared" si="96"/>
        <v>0</v>
      </c>
      <c r="L444">
        <f t="shared" si="96"/>
        <v>0</v>
      </c>
      <c r="M444">
        <f t="shared" si="96"/>
        <v>0</v>
      </c>
      <c r="N444">
        <f t="shared" si="96"/>
        <v>0</v>
      </c>
      <c r="O444">
        <f t="shared" si="96"/>
        <v>0</v>
      </c>
      <c r="P444">
        <f t="shared" si="96"/>
        <v>0</v>
      </c>
      <c r="Q444">
        <f t="shared" si="96"/>
        <v>0</v>
      </c>
      <c r="R444">
        <f t="shared" si="96"/>
        <v>0</v>
      </c>
      <c r="S444">
        <f t="shared" si="96"/>
        <v>0</v>
      </c>
      <c r="T444">
        <f t="shared" si="96"/>
        <v>0</v>
      </c>
      <c r="U444">
        <f t="shared" si="96"/>
        <v>0</v>
      </c>
      <c r="V444">
        <f t="shared" si="96"/>
        <v>0</v>
      </c>
      <c r="W444">
        <f t="shared" si="96"/>
        <v>0</v>
      </c>
      <c r="X444">
        <f t="shared" si="96"/>
        <v>0</v>
      </c>
      <c r="Y444">
        <f t="shared" si="95"/>
        <v>0</v>
      </c>
      <c r="Z444">
        <f t="shared" si="95"/>
        <v>0</v>
      </c>
      <c r="AA444">
        <f t="shared" si="95"/>
        <v>0</v>
      </c>
      <c r="AB444">
        <f t="shared" si="95"/>
        <v>0</v>
      </c>
      <c r="AC444">
        <f t="shared" si="95"/>
        <v>0</v>
      </c>
      <c r="AD444">
        <f t="shared" si="95"/>
        <v>0</v>
      </c>
      <c r="AE444">
        <f t="shared" si="95"/>
        <v>0</v>
      </c>
      <c r="AF444">
        <f t="shared" si="95"/>
        <v>0</v>
      </c>
      <c r="AG444">
        <f t="shared" si="95"/>
        <v>0</v>
      </c>
      <c r="AH444">
        <f t="shared" si="95"/>
        <v>0</v>
      </c>
      <c r="AI444">
        <f t="shared" si="95"/>
        <v>0</v>
      </c>
      <c r="AJ444">
        <f t="shared" si="95"/>
        <v>0</v>
      </c>
      <c r="AK444">
        <f t="shared" si="95"/>
        <v>0</v>
      </c>
      <c r="AL444">
        <f t="shared" si="95"/>
        <v>0</v>
      </c>
      <c r="AM444">
        <f t="shared" si="95"/>
        <v>0</v>
      </c>
      <c r="AN444">
        <f t="shared" si="97"/>
        <v>0</v>
      </c>
      <c r="AO444">
        <f t="shared" si="97"/>
        <v>0</v>
      </c>
      <c r="AP444">
        <f t="shared" si="97"/>
        <v>0</v>
      </c>
      <c r="AQ444">
        <f t="shared" si="97"/>
        <v>0</v>
      </c>
      <c r="AR444">
        <f t="shared" si="97"/>
        <v>0</v>
      </c>
    </row>
    <row r="445" spans="5:44" x14ac:dyDescent="0.2">
      <c r="E445" s="1">
        <f>moment_rate!$M445</f>
        <v>0.12870921088598958</v>
      </c>
      <c r="F445" s="1">
        <f t="shared" si="86"/>
        <v>2.5064048093887681E-3</v>
      </c>
      <c r="G445">
        <f>moment_rate!I445-0.005</f>
        <v>4.379999999999951</v>
      </c>
      <c r="H445" s="1">
        <f t="shared" si="87"/>
        <v>0</v>
      </c>
      <c r="I445">
        <f t="shared" si="96"/>
        <v>0</v>
      </c>
      <c r="J445">
        <f t="shared" si="96"/>
        <v>0</v>
      </c>
      <c r="K445">
        <f t="shared" si="96"/>
        <v>0</v>
      </c>
      <c r="L445">
        <f t="shared" si="96"/>
        <v>0</v>
      </c>
      <c r="M445">
        <f t="shared" si="96"/>
        <v>0</v>
      </c>
      <c r="N445">
        <f t="shared" si="96"/>
        <v>0</v>
      </c>
      <c r="O445">
        <f t="shared" si="96"/>
        <v>0</v>
      </c>
      <c r="P445">
        <f t="shared" si="96"/>
        <v>0</v>
      </c>
      <c r="Q445">
        <f t="shared" si="96"/>
        <v>0</v>
      </c>
      <c r="R445">
        <f t="shared" si="96"/>
        <v>0</v>
      </c>
      <c r="S445">
        <f t="shared" si="96"/>
        <v>0</v>
      </c>
      <c r="T445">
        <f t="shared" si="96"/>
        <v>0</v>
      </c>
      <c r="U445">
        <f t="shared" si="96"/>
        <v>0</v>
      </c>
      <c r="V445">
        <f t="shared" si="96"/>
        <v>0</v>
      </c>
      <c r="W445">
        <f t="shared" si="96"/>
        <v>0</v>
      </c>
      <c r="X445">
        <f t="shared" si="96"/>
        <v>0</v>
      </c>
      <c r="Y445">
        <f t="shared" si="95"/>
        <v>0</v>
      </c>
      <c r="Z445">
        <f t="shared" si="95"/>
        <v>0</v>
      </c>
      <c r="AA445">
        <f t="shared" si="95"/>
        <v>0</v>
      </c>
      <c r="AB445">
        <f t="shared" si="95"/>
        <v>0</v>
      </c>
      <c r="AC445">
        <f t="shared" si="95"/>
        <v>0</v>
      </c>
      <c r="AD445">
        <f t="shared" si="95"/>
        <v>0</v>
      </c>
      <c r="AE445">
        <f t="shared" si="95"/>
        <v>0</v>
      </c>
      <c r="AF445">
        <f t="shared" si="95"/>
        <v>0</v>
      </c>
      <c r="AG445">
        <f t="shared" si="95"/>
        <v>0</v>
      </c>
      <c r="AH445">
        <f t="shared" si="95"/>
        <v>0</v>
      </c>
      <c r="AI445">
        <f t="shared" si="95"/>
        <v>0</v>
      </c>
      <c r="AJ445">
        <f t="shared" si="95"/>
        <v>0</v>
      </c>
      <c r="AK445">
        <f t="shared" si="95"/>
        <v>0</v>
      </c>
      <c r="AL445">
        <f t="shared" si="95"/>
        <v>0</v>
      </c>
      <c r="AM445">
        <f t="shared" si="95"/>
        <v>0</v>
      </c>
      <c r="AN445">
        <f t="shared" si="97"/>
        <v>0</v>
      </c>
      <c r="AO445">
        <f t="shared" si="97"/>
        <v>0</v>
      </c>
      <c r="AP445">
        <f t="shared" si="97"/>
        <v>0</v>
      </c>
      <c r="AQ445">
        <f t="shared" si="97"/>
        <v>0</v>
      </c>
      <c r="AR445">
        <f t="shared" si="97"/>
        <v>0</v>
      </c>
    </row>
    <row r="446" spans="5:44" x14ac:dyDescent="0.2">
      <c r="E446" s="1">
        <f>moment_rate!$M446</f>
        <v>0.12620280607660081</v>
      </c>
      <c r="F446" s="1">
        <f t="shared" si="86"/>
        <v>2.4549984101765315E-3</v>
      </c>
      <c r="G446">
        <f>moment_rate!I446-0.005</f>
        <v>4.3899999999999508</v>
      </c>
      <c r="H446" s="1">
        <f t="shared" si="87"/>
        <v>0</v>
      </c>
      <c r="I446">
        <f t="shared" si="96"/>
        <v>0</v>
      </c>
      <c r="J446">
        <f t="shared" si="96"/>
        <v>0</v>
      </c>
      <c r="K446">
        <f t="shared" si="96"/>
        <v>0</v>
      </c>
      <c r="L446">
        <f t="shared" si="96"/>
        <v>0</v>
      </c>
      <c r="M446">
        <f t="shared" si="96"/>
        <v>0</v>
      </c>
      <c r="N446">
        <f t="shared" si="96"/>
        <v>0</v>
      </c>
      <c r="O446">
        <f t="shared" si="96"/>
        <v>0</v>
      </c>
      <c r="P446">
        <f t="shared" si="96"/>
        <v>0</v>
      </c>
      <c r="Q446">
        <f t="shared" si="96"/>
        <v>0</v>
      </c>
      <c r="R446">
        <f t="shared" si="96"/>
        <v>0</v>
      </c>
      <c r="S446">
        <f t="shared" si="96"/>
        <v>0</v>
      </c>
      <c r="T446">
        <f t="shared" si="96"/>
        <v>0</v>
      </c>
      <c r="U446">
        <f t="shared" si="96"/>
        <v>0</v>
      </c>
      <c r="V446">
        <f t="shared" si="96"/>
        <v>0</v>
      </c>
      <c r="W446">
        <f t="shared" si="96"/>
        <v>0</v>
      </c>
      <c r="X446">
        <f t="shared" ref="X446:AM461" si="98">IF(AND($G446&gt;=X$3,$G446&lt;X$4),$F446,0)</f>
        <v>0</v>
      </c>
      <c r="Y446">
        <f t="shared" si="98"/>
        <v>0</v>
      </c>
      <c r="Z446">
        <f t="shared" si="98"/>
        <v>0</v>
      </c>
      <c r="AA446">
        <f t="shared" si="98"/>
        <v>0</v>
      </c>
      <c r="AB446">
        <f t="shared" si="98"/>
        <v>0</v>
      </c>
      <c r="AC446">
        <f t="shared" si="98"/>
        <v>0</v>
      </c>
      <c r="AD446">
        <f t="shared" si="98"/>
        <v>0</v>
      </c>
      <c r="AE446">
        <f t="shared" si="98"/>
        <v>0</v>
      </c>
      <c r="AF446">
        <f t="shared" si="98"/>
        <v>0</v>
      </c>
      <c r="AG446">
        <f t="shared" si="98"/>
        <v>0</v>
      </c>
      <c r="AH446">
        <f t="shared" si="98"/>
        <v>0</v>
      </c>
      <c r="AI446">
        <f t="shared" si="98"/>
        <v>0</v>
      </c>
      <c r="AJ446">
        <f t="shared" si="98"/>
        <v>0</v>
      </c>
      <c r="AK446">
        <f t="shared" si="98"/>
        <v>0</v>
      </c>
      <c r="AL446">
        <f t="shared" si="98"/>
        <v>0</v>
      </c>
      <c r="AM446">
        <f t="shared" si="98"/>
        <v>0</v>
      </c>
      <c r="AN446">
        <f t="shared" si="97"/>
        <v>0</v>
      </c>
      <c r="AO446">
        <f t="shared" si="97"/>
        <v>0</v>
      </c>
      <c r="AP446">
        <f t="shared" si="97"/>
        <v>0</v>
      </c>
      <c r="AQ446">
        <f t="shared" si="97"/>
        <v>0</v>
      </c>
      <c r="AR446">
        <f t="shared" si="97"/>
        <v>0</v>
      </c>
    </row>
    <row r="447" spans="5:44" x14ac:dyDescent="0.2">
      <c r="E447" s="1">
        <f>moment_rate!$M447</f>
        <v>0.12374780766642428</v>
      </c>
      <c r="F447" s="1">
        <f t="shared" si="86"/>
        <v>2.4046463569621784E-3</v>
      </c>
      <c r="G447">
        <f>moment_rate!I447-0.005</f>
        <v>4.3999999999999506</v>
      </c>
      <c r="H447" s="1">
        <f t="shared" si="87"/>
        <v>0</v>
      </c>
      <c r="I447">
        <f t="shared" ref="I447:X461" si="99">IF(AND($G447&gt;=I$3,$G447&lt;I$4),$F447,0)</f>
        <v>0</v>
      </c>
      <c r="J447">
        <f t="shared" si="99"/>
        <v>0</v>
      </c>
      <c r="K447">
        <f t="shared" si="99"/>
        <v>0</v>
      </c>
      <c r="L447">
        <f t="shared" si="99"/>
        <v>0</v>
      </c>
      <c r="M447">
        <f t="shared" si="99"/>
        <v>0</v>
      </c>
      <c r="N447">
        <f t="shared" si="99"/>
        <v>0</v>
      </c>
      <c r="O447">
        <f t="shared" si="99"/>
        <v>0</v>
      </c>
      <c r="P447">
        <f t="shared" si="99"/>
        <v>0</v>
      </c>
      <c r="Q447">
        <f t="shared" si="99"/>
        <v>0</v>
      </c>
      <c r="R447">
        <f t="shared" si="99"/>
        <v>0</v>
      </c>
      <c r="S447">
        <f t="shared" si="99"/>
        <v>0</v>
      </c>
      <c r="T447">
        <f t="shared" si="99"/>
        <v>0</v>
      </c>
      <c r="U447">
        <f t="shared" si="99"/>
        <v>0</v>
      </c>
      <c r="V447">
        <f t="shared" si="99"/>
        <v>0</v>
      </c>
      <c r="W447">
        <f t="shared" si="99"/>
        <v>0</v>
      </c>
      <c r="X447">
        <f t="shared" si="99"/>
        <v>0</v>
      </c>
      <c r="Y447">
        <f t="shared" si="98"/>
        <v>0</v>
      </c>
      <c r="Z447">
        <f t="shared" si="98"/>
        <v>0</v>
      </c>
      <c r="AA447">
        <f t="shared" si="98"/>
        <v>0</v>
      </c>
      <c r="AB447">
        <f t="shared" si="98"/>
        <v>0</v>
      </c>
      <c r="AC447">
        <f t="shared" si="98"/>
        <v>0</v>
      </c>
      <c r="AD447">
        <f t="shared" si="98"/>
        <v>0</v>
      </c>
      <c r="AE447">
        <f t="shared" si="98"/>
        <v>0</v>
      </c>
      <c r="AF447">
        <f t="shared" si="98"/>
        <v>0</v>
      </c>
      <c r="AG447">
        <f t="shared" si="98"/>
        <v>0</v>
      </c>
      <c r="AH447">
        <f t="shared" si="98"/>
        <v>0</v>
      </c>
      <c r="AI447">
        <f t="shared" si="98"/>
        <v>0</v>
      </c>
      <c r="AJ447">
        <f t="shared" si="98"/>
        <v>0</v>
      </c>
      <c r="AK447">
        <f t="shared" si="98"/>
        <v>0</v>
      </c>
      <c r="AL447">
        <f t="shared" si="98"/>
        <v>0</v>
      </c>
      <c r="AM447">
        <f t="shared" si="98"/>
        <v>0</v>
      </c>
      <c r="AN447">
        <f t="shared" si="97"/>
        <v>0</v>
      </c>
      <c r="AO447">
        <f t="shared" si="97"/>
        <v>0</v>
      </c>
      <c r="AP447">
        <f t="shared" si="97"/>
        <v>0</v>
      </c>
      <c r="AQ447">
        <f t="shared" si="97"/>
        <v>0</v>
      </c>
      <c r="AR447">
        <f t="shared" si="97"/>
        <v>0</v>
      </c>
    </row>
    <row r="448" spans="5:44" x14ac:dyDescent="0.2">
      <c r="E448" s="1">
        <f>moment_rate!$M448</f>
        <v>0.1213431613094621</v>
      </c>
      <c r="F448" s="1">
        <f t="shared" si="86"/>
        <v>2.3553270250939728E-3</v>
      </c>
      <c r="G448">
        <f>moment_rate!I448-0.005</f>
        <v>4.4099999999999504</v>
      </c>
      <c r="H448" s="1">
        <f t="shared" si="87"/>
        <v>0</v>
      </c>
      <c r="I448">
        <f t="shared" si="99"/>
        <v>0</v>
      </c>
      <c r="J448">
        <f t="shared" si="99"/>
        <v>0</v>
      </c>
      <c r="K448">
        <f t="shared" si="99"/>
        <v>0</v>
      </c>
      <c r="L448">
        <f t="shared" si="99"/>
        <v>0</v>
      </c>
      <c r="M448">
        <f t="shared" si="99"/>
        <v>0</v>
      </c>
      <c r="N448">
        <f t="shared" si="99"/>
        <v>0</v>
      </c>
      <c r="O448">
        <f t="shared" si="99"/>
        <v>0</v>
      </c>
      <c r="P448">
        <f t="shared" si="99"/>
        <v>0</v>
      </c>
      <c r="Q448">
        <f t="shared" si="99"/>
        <v>0</v>
      </c>
      <c r="R448">
        <f t="shared" si="99"/>
        <v>0</v>
      </c>
      <c r="S448">
        <f t="shared" si="99"/>
        <v>0</v>
      </c>
      <c r="T448">
        <f t="shared" si="99"/>
        <v>0</v>
      </c>
      <c r="U448">
        <f t="shared" si="99"/>
        <v>0</v>
      </c>
      <c r="V448">
        <f t="shared" si="99"/>
        <v>0</v>
      </c>
      <c r="W448">
        <f t="shared" si="99"/>
        <v>0</v>
      </c>
      <c r="X448">
        <f t="shared" si="99"/>
        <v>0</v>
      </c>
      <c r="Y448">
        <f t="shared" si="98"/>
        <v>0</v>
      </c>
      <c r="Z448">
        <f t="shared" si="98"/>
        <v>0</v>
      </c>
      <c r="AA448">
        <f t="shared" si="98"/>
        <v>0</v>
      </c>
      <c r="AB448">
        <f t="shared" si="98"/>
        <v>0</v>
      </c>
      <c r="AC448">
        <f t="shared" si="98"/>
        <v>0</v>
      </c>
      <c r="AD448">
        <f t="shared" si="98"/>
        <v>0</v>
      </c>
      <c r="AE448">
        <f t="shared" si="98"/>
        <v>0</v>
      </c>
      <c r="AF448">
        <f t="shared" si="98"/>
        <v>0</v>
      </c>
      <c r="AG448">
        <f t="shared" si="98"/>
        <v>0</v>
      </c>
      <c r="AH448">
        <f t="shared" si="98"/>
        <v>0</v>
      </c>
      <c r="AI448">
        <f t="shared" si="98"/>
        <v>0</v>
      </c>
      <c r="AJ448">
        <f t="shared" si="98"/>
        <v>0</v>
      </c>
      <c r="AK448">
        <f t="shared" si="98"/>
        <v>0</v>
      </c>
      <c r="AL448">
        <f t="shared" si="98"/>
        <v>0</v>
      </c>
      <c r="AM448">
        <f t="shared" si="98"/>
        <v>0</v>
      </c>
      <c r="AN448">
        <f t="shared" si="97"/>
        <v>0</v>
      </c>
      <c r="AO448">
        <f t="shared" si="97"/>
        <v>0</v>
      </c>
      <c r="AP448">
        <f t="shared" si="97"/>
        <v>0</v>
      </c>
      <c r="AQ448">
        <f t="shared" si="97"/>
        <v>0</v>
      </c>
      <c r="AR448">
        <f t="shared" si="97"/>
        <v>0</v>
      </c>
    </row>
    <row r="449" spans="5:44" x14ac:dyDescent="0.2">
      <c r="E449" s="1">
        <f>moment_rate!$M449</f>
        <v>0.11898783428436813</v>
      </c>
      <c r="F449" s="1">
        <f t="shared" si="86"/>
        <v>2.3070192334419953E-3</v>
      </c>
      <c r="G449">
        <f>moment_rate!I449-0.005</f>
        <v>4.4199999999999502</v>
      </c>
      <c r="H449" s="1">
        <f t="shared" si="87"/>
        <v>0</v>
      </c>
      <c r="I449">
        <f t="shared" si="99"/>
        <v>0</v>
      </c>
      <c r="J449">
        <f t="shared" si="99"/>
        <v>0</v>
      </c>
      <c r="K449">
        <f t="shared" si="99"/>
        <v>0</v>
      </c>
      <c r="L449">
        <f t="shared" si="99"/>
        <v>0</v>
      </c>
      <c r="M449">
        <f t="shared" si="99"/>
        <v>0</v>
      </c>
      <c r="N449">
        <f t="shared" si="99"/>
        <v>0</v>
      </c>
      <c r="O449">
        <f t="shared" si="99"/>
        <v>0</v>
      </c>
      <c r="P449">
        <f t="shared" si="99"/>
        <v>0</v>
      </c>
      <c r="Q449">
        <f t="shared" si="99"/>
        <v>0</v>
      </c>
      <c r="R449">
        <f t="shared" si="99"/>
        <v>0</v>
      </c>
      <c r="S449">
        <f t="shared" si="99"/>
        <v>0</v>
      </c>
      <c r="T449">
        <f t="shared" si="99"/>
        <v>0</v>
      </c>
      <c r="U449">
        <f t="shared" si="99"/>
        <v>0</v>
      </c>
      <c r="V449">
        <f t="shared" si="99"/>
        <v>0</v>
      </c>
      <c r="W449">
        <f t="shared" si="99"/>
        <v>0</v>
      </c>
      <c r="X449">
        <f t="shared" si="99"/>
        <v>0</v>
      </c>
      <c r="Y449">
        <f t="shared" si="98"/>
        <v>0</v>
      </c>
      <c r="Z449">
        <f t="shared" si="98"/>
        <v>0</v>
      </c>
      <c r="AA449">
        <f t="shared" si="98"/>
        <v>0</v>
      </c>
      <c r="AB449">
        <f t="shared" si="98"/>
        <v>0</v>
      </c>
      <c r="AC449">
        <f t="shared" si="98"/>
        <v>0</v>
      </c>
      <c r="AD449">
        <f t="shared" si="98"/>
        <v>0</v>
      </c>
      <c r="AE449">
        <f t="shared" si="98"/>
        <v>0</v>
      </c>
      <c r="AF449">
        <f t="shared" si="98"/>
        <v>0</v>
      </c>
      <c r="AG449">
        <f t="shared" si="98"/>
        <v>0</v>
      </c>
      <c r="AH449">
        <f t="shared" si="98"/>
        <v>0</v>
      </c>
      <c r="AI449">
        <f t="shared" si="98"/>
        <v>0</v>
      </c>
      <c r="AJ449">
        <f t="shared" si="98"/>
        <v>0</v>
      </c>
      <c r="AK449">
        <f t="shared" si="98"/>
        <v>0</v>
      </c>
      <c r="AL449">
        <f t="shared" si="98"/>
        <v>0</v>
      </c>
      <c r="AM449">
        <f t="shared" si="98"/>
        <v>0</v>
      </c>
      <c r="AN449">
        <f t="shared" si="97"/>
        <v>0</v>
      </c>
      <c r="AO449">
        <f t="shared" si="97"/>
        <v>0</v>
      </c>
      <c r="AP449">
        <f t="shared" si="97"/>
        <v>0</v>
      </c>
      <c r="AQ449">
        <f t="shared" si="97"/>
        <v>0</v>
      </c>
      <c r="AR449">
        <f t="shared" si="97"/>
        <v>0</v>
      </c>
    </row>
    <row r="450" spans="5:44" x14ac:dyDescent="0.2">
      <c r="E450" s="1">
        <f>moment_rate!$M450</f>
        <v>0.11668081505092613</v>
      </c>
      <c r="F450" s="1">
        <f t="shared" si="86"/>
        <v>2.2597022353016832E-3</v>
      </c>
      <c r="G450">
        <f>moment_rate!I450-0.005</f>
        <v>4.42999999999995</v>
      </c>
      <c r="H450" s="1">
        <f t="shared" si="87"/>
        <v>0</v>
      </c>
      <c r="I450">
        <f t="shared" si="99"/>
        <v>0</v>
      </c>
      <c r="J450">
        <f t="shared" si="99"/>
        <v>0</v>
      </c>
      <c r="K450">
        <f t="shared" si="99"/>
        <v>0</v>
      </c>
      <c r="L450">
        <f t="shared" si="99"/>
        <v>0</v>
      </c>
      <c r="M450">
        <f t="shared" si="99"/>
        <v>0</v>
      </c>
      <c r="N450">
        <f t="shared" si="99"/>
        <v>0</v>
      </c>
      <c r="O450">
        <f t="shared" si="99"/>
        <v>0</v>
      </c>
      <c r="P450">
        <f t="shared" si="99"/>
        <v>0</v>
      </c>
      <c r="Q450">
        <f t="shared" si="99"/>
        <v>0</v>
      </c>
      <c r="R450">
        <f t="shared" si="99"/>
        <v>0</v>
      </c>
      <c r="S450">
        <f t="shared" si="99"/>
        <v>0</v>
      </c>
      <c r="T450">
        <f t="shared" si="99"/>
        <v>0</v>
      </c>
      <c r="U450">
        <f t="shared" si="99"/>
        <v>0</v>
      </c>
      <c r="V450">
        <f t="shared" si="99"/>
        <v>0</v>
      </c>
      <c r="W450">
        <f t="shared" si="99"/>
        <v>0</v>
      </c>
      <c r="X450">
        <f t="shared" si="99"/>
        <v>0</v>
      </c>
      <c r="Y450">
        <f t="shared" si="98"/>
        <v>0</v>
      </c>
      <c r="Z450">
        <f t="shared" si="98"/>
        <v>0</v>
      </c>
      <c r="AA450">
        <f t="shared" si="98"/>
        <v>0</v>
      </c>
      <c r="AB450">
        <f t="shared" si="98"/>
        <v>0</v>
      </c>
      <c r="AC450">
        <f t="shared" si="98"/>
        <v>0</v>
      </c>
      <c r="AD450">
        <f t="shared" si="98"/>
        <v>0</v>
      </c>
      <c r="AE450">
        <f t="shared" si="98"/>
        <v>0</v>
      </c>
      <c r="AF450">
        <f t="shared" si="98"/>
        <v>0</v>
      </c>
      <c r="AG450">
        <f t="shared" si="98"/>
        <v>0</v>
      </c>
      <c r="AH450">
        <f t="shared" si="98"/>
        <v>0</v>
      </c>
      <c r="AI450">
        <f t="shared" si="98"/>
        <v>0</v>
      </c>
      <c r="AJ450">
        <f t="shared" si="98"/>
        <v>0</v>
      </c>
      <c r="AK450">
        <f t="shared" si="98"/>
        <v>0</v>
      </c>
      <c r="AL450">
        <f t="shared" si="98"/>
        <v>0</v>
      </c>
      <c r="AM450">
        <f t="shared" si="98"/>
        <v>0</v>
      </c>
      <c r="AN450">
        <f t="shared" si="97"/>
        <v>0</v>
      </c>
      <c r="AO450">
        <f t="shared" si="97"/>
        <v>0</v>
      </c>
      <c r="AP450">
        <f t="shared" si="97"/>
        <v>0</v>
      </c>
      <c r="AQ450">
        <f t="shared" si="97"/>
        <v>0</v>
      </c>
      <c r="AR450">
        <f t="shared" si="97"/>
        <v>0</v>
      </c>
    </row>
    <row r="451" spans="5:44" x14ac:dyDescent="0.2">
      <c r="E451" s="1">
        <f>moment_rate!$M451</f>
        <v>0.11442111281562445</v>
      </c>
      <c r="F451" s="1">
        <f t="shared" si="86"/>
        <v>2.2133557094836803E-3</v>
      </c>
      <c r="G451">
        <f>moment_rate!I451-0.005</f>
        <v>4.4399999999999498</v>
      </c>
      <c r="H451" s="1">
        <f t="shared" si="87"/>
        <v>0</v>
      </c>
      <c r="I451">
        <f t="shared" si="99"/>
        <v>0</v>
      </c>
      <c r="J451">
        <f t="shared" si="99"/>
        <v>0</v>
      </c>
      <c r="K451">
        <f t="shared" si="99"/>
        <v>0</v>
      </c>
      <c r="L451">
        <f t="shared" si="99"/>
        <v>0</v>
      </c>
      <c r="M451">
        <f t="shared" si="99"/>
        <v>0</v>
      </c>
      <c r="N451">
        <f t="shared" si="99"/>
        <v>0</v>
      </c>
      <c r="O451">
        <f t="shared" si="99"/>
        <v>0</v>
      </c>
      <c r="P451">
        <f t="shared" si="99"/>
        <v>0</v>
      </c>
      <c r="Q451">
        <f t="shared" si="99"/>
        <v>0</v>
      </c>
      <c r="R451">
        <f t="shared" si="99"/>
        <v>0</v>
      </c>
      <c r="S451">
        <f t="shared" si="99"/>
        <v>0</v>
      </c>
      <c r="T451">
        <f t="shared" si="99"/>
        <v>0</v>
      </c>
      <c r="U451">
        <f t="shared" si="99"/>
        <v>0</v>
      </c>
      <c r="V451">
        <f t="shared" si="99"/>
        <v>0</v>
      </c>
      <c r="W451">
        <f t="shared" si="99"/>
        <v>0</v>
      </c>
      <c r="X451">
        <f t="shared" si="99"/>
        <v>0</v>
      </c>
      <c r="Y451">
        <f t="shared" si="98"/>
        <v>0</v>
      </c>
      <c r="Z451">
        <f t="shared" si="98"/>
        <v>0</v>
      </c>
      <c r="AA451">
        <f t="shared" si="98"/>
        <v>0</v>
      </c>
      <c r="AB451">
        <f t="shared" si="98"/>
        <v>0</v>
      </c>
      <c r="AC451">
        <f t="shared" si="98"/>
        <v>0</v>
      </c>
      <c r="AD451">
        <f t="shared" si="98"/>
        <v>0</v>
      </c>
      <c r="AE451">
        <f t="shared" si="98"/>
        <v>0</v>
      </c>
      <c r="AF451">
        <f t="shared" si="98"/>
        <v>0</v>
      </c>
      <c r="AG451">
        <f t="shared" si="98"/>
        <v>0</v>
      </c>
      <c r="AH451">
        <f t="shared" si="98"/>
        <v>0</v>
      </c>
      <c r="AI451">
        <f t="shared" si="98"/>
        <v>0</v>
      </c>
      <c r="AJ451">
        <f t="shared" si="98"/>
        <v>0</v>
      </c>
      <c r="AK451">
        <f t="shared" si="98"/>
        <v>0</v>
      </c>
      <c r="AL451">
        <f t="shared" si="98"/>
        <v>0</v>
      </c>
      <c r="AM451">
        <f t="shared" si="98"/>
        <v>0</v>
      </c>
      <c r="AN451">
        <f t="shared" si="97"/>
        <v>0</v>
      </c>
      <c r="AO451">
        <f t="shared" si="97"/>
        <v>0</v>
      </c>
      <c r="AP451">
        <f t="shared" si="97"/>
        <v>0</v>
      </c>
      <c r="AQ451">
        <f t="shared" si="97"/>
        <v>0</v>
      </c>
      <c r="AR451">
        <f t="shared" si="97"/>
        <v>0</v>
      </c>
    </row>
    <row r="452" spans="5:44" x14ac:dyDescent="0.2">
      <c r="E452" s="1">
        <f>moment_rate!$M452</f>
        <v>0.11220775710614077</v>
      </c>
      <c r="F452" s="1">
        <f t="shared" si="86"/>
        <v>2.1679597515864152E-3</v>
      </c>
      <c r="G452">
        <f>moment_rate!I452-0.005</f>
        <v>4.4499999999999496</v>
      </c>
      <c r="H452" s="1">
        <f t="shared" si="87"/>
        <v>0</v>
      </c>
      <c r="I452">
        <f t="shared" si="99"/>
        <v>0</v>
      </c>
      <c r="J452">
        <f t="shared" si="99"/>
        <v>0</v>
      </c>
      <c r="K452">
        <f t="shared" si="99"/>
        <v>0</v>
      </c>
      <c r="L452">
        <f t="shared" si="99"/>
        <v>0</v>
      </c>
      <c r="M452">
        <f t="shared" si="99"/>
        <v>0</v>
      </c>
      <c r="N452">
        <f t="shared" si="99"/>
        <v>0</v>
      </c>
      <c r="O452">
        <f t="shared" si="99"/>
        <v>0</v>
      </c>
      <c r="P452">
        <f t="shared" si="99"/>
        <v>0</v>
      </c>
      <c r="Q452">
        <f t="shared" si="99"/>
        <v>0</v>
      </c>
      <c r="R452">
        <f t="shared" si="99"/>
        <v>0</v>
      </c>
      <c r="S452">
        <f t="shared" si="99"/>
        <v>0</v>
      </c>
      <c r="T452">
        <f t="shared" si="99"/>
        <v>0</v>
      </c>
      <c r="U452">
        <f t="shared" si="99"/>
        <v>0</v>
      </c>
      <c r="V452">
        <f t="shared" si="99"/>
        <v>0</v>
      </c>
      <c r="W452">
        <f t="shared" si="99"/>
        <v>0</v>
      </c>
      <c r="X452">
        <f t="shared" si="99"/>
        <v>0</v>
      </c>
      <c r="Y452">
        <f t="shared" si="98"/>
        <v>0</v>
      </c>
      <c r="Z452">
        <f t="shared" si="98"/>
        <v>0</v>
      </c>
      <c r="AA452">
        <f t="shared" si="98"/>
        <v>0</v>
      </c>
      <c r="AB452">
        <f t="shared" si="98"/>
        <v>0</v>
      </c>
      <c r="AC452">
        <f t="shared" si="98"/>
        <v>0</v>
      </c>
      <c r="AD452">
        <f t="shared" si="98"/>
        <v>0</v>
      </c>
      <c r="AE452">
        <f t="shared" si="98"/>
        <v>0</v>
      </c>
      <c r="AF452">
        <f t="shared" si="98"/>
        <v>0</v>
      </c>
      <c r="AG452">
        <f t="shared" si="98"/>
        <v>0</v>
      </c>
      <c r="AH452">
        <f t="shared" si="98"/>
        <v>0</v>
      </c>
      <c r="AI452">
        <f t="shared" si="98"/>
        <v>0</v>
      </c>
      <c r="AJ452">
        <f t="shared" si="98"/>
        <v>0</v>
      </c>
      <c r="AK452">
        <f t="shared" si="98"/>
        <v>0</v>
      </c>
      <c r="AL452">
        <f t="shared" si="98"/>
        <v>0</v>
      </c>
      <c r="AM452">
        <f t="shared" si="98"/>
        <v>0</v>
      </c>
      <c r="AN452">
        <f t="shared" si="97"/>
        <v>0</v>
      </c>
      <c r="AO452">
        <f t="shared" si="97"/>
        <v>0</v>
      </c>
      <c r="AP452">
        <f t="shared" si="97"/>
        <v>0</v>
      </c>
      <c r="AQ452">
        <f t="shared" si="97"/>
        <v>0</v>
      </c>
      <c r="AR452">
        <f t="shared" si="97"/>
        <v>0</v>
      </c>
    </row>
    <row r="453" spans="5:44" x14ac:dyDescent="0.2">
      <c r="E453" s="1">
        <f>moment_rate!$M453</f>
        <v>0.11003979735455435</v>
      </c>
      <c r="F453" s="1">
        <f t="shared" si="86"/>
        <v>2.1234948654480362E-3</v>
      </c>
      <c r="G453">
        <f>moment_rate!I453-0.005</f>
        <v>4.4599999999999493</v>
      </c>
      <c r="H453" s="1">
        <f t="shared" si="87"/>
        <v>0</v>
      </c>
      <c r="I453">
        <f t="shared" si="99"/>
        <v>0</v>
      </c>
      <c r="J453">
        <f t="shared" si="99"/>
        <v>0</v>
      </c>
      <c r="K453">
        <f t="shared" si="99"/>
        <v>0</v>
      </c>
      <c r="L453">
        <f t="shared" si="99"/>
        <v>0</v>
      </c>
      <c r="M453">
        <f t="shared" si="99"/>
        <v>0</v>
      </c>
      <c r="N453">
        <f t="shared" si="99"/>
        <v>0</v>
      </c>
      <c r="O453">
        <f t="shared" si="99"/>
        <v>0</v>
      </c>
      <c r="P453">
        <f t="shared" si="99"/>
        <v>0</v>
      </c>
      <c r="Q453">
        <f t="shared" si="99"/>
        <v>0</v>
      </c>
      <c r="R453">
        <f t="shared" si="99"/>
        <v>0</v>
      </c>
      <c r="S453">
        <f t="shared" si="99"/>
        <v>0</v>
      </c>
      <c r="T453">
        <f t="shared" si="99"/>
        <v>0</v>
      </c>
      <c r="U453">
        <f t="shared" si="99"/>
        <v>0</v>
      </c>
      <c r="V453">
        <f t="shared" si="99"/>
        <v>0</v>
      </c>
      <c r="W453">
        <f t="shared" si="99"/>
        <v>0</v>
      </c>
      <c r="X453">
        <f t="shared" si="99"/>
        <v>0</v>
      </c>
      <c r="Y453">
        <f t="shared" si="98"/>
        <v>0</v>
      </c>
      <c r="Z453">
        <f t="shared" si="98"/>
        <v>0</v>
      </c>
      <c r="AA453">
        <f t="shared" si="98"/>
        <v>0</v>
      </c>
      <c r="AB453">
        <f t="shared" si="98"/>
        <v>0</v>
      </c>
      <c r="AC453">
        <f t="shared" si="98"/>
        <v>0</v>
      </c>
      <c r="AD453">
        <f t="shared" si="98"/>
        <v>0</v>
      </c>
      <c r="AE453">
        <f t="shared" si="98"/>
        <v>0</v>
      </c>
      <c r="AF453">
        <f t="shared" si="98"/>
        <v>0</v>
      </c>
      <c r="AG453">
        <f t="shared" si="98"/>
        <v>0</v>
      </c>
      <c r="AH453">
        <f t="shared" si="98"/>
        <v>0</v>
      </c>
      <c r="AI453">
        <f t="shared" si="98"/>
        <v>0</v>
      </c>
      <c r="AJ453">
        <f t="shared" si="98"/>
        <v>0</v>
      </c>
      <c r="AK453">
        <f t="shared" si="98"/>
        <v>0</v>
      </c>
      <c r="AL453">
        <f t="shared" si="98"/>
        <v>0</v>
      </c>
      <c r="AM453">
        <f t="shared" si="98"/>
        <v>0</v>
      </c>
      <c r="AN453">
        <f t="shared" si="97"/>
        <v>0</v>
      </c>
      <c r="AO453">
        <f t="shared" si="97"/>
        <v>0</v>
      </c>
      <c r="AP453">
        <f t="shared" si="97"/>
        <v>0</v>
      </c>
      <c r="AQ453">
        <f t="shared" si="97"/>
        <v>0</v>
      </c>
      <c r="AR453">
        <f t="shared" si="97"/>
        <v>0</v>
      </c>
    </row>
    <row r="454" spans="5:44" x14ac:dyDescent="0.2">
      <c r="E454" s="1">
        <f>moment_rate!$M454</f>
        <v>0.10791630248910632</v>
      </c>
      <c r="F454" s="1">
        <f t="shared" si="86"/>
        <v>2.0799419547731374E-3</v>
      </c>
      <c r="G454">
        <f>moment_rate!I454-0.005</f>
        <v>4.4699999999999491</v>
      </c>
      <c r="H454" s="1">
        <f t="shared" si="87"/>
        <v>0</v>
      </c>
      <c r="I454">
        <f t="shared" si="99"/>
        <v>0</v>
      </c>
      <c r="J454">
        <f t="shared" si="99"/>
        <v>0</v>
      </c>
      <c r="K454">
        <f t="shared" si="99"/>
        <v>0</v>
      </c>
      <c r="L454">
        <f t="shared" si="99"/>
        <v>0</v>
      </c>
      <c r="M454">
        <f t="shared" si="99"/>
        <v>0</v>
      </c>
      <c r="N454">
        <f t="shared" si="99"/>
        <v>0</v>
      </c>
      <c r="O454">
        <f t="shared" si="99"/>
        <v>0</v>
      </c>
      <c r="P454">
        <f t="shared" si="99"/>
        <v>0</v>
      </c>
      <c r="Q454">
        <f t="shared" si="99"/>
        <v>0</v>
      </c>
      <c r="R454">
        <f t="shared" si="99"/>
        <v>0</v>
      </c>
      <c r="S454">
        <f t="shared" si="99"/>
        <v>0</v>
      </c>
      <c r="T454">
        <f t="shared" si="99"/>
        <v>0</v>
      </c>
      <c r="U454">
        <f t="shared" si="99"/>
        <v>0</v>
      </c>
      <c r="V454">
        <f t="shared" si="99"/>
        <v>0</v>
      </c>
      <c r="W454">
        <f t="shared" si="99"/>
        <v>0</v>
      </c>
      <c r="X454">
        <f t="shared" si="99"/>
        <v>0</v>
      </c>
      <c r="Y454">
        <f t="shared" si="98"/>
        <v>0</v>
      </c>
      <c r="Z454">
        <f t="shared" si="98"/>
        <v>0</v>
      </c>
      <c r="AA454">
        <f t="shared" si="98"/>
        <v>0</v>
      </c>
      <c r="AB454">
        <f t="shared" si="98"/>
        <v>0</v>
      </c>
      <c r="AC454">
        <f t="shared" si="98"/>
        <v>0</v>
      </c>
      <c r="AD454">
        <f t="shared" si="98"/>
        <v>0</v>
      </c>
      <c r="AE454">
        <f t="shared" si="98"/>
        <v>0</v>
      </c>
      <c r="AF454">
        <f t="shared" si="98"/>
        <v>0</v>
      </c>
      <c r="AG454">
        <f t="shared" si="98"/>
        <v>0</v>
      </c>
      <c r="AH454">
        <f t="shared" si="98"/>
        <v>0</v>
      </c>
      <c r="AI454">
        <f t="shared" si="98"/>
        <v>0</v>
      </c>
      <c r="AJ454">
        <f t="shared" si="98"/>
        <v>0</v>
      </c>
      <c r="AK454">
        <f t="shared" si="98"/>
        <v>0</v>
      </c>
      <c r="AL454">
        <f t="shared" si="98"/>
        <v>0</v>
      </c>
      <c r="AM454">
        <f t="shared" si="98"/>
        <v>0</v>
      </c>
      <c r="AN454">
        <f t="shared" si="97"/>
        <v>0</v>
      </c>
      <c r="AO454">
        <f t="shared" si="97"/>
        <v>0</v>
      </c>
      <c r="AP454">
        <f t="shared" si="97"/>
        <v>0</v>
      </c>
      <c r="AQ454">
        <f t="shared" si="97"/>
        <v>0</v>
      </c>
      <c r="AR454">
        <f t="shared" si="97"/>
        <v>0</v>
      </c>
    </row>
    <row r="455" spans="5:44" x14ac:dyDescent="0.2">
      <c r="E455" s="1">
        <f>moment_rate!$M455</f>
        <v>0.10583636053433318</v>
      </c>
      <c r="F455" s="1">
        <f t="shared" si="86"/>
        <v>2.0372823149316655E-3</v>
      </c>
      <c r="G455">
        <f>moment_rate!I455-0.005</f>
        <v>4.4799999999999489</v>
      </c>
      <c r="H455" s="1">
        <f t="shared" si="87"/>
        <v>0</v>
      </c>
      <c r="I455">
        <f t="shared" si="99"/>
        <v>0</v>
      </c>
      <c r="J455">
        <f t="shared" si="99"/>
        <v>0</v>
      </c>
      <c r="K455">
        <f t="shared" si="99"/>
        <v>0</v>
      </c>
      <c r="L455">
        <f t="shared" si="99"/>
        <v>0</v>
      </c>
      <c r="M455">
        <f t="shared" si="99"/>
        <v>0</v>
      </c>
      <c r="N455">
        <f t="shared" si="99"/>
        <v>0</v>
      </c>
      <c r="O455">
        <f t="shared" si="99"/>
        <v>0</v>
      </c>
      <c r="P455">
        <f t="shared" si="99"/>
        <v>0</v>
      </c>
      <c r="Q455">
        <f t="shared" si="99"/>
        <v>0</v>
      </c>
      <c r="R455">
        <f t="shared" si="99"/>
        <v>0</v>
      </c>
      <c r="S455">
        <f t="shared" si="99"/>
        <v>0</v>
      </c>
      <c r="T455">
        <f t="shared" si="99"/>
        <v>0</v>
      </c>
      <c r="U455">
        <f t="shared" si="99"/>
        <v>0</v>
      </c>
      <c r="V455">
        <f t="shared" si="99"/>
        <v>0</v>
      </c>
      <c r="W455">
        <f t="shared" si="99"/>
        <v>0</v>
      </c>
      <c r="X455">
        <f t="shared" si="99"/>
        <v>0</v>
      </c>
      <c r="Y455">
        <f t="shared" si="98"/>
        <v>0</v>
      </c>
      <c r="Z455">
        <f t="shared" si="98"/>
        <v>0</v>
      </c>
      <c r="AA455">
        <f t="shared" si="98"/>
        <v>0</v>
      </c>
      <c r="AB455">
        <f t="shared" si="98"/>
        <v>0</v>
      </c>
      <c r="AC455">
        <f t="shared" si="98"/>
        <v>0</v>
      </c>
      <c r="AD455">
        <f t="shared" si="98"/>
        <v>0</v>
      </c>
      <c r="AE455">
        <f t="shared" si="98"/>
        <v>0</v>
      </c>
      <c r="AF455">
        <f t="shared" si="98"/>
        <v>0</v>
      </c>
      <c r="AG455">
        <f t="shared" si="98"/>
        <v>0</v>
      </c>
      <c r="AH455">
        <f t="shared" si="98"/>
        <v>0</v>
      </c>
      <c r="AI455">
        <f t="shared" si="98"/>
        <v>0</v>
      </c>
      <c r="AJ455">
        <f t="shared" si="98"/>
        <v>0</v>
      </c>
      <c r="AK455">
        <f t="shared" si="98"/>
        <v>0</v>
      </c>
      <c r="AL455">
        <f t="shared" si="98"/>
        <v>0</v>
      </c>
      <c r="AM455">
        <f t="shared" si="98"/>
        <v>0</v>
      </c>
      <c r="AN455">
        <f t="shared" ref="AN455:AR470" si="100">IF(AND($G455&gt;=AN$3,$G455&lt;AN$4),$F455,0)</f>
        <v>0</v>
      </c>
      <c r="AO455">
        <f t="shared" si="100"/>
        <v>0</v>
      </c>
      <c r="AP455">
        <f t="shared" si="100"/>
        <v>0</v>
      </c>
      <c r="AQ455">
        <f t="shared" si="100"/>
        <v>0</v>
      </c>
      <c r="AR455">
        <f t="shared" si="100"/>
        <v>0</v>
      </c>
    </row>
    <row r="456" spans="5:44" x14ac:dyDescent="0.2">
      <c r="E456" s="1">
        <f>moment_rate!$M456</f>
        <v>0.10379907821940151</v>
      </c>
      <c r="F456" s="1">
        <f t="shared" ref="F456:F519" si="101">E456-E457</f>
        <v>1.995497624925846E-3</v>
      </c>
      <c r="G456">
        <f>moment_rate!I456-0.005</f>
        <v>4.4899999999999487</v>
      </c>
      <c r="H456" s="1">
        <f t="shared" ref="H456:H519" si="102">IF($G456&gt;=4.999,(E456-E457),0)</f>
        <v>0</v>
      </c>
      <c r="I456">
        <f t="shared" ref="I456:I487" si="103">IF(AND($G456&gt;=I$3,$G456&lt;I$4),$F456,0)</f>
        <v>0</v>
      </c>
      <c r="J456">
        <f t="shared" si="99"/>
        <v>0</v>
      </c>
      <c r="K456">
        <f t="shared" si="99"/>
        <v>0</v>
      </c>
      <c r="L456">
        <f t="shared" si="99"/>
        <v>0</v>
      </c>
      <c r="M456">
        <f t="shared" si="99"/>
        <v>0</v>
      </c>
      <c r="N456">
        <f t="shared" si="99"/>
        <v>0</v>
      </c>
      <c r="O456">
        <f t="shared" si="99"/>
        <v>0</v>
      </c>
      <c r="P456">
        <f t="shared" si="99"/>
        <v>0</v>
      </c>
      <c r="Q456">
        <f t="shared" si="99"/>
        <v>0</v>
      </c>
      <c r="R456">
        <f t="shared" si="99"/>
        <v>0</v>
      </c>
      <c r="S456">
        <f t="shared" si="99"/>
        <v>0</v>
      </c>
      <c r="T456">
        <f t="shared" si="99"/>
        <v>0</v>
      </c>
      <c r="U456">
        <f t="shared" si="99"/>
        <v>0</v>
      </c>
      <c r="V456">
        <f t="shared" si="99"/>
        <v>0</v>
      </c>
      <c r="W456">
        <f t="shared" si="99"/>
        <v>0</v>
      </c>
      <c r="X456">
        <f t="shared" si="99"/>
        <v>0</v>
      </c>
      <c r="Y456">
        <f t="shared" si="98"/>
        <v>0</v>
      </c>
      <c r="Z456">
        <f t="shared" si="98"/>
        <v>0</v>
      </c>
      <c r="AA456">
        <f t="shared" si="98"/>
        <v>0</v>
      </c>
      <c r="AB456">
        <f t="shared" si="98"/>
        <v>0</v>
      </c>
      <c r="AC456">
        <f t="shared" si="98"/>
        <v>0</v>
      </c>
      <c r="AD456">
        <f t="shared" si="98"/>
        <v>0</v>
      </c>
      <c r="AE456">
        <f t="shared" si="98"/>
        <v>0</v>
      </c>
      <c r="AF456">
        <f t="shared" si="98"/>
        <v>0</v>
      </c>
      <c r="AG456">
        <f t="shared" si="98"/>
        <v>0</v>
      </c>
      <c r="AH456">
        <f t="shared" si="98"/>
        <v>0</v>
      </c>
      <c r="AI456">
        <f t="shared" si="98"/>
        <v>0</v>
      </c>
      <c r="AJ456">
        <f t="shared" si="98"/>
        <v>0</v>
      </c>
      <c r="AK456">
        <f t="shared" si="98"/>
        <v>0</v>
      </c>
      <c r="AL456">
        <f t="shared" si="98"/>
        <v>0</v>
      </c>
      <c r="AM456">
        <f t="shared" si="98"/>
        <v>0</v>
      </c>
      <c r="AN456">
        <f t="shared" si="100"/>
        <v>0</v>
      </c>
      <c r="AO456">
        <f t="shared" si="100"/>
        <v>0</v>
      </c>
      <c r="AP456">
        <f t="shared" si="100"/>
        <v>0</v>
      </c>
      <c r="AQ456">
        <f t="shared" si="100"/>
        <v>0</v>
      </c>
      <c r="AR456">
        <f t="shared" si="100"/>
        <v>0</v>
      </c>
    </row>
    <row r="457" spans="5:44" x14ac:dyDescent="0.2">
      <c r="E457" s="1">
        <f>moment_rate!$M457</f>
        <v>0.10180358059447567</v>
      </c>
      <c r="F457" s="1">
        <f t="shared" si="101"/>
        <v>1.9545699395216859E-3</v>
      </c>
      <c r="G457">
        <f>moment_rate!I457-0.005</f>
        <v>4.4999999999999485</v>
      </c>
      <c r="H457" s="1">
        <f t="shared" si="102"/>
        <v>0</v>
      </c>
      <c r="I457">
        <f t="shared" si="103"/>
        <v>0</v>
      </c>
      <c r="J457">
        <f t="shared" si="99"/>
        <v>0</v>
      </c>
      <c r="K457">
        <f t="shared" si="99"/>
        <v>0</v>
      </c>
      <c r="L457">
        <f t="shared" si="99"/>
        <v>0</v>
      </c>
      <c r="M457">
        <f t="shared" si="99"/>
        <v>0</v>
      </c>
      <c r="N457">
        <f t="shared" si="99"/>
        <v>0</v>
      </c>
      <c r="O457">
        <f t="shared" si="99"/>
        <v>0</v>
      </c>
      <c r="P457">
        <f t="shared" si="99"/>
        <v>0</v>
      </c>
      <c r="Q457">
        <f t="shared" si="99"/>
        <v>0</v>
      </c>
      <c r="R457">
        <f t="shared" si="99"/>
        <v>0</v>
      </c>
      <c r="S457">
        <f t="shared" si="99"/>
        <v>0</v>
      </c>
      <c r="T457">
        <f t="shared" si="99"/>
        <v>0</v>
      </c>
      <c r="U457">
        <f t="shared" si="99"/>
        <v>0</v>
      </c>
      <c r="V457">
        <f t="shared" si="99"/>
        <v>0</v>
      </c>
      <c r="W457">
        <f t="shared" si="99"/>
        <v>0</v>
      </c>
      <c r="X457">
        <f t="shared" si="99"/>
        <v>0</v>
      </c>
      <c r="Y457">
        <f t="shared" si="98"/>
        <v>0</v>
      </c>
      <c r="Z457">
        <f t="shared" si="98"/>
        <v>0</v>
      </c>
      <c r="AA457">
        <f t="shared" si="98"/>
        <v>0</v>
      </c>
      <c r="AB457">
        <f t="shared" si="98"/>
        <v>0</v>
      </c>
      <c r="AC457">
        <f t="shared" si="98"/>
        <v>0</v>
      </c>
      <c r="AD457">
        <f t="shared" si="98"/>
        <v>0</v>
      </c>
      <c r="AE457">
        <f t="shared" si="98"/>
        <v>0</v>
      </c>
      <c r="AF457">
        <f t="shared" si="98"/>
        <v>0</v>
      </c>
      <c r="AG457">
        <f t="shared" si="98"/>
        <v>0</v>
      </c>
      <c r="AH457">
        <f t="shared" si="98"/>
        <v>0</v>
      </c>
      <c r="AI457">
        <f t="shared" si="98"/>
        <v>0</v>
      </c>
      <c r="AJ457">
        <f t="shared" si="98"/>
        <v>0</v>
      </c>
      <c r="AK457">
        <f t="shared" si="98"/>
        <v>0</v>
      </c>
      <c r="AL457">
        <f t="shared" si="98"/>
        <v>0</v>
      </c>
      <c r="AM457">
        <f t="shared" si="98"/>
        <v>0</v>
      </c>
      <c r="AN457">
        <f t="shared" si="100"/>
        <v>0</v>
      </c>
      <c r="AO457">
        <f t="shared" si="100"/>
        <v>0</v>
      </c>
      <c r="AP457">
        <f t="shared" si="100"/>
        <v>0</v>
      </c>
      <c r="AQ457">
        <f t="shared" si="100"/>
        <v>0</v>
      </c>
      <c r="AR457">
        <f t="shared" si="100"/>
        <v>0</v>
      </c>
    </row>
    <row r="458" spans="5:44" x14ac:dyDescent="0.2">
      <c r="E458" s="1">
        <f>moment_rate!$M458</f>
        <v>9.9849010654953982E-2</v>
      </c>
      <c r="F458" s="1">
        <f t="shared" si="101"/>
        <v>1.9144816815423876E-3</v>
      </c>
      <c r="G458">
        <f>moment_rate!I458-0.005</f>
        <v>4.5099999999999483</v>
      </c>
      <c r="H458" s="1">
        <f t="shared" si="102"/>
        <v>0</v>
      </c>
      <c r="I458">
        <f t="shared" si="103"/>
        <v>0</v>
      </c>
      <c r="J458">
        <f t="shared" si="99"/>
        <v>0</v>
      </c>
      <c r="K458">
        <f t="shared" si="99"/>
        <v>0</v>
      </c>
      <c r="L458">
        <f t="shared" si="99"/>
        <v>0</v>
      </c>
      <c r="M458">
        <f t="shared" si="99"/>
        <v>0</v>
      </c>
      <c r="N458">
        <f t="shared" si="99"/>
        <v>0</v>
      </c>
      <c r="O458">
        <f t="shared" si="99"/>
        <v>0</v>
      </c>
      <c r="P458">
        <f t="shared" si="99"/>
        <v>0</v>
      </c>
      <c r="Q458">
        <f t="shared" si="99"/>
        <v>0</v>
      </c>
      <c r="R458">
        <f t="shared" si="99"/>
        <v>0</v>
      </c>
      <c r="S458">
        <f t="shared" si="99"/>
        <v>0</v>
      </c>
      <c r="T458">
        <f t="shared" si="99"/>
        <v>0</v>
      </c>
      <c r="U458">
        <f t="shared" si="99"/>
        <v>0</v>
      </c>
      <c r="V458">
        <f t="shared" si="99"/>
        <v>0</v>
      </c>
      <c r="W458">
        <f t="shared" si="99"/>
        <v>0</v>
      </c>
      <c r="X458">
        <f t="shared" si="99"/>
        <v>0</v>
      </c>
      <c r="Y458">
        <f t="shared" si="98"/>
        <v>0</v>
      </c>
      <c r="Z458">
        <f t="shared" si="98"/>
        <v>0</v>
      </c>
      <c r="AA458">
        <f t="shared" si="98"/>
        <v>0</v>
      </c>
      <c r="AB458">
        <f t="shared" si="98"/>
        <v>0</v>
      </c>
      <c r="AC458">
        <f t="shared" si="98"/>
        <v>0</v>
      </c>
      <c r="AD458">
        <f t="shared" si="98"/>
        <v>0</v>
      </c>
      <c r="AE458">
        <f t="shared" si="98"/>
        <v>0</v>
      </c>
      <c r="AF458">
        <f t="shared" si="98"/>
        <v>0</v>
      </c>
      <c r="AG458">
        <f t="shared" si="98"/>
        <v>0</v>
      </c>
      <c r="AH458">
        <f t="shared" si="98"/>
        <v>0</v>
      </c>
      <c r="AI458">
        <f t="shared" si="98"/>
        <v>0</v>
      </c>
      <c r="AJ458">
        <f t="shared" si="98"/>
        <v>0</v>
      </c>
      <c r="AK458">
        <f t="shared" si="98"/>
        <v>0</v>
      </c>
      <c r="AL458">
        <f t="shared" si="98"/>
        <v>0</v>
      </c>
      <c r="AM458">
        <f t="shared" si="98"/>
        <v>0</v>
      </c>
      <c r="AN458">
        <f t="shared" si="100"/>
        <v>0</v>
      </c>
      <c r="AO458">
        <f t="shared" si="100"/>
        <v>0</v>
      </c>
      <c r="AP458">
        <f t="shared" si="100"/>
        <v>0</v>
      </c>
      <c r="AQ458">
        <f t="shared" si="100"/>
        <v>0</v>
      </c>
      <c r="AR458">
        <f t="shared" si="100"/>
        <v>0</v>
      </c>
    </row>
    <row r="459" spans="5:44" x14ac:dyDescent="0.2">
      <c r="E459" s="1">
        <f>moment_rate!$M459</f>
        <v>9.7934528973411594E-2</v>
      </c>
      <c r="F459" s="1">
        <f t="shared" si="101"/>
        <v>1.87521563431918E-3</v>
      </c>
      <c r="G459">
        <f>moment_rate!I459-0.005</f>
        <v>4.5199999999999481</v>
      </c>
      <c r="H459" s="1">
        <f t="shared" si="102"/>
        <v>0</v>
      </c>
      <c r="I459">
        <f t="shared" si="103"/>
        <v>0</v>
      </c>
      <c r="J459">
        <f t="shared" si="99"/>
        <v>0</v>
      </c>
      <c r="K459">
        <f t="shared" si="99"/>
        <v>0</v>
      </c>
      <c r="L459">
        <f t="shared" si="99"/>
        <v>0</v>
      </c>
      <c r="M459">
        <f t="shared" si="99"/>
        <v>0</v>
      </c>
      <c r="N459">
        <f t="shared" si="99"/>
        <v>0</v>
      </c>
      <c r="O459">
        <f t="shared" si="99"/>
        <v>0</v>
      </c>
      <c r="P459">
        <f t="shared" si="99"/>
        <v>0</v>
      </c>
      <c r="Q459">
        <f t="shared" si="99"/>
        <v>0</v>
      </c>
      <c r="R459">
        <f t="shared" si="99"/>
        <v>0</v>
      </c>
      <c r="S459">
        <f t="shared" si="99"/>
        <v>0</v>
      </c>
      <c r="T459">
        <f t="shared" si="99"/>
        <v>0</v>
      </c>
      <c r="U459">
        <f t="shared" si="99"/>
        <v>0</v>
      </c>
      <c r="V459">
        <f t="shared" si="99"/>
        <v>0</v>
      </c>
      <c r="W459">
        <f t="shared" si="99"/>
        <v>0</v>
      </c>
      <c r="X459">
        <f t="shared" si="99"/>
        <v>0</v>
      </c>
      <c r="Y459">
        <f t="shared" si="98"/>
        <v>0</v>
      </c>
      <c r="Z459">
        <f t="shared" si="98"/>
        <v>0</v>
      </c>
      <c r="AA459">
        <f t="shared" si="98"/>
        <v>0</v>
      </c>
      <c r="AB459">
        <f t="shared" si="98"/>
        <v>0</v>
      </c>
      <c r="AC459">
        <f t="shared" si="98"/>
        <v>0</v>
      </c>
      <c r="AD459">
        <f t="shared" si="98"/>
        <v>0</v>
      </c>
      <c r="AE459">
        <f t="shared" si="98"/>
        <v>0</v>
      </c>
      <c r="AF459">
        <f t="shared" si="98"/>
        <v>0</v>
      </c>
      <c r="AG459">
        <f t="shared" si="98"/>
        <v>0</v>
      </c>
      <c r="AH459">
        <f t="shared" si="98"/>
        <v>0</v>
      </c>
      <c r="AI459">
        <f t="shared" si="98"/>
        <v>0</v>
      </c>
      <c r="AJ459">
        <f t="shared" si="98"/>
        <v>0</v>
      </c>
      <c r="AK459">
        <f t="shared" si="98"/>
        <v>0</v>
      </c>
      <c r="AL459">
        <f t="shared" si="98"/>
        <v>0</v>
      </c>
      <c r="AM459">
        <f t="shared" si="98"/>
        <v>0</v>
      </c>
      <c r="AN459">
        <f t="shared" si="100"/>
        <v>0</v>
      </c>
      <c r="AO459">
        <f t="shared" si="100"/>
        <v>0</v>
      </c>
      <c r="AP459">
        <f t="shared" si="100"/>
        <v>0</v>
      </c>
      <c r="AQ459">
        <f t="shared" si="100"/>
        <v>0</v>
      </c>
      <c r="AR459">
        <f t="shared" si="100"/>
        <v>0</v>
      </c>
    </row>
    <row r="460" spans="5:44" x14ac:dyDescent="0.2">
      <c r="E460" s="1">
        <f>moment_rate!$M460</f>
        <v>9.6059313339092414E-2</v>
      </c>
      <c r="F460" s="1">
        <f t="shared" si="101"/>
        <v>1.8367549342974548E-3</v>
      </c>
      <c r="G460">
        <f>moment_rate!I460-0.005</f>
        <v>4.5299999999999478</v>
      </c>
      <c r="H460" s="1">
        <f t="shared" si="102"/>
        <v>0</v>
      </c>
      <c r="I460">
        <f t="shared" si="103"/>
        <v>0</v>
      </c>
      <c r="J460">
        <f t="shared" si="99"/>
        <v>0</v>
      </c>
      <c r="K460">
        <f t="shared" si="99"/>
        <v>0</v>
      </c>
      <c r="L460">
        <f t="shared" si="99"/>
        <v>0</v>
      </c>
      <c r="M460">
        <f t="shared" si="99"/>
        <v>0</v>
      </c>
      <c r="N460">
        <f t="shared" si="99"/>
        <v>0</v>
      </c>
      <c r="O460">
        <f t="shared" si="99"/>
        <v>0</v>
      </c>
      <c r="P460">
        <f t="shared" si="99"/>
        <v>0</v>
      </c>
      <c r="Q460">
        <f t="shared" si="99"/>
        <v>0</v>
      </c>
      <c r="R460">
        <f t="shared" si="99"/>
        <v>0</v>
      </c>
      <c r="S460">
        <f t="shared" si="99"/>
        <v>0</v>
      </c>
      <c r="T460">
        <f t="shared" si="99"/>
        <v>0</v>
      </c>
      <c r="U460">
        <f t="shared" si="99"/>
        <v>0</v>
      </c>
      <c r="V460">
        <f t="shared" si="99"/>
        <v>0</v>
      </c>
      <c r="W460">
        <f t="shared" si="99"/>
        <v>0</v>
      </c>
      <c r="X460">
        <f t="shared" si="99"/>
        <v>0</v>
      </c>
      <c r="Y460">
        <f t="shared" si="98"/>
        <v>0</v>
      </c>
      <c r="Z460">
        <f t="shared" si="98"/>
        <v>0</v>
      </c>
      <c r="AA460">
        <f t="shared" si="98"/>
        <v>0</v>
      </c>
      <c r="AB460">
        <f t="shared" si="98"/>
        <v>0</v>
      </c>
      <c r="AC460">
        <f t="shared" si="98"/>
        <v>0</v>
      </c>
      <c r="AD460">
        <f t="shared" si="98"/>
        <v>0</v>
      </c>
      <c r="AE460">
        <f t="shared" si="98"/>
        <v>0</v>
      </c>
      <c r="AF460">
        <f t="shared" si="98"/>
        <v>0</v>
      </c>
      <c r="AG460">
        <f t="shared" si="98"/>
        <v>0</v>
      </c>
      <c r="AH460">
        <f t="shared" si="98"/>
        <v>0</v>
      </c>
      <c r="AI460">
        <f t="shared" si="98"/>
        <v>0</v>
      </c>
      <c r="AJ460">
        <f t="shared" si="98"/>
        <v>0</v>
      </c>
      <c r="AK460">
        <f t="shared" si="98"/>
        <v>0</v>
      </c>
      <c r="AL460">
        <f t="shared" si="98"/>
        <v>0</v>
      </c>
      <c r="AM460">
        <f t="shared" si="98"/>
        <v>0</v>
      </c>
      <c r="AN460">
        <f t="shared" si="100"/>
        <v>0</v>
      </c>
      <c r="AO460">
        <f t="shared" si="100"/>
        <v>0</v>
      </c>
      <c r="AP460">
        <f t="shared" si="100"/>
        <v>0</v>
      </c>
      <c r="AQ460">
        <f t="shared" si="100"/>
        <v>0</v>
      </c>
      <c r="AR460">
        <f t="shared" si="100"/>
        <v>0</v>
      </c>
    </row>
    <row r="461" spans="5:44" x14ac:dyDescent="0.2">
      <c r="E461" s="1">
        <f>moment_rate!$M461</f>
        <v>9.4222558404794959E-2</v>
      </c>
      <c r="F461" s="1">
        <f t="shared" si="101"/>
        <v>1.7990830637943517E-3</v>
      </c>
      <c r="G461">
        <f>moment_rate!I461-0.005</f>
        <v>4.5399999999999476</v>
      </c>
      <c r="H461" s="1">
        <f t="shared" si="102"/>
        <v>0</v>
      </c>
      <c r="I461">
        <f t="shared" si="103"/>
        <v>0</v>
      </c>
      <c r="J461">
        <f t="shared" si="99"/>
        <v>0</v>
      </c>
      <c r="K461">
        <f t="shared" si="99"/>
        <v>0</v>
      </c>
      <c r="L461">
        <f t="shared" si="99"/>
        <v>0</v>
      </c>
      <c r="M461">
        <f t="shared" si="99"/>
        <v>0</v>
      </c>
      <c r="N461">
        <f t="shared" si="99"/>
        <v>0</v>
      </c>
      <c r="O461">
        <f t="shared" si="99"/>
        <v>0</v>
      </c>
      <c r="P461">
        <f t="shared" si="99"/>
        <v>0</v>
      </c>
      <c r="Q461">
        <f t="shared" si="99"/>
        <v>0</v>
      </c>
      <c r="R461">
        <f t="shared" si="99"/>
        <v>0</v>
      </c>
      <c r="S461">
        <f t="shared" si="99"/>
        <v>0</v>
      </c>
      <c r="T461">
        <f t="shared" si="99"/>
        <v>0</v>
      </c>
      <c r="U461">
        <f t="shared" si="99"/>
        <v>0</v>
      </c>
      <c r="V461">
        <f t="shared" si="99"/>
        <v>0</v>
      </c>
      <c r="W461">
        <f t="shared" si="99"/>
        <v>0</v>
      </c>
      <c r="X461">
        <f t="shared" si="99"/>
        <v>0</v>
      </c>
      <c r="Y461">
        <f t="shared" si="98"/>
        <v>0</v>
      </c>
      <c r="Z461">
        <f t="shared" si="98"/>
        <v>0</v>
      </c>
      <c r="AA461">
        <f t="shared" si="98"/>
        <v>0</v>
      </c>
      <c r="AB461">
        <f t="shared" si="98"/>
        <v>0</v>
      </c>
      <c r="AC461">
        <f t="shared" si="98"/>
        <v>0</v>
      </c>
      <c r="AD461">
        <f t="shared" si="98"/>
        <v>0</v>
      </c>
      <c r="AE461">
        <f t="shared" si="98"/>
        <v>0</v>
      </c>
      <c r="AF461">
        <f t="shared" si="98"/>
        <v>0</v>
      </c>
      <c r="AG461">
        <f t="shared" si="98"/>
        <v>0</v>
      </c>
      <c r="AH461">
        <f t="shared" si="98"/>
        <v>0</v>
      </c>
      <c r="AI461">
        <f t="shared" si="98"/>
        <v>0</v>
      </c>
      <c r="AJ461">
        <f t="shared" si="98"/>
        <v>0</v>
      </c>
      <c r="AK461">
        <f t="shared" si="98"/>
        <v>0</v>
      </c>
      <c r="AL461">
        <f t="shared" si="98"/>
        <v>0</v>
      </c>
      <c r="AM461">
        <f t="shared" si="98"/>
        <v>0</v>
      </c>
      <c r="AN461">
        <f t="shared" si="100"/>
        <v>0</v>
      </c>
      <c r="AO461">
        <f t="shared" si="100"/>
        <v>0</v>
      </c>
      <c r="AP461">
        <f t="shared" si="100"/>
        <v>0</v>
      </c>
      <c r="AQ461">
        <f t="shared" si="100"/>
        <v>0</v>
      </c>
      <c r="AR461">
        <f t="shared" si="100"/>
        <v>0</v>
      </c>
    </row>
    <row r="462" spans="5:44" x14ac:dyDescent="0.2">
      <c r="E462" s="1">
        <f>moment_rate!$M462</f>
        <v>9.2423475341000608E-2</v>
      </c>
      <c r="F462" s="1">
        <f t="shared" si="101"/>
        <v>1.7621838439050019E-3</v>
      </c>
      <c r="G462">
        <f>moment_rate!I462-0.005</f>
        <v>4.5499999999999474</v>
      </c>
      <c r="H462" s="1">
        <f t="shared" si="102"/>
        <v>0</v>
      </c>
      <c r="I462">
        <f t="shared" si="103"/>
        <v>0</v>
      </c>
      <c r="J462">
        <f t="shared" ref="J462:X473" si="104">IF(AND($G462&gt;=J$3,$G462&lt;J$4),$F462,0)</f>
        <v>0</v>
      </c>
      <c r="K462">
        <f t="shared" si="104"/>
        <v>0</v>
      </c>
      <c r="L462">
        <f t="shared" si="104"/>
        <v>0</v>
      </c>
      <c r="M462">
        <f t="shared" si="104"/>
        <v>0</v>
      </c>
      <c r="N462">
        <f t="shared" si="104"/>
        <v>0</v>
      </c>
      <c r="O462">
        <f t="shared" si="104"/>
        <v>0</v>
      </c>
      <c r="P462">
        <f t="shared" si="104"/>
        <v>0</v>
      </c>
      <c r="Q462">
        <f t="shared" si="104"/>
        <v>0</v>
      </c>
      <c r="R462">
        <f t="shared" si="104"/>
        <v>0</v>
      </c>
      <c r="S462">
        <f t="shared" si="104"/>
        <v>0</v>
      </c>
      <c r="T462">
        <f t="shared" si="104"/>
        <v>0</v>
      </c>
      <c r="U462">
        <f t="shared" si="104"/>
        <v>0</v>
      </c>
      <c r="V462">
        <f t="shared" si="104"/>
        <v>0</v>
      </c>
      <c r="W462">
        <f t="shared" si="104"/>
        <v>0</v>
      </c>
      <c r="X462">
        <f t="shared" si="104"/>
        <v>0</v>
      </c>
      <c r="Y462">
        <f t="shared" ref="Y462:AN486" si="105">IF(AND($G462&gt;=Y$3,$G462&lt;Y$4),$F462,0)</f>
        <v>0</v>
      </c>
      <c r="Z462">
        <f t="shared" si="105"/>
        <v>0</v>
      </c>
      <c r="AA462">
        <f t="shared" si="105"/>
        <v>0</v>
      </c>
      <c r="AB462">
        <f t="shared" si="105"/>
        <v>0</v>
      </c>
      <c r="AC462">
        <f t="shared" si="105"/>
        <v>0</v>
      </c>
      <c r="AD462">
        <f t="shared" si="105"/>
        <v>0</v>
      </c>
      <c r="AE462">
        <f t="shared" si="105"/>
        <v>0</v>
      </c>
      <c r="AF462">
        <f t="shared" si="105"/>
        <v>0</v>
      </c>
      <c r="AG462">
        <f t="shared" si="105"/>
        <v>0</v>
      </c>
      <c r="AH462">
        <f t="shared" si="105"/>
        <v>0</v>
      </c>
      <c r="AI462">
        <f t="shared" si="105"/>
        <v>0</v>
      </c>
      <c r="AJ462">
        <f t="shared" si="105"/>
        <v>0</v>
      </c>
      <c r="AK462">
        <f t="shared" si="105"/>
        <v>0</v>
      </c>
      <c r="AL462">
        <f t="shared" si="105"/>
        <v>0</v>
      </c>
      <c r="AM462">
        <f t="shared" si="105"/>
        <v>0</v>
      </c>
      <c r="AN462">
        <f t="shared" si="105"/>
        <v>0</v>
      </c>
      <c r="AO462">
        <f t="shared" si="100"/>
        <v>0</v>
      </c>
      <c r="AP462">
        <f t="shared" si="100"/>
        <v>0</v>
      </c>
      <c r="AQ462">
        <f t="shared" si="100"/>
        <v>0</v>
      </c>
      <c r="AR462">
        <f t="shared" si="100"/>
        <v>0</v>
      </c>
    </row>
    <row r="463" spans="5:44" x14ac:dyDescent="0.2">
      <c r="E463" s="1">
        <f>moment_rate!$M463</f>
        <v>9.0661291497095606E-2</v>
      </c>
      <c r="F463" s="1">
        <f t="shared" si="101"/>
        <v>1.7260414275539343E-3</v>
      </c>
      <c r="G463">
        <f>moment_rate!I463-0.005</f>
        <v>4.5599999999999472</v>
      </c>
      <c r="H463" s="1">
        <f t="shared" si="102"/>
        <v>0</v>
      </c>
      <c r="I463">
        <f t="shared" si="103"/>
        <v>0</v>
      </c>
      <c r="J463">
        <f t="shared" si="104"/>
        <v>0</v>
      </c>
      <c r="K463">
        <f t="shared" si="104"/>
        <v>0</v>
      </c>
      <c r="L463">
        <f t="shared" si="104"/>
        <v>0</v>
      </c>
      <c r="M463">
        <f t="shared" si="104"/>
        <v>0</v>
      </c>
      <c r="N463">
        <f t="shared" si="104"/>
        <v>0</v>
      </c>
      <c r="O463">
        <f t="shared" si="104"/>
        <v>0</v>
      </c>
      <c r="P463">
        <f t="shared" si="104"/>
        <v>0</v>
      </c>
      <c r="Q463">
        <f t="shared" si="104"/>
        <v>0</v>
      </c>
      <c r="R463">
        <f t="shared" si="104"/>
        <v>0</v>
      </c>
      <c r="S463">
        <f t="shared" si="104"/>
        <v>0</v>
      </c>
      <c r="T463">
        <f t="shared" si="104"/>
        <v>0</v>
      </c>
      <c r="U463">
        <f t="shared" si="104"/>
        <v>0</v>
      </c>
      <c r="V463">
        <f t="shared" si="104"/>
        <v>0</v>
      </c>
      <c r="W463">
        <f t="shared" si="104"/>
        <v>0</v>
      </c>
      <c r="X463">
        <f t="shared" si="104"/>
        <v>0</v>
      </c>
      <c r="Y463">
        <f t="shared" si="105"/>
        <v>0</v>
      </c>
      <c r="Z463">
        <f t="shared" si="105"/>
        <v>0</v>
      </c>
      <c r="AA463">
        <f t="shared" si="105"/>
        <v>0</v>
      </c>
      <c r="AB463">
        <f t="shared" si="105"/>
        <v>0</v>
      </c>
      <c r="AC463">
        <f t="shared" si="105"/>
        <v>0</v>
      </c>
      <c r="AD463">
        <f t="shared" si="105"/>
        <v>0</v>
      </c>
      <c r="AE463">
        <f t="shared" si="105"/>
        <v>0</v>
      </c>
      <c r="AF463">
        <f t="shared" si="105"/>
        <v>0</v>
      </c>
      <c r="AG463">
        <f t="shared" si="105"/>
        <v>0</v>
      </c>
      <c r="AH463">
        <f t="shared" si="105"/>
        <v>0</v>
      </c>
      <c r="AI463">
        <f t="shared" si="105"/>
        <v>0</v>
      </c>
      <c r="AJ463">
        <f t="shared" si="105"/>
        <v>0</v>
      </c>
      <c r="AK463">
        <f t="shared" si="105"/>
        <v>0</v>
      </c>
      <c r="AL463">
        <f t="shared" si="105"/>
        <v>0</v>
      </c>
      <c r="AM463">
        <f t="shared" si="105"/>
        <v>0</v>
      </c>
      <c r="AN463">
        <f t="shared" si="105"/>
        <v>0</v>
      </c>
      <c r="AO463">
        <f t="shared" si="100"/>
        <v>0</v>
      </c>
      <c r="AP463">
        <f t="shared" si="100"/>
        <v>0</v>
      </c>
      <c r="AQ463">
        <f t="shared" si="100"/>
        <v>0</v>
      </c>
      <c r="AR463">
        <f t="shared" si="100"/>
        <v>0</v>
      </c>
    </row>
    <row r="464" spans="5:44" x14ac:dyDescent="0.2">
      <c r="E464" s="1">
        <f>moment_rate!$M464</f>
        <v>8.8935250069541671E-2</v>
      </c>
      <c r="F464" s="1">
        <f t="shared" si="101"/>
        <v>1.6906402926896297E-3</v>
      </c>
      <c r="G464">
        <f>moment_rate!I464-0.005</f>
        <v>4.569999999999947</v>
      </c>
      <c r="H464" s="1">
        <f t="shared" si="102"/>
        <v>0</v>
      </c>
      <c r="I464">
        <f t="shared" si="103"/>
        <v>0</v>
      </c>
      <c r="J464">
        <f t="shared" si="104"/>
        <v>0</v>
      </c>
      <c r="K464">
        <f t="shared" si="104"/>
        <v>0</v>
      </c>
      <c r="L464">
        <f t="shared" si="104"/>
        <v>0</v>
      </c>
      <c r="M464">
        <f t="shared" si="104"/>
        <v>0</v>
      </c>
      <c r="N464">
        <f t="shared" si="104"/>
        <v>0</v>
      </c>
      <c r="O464">
        <f t="shared" si="104"/>
        <v>0</v>
      </c>
      <c r="P464">
        <f t="shared" si="104"/>
        <v>0</v>
      </c>
      <c r="Q464">
        <f t="shared" si="104"/>
        <v>0</v>
      </c>
      <c r="R464">
        <f t="shared" si="104"/>
        <v>0</v>
      </c>
      <c r="S464">
        <f t="shared" si="104"/>
        <v>0</v>
      </c>
      <c r="T464">
        <f t="shared" si="104"/>
        <v>0</v>
      </c>
      <c r="U464">
        <f t="shared" si="104"/>
        <v>0</v>
      </c>
      <c r="V464">
        <f t="shared" si="104"/>
        <v>0</v>
      </c>
      <c r="W464">
        <f t="shared" si="104"/>
        <v>0</v>
      </c>
      <c r="X464">
        <f t="shared" si="104"/>
        <v>0</v>
      </c>
      <c r="Y464">
        <f t="shared" si="105"/>
        <v>0</v>
      </c>
      <c r="Z464">
        <f t="shared" si="105"/>
        <v>0</v>
      </c>
      <c r="AA464">
        <f t="shared" si="105"/>
        <v>0</v>
      </c>
      <c r="AB464">
        <f t="shared" si="105"/>
        <v>0</v>
      </c>
      <c r="AC464">
        <f t="shared" si="105"/>
        <v>0</v>
      </c>
      <c r="AD464">
        <f t="shared" si="105"/>
        <v>0</v>
      </c>
      <c r="AE464">
        <f t="shared" si="105"/>
        <v>0</v>
      </c>
      <c r="AF464">
        <f t="shared" si="105"/>
        <v>0</v>
      </c>
      <c r="AG464">
        <f t="shared" si="105"/>
        <v>0</v>
      </c>
      <c r="AH464">
        <f t="shared" si="105"/>
        <v>0</v>
      </c>
      <c r="AI464">
        <f t="shared" si="105"/>
        <v>0</v>
      </c>
      <c r="AJ464">
        <f t="shared" si="105"/>
        <v>0</v>
      </c>
      <c r="AK464">
        <f t="shared" si="105"/>
        <v>0</v>
      </c>
      <c r="AL464">
        <f t="shared" si="105"/>
        <v>0</v>
      </c>
      <c r="AM464">
        <f t="shared" si="105"/>
        <v>0</v>
      </c>
      <c r="AN464">
        <f t="shared" si="105"/>
        <v>0</v>
      </c>
      <c r="AO464">
        <f t="shared" si="100"/>
        <v>0</v>
      </c>
      <c r="AP464">
        <f t="shared" si="100"/>
        <v>0</v>
      </c>
      <c r="AQ464">
        <f t="shared" si="100"/>
        <v>0</v>
      </c>
      <c r="AR464">
        <f t="shared" si="100"/>
        <v>0</v>
      </c>
    </row>
    <row r="465" spans="5:44" x14ac:dyDescent="0.2">
      <c r="E465" s="1">
        <f>moment_rate!$M465</f>
        <v>8.7244609776852042E-2</v>
      </c>
      <c r="F465" s="1">
        <f t="shared" si="101"/>
        <v>1.6559652356178955E-3</v>
      </c>
      <c r="G465">
        <f>moment_rate!I465-0.005</f>
        <v>4.5799999999999468</v>
      </c>
      <c r="H465" s="1">
        <f t="shared" si="102"/>
        <v>0</v>
      </c>
      <c r="I465">
        <f t="shared" si="103"/>
        <v>0</v>
      </c>
      <c r="J465">
        <f t="shared" si="104"/>
        <v>0</v>
      </c>
      <c r="K465">
        <f t="shared" si="104"/>
        <v>0</v>
      </c>
      <c r="L465">
        <f t="shared" si="104"/>
        <v>0</v>
      </c>
      <c r="M465">
        <f t="shared" si="104"/>
        <v>0</v>
      </c>
      <c r="N465">
        <f t="shared" si="104"/>
        <v>0</v>
      </c>
      <c r="O465">
        <f t="shared" si="104"/>
        <v>0</v>
      </c>
      <c r="P465">
        <f t="shared" si="104"/>
        <v>0</v>
      </c>
      <c r="Q465">
        <f t="shared" si="104"/>
        <v>0</v>
      </c>
      <c r="R465">
        <f t="shared" si="104"/>
        <v>0</v>
      </c>
      <c r="S465">
        <f t="shared" si="104"/>
        <v>0</v>
      </c>
      <c r="T465">
        <f t="shared" si="104"/>
        <v>0</v>
      </c>
      <c r="U465">
        <f t="shared" si="104"/>
        <v>0</v>
      </c>
      <c r="V465">
        <f t="shared" si="104"/>
        <v>0</v>
      </c>
      <c r="W465">
        <f t="shared" si="104"/>
        <v>0</v>
      </c>
      <c r="X465">
        <f t="shared" si="104"/>
        <v>0</v>
      </c>
      <c r="Y465">
        <f t="shared" si="105"/>
        <v>0</v>
      </c>
      <c r="Z465">
        <f t="shared" si="105"/>
        <v>0</v>
      </c>
      <c r="AA465">
        <f t="shared" si="105"/>
        <v>0</v>
      </c>
      <c r="AB465">
        <f t="shared" si="105"/>
        <v>0</v>
      </c>
      <c r="AC465">
        <f t="shared" si="105"/>
        <v>0</v>
      </c>
      <c r="AD465">
        <f t="shared" si="105"/>
        <v>0</v>
      </c>
      <c r="AE465">
        <f t="shared" si="105"/>
        <v>0</v>
      </c>
      <c r="AF465">
        <f t="shared" si="105"/>
        <v>0</v>
      </c>
      <c r="AG465">
        <f t="shared" si="105"/>
        <v>0</v>
      </c>
      <c r="AH465">
        <f t="shared" si="105"/>
        <v>0</v>
      </c>
      <c r="AI465">
        <f t="shared" si="105"/>
        <v>0</v>
      </c>
      <c r="AJ465">
        <f t="shared" si="105"/>
        <v>0</v>
      </c>
      <c r="AK465">
        <f t="shared" si="105"/>
        <v>0</v>
      </c>
      <c r="AL465">
        <f t="shared" si="105"/>
        <v>0</v>
      </c>
      <c r="AM465">
        <f t="shared" si="105"/>
        <v>0</v>
      </c>
      <c r="AN465">
        <f t="shared" si="105"/>
        <v>0</v>
      </c>
      <c r="AO465">
        <f t="shared" si="100"/>
        <v>0</v>
      </c>
      <c r="AP465">
        <f t="shared" si="100"/>
        <v>0</v>
      </c>
      <c r="AQ465">
        <f t="shared" si="100"/>
        <v>0</v>
      </c>
      <c r="AR465">
        <f t="shared" si="100"/>
        <v>0</v>
      </c>
    </row>
    <row r="466" spans="5:44" x14ac:dyDescent="0.2">
      <c r="E466" s="1">
        <f>moment_rate!$M466</f>
        <v>8.5588644541234146E-2</v>
      </c>
      <c r="F466" s="1">
        <f t="shared" si="101"/>
        <v>1.6220013644727138E-3</v>
      </c>
      <c r="G466">
        <f>moment_rate!I466-0.005</f>
        <v>4.5899999999999466</v>
      </c>
      <c r="H466" s="1">
        <f t="shared" si="102"/>
        <v>0</v>
      </c>
      <c r="I466">
        <f t="shared" si="103"/>
        <v>0</v>
      </c>
      <c r="J466">
        <f t="shared" si="104"/>
        <v>0</v>
      </c>
      <c r="K466">
        <f t="shared" si="104"/>
        <v>0</v>
      </c>
      <c r="L466">
        <f t="shared" si="104"/>
        <v>0</v>
      </c>
      <c r="M466">
        <f t="shared" si="104"/>
        <v>0</v>
      </c>
      <c r="N466">
        <f t="shared" si="104"/>
        <v>0</v>
      </c>
      <c r="O466">
        <f t="shared" si="104"/>
        <v>0</v>
      </c>
      <c r="P466">
        <f t="shared" si="104"/>
        <v>0</v>
      </c>
      <c r="Q466">
        <f t="shared" si="104"/>
        <v>0</v>
      </c>
      <c r="R466">
        <f t="shared" si="104"/>
        <v>0</v>
      </c>
      <c r="S466">
        <f t="shared" si="104"/>
        <v>0</v>
      </c>
      <c r="T466">
        <f t="shared" si="104"/>
        <v>0</v>
      </c>
      <c r="U466">
        <f t="shared" si="104"/>
        <v>0</v>
      </c>
      <c r="V466">
        <f t="shared" si="104"/>
        <v>0</v>
      </c>
      <c r="W466">
        <f t="shared" si="104"/>
        <v>0</v>
      </c>
      <c r="X466">
        <f t="shared" si="104"/>
        <v>0</v>
      </c>
      <c r="Y466">
        <f t="shared" si="105"/>
        <v>0</v>
      </c>
      <c r="Z466">
        <f t="shared" si="105"/>
        <v>0</v>
      </c>
      <c r="AA466">
        <f t="shared" si="105"/>
        <v>0</v>
      </c>
      <c r="AB466">
        <f t="shared" si="105"/>
        <v>0</v>
      </c>
      <c r="AC466">
        <f t="shared" si="105"/>
        <v>0</v>
      </c>
      <c r="AD466">
        <f t="shared" si="105"/>
        <v>0</v>
      </c>
      <c r="AE466">
        <f t="shared" si="105"/>
        <v>0</v>
      </c>
      <c r="AF466">
        <f t="shared" si="105"/>
        <v>0</v>
      </c>
      <c r="AG466">
        <f t="shared" si="105"/>
        <v>0</v>
      </c>
      <c r="AH466">
        <f t="shared" si="105"/>
        <v>0</v>
      </c>
      <c r="AI466">
        <f t="shared" si="105"/>
        <v>0</v>
      </c>
      <c r="AJ466">
        <f t="shared" si="105"/>
        <v>0</v>
      </c>
      <c r="AK466">
        <f t="shared" si="105"/>
        <v>0</v>
      </c>
      <c r="AL466">
        <f t="shared" si="105"/>
        <v>0</v>
      </c>
      <c r="AM466">
        <f t="shared" si="105"/>
        <v>0</v>
      </c>
      <c r="AN466">
        <f t="shared" si="105"/>
        <v>0</v>
      </c>
      <c r="AO466">
        <f t="shared" si="100"/>
        <v>0</v>
      </c>
      <c r="AP466">
        <f t="shared" si="100"/>
        <v>0</v>
      </c>
      <c r="AQ466">
        <f t="shared" si="100"/>
        <v>0</v>
      </c>
      <c r="AR466">
        <f t="shared" si="100"/>
        <v>0</v>
      </c>
    </row>
    <row r="467" spans="5:44" x14ac:dyDescent="0.2">
      <c r="E467" s="1">
        <f>moment_rate!$M467</f>
        <v>8.3966643176761432E-2</v>
      </c>
      <c r="F467" s="1">
        <f t="shared" si="101"/>
        <v>1.5887340928202598E-3</v>
      </c>
      <c r="G467">
        <f>moment_rate!I467-0.005</f>
        <v>4.5999999999999464</v>
      </c>
      <c r="H467" s="1">
        <f t="shared" si="102"/>
        <v>0</v>
      </c>
      <c r="I467">
        <f t="shared" si="103"/>
        <v>0</v>
      </c>
      <c r="J467">
        <f t="shared" si="104"/>
        <v>0</v>
      </c>
      <c r="K467">
        <f t="shared" si="104"/>
        <v>0</v>
      </c>
      <c r="L467">
        <f t="shared" si="104"/>
        <v>0</v>
      </c>
      <c r="M467">
        <f t="shared" si="104"/>
        <v>0</v>
      </c>
      <c r="N467">
        <f t="shared" si="104"/>
        <v>0</v>
      </c>
      <c r="O467">
        <f t="shared" si="104"/>
        <v>0</v>
      </c>
      <c r="P467">
        <f t="shared" si="104"/>
        <v>0</v>
      </c>
      <c r="Q467">
        <f t="shared" si="104"/>
        <v>0</v>
      </c>
      <c r="R467">
        <f t="shared" si="104"/>
        <v>0</v>
      </c>
      <c r="S467">
        <f t="shared" si="104"/>
        <v>0</v>
      </c>
      <c r="T467">
        <f t="shared" si="104"/>
        <v>0</v>
      </c>
      <c r="U467">
        <f t="shared" si="104"/>
        <v>0</v>
      </c>
      <c r="V467">
        <f t="shared" si="104"/>
        <v>0</v>
      </c>
      <c r="W467">
        <f t="shared" si="104"/>
        <v>0</v>
      </c>
      <c r="X467">
        <f t="shared" si="104"/>
        <v>0</v>
      </c>
      <c r="Y467">
        <f t="shared" si="105"/>
        <v>0</v>
      </c>
      <c r="Z467">
        <f t="shared" si="105"/>
        <v>0</v>
      </c>
      <c r="AA467">
        <f t="shared" si="105"/>
        <v>0</v>
      </c>
      <c r="AB467">
        <f t="shared" si="105"/>
        <v>0</v>
      </c>
      <c r="AC467">
        <f t="shared" si="105"/>
        <v>0</v>
      </c>
      <c r="AD467">
        <f t="shared" si="105"/>
        <v>0</v>
      </c>
      <c r="AE467">
        <f t="shared" si="105"/>
        <v>0</v>
      </c>
      <c r="AF467">
        <f t="shared" si="105"/>
        <v>0</v>
      </c>
      <c r="AG467">
        <f t="shared" si="105"/>
        <v>0</v>
      </c>
      <c r="AH467">
        <f t="shared" si="105"/>
        <v>0</v>
      </c>
      <c r="AI467">
        <f t="shared" si="105"/>
        <v>0</v>
      </c>
      <c r="AJ467">
        <f t="shared" si="105"/>
        <v>0</v>
      </c>
      <c r="AK467">
        <f t="shared" si="105"/>
        <v>0</v>
      </c>
      <c r="AL467">
        <f t="shared" si="105"/>
        <v>0</v>
      </c>
      <c r="AM467">
        <f t="shared" si="105"/>
        <v>0</v>
      </c>
      <c r="AN467">
        <f t="shared" si="105"/>
        <v>0</v>
      </c>
      <c r="AO467">
        <f t="shared" si="100"/>
        <v>0</v>
      </c>
      <c r="AP467">
        <f t="shared" si="100"/>
        <v>0</v>
      </c>
      <c r="AQ467">
        <f t="shared" si="100"/>
        <v>0</v>
      </c>
      <c r="AR467">
        <f t="shared" si="100"/>
        <v>0</v>
      </c>
    </row>
    <row r="468" spans="5:44" x14ac:dyDescent="0.2">
      <c r="E468" s="1">
        <f>moment_rate!$M468</f>
        <v>8.2377909083941173E-2</v>
      </c>
      <c r="F468" s="1">
        <f t="shared" si="101"/>
        <v>1.5561491333948158E-3</v>
      </c>
      <c r="G468">
        <f>moment_rate!I468-0.005</f>
        <v>4.6099999999999461</v>
      </c>
      <c r="H468" s="1">
        <f t="shared" si="102"/>
        <v>0</v>
      </c>
      <c r="I468">
        <f t="shared" si="103"/>
        <v>0</v>
      </c>
      <c r="J468">
        <f t="shared" si="104"/>
        <v>0</v>
      </c>
      <c r="K468">
        <f t="shared" si="104"/>
        <v>0</v>
      </c>
      <c r="L468">
        <f t="shared" si="104"/>
        <v>0</v>
      </c>
      <c r="M468">
        <f t="shared" si="104"/>
        <v>0</v>
      </c>
      <c r="N468">
        <f t="shared" si="104"/>
        <v>0</v>
      </c>
      <c r="O468">
        <f t="shared" si="104"/>
        <v>0</v>
      </c>
      <c r="P468">
        <f t="shared" si="104"/>
        <v>0</v>
      </c>
      <c r="Q468">
        <f t="shared" si="104"/>
        <v>0</v>
      </c>
      <c r="R468">
        <f t="shared" si="104"/>
        <v>0</v>
      </c>
      <c r="S468">
        <f t="shared" si="104"/>
        <v>0</v>
      </c>
      <c r="T468">
        <f t="shared" si="104"/>
        <v>0</v>
      </c>
      <c r="U468">
        <f t="shared" si="104"/>
        <v>0</v>
      </c>
      <c r="V468">
        <f t="shared" si="104"/>
        <v>0</v>
      </c>
      <c r="W468">
        <f t="shared" si="104"/>
        <v>0</v>
      </c>
      <c r="X468">
        <f t="shared" si="104"/>
        <v>0</v>
      </c>
      <c r="Y468">
        <f t="shared" si="105"/>
        <v>0</v>
      </c>
      <c r="Z468">
        <f t="shared" si="105"/>
        <v>0</v>
      </c>
      <c r="AA468">
        <f t="shared" si="105"/>
        <v>0</v>
      </c>
      <c r="AB468">
        <f t="shared" si="105"/>
        <v>0</v>
      </c>
      <c r="AC468">
        <f t="shared" si="105"/>
        <v>0</v>
      </c>
      <c r="AD468">
        <f t="shared" si="105"/>
        <v>0</v>
      </c>
      <c r="AE468">
        <f t="shared" si="105"/>
        <v>0</v>
      </c>
      <c r="AF468">
        <f t="shared" si="105"/>
        <v>0</v>
      </c>
      <c r="AG468">
        <f t="shared" si="105"/>
        <v>0</v>
      </c>
      <c r="AH468">
        <f t="shared" si="105"/>
        <v>0</v>
      </c>
      <c r="AI468">
        <f t="shared" si="105"/>
        <v>0</v>
      </c>
      <c r="AJ468">
        <f t="shared" si="105"/>
        <v>0</v>
      </c>
      <c r="AK468">
        <f t="shared" si="105"/>
        <v>0</v>
      </c>
      <c r="AL468">
        <f t="shared" si="105"/>
        <v>0</v>
      </c>
      <c r="AM468">
        <f t="shared" si="105"/>
        <v>0</v>
      </c>
      <c r="AN468">
        <f t="shared" si="105"/>
        <v>0</v>
      </c>
      <c r="AO468">
        <f t="shared" si="100"/>
        <v>0</v>
      </c>
      <c r="AP468">
        <f t="shared" si="100"/>
        <v>0</v>
      </c>
      <c r="AQ468">
        <f t="shared" si="100"/>
        <v>0</v>
      </c>
      <c r="AR468">
        <f t="shared" si="100"/>
        <v>0</v>
      </c>
    </row>
    <row r="469" spans="5:44" x14ac:dyDescent="0.2">
      <c r="E469" s="1">
        <f>moment_rate!$M469</f>
        <v>8.0821759950546357E-2</v>
      </c>
      <c r="F469" s="1">
        <f t="shared" si="101"/>
        <v>1.5242324919626377E-3</v>
      </c>
      <c r="G469">
        <f>moment_rate!I469-0.005</f>
        <v>4.6199999999999459</v>
      </c>
      <c r="H469" s="1">
        <f t="shared" si="102"/>
        <v>0</v>
      </c>
      <c r="I469">
        <f t="shared" si="103"/>
        <v>0</v>
      </c>
      <c r="J469">
        <f t="shared" si="104"/>
        <v>0</v>
      </c>
      <c r="K469">
        <f t="shared" si="104"/>
        <v>0</v>
      </c>
      <c r="L469">
        <f t="shared" si="104"/>
        <v>0</v>
      </c>
      <c r="M469">
        <f t="shared" si="104"/>
        <v>0</v>
      </c>
      <c r="N469">
        <f t="shared" si="104"/>
        <v>0</v>
      </c>
      <c r="O469">
        <f t="shared" si="104"/>
        <v>0</v>
      </c>
      <c r="P469">
        <f t="shared" si="104"/>
        <v>0</v>
      </c>
      <c r="Q469">
        <f t="shared" si="104"/>
        <v>0</v>
      </c>
      <c r="R469">
        <f t="shared" si="104"/>
        <v>0</v>
      </c>
      <c r="S469">
        <f t="shared" si="104"/>
        <v>0</v>
      </c>
      <c r="T469">
        <f t="shared" si="104"/>
        <v>0</v>
      </c>
      <c r="U469">
        <f t="shared" si="104"/>
        <v>0</v>
      </c>
      <c r="V469">
        <f t="shared" si="104"/>
        <v>0</v>
      </c>
      <c r="W469">
        <f t="shared" si="104"/>
        <v>0</v>
      </c>
      <c r="X469">
        <f t="shared" si="104"/>
        <v>0</v>
      </c>
      <c r="Y469">
        <f t="shared" si="105"/>
        <v>0</v>
      </c>
      <c r="Z469">
        <f t="shared" si="105"/>
        <v>0</v>
      </c>
      <c r="AA469">
        <f t="shared" si="105"/>
        <v>0</v>
      </c>
      <c r="AB469">
        <f t="shared" si="105"/>
        <v>0</v>
      </c>
      <c r="AC469">
        <f t="shared" si="105"/>
        <v>0</v>
      </c>
      <c r="AD469">
        <f t="shared" si="105"/>
        <v>0</v>
      </c>
      <c r="AE469">
        <f t="shared" si="105"/>
        <v>0</v>
      </c>
      <c r="AF469">
        <f t="shared" si="105"/>
        <v>0</v>
      </c>
      <c r="AG469">
        <f t="shared" si="105"/>
        <v>0</v>
      </c>
      <c r="AH469">
        <f t="shared" si="105"/>
        <v>0</v>
      </c>
      <c r="AI469">
        <f t="shared" si="105"/>
        <v>0</v>
      </c>
      <c r="AJ469">
        <f t="shared" si="105"/>
        <v>0</v>
      </c>
      <c r="AK469">
        <f t="shared" si="105"/>
        <v>0</v>
      </c>
      <c r="AL469">
        <f t="shared" si="105"/>
        <v>0</v>
      </c>
      <c r="AM469">
        <f t="shared" si="105"/>
        <v>0</v>
      </c>
      <c r="AN469">
        <f t="shared" si="105"/>
        <v>0</v>
      </c>
      <c r="AO469">
        <f t="shared" si="100"/>
        <v>0</v>
      </c>
      <c r="AP469">
        <f t="shared" si="100"/>
        <v>0</v>
      </c>
      <c r="AQ469">
        <f t="shared" si="100"/>
        <v>0</v>
      </c>
      <c r="AR469">
        <f t="shared" si="100"/>
        <v>0</v>
      </c>
    </row>
    <row r="470" spans="5:44" x14ac:dyDescent="0.2">
      <c r="E470" s="1">
        <f>moment_rate!$M470</f>
        <v>7.9297527458583719E-2</v>
      </c>
      <c r="F470" s="1">
        <f t="shared" si="101"/>
        <v>1.4929704613119571E-3</v>
      </c>
      <c r="G470">
        <f>moment_rate!I470-0.005</f>
        <v>4.6299999999999457</v>
      </c>
      <c r="H470" s="1">
        <f t="shared" si="102"/>
        <v>0</v>
      </c>
      <c r="I470">
        <f t="shared" si="103"/>
        <v>0</v>
      </c>
      <c r="J470">
        <f t="shared" si="104"/>
        <v>0</v>
      </c>
      <c r="K470">
        <f t="shared" si="104"/>
        <v>0</v>
      </c>
      <c r="L470">
        <f t="shared" si="104"/>
        <v>0</v>
      </c>
      <c r="M470">
        <f t="shared" si="104"/>
        <v>0</v>
      </c>
      <c r="N470">
        <f t="shared" si="104"/>
        <v>0</v>
      </c>
      <c r="O470">
        <f t="shared" si="104"/>
        <v>0</v>
      </c>
      <c r="P470">
        <f t="shared" si="104"/>
        <v>0</v>
      </c>
      <c r="Q470">
        <f t="shared" si="104"/>
        <v>0</v>
      </c>
      <c r="R470">
        <f t="shared" si="104"/>
        <v>0</v>
      </c>
      <c r="S470">
        <f t="shared" si="104"/>
        <v>0</v>
      </c>
      <c r="T470">
        <f t="shared" si="104"/>
        <v>0</v>
      </c>
      <c r="U470">
        <f t="shared" si="104"/>
        <v>0</v>
      </c>
      <c r="V470">
        <f t="shared" si="104"/>
        <v>0</v>
      </c>
      <c r="W470">
        <f t="shared" si="104"/>
        <v>0</v>
      </c>
      <c r="X470">
        <f t="shared" si="104"/>
        <v>0</v>
      </c>
      <c r="Y470">
        <f t="shared" si="105"/>
        <v>0</v>
      </c>
      <c r="Z470">
        <f t="shared" si="105"/>
        <v>0</v>
      </c>
      <c r="AA470">
        <f t="shared" si="105"/>
        <v>0</v>
      </c>
      <c r="AB470">
        <f t="shared" si="105"/>
        <v>0</v>
      </c>
      <c r="AC470">
        <f t="shared" si="105"/>
        <v>0</v>
      </c>
      <c r="AD470">
        <f t="shared" si="105"/>
        <v>0</v>
      </c>
      <c r="AE470">
        <f t="shared" si="105"/>
        <v>0</v>
      </c>
      <c r="AF470">
        <f t="shared" si="105"/>
        <v>0</v>
      </c>
      <c r="AG470">
        <f t="shared" si="105"/>
        <v>0</v>
      </c>
      <c r="AH470">
        <f t="shared" si="105"/>
        <v>0</v>
      </c>
      <c r="AI470">
        <f t="shared" si="105"/>
        <v>0</v>
      </c>
      <c r="AJ470">
        <f t="shared" si="105"/>
        <v>0</v>
      </c>
      <c r="AK470">
        <f t="shared" si="105"/>
        <v>0</v>
      </c>
      <c r="AL470">
        <f t="shared" si="105"/>
        <v>0</v>
      </c>
      <c r="AM470">
        <f t="shared" si="105"/>
        <v>0</v>
      </c>
      <c r="AN470">
        <f t="shared" si="105"/>
        <v>0</v>
      </c>
      <c r="AO470">
        <f t="shared" si="100"/>
        <v>0</v>
      </c>
      <c r="AP470">
        <f t="shared" si="100"/>
        <v>0</v>
      </c>
      <c r="AQ470">
        <f t="shared" si="100"/>
        <v>0</v>
      </c>
      <c r="AR470">
        <f t="shared" si="100"/>
        <v>0</v>
      </c>
    </row>
    <row r="471" spans="5:44" x14ac:dyDescent="0.2">
      <c r="E471" s="1">
        <f>moment_rate!$M471</f>
        <v>7.7804556997271762E-2</v>
      </c>
      <c r="F471" s="1">
        <f t="shared" si="101"/>
        <v>1.4623496153660653E-3</v>
      </c>
      <c r="G471">
        <f>moment_rate!I471-0.005</f>
        <v>4.6399999999999455</v>
      </c>
      <c r="H471" s="1">
        <f t="shared" si="102"/>
        <v>0</v>
      </c>
      <c r="I471">
        <f t="shared" si="103"/>
        <v>0</v>
      </c>
      <c r="J471">
        <f t="shared" si="104"/>
        <v>0</v>
      </c>
      <c r="K471">
        <f t="shared" si="104"/>
        <v>0</v>
      </c>
      <c r="L471">
        <f t="shared" si="104"/>
        <v>0</v>
      </c>
      <c r="M471">
        <f t="shared" si="104"/>
        <v>0</v>
      </c>
      <c r="N471">
        <f t="shared" si="104"/>
        <v>0</v>
      </c>
      <c r="O471">
        <f t="shared" si="104"/>
        <v>0</v>
      </c>
      <c r="P471">
        <f t="shared" si="104"/>
        <v>0</v>
      </c>
      <c r="Q471">
        <f t="shared" si="104"/>
        <v>0</v>
      </c>
      <c r="R471">
        <f t="shared" si="104"/>
        <v>0</v>
      </c>
      <c r="S471">
        <f t="shared" si="104"/>
        <v>0</v>
      </c>
      <c r="T471">
        <f t="shared" si="104"/>
        <v>0</v>
      </c>
      <c r="U471">
        <f t="shared" si="104"/>
        <v>0</v>
      </c>
      <c r="V471">
        <f t="shared" si="104"/>
        <v>0</v>
      </c>
      <c r="W471">
        <f t="shared" si="104"/>
        <v>0</v>
      </c>
      <c r="X471">
        <f t="shared" si="104"/>
        <v>0</v>
      </c>
      <c r="Y471">
        <f t="shared" si="105"/>
        <v>0</v>
      </c>
      <c r="Z471">
        <f t="shared" si="105"/>
        <v>0</v>
      </c>
      <c r="AA471">
        <f t="shared" si="105"/>
        <v>0</v>
      </c>
      <c r="AB471">
        <f t="shared" si="105"/>
        <v>0</v>
      </c>
      <c r="AC471">
        <f t="shared" si="105"/>
        <v>0</v>
      </c>
      <c r="AD471">
        <f t="shared" si="105"/>
        <v>0</v>
      </c>
      <c r="AE471">
        <f t="shared" si="105"/>
        <v>0</v>
      </c>
      <c r="AF471">
        <f t="shared" si="105"/>
        <v>0</v>
      </c>
      <c r="AG471">
        <f t="shared" si="105"/>
        <v>0</v>
      </c>
      <c r="AH471">
        <f t="shared" si="105"/>
        <v>0</v>
      </c>
      <c r="AI471">
        <f t="shared" si="105"/>
        <v>0</v>
      </c>
      <c r="AJ471">
        <f t="shared" si="105"/>
        <v>0</v>
      </c>
      <c r="AK471">
        <f t="shared" si="105"/>
        <v>0</v>
      </c>
      <c r="AL471">
        <f t="shared" si="105"/>
        <v>0</v>
      </c>
      <c r="AM471">
        <f t="shared" si="105"/>
        <v>0</v>
      </c>
      <c r="AN471">
        <f t="shared" si="105"/>
        <v>0</v>
      </c>
      <c r="AO471">
        <f t="shared" ref="AK471:AR526" si="106">IF(AND($G471&gt;=AO$3,$G471&lt;AO$4),$F471,0)</f>
        <v>0</v>
      </c>
      <c r="AP471">
        <f t="shared" si="106"/>
        <v>0</v>
      </c>
      <c r="AQ471">
        <f t="shared" si="106"/>
        <v>0</v>
      </c>
      <c r="AR471">
        <f t="shared" si="106"/>
        <v>0</v>
      </c>
    </row>
    <row r="472" spans="5:44" x14ac:dyDescent="0.2">
      <c r="E472" s="1">
        <f>moment_rate!$M472</f>
        <v>7.6342207381905697E-2</v>
      </c>
      <c r="F472" s="1">
        <f t="shared" si="101"/>
        <v>1.4323568034173423E-3</v>
      </c>
      <c r="G472">
        <f>moment_rate!I472-0.005</f>
        <v>4.6499999999999453</v>
      </c>
      <c r="H472" s="1">
        <f t="shared" si="102"/>
        <v>0</v>
      </c>
      <c r="I472">
        <f t="shared" si="103"/>
        <v>0</v>
      </c>
      <c r="J472">
        <f t="shared" si="104"/>
        <v>0</v>
      </c>
      <c r="K472">
        <f t="shared" si="104"/>
        <v>0</v>
      </c>
      <c r="L472">
        <f t="shared" si="104"/>
        <v>0</v>
      </c>
      <c r="M472">
        <f t="shared" si="104"/>
        <v>0</v>
      </c>
      <c r="N472">
        <f t="shared" si="104"/>
        <v>0</v>
      </c>
      <c r="O472">
        <f t="shared" si="104"/>
        <v>0</v>
      </c>
      <c r="P472">
        <f t="shared" si="104"/>
        <v>0</v>
      </c>
      <c r="Q472">
        <f t="shared" si="104"/>
        <v>0</v>
      </c>
      <c r="R472">
        <f t="shared" si="104"/>
        <v>0</v>
      </c>
      <c r="S472">
        <f t="shared" si="104"/>
        <v>0</v>
      </c>
      <c r="T472">
        <f t="shared" si="104"/>
        <v>0</v>
      </c>
      <c r="U472">
        <f t="shared" si="104"/>
        <v>0</v>
      </c>
      <c r="V472">
        <f t="shared" si="104"/>
        <v>0</v>
      </c>
      <c r="W472">
        <f t="shared" si="104"/>
        <v>0</v>
      </c>
      <c r="X472">
        <f t="shared" si="104"/>
        <v>0</v>
      </c>
      <c r="Y472">
        <f t="shared" si="105"/>
        <v>0</v>
      </c>
      <c r="Z472">
        <f t="shared" si="105"/>
        <v>0</v>
      </c>
      <c r="AA472">
        <f t="shared" si="105"/>
        <v>0</v>
      </c>
      <c r="AB472">
        <f t="shared" si="105"/>
        <v>0</v>
      </c>
      <c r="AC472">
        <f t="shared" si="105"/>
        <v>0</v>
      </c>
      <c r="AD472">
        <f t="shared" si="105"/>
        <v>0</v>
      </c>
      <c r="AE472">
        <f t="shared" si="105"/>
        <v>0</v>
      </c>
      <c r="AF472">
        <f t="shared" si="105"/>
        <v>0</v>
      </c>
      <c r="AG472">
        <f t="shared" si="105"/>
        <v>0</v>
      </c>
      <c r="AH472">
        <f t="shared" si="105"/>
        <v>0</v>
      </c>
      <c r="AI472">
        <f t="shared" si="105"/>
        <v>0</v>
      </c>
      <c r="AJ472">
        <f t="shared" si="105"/>
        <v>0</v>
      </c>
      <c r="AK472">
        <f t="shared" si="105"/>
        <v>0</v>
      </c>
      <c r="AL472">
        <f t="shared" si="105"/>
        <v>0</v>
      </c>
      <c r="AM472">
        <f t="shared" si="105"/>
        <v>0</v>
      </c>
      <c r="AN472">
        <f t="shared" si="105"/>
        <v>0</v>
      </c>
      <c r="AO472">
        <f t="shared" si="106"/>
        <v>0</v>
      </c>
      <c r="AP472">
        <f t="shared" si="106"/>
        <v>0</v>
      </c>
      <c r="AQ472">
        <f t="shared" si="106"/>
        <v>0</v>
      </c>
      <c r="AR472">
        <f t="shared" si="106"/>
        <v>0</v>
      </c>
    </row>
    <row r="473" spans="5:44" x14ac:dyDescent="0.2">
      <c r="E473" s="1">
        <f>moment_rate!$M473</f>
        <v>7.4909850578488354E-2</v>
      </c>
      <c r="F473" s="1">
        <f t="shared" si="101"/>
        <v>1.4029791444792744E-3</v>
      </c>
      <c r="G473">
        <f>moment_rate!I473-0.005</f>
        <v>4.6599999999999451</v>
      </c>
      <c r="H473" s="1">
        <f t="shared" si="102"/>
        <v>0</v>
      </c>
      <c r="I473">
        <f t="shared" si="103"/>
        <v>0</v>
      </c>
      <c r="J473">
        <f t="shared" si="104"/>
        <v>0</v>
      </c>
      <c r="K473">
        <f t="shared" si="104"/>
        <v>0</v>
      </c>
      <c r="L473">
        <f t="shared" si="104"/>
        <v>0</v>
      </c>
      <c r="M473">
        <f t="shared" si="104"/>
        <v>0</v>
      </c>
      <c r="N473">
        <f t="shared" si="104"/>
        <v>0</v>
      </c>
      <c r="O473">
        <f t="shared" si="104"/>
        <v>0</v>
      </c>
      <c r="P473">
        <f t="shared" si="104"/>
        <v>0</v>
      </c>
      <c r="Q473">
        <f t="shared" si="104"/>
        <v>0</v>
      </c>
      <c r="R473">
        <f t="shared" si="104"/>
        <v>0</v>
      </c>
      <c r="S473">
        <f t="shared" si="104"/>
        <v>0</v>
      </c>
      <c r="T473">
        <f t="shared" si="104"/>
        <v>0</v>
      </c>
      <c r="U473">
        <f t="shared" si="104"/>
        <v>0</v>
      </c>
      <c r="V473">
        <f t="shared" si="104"/>
        <v>0</v>
      </c>
      <c r="W473">
        <f t="shared" si="104"/>
        <v>0</v>
      </c>
      <c r="X473">
        <f t="shared" si="104"/>
        <v>0</v>
      </c>
      <c r="Y473">
        <f t="shared" si="105"/>
        <v>0</v>
      </c>
      <c r="Z473">
        <f t="shared" si="105"/>
        <v>0</v>
      </c>
      <c r="AA473">
        <f t="shared" si="105"/>
        <v>0</v>
      </c>
      <c r="AB473">
        <f t="shared" si="105"/>
        <v>0</v>
      </c>
      <c r="AC473">
        <f t="shared" si="105"/>
        <v>0</v>
      </c>
      <c r="AD473">
        <f t="shared" si="105"/>
        <v>0</v>
      </c>
      <c r="AE473">
        <f t="shared" si="105"/>
        <v>0</v>
      </c>
      <c r="AF473">
        <f t="shared" si="105"/>
        <v>0</v>
      </c>
      <c r="AG473">
        <f t="shared" si="105"/>
        <v>0</v>
      </c>
      <c r="AH473">
        <f t="shared" si="105"/>
        <v>0</v>
      </c>
      <c r="AI473">
        <f t="shared" si="105"/>
        <v>0</v>
      </c>
      <c r="AJ473">
        <f t="shared" si="105"/>
        <v>0</v>
      </c>
      <c r="AK473">
        <f t="shared" si="105"/>
        <v>0</v>
      </c>
      <c r="AL473">
        <f t="shared" si="105"/>
        <v>0</v>
      </c>
      <c r="AM473">
        <f t="shared" si="105"/>
        <v>0</v>
      </c>
      <c r="AN473">
        <f t="shared" si="105"/>
        <v>0</v>
      </c>
      <c r="AO473">
        <f t="shared" si="106"/>
        <v>0</v>
      </c>
      <c r="AP473">
        <f t="shared" si="106"/>
        <v>0</v>
      </c>
      <c r="AQ473">
        <f t="shared" si="106"/>
        <v>0</v>
      </c>
      <c r="AR473">
        <f t="shared" si="106"/>
        <v>0</v>
      </c>
    </row>
    <row r="474" spans="5:44" x14ac:dyDescent="0.2">
      <c r="E474" s="1">
        <f>moment_rate!$M474</f>
        <v>7.350687143400908E-2</v>
      </c>
      <c r="F474" s="1">
        <f t="shared" si="101"/>
        <v>1.3742040217547408E-3</v>
      </c>
      <c r="G474">
        <f>moment_rate!I474-0.005</f>
        <v>4.6699999999999449</v>
      </c>
      <c r="H474" s="1">
        <f t="shared" si="102"/>
        <v>0</v>
      </c>
      <c r="I474">
        <f t="shared" si="103"/>
        <v>0</v>
      </c>
      <c r="J474">
        <f t="shared" ref="J474:T474" si="107">IF(AND($G474&gt;=J$3,$G474&lt;J$4),$F474,0)</f>
        <v>0</v>
      </c>
      <c r="K474">
        <f t="shared" si="107"/>
        <v>0</v>
      </c>
      <c r="L474">
        <f t="shared" si="107"/>
        <v>0</v>
      </c>
      <c r="M474">
        <f t="shared" si="107"/>
        <v>0</v>
      </c>
      <c r="N474">
        <f t="shared" si="107"/>
        <v>0</v>
      </c>
      <c r="O474">
        <f t="shared" si="107"/>
        <v>0</v>
      </c>
      <c r="P474">
        <f t="shared" si="107"/>
        <v>0</v>
      </c>
      <c r="Q474">
        <f t="shared" si="107"/>
        <v>0</v>
      </c>
      <c r="R474">
        <f t="shared" si="107"/>
        <v>0</v>
      </c>
      <c r="S474">
        <f t="shared" si="107"/>
        <v>0</v>
      </c>
      <c r="T474">
        <f t="shared" si="107"/>
        <v>0</v>
      </c>
      <c r="U474">
        <f t="shared" ref="U474:AJ489" si="108">IF(AND($G474&gt;=U$3,$G474&lt;U$4),$F474,0)</f>
        <v>0</v>
      </c>
      <c r="V474">
        <f t="shared" si="108"/>
        <v>0</v>
      </c>
      <c r="W474">
        <f t="shared" si="108"/>
        <v>0</v>
      </c>
      <c r="X474">
        <f t="shared" si="108"/>
        <v>0</v>
      </c>
      <c r="Y474">
        <f t="shared" si="108"/>
        <v>0</v>
      </c>
      <c r="Z474">
        <f t="shared" si="108"/>
        <v>0</v>
      </c>
      <c r="AA474">
        <f t="shared" si="108"/>
        <v>0</v>
      </c>
      <c r="AB474">
        <f t="shared" si="108"/>
        <v>0</v>
      </c>
      <c r="AC474">
        <f t="shared" si="108"/>
        <v>0</v>
      </c>
      <c r="AD474">
        <f t="shared" si="108"/>
        <v>0</v>
      </c>
      <c r="AE474">
        <f t="shared" si="108"/>
        <v>0</v>
      </c>
      <c r="AF474">
        <f t="shared" si="108"/>
        <v>0</v>
      </c>
      <c r="AG474">
        <f t="shared" si="108"/>
        <v>0</v>
      </c>
      <c r="AH474">
        <f t="shared" si="108"/>
        <v>0</v>
      </c>
      <c r="AI474">
        <f t="shared" si="108"/>
        <v>0</v>
      </c>
      <c r="AJ474">
        <f t="shared" si="108"/>
        <v>0</v>
      </c>
      <c r="AK474">
        <f t="shared" si="105"/>
        <v>0</v>
      </c>
      <c r="AL474">
        <f t="shared" si="105"/>
        <v>0</v>
      </c>
      <c r="AM474">
        <f t="shared" si="105"/>
        <v>0</v>
      </c>
      <c r="AN474">
        <f t="shared" si="105"/>
        <v>0</v>
      </c>
      <c r="AO474">
        <f t="shared" si="106"/>
        <v>0</v>
      </c>
      <c r="AP474">
        <f t="shared" si="106"/>
        <v>0</v>
      </c>
      <c r="AQ474">
        <f t="shared" si="106"/>
        <v>0</v>
      </c>
      <c r="AR474">
        <f t="shared" si="106"/>
        <v>0</v>
      </c>
    </row>
    <row r="475" spans="5:44" x14ac:dyDescent="0.2">
      <c r="E475" s="1">
        <f>moment_rate!$M475</f>
        <v>7.2132667412254339E-2</v>
      </c>
      <c r="F475" s="1">
        <f t="shared" si="101"/>
        <v>1.3460190772171254E-3</v>
      </c>
      <c r="G475">
        <f>moment_rate!I475-0.005</f>
        <v>4.6799999999999446</v>
      </c>
      <c r="H475" s="1">
        <f t="shared" si="102"/>
        <v>0</v>
      </c>
      <c r="I475">
        <f t="shared" si="103"/>
        <v>0</v>
      </c>
      <c r="J475">
        <f t="shared" ref="J475:Y490" si="109">IF(AND($G475&gt;=J$3,$G475&lt;J$4),$F475,0)</f>
        <v>0</v>
      </c>
      <c r="K475">
        <f t="shared" si="109"/>
        <v>0</v>
      </c>
      <c r="L475">
        <f t="shared" si="109"/>
        <v>0</v>
      </c>
      <c r="M475">
        <f t="shared" si="109"/>
        <v>0</v>
      </c>
      <c r="N475">
        <f t="shared" si="109"/>
        <v>0</v>
      </c>
      <c r="O475">
        <f t="shared" si="109"/>
        <v>0</v>
      </c>
      <c r="P475">
        <f t="shared" si="109"/>
        <v>0</v>
      </c>
      <c r="Q475">
        <f t="shared" si="109"/>
        <v>0</v>
      </c>
      <c r="R475">
        <f t="shared" si="109"/>
        <v>0</v>
      </c>
      <c r="S475">
        <f t="shared" si="109"/>
        <v>0</v>
      </c>
      <c r="T475">
        <f t="shared" si="109"/>
        <v>0</v>
      </c>
      <c r="U475">
        <f t="shared" si="109"/>
        <v>0</v>
      </c>
      <c r="V475">
        <f t="shared" si="109"/>
        <v>0</v>
      </c>
      <c r="W475">
        <f t="shared" si="109"/>
        <v>0</v>
      </c>
      <c r="X475">
        <f t="shared" si="109"/>
        <v>0</v>
      </c>
      <c r="Y475">
        <f t="shared" si="109"/>
        <v>0</v>
      </c>
      <c r="Z475">
        <f t="shared" si="108"/>
        <v>0</v>
      </c>
      <c r="AA475">
        <f t="shared" si="108"/>
        <v>0</v>
      </c>
      <c r="AB475">
        <f t="shared" si="108"/>
        <v>0</v>
      </c>
      <c r="AC475">
        <f t="shared" si="108"/>
        <v>0</v>
      </c>
      <c r="AD475">
        <f t="shared" si="108"/>
        <v>0</v>
      </c>
      <c r="AE475">
        <f t="shared" si="108"/>
        <v>0</v>
      </c>
      <c r="AF475">
        <f t="shared" si="108"/>
        <v>0</v>
      </c>
      <c r="AG475">
        <f t="shared" si="108"/>
        <v>0</v>
      </c>
      <c r="AH475">
        <f t="shared" si="108"/>
        <v>0</v>
      </c>
      <c r="AI475">
        <f t="shared" si="108"/>
        <v>0</v>
      </c>
      <c r="AJ475">
        <f t="shared" si="108"/>
        <v>0</v>
      </c>
      <c r="AK475">
        <f t="shared" si="105"/>
        <v>0</v>
      </c>
      <c r="AL475">
        <f t="shared" si="105"/>
        <v>0</v>
      </c>
      <c r="AM475">
        <f t="shared" si="105"/>
        <v>0</v>
      </c>
      <c r="AN475">
        <f t="shared" si="105"/>
        <v>0</v>
      </c>
      <c r="AO475">
        <f t="shared" si="106"/>
        <v>0</v>
      </c>
      <c r="AP475">
        <f t="shared" si="106"/>
        <v>0</v>
      </c>
      <c r="AQ475">
        <f t="shared" si="106"/>
        <v>0</v>
      </c>
      <c r="AR475">
        <f t="shared" si="106"/>
        <v>0</v>
      </c>
    </row>
    <row r="476" spans="5:44" x14ac:dyDescent="0.2">
      <c r="E476" s="1">
        <f>moment_rate!$M476</f>
        <v>7.0786648335037214E-2</v>
      </c>
      <c r="F476" s="1">
        <f t="shared" si="101"/>
        <v>1.3184122063032294E-3</v>
      </c>
      <c r="G476">
        <f>moment_rate!I476-0.005</f>
        <v>4.6899999999999444</v>
      </c>
      <c r="H476" s="1">
        <f t="shared" si="102"/>
        <v>0</v>
      </c>
      <c r="I476">
        <f t="shared" si="103"/>
        <v>0</v>
      </c>
      <c r="J476">
        <f t="shared" si="109"/>
        <v>0</v>
      </c>
      <c r="K476">
        <f t="shared" si="109"/>
        <v>0</v>
      </c>
      <c r="L476">
        <f t="shared" si="109"/>
        <v>0</v>
      </c>
      <c r="M476">
        <f t="shared" si="109"/>
        <v>0</v>
      </c>
      <c r="N476">
        <f t="shared" si="109"/>
        <v>0</v>
      </c>
      <c r="O476">
        <f t="shared" si="109"/>
        <v>0</v>
      </c>
      <c r="P476">
        <f t="shared" si="109"/>
        <v>0</v>
      </c>
      <c r="Q476">
        <f t="shared" si="109"/>
        <v>0</v>
      </c>
      <c r="R476">
        <f t="shared" si="109"/>
        <v>0</v>
      </c>
      <c r="S476">
        <f t="shared" si="109"/>
        <v>0</v>
      </c>
      <c r="T476">
        <f t="shared" si="109"/>
        <v>0</v>
      </c>
      <c r="U476">
        <f t="shared" si="109"/>
        <v>0</v>
      </c>
      <c r="V476">
        <f t="shared" si="109"/>
        <v>0</v>
      </c>
      <c r="W476">
        <f t="shared" si="109"/>
        <v>0</v>
      </c>
      <c r="X476">
        <f t="shared" si="109"/>
        <v>0</v>
      </c>
      <c r="Y476">
        <f t="shared" si="109"/>
        <v>0</v>
      </c>
      <c r="Z476">
        <f t="shared" si="108"/>
        <v>0</v>
      </c>
      <c r="AA476">
        <f t="shared" si="108"/>
        <v>0</v>
      </c>
      <c r="AB476">
        <f t="shared" si="108"/>
        <v>0</v>
      </c>
      <c r="AC476">
        <f t="shared" si="108"/>
        <v>0</v>
      </c>
      <c r="AD476">
        <f t="shared" si="108"/>
        <v>0</v>
      </c>
      <c r="AE476">
        <f t="shared" si="108"/>
        <v>0</v>
      </c>
      <c r="AF476">
        <f t="shared" si="108"/>
        <v>0</v>
      </c>
      <c r="AG476">
        <f t="shared" si="108"/>
        <v>0</v>
      </c>
      <c r="AH476">
        <f t="shared" si="108"/>
        <v>0</v>
      </c>
      <c r="AI476">
        <f t="shared" si="108"/>
        <v>0</v>
      </c>
      <c r="AJ476">
        <f t="shared" si="108"/>
        <v>0</v>
      </c>
      <c r="AK476">
        <f t="shared" si="105"/>
        <v>0</v>
      </c>
      <c r="AL476">
        <f t="shared" si="105"/>
        <v>0</v>
      </c>
      <c r="AM476">
        <f t="shared" si="105"/>
        <v>0</v>
      </c>
      <c r="AN476">
        <f t="shared" si="105"/>
        <v>0</v>
      </c>
      <c r="AO476">
        <f t="shared" si="106"/>
        <v>0</v>
      </c>
      <c r="AP476">
        <f t="shared" si="106"/>
        <v>0</v>
      </c>
      <c r="AQ476">
        <f t="shared" si="106"/>
        <v>0</v>
      </c>
      <c r="AR476">
        <f t="shared" si="106"/>
        <v>0</v>
      </c>
    </row>
    <row r="477" spans="5:44" x14ac:dyDescent="0.2">
      <c r="E477" s="1">
        <f>moment_rate!$M477</f>
        <v>6.9468236128733984E-2</v>
      </c>
      <c r="F477" s="1">
        <f t="shared" si="101"/>
        <v>1.2913715527145958E-3</v>
      </c>
      <c r="G477">
        <f>moment_rate!I477-0.005</f>
        <v>4.6999999999999442</v>
      </c>
      <c r="H477" s="1">
        <f t="shared" si="102"/>
        <v>0</v>
      </c>
      <c r="I477">
        <f t="shared" si="103"/>
        <v>0</v>
      </c>
      <c r="J477">
        <f t="shared" si="109"/>
        <v>0</v>
      </c>
      <c r="K477">
        <f t="shared" si="109"/>
        <v>0</v>
      </c>
      <c r="L477">
        <f t="shared" si="109"/>
        <v>0</v>
      </c>
      <c r="M477">
        <f t="shared" si="109"/>
        <v>0</v>
      </c>
      <c r="N477">
        <f t="shared" si="109"/>
        <v>0</v>
      </c>
      <c r="O477">
        <f t="shared" si="109"/>
        <v>0</v>
      </c>
      <c r="P477">
        <f t="shared" si="109"/>
        <v>0</v>
      </c>
      <c r="Q477">
        <f t="shared" si="109"/>
        <v>0</v>
      </c>
      <c r="R477">
        <f t="shared" si="109"/>
        <v>0</v>
      </c>
      <c r="S477">
        <f t="shared" si="109"/>
        <v>0</v>
      </c>
      <c r="T477">
        <f t="shared" si="109"/>
        <v>0</v>
      </c>
      <c r="U477">
        <f t="shared" si="109"/>
        <v>0</v>
      </c>
      <c r="V477">
        <f t="shared" si="109"/>
        <v>0</v>
      </c>
      <c r="W477">
        <f t="shared" si="109"/>
        <v>0</v>
      </c>
      <c r="X477">
        <f t="shared" si="109"/>
        <v>0</v>
      </c>
      <c r="Y477">
        <f t="shared" si="109"/>
        <v>0</v>
      </c>
      <c r="Z477">
        <f t="shared" si="108"/>
        <v>0</v>
      </c>
      <c r="AA477">
        <f t="shared" si="108"/>
        <v>0</v>
      </c>
      <c r="AB477">
        <f t="shared" si="108"/>
        <v>0</v>
      </c>
      <c r="AC477">
        <f t="shared" si="108"/>
        <v>0</v>
      </c>
      <c r="AD477">
        <f t="shared" si="108"/>
        <v>0</v>
      </c>
      <c r="AE477">
        <f t="shared" si="108"/>
        <v>0</v>
      </c>
      <c r="AF477">
        <f t="shared" si="108"/>
        <v>0</v>
      </c>
      <c r="AG477">
        <f t="shared" si="108"/>
        <v>0</v>
      </c>
      <c r="AH477">
        <f t="shared" si="108"/>
        <v>0</v>
      </c>
      <c r="AI477">
        <f t="shared" si="108"/>
        <v>0</v>
      </c>
      <c r="AJ477">
        <f t="shared" si="108"/>
        <v>0</v>
      </c>
      <c r="AK477">
        <f t="shared" si="105"/>
        <v>0</v>
      </c>
      <c r="AL477">
        <f t="shared" si="105"/>
        <v>0</v>
      </c>
      <c r="AM477">
        <f t="shared" si="105"/>
        <v>0</v>
      </c>
      <c r="AN477">
        <f t="shared" si="105"/>
        <v>0</v>
      </c>
      <c r="AO477">
        <f t="shared" si="106"/>
        <v>0</v>
      </c>
      <c r="AP477">
        <f t="shared" si="106"/>
        <v>0</v>
      </c>
      <c r="AQ477">
        <f t="shared" si="106"/>
        <v>0</v>
      </c>
      <c r="AR477">
        <f t="shared" si="106"/>
        <v>0</v>
      </c>
    </row>
    <row r="478" spans="5:44" x14ac:dyDescent="0.2">
      <c r="E478" s="1">
        <f>moment_rate!$M478</f>
        <v>6.8176864576019389E-2</v>
      </c>
      <c r="F478" s="1">
        <f t="shared" si="101"/>
        <v>1.2648855033256107E-3</v>
      </c>
      <c r="G478">
        <f>moment_rate!I478-0.005</f>
        <v>4.709999999999944</v>
      </c>
      <c r="H478" s="1">
        <f t="shared" si="102"/>
        <v>0</v>
      </c>
      <c r="I478">
        <f t="shared" si="103"/>
        <v>0</v>
      </c>
      <c r="J478">
        <f t="shared" si="109"/>
        <v>0</v>
      </c>
      <c r="K478">
        <f t="shared" si="109"/>
        <v>0</v>
      </c>
      <c r="L478">
        <f t="shared" si="109"/>
        <v>0</v>
      </c>
      <c r="M478">
        <f t="shared" si="109"/>
        <v>0</v>
      </c>
      <c r="N478">
        <f t="shared" si="109"/>
        <v>0</v>
      </c>
      <c r="O478">
        <f t="shared" si="109"/>
        <v>0</v>
      </c>
      <c r="P478">
        <f t="shared" si="109"/>
        <v>0</v>
      </c>
      <c r="Q478">
        <f t="shared" si="109"/>
        <v>0</v>
      </c>
      <c r="R478">
        <f t="shared" si="109"/>
        <v>0</v>
      </c>
      <c r="S478">
        <f t="shared" si="109"/>
        <v>0</v>
      </c>
      <c r="T478">
        <f t="shared" si="109"/>
        <v>0</v>
      </c>
      <c r="U478">
        <f t="shared" si="109"/>
        <v>0</v>
      </c>
      <c r="V478">
        <f t="shared" si="109"/>
        <v>0</v>
      </c>
      <c r="W478">
        <f t="shared" si="109"/>
        <v>0</v>
      </c>
      <c r="X478">
        <f t="shared" si="109"/>
        <v>0</v>
      </c>
      <c r="Y478">
        <f t="shared" si="109"/>
        <v>0</v>
      </c>
      <c r="Z478">
        <f t="shared" si="108"/>
        <v>0</v>
      </c>
      <c r="AA478">
        <f t="shared" si="108"/>
        <v>0</v>
      </c>
      <c r="AB478">
        <f t="shared" si="108"/>
        <v>0</v>
      </c>
      <c r="AC478">
        <f t="shared" si="108"/>
        <v>0</v>
      </c>
      <c r="AD478">
        <f t="shared" si="108"/>
        <v>0</v>
      </c>
      <c r="AE478">
        <f t="shared" si="108"/>
        <v>0</v>
      </c>
      <c r="AF478">
        <f t="shared" si="108"/>
        <v>0</v>
      </c>
      <c r="AG478">
        <f t="shared" si="108"/>
        <v>0</v>
      </c>
      <c r="AH478">
        <f t="shared" si="108"/>
        <v>0</v>
      </c>
      <c r="AI478">
        <f t="shared" si="108"/>
        <v>0</v>
      </c>
      <c r="AJ478">
        <f t="shared" si="108"/>
        <v>0</v>
      </c>
      <c r="AK478">
        <f t="shared" si="105"/>
        <v>0</v>
      </c>
      <c r="AL478">
        <f t="shared" si="105"/>
        <v>0</v>
      </c>
      <c r="AM478">
        <f t="shared" si="105"/>
        <v>0</v>
      </c>
      <c r="AN478">
        <f t="shared" si="105"/>
        <v>0</v>
      </c>
      <c r="AO478">
        <f t="shared" si="106"/>
        <v>0</v>
      </c>
      <c r="AP478">
        <f t="shared" si="106"/>
        <v>0</v>
      </c>
      <c r="AQ478">
        <f t="shared" si="106"/>
        <v>0</v>
      </c>
      <c r="AR478">
        <f t="shared" si="106"/>
        <v>0</v>
      </c>
    </row>
    <row r="479" spans="5:44" x14ac:dyDescent="0.2">
      <c r="E479" s="1">
        <f>moment_rate!$M479</f>
        <v>6.6911979072693778E-2</v>
      </c>
      <c r="F479" s="1">
        <f t="shared" si="101"/>
        <v>1.2389426831961176E-3</v>
      </c>
      <c r="G479">
        <f>moment_rate!I479-0.005</f>
        <v>4.7199999999999438</v>
      </c>
      <c r="H479" s="1">
        <f t="shared" si="102"/>
        <v>0</v>
      </c>
      <c r="I479">
        <f t="shared" si="103"/>
        <v>0</v>
      </c>
      <c r="J479">
        <f t="shared" si="109"/>
        <v>0</v>
      </c>
      <c r="K479">
        <f t="shared" si="109"/>
        <v>0</v>
      </c>
      <c r="L479">
        <f t="shared" si="109"/>
        <v>0</v>
      </c>
      <c r="M479">
        <f t="shared" si="109"/>
        <v>0</v>
      </c>
      <c r="N479">
        <f t="shared" si="109"/>
        <v>0</v>
      </c>
      <c r="O479">
        <f t="shared" si="109"/>
        <v>0</v>
      </c>
      <c r="P479">
        <f t="shared" si="109"/>
        <v>0</v>
      </c>
      <c r="Q479">
        <f t="shared" si="109"/>
        <v>0</v>
      </c>
      <c r="R479">
        <f t="shared" si="109"/>
        <v>0</v>
      </c>
      <c r="S479">
        <f t="shared" si="109"/>
        <v>0</v>
      </c>
      <c r="T479">
        <f t="shared" si="109"/>
        <v>0</v>
      </c>
      <c r="U479">
        <f t="shared" si="109"/>
        <v>0</v>
      </c>
      <c r="V479">
        <f t="shared" si="109"/>
        <v>0</v>
      </c>
      <c r="W479">
        <f t="shared" si="109"/>
        <v>0</v>
      </c>
      <c r="X479">
        <f t="shared" si="109"/>
        <v>0</v>
      </c>
      <c r="Y479">
        <f t="shared" si="109"/>
        <v>0</v>
      </c>
      <c r="Z479">
        <f t="shared" si="108"/>
        <v>0</v>
      </c>
      <c r="AA479">
        <f t="shared" si="108"/>
        <v>0</v>
      </c>
      <c r="AB479">
        <f t="shared" si="108"/>
        <v>0</v>
      </c>
      <c r="AC479">
        <f t="shared" si="108"/>
        <v>0</v>
      </c>
      <c r="AD479">
        <f t="shared" si="108"/>
        <v>0</v>
      </c>
      <c r="AE479">
        <f t="shared" si="108"/>
        <v>0</v>
      </c>
      <c r="AF479">
        <f t="shared" si="108"/>
        <v>0</v>
      </c>
      <c r="AG479">
        <f t="shared" si="108"/>
        <v>0</v>
      </c>
      <c r="AH479">
        <f t="shared" si="108"/>
        <v>0</v>
      </c>
      <c r="AI479">
        <f t="shared" si="108"/>
        <v>0</v>
      </c>
      <c r="AJ479">
        <f t="shared" si="108"/>
        <v>0</v>
      </c>
      <c r="AK479">
        <f t="shared" si="105"/>
        <v>0</v>
      </c>
      <c r="AL479">
        <f t="shared" si="105"/>
        <v>0</v>
      </c>
      <c r="AM479">
        <f t="shared" si="105"/>
        <v>0</v>
      </c>
      <c r="AN479">
        <f t="shared" si="105"/>
        <v>0</v>
      </c>
      <c r="AO479">
        <f t="shared" si="106"/>
        <v>0</v>
      </c>
      <c r="AP479">
        <f t="shared" si="106"/>
        <v>0</v>
      </c>
      <c r="AQ479">
        <f t="shared" si="106"/>
        <v>0</v>
      </c>
      <c r="AR479">
        <f t="shared" si="106"/>
        <v>0</v>
      </c>
    </row>
    <row r="480" spans="5:44" x14ac:dyDescent="0.2">
      <c r="E480" s="1">
        <f>moment_rate!$M480</f>
        <v>6.567303638949766E-2</v>
      </c>
      <c r="F480" s="1">
        <f t="shared" si="101"/>
        <v>1.2135319506859504E-3</v>
      </c>
      <c r="G480">
        <f>moment_rate!I480-0.005</f>
        <v>4.7299999999999436</v>
      </c>
      <c r="H480" s="1">
        <f t="shared" si="102"/>
        <v>0</v>
      </c>
      <c r="I480">
        <f t="shared" si="103"/>
        <v>0</v>
      </c>
      <c r="J480">
        <f t="shared" si="109"/>
        <v>0</v>
      </c>
      <c r="K480">
        <f t="shared" si="109"/>
        <v>0</v>
      </c>
      <c r="L480">
        <f t="shared" si="109"/>
        <v>0</v>
      </c>
      <c r="M480">
        <f t="shared" si="109"/>
        <v>0</v>
      </c>
      <c r="N480">
        <f t="shared" si="109"/>
        <v>0</v>
      </c>
      <c r="O480">
        <f t="shared" si="109"/>
        <v>0</v>
      </c>
      <c r="P480">
        <f t="shared" si="109"/>
        <v>0</v>
      </c>
      <c r="Q480">
        <f t="shared" si="109"/>
        <v>0</v>
      </c>
      <c r="R480">
        <f t="shared" si="109"/>
        <v>0</v>
      </c>
      <c r="S480">
        <f t="shared" si="109"/>
        <v>0</v>
      </c>
      <c r="T480">
        <f t="shared" si="109"/>
        <v>0</v>
      </c>
      <c r="U480">
        <f t="shared" si="109"/>
        <v>0</v>
      </c>
      <c r="V480">
        <f t="shared" si="109"/>
        <v>0</v>
      </c>
      <c r="W480">
        <f t="shared" si="109"/>
        <v>0</v>
      </c>
      <c r="X480">
        <f t="shared" si="109"/>
        <v>0</v>
      </c>
      <c r="Y480">
        <f t="shared" si="109"/>
        <v>0</v>
      </c>
      <c r="Z480">
        <f t="shared" si="108"/>
        <v>0</v>
      </c>
      <c r="AA480">
        <f t="shared" si="108"/>
        <v>0</v>
      </c>
      <c r="AB480">
        <f t="shared" si="108"/>
        <v>0</v>
      </c>
      <c r="AC480">
        <f t="shared" si="108"/>
        <v>0</v>
      </c>
      <c r="AD480">
        <f t="shared" si="108"/>
        <v>0</v>
      </c>
      <c r="AE480">
        <f t="shared" si="108"/>
        <v>0</v>
      </c>
      <c r="AF480">
        <f t="shared" si="108"/>
        <v>0</v>
      </c>
      <c r="AG480">
        <f t="shared" si="108"/>
        <v>0</v>
      </c>
      <c r="AH480">
        <f t="shared" si="108"/>
        <v>0</v>
      </c>
      <c r="AI480">
        <f t="shared" si="108"/>
        <v>0</v>
      </c>
      <c r="AJ480">
        <f t="shared" si="108"/>
        <v>0</v>
      </c>
      <c r="AK480">
        <f t="shared" si="105"/>
        <v>0</v>
      </c>
      <c r="AL480">
        <f t="shared" si="105"/>
        <v>0</v>
      </c>
      <c r="AM480">
        <f t="shared" si="105"/>
        <v>0</v>
      </c>
      <c r="AN480">
        <f t="shared" si="105"/>
        <v>0</v>
      </c>
      <c r="AO480">
        <f t="shared" si="106"/>
        <v>0</v>
      </c>
      <c r="AP480">
        <f t="shared" si="106"/>
        <v>0</v>
      </c>
      <c r="AQ480">
        <f t="shared" si="106"/>
        <v>0</v>
      </c>
      <c r="AR480">
        <f t="shared" si="106"/>
        <v>0</v>
      </c>
    </row>
    <row r="481" spans="5:44" x14ac:dyDescent="0.2">
      <c r="E481" s="1">
        <f>moment_rate!$M481</f>
        <v>6.445950443881171E-2</v>
      </c>
      <c r="F481" s="1">
        <f t="shared" si="101"/>
        <v>1.1886423926703721E-3</v>
      </c>
      <c r="G481">
        <f>moment_rate!I481-0.005</f>
        <v>4.7399999999999434</v>
      </c>
      <c r="H481" s="1">
        <f t="shared" si="102"/>
        <v>0</v>
      </c>
      <c r="I481">
        <f t="shared" si="103"/>
        <v>0</v>
      </c>
      <c r="J481">
        <f t="shared" si="109"/>
        <v>0</v>
      </c>
      <c r="K481">
        <f t="shared" si="109"/>
        <v>0</v>
      </c>
      <c r="L481">
        <f t="shared" si="109"/>
        <v>0</v>
      </c>
      <c r="M481">
        <f t="shared" si="109"/>
        <v>0</v>
      </c>
      <c r="N481">
        <f t="shared" si="109"/>
        <v>0</v>
      </c>
      <c r="O481">
        <f t="shared" si="109"/>
        <v>0</v>
      </c>
      <c r="P481">
        <f t="shared" si="109"/>
        <v>0</v>
      </c>
      <c r="Q481">
        <f t="shared" si="109"/>
        <v>0</v>
      </c>
      <c r="R481">
        <f t="shared" si="109"/>
        <v>0</v>
      </c>
      <c r="S481">
        <f t="shared" si="109"/>
        <v>0</v>
      </c>
      <c r="T481">
        <f t="shared" si="109"/>
        <v>0</v>
      </c>
      <c r="U481">
        <f t="shared" si="109"/>
        <v>0</v>
      </c>
      <c r="V481">
        <f t="shared" si="109"/>
        <v>0</v>
      </c>
      <c r="W481">
        <f t="shared" si="109"/>
        <v>0</v>
      </c>
      <c r="X481">
        <f t="shared" si="109"/>
        <v>0</v>
      </c>
      <c r="Y481">
        <f t="shared" si="109"/>
        <v>0</v>
      </c>
      <c r="Z481">
        <f t="shared" si="108"/>
        <v>0</v>
      </c>
      <c r="AA481">
        <f t="shared" si="108"/>
        <v>0</v>
      </c>
      <c r="AB481">
        <f t="shared" si="108"/>
        <v>0</v>
      </c>
      <c r="AC481">
        <f t="shared" si="108"/>
        <v>0</v>
      </c>
      <c r="AD481">
        <f t="shared" si="108"/>
        <v>0</v>
      </c>
      <c r="AE481">
        <f t="shared" si="108"/>
        <v>0</v>
      </c>
      <c r="AF481">
        <f t="shared" si="108"/>
        <v>0</v>
      </c>
      <c r="AG481">
        <f t="shared" si="108"/>
        <v>0</v>
      </c>
      <c r="AH481">
        <f t="shared" si="108"/>
        <v>0</v>
      </c>
      <c r="AI481">
        <f t="shared" si="108"/>
        <v>0</v>
      </c>
      <c r="AJ481">
        <f t="shared" si="108"/>
        <v>0</v>
      </c>
      <c r="AK481">
        <f t="shared" si="105"/>
        <v>0</v>
      </c>
      <c r="AL481">
        <f t="shared" si="105"/>
        <v>0</v>
      </c>
      <c r="AM481">
        <f t="shared" si="105"/>
        <v>0</v>
      </c>
      <c r="AN481">
        <f t="shared" si="105"/>
        <v>0</v>
      </c>
      <c r="AO481">
        <f t="shared" si="106"/>
        <v>0</v>
      </c>
      <c r="AP481">
        <f t="shared" si="106"/>
        <v>0</v>
      </c>
      <c r="AQ481">
        <f t="shared" si="106"/>
        <v>0</v>
      </c>
      <c r="AR481">
        <f t="shared" si="106"/>
        <v>0</v>
      </c>
    </row>
    <row r="482" spans="5:44" x14ac:dyDescent="0.2">
      <c r="E482" s="1">
        <f>moment_rate!$M482</f>
        <v>6.3270862046141338E-2</v>
      </c>
      <c r="F482" s="1">
        <f t="shared" si="101"/>
        <v>1.1642633198528859E-3</v>
      </c>
      <c r="G482">
        <f>moment_rate!I482-0.005</f>
        <v>4.7499999999999432</v>
      </c>
      <c r="H482" s="1">
        <f t="shared" si="102"/>
        <v>0</v>
      </c>
      <c r="I482">
        <f t="shared" si="103"/>
        <v>0</v>
      </c>
      <c r="J482">
        <f t="shared" si="109"/>
        <v>0</v>
      </c>
      <c r="K482">
        <f t="shared" si="109"/>
        <v>0</v>
      </c>
      <c r="L482">
        <f t="shared" si="109"/>
        <v>0</v>
      </c>
      <c r="M482">
        <f t="shared" si="109"/>
        <v>0</v>
      </c>
      <c r="N482">
        <f t="shared" si="109"/>
        <v>0</v>
      </c>
      <c r="O482">
        <f t="shared" si="109"/>
        <v>0</v>
      </c>
      <c r="P482">
        <f t="shared" si="109"/>
        <v>0</v>
      </c>
      <c r="Q482">
        <f t="shared" si="109"/>
        <v>0</v>
      </c>
      <c r="R482">
        <f t="shared" si="109"/>
        <v>0</v>
      </c>
      <c r="S482">
        <f t="shared" si="109"/>
        <v>0</v>
      </c>
      <c r="T482">
        <f t="shared" si="109"/>
        <v>0</v>
      </c>
      <c r="U482">
        <f t="shared" si="109"/>
        <v>0</v>
      </c>
      <c r="V482">
        <f t="shared" si="109"/>
        <v>0</v>
      </c>
      <c r="W482">
        <f t="shared" si="109"/>
        <v>0</v>
      </c>
      <c r="X482">
        <f t="shared" si="109"/>
        <v>0</v>
      </c>
      <c r="Y482">
        <f t="shared" si="109"/>
        <v>0</v>
      </c>
      <c r="Z482">
        <f t="shared" si="108"/>
        <v>0</v>
      </c>
      <c r="AA482">
        <f t="shared" si="108"/>
        <v>0</v>
      </c>
      <c r="AB482">
        <f t="shared" si="108"/>
        <v>0</v>
      </c>
      <c r="AC482">
        <f t="shared" si="108"/>
        <v>0</v>
      </c>
      <c r="AD482">
        <f t="shared" si="108"/>
        <v>0</v>
      </c>
      <c r="AE482">
        <f t="shared" si="108"/>
        <v>0</v>
      </c>
      <c r="AF482">
        <f t="shared" si="108"/>
        <v>0</v>
      </c>
      <c r="AG482">
        <f t="shared" si="108"/>
        <v>0</v>
      </c>
      <c r="AH482">
        <f t="shared" si="108"/>
        <v>0</v>
      </c>
      <c r="AI482">
        <f t="shared" si="108"/>
        <v>0</v>
      </c>
      <c r="AJ482">
        <f t="shared" si="108"/>
        <v>0</v>
      </c>
      <c r="AK482">
        <f t="shared" si="105"/>
        <v>0</v>
      </c>
      <c r="AL482">
        <f t="shared" si="105"/>
        <v>0</v>
      </c>
      <c r="AM482">
        <f t="shared" si="105"/>
        <v>0</v>
      </c>
      <c r="AN482">
        <f t="shared" si="105"/>
        <v>0</v>
      </c>
      <c r="AO482">
        <f t="shared" si="106"/>
        <v>0</v>
      </c>
      <c r="AP482">
        <f t="shared" si="106"/>
        <v>0</v>
      </c>
      <c r="AQ482">
        <f t="shared" si="106"/>
        <v>0</v>
      </c>
      <c r="AR482">
        <f t="shared" si="106"/>
        <v>0</v>
      </c>
    </row>
    <row r="483" spans="5:44" x14ac:dyDescent="0.2">
      <c r="E483" s="1">
        <f>moment_rate!$M483</f>
        <v>6.2106598726288452E-2</v>
      </c>
      <c r="F483" s="1">
        <f t="shared" si="101"/>
        <v>1.1403842621745819E-3</v>
      </c>
      <c r="G483">
        <f>moment_rate!I483-0.005</f>
        <v>4.7599999999999429</v>
      </c>
      <c r="H483" s="1">
        <f t="shared" si="102"/>
        <v>0</v>
      </c>
      <c r="I483">
        <f t="shared" si="103"/>
        <v>0</v>
      </c>
      <c r="J483">
        <f t="shared" si="109"/>
        <v>0</v>
      </c>
      <c r="K483">
        <f t="shared" si="109"/>
        <v>0</v>
      </c>
      <c r="L483">
        <f t="shared" si="109"/>
        <v>0</v>
      </c>
      <c r="M483">
        <f t="shared" si="109"/>
        <v>0</v>
      </c>
      <c r="N483">
        <f t="shared" si="109"/>
        <v>0</v>
      </c>
      <c r="O483">
        <f t="shared" si="109"/>
        <v>0</v>
      </c>
      <c r="P483">
        <f t="shared" si="109"/>
        <v>0</v>
      </c>
      <c r="Q483">
        <f t="shared" si="109"/>
        <v>0</v>
      </c>
      <c r="R483">
        <f t="shared" si="109"/>
        <v>0</v>
      </c>
      <c r="S483">
        <f t="shared" si="109"/>
        <v>0</v>
      </c>
      <c r="T483">
        <f t="shared" si="109"/>
        <v>0</v>
      </c>
      <c r="U483">
        <f t="shared" si="109"/>
        <v>0</v>
      </c>
      <c r="V483">
        <f t="shared" si="109"/>
        <v>0</v>
      </c>
      <c r="W483">
        <f t="shared" si="109"/>
        <v>0</v>
      </c>
      <c r="X483">
        <f t="shared" si="109"/>
        <v>0</v>
      </c>
      <c r="Y483">
        <f t="shared" si="109"/>
        <v>0</v>
      </c>
      <c r="Z483">
        <f t="shared" si="108"/>
        <v>0</v>
      </c>
      <c r="AA483">
        <f t="shared" si="108"/>
        <v>0</v>
      </c>
      <c r="AB483">
        <f t="shared" si="108"/>
        <v>0</v>
      </c>
      <c r="AC483">
        <f t="shared" si="108"/>
        <v>0</v>
      </c>
      <c r="AD483">
        <f t="shared" si="108"/>
        <v>0</v>
      </c>
      <c r="AE483">
        <f t="shared" si="108"/>
        <v>0</v>
      </c>
      <c r="AF483">
        <f t="shared" si="108"/>
        <v>0</v>
      </c>
      <c r="AG483">
        <f t="shared" si="108"/>
        <v>0</v>
      </c>
      <c r="AH483">
        <f t="shared" si="108"/>
        <v>0</v>
      </c>
      <c r="AI483">
        <f t="shared" si="108"/>
        <v>0</v>
      </c>
      <c r="AJ483">
        <f t="shared" si="108"/>
        <v>0</v>
      </c>
      <c r="AK483">
        <f t="shared" si="105"/>
        <v>0</v>
      </c>
      <c r="AL483">
        <f t="shared" si="105"/>
        <v>0</v>
      </c>
      <c r="AM483">
        <f t="shared" si="105"/>
        <v>0</v>
      </c>
      <c r="AN483">
        <f t="shared" si="105"/>
        <v>0</v>
      </c>
      <c r="AO483">
        <f t="shared" si="106"/>
        <v>0</v>
      </c>
      <c r="AP483">
        <f t="shared" si="106"/>
        <v>0</v>
      </c>
      <c r="AQ483">
        <f t="shared" si="106"/>
        <v>0</v>
      </c>
      <c r="AR483">
        <f t="shared" si="106"/>
        <v>0</v>
      </c>
    </row>
    <row r="484" spans="5:44" x14ac:dyDescent="0.2">
      <c r="E484" s="1">
        <f>moment_rate!$M484</f>
        <v>6.096621446411387E-2</v>
      </c>
      <c r="F484" s="1">
        <f t="shared" si="101"/>
        <v>1.1169949643176844E-3</v>
      </c>
      <c r="G484">
        <f>moment_rate!I484-0.005</f>
        <v>4.7699999999999427</v>
      </c>
      <c r="H484" s="1">
        <f t="shared" si="102"/>
        <v>0</v>
      </c>
      <c r="I484">
        <f t="shared" si="103"/>
        <v>0</v>
      </c>
      <c r="J484">
        <f t="shared" si="109"/>
        <v>0</v>
      </c>
      <c r="K484">
        <f t="shared" si="109"/>
        <v>0</v>
      </c>
      <c r="L484">
        <f t="shared" si="109"/>
        <v>0</v>
      </c>
      <c r="M484">
        <f t="shared" si="109"/>
        <v>0</v>
      </c>
      <c r="N484">
        <f t="shared" si="109"/>
        <v>0</v>
      </c>
      <c r="O484">
        <f t="shared" si="109"/>
        <v>0</v>
      </c>
      <c r="P484">
        <f t="shared" si="109"/>
        <v>0</v>
      </c>
      <c r="Q484">
        <f t="shared" si="109"/>
        <v>0</v>
      </c>
      <c r="R484">
        <f t="shared" si="109"/>
        <v>0</v>
      </c>
      <c r="S484">
        <f t="shared" si="109"/>
        <v>0</v>
      </c>
      <c r="T484">
        <f t="shared" si="109"/>
        <v>0</v>
      </c>
      <c r="U484">
        <f t="shared" si="109"/>
        <v>0</v>
      </c>
      <c r="V484">
        <f t="shared" si="109"/>
        <v>0</v>
      </c>
      <c r="W484">
        <f t="shared" si="109"/>
        <v>0</v>
      </c>
      <c r="X484">
        <f t="shared" si="109"/>
        <v>0</v>
      </c>
      <c r="Y484">
        <f t="shared" si="109"/>
        <v>0</v>
      </c>
      <c r="Z484">
        <f t="shared" si="108"/>
        <v>0</v>
      </c>
      <c r="AA484">
        <f t="shared" si="108"/>
        <v>0</v>
      </c>
      <c r="AB484">
        <f t="shared" si="108"/>
        <v>0</v>
      </c>
      <c r="AC484">
        <f t="shared" si="108"/>
        <v>0</v>
      </c>
      <c r="AD484">
        <f t="shared" si="108"/>
        <v>0</v>
      </c>
      <c r="AE484">
        <f t="shared" si="108"/>
        <v>0</v>
      </c>
      <c r="AF484">
        <f t="shared" si="108"/>
        <v>0</v>
      </c>
      <c r="AG484">
        <f t="shared" si="108"/>
        <v>0</v>
      </c>
      <c r="AH484">
        <f t="shared" si="108"/>
        <v>0</v>
      </c>
      <c r="AI484">
        <f t="shared" si="108"/>
        <v>0</v>
      </c>
      <c r="AJ484">
        <f t="shared" si="108"/>
        <v>0</v>
      </c>
      <c r="AK484">
        <f t="shared" si="105"/>
        <v>0</v>
      </c>
      <c r="AL484">
        <f t="shared" si="105"/>
        <v>0</v>
      </c>
      <c r="AM484">
        <f t="shared" si="105"/>
        <v>0</v>
      </c>
      <c r="AN484">
        <f t="shared" si="105"/>
        <v>0</v>
      </c>
      <c r="AO484">
        <f t="shared" si="106"/>
        <v>0</v>
      </c>
      <c r="AP484">
        <f t="shared" si="106"/>
        <v>0</v>
      </c>
      <c r="AQ484">
        <f t="shared" si="106"/>
        <v>0</v>
      </c>
      <c r="AR484">
        <f t="shared" si="106"/>
        <v>0</v>
      </c>
    </row>
    <row r="485" spans="5:44" x14ac:dyDescent="0.2">
      <c r="E485" s="1">
        <f>moment_rate!$M485</f>
        <v>5.9849219499796186E-2</v>
      </c>
      <c r="F485" s="1">
        <f t="shared" si="101"/>
        <v>1.0940853813011173E-3</v>
      </c>
      <c r="G485">
        <f>moment_rate!I485-0.005</f>
        <v>4.7799999999999425</v>
      </c>
      <c r="H485" s="1">
        <f t="shared" si="102"/>
        <v>0</v>
      </c>
      <c r="I485">
        <f t="shared" si="103"/>
        <v>0</v>
      </c>
      <c r="J485">
        <f t="shared" si="109"/>
        <v>0</v>
      </c>
      <c r="K485">
        <f t="shared" si="109"/>
        <v>0</v>
      </c>
      <c r="L485">
        <f t="shared" si="109"/>
        <v>0</v>
      </c>
      <c r="M485">
        <f t="shared" si="109"/>
        <v>0</v>
      </c>
      <c r="N485">
        <f t="shared" si="109"/>
        <v>0</v>
      </c>
      <c r="O485">
        <f t="shared" si="109"/>
        <v>0</v>
      </c>
      <c r="P485">
        <f t="shared" si="109"/>
        <v>0</v>
      </c>
      <c r="Q485">
        <f t="shared" si="109"/>
        <v>0</v>
      </c>
      <c r="R485">
        <f t="shared" si="109"/>
        <v>0</v>
      </c>
      <c r="S485">
        <f t="shared" si="109"/>
        <v>0</v>
      </c>
      <c r="T485">
        <f t="shared" si="109"/>
        <v>0</v>
      </c>
      <c r="U485">
        <f t="shared" si="109"/>
        <v>0</v>
      </c>
      <c r="V485">
        <f t="shared" si="109"/>
        <v>0</v>
      </c>
      <c r="W485">
        <f t="shared" si="109"/>
        <v>0</v>
      </c>
      <c r="X485">
        <f t="shared" si="109"/>
        <v>0</v>
      </c>
      <c r="Y485">
        <f t="shared" si="109"/>
        <v>0</v>
      </c>
      <c r="Z485">
        <f t="shared" si="108"/>
        <v>0</v>
      </c>
      <c r="AA485">
        <f t="shared" si="108"/>
        <v>0</v>
      </c>
      <c r="AB485">
        <f t="shared" si="108"/>
        <v>0</v>
      </c>
      <c r="AC485">
        <f t="shared" si="108"/>
        <v>0</v>
      </c>
      <c r="AD485">
        <f t="shared" si="108"/>
        <v>0</v>
      </c>
      <c r="AE485">
        <f t="shared" si="108"/>
        <v>0</v>
      </c>
      <c r="AF485">
        <f t="shared" si="108"/>
        <v>0</v>
      </c>
      <c r="AG485">
        <f t="shared" si="108"/>
        <v>0</v>
      </c>
      <c r="AH485">
        <f t="shared" si="108"/>
        <v>0</v>
      </c>
      <c r="AI485">
        <f t="shared" si="108"/>
        <v>0</v>
      </c>
      <c r="AJ485">
        <f t="shared" si="108"/>
        <v>0</v>
      </c>
      <c r="AK485">
        <f t="shared" si="105"/>
        <v>0</v>
      </c>
      <c r="AL485">
        <f t="shared" si="105"/>
        <v>0</v>
      </c>
      <c r="AM485">
        <f t="shared" si="105"/>
        <v>0</v>
      </c>
      <c r="AN485">
        <f t="shared" si="105"/>
        <v>0</v>
      </c>
      <c r="AO485">
        <f t="shared" si="106"/>
        <v>0</v>
      </c>
      <c r="AP485">
        <f t="shared" si="106"/>
        <v>0</v>
      </c>
      <c r="AQ485">
        <f t="shared" si="106"/>
        <v>0</v>
      </c>
      <c r="AR485">
        <f t="shared" si="106"/>
        <v>0</v>
      </c>
    </row>
    <row r="486" spans="5:44" x14ac:dyDescent="0.2">
      <c r="E486" s="1">
        <f>moment_rate!$M486</f>
        <v>5.8755134118495068E-2</v>
      </c>
      <c r="F486" s="1">
        <f t="shared" si="101"/>
        <v>1.0716456741665104E-3</v>
      </c>
      <c r="G486">
        <f>moment_rate!I486-0.005</f>
        <v>4.7899999999999423</v>
      </c>
      <c r="H486" s="1">
        <f t="shared" si="102"/>
        <v>0</v>
      </c>
      <c r="I486">
        <f t="shared" si="103"/>
        <v>0</v>
      </c>
      <c r="J486">
        <f t="shared" si="109"/>
        <v>0</v>
      </c>
      <c r="K486">
        <f t="shared" si="109"/>
        <v>0</v>
      </c>
      <c r="L486">
        <f t="shared" si="109"/>
        <v>0</v>
      </c>
      <c r="M486">
        <f t="shared" si="109"/>
        <v>0</v>
      </c>
      <c r="N486">
        <f t="shared" si="109"/>
        <v>0</v>
      </c>
      <c r="O486">
        <f t="shared" si="109"/>
        <v>0</v>
      </c>
      <c r="P486">
        <f t="shared" si="109"/>
        <v>0</v>
      </c>
      <c r="Q486">
        <f t="shared" si="109"/>
        <v>0</v>
      </c>
      <c r="R486">
        <f t="shared" si="109"/>
        <v>0</v>
      </c>
      <c r="S486">
        <f t="shared" si="109"/>
        <v>0</v>
      </c>
      <c r="T486">
        <f t="shared" si="109"/>
        <v>0</v>
      </c>
      <c r="U486">
        <f t="shared" si="109"/>
        <v>0</v>
      </c>
      <c r="V486">
        <f t="shared" si="109"/>
        <v>0</v>
      </c>
      <c r="W486">
        <f t="shared" si="109"/>
        <v>0</v>
      </c>
      <c r="X486">
        <f t="shared" si="109"/>
        <v>0</v>
      </c>
      <c r="Y486">
        <f t="shared" si="109"/>
        <v>0</v>
      </c>
      <c r="Z486">
        <f t="shared" si="108"/>
        <v>0</v>
      </c>
      <c r="AA486">
        <f t="shared" si="108"/>
        <v>0</v>
      </c>
      <c r="AB486">
        <f t="shared" si="108"/>
        <v>0</v>
      </c>
      <c r="AC486">
        <f t="shared" si="108"/>
        <v>0</v>
      </c>
      <c r="AD486">
        <f t="shared" si="108"/>
        <v>0</v>
      </c>
      <c r="AE486">
        <f t="shared" si="108"/>
        <v>0</v>
      </c>
      <c r="AF486">
        <f t="shared" si="108"/>
        <v>0</v>
      </c>
      <c r="AG486">
        <f t="shared" si="108"/>
        <v>0</v>
      </c>
      <c r="AH486">
        <f t="shared" si="108"/>
        <v>0</v>
      </c>
      <c r="AI486">
        <f t="shared" si="108"/>
        <v>0</v>
      </c>
      <c r="AJ486">
        <f t="shared" si="108"/>
        <v>0</v>
      </c>
      <c r="AK486">
        <f t="shared" si="105"/>
        <v>0</v>
      </c>
      <c r="AL486">
        <f t="shared" si="105"/>
        <v>0</v>
      </c>
      <c r="AM486">
        <f t="shared" si="105"/>
        <v>0</v>
      </c>
      <c r="AN486">
        <f t="shared" si="105"/>
        <v>0</v>
      </c>
      <c r="AO486">
        <f t="shared" si="106"/>
        <v>0</v>
      </c>
      <c r="AP486">
        <f t="shared" si="106"/>
        <v>0</v>
      </c>
      <c r="AQ486">
        <f t="shared" si="106"/>
        <v>0</v>
      </c>
      <c r="AR486">
        <f t="shared" si="106"/>
        <v>0</v>
      </c>
    </row>
    <row r="487" spans="5:44" x14ac:dyDescent="0.2">
      <c r="E487" s="1">
        <f>moment_rate!$M487</f>
        <v>5.7683488444328558E-2</v>
      </c>
      <c r="F487" s="1">
        <f t="shared" si="101"/>
        <v>1.0496662057526418E-3</v>
      </c>
      <c r="G487">
        <f>moment_rate!I487-0.005</f>
        <v>4.7999999999999421</v>
      </c>
      <c r="H487" s="1">
        <f t="shared" si="102"/>
        <v>0</v>
      </c>
      <c r="I487">
        <f t="shared" si="103"/>
        <v>0</v>
      </c>
      <c r="J487">
        <f t="shared" si="109"/>
        <v>0</v>
      </c>
      <c r="K487">
        <f t="shared" si="109"/>
        <v>0</v>
      </c>
      <c r="L487">
        <f t="shared" si="109"/>
        <v>0</v>
      </c>
      <c r="M487">
        <f t="shared" si="109"/>
        <v>0</v>
      </c>
      <c r="N487">
        <f t="shared" si="109"/>
        <v>0</v>
      </c>
      <c r="O487">
        <f t="shared" si="109"/>
        <v>0</v>
      </c>
      <c r="P487">
        <f t="shared" si="109"/>
        <v>0</v>
      </c>
      <c r="Q487">
        <f t="shared" si="109"/>
        <v>0</v>
      </c>
      <c r="R487">
        <f t="shared" si="109"/>
        <v>0</v>
      </c>
      <c r="S487">
        <f t="shared" si="109"/>
        <v>0</v>
      </c>
      <c r="T487">
        <f t="shared" si="109"/>
        <v>0</v>
      </c>
      <c r="U487">
        <f t="shared" si="109"/>
        <v>0</v>
      </c>
      <c r="V487">
        <f t="shared" si="109"/>
        <v>0</v>
      </c>
      <c r="W487">
        <f t="shared" si="109"/>
        <v>0</v>
      </c>
      <c r="X487">
        <f t="shared" si="109"/>
        <v>0</v>
      </c>
      <c r="Y487">
        <f t="shared" si="109"/>
        <v>0</v>
      </c>
      <c r="Z487">
        <f t="shared" si="108"/>
        <v>0</v>
      </c>
      <c r="AA487">
        <f t="shared" si="108"/>
        <v>0</v>
      </c>
      <c r="AB487">
        <f t="shared" si="108"/>
        <v>0</v>
      </c>
      <c r="AC487">
        <f t="shared" si="108"/>
        <v>0</v>
      </c>
      <c r="AD487">
        <f t="shared" si="108"/>
        <v>0</v>
      </c>
      <c r="AE487">
        <f t="shared" si="108"/>
        <v>0</v>
      </c>
      <c r="AF487">
        <f t="shared" si="108"/>
        <v>0</v>
      </c>
      <c r="AG487">
        <f t="shared" si="108"/>
        <v>0</v>
      </c>
      <c r="AH487">
        <f t="shared" si="108"/>
        <v>0</v>
      </c>
      <c r="AI487">
        <f t="shared" si="108"/>
        <v>0</v>
      </c>
      <c r="AJ487">
        <f t="shared" si="108"/>
        <v>0</v>
      </c>
      <c r="AK487">
        <f t="shared" si="106"/>
        <v>0</v>
      </c>
      <c r="AL487">
        <f t="shared" si="106"/>
        <v>0</v>
      </c>
      <c r="AM487">
        <f t="shared" si="106"/>
        <v>0</v>
      </c>
      <c r="AN487">
        <f t="shared" si="106"/>
        <v>0</v>
      </c>
      <c r="AO487">
        <f t="shared" si="106"/>
        <v>0</v>
      </c>
      <c r="AP487">
        <f t="shared" si="106"/>
        <v>0</v>
      </c>
      <c r="AQ487">
        <f t="shared" si="106"/>
        <v>0</v>
      </c>
      <c r="AR487">
        <f t="shared" si="106"/>
        <v>0</v>
      </c>
    </row>
    <row r="488" spans="5:44" x14ac:dyDescent="0.2">
      <c r="E488" s="1">
        <f>moment_rate!$M488</f>
        <v>5.6633822238575916E-2</v>
      </c>
      <c r="F488" s="1">
        <f t="shared" si="101"/>
        <v>1.0281375365566656E-3</v>
      </c>
      <c r="G488">
        <f>moment_rate!I488-0.005</f>
        <v>4.8099999999999419</v>
      </c>
      <c r="H488" s="1">
        <f t="shared" si="102"/>
        <v>0</v>
      </c>
      <c r="I488">
        <f t="shared" ref="I488:I519" si="110">IF(AND($G488&gt;=I$3,$G488&lt;I$4),$F488,0)</f>
        <v>0</v>
      </c>
      <c r="J488">
        <f t="shared" si="109"/>
        <v>0</v>
      </c>
      <c r="K488">
        <f t="shared" si="109"/>
        <v>0</v>
      </c>
      <c r="L488">
        <f t="shared" si="109"/>
        <v>0</v>
      </c>
      <c r="M488">
        <f t="shared" si="109"/>
        <v>0</v>
      </c>
      <c r="N488">
        <f t="shared" si="109"/>
        <v>0</v>
      </c>
      <c r="O488">
        <f t="shared" si="109"/>
        <v>0</v>
      </c>
      <c r="P488">
        <f t="shared" si="109"/>
        <v>0</v>
      </c>
      <c r="Q488">
        <f t="shared" si="109"/>
        <v>0</v>
      </c>
      <c r="R488">
        <f t="shared" si="109"/>
        <v>0</v>
      </c>
      <c r="S488">
        <f t="shared" si="109"/>
        <v>0</v>
      </c>
      <c r="T488">
        <f t="shared" si="109"/>
        <v>0</v>
      </c>
      <c r="U488">
        <f t="shared" si="109"/>
        <v>0</v>
      </c>
      <c r="V488">
        <f t="shared" si="109"/>
        <v>0</v>
      </c>
      <c r="W488">
        <f t="shared" si="109"/>
        <v>0</v>
      </c>
      <c r="X488">
        <f t="shared" si="109"/>
        <v>0</v>
      </c>
      <c r="Y488">
        <f t="shared" si="109"/>
        <v>0</v>
      </c>
      <c r="Z488">
        <f t="shared" si="108"/>
        <v>0</v>
      </c>
      <c r="AA488">
        <f t="shared" si="108"/>
        <v>0</v>
      </c>
      <c r="AB488">
        <f t="shared" si="108"/>
        <v>0</v>
      </c>
      <c r="AC488">
        <f t="shared" si="108"/>
        <v>0</v>
      </c>
      <c r="AD488">
        <f t="shared" si="108"/>
        <v>0</v>
      </c>
      <c r="AE488">
        <f t="shared" si="108"/>
        <v>0</v>
      </c>
      <c r="AF488">
        <f t="shared" si="108"/>
        <v>0</v>
      </c>
      <c r="AG488">
        <f t="shared" si="108"/>
        <v>0</v>
      </c>
      <c r="AH488">
        <f t="shared" si="108"/>
        <v>0</v>
      </c>
      <c r="AI488">
        <f t="shared" si="108"/>
        <v>0</v>
      </c>
      <c r="AJ488">
        <f t="shared" si="108"/>
        <v>0</v>
      </c>
      <c r="AK488">
        <f t="shared" si="106"/>
        <v>0</v>
      </c>
      <c r="AL488">
        <f t="shared" si="106"/>
        <v>0</v>
      </c>
      <c r="AM488">
        <f t="shared" si="106"/>
        <v>0</v>
      </c>
      <c r="AN488">
        <f t="shared" si="106"/>
        <v>0</v>
      </c>
      <c r="AO488">
        <f t="shared" si="106"/>
        <v>0</v>
      </c>
      <c r="AP488">
        <f t="shared" si="106"/>
        <v>0</v>
      </c>
      <c r="AQ488">
        <f t="shared" si="106"/>
        <v>0</v>
      </c>
      <c r="AR488">
        <f t="shared" si="106"/>
        <v>0</v>
      </c>
    </row>
    <row r="489" spans="5:44" x14ac:dyDescent="0.2">
      <c r="E489" s="1">
        <f>moment_rate!$M489</f>
        <v>5.5605684702019251E-2</v>
      </c>
      <c r="F489" s="1">
        <f t="shared" si="101"/>
        <v>1.0070504206800279E-3</v>
      </c>
      <c r="G489">
        <f>moment_rate!I489-0.005</f>
        <v>4.8199999999999417</v>
      </c>
      <c r="H489" s="1">
        <f t="shared" si="102"/>
        <v>0</v>
      </c>
      <c r="I489">
        <f t="shared" si="110"/>
        <v>0</v>
      </c>
      <c r="J489">
        <f t="shared" si="109"/>
        <v>0</v>
      </c>
      <c r="K489">
        <f t="shared" si="109"/>
        <v>0</v>
      </c>
      <c r="L489">
        <f t="shared" si="109"/>
        <v>0</v>
      </c>
      <c r="M489">
        <f t="shared" si="109"/>
        <v>0</v>
      </c>
      <c r="N489">
        <f t="shared" si="109"/>
        <v>0</v>
      </c>
      <c r="O489">
        <f t="shared" si="109"/>
        <v>0</v>
      </c>
      <c r="P489">
        <f t="shared" si="109"/>
        <v>0</v>
      </c>
      <c r="Q489">
        <f t="shared" si="109"/>
        <v>0</v>
      </c>
      <c r="R489">
        <f t="shared" si="109"/>
        <v>0</v>
      </c>
      <c r="S489">
        <f t="shared" si="109"/>
        <v>0</v>
      </c>
      <c r="T489">
        <f t="shared" si="109"/>
        <v>0</v>
      </c>
      <c r="U489">
        <f t="shared" si="109"/>
        <v>0</v>
      </c>
      <c r="V489">
        <f t="shared" si="109"/>
        <v>0</v>
      </c>
      <c r="W489">
        <f t="shared" si="109"/>
        <v>0</v>
      </c>
      <c r="X489">
        <f t="shared" si="109"/>
        <v>0</v>
      </c>
      <c r="Y489">
        <f t="shared" si="109"/>
        <v>0</v>
      </c>
      <c r="Z489">
        <f t="shared" si="108"/>
        <v>0</v>
      </c>
      <c r="AA489">
        <f t="shared" si="108"/>
        <v>0</v>
      </c>
      <c r="AB489">
        <f t="shared" si="108"/>
        <v>0</v>
      </c>
      <c r="AC489">
        <f t="shared" si="108"/>
        <v>0</v>
      </c>
      <c r="AD489">
        <f t="shared" si="108"/>
        <v>0</v>
      </c>
      <c r="AE489">
        <f t="shared" si="108"/>
        <v>0</v>
      </c>
      <c r="AF489">
        <f t="shared" si="108"/>
        <v>0</v>
      </c>
      <c r="AG489">
        <f t="shared" si="108"/>
        <v>0</v>
      </c>
      <c r="AH489">
        <f t="shared" si="108"/>
        <v>0</v>
      </c>
      <c r="AI489">
        <f t="shared" si="108"/>
        <v>0</v>
      </c>
      <c r="AJ489">
        <f t="shared" si="108"/>
        <v>0</v>
      </c>
      <c r="AK489">
        <f t="shared" si="106"/>
        <v>0</v>
      </c>
      <c r="AL489">
        <f t="shared" si="106"/>
        <v>0</v>
      </c>
      <c r="AM489">
        <f t="shared" si="106"/>
        <v>0</v>
      </c>
      <c r="AN489">
        <f t="shared" si="106"/>
        <v>0</v>
      </c>
      <c r="AO489">
        <f t="shared" si="106"/>
        <v>0</v>
      </c>
      <c r="AP489">
        <f t="shared" si="106"/>
        <v>0</v>
      </c>
      <c r="AQ489">
        <f t="shared" si="106"/>
        <v>0</v>
      </c>
      <c r="AR489">
        <f t="shared" si="106"/>
        <v>0</v>
      </c>
    </row>
    <row r="490" spans="5:44" x14ac:dyDescent="0.2">
      <c r="E490" s="1">
        <f>moment_rate!$M490</f>
        <v>5.4598634281339223E-2</v>
      </c>
      <c r="F490" s="1">
        <f t="shared" si="101"/>
        <v>9.8639580185770626E-4</v>
      </c>
      <c r="G490">
        <f>moment_rate!I490-0.005</f>
        <v>4.8299999999999415</v>
      </c>
      <c r="H490" s="1">
        <f t="shared" si="102"/>
        <v>0</v>
      </c>
      <c r="I490">
        <f t="shared" si="110"/>
        <v>0</v>
      </c>
      <c r="J490">
        <f t="shared" si="109"/>
        <v>0</v>
      </c>
      <c r="K490">
        <f t="shared" si="109"/>
        <v>0</v>
      </c>
      <c r="L490">
        <f t="shared" si="109"/>
        <v>0</v>
      </c>
      <c r="M490">
        <f t="shared" si="109"/>
        <v>0</v>
      </c>
      <c r="N490">
        <f t="shared" si="109"/>
        <v>0</v>
      </c>
      <c r="O490">
        <f t="shared" si="109"/>
        <v>0</v>
      </c>
      <c r="P490">
        <f t="shared" si="109"/>
        <v>0</v>
      </c>
      <c r="Q490">
        <f t="shared" si="109"/>
        <v>0</v>
      </c>
      <c r="R490">
        <f t="shared" si="109"/>
        <v>0</v>
      </c>
      <c r="S490">
        <f t="shared" si="109"/>
        <v>0</v>
      </c>
      <c r="T490">
        <f t="shared" si="109"/>
        <v>0</v>
      </c>
      <c r="U490">
        <f t="shared" si="109"/>
        <v>0</v>
      </c>
      <c r="V490">
        <f t="shared" si="109"/>
        <v>0</v>
      </c>
      <c r="W490">
        <f t="shared" si="109"/>
        <v>0</v>
      </c>
      <c r="X490">
        <f t="shared" si="109"/>
        <v>0</v>
      </c>
      <c r="Y490">
        <f t="shared" ref="Y490:AN505" si="111">IF(AND($G490&gt;=Y$3,$G490&lt;Y$4),$F490,0)</f>
        <v>0</v>
      </c>
      <c r="Z490">
        <f t="shared" si="111"/>
        <v>0</v>
      </c>
      <c r="AA490">
        <f t="shared" si="111"/>
        <v>0</v>
      </c>
      <c r="AB490">
        <f t="shared" si="111"/>
        <v>0</v>
      </c>
      <c r="AC490">
        <f t="shared" si="111"/>
        <v>0</v>
      </c>
      <c r="AD490">
        <f t="shared" si="111"/>
        <v>0</v>
      </c>
      <c r="AE490">
        <f t="shared" si="111"/>
        <v>0</v>
      </c>
      <c r="AF490">
        <f t="shared" si="111"/>
        <v>0</v>
      </c>
      <c r="AG490">
        <f t="shared" si="111"/>
        <v>0</v>
      </c>
      <c r="AH490">
        <f t="shared" si="111"/>
        <v>0</v>
      </c>
      <c r="AI490">
        <f t="shared" si="111"/>
        <v>0</v>
      </c>
      <c r="AJ490">
        <f t="shared" si="111"/>
        <v>0</v>
      </c>
      <c r="AK490">
        <f t="shared" si="111"/>
        <v>0</v>
      </c>
      <c r="AL490">
        <f t="shared" si="111"/>
        <v>0</v>
      </c>
      <c r="AM490">
        <f t="shared" si="111"/>
        <v>0</v>
      </c>
      <c r="AN490">
        <f t="shared" si="111"/>
        <v>0</v>
      </c>
      <c r="AO490">
        <f t="shared" si="106"/>
        <v>0</v>
      </c>
      <c r="AP490">
        <f t="shared" si="106"/>
        <v>0</v>
      </c>
      <c r="AQ490">
        <f t="shared" si="106"/>
        <v>0</v>
      </c>
      <c r="AR490">
        <f t="shared" si="106"/>
        <v>0</v>
      </c>
    </row>
    <row r="491" spans="5:44" x14ac:dyDescent="0.2">
      <c r="E491" s="1">
        <f>moment_rate!$M491</f>
        <v>5.3612238479481517E-2</v>
      </c>
      <c r="F491" s="1">
        <f t="shared" si="101"/>
        <v>9.6616480956879941E-4</v>
      </c>
      <c r="G491">
        <f>moment_rate!I491-0.005</f>
        <v>4.8399999999999412</v>
      </c>
      <c r="H491" s="1">
        <f t="shared" si="102"/>
        <v>0</v>
      </c>
      <c r="I491">
        <f t="shared" si="110"/>
        <v>0</v>
      </c>
      <c r="J491">
        <f t="shared" ref="J491:Y506" si="112">IF(AND($G491&gt;=J$3,$G491&lt;J$4),$F491,0)</f>
        <v>0</v>
      </c>
      <c r="K491">
        <f t="shared" si="112"/>
        <v>0</v>
      </c>
      <c r="L491">
        <f t="shared" si="112"/>
        <v>0</v>
      </c>
      <c r="M491">
        <f t="shared" si="112"/>
        <v>0</v>
      </c>
      <c r="N491">
        <f t="shared" si="112"/>
        <v>0</v>
      </c>
      <c r="O491">
        <f t="shared" si="112"/>
        <v>0</v>
      </c>
      <c r="P491">
        <f t="shared" si="112"/>
        <v>0</v>
      </c>
      <c r="Q491">
        <f t="shared" si="112"/>
        <v>0</v>
      </c>
      <c r="R491">
        <f t="shared" si="112"/>
        <v>0</v>
      </c>
      <c r="S491">
        <f t="shared" si="112"/>
        <v>0</v>
      </c>
      <c r="T491">
        <f t="shared" si="112"/>
        <v>0</v>
      </c>
      <c r="U491">
        <f t="shared" si="112"/>
        <v>0</v>
      </c>
      <c r="V491">
        <f t="shared" si="112"/>
        <v>0</v>
      </c>
      <c r="W491">
        <f t="shared" si="112"/>
        <v>0</v>
      </c>
      <c r="X491">
        <f t="shared" si="112"/>
        <v>0</v>
      </c>
      <c r="Y491">
        <f t="shared" si="112"/>
        <v>0</v>
      </c>
      <c r="Z491">
        <f t="shared" si="111"/>
        <v>0</v>
      </c>
      <c r="AA491">
        <f t="shared" si="111"/>
        <v>0</v>
      </c>
      <c r="AB491">
        <f t="shared" si="111"/>
        <v>0</v>
      </c>
      <c r="AC491">
        <f t="shared" si="111"/>
        <v>0</v>
      </c>
      <c r="AD491">
        <f t="shared" si="111"/>
        <v>0</v>
      </c>
      <c r="AE491">
        <f t="shared" si="111"/>
        <v>0</v>
      </c>
      <c r="AF491">
        <f t="shared" si="111"/>
        <v>0</v>
      </c>
      <c r="AG491">
        <f t="shared" si="111"/>
        <v>0</v>
      </c>
      <c r="AH491">
        <f t="shared" si="111"/>
        <v>0</v>
      </c>
      <c r="AI491">
        <f t="shared" si="111"/>
        <v>0</v>
      </c>
      <c r="AJ491">
        <f t="shared" si="111"/>
        <v>0</v>
      </c>
      <c r="AK491">
        <f t="shared" si="111"/>
        <v>0</v>
      </c>
      <c r="AL491">
        <f t="shared" si="111"/>
        <v>0</v>
      </c>
      <c r="AM491">
        <f t="shared" si="111"/>
        <v>0</v>
      </c>
      <c r="AN491">
        <f t="shared" si="111"/>
        <v>0</v>
      </c>
      <c r="AO491">
        <f t="shared" si="106"/>
        <v>0</v>
      </c>
      <c r="AP491">
        <f t="shared" si="106"/>
        <v>0</v>
      </c>
      <c r="AQ491">
        <f t="shared" si="106"/>
        <v>0</v>
      </c>
      <c r="AR491">
        <f t="shared" si="106"/>
        <v>0</v>
      </c>
    </row>
    <row r="492" spans="5:44" x14ac:dyDescent="0.2">
      <c r="E492" s="1">
        <f>moment_rate!$M492</f>
        <v>5.2646073669912717E-2</v>
      </c>
      <c r="F492" s="1">
        <f t="shared" si="101"/>
        <v>9.4634875522692924E-4</v>
      </c>
      <c r="G492">
        <f>moment_rate!I492-0.005</f>
        <v>4.849999999999941</v>
      </c>
      <c r="H492" s="1">
        <f t="shared" si="102"/>
        <v>0</v>
      </c>
      <c r="I492">
        <f t="shared" si="110"/>
        <v>0</v>
      </c>
      <c r="J492">
        <f t="shared" si="112"/>
        <v>0</v>
      </c>
      <c r="K492">
        <f t="shared" si="112"/>
        <v>0</v>
      </c>
      <c r="L492">
        <f t="shared" si="112"/>
        <v>0</v>
      </c>
      <c r="M492">
        <f t="shared" si="112"/>
        <v>0</v>
      </c>
      <c r="N492">
        <f t="shared" si="112"/>
        <v>0</v>
      </c>
      <c r="O492">
        <f t="shared" si="112"/>
        <v>0</v>
      </c>
      <c r="P492">
        <f t="shared" si="112"/>
        <v>0</v>
      </c>
      <c r="Q492">
        <f t="shared" si="112"/>
        <v>0</v>
      </c>
      <c r="R492">
        <f t="shared" si="112"/>
        <v>0</v>
      </c>
      <c r="S492">
        <f t="shared" si="112"/>
        <v>0</v>
      </c>
      <c r="T492">
        <f t="shared" si="112"/>
        <v>0</v>
      </c>
      <c r="U492">
        <f t="shared" si="112"/>
        <v>0</v>
      </c>
      <c r="V492">
        <f t="shared" si="112"/>
        <v>0</v>
      </c>
      <c r="W492">
        <f t="shared" si="112"/>
        <v>0</v>
      </c>
      <c r="X492">
        <f t="shared" si="112"/>
        <v>0</v>
      </c>
      <c r="Y492">
        <f t="shared" si="112"/>
        <v>0</v>
      </c>
      <c r="Z492">
        <f t="shared" si="111"/>
        <v>0</v>
      </c>
      <c r="AA492">
        <f t="shared" si="111"/>
        <v>0</v>
      </c>
      <c r="AB492">
        <f t="shared" si="111"/>
        <v>0</v>
      </c>
      <c r="AC492">
        <f t="shared" si="111"/>
        <v>0</v>
      </c>
      <c r="AD492">
        <f t="shared" si="111"/>
        <v>0</v>
      </c>
      <c r="AE492">
        <f t="shared" si="111"/>
        <v>0</v>
      </c>
      <c r="AF492">
        <f t="shared" si="111"/>
        <v>0</v>
      </c>
      <c r="AG492">
        <f t="shared" si="111"/>
        <v>0</v>
      </c>
      <c r="AH492">
        <f t="shared" si="111"/>
        <v>0</v>
      </c>
      <c r="AI492">
        <f t="shared" si="111"/>
        <v>0</v>
      </c>
      <c r="AJ492">
        <f t="shared" si="111"/>
        <v>0</v>
      </c>
      <c r="AK492">
        <f t="shared" si="111"/>
        <v>0</v>
      </c>
      <c r="AL492">
        <f t="shared" si="111"/>
        <v>0</v>
      </c>
      <c r="AM492">
        <f t="shared" si="111"/>
        <v>0</v>
      </c>
      <c r="AN492">
        <f t="shared" si="111"/>
        <v>0</v>
      </c>
      <c r="AO492">
        <f t="shared" si="106"/>
        <v>0</v>
      </c>
      <c r="AP492">
        <f t="shared" si="106"/>
        <v>0</v>
      </c>
      <c r="AQ492">
        <f t="shared" si="106"/>
        <v>0</v>
      </c>
      <c r="AR492">
        <f t="shared" si="106"/>
        <v>0</v>
      </c>
    </row>
    <row r="493" spans="5:44" x14ac:dyDescent="0.2">
      <c r="E493" s="1">
        <f>moment_rate!$M493</f>
        <v>5.1699724914685788E-2</v>
      </c>
      <c r="F493" s="1">
        <f t="shared" si="101"/>
        <v>9.2693912844878795E-4</v>
      </c>
      <c r="G493">
        <f>moment_rate!I493-0.005</f>
        <v>4.8599999999999408</v>
      </c>
      <c r="H493" s="1">
        <f t="shared" si="102"/>
        <v>0</v>
      </c>
      <c r="I493">
        <f t="shared" si="110"/>
        <v>0</v>
      </c>
      <c r="J493">
        <f t="shared" si="112"/>
        <v>0</v>
      </c>
      <c r="K493">
        <f t="shared" si="112"/>
        <v>0</v>
      </c>
      <c r="L493">
        <f t="shared" si="112"/>
        <v>0</v>
      </c>
      <c r="M493">
        <f t="shared" si="112"/>
        <v>0</v>
      </c>
      <c r="N493">
        <f t="shared" si="112"/>
        <v>0</v>
      </c>
      <c r="O493">
        <f t="shared" si="112"/>
        <v>0</v>
      </c>
      <c r="P493">
        <f t="shared" si="112"/>
        <v>0</v>
      </c>
      <c r="Q493">
        <f t="shared" si="112"/>
        <v>0</v>
      </c>
      <c r="R493">
        <f t="shared" si="112"/>
        <v>0</v>
      </c>
      <c r="S493">
        <f t="shared" si="112"/>
        <v>0</v>
      </c>
      <c r="T493">
        <f t="shared" si="112"/>
        <v>0</v>
      </c>
      <c r="U493">
        <f t="shared" si="112"/>
        <v>0</v>
      </c>
      <c r="V493">
        <f t="shared" si="112"/>
        <v>0</v>
      </c>
      <c r="W493">
        <f t="shared" si="112"/>
        <v>0</v>
      </c>
      <c r="X493">
        <f t="shared" si="112"/>
        <v>0</v>
      </c>
      <c r="Y493">
        <f t="shared" si="112"/>
        <v>0</v>
      </c>
      <c r="Z493">
        <f t="shared" si="111"/>
        <v>0</v>
      </c>
      <c r="AA493">
        <f t="shared" si="111"/>
        <v>0</v>
      </c>
      <c r="AB493">
        <f t="shared" si="111"/>
        <v>0</v>
      </c>
      <c r="AC493">
        <f t="shared" si="111"/>
        <v>0</v>
      </c>
      <c r="AD493">
        <f t="shared" si="111"/>
        <v>0</v>
      </c>
      <c r="AE493">
        <f t="shared" si="111"/>
        <v>0</v>
      </c>
      <c r="AF493">
        <f t="shared" si="111"/>
        <v>0</v>
      </c>
      <c r="AG493">
        <f t="shared" si="111"/>
        <v>0</v>
      </c>
      <c r="AH493">
        <f t="shared" si="111"/>
        <v>0</v>
      </c>
      <c r="AI493">
        <f t="shared" si="111"/>
        <v>0</v>
      </c>
      <c r="AJ493">
        <f t="shared" si="111"/>
        <v>0</v>
      </c>
      <c r="AK493">
        <f t="shared" si="111"/>
        <v>0</v>
      </c>
      <c r="AL493">
        <f t="shared" si="111"/>
        <v>0</v>
      </c>
      <c r="AM493">
        <f t="shared" si="111"/>
        <v>0</v>
      </c>
      <c r="AN493">
        <f t="shared" si="111"/>
        <v>0</v>
      </c>
      <c r="AO493">
        <f t="shared" si="106"/>
        <v>0</v>
      </c>
      <c r="AP493">
        <f t="shared" si="106"/>
        <v>0</v>
      </c>
      <c r="AQ493">
        <f t="shared" si="106"/>
        <v>0</v>
      </c>
      <c r="AR493">
        <f t="shared" si="106"/>
        <v>0</v>
      </c>
    </row>
    <row r="494" spans="5:44" x14ac:dyDescent="0.2">
      <c r="E494" s="1">
        <f>moment_rate!$M494</f>
        <v>5.0772785786237E-2</v>
      </c>
      <c r="F494" s="1">
        <f t="shared" si="101"/>
        <v>9.0792759339904106E-4</v>
      </c>
      <c r="G494">
        <f>moment_rate!I494-0.005</f>
        <v>4.8699999999999406</v>
      </c>
      <c r="H494" s="1">
        <f t="shared" si="102"/>
        <v>0</v>
      </c>
      <c r="I494">
        <f t="shared" si="110"/>
        <v>0</v>
      </c>
      <c r="J494">
        <f t="shared" si="112"/>
        <v>0</v>
      </c>
      <c r="K494">
        <f t="shared" si="112"/>
        <v>0</v>
      </c>
      <c r="L494">
        <f t="shared" si="112"/>
        <v>0</v>
      </c>
      <c r="M494">
        <f t="shared" si="112"/>
        <v>0</v>
      </c>
      <c r="N494">
        <f t="shared" si="112"/>
        <v>0</v>
      </c>
      <c r="O494">
        <f t="shared" si="112"/>
        <v>0</v>
      </c>
      <c r="P494">
        <f t="shared" si="112"/>
        <v>0</v>
      </c>
      <c r="Q494">
        <f t="shared" si="112"/>
        <v>0</v>
      </c>
      <c r="R494">
        <f t="shared" si="112"/>
        <v>0</v>
      </c>
      <c r="S494">
        <f t="shared" si="112"/>
        <v>0</v>
      </c>
      <c r="T494">
        <f t="shared" si="112"/>
        <v>0</v>
      </c>
      <c r="U494">
        <f t="shared" si="112"/>
        <v>0</v>
      </c>
      <c r="V494">
        <f t="shared" si="112"/>
        <v>0</v>
      </c>
      <c r="W494">
        <f t="shared" si="112"/>
        <v>0</v>
      </c>
      <c r="X494">
        <f t="shared" si="112"/>
        <v>0</v>
      </c>
      <c r="Y494">
        <f t="shared" si="112"/>
        <v>0</v>
      </c>
      <c r="Z494">
        <f t="shared" si="111"/>
        <v>0</v>
      </c>
      <c r="AA494">
        <f t="shared" si="111"/>
        <v>0</v>
      </c>
      <c r="AB494">
        <f t="shared" si="111"/>
        <v>0</v>
      </c>
      <c r="AC494">
        <f t="shared" si="111"/>
        <v>0</v>
      </c>
      <c r="AD494">
        <f t="shared" si="111"/>
        <v>0</v>
      </c>
      <c r="AE494">
        <f t="shared" si="111"/>
        <v>0</v>
      </c>
      <c r="AF494">
        <f t="shared" si="111"/>
        <v>0</v>
      </c>
      <c r="AG494">
        <f t="shared" si="111"/>
        <v>0</v>
      </c>
      <c r="AH494">
        <f t="shared" si="111"/>
        <v>0</v>
      </c>
      <c r="AI494">
        <f t="shared" si="111"/>
        <v>0</v>
      </c>
      <c r="AJ494">
        <f t="shared" si="111"/>
        <v>0</v>
      </c>
      <c r="AK494">
        <f t="shared" si="111"/>
        <v>0</v>
      </c>
      <c r="AL494">
        <f t="shared" si="111"/>
        <v>0</v>
      </c>
      <c r="AM494">
        <f t="shared" si="111"/>
        <v>0</v>
      </c>
      <c r="AN494">
        <f t="shared" si="111"/>
        <v>0</v>
      </c>
      <c r="AO494">
        <f t="shared" si="106"/>
        <v>0</v>
      </c>
      <c r="AP494">
        <f t="shared" si="106"/>
        <v>0</v>
      </c>
      <c r="AQ494">
        <f t="shared" si="106"/>
        <v>0</v>
      </c>
      <c r="AR494">
        <f t="shared" si="106"/>
        <v>0</v>
      </c>
    </row>
    <row r="495" spans="5:44" x14ac:dyDescent="0.2">
      <c r="E495" s="1">
        <f>moment_rate!$M495</f>
        <v>4.9864858192837959E-2</v>
      </c>
      <c r="F495" s="1">
        <f t="shared" si="101"/>
        <v>8.8930598521059362E-4</v>
      </c>
      <c r="G495">
        <f>moment_rate!I495-0.005</f>
        <v>4.8799999999999404</v>
      </c>
      <c r="H495" s="1">
        <f t="shared" si="102"/>
        <v>0</v>
      </c>
      <c r="I495">
        <f t="shared" si="110"/>
        <v>0</v>
      </c>
      <c r="J495">
        <f t="shared" si="112"/>
        <v>0</v>
      </c>
      <c r="K495">
        <f t="shared" si="112"/>
        <v>0</v>
      </c>
      <c r="L495">
        <f t="shared" si="112"/>
        <v>0</v>
      </c>
      <c r="M495">
        <f t="shared" si="112"/>
        <v>0</v>
      </c>
      <c r="N495">
        <f t="shared" si="112"/>
        <v>0</v>
      </c>
      <c r="O495">
        <f t="shared" si="112"/>
        <v>0</v>
      </c>
      <c r="P495">
        <f t="shared" si="112"/>
        <v>0</v>
      </c>
      <c r="Q495">
        <f t="shared" si="112"/>
        <v>0</v>
      </c>
      <c r="R495">
        <f t="shared" si="112"/>
        <v>0</v>
      </c>
      <c r="S495">
        <f t="shared" si="112"/>
        <v>0</v>
      </c>
      <c r="T495">
        <f t="shared" si="112"/>
        <v>0</v>
      </c>
      <c r="U495">
        <f t="shared" si="112"/>
        <v>0</v>
      </c>
      <c r="V495">
        <f t="shared" si="112"/>
        <v>0</v>
      </c>
      <c r="W495">
        <f t="shared" si="112"/>
        <v>0</v>
      </c>
      <c r="X495">
        <f t="shared" si="112"/>
        <v>0</v>
      </c>
      <c r="Y495">
        <f t="shared" si="112"/>
        <v>0</v>
      </c>
      <c r="Z495">
        <f t="shared" si="111"/>
        <v>0</v>
      </c>
      <c r="AA495">
        <f t="shared" si="111"/>
        <v>0</v>
      </c>
      <c r="AB495">
        <f t="shared" si="111"/>
        <v>0</v>
      </c>
      <c r="AC495">
        <f t="shared" si="111"/>
        <v>0</v>
      </c>
      <c r="AD495">
        <f t="shared" si="111"/>
        <v>0</v>
      </c>
      <c r="AE495">
        <f t="shared" si="111"/>
        <v>0</v>
      </c>
      <c r="AF495">
        <f t="shared" si="111"/>
        <v>0</v>
      </c>
      <c r="AG495">
        <f t="shared" si="111"/>
        <v>0</v>
      </c>
      <c r="AH495">
        <f t="shared" si="111"/>
        <v>0</v>
      </c>
      <c r="AI495">
        <f t="shared" si="111"/>
        <v>0</v>
      </c>
      <c r="AJ495">
        <f t="shared" si="111"/>
        <v>0</v>
      </c>
      <c r="AK495">
        <f t="shared" si="111"/>
        <v>0</v>
      </c>
      <c r="AL495">
        <f t="shared" si="111"/>
        <v>0</v>
      </c>
      <c r="AM495">
        <f t="shared" si="111"/>
        <v>0</v>
      </c>
      <c r="AN495">
        <f t="shared" si="111"/>
        <v>0</v>
      </c>
      <c r="AO495">
        <f t="shared" si="106"/>
        <v>0</v>
      </c>
      <c r="AP495">
        <f t="shared" si="106"/>
        <v>0</v>
      </c>
      <c r="AQ495">
        <f t="shared" si="106"/>
        <v>0</v>
      </c>
      <c r="AR495">
        <f t="shared" si="106"/>
        <v>0</v>
      </c>
    </row>
    <row r="496" spans="5:44" x14ac:dyDescent="0.2">
      <c r="E496" s="1">
        <f>moment_rate!$M496</f>
        <v>4.8975552207627365E-2</v>
      </c>
      <c r="F496" s="1">
        <f t="shared" si="101"/>
        <v>8.7106630647778432E-4</v>
      </c>
      <c r="G496">
        <f>moment_rate!I496-0.005</f>
        <v>4.8899999999999402</v>
      </c>
      <c r="H496" s="1">
        <f t="shared" si="102"/>
        <v>0</v>
      </c>
      <c r="I496">
        <f t="shared" si="110"/>
        <v>0</v>
      </c>
      <c r="J496">
        <f t="shared" si="112"/>
        <v>0</v>
      </c>
      <c r="K496">
        <f t="shared" si="112"/>
        <v>0</v>
      </c>
      <c r="L496">
        <f t="shared" si="112"/>
        <v>0</v>
      </c>
      <c r="M496">
        <f t="shared" si="112"/>
        <v>0</v>
      </c>
      <c r="N496">
        <f t="shared" si="112"/>
        <v>0</v>
      </c>
      <c r="O496">
        <f t="shared" si="112"/>
        <v>0</v>
      </c>
      <c r="P496">
        <f t="shared" si="112"/>
        <v>0</v>
      </c>
      <c r="Q496">
        <f t="shared" si="112"/>
        <v>0</v>
      </c>
      <c r="R496">
        <f t="shared" si="112"/>
        <v>0</v>
      </c>
      <c r="S496">
        <f t="shared" si="112"/>
        <v>0</v>
      </c>
      <c r="T496">
        <f t="shared" si="112"/>
        <v>0</v>
      </c>
      <c r="U496">
        <f t="shared" si="112"/>
        <v>0</v>
      </c>
      <c r="V496">
        <f t="shared" si="112"/>
        <v>0</v>
      </c>
      <c r="W496">
        <f t="shared" si="112"/>
        <v>0</v>
      </c>
      <c r="X496">
        <f t="shared" si="112"/>
        <v>0</v>
      </c>
      <c r="Y496">
        <f t="shared" si="112"/>
        <v>0</v>
      </c>
      <c r="Z496">
        <f t="shared" si="111"/>
        <v>0</v>
      </c>
      <c r="AA496">
        <f t="shared" si="111"/>
        <v>0</v>
      </c>
      <c r="AB496">
        <f t="shared" si="111"/>
        <v>0</v>
      </c>
      <c r="AC496">
        <f t="shared" si="111"/>
        <v>0</v>
      </c>
      <c r="AD496">
        <f t="shared" si="111"/>
        <v>0</v>
      </c>
      <c r="AE496">
        <f t="shared" si="111"/>
        <v>0</v>
      </c>
      <c r="AF496">
        <f t="shared" si="111"/>
        <v>0</v>
      </c>
      <c r="AG496">
        <f t="shared" si="111"/>
        <v>0</v>
      </c>
      <c r="AH496">
        <f t="shared" si="111"/>
        <v>0</v>
      </c>
      <c r="AI496">
        <f t="shared" si="111"/>
        <v>0</v>
      </c>
      <c r="AJ496">
        <f t="shared" si="111"/>
        <v>0</v>
      </c>
      <c r="AK496">
        <f t="shared" si="111"/>
        <v>0</v>
      </c>
      <c r="AL496">
        <f t="shared" si="111"/>
        <v>0</v>
      </c>
      <c r="AM496">
        <f t="shared" si="111"/>
        <v>0</v>
      </c>
      <c r="AN496">
        <f t="shared" si="111"/>
        <v>0</v>
      </c>
      <c r="AO496">
        <f t="shared" si="106"/>
        <v>0</v>
      </c>
      <c r="AP496">
        <f t="shared" si="106"/>
        <v>0</v>
      </c>
      <c r="AQ496">
        <f t="shared" si="106"/>
        <v>0</v>
      </c>
      <c r="AR496">
        <f t="shared" si="106"/>
        <v>0</v>
      </c>
    </row>
    <row r="497" spans="5:44" x14ac:dyDescent="0.2">
      <c r="E497" s="1">
        <f>moment_rate!$M497</f>
        <v>4.8104485901149581E-2</v>
      </c>
      <c r="F497" s="1">
        <f t="shared" si="101"/>
        <v>8.5320072382193829E-4</v>
      </c>
      <c r="G497">
        <f>moment_rate!I497-0.005</f>
        <v>4.89999999999994</v>
      </c>
      <c r="H497" s="1">
        <f t="shared" si="102"/>
        <v>0</v>
      </c>
      <c r="I497">
        <f t="shared" si="110"/>
        <v>0</v>
      </c>
      <c r="J497">
        <f t="shared" si="112"/>
        <v>0</v>
      </c>
      <c r="K497">
        <f t="shared" si="112"/>
        <v>0</v>
      </c>
      <c r="L497">
        <f t="shared" si="112"/>
        <v>0</v>
      </c>
      <c r="M497">
        <f t="shared" si="112"/>
        <v>0</v>
      </c>
      <c r="N497">
        <f t="shared" si="112"/>
        <v>0</v>
      </c>
      <c r="O497">
        <f t="shared" si="112"/>
        <v>0</v>
      </c>
      <c r="P497">
        <f t="shared" si="112"/>
        <v>0</v>
      </c>
      <c r="Q497">
        <f t="shared" si="112"/>
        <v>0</v>
      </c>
      <c r="R497">
        <f t="shared" si="112"/>
        <v>0</v>
      </c>
      <c r="S497">
        <f t="shared" si="112"/>
        <v>0</v>
      </c>
      <c r="T497">
        <f t="shared" si="112"/>
        <v>0</v>
      </c>
      <c r="U497">
        <f t="shared" si="112"/>
        <v>0</v>
      </c>
      <c r="V497">
        <f t="shared" si="112"/>
        <v>0</v>
      </c>
      <c r="W497">
        <f t="shared" si="112"/>
        <v>0</v>
      </c>
      <c r="X497">
        <f t="shared" si="112"/>
        <v>0</v>
      </c>
      <c r="Y497">
        <f t="shared" si="112"/>
        <v>0</v>
      </c>
      <c r="Z497">
        <f t="shared" si="111"/>
        <v>0</v>
      </c>
      <c r="AA497">
        <f t="shared" si="111"/>
        <v>0</v>
      </c>
      <c r="AB497">
        <f t="shared" si="111"/>
        <v>0</v>
      </c>
      <c r="AC497">
        <f t="shared" si="111"/>
        <v>0</v>
      </c>
      <c r="AD497">
        <f t="shared" si="111"/>
        <v>0</v>
      </c>
      <c r="AE497">
        <f t="shared" si="111"/>
        <v>0</v>
      </c>
      <c r="AF497">
        <f t="shared" si="111"/>
        <v>0</v>
      </c>
      <c r="AG497">
        <f t="shared" si="111"/>
        <v>0</v>
      </c>
      <c r="AH497">
        <f t="shared" si="111"/>
        <v>0</v>
      </c>
      <c r="AI497">
        <f t="shared" si="111"/>
        <v>0</v>
      </c>
      <c r="AJ497">
        <f t="shared" si="111"/>
        <v>0</v>
      </c>
      <c r="AK497">
        <f t="shared" si="111"/>
        <v>0</v>
      </c>
      <c r="AL497">
        <f t="shared" si="111"/>
        <v>0</v>
      </c>
      <c r="AM497">
        <f t="shared" si="111"/>
        <v>0</v>
      </c>
      <c r="AN497">
        <f t="shared" si="111"/>
        <v>0</v>
      </c>
      <c r="AO497">
        <f t="shared" si="106"/>
        <v>0</v>
      </c>
      <c r="AP497">
        <f t="shared" si="106"/>
        <v>0</v>
      </c>
      <c r="AQ497">
        <f t="shared" si="106"/>
        <v>0</v>
      </c>
      <c r="AR497">
        <f t="shared" si="106"/>
        <v>0</v>
      </c>
    </row>
    <row r="498" spans="5:44" x14ac:dyDescent="0.2">
      <c r="E498" s="1">
        <f>moment_rate!$M498</f>
        <v>4.7251285177327643E-2</v>
      </c>
      <c r="F498" s="1">
        <f t="shared" si="101"/>
        <v>8.3570156452703742E-4</v>
      </c>
      <c r="G498">
        <f>moment_rate!I498-0.005</f>
        <v>4.9099999999999397</v>
      </c>
      <c r="H498" s="1">
        <f t="shared" si="102"/>
        <v>0</v>
      </c>
      <c r="I498">
        <f t="shared" si="110"/>
        <v>0</v>
      </c>
      <c r="J498">
        <f t="shared" si="112"/>
        <v>0</v>
      </c>
      <c r="K498">
        <f t="shared" si="112"/>
        <v>0</v>
      </c>
      <c r="L498">
        <f t="shared" si="112"/>
        <v>0</v>
      </c>
      <c r="M498">
        <f t="shared" si="112"/>
        <v>0</v>
      </c>
      <c r="N498">
        <f t="shared" si="112"/>
        <v>0</v>
      </c>
      <c r="O498">
        <f t="shared" si="112"/>
        <v>0</v>
      </c>
      <c r="P498">
        <f t="shared" si="112"/>
        <v>0</v>
      </c>
      <c r="Q498">
        <f t="shared" si="112"/>
        <v>0</v>
      </c>
      <c r="R498">
        <f t="shared" si="112"/>
        <v>0</v>
      </c>
      <c r="S498">
        <f t="shared" si="112"/>
        <v>0</v>
      </c>
      <c r="T498">
        <f t="shared" si="112"/>
        <v>0</v>
      </c>
      <c r="U498">
        <f t="shared" si="112"/>
        <v>0</v>
      </c>
      <c r="V498">
        <f t="shared" si="112"/>
        <v>0</v>
      </c>
      <c r="W498">
        <f t="shared" si="112"/>
        <v>0</v>
      </c>
      <c r="X498">
        <f t="shared" si="112"/>
        <v>0</v>
      </c>
      <c r="Y498">
        <f t="shared" si="112"/>
        <v>0</v>
      </c>
      <c r="Z498">
        <f t="shared" si="111"/>
        <v>0</v>
      </c>
      <c r="AA498">
        <f t="shared" si="111"/>
        <v>0</v>
      </c>
      <c r="AB498">
        <f t="shared" si="111"/>
        <v>0</v>
      </c>
      <c r="AC498">
        <f t="shared" si="111"/>
        <v>0</v>
      </c>
      <c r="AD498">
        <f t="shared" si="111"/>
        <v>0</v>
      </c>
      <c r="AE498">
        <f t="shared" si="111"/>
        <v>0</v>
      </c>
      <c r="AF498">
        <f t="shared" si="111"/>
        <v>0</v>
      </c>
      <c r="AG498">
        <f t="shared" si="111"/>
        <v>0</v>
      </c>
      <c r="AH498">
        <f t="shared" si="111"/>
        <v>0</v>
      </c>
      <c r="AI498">
        <f t="shared" si="111"/>
        <v>0</v>
      </c>
      <c r="AJ498">
        <f t="shared" si="111"/>
        <v>0</v>
      </c>
      <c r="AK498">
        <f t="shared" si="111"/>
        <v>0</v>
      </c>
      <c r="AL498">
        <f t="shared" si="111"/>
        <v>0</v>
      </c>
      <c r="AM498">
        <f t="shared" si="111"/>
        <v>0</v>
      </c>
      <c r="AN498">
        <f t="shared" si="111"/>
        <v>0</v>
      </c>
      <c r="AO498">
        <f t="shared" si="106"/>
        <v>0</v>
      </c>
      <c r="AP498">
        <f t="shared" si="106"/>
        <v>0</v>
      </c>
      <c r="AQ498">
        <f t="shared" si="106"/>
        <v>0</v>
      </c>
      <c r="AR498">
        <f t="shared" si="106"/>
        <v>0</v>
      </c>
    </row>
    <row r="499" spans="5:44" x14ac:dyDescent="0.2">
      <c r="E499" s="1">
        <f>moment_rate!$M499</f>
        <v>4.6415583612800605E-2</v>
      </c>
      <c r="F499" s="1">
        <f t="shared" si="101"/>
        <v>8.1856131324462705E-4</v>
      </c>
      <c r="G499">
        <f>moment_rate!I499-0.005</f>
        <v>4.9199999999999395</v>
      </c>
      <c r="H499" s="1">
        <f t="shared" si="102"/>
        <v>0</v>
      </c>
      <c r="I499">
        <f t="shared" si="110"/>
        <v>0</v>
      </c>
      <c r="J499">
        <f t="shared" si="112"/>
        <v>0</v>
      </c>
      <c r="K499">
        <f t="shared" si="112"/>
        <v>0</v>
      </c>
      <c r="L499">
        <f t="shared" si="112"/>
        <v>0</v>
      </c>
      <c r="M499">
        <f t="shared" si="112"/>
        <v>0</v>
      </c>
      <c r="N499">
        <f t="shared" si="112"/>
        <v>0</v>
      </c>
      <c r="O499">
        <f t="shared" si="112"/>
        <v>0</v>
      </c>
      <c r="P499">
        <f t="shared" si="112"/>
        <v>0</v>
      </c>
      <c r="Q499">
        <f t="shared" si="112"/>
        <v>0</v>
      </c>
      <c r="R499">
        <f t="shared" si="112"/>
        <v>0</v>
      </c>
      <c r="S499">
        <f t="shared" si="112"/>
        <v>0</v>
      </c>
      <c r="T499">
        <f t="shared" si="112"/>
        <v>0</v>
      </c>
      <c r="U499">
        <f t="shared" si="112"/>
        <v>0</v>
      </c>
      <c r="V499">
        <f t="shared" si="112"/>
        <v>0</v>
      </c>
      <c r="W499">
        <f t="shared" si="112"/>
        <v>0</v>
      </c>
      <c r="X499">
        <f t="shared" si="112"/>
        <v>0</v>
      </c>
      <c r="Y499">
        <f t="shared" si="112"/>
        <v>0</v>
      </c>
      <c r="Z499">
        <f t="shared" si="111"/>
        <v>0</v>
      </c>
      <c r="AA499">
        <f t="shared" si="111"/>
        <v>0</v>
      </c>
      <c r="AB499">
        <f t="shared" si="111"/>
        <v>0</v>
      </c>
      <c r="AC499">
        <f t="shared" si="111"/>
        <v>0</v>
      </c>
      <c r="AD499">
        <f t="shared" si="111"/>
        <v>0</v>
      </c>
      <c r="AE499">
        <f t="shared" si="111"/>
        <v>0</v>
      </c>
      <c r="AF499">
        <f t="shared" si="111"/>
        <v>0</v>
      </c>
      <c r="AG499">
        <f t="shared" si="111"/>
        <v>0</v>
      </c>
      <c r="AH499">
        <f t="shared" si="111"/>
        <v>0</v>
      </c>
      <c r="AI499">
        <f t="shared" si="111"/>
        <v>0</v>
      </c>
      <c r="AJ499">
        <f t="shared" si="111"/>
        <v>0</v>
      </c>
      <c r="AK499">
        <f t="shared" si="111"/>
        <v>0</v>
      </c>
      <c r="AL499">
        <f t="shared" si="111"/>
        <v>0</v>
      </c>
      <c r="AM499">
        <f t="shared" si="111"/>
        <v>0</v>
      </c>
      <c r="AN499">
        <f t="shared" si="111"/>
        <v>0</v>
      </c>
      <c r="AO499">
        <f t="shared" si="106"/>
        <v>0</v>
      </c>
      <c r="AP499">
        <f t="shared" si="106"/>
        <v>0</v>
      </c>
      <c r="AQ499">
        <f t="shared" si="106"/>
        <v>0</v>
      </c>
      <c r="AR499">
        <f t="shared" si="106"/>
        <v>0</v>
      </c>
    </row>
    <row r="500" spans="5:44" x14ac:dyDescent="0.2">
      <c r="E500" s="1">
        <f>moment_rate!$M500</f>
        <v>4.5597022299555978E-2</v>
      </c>
      <c r="F500" s="1">
        <f t="shared" si="101"/>
        <v>8.0177260876609924E-4</v>
      </c>
      <c r="G500">
        <f>moment_rate!I500-0.005</f>
        <v>4.9299999999999393</v>
      </c>
      <c r="H500" s="1">
        <f t="shared" si="102"/>
        <v>0</v>
      </c>
      <c r="I500">
        <f t="shared" si="110"/>
        <v>0</v>
      </c>
      <c r="J500">
        <f t="shared" si="112"/>
        <v>0</v>
      </c>
      <c r="K500">
        <f t="shared" si="112"/>
        <v>0</v>
      </c>
      <c r="L500">
        <f t="shared" si="112"/>
        <v>0</v>
      </c>
      <c r="M500">
        <f t="shared" si="112"/>
        <v>0</v>
      </c>
      <c r="N500">
        <f t="shared" si="112"/>
        <v>0</v>
      </c>
      <c r="O500">
        <f t="shared" si="112"/>
        <v>0</v>
      </c>
      <c r="P500">
        <f t="shared" si="112"/>
        <v>0</v>
      </c>
      <c r="Q500">
        <f t="shared" si="112"/>
        <v>0</v>
      </c>
      <c r="R500">
        <f t="shared" si="112"/>
        <v>0</v>
      </c>
      <c r="S500">
        <f t="shared" si="112"/>
        <v>0</v>
      </c>
      <c r="T500">
        <f t="shared" si="112"/>
        <v>0</v>
      </c>
      <c r="U500">
        <f t="shared" si="112"/>
        <v>0</v>
      </c>
      <c r="V500">
        <f t="shared" si="112"/>
        <v>0</v>
      </c>
      <c r="W500">
        <f t="shared" si="112"/>
        <v>0</v>
      </c>
      <c r="X500">
        <f t="shared" si="112"/>
        <v>0</v>
      </c>
      <c r="Y500">
        <f t="shared" si="112"/>
        <v>0</v>
      </c>
      <c r="Z500">
        <f t="shared" si="111"/>
        <v>0</v>
      </c>
      <c r="AA500">
        <f t="shared" si="111"/>
        <v>0</v>
      </c>
      <c r="AB500">
        <f t="shared" si="111"/>
        <v>0</v>
      </c>
      <c r="AC500">
        <f t="shared" si="111"/>
        <v>0</v>
      </c>
      <c r="AD500">
        <f t="shared" si="111"/>
        <v>0</v>
      </c>
      <c r="AE500">
        <f t="shared" si="111"/>
        <v>0</v>
      </c>
      <c r="AF500">
        <f t="shared" si="111"/>
        <v>0</v>
      </c>
      <c r="AG500">
        <f t="shared" si="111"/>
        <v>0</v>
      </c>
      <c r="AH500">
        <f t="shared" si="111"/>
        <v>0</v>
      </c>
      <c r="AI500">
        <f t="shared" si="111"/>
        <v>0</v>
      </c>
      <c r="AJ500">
        <f t="shared" si="111"/>
        <v>0</v>
      </c>
      <c r="AK500">
        <f t="shared" si="111"/>
        <v>0</v>
      </c>
      <c r="AL500">
        <f t="shared" si="111"/>
        <v>0</v>
      </c>
      <c r="AM500">
        <f t="shared" si="111"/>
        <v>0</v>
      </c>
      <c r="AN500">
        <f t="shared" si="111"/>
        <v>0</v>
      </c>
      <c r="AO500">
        <f t="shared" si="106"/>
        <v>0</v>
      </c>
      <c r="AP500">
        <f t="shared" si="106"/>
        <v>0</v>
      </c>
      <c r="AQ500">
        <f t="shared" si="106"/>
        <v>0</v>
      </c>
      <c r="AR500">
        <f t="shared" si="106"/>
        <v>0</v>
      </c>
    </row>
    <row r="501" spans="5:44" x14ac:dyDescent="0.2">
      <c r="E501" s="1">
        <f>moment_rate!$M501</f>
        <v>4.4795249690789879E-2</v>
      </c>
      <c r="F501" s="1">
        <f t="shared" si="101"/>
        <v>7.8532824086140901E-4</v>
      </c>
      <c r="G501">
        <f>moment_rate!I501-0.005</f>
        <v>4.9399999999999391</v>
      </c>
      <c r="H501" s="1">
        <f t="shared" si="102"/>
        <v>0</v>
      </c>
      <c r="I501">
        <f t="shared" si="110"/>
        <v>0</v>
      </c>
      <c r="J501">
        <f t="shared" si="112"/>
        <v>0</v>
      </c>
      <c r="K501">
        <f t="shared" si="112"/>
        <v>0</v>
      </c>
      <c r="L501">
        <f t="shared" si="112"/>
        <v>0</v>
      </c>
      <c r="M501">
        <f t="shared" si="112"/>
        <v>0</v>
      </c>
      <c r="N501">
        <f t="shared" si="112"/>
        <v>0</v>
      </c>
      <c r="O501">
        <f t="shared" si="112"/>
        <v>0</v>
      </c>
      <c r="P501">
        <f t="shared" si="112"/>
        <v>0</v>
      </c>
      <c r="Q501">
        <f t="shared" si="112"/>
        <v>0</v>
      </c>
      <c r="R501">
        <f t="shared" si="112"/>
        <v>0</v>
      </c>
      <c r="S501">
        <f t="shared" si="112"/>
        <v>0</v>
      </c>
      <c r="T501">
        <f t="shared" si="112"/>
        <v>0</v>
      </c>
      <c r="U501">
        <f t="shared" si="112"/>
        <v>0</v>
      </c>
      <c r="V501">
        <f t="shared" si="112"/>
        <v>0</v>
      </c>
      <c r="W501">
        <f t="shared" si="112"/>
        <v>0</v>
      </c>
      <c r="X501">
        <f t="shared" si="112"/>
        <v>0</v>
      </c>
      <c r="Y501">
        <f t="shared" si="112"/>
        <v>0</v>
      </c>
      <c r="Z501">
        <f t="shared" si="111"/>
        <v>0</v>
      </c>
      <c r="AA501">
        <f t="shared" si="111"/>
        <v>0</v>
      </c>
      <c r="AB501">
        <f t="shared" si="111"/>
        <v>0</v>
      </c>
      <c r="AC501">
        <f t="shared" si="111"/>
        <v>0</v>
      </c>
      <c r="AD501">
        <f t="shared" si="111"/>
        <v>0</v>
      </c>
      <c r="AE501">
        <f t="shared" si="111"/>
        <v>0</v>
      </c>
      <c r="AF501">
        <f t="shared" si="111"/>
        <v>0</v>
      </c>
      <c r="AG501">
        <f t="shared" si="111"/>
        <v>0</v>
      </c>
      <c r="AH501">
        <f t="shared" si="111"/>
        <v>0</v>
      </c>
      <c r="AI501">
        <f t="shared" si="111"/>
        <v>0</v>
      </c>
      <c r="AJ501">
        <f t="shared" si="111"/>
        <v>0</v>
      </c>
      <c r="AK501">
        <f t="shared" si="111"/>
        <v>0</v>
      </c>
      <c r="AL501">
        <f t="shared" si="111"/>
        <v>0</v>
      </c>
      <c r="AM501">
        <f t="shared" si="111"/>
        <v>0</v>
      </c>
      <c r="AN501">
        <f t="shared" si="111"/>
        <v>0</v>
      </c>
      <c r="AO501">
        <f t="shared" si="106"/>
        <v>0</v>
      </c>
      <c r="AP501">
        <f t="shared" si="106"/>
        <v>0</v>
      </c>
      <c r="AQ501">
        <f t="shared" si="106"/>
        <v>0</v>
      </c>
      <c r="AR501">
        <f t="shared" si="106"/>
        <v>0</v>
      </c>
    </row>
    <row r="502" spans="5:44" x14ac:dyDescent="0.2">
      <c r="E502" s="1">
        <f>moment_rate!$M502</f>
        <v>4.400992144992847E-2</v>
      </c>
      <c r="F502" s="1">
        <f t="shared" si="101"/>
        <v>7.6922114718237788E-4</v>
      </c>
      <c r="G502">
        <f>moment_rate!I502-0.005</f>
        <v>4.9499999999999389</v>
      </c>
      <c r="H502" s="1">
        <f t="shared" si="102"/>
        <v>0</v>
      </c>
      <c r="I502">
        <f t="shared" si="110"/>
        <v>0</v>
      </c>
      <c r="J502">
        <f t="shared" si="112"/>
        <v>0</v>
      </c>
      <c r="K502">
        <f t="shared" si="112"/>
        <v>0</v>
      </c>
      <c r="L502">
        <f t="shared" si="112"/>
        <v>0</v>
      </c>
      <c r="M502">
        <f t="shared" si="112"/>
        <v>0</v>
      </c>
      <c r="N502">
        <f t="shared" si="112"/>
        <v>0</v>
      </c>
      <c r="O502">
        <f t="shared" si="112"/>
        <v>0</v>
      </c>
      <c r="P502">
        <f t="shared" si="112"/>
        <v>0</v>
      </c>
      <c r="Q502">
        <f t="shared" si="112"/>
        <v>0</v>
      </c>
      <c r="R502">
        <f t="shared" si="112"/>
        <v>0</v>
      </c>
      <c r="S502">
        <f t="shared" si="112"/>
        <v>0</v>
      </c>
      <c r="T502">
        <f t="shared" si="112"/>
        <v>0</v>
      </c>
      <c r="U502">
        <f t="shared" si="112"/>
        <v>0</v>
      </c>
      <c r="V502">
        <f t="shared" si="112"/>
        <v>0</v>
      </c>
      <c r="W502">
        <f t="shared" si="112"/>
        <v>0</v>
      </c>
      <c r="X502">
        <f t="shared" si="112"/>
        <v>0</v>
      </c>
      <c r="Y502">
        <f t="shared" si="112"/>
        <v>0</v>
      </c>
      <c r="Z502">
        <f t="shared" si="111"/>
        <v>0</v>
      </c>
      <c r="AA502">
        <f t="shared" si="111"/>
        <v>0</v>
      </c>
      <c r="AB502">
        <f t="shared" si="111"/>
        <v>0</v>
      </c>
      <c r="AC502">
        <f t="shared" si="111"/>
        <v>0</v>
      </c>
      <c r="AD502">
        <f t="shared" si="111"/>
        <v>0</v>
      </c>
      <c r="AE502">
        <f t="shared" si="111"/>
        <v>0</v>
      </c>
      <c r="AF502">
        <f t="shared" si="111"/>
        <v>0</v>
      </c>
      <c r="AG502">
        <f t="shared" si="111"/>
        <v>0</v>
      </c>
      <c r="AH502">
        <f t="shared" si="111"/>
        <v>0</v>
      </c>
      <c r="AI502">
        <f t="shared" si="111"/>
        <v>0</v>
      </c>
      <c r="AJ502">
        <f t="shared" si="111"/>
        <v>0</v>
      </c>
      <c r="AK502">
        <f t="shared" si="111"/>
        <v>0</v>
      </c>
      <c r="AL502">
        <f t="shared" si="111"/>
        <v>0</v>
      </c>
      <c r="AM502">
        <f t="shared" si="111"/>
        <v>0</v>
      </c>
      <c r="AN502">
        <f t="shared" si="111"/>
        <v>0</v>
      </c>
      <c r="AO502">
        <f t="shared" si="106"/>
        <v>0</v>
      </c>
      <c r="AP502">
        <f t="shared" si="106"/>
        <v>0</v>
      </c>
      <c r="AQ502">
        <f t="shared" si="106"/>
        <v>0</v>
      </c>
      <c r="AR502">
        <f t="shared" si="106"/>
        <v>0</v>
      </c>
    </row>
    <row r="503" spans="5:44" x14ac:dyDescent="0.2">
      <c r="E503" s="1">
        <f>moment_rate!$M503</f>
        <v>4.3240700302746092E-2</v>
      </c>
      <c r="F503" s="1">
        <f t="shared" si="101"/>
        <v>7.534444102297172E-4</v>
      </c>
      <c r="G503">
        <f>moment_rate!I503-0.005</f>
        <v>4.9599999999999387</v>
      </c>
      <c r="H503" s="1">
        <f t="shared" si="102"/>
        <v>0</v>
      </c>
      <c r="I503">
        <f t="shared" si="110"/>
        <v>0</v>
      </c>
      <c r="J503">
        <f t="shared" si="112"/>
        <v>0</v>
      </c>
      <c r="K503">
        <f t="shared" si="112"/>
        <v>0</v>
      </c>
      <c r="L503">
        <f t="shared" si="112"/>
        <v>0</v>
      </c>
      <c r="M503">
        <f t="shared" si="112"/>
        <v>0</v>
      </c>
      <c r="N503">
        <f t="shared" si="112"/>
        <v>0</v>
      </c>
      <c r="O503">
        <f t="shared" si="112"/>
        <v>0</v>
      </c>
      <c r="P503">
        <f t="shared" si="112"/>
        <v>0</v>
      </c>
      <c r="Q503">
        <f t="shared" si="112"/>
        <v>0</v>
      </c>
      <c r="R503">
        <f t="shared" si="112"/>
        <v>0</v>
      </c>
      <c r="S503">
        <f t="shared" si="112"/>
        <v>0</v>
      </c>
      <c r="T503">
        <f t="shared" si="112"/>
        <v>0</v>
      </c>
      <c r="U503">
        <f t="shared" si="112"/>
        <v>0</v>
      </c>
      <c r="V503">
        <f t="shared" si="112"/>
        <v>0</v>
      </c>
      <c r="W503">
        <f t="shared" si="112"/>
        <v>0</v>
      </c>
      <c r="X503">
        <f t="shared" si="112"/>
        <v>0</v>
      </c>
      <c r="Y503">
        <f t="shared" si="112"/>
        <v>0</v>
      </c>
      <c r="Z503">
        <f t="shared" si="111"/>
        <v>0</v>
      </c>
      <c r="AA503">
        <f t="shared" si="111"/>
        <v>0</v>
      </c>
      <c r="AB503">
        <f t="shared" si="111"/>
        <v>0</v>
      </c>
      <c r="AC503">
        <f t="shared" si="111"/>
        <v>0</v>
      </c>
      <c r="AD503">
        <f t="shared" si="111"/>
        <v>0</v>
      </c>
      <c r="AE503">
        <f t="shared" si="111"/>
        <v>0</v>
      </c>
      <c r="AF503">
        <f t="shared" si="111"/>
        <v>0</v>
      </c>
      <c r="AG503">
        <f t="shared" si="111"/>
        <v>0</v>
      </c>
      <c r="AH503">
        <f t="shared" si="111"/>
        <v>0</v>
      </c>
      <c r="AI503">
        <f t="shared" si="111"/>
        <v>0</v>
      </c>
      <c r="AJ503">
        <f t="shared" si="111"/>
        <v>0</v>
      </c>
      <c r="AK503">
        <f t="shared" si="111"/>
        <v>0</v>
      </c>
      <c r="AL503">
        <f t="shared" si="111"/>
        <v>0</v>
      </c>
      <c r="AM503">
        <f t="shared" si="111"/>
        <v>0</v>
      </c>
      <c r="AN503">
        <f t="shared" si="111"/>
        <v>0</v>
      </c>
      <c r="AO503">
        <f t="shared" si="106"/>
        <v>0</v>
      </c>
      <c r="AP503">
        <f t="shared" si="106"/>
        <v>0</v>
      </c>
      <c r="AQ503">
        <f t="shared" si="106"/>
        <v>0</v>
      </c>
      <c r="AR503">
        <f t="shared" si="106"/>
        <v>0</v>
      </c>
    </row>
    <row r="504" spans="5:44" x14ac:dyDescent="0.2">
      <c r="E504" s="1">
        <f>moment_rate!$M504</f>
        <v>4.2487255892516375E-2</v>
      </c>
      <c r="F504" s="1">
        <f t="shared" si="101"/>
        <v>7.3799125438218233E-4</v>
      </c>
      <c r="G504">
        <f>moment_rate!I504-0.005</f>
        <v>4.9699999999999385</v>
      </c>
      <c r="H504" s="1">
        <f t="shared" si="102"/>
        <v>0</v>
      </c>
      <c r="I504">
        <f t="shared" si="110"/>
        <v>0</v>
      </c>
      <c r="J504">
        <f t="shared" si="112"/>
        <v>0</v>
      </c>
      <c r="K504">
        <f t="shared" si="112"/>
        <v>0</v>
      </c>
      <c r="L504">
        <f t="shared" si="112"/>
        <v>0</v>
      </c>
      <c r="M504">
        <f t="shared" si="112"/>
        <v>0</v>
      </c>
      <c r="N504">
        <f t="shared" si="112"/>
        <v>0</v>
      </c>
      <c r="O504">
        <f t="shared" si="112"/>
        <v>0</v>
      </c>
      <c r="P504">
        <f t="shared" si="112"/>
        <v>0</v>
      </c>
      <c r="Q504">
        <f t="shared" si="112"/>
        <v>0</v>
      </c>
      <c r="R504">
        <f t="shared" si="112"/>
        <v>0</v>
      </c>
      <c r="S504">
        <f t="shared" si="112"/>
        <v>0</v>
      </c>
      <c r="T504">
        <f t="shared" si="112"/>
        <v>0</v>
      </c>
      <c r="U504">
        <f t="shared" si="112"/>
        <v>0</v>
      </c>
      <c r="V504">
        <f t="shared" si="112"/>
        <v>0</v>
      </c>
      <c r="W504">
        <f t="shared" si="112"/>
        <v>0</v>
      </c>
      <c r="X504">
        <f t="shared" si="112"/>
        <v>0</v>
      </c>
      <c r="Y504">
        <f t="shared" si="112"/>
        <v>0</v>
      </c>
      <c r="Z504">
        <f t="shared" si="111"/>
        <v>0</v>
      </c>
      <c r="AA504">
        <f t="shared" si="111"/>
        <v>0</v>
      </c>
      <c r="AB504">
        <f t="shared" si="111"/>
        <v>0</v>
      </c>
      <c r="AC504">
        <f t="shared" si="111"/>
        <v>0</v>
      </c>
      <c r="AD504">
        <f t="shared" si="111"/>
        <v>0</v>
      </c>
      <c r="AE504">
        <f t="shared" si="111"/>
        <v>0</v>
      </c>
      <c r="AF504">
        <f t="shared" si="111"/>
        <v>0</v>
      </c>
      <c r="AG504">
        <f t="shared" si="111"/>
        <v>0</v>
      </c>
      <c r="AH504">
        <f t="shared" si="111"/>
        <v>0</v>
      </c>
      <c r="AI504">
        <f t="shared" si="111"/>
        <v>0</v>
      </c>
      <c r="AJ504">
        <f t="shared" si="111"/>
        <v>0</v>
      </c>
      <c r="AK504">
        <f t="shared" si="111"/>
        <v>0</v>
      </c>
      <c r="AL504">
        <f t="shared" si="111"/>
        <v>0</v>
      </c>
      <c r="AM504">
        <f t="shared" si="111"/>
        <v>0</v>
      </c>
      <c r="AN504">
        <f t="shared" si="111"/>
        <v>0</v>
      </c>
      <c r="AO504">
        <f t="shared" si="106"/>
        <v>0</v>
      </c>
      <c r="AP504">
        <f t="shared" si="106"/>
        <v>0</v>
      </c>
      <c r="AQ504">
        <f t="shared" si="106"/>
        <v>0</v>
      </c>
      <c r="AR504">
        <f t="shared" si="106"/>
        <v>0</v>
      </c>
    </row>
    <row r="505" spans="5:44" x14ac:dyDescent="0.2">
      <c r="E505" s="1">
        <f>moment_rate!$M505</f>
        <v>4.1749264638134193E-2</v>
      </c>
      <c r="F505" s="1">
        <f t="shared" si="101"/>
        <v>7.2285504298654629E-4</v>
      </c>
      <c r="G505">
        <f>moment_rate!I505-0.005</f>
        <v>4.9799999999999383</v>
      </c>
      <c r="H505" s="1">
        <f t="shared" si="102"/>
        <v>0</v>
      </c>
      <c r="I505">
        <f t="shared" si="110"/>
        <v>0</v>
      </c>
      <c r="J505">
        <f t="shared" si="112"/>
        <v>0</v>
      </c>
      <c r="K505">
        <f t="shared" si="112"/>
        <v>0</v>
      </c>
      <c r="L505">
        <f t="shared" si="112"/>
        <v>0</v>
      </c>
      <c r="M505">
        <f t="shared" si="112"/>
        <v>0</v>
      </c>
      <c r="N505">
        <f t="shared" si="112"/>
        <v>0</v>
      </c>
      <c r="O505">
        <f t="shared" si="112"/>
        <v>0</v>
      </c>
      <c r="P505">
        <f t="shared" si="112"/>
        <v>0</v>
      </c>
      <c r="Q505">
        <f t="shared" si="112"/>
        <v>0</v>
      </c>
      <c r="R505">
        <f t="shared" si="112"/>
        <v>0</v>
      </c>
      <c r="S505">
        <f t="shared" si="112"/>
        <v>0</v>
      </c>
      <c r="T505">
        <f t="shared" si="112"/>
        <v>0</v>
      </c>
      <c r="U505">
        <f t="shared" si="112"/>
        <v>0</v>
      </c>
      <c r="V505">
        <f t="shared" si="112"/>
        <v>0</v>
      </c>
      <c r="W505">
        <f t="shared" si="112"/>
        <v>0</v>
      </c>
      <c r="X505">
        <f t="shared" si="112"/>
        <v>0</v>
      </c>
      <c r="Y505">
        <f t="shared" si="112"/>
        <v>0</v>
      </c>
      <c r="Z505">
        <f t="shared" si="111"/>
        <v>0</v>
      </c>
      <c r="AA505">
        <f t="shared" si="111"/>
        <v>0</v>
      </c>
      <c r="AB505">
        <f t="shared" si="111"/>
        <v>0</v>
      </c>
      <c r="AC505">
        <f t="shared" si="111"/>
        <v>0</v>
      </c>
      <c r="AD505">
        <f t="shared" si="111"/>
        <v>0</v>
      </c>
      <c r="AE505">
        <f t="shared" si="111"/>
        <v>0</v>
      </c>
      <c r="AF505">
        <f t="shared" si="111"/>
        <v>0</v>
      </c>
      <c r="AG505">
        <f t="shared" si="111"/>
        <v>0</v>
      </c>
      <c r="AH505">
        <f t="shared" si="111"/>
        <v>0</v>
      </c>
      <c r="AI505">
        <f t="shared" si="111"/>
        <v>0</v>
      </c>
      <c r="AJ505">
        <f t="shared" si="111"/>
        <v>0</v>
      </c>
      <c r="AK505">
        <f t="shared" si="111"/>
        <v>0</v>
      </c>
      <c r="AL505">
        <f t="shared" si="111"/>
        <v>0</v>
      </c>
      <c r="AM505">
        <f t="shared" si="111"/>
        <v>0</v>
      </c>
      <c r="AN505">
        <f t="shared" si="111"/>
        <v>0</v>
      </c>
      <c r="AO505">
        <f t="shared" si="106"/>
        <v>0</v>
      </c>
      <c r="AP505">
        <f t="shared" si="106"/>
        <v>0</v>
      </c>
      <c r="AQ505">
        <f t="shared" si="106"/>
        <v>0</v>
      </c>
      <c r="AR505">
        <f t="shared" si="106"/>
        <v>0</v>
      </c>
    </row>
    <row r="506" spans="5:44" x14ac:dyDescent="0.2">
      <c r="E506" s="1">
        <f>moment_rate!$M506</f>
        <v>4.1026409595147646E-2</v>
      </c>
      <c r="F506" s="1">
        <f t="shared" si="101"/>
        <v>7.0802927550749767E-4</v>
      </c>
      <c r="G506">
        <f>moment_rate!I506-0.005</f>
        <v>4.989999999999938</v>
      </c>
      <c r="H506" s="1">
        <f t="shared" si="102"/>
        <v>0</v>
      </c>
      <c r="I506">
        <f t="shared" si="110"/>
        <v>0</v>
      </c>
      <c r="J506">
        <f t="shared" si="112"/>
        <v>0</v>
      </c>
      <c r="K506">
        <f t="shared" si="112"/>
        <v>0</v>
      </c>
      <c r="L506">
        <f t="shared" si="112"/>
        <v>0</v>
      </c>
      <c r="M506">
        <f t="shared" si="112"/>
        <v>0</v>
      </c>
      <c r="N506">
        <f t="shared" si="112"/>
        <v>0</v>
      </c>
      <c r="O506">
        <f t="shared" si="112"/>
        <v>0</v>
      </c>
      <c r="P506">
        <f t="shared" si="112"/>
        <v>0</v>
      </c>
      <c r="Q506">
        <f t="shared" si="112"/>
        <v>0</v>
      </c>
      <c r="R506">
        <f t="shared" si="112"/>
        <v>0</v>
      </c>
      <c r="S506">
        <f t="shared" si="112"/>
        <v>0</v>
      </c>
      <c r="T506">
        <f t="shared" si="112"/>
        <v>0</v>
      </c>
      <c r="U506">
        <f t="shared" si="112"/>
        <v>0</v>
      </c>
      <c r="V506">
        <f t="shared" si="112"/>
        <v>0</v>
      </c>
      <c r="W506">
        <f t="shared" si="112"/>
        <v>0</v>
      </c>
      <c r="X506">
        <f t="shared" si="112"/>
        <v>0</v>
      </c>
      <c r="Y506">
        <f t="shared" ref="Y506:AN521" si="113">IF(AND($G506&gt;=Y$3,$G506&lt;Y$4),$F506,0)</f>
        <v>0</v>
      </c>
      <c r="Z506">
        <f t="shared" si="113"/>
        <v>0</v>
      </c>
      <c r="AA506">
        <f t="shared" si="113"/>
        <v>0</v>
      </c>
      <c r="AB506">
        <f t="shared" si="113"/>
        <v>0</v>
      </c>
      <c r="AC506">
        <f t="shared" si="113"/>
        <v>0</v>
      </c>
      <c r="AD506">
        <f t="shared" si="113"/>
        <v>0</v>
      </c>
      <c r="AE506">
        <f t="shared" si="113"/>
        <v>0</v>
      </c>
      <c r="AF506">
        <f t="shared" si="113"/>
        <v>0</v>
      </c>
      <c r="AG506">
        <f t="shared" si="113"/>
        <v>0</v>
      </c>
      <c r="AH506">
        <f t="shared" si="113"/>
        <v>0</v>
      </c>
      <c r="AI506">
        <f t="shared" si="113"/>
        <v>0</v>
      </c>
      <c r="AJ506">
        <f t="shared" si="113"/>
        <v>0</v>
      </c>
      <c r="AK506">
        <f t="shared" si="113"/>
        <v>0</v>
      </c>
      <c r="AL506">
        <f t="shared" si="113"/>
        <v>0</v>
      </c>
      <c r="AM506">
        <f t="shared" si="113"/>
        <v>0</v>
      </c>
      <c r="AN506">
        <f t="shared" si="113"/>
        <v>0</v>
      </c>
      <c r="AO506">
        <f t="shared" si="106"/>
        <v>0</v>
      </c>
      <c r="AP506">
        <f t="shared" si="106"/>
        <v>0</v>
      </c>
      <c r="AQ506">
        <f t="shared" si="106"/>
        <v>0</v>
      </c>
      <c r="AR506">
        <f t="shared" si="106"/>
        <v>0</v>
      </c>
    </row>
    <row r="507" spans="5:44" x14ac:dyDescent="0.2">
      <c r="E507" s="1">
        <f>moment_rate!$M507</f>
        <v>4.0318380319640149E-2</v>
      </c>
      <c r="F507" s="1">
        <f t="shared" si="101"/>
        <v>6.9350758473578356E-4</v>
      </c>
      <c r="G507">
        <f>moment_rate!I507-0.005</f>
        <v>4.9999999999999378</v>
      </c>
      <c r="H507" s="1">
        <f t="shared" si="102"/>
        <v>6.9350758473578356E-4</v>
      </c>
      <c r="I507">
        <f t="shared" si="110"/>
        <v>6.9350758473578356E-4</v>
      </c>
      <c r="J507">
        <f t="shared" ref="J507:Y522" si="114">IF(AND($G507&gt;=J$3,$G507&lt;J$4),$F507,0)</f>
        <v>0</v>
      </c>
      <c r="K507">
        <f t="shared" si="114"/>
        <v>0</v>
      </c>
      <c r="L507">
        <f t="shared" si="114"/>
        <v>0</v>
      </c>
      <c r="M507">
        <f t="shared" si="114"/>
        <v>0</v>
      </c>
      <c r="N507">
        <f t="shared" si="114"/>
        <v>0</v>
      </c>
      <c r="O507">
        <f t="shared" si="114"/>
        <v>0</v>
      </c>
      <c r="P507">
        <f t="shared" si="114"/>
        <v>0</v>
      </c>
      <c r="Q507">
        <f t="shared" si="114"/>
        <v>0</v>
      </c>
      <c r="R507">
        <f t="shared" si="114"/>
        <v>0</v>
      </c>
      <c r="S507">
        <f t="shared" si="114"/>
        <v>0</v>
      </c>
      <c r="T507">
        <f t="shared" si="114"/>
        <v>0</v>
      </c>
      <c r="U507">
        <f t="shared" si="114"/>
        <v>0</v>
      </c>
      <c r="V507">
        <f t="shared" si="114"/>
        <v>0</v>
      </c>
      <c r="W507">
        <f t="shared" si="114"/>
        <v>0</v>
      </c>
      <c r="X507">
        <f t="shared" si="114"/>
        <v>0</v>
      </c>
      <c r="Y507">
        <f t="shared" si="114"/>
        <v>0</v>
      </c>
      <c r="Z507">
        <f t="shared" si="113"/>
        <v>0</v>
      </c>
      <c r="AA507">
        <f t="shared" si="113"/>
        <v>0</v>
      </c>
      <c r="AB507">
        <f t="shared" si="113"/>
        <v>0</v>
      </c>
      <c r="AC507">
        <f t="shared" si="113"/>
        <v>0</v>
      </c>
      <c r="AD507">
        <f t="shared" si="113"/>
        <v>0</v>
      </c>
      <c r="AE507">
        <f t="shared" si="113"/>
        <v>0</v>
      </c>
      <c r="AF507">
        <f t="shared" si="113"/>
        <v>0</v>
      </c>
      <c r="AG507">
        <f t="shared" si="113"/>
        <v>0</v>
      </c>
      <c r="AH507">
        <f t="shared" si="113"/>
        <v>0</v>
      </c>
      <c r="AI507">
        <f t="shared" si="113"/>
        <v>0</v>
      </c>
      <c r="AJ507">
        <f t="shared" si="113"/>
        <v>0</v>
      </c>
      <c r="AK507">
        <f t="shared" si="113"/>
        <v>0</v>
      </c>
      <c r="AL507">
        <f t="shared" si="113"/>
        <v>0</v>
      </c>
      <c r="AM507">
        <f t="shared" si="113"/>
        <v>0</v>
      </c>
      <c r="AN507">
        <f t="shared" si="113"/>
        <v>0</v>
      </c>
      <c r="AO507">
        <f t="shared" si="106"/>
        <v>0</v>
      </c>
      <c r="AP507">
        <f t="shared" si="106"/>
        <v>0</v>
      </c>
      <c r="AQ507">
        <f t="shared" si="106"/>
        <v>0</v>
      </c>
      <c r="AR507">
        <f t="shared" si="106"/>
        <v>0</v>
      </c>
    </row>
    <row r="508" spans="5:44" x14ac:dyDescent="0.2">
      <c r="E508" s="1">
        <f>moment_rate!$M508</f>
        <v>3.9624872734904365E-2</v>
      </c>
      <c r="F508" s="1">
        <f t="shared" si="101"/>
        <v>6.7928373405366088E-4</v>
      </c>
      <c r="G508">
        <f>moment_rate!I508-0.005</f>
        <v>5.0099999999999376</v>
      </c>
      <c r="H508" s="1">
        <f t="shared" si="102"/>
        <v>6.7928373405366088E-4</v>
      </c>
      <c r="I508">
        <f t="shared" si="110"/>
        <v>6.7928373405366088E-4</v>
      </c>
      <c r="J508">
        <f t="shared" si="114"/>
        <v>0</v>
      </c>
      <c r="K508">
        <f t="shared" si="114"/>
        <v>0</v>
      </c>
      <c r="L508">
        <f t="shared" si="114"/>
        <v>0</v>
      </c>
      <c r="M508">
        <f t="shared" si="114"/>
        <v>0</v>
      </c>
      <c r="N508">
        <f t="shared" si="114"/>
        <v>0</v>
      </c>
      <c r="O508">
        <f t="shared" si="114"/>
        <v>0</v>
      </c>
      <c r="P508">
        <f t="shared" si="114"/>
        <v>0</v>
      </c>
      <c r="Q508">
        <f t="shared" si="114"/>
        <v>0</v>
      </c>
      <c r="R508">
        <f t="shared" si="114"/>
        <v>0</v>
      </c>
      <c r="S508">
        <f t="shared" si="114"/>
        <v>0</v>
      </c>
      <c r="T508">
        <f t="shared" si="114"/>
        <v>0</v>
      </c>
      <c r="U508">
        <f t="shared" si="114"/>
        <v>0</v>
      </c>
      <c r="V508">
        <f t="shared" si="114"/>
        <v>0</v>
      </c>
      <c r="W508">
        <f t="shared" si="114"/>
        <v>0</v>
      </c>
      <c r="X508">
        <f t="shared" si="114"/>
        <v>0</v>
      </c>
      <c r="Y508">
        <f t="shared" si="114"/>
        <v>0</v>
      </c>
      <c r="Z508">
        <f t="shared" si="113"/>
        <v>0</v>
      </c>
      <c r="AA508">
        <f t="shared" si="113"/>
        <v>0</v>
      </c>
      <c r="AB508">
        <f t="shared" si="113"/>
        <v>0</v>
      </c>
      <c r="AC508">
        <f t="shared" si="113"/>
        <v>0</v>
      </c>
      <c r="AD508">
        <f t="shared" si="113"/>
        <v>0</v>
      </c>
      <c r="AE508">
        <f t="shared" si="113"/>
        <v>0</v>
      </c>
      <c r="AF508">
        <f t="shared" si="113"/>
        <v>0</v>
      </c>
      <c r="AG508">
        <f t="shared" si="113"/>
        <v>0</v>
      </c>
      <c r="AH508">
        <f t="shared" si="113"/>
        <v>0</v>
      </c>
      <c r="AI508">
        <f t="shared" si="113"/>
        <v>0</v>
      </c>
      <c r="AJ508">
        <f t="shared" si="113"/>
        <v>0</v>
      </c>
      <c r="AK508">
        <f t="shared" si="113"/>
        <v>0</v>
      </c>
      <c r="AL508">
        <f t="shared" si="113"/>
        <v>0</v>
      </c>
      <c r="AM508">
        <f t="shared" si="113"/>
        <v>0</v>
      </c>
      <c r="AN508">
        <f t="shared" si="113"/>
        <v>0</v>
      </c>
      <c r="AO508">
        <f t="shared" si="106"/>
        <v>0</v>
      </c>
      <c r="AP508">
        <f t="shared" si="106"/>
        <v>0</v>
      </c>
      <c r="AQ508">
        <f t="shared" si="106"/>
        <v>0</v>
      </c>
      <c r="AR508">
        <f t="shared" si="106"/>
        <v>0</v>
      </c>
    </row>
    <row r="509" spans="5:44" x14ac:dyDescent="0.2">
      <c r="E509" s="1">
        <f>moment_rate!$M509</f>
        <v>3.8945589000850704E-2</v>
      </c>
      <c r="F509" s="1">
        <f t="shared" si="101"/>
        <v>6.6535161475658744E-4</v>
      </c>
      <c r="G509">
        <f>moment_rate!I509-0.005</f>
        <v>5.0199999999999374</v>
      </c>
      <c r="H509" s="1">
        <f t="shared" si="102"/>
        <v>6.6535161475658744E-4</v>
      </c>
      <c r="I509">
        <f t="shared" si="110"/>
        <v>6.6535161475658744E-4</v>
      </c>
      <c r="J509">
        <f t="shared" si="114"/>
        <v>0</v>
      </c>
      <c r="K509">
        <f t="shared" si="114"/>
        <v>0</v>
      </c>
      <c r="L509">
        <f t="shared" si="114"/>
        <v>0</v>
      </c>
      <c r="M509">
        <f t="shared" si="114"/>
        <v>0</v>
      </c>
      <c r="N509">
        <f t="shared" si="114"/>
        <v>0</v>
      </c>
      <c r="O509">
        <f t="shared" si="114"/>
        <v>0</v>
      </c>
      <c r="P509">
        <f t="shared" si="114"/>
        <v>0</v>
      </c>
      <c r="Q509">
        <f t="shared" si="114"/>
        <v>0</v>
      </c>
      <c r="R509">
        <f t="shared" si="114"/>
        <v>0</v>
      </c>
      <c r="S509">
        <f t="shared" si="114"/>
        <v>0</v>
      </c>
      <c r="T509">
        <f t="shared" si="114"/>
        <v>0</v>
      </c>
      <c r="U509">
        <f t="shared" si="114"/>
        <v>0</v>
      </c>
      <c r="V509">
        <f t="shared" si="114"/>
        <v>0</v>
      </c>
      <c r="W509">
        <f t="shared" si="114"/>
        <v>0</v>
      </c>
      <c r="X509">
        <f t="shared" si="114"/>
        <v>0</v>
      </c>
      <c r="Y509">
        <f t="shared" si="114"/>
        <v>0</v>
      </c>
      <c r="Z509">
        <f t="shared" si="113"/>
        <v>0</v>
      </c>
      <c r="AA509">
        <f t="shared" si="113"/>
        <v>0</v>
      </c>
      <c r="AB509">
        <f t="shared" si="113"/>
        <v>0</v>
      </c>
      <c r="AC509">
        <f t="shared" si="113"/>
        <v>0</v>
      </c>
      <c r="AD509">
        <f t="shared" si="113"/>
        <v>0</v>
      </c>
      <c r="AE509">
        <f t="shared" si="113"/>
        <v>0</v>
      </c>
      <c r="AF509">
        <f t="shared" si="113"/>
        <v>0</v>
      </c>
      <c r="AG509">
        <f t="shared" si="113"/>
        <v>0</v>
      </c>
      <c r="AH509">
        <f t="shared" si="113"/>
        <v>0</v>
      </c>
      <c r="AI509">
        <f t="shared" si="113"/>
        <v>0</v>
      </c>
      <c r="AJ509">
        <f t="shared" si="113"/>
        <v>0</v>
      </c>
      <c r="AK509">
        <f t="shared" si="113"/>
        <v>0</v>
      </c>
      <c r="AL509">
        <f t="shared" si="113"/>
        <v>0</v>
      </c>
      <c r="AM509">
        <f t="shared" si="113"/>
        <v>0</v>
      </c>
      <c r="AN509">
        <f t="shared" si="113"/>
        <v>0</v>
      </c>
      <c r="AO509">
        <f t="shared" si="106"/>
        <v>0</v>
      </c>
      <c r="AP509">
        <f t="shared" si="106"/>
        <v>0</v>
      </c>
      <c r="AQ509">
        <f t="shared" si="106"/>
        <v>0</v>
      </c>
      <c r="AR509">
        <f t="shared" si="106"/>
        <v>0</v>
      </c>
    </row>
    <row r="510" spans="5:44" x14ac:dyDescent="0.2">
      <c r="E510" s="1">
        <f>moment_rate!$M510</f>
        <v>3.8280237386094117E-2</v>
      </c>
      <c r="F510" s="1">
        <f t="shared" si="101"/>
        <v>6.5170524342958447E-4</v>
      </c>
      <c r="G510">
        <f>moment_rate!I510-0.005</f>
        <v>5.0299999999999372</v>
      </c>
      <c r="H510" s="1">
        <f t="shared" si="102"/>
        <v>6.5170524342958447E-4</v>
      </c>
      <c r="I510">
        <f t="shared" si="110"/>
        <v>6.5170524342958447E-4</v>
      </c>
      <c r="J510">
        <f t="shared" si="114"/>
        <v>0</v>
      </c>
      <c r="K510">
        <f t="shared" si="114"/>
        <v>0</v>
      </c>
      <c r="L510">
        <f t="shared" si="114"/>
        <v>0</v>
      </c>
      <c r="M510">
        <f t="shared" si="114"/>
        <v>0</v>
      </c>
      <c r="N510">
        <f t="shared" si="114"/>
        <v>0</v>
      </c>
      <c r="O510">
        <f t="shared" si="114"/>
        <v>0</v>
      </c>
      <c r="P510">
        <f t="shared" si="114"/>
        <v>0</v>
      </c>
      <c r="Q510">
        <f t="shared" si="114"/>
        <v>0</v>
      </c>
      <c r="R510">
        <f t="shared" si="114"/>
        <v>0</v>
      </c>
      <c r="S510">
        <f t="shared" si="114"/>
        <v>0</v>
      </c>
      <c r="T510">
        <f t="shared" si="114"/>
        <v>0</v>
      </c>
      <c r="U510">
        <f t="shared" si="114"/>
        <v>0</v>
      </c>
      <c r="V510">
        <f t="shared" si="114"/>
        <v>0</v>
      </c>
      <c r="W510">
        <f t="shared" si="114"/>
        <v>0</v>
      </c>
      <c r="X510">
        <f t="shared" si="114"/>
        <v>0</v>
      </c>
      <c r="Y510">
        <f t="shared" si="114"/>
        <v>0</v>
      </c>
      <c r="Z510">
        <f t="shared" si="113"/>
        <v>0</v>
      </c>
      <c r="AA510">
        <f t="shared" si="113"/>
        <v>0</v>
      </c>
      <c r="AB510">
        <f t="shared" si="113"/>
        <v>0</v>
      </c>
      <c r="AC510">
        <f t="shared" si="113"/>
        <v>0</v>
      </c>
      <c r="AD510">
        <f t="shared" si="113"/>
        <v>0</v>
      </c>
      <c r="AE510">
        <f t="shared" si="113"/>
        <v>0</v>
      </c>
      <c r="AF510">
        <f t="shared" si="113"/>
        <v>0</v>
      </c>
      <c r="AG510">
        <f t="shared" si="113"/>
        <v>0</v>
      </c>
      <c r="AH510">
        <f t="shared" si="113"/>
        <v>0</v>
      </c>
      <c r="AI510">
        <f t="shared" si="113"/>
        <v>0</v>
      </c>
      <c r="AJ510">
        <f t="shared" si="113"/>
        <v>0</v>
      </c>
      <c r="AK510">
        <f t="shared" si="113"/>
        <v>0</v>
      </c>
      <c r="AL510">
        <f t="shared" si="113"/>
        <v>0</v>
      </c>
      <c r="AM510">
        <f t="shared" si="113"/>
        <v>0</v>
      </c>
      <c r="AN510">
        <f t="shared" si="113"/>
        <v>0</v>
      </c>
      <c r="AO510">
        <f t="shared" si="106"/>
        <v>0</v>
      </c>
      <c r="AP510">
        <f t="shared" si="106"/>
        <v>0</v>
      </c>
      <c r="AQ510">
        <f t="shared" si="106"/>
        <v>0</v>
      </c>
      <c r="AR510">
        <f t="shared" si="106"/>
        <v>0</v>
      </c>
    </row>
    <row r="511" spans="5:44" x14ac:dyDescent="0.2">
      <c r="E511" s="1">
        <f>moment_rate!$M511</f>
        <v>3.7628532142664532E-2</v>
      </c>
      <c r="F511" s="1">
        <f t="shared" si="101"/>
        <v>6.3833875937762546E-4</v>
      </c>
      <c r="G511">
        <f>moment_rate!I511-0.005</f>
        <v>5.039999999999937</v>
      </c>
      <c r="H511" s="1">
        <f t="shared" si="102"/>
        <v>6.3833875937762546E-4</v>
      </c>
      <c r="I511">
        <f t="shared" si="110"/>
        <v>6.3833875937762546E-4</v>
      </c>
      <c r="J511">
        <f t="shared" si="114"/>
        <v>0</v>
      </c>
      <c r="K511">
        <f t="shared" si="114"/>
        <v>0</v>
      </c>
      <c r="L511">
        <f t="shared" si="114"/>
        <v>0</v>
      </c>
      <c r="M511">
        <f t="shared" si="114"/>
        <v>0</v>
      </c>
      <c r="N511">
        <f t="shared" si="114"/>
        <v>0</v>
      </c>
      <c r="O511">
        <f t="shared" si="114"/>
        <v>0</v>
      </c>
      <c r="P511">
        <f t="shared" si="114"/>
        <v>0</v>
      </c>
      <c r="Q511">
        <f t="shared" si="114"/>
        <v>0</v>
      </c>
      <c r="R511">
        <f t="shared" si="114"/>
        <v>0</v>
      </c>
      <c r="S511">
        <f t="shared" si="114"/>
        <v>0</v>
      </c>
      <c r="T511">
        <f t="shared" si="114"/>
        <v>0</v>
      </c>
      <c r="U511">
        <f t="shared" si="114"/>
        <v>0</v>
      </c>
      <c r="V511">
        <f t="shared" si="114"/>
        <v>0</v>
      </c>
      <c r="W511">
        <f t="shared" si="114"/>
        <v>0</v>
      </c>
      <c r="X511">
        <f t="shared" si="114"/>
        <v>0</v>
      </c>
      <c r="Y511">
        <f t="shared" si="114"/>
        <v>0</v>
      </c>
      <c r="Z511">
        <f t="shared" si="113"/>
        <v>0</v>
      </c>
      <c r="AA511">
        <f t="shared" si="113"/>
        <v>0</v>
      </c>
      <c r="AB511">
        <f t="shared" si="113"/>
        <v>0</v>
      </c>
      <c r="AC511">
        <f t="shared" si="113"/>
        <v>0</v>
      </c>
      <c r="AD511">
        <f t="shared" si="113"/>
        <v>0</v>
      </c>
      <c r="AE511">
        <f t="shared" si="113"/>
        <v>0</v>
      </c>
      <c r="AF511">
        <f t="shared" si="113"/>
        <v>0</v>
      </c>
      <c r="AG511">
        <f t="shared" si="113"/>
        <v>0</v>
      </c>
      <c r="AH511">
        <f t="shared" si="113"/>
        <v>0</v>
      </c>
      <c r="AI511">
        <f t="shared" si="113"/>
        <v>0</v>
      </c>
      <c r="AJ511">
        <f t="shared" si="113"/>
        <v>0</v>
      </c>
      <c r="AK511">
        <f t="shared" si="113"/>
        <v>0</v>
      </c>
      <c r="AL511">
        <f t="shared" si="113"/>
        <v>0</v>
      </c>
      <c r="AM511">
        <f t="shared" si="113"/>
        <v>0</v>
      </c>
      <c r="AN511">
        <f t="shared" si="113"/>
        <v>0</v>
      </c>
      <c r="AO511">
        <f t="shared" si="106"/>
        <v>0</v>
      </c>
      <c r="AP511">
        <f t="shared" si="106"/>
        <v>0</v>
      </c>
      <c r="AQ511">
        <f t="shared" si="106"/>
        <v>0</v>
      </c>
      <c r="AR511">
        <f t="shared" si="106"/>
        <v>0</v>
      </c>
    </row>
    <row r="512" spans="5:44" x14ac:dyDescent="0.2">
      <c r="E512" s="1">
        <f>moment_rate!$M512</f>
        <v>3.6990193383286907E-2</v>
      </c>
      <c r="F512" s="1">
        <f t="shared" si="101"/>
        <v>6.2524642210859405E-4</v>
      </c>
      <c r="G512">
        <f>moment_rate!I512-0.005</f>
        <v>5.0499999999999368</v>
      </c>
      <c r="H512" s="1">
        <f t="shared" si="102"/>
        <v>6.2524642210859405E-4</v>
      </c>
      <c r="I512">
        <f t="shared" si="110"/>
        <v>6.2524642210859405E-4</v>
      </c>
      <c r="J512">
        <f t="shared" si="114"/>
        <v>0</v>
      </c>
      <c r="K512">
        <f t="shared" si="114"/>
        <v>0</v>
      </c>
      <c r="L512">
        <f t="shared" si="114"/>
        <v>0</v>
      </c>
      <c r="M512">
        <f t="shared" si="114"/>
        <v>0</v>
      </c>
      <c r="N512">
        <f t="shared" si="114"/>
        <v>0</v>
      </c>
      <c r="O512">
        <f t="shared" si="114"/>
        <v>0</v>
      </c>
      <c r="P512">
        <f t="shared" si="114"/>
        <v>0</v>
      </c>
      <c r="Q512">
        <f t="shared" si="114"/>
        <v>0</v>
      </c>
      <c r="R512">
        <f t="shared" si="114"/>
        <v>0</v>
      </c>
      <c r="S512">
        <f t="shared" si="114"/>
        <v>0</v>
      </c>
      <c r="T512">
        <f t="shared" si="114"/>
        <v>0</v>
      </c>
      <c r="U512">
        <f t="shared" si="114"/>
        <v>0</v>
      </c>
      <c r="V512">
        <f t="shared" si="114"/>
        <v>0</v>
      </c>
      <c r="W512">
        <f t="shared" si="114"/>
        <v>0</v>
      </c>
      <c r="X512">
        <f t="shared" si="114"/>
        <v>0</v>
      </c>
      <c r="Y512">
        <f t="shared" si="114"/>
        <v>0</v>
      </c>
      <c r="Z512">
        <f t="shared" si="113"/>
        <v>0</v>
      </c>
      <c r="AA512">
        <f t="shared" si="113"/>
        <v>0</v>
      </c>
      <c r="AB512">
        <f t="shared" si="113"/>
        <v>0</v>
      </c>
      <c r="AC512">
        <f t="shared" si="113"/>
        <v>0</v>
      </c>
      <c r="AD512">
        <f t="shared" si="113"/>
        <v>0</v>
      </c>
      <c r="AE512">
        <f t="shared" si="113"/>
        <v>0</v>
      </c>
      <c r="AF512">
        <f t="shared" si="113"/>
        <v>0</v>
      </c>
      <c r="AG512">
        <f t="shared" si="113"/>
        <v>0</v>
      </c>
      <c r="AH512">
        <f t="shared" si="113"/>
        <v>0</v>
      </c>
      <c r="AI512">
        <f t="shared" si="113"/>
        <v>0</v>
      </c>
      <c r="AJ512">
        <f t="shared" si="113"/>
        <v>0</v>
      </c>
      <c r="AK512">
        <f t="shared" si="113"/>
        <v>0</v>
      </c>
      <c r="AL512">
        <f t="shared" si="113"/>
        <v>0</v>
      </c>
      <c r="AM512">
        <f t="shared" si="113"/>
        <v>0</v>
      </c>
      <c r="AN512">
        <f t="shared" si="113"/>
        <v>0</v>
      </c>
      <c r="AO512">
        <f t="shared" si="106"/>
        <v>0</v>
      </c>
      <c r="AP512">
        <f t="shared" si="106"/>
        <v>0</v>
      </c>
      <c r="AQ512">
        <f t="shared" si="106"/>
        <v>0</v>
      </c>
      <c r="AR512">
        <f t="shared" si="106"/>
        <v>0</v>
      </c>
    </row>
    <row r="513" spans="5:44" x14ac:dyDescent="0.2">
      <c r="E513" s="1">
        <f>moment_rate!$M513</f>
        <v>3.6364946961178313E-2</v>
      </c>
      <c r="F513" s="1">
        <f t="shared" si="101"/>
        <v>6.1242260886798516E-4</v>
      </c>
      <c r="G513">
        <f>moment_rate!I513-0.005</f>
        <v>5.0599999999999365</v>
      </c>
      <c r="H513" s="1">
        <f t="shared" si="102"/>
        <v>6.1242260886798516E-4</v>
      </c>
      <c r="I513">
        <f t="shared" si="110"/>
        <v>6.1242260886798516E-4</v>
      </c>
      <c r="J513">
        <f t="shared" si="114"/>
        <v>0</v>
      </c>
      <c r="K513">
        <f t="shared" si="114"/>
        <v>0</v>
      </c>
      <c r="L513">
        <f t="shared" si="114"/>
        <v>0</v>
      </c>
      <c r="M513">
        <f t="shared" si="114"/>
        <v>0</v>
      </c>
      <c r="N513">
        <f t="shared" si="114"/>
        <v>0</v>
      </c>
      <c r="O513">
        <f t="shared" si="114"/>
        <v>0</v>
      </c>
      <c r="P513">
        <f t="shared" si="114"/>
        <v>0</v>
      </c>
      <c r="Q513">
        <f t="shared" si="114"/>
        <v>0</v>
      </c>
      <c r="R513">
        <f t="shared" si="114"/>
        <v>0</v>
      </c>
      <c r="S513">
        <f t="shared" si="114"/>
        <v>0</v>
      </c>
      <c r="T513">
        <f t="shared" si="114"/>
        <v>0</v>
      </c>
      <c r="U513">
        <f t="shared" si="114"/>
        <v>0</v>
      </c>
      <c r="V513">
        <f t="shared" si="114"/>
        <v>0</v>
      </c>
      <c r="W513">
        <f t="shared" si="114"/>
        <v>0</v>
      </c>
      <c r="X513">
        <f t="shared" si="114"/>
        <v>0</v>
      </c>
      <c r="Y513">
        <f t="shared" si="114"/>
        <v>0</v>
      </c>
      <c r="Z513">
        <f t="shared" si="113"/>
        <v>0</v>
      </c>
      <c r="AA513">
        <f t="shared" si="113"/>
        <v>0</v>
      </c>
      <c r="AB513">
        <f t="shared" si="113"/>
        <v>0</v>
      </c>
      <c r="AC513">
        <f t="shared" si="113"/>
        <v>0</v>
      </c>
      <c r="AD513">
        <f t="shared" si="113"/>
        <v>0</v>
      </c>
      <c r="AE513">
        <f t="shared" si="113"/>
        <v>0</v>
      </c>
      <c r="AF513">
        <f t="shared" si="113"/>
        <v>0</v>
      </c>
      <c r="AG513">
        <f t="shared" si="113"/>
        <v>0</v>
      </c>
      <c r="AH513">
        <f t="shared" si="113"/>
        <v>0</v>
      </c>
      <c r="AI513">
        <f t="shared" si="113"/>
        <v>0</v>
      </c>
      <c r="AJ513">
        <f t="shared" si="113"/>
        <v>0</v>
      </c>
      <c r="AK513">
        <f t="shared" si="113"/>
        <v>0</v>
      </c>
      <c r="AL513">
        <f t="shared" si="113"/>
        <v>0</v>
      </c>
      <c r="AM513">
        <f t="shared" si="113"/>
        <v>0</v>
      </c>
      <c r="AN513">
        <f t="shared" si="113"/>
        <v>0</v>
      </c>
      <c r="AO513">
        <f t="shared" si="106"/>
        <v>0</v>
      </c>
      <c r="AP513">
        <f t="shared" si="106"/>
        <v>0</v>
      </c>
      <c r="AQ513">
        <f t="shared" si="106"/>
        <v>0</v>
      </c>
      <c r="AR513">
        <f t="shared" si="106"/>
        <v>0</v>
      </c>
    </row>
    <row r="514" spans="5:44" x14ac:dyDescent="0.2">
      <c r="E514" s="1">
        <f>moment_rate!$M514</f>
        <v>3.5752524352310328E-2</v>
      </c>
      <c r="F514" s="1">
        <f t="shared" si="101"/>
        <v>5.9986181222405899E-4</v>
      </c>
      <c r="G514">
        <f>moment_rate!I514-0.005</f>
        <v>5.0699999999999363</v>
      </c>
      <c r="H514" s="1">
        <f t="shared" si="102"/>
        <v>5.9986181222405899E-4</v>
      </c>
      <c r="I514">
        <f t="shared" si="110"/>
        <v>5.9986181222405899E-4</v>
      </c>
      <c r="J514">
        <f t="shared" si="114"/>
        <v>0</v>
      </c>
      <c r="K514">
        <f t="shared" si="114"/>
        <v>0</v>
      </c>
      <c r="L514">
        <f t="shared" si="114"/>
        <v>0</v>
      </c>
      <c r="M514">
        <f t="shared" si="114"/>
        <v>0</v>
      </c>
      <c r="N514">
        <f t="shared" si="114"/>
        <v>0</v>
      </c>
      <c r="O514">
        <f t="shared" si="114"/>
        <v>0</v>
      </c>
      <c r="P514">
        <f t="shared" si="114"/>
        <v>0</v>
      </c>
      <c r="Q514">
        <f t="shared" si="114"/>
        <v>0</v>
      </c>
      <c r="R514">
        <f t="shared" si="114"/>
        <v>0</v>
      </c>
      <c r="S514">
        <f t="shared" si="114"/>
        <v>0</v>
      </c>
      <c r="T514">
        <f t="shared" si="114"/>
        <v>0</v>
      </c>
      <c r="U514">
        <f t="shared" si="114"/>
        <v>0</v>
      </c>
      <c r="V514">
        <f t="shared" si="114"/>
        <v>0</v>
      </c>
      <c r="W514">
        <f t="shared" si="114"/>
        <v>0</v>
      </c>
      <c r="X514">
        <f t="shared" si="114"/>
        <v>0</v>
      </c>
      <c r="Y514">
        <f t="shared" si="114"/>
        <v>0</v>
      </c>
      <c r="Z514">
        <f t="shared" si="113"/>
        <v>0</v>
      </c>
      <c r="AA514">
        <f t="shared" si="113"/>
        <v>0</v>
      </c>
      <c r="AB514">
        <f t="shared" si="113"/>
        <v>0</v>
      </c>
      <c r="AC514">
        <f t="shared" si="113"/>
        <v>0</v>
      </c>
      <c r="AD514">
        <f t="shared" si="113"/>
        <v>0</v>
      </c>
      <c r="AE514">
        <f t="shared" si="113"/>
        <v>0</v>
      </c>
      <c r="AF514">
        <f t="shared" si="113"/>
        <v>0</v>
      </c>
      <c r="AG514">
        <f t="shared" si="113"/>
        <v>0</v>
      </c>
      <c r="AH514">
        <f t="shared" si="113"/>
        <v>0</v>
      </c>
      <c r="AI514">
        <f t="shared" si="113"/>
        <v>0</v>
      </c>
      <c r="AJ514">
        <f t="shared" si="113"/>
        <v>0</v>
      </c>
      <c r="AK514">
        <f t="shared" si="113"/>
        <v>0</v>
      </c>
      <c r="AL514">
        <f t="shared" si="113"/>
        <v>0</v>
      </c>
      <c r="AM514">
        <f t="shared" si="113"/>
        <v>0</v>
      </c>
      <c r="AN514">
        <f t="shared" si="113"/>
        <v>0</v>
      </c>
      <c r="AO514">
        <f t="shared" si="106"/>
        <v>0</v>
      </c>
      <c r="AP514">
        <f t="shared" si="106"/>
        <v>0</v>
      </c>
      <c r="AQ514">
        <f t="shared" si="106"/>
        <v>0</v>
      </c>
      <c r="AR514">
        <f t="shared" si="106"/>
        <v>0</v>
      </c>
    </row>
    <row r="515" spans="5:44" x14ac:dyDescent="0.2">
      <c r="E515" s="1">
        <f>moment_rate!$M515</f>
        <v>3.5152662540086269E-2</v>
      </c>
      <c r="F515" s="1">
        <f t="shared" si="101"/>
        <v>5.8755863770258016E-4</v>
      </c>
      <c r="G515">
        <f>moment_rate!I515-0.005</f>
        <v>5.0799999999999361</v>
      </c>
      <c r="H515" s="1">
        <f t="shared" si="102"/>
        <v>5.8755863770258016E-4</v>
      </c>
      <c r="I515">
        <f t="shared" si="110"/>
        <v>5.8755863770258016E-4</v>
      </c>
      <c r="J515">
        <f t="shared" si="114"/>
        <v>0</v>
      </c>
      <c r="K515">
        <f t="shared" si="114"/>
        <v>0</v>
      </c>
      <c r="L515">
        <f t="shared" si="114"/>
        <v>0</v>
      </c>
      <c r="M515">
        <f t="shared" si="114"/>
        <v>0</v>
      </c>
      <c r="N515">
        <f t="shared" si="114"/>
        <v>0</v>
      </c>
      <c r="O515">
        <f t="shared" si="114"/>
        <v>0</v>
      </c>
      <c r="P515">
        <f t="shared" si="114"/>
        <v>0</v>
      </c>
      <c r="Q515">
        <f t="shared" si="114"/>
        <v>0</v>
      </c>
      <c r="R515">
        <f t="shared" si="114"/>
        <v>0</v>
      </c>
      <c r="S515">
        <f t="shared" si="114"/>
        <v>0</v>
      </c>
      <c r="T515">
        <f t="shared" si="114"/>
        <v>0</v>
      </c>
      <c r="U515">
        <f t="shared" si="114"/>
        <v>0</v>
      </c>
      <c r="V515">
        <f t="shared" si="114"/>
        <v>0</v>
      </c>
      <c r="W515">
        <f t="shared" si="114"/>
        <v>0</v>
      </c>
      <c r="X515">
        <f t="shared" si="114"/>
        <v>0</v>
      </c>
      <c r="Y515">
        <f t="shared" si="114"/>
        <v>0</v>
      </c>
      <c r="Z515">
        <f t="shared" si="113"/>
        <v>0</v>
      </c>
      <c r="AA515">
        <f t="shared" si="113"/>
        <v>0</v>
      </c>
      <c r="AB515">
        <f t="shared" si="113"/>
        <v>0</v>
      </c>
      <c r="AC515">
        <f t="shared" si="113"/>
        <v>0</v>
      </c>
      <c r="AD515">
        <f t="shared" si="113"/>
        <v>0</v>
      </c>
      <c r="AE515">
        <f t="shared" si="113"/>
        <v>0</v>
      </c>
      <c r="AF515">
        <f t="shared" si="113"/>
        <v>0</v>
      </c>
      <c r="AG515">
        <f t="shared" si="113"/>
        <v>0</v>
      </c>
      <c r="AH515">
        <f t="shared" si="113"/>
        <v>0</v>
      </c>
      <c r="AI515">
        <f t="shared" si="113"/>
        <v>0</v>
      </c>
      <c r="AJ515">
        <f t="shared" si="113"/>
        <v>0</v>
      </c>
      <c r="AK515">
        <f t="shared" si="113"/>
        <v>0</v>
      </c>
      <c r="AL515">
        <f t="shared" si="113"/>
        <v>0</v>
      </c>
      <c r="AM515">
        <f t="shared" si="113"/>
        <v>0</v>
      </c>
      <c r="AN515">
        <f t="shared" si="113"/>
        <v>0</v>
      </c>
      <c r="AO515">
        <f t="shared" si="106"/>
        <v>0</v>
      </c>
      <c r="AP515">
        <f t="shared" si="106"/>
        <v>0</v>
      </c>
      <c r="AQ515">
        <f t="shared" si="106"/>
        <v>0</v>
      </c>
      <c r="AR515">
        <f t="shared" si="106"/>
        <v>0</v>
      </c>
    </row>
    <row r="516" spans="5:44" x14ac:dyDescent="0.2">
      <c r="E516" s="1">
        <f>moment_rate!$M516</f>
        <v>3.4565103902383688E-2</v>
      </c>
      <c r="F516" s="1">
        <f t="shared" si="101"/>
        <v>5.7550780147005987E-4</v>
      </c>
      <c r="G516">
        <f>moment_rate!I516-0.005</f>
        <v>5.0899999999999359</v>
      </c>
      <c r="H516" s="1">
        <f t="shared" si="102"/>
        <v>5.7550780147005987E-4</v>
      </c>
      <c r="I516">
        <f t="shared" si="110"/>
        <v>5.7550780147005987E-4</v>
      </c>
      <c r="J516">
        <f t="shared" si="114"/>
        <v>0</v>
      </c>
      <c r="K516">
        <f t="shared" si="114"/>
        <v>0</v>
      </c>
      <c r="L516">
        <f t="shared" si="114"/>
        <v>0</v>
      </c>
      <c r="M516">
        <f t="shared" si="114"/>
        <v>0</v>
      </c>
      <c r="N516">
        <f t="shared" si="114"/>
        <v>0</v>
      </c>
      <c r="O516">
        <f t="shared" si="114"/>
        <v>0</v>
      </c>
      <c r="P516">
        <f t="shared" si="114"/>
        <v>0</v>
      </c>
      <c r="Q516">
        <f t="shared" si="114"/>
        <v>0</v>
      </c>
      <c r="R516">
        <f t="shared" si="114"/>
        <v>0</v>
      </c>
      <c r="S516">
        <f t="shared" si="114"/>
        <v>0</v>
      </c>
      <c r="T516">
        <f t="shared" si="114"/>
        <v>0</v>
      </c>
      <c r="U516">
        <f t="shared" si="114"/>
        <v>0</v>
      </c>
      <c r="V516">
        <f t="shared" si="114"/>
        <v>0</v>
      </c>
      <c r="W516">
        <f t="shared" si="114"/>
        <v>0</v>
      </c>
      <c r="X516">
        <f t="shared" si="114"/>
        <v>0</v>
      </c>
      <c r="Y516">
        <f t="shared" si="114"/>
        <v>0</v>
      </c>
      <c r="Z516">
        <f t="shared" si="113"/>
        <v>0</v>
      </c>
      <c r="AA516">
        <f t="shared" si="113"/>
        <v>0</v>
      </c>
      <c r="AB516">
        <f t="shared" si="113"/>
        <v>0</v>
      </c>
      <c r="AC516">
        <f t="shared" si="113"/>
        <v>0</v>
      </c>
      <c r="AD516">
        <f t="shared" si="113"/>
        <v>0</v>
      </c>
      <c r="AE516">
        <f t="shared" si="113"/>
        <v>0</v>
      </c>
      <c r="AF516">
        <f t="shared" si="113"/>
        <v>0</v>
      </c>
      <c r="AG516">
        <f t="shared" si="113"/>
        <v>0</v>
      </c>
      <c r="AH516">
        <f t="shared" si="113"/>
        <v>0</v>
      </c>
      <c r="AI516">
        <f t="shared" si="113"/>
        <v>0</v>
      </c>
      <c r="AJ516">
        <f t="shared" si="113"/>
        <v>0</v>
      </c>
      <c r="AK516">
        <f t="shared" si="113"/>
        <v>0</v>
      </c>
      <c r="AL516">
        <f t="shared" si="113"/>
        <v>0</v>
      </c>
      <c r="AM516">
        <f t="shared" si="113"/>
        <v>0</v>
      </c>
      <c r="AN516">
        <f t="shared" si="113"/>
        <v>0</v>
      </c>
      <c r="AO516">
        <f t="shared" si="106"/>
        <v>0</v>
      </c>
      <c r="AP516">
        <f t="shared" si="106"/>
        <v>0</v>
      </c>
      <c r="AQ516">
        <f t="shared" si="106"/>
        <v>0</v>
      </c>
      <c r="AR516">
        <f t="shared" si="106"/>
        <v>0</v>
      </c>
    </row>
    <row r="517" spans="5:44" x14ac:dyDescent="0.2">
      <c r="E517" s="1">
        <f>moment_rate!$M517</f>
        <v>3.3989596100913629E-2</v>
      </c>
      <c r="F517" s="1">
        <f t="shared" si="101"/>
        <v>5.6370412806449471E-4</v>
      </c>
      <c r="G517">
        <f>moment_rate!I517-0.005</f>
        <v>5.0999999999999357</v>
      </c>
      <c r="H517" s="1">
        <f t="shared" si="102"/>
        <v>5.6370412806449471E-4</v>
      </c>
      <c r="I517">
        <f t="shared" si="110"/>
        <v>5.6370412806449471E-4</v>
      </c>
      <c r="J517">
        <f t="shared" si="114"/>
        <v>0</v>
      </c>
      <c r="K517">
        <f t="shared" si="114"/>
        <v>0</v>
      </c>
      <c r="L517">
        <f t="shared" si="114"/>
        <v>0</v>
      </c>
      <c r="M517">
        <f t="shared" si="114"/>
        <v>0</v>
      </c>
      <c r="N517">
        <f t="shared" si="114"/>
        <v>0</v>
      </c>
      <c r="O517">
        <f t="shared" si="114"/>
        <v>0</v>
      </c>
      <c r="P517">
        <f t="shared" si="114"/>
        <v>0</v>
      </c>
      <c r="Q517">
        <f t="shared" si="114"/>
        <v>0</v>
      </c>
      <c r="R517">
        <f t="shared" si="114"/>
        <v>0</v>
      </c>
      <c r="S517">
        <f t="shared" si="114"/>
        <v>0</v>
      </c>
      <c r="T517">
        <f t="shared" si="114"/>
        <v>0</v>
      </c>
      <c r="U517">
        <f t="shared" si="114"/>
        <v>0</v>
      </c>
      <c r="V517">
        <f t="shared" si="114"/>
        <v>0</v>
      </c>
      <c r="W517">
        <f t="shared" si="114"/>
        <v>0</v>
      </c>
      <c r="X517">
        <f t="shared" si="114"/>
        <v>0</v>
      </c>
      <c r="Y517">
        <f t="shared" si="114"/>
        <v>0</v>
      </c>
      <c r="Z517">
        <f t="shared" si="113"/>
        <v>0</v>
      </c>
      <c r="AA517">
        <f t="shared" si="113"/>
        <v>0</v>
      </c>
      <c r="AB517">
        <f t="shared" si="113"/>
        <v>0</v>
      </c>
      <c r="AC517">
        <f t="shared" si="113"/>
        <v>0</v>
      </c>
      <c r="AD517">
        <f t="shared" si="113"/>
        <v>0</v>
      </c>
      <c r="AE517">
        <f t="shared" si="113"/>
        <v>0</v>
      </c>
      <c r="AF517">
        <f t="shared" si="113"/>
        <v>0</v>
      </c>
      <c r="AG517">
        <f t="shared" si="113"/>
        <v>0</v>
      </c>
      <c r="AH517">
        <f t="shared" si="113"/>
        <v>0</v>
      </c>
      <c r="AI517">
        <f t="shared" si="113"/>
        <v>0</v>
      </c>
      <c r="AJ517">
        <f t="shared" si="113"/>
        <v>0</v>
      </c>
      <c r="AK517">
        <f t="shared" si="113"/>
        <v>0</v>
      </c>
      <c r="AL517">
        <f t="shared" si="113"/>
        <v>0</v>
      </c>
      <c r="AM517">
        <f t="shared" si="113"/>
        <v>0</v>
      </c>
      <c r="AN517">
        <f t="shared" si="113"/>
        <v>0</v>
      </c>
      <c r="AO517">
        <f t="shared" si="106"/>
        <v>0</v>
      </c>
      <c r="AP517">
        <f t="shared" si="106"/>
        <v>0</v>
      </c>
      <c r="AQ517">
        <f t="shared" si="106"/>
        <v>0</v>
      </c>
      <c r="AR517">
        <f t="shared" si="106"/>
        <v>0</v>
      </c>
    </row>
    <row r="518" spans="5:44" x14ac:dyDescent="0.2">
      <c r="E518" s="1">
        <f>moment_rate!$M518</f>
        <v>3.3425891972849134E-2</v>
      </c>
      <c r="F518" s="1">
        <f t="shared" si="101"/>
        <v>5.5214254817272101E-4</v>
      </c>
      <c r="G518">
        <f>moment_rate!I518-0.005</f>
        <v>5.1099999999999355</v>
      </c>
      <c r="H518" s="1">
        <f t="shared" si="102"/>
        <v>5.5214254817272101E-4</v>
      </c>
      <c r="I518">
        <f t="shared" si="110"/>
        <v>0</v>
      </c>
      <c r="J518">
        <f t="shared" si="114"/>
        <v>5.5214254817272101E-4</v>
      </c>
      <c r="K518">
        <f t="shared" si="114"/>
        <v>0</v>
      </c>
      <c r="L518">
        <f t="shared" si="114"/>
        <v>0</v>
      </c>
      <c r="M518">
        <f t="shared" si="114"/>
        <v>0</v>
      </c>
      <c r="N518">
        <f t="shared" si="114"/>
        <v>0</v>
      </c>
      <c r="O518">
        <f t="shared" si="114"/>
        <v>0</v>
      </c>
      <c r="P518">
        <f t="shared" si="114"/>
        <v>0</v>
      </c>
      <c r="Q518">
        <f t="shared" si="114"/>
        <v>0</v>
      </c>
      <c r="R518">
        <f t="shared" si="114"/>
        <v>0</v>
      </c>
      <c r="S518">
        <f t="shared" si="114"/>
        <v>0</v>
      </c>
      <c r="T518">
        <f t="shared" si="114"/>
        <v>0</v>
      </c>
      <c r="U518">
        <f t="shared" si="114"/>
        <v>0</v>
      </c>
      <c r="V518">
        <f t="shared" si="114"/>
        <v>0</v>
      </c>
      <c r="W518">
        <f t="shared" si="114"/>
        <v>0</v>
      </c>
      <c r="X518">
        <f t="shared" si="114"/>
        <v>0</v>
      </c>
      <c r="Y518">
        <f t="shared" si="114"/>
        <v>0</v>
      </c>
      <c r="Z518">
        <f t="shared" si="113"/>
        <v>0</v>
      </c>
      <c r="AA518">
        <f t="shared" si="113"/>
        <v>0</v>
      </c>
      <c r="AB518">
        <f t="shared" si="113"/>
        <v>0</v>
      </c>
      <c r="AC518">
        <f t="shared" si="113"/>
        <v>0</v>
      </c>
      <c r="AD518">
        <f t="shared" si="113"/>
        <v>0</v>
      </c>
      <c r="AE518">
        <f t="shared" si="113"/>
        <v>0</v>
      </c>
      <c r="AF518">
        <f t="shared" si="113"/>
        <v>0</v>
      </c>
      <c r="AG518">
        <f t="shared" si="113"/>
        <v>0</v>
      </c>
      <c r="AH518">
        <f t="shared" si="113"/>
        <v>0</v>
      </c>
      <c r="AI518">
        <f t="shared" si="113"/>
        <v>0</v>
      </c>
      <c r="AJ518">
        <f t="shared" si="113"/>
        <v>0</v>
      </c>
      <c r="AK518">
        <f t="shared" si="113"/>
        <v>0</v>
      </c>
      <c r="AL518">
        <f t="shared" si="113"/>
        <v>0</v>
      </c>
      <c r="AM518">
        <f t="shared" si="113"/>
        <v>0</v>
      </c>
      <c r="AN518">
        <f t="shared" si="113"/>
        <v>0</v>
      </c>
      <c r="AO518">
        <f t="shared" si="106"/>
        <v>0</v>
      </c>
      <c r="AP518">
        <f t="shared" si="106"/>
        <v>0</v>
      </c>
      <c r="AQ518">
        <f t="shared" si="106"/>
        <v>0</v>
      </c>
      <c r="AR518">
        <f t="shared" si="106"/>
        <v>0</v>
      </c>
    </row>
    <row r="519" spans="5:44" x14ac:dyDescent="0.2">
      <c r="E519" s="1">
        <f>moment_rate!$M519</f>
        <v>3.2873749424676413E-2</v>
      </c>
      <c r="F519" s="1">
        <f t="shared" si="101"/>
        <v>5.4081809645321888E-4</v>
      </c>
      <c r="G519">
        <f>moment_rate!I519-0.005</f>
        <v>5.1199999999999353</v>
      </c>
      <c r="H519" s="1">
        <f t="shared" si="102"/>
        <v>5.4081809645321888E-4</v>
      </c>
      <c r="I519">
        <f t="shared" si="110"/>
        <v>0</v>
      </c>
      <c r="J519">
        <f t="shared" si="114"/>
        <v>5.4081809645321888E-4</v>
      </c>
      <c r="K519">
        <f t="shared" si="114"/>
        <v>0</v>
      </c>
      <c r="L519">
        <f t="shared" si="114"/>
        <v>0</v>
      </c>
      <c r="M519">
        <f t="shared" si="114"/>
        <v>0</v>
      </c>
      <c r="N519">
        <f t="shared" si="114"/>
        <v>0</v>
      </c>
      <c r="O519">
        <f t="shared" si="114"/>
        <v>0</v>
      </c>
      <c r="P519">
        <f t="shared" si="114"/>
        <v>0</v>
      </c>
      <c r="Q519">
        <f t="shared" si="114"/>
        <v>0</v>
      </c>
      <c r="R519">
        <f t="shared" si="114"/>
        <v>0</v>
      </c>
      <c r="S519">
        <f t="shared" si="114"/>
        <v>0</v>
      </c>
      <c r="T519">
        <f t="shared" si="114"/>
        <v>0</v>
      </c>
      <c r="U519">
        <f t="shared" si="114"/>
        <v>0</v>
      </c>
      <c r="V519">
        <f t="shared" si="114"/>
        <v>0</v>
      </c>
      <c r="W519">
        <f t="shared" si="114"/>
        <v>0</v>
      </c>
      <c r="X519">
        <f t="shared" si="114"/>
        <v>0</v>
      </c>
      <c r="Y519">
        <f t="shared" si="114"/>
        <v>0</v>
      </c>
      <c r="Z519">
        <f t="shared" si="113"/>
        <v>0</v>
      </c>
      <c r="AA519">
        <f t="shared" si="113"/>
        <v>0</v>
      </c>
      <c r="AB519">
        <f t="shared" si="113"/>
        <v>0</v>
      </c>
      <c r="AC519">
        <f t="shared" si="113"/>
        <v>0</v>
      </c>
      <c r="AD519">
        <f t="shared" si="113"/>
        <v>0</v>
      </c>
      <c r="AE519">
        <f t="shared" si="113"/>
        <v>0</v>
      </c>
      <c r="AF519">
        <f t="shared" si="113"/>
        <v>0</v>
      </c>
      <c r="AG519">
        <f t="shared" si="113"/>
        <v>0</v>
      </c>
      <c r="AH519">
        <f t="shared" si="113"/>
        <v>0</v>
      </c>
      <c r="AI519">
        <f t="shared" si="113"/>
        <v>0</v>
      </c>
      <c r="AJ519">
        <f t="shared" si="113"/>
        <v>0</v>
      </c>
      <c r="AK519">
        <f t="shared" si="113"/>
        <v>0</v>
      </c>
      <c r="AL519">
        <f t="shared" si="113"/>
        <v>0</v>
      </c>
      <c r="AM519">
        <f t="shared" si="113"/>
        <v>0</v>
      </c>
      <c r="AN519">
        <f t="shared" si="113"/>
        <v>0</v>
      </c>
      <c r="AO519">
        <f t="shared" si="106"/>
        <v>0</v>
      </c>
      <c r="AP519">
        <f t="shared" si="106"/>
        <v>0</v>
      </c>
      <c r="AQ519">
        <f t="shared" si="106"/>
        <v>0</v>
      </c>
      <c r="AR519">
        <f t="shared" si="106"/>
        <v>0</v>
      </c>
    </row>
    <row r="520" spans="5:44" x14ac:dyDescent="0.2">
      <c r="E520" s="1">
        <f>moment_rate!$M520</f>
        <v>3.2332931328223194E-2</v>
      </c>
      <c r="F520" s="1">
        <f t="shared" ref="F520:F583" si="115">E520-E521</f>
        <v>5.2972590940372072E-4</v>
      </c>
      <c r="G520">
        <f>moment_rate!I520-0.005</f>
        <v>5.1299999999999351</v>
      </c>
      <c r="H520" s="1">
        <f t="shared" ref="H520:H583" si="116">IF($G520&gt;=4.999,(E520-E521),0)</f>
        <v>5.2972590940372072E-4</v>
      </c>
      <c r="I520">
        <f t="shared" ref="I520:X538" si="117">IF(AND($G520&gt;=I$3,$G520&lt;I$4),$F520,0)</f>
        <v>0</v>
      </c>
      <c r="J520">
        <f t="shared" si="114"/>
        <v>5.2972590940372072E-4</v>
      </c>
      <c r="K520">
        <f t="shared" si="114"/>
        <v>0</v>
      </c>
      <c r="L520">
        <f t="shared" si="114"/>
        <v>0</v>
      </c>
      <c r="M520">
        <f t="shared" si="114"/>
        <v>0</v>
      </c>
      <c r="N520">
        <f t="shared" si="114"/>
        <v>0</v>
      </c>
      <c r="O520">
        <f t="shared" si="114"/>
        <v>0</v>
      </c>
      <c r="P520">
        <f t="shared" si="114"/>
        <v>0</v>
      </c>
      <c r="Q520">
        <f t="shared" si="114"/>
        <v>0</v>
      </c>
      <c r="R520">
        <f t="shared" si="114"/>
        <v>0</v>
      </c>
      <c r="S520">
        <f t="shared" si="114"/>
        <v>0</v>
      </c>
      <c r="T520">
        <f t="shared" si="114"/>
        <v>0</v>
      </c>
      <c r="U520">
        <f t="shared" si="114"/>
        <v>0</v>
      </c>
      <c r="V520">
        <f t="shared" si="114"/>
        <v>0</v>
      </c>
      <c r="W520">
        <f t="shared" si="114"/>
        <v>0</v>
      </c>
      <c r="X520">
        <f t="shared" si="114"/>
        <v>0</v>
      </c>
      <c r="Y520">
        <f t="shared" si="114"/>
        <v>0</v>
      </c>
      <c r="Z520">
        <f t="shared" si="113"/>
        <v>0</v>
      </c>
      <c r="AA520">
        <f t="shared" si="113"/>
        <v>0</v>
      </c>
      <c r="AB520">
        <f t="shared" si="113"/>
        <v>0</v>
      </c>
      <c r="AC520">
        <f t="shared" si="113"/>
        <v>0</v>
      </c>
      <c r="AD520">
        <f t="shared" si="113"/>
        <v>0</v>
      </c>
      <c r="AE520">
        <f t="shared" si="113"/>
        <v>0</v>
      </c>
      <c r="AF520">
        <f t="shared" si="113"/>
        <v>0</v>
      </c>
      <c r="AG520">
        <f t="shared" si="113"/>
        <v>0</v>
      </c>
      <c r="AH520">
        <f t="shared" si="113"/>
        <v>0</v>
      </c>
      <c r="AI520">
        <f t="shared" si="113"/>
        <v>0</v>
      </c>
      <c r="AJ520">
        <f t="shared" si="113"/>
        <v>0</v>
      </c>
      <c r="AK520">
        <f t="shared" si="113"/>
        <v>0</v>
      </c>
      <c r="AL520">
        <f t="shared" si="113"/>
        <v>0</v>
      </c>
      <c r="AM520">
        <f t="shared" si="113"/>
        <v>0</v>
      </c>
      <c r="AN520">
        <f t="shared" si="113"/>
        <v>0</v>
      </c>
      <c r="AO520">
        <f t="shared" si="106"/>
        <v>0</v>
      </c>
      <c r="AP520">
        <f t="shared" si="106"/>
        <v>0</v>
      </c>
      <c r="AQ520">
        <f t="shared" si="106"/>
        <v>0</v>
      </c>
      <c r="AR520">
        <f t="shared" si="106"/>
        <v>0</v>
      </c>
    </row>
    <row r="521" spans="5:44" x14ac:dyDescent="0.2">
      <c r="E521" s="1">
        <f>moment_rate!$M521</f>
        <v>3.1803205418819473E-2</v>
      </c>
      <c r="F521" s="1">
        <f t="shared" si="115"/>
        <v>5.1886122327246542E-4</v>
      </c>
      <c r="G521">
        <f>moment_rate!I521-0.005</f>
        <v>5.1399999999999348</v>
      </c>
      <c r="H521" s="1">
        <f t="shared" si="116"/>
        <v>5.1886122327246542E-4</v>
      </c>
      <c r="I521">
        <f t="shared" si="117"/>
        <v>0</v>
      </c>
      <c r="J521">
        <f t="shared" si="114"/>
        <v>5.1886122327246542E-4</v>
      </c>
      <c r="K521">
        <f t="shared" si="114"/>
        <v>0</v>
      </c>
      <c r="L521">
        <f t="shared" si="114"/>
        <v>0</v>
      </c>
      <c r="M521">
        <f t="shared" si="114"/>
        <v>0</v>
      </c>
      <c r="N521">
        <f t="shared" si="114"/>
        <v>0</v>
      </c>
      <c r="O521">
        <f t="shared" si="114"/>
        <v>0</v>
      </c>
      <c r="P521">
        <f t="shared" si="114"/>
        <v>0</v>
      </c>
      <c r="Q521">
        <f t="shared" si="114"/>
        <v>0</v>
      </c>
      <c r="R521">
        <f t="shared" si="114"/>
        <v>0</v>
      </c>
      <c r="S521">
        <f t="shared" si="114"/>
        <v>0</v>
      </c>
      <c r="T521">
        <f t="shared" si="114"/>
        <v>0</v>
      </c>
      <c r="U521">
        <f t="shared" si="114"/>
        <v>0</v>
      </c>
      <c r="V521">
        <f t="shared" si="114"/>
        <v>0</v>
      </c>
      <c r="W521">
        <f t="shared" si="114"/>
        <v>0</v>
      </c>
      <c r="X521">
        <f t="shared" si="114"/>
        <v>0</v>
      </c>
      <c r="Y521">
        <f t="shared" si="114"/>
        <v>0</v>
      </c>
      <c r="Z521">
        <f t="shared" si="113"/>
        <v>0</v>
      </c>
      <c r="AA521">
        <f t="shared" si="113"/>
        <v>0</v>
      </c>
      <c r="AB521">
        <f t="shared" si="113"/>
        <v>0</v>
      </c>
      <c r="AC521">
        <f t="shared" si="113"/>
        <v>0</v>
      </c>
      <c r="AD521">
        <f t="shared" si="113"/>
        <v>0</v>
      </c>
      <c r="AE521">
        <f t="shared" si="113"/>
        <v>0</v>
      </c>
      <c r="AF521">
        <f t="shared" si="113"/>
        <v>0</v>
      </c>
      <c r="AG521">
        <f t="shared" si="113"/>
        <v>0</v>
      </c>
      <c r="AH521">
        <f t="shared" si="113"/>
        <v>0</v>
      </c>
      <c r="AI521">
        <f t="shared" si="113"/>
        <v>0</v>
      </c>
      <c r="AJ521">
        <f t="shared" si="113"/>
        <v>0</v>
      </c>
      <c r="AK521">
        <f t="shared" si="113"/>
        <v>0</v>
      </c>
      <c r="AL521">
        <f t="shared" si="113"/>
        <v>0</v>
      </c>
      <c r="AM521">
        <f t="shared" si="113"/>
        <v>0</v>
      </c>
      <c r="AN521">
        <f t="shared" si="113"/>
        <v>0</v>
      </c>
      <c r="AO521">
        <f t="shared" si="106"/>
        <v>0</v>
      </c>
      <c r="AP521">
        <f t="shared" si="106"/>
        <v>0</v>
      </c>
      <c r="AQ521">
        <f t="shared" si="106"/>
        <v>0</v>
      </c>
      <c r="AR521">
        <f t="shared" si="106"/>
        <v>0</v>
      </c>
    </row>
    <row r="522" spans="5:44" x14ac:dyDescent="0.2">
      <c r="E522" s="1">
        <f>moment_rate!$M522</f>
        <v>3.1284344195547008E-2</v>
      </c>
      <c r="F522" s="1">
        <f t="shared" si="115"/>
        <v>5.0821937201228282E-4</v>
      </c>
      <c r="G522">
        <f>moment_rate!I522-0.005</f>
        <v>5.1499999999999346</v>
      </c>
      <c r="H522" s="1">
        <f t="shared" si="116"/>
        <v>5.0821937201228282E-4</v>
      </c>
      <c r="I522">
        <f t="shared" si="117"/>
        <v>0</v>
      </c>
      <c r="J522">
        <f t="shared" si="114"/>
        <v>5.0821937201228282E-4</v>
      </c>
      <c r="K522">
        <f t="shared" si="114"/>
        <v>0</v>
      </c>
      <c r="L522">
        <f t="shared" si="114"/>
        <v>0</v>
      </c>
      <c r="M522">
        <f t="shared" si="114"/>
        <v>0</v>
      </c>
      <c r="N522">
        <f t="shared" si="114"/>
        <v>0</v>
      </c>
      <c r="O522">
        <f t="shared" si="114"/>
        <v>0</v>
      </c>
      <c r="P522">
        <f t="shared" si="114"/>
        <v>0</v>
      </c>
      <c r="Q522">
        <f t="shared" si="114"/>
        <v>0</v>
      </c>
      <c r="R522">
        <f t="shared" si="114"/>
        <v>0</v>
      </c>
      <c r="S522">
        <f t="shared" si="114"/>
        <v>0</v>
      </c>
      <c r="T522">
        <f t="shared" si="114"/>
        <v>0</v>
      </c>
      <c r="U522">
        <f t="shared" si="114"/>
        <v>0</v>
      </c>
      <c r="V522">
        <f t="shared" si="114"/>
        <v>0</v>
      </c>
      <c r="W522">
        <f t="shared" si="114"/>
        <v>0</v>
      </c>
      <c r="X522">
        <f t="shared" si="114"/>
        <v>0</v>
      </c>
      <c r="Y522">
        <f t="shared" ref="Y522:AN537" si="118">IF(AND($G522&gt;=Y$3,$G522&lt;Y$4),$F522,0)</f>
        <v>0</v>
      </c>
      <c r="Z522">
        <f t="shared" si="118"/>
        <v>0</v>
      </c>
      <c r="AA522">
        <f t="shared" si="118"/>
        <v>0</v>
      </c>
      <c r="AB522">
        <f t="shared" si="118"/>
        <v>0</v>
      </c>
      <c r="AC522">
        <f t="shared" si="118"/>
        <v>0</v>
      </c>
      <c r="AD522">
        <f t="shared" si="118"/>
        <v>0</v>
      </c>
      <c r="AE522">
        <f t="shared" si="118"/>
        <v>0</v>
      </c>
      <c r="AF522">
        <f t="shared" si="118"/>
        <v>0</v>
      </c>
      <c r="AG522">
        <f t="shared" si="118"/>
        <v>0</v>
      </c>
      <c r="AH522">
        <f t="shared" si="118"/>
        <v>0</v>
      </c>
      <c r="AI522">
        <f t="shared" si="118"/>
        <v>0</v>
      </c>
      <c r="AJ522">
        <f t="shared" si="118"/>
        <v>0</v>
      </c>
      <c r="AK522">
        <f t="shared" si="118"/>
        <v>0</v>
      </c>
      <c r="AL522">
        <f t="shared" si="118"/>
        <v>0</v>
      </c>
      <c r="AM522">
        <f t="shared" si="118"/>
        <v>0</v>
      </c>
      <c r="AN522">
        <f t="shared" si="118"/>
        <v>0</v>
      </c>
      <c r="AO522">
        <f t="shared" si="106"/>
        <v>0</v>
      </c>
      <c r="AP522">
        <f t="shared" si="106"/>
        <v>0</v>
      </c>
      <c r="AQ522">
        <f t="shared" si="106"/>
        <v>0</v>
      </c>
      <c r="AR522">
        <f t="shared" si="106"/>
        <v>0</v>
      </c>
    </row>
    <row r="523" spans="5:44" x14ac:dyDescent="0.2">
      <c r="E523" s="1">
        <f>moment_rate!$M523</f>
        <v>3.0776124823534725E-2</v>
      </c>
      <c r="F523" s="1">
        <f t="shared" si="115"/>
        <v>4.9779578527673132E-4</v>
      </c>
      <c r="G523">
        <f>moment_rate!I523-0.005</f>
        <v>5.1599999999999344</v>
      </c>
      <c r="H523" s="1">
        <f t="shared" si="116"/>
        <v>4.9779578527673132E-4</v>
      </c>
      <c r="I523">
        <f t="shared" si="117"/>
        <v>0</v>
      </c>
      <c r="J523">
        <f t="shared" si="117"/>
        <v>4.9779578527673132E-4</v>
      </c>
      <c r="K523">
        <f t="shared" si="117"/>
        <v>0</v>
      </c>
      <c r="L523">
        <f t="shared" si="117"/>
        <v>0</v>
      </c>
      <c r="M523">
        <f t="shared" si="117"/>
        <v>0</v>
      </c>
      <c r="N523">
        <f t="shared" si="117"/>
        <v>0</v>
      </c>
      <c r="O523">
        <f t="shared" si="117"/>
        <v>0</v>
      </c>
      <c r="P523">
        <f t="shared" si="117"/>
        <v>0</v>
      </c>
      <c r="Q523">
        <f t="shared" si="117"/>
        <v>0</v>
      </c>
      <c r="R523">
        <f t="shared" si="117"/>
        <v>0</v>
      </c>
      <c r="S523">
        <f t="shared" si="117"/>
        <v>0</v>
      </c>
      <c r="T523">
        <f t="shared" si="117"/>
        <v>0</v>
      </c>
      <c r="U523">
        <f t="shared" si="117"/>
        <v>0</v>
      </c>
      <c r="V523">
        <f t="shared" si="117"/>
        <v>0</v>
      </c>
      <c r="W523">
        <f t="shared" si="117"/>
        <v>0</v>
      </c>
      <c r="X523">
        <f t="shared" si="117"/>
        <v>0</v>
      </c>
      <c r="Y523">
        <f t="shared" si="118"/>
        <v>0</v>
      </c>
      <c r="Z523">
        <f t="shared" si="118"/>
        <v>0</v>
      </c>
      <c r="AA523">
        <f t="shared" si="118"/>
        <v>0</v>
      </c>
      <c r="AB523">
        <f t="shared" si="118"/>
        <v>0</v>
      </c>
      <c r="AC523">
        <f t="shared" si="118"/>
        <v>0</v>
      </c>
      <c r="AD523">
        <f t="shared" si="118"/>
        <v>0</v>
      </c>
      <c r="AE523">
        <f t="shared" si="118"/>
        <v>0</v>
      </c>
      <c r="AF523">
        <f t="shared" si="118"/>
        <v>0</v>
      </c>
      <c r="AG523">
        <f t="shared" si="118"/>
        <v>0</v>
      </c>
      <c r="AH523">
        <f t="shared" si="118"/>
        <v>0</v>
      </c>
      <c r="AI523">
        <f t="shared" si="118"/>
        <v>0</v>
      </c>
      <c r="AJ523">
        <f t="shared" si="118"/>
        <v>0</v>
      </c>
      <c r="AK523">
        <f t="shared" si="118"/>
        <v>0</v>
      </c>
      <c r="AL523">
        <f t="shared" si="118"/>
        <v>0</v>
      </c>
      <c r="AM523">
        <f t="shared" si="118"/>
        <v>0</v>
      </c>
      <c r="AN523">
        <f t="shared" si="118"/>
        <v>0</v>
      </c>
      <c r="AO523">
        <f t="shared" si="106"/>
        <v>0</v>
      </c>
      <c r="AP523">
        <f t="shared" si="106"/>
        <v>0</v>
      </c>
      <c r="AQ523">
        <f t="shared" si="106"/>
        <v>0</v>
      </c>
      <c r="AR523">
        <f t="shared" si="106"/>
        <v>0</v>
      </c>
    </row>
    <row r="524" spans="5:44" x14ac:dyDescent="0.2">
      <c r="E524" s="1">
        <f>moment_rate!$M524</f>
        <v>3.0278329038257994E-2</v>
      </c>
      <c r="F524" s="1">
        <f t="shared" si="115"/>
        <v>4.8758598645721324E-4</v>
      </c>
      <c r="G524">
        <f>moment_rate!I524-0.005</f>
        <v>5.1699999999999342</v>
      </c>
      <c r="H524" s="1">
        <f t="shared" si="116"/>
        <v>4.8758598645721324E-4</v>
      </c>
      <c r="I524">
        <f t="shared" si="117"/>
        <v>0</v>
      </c>
      <c r="J524">
        <f t="shared" si="117"/>
        <v>4.8758598645721324E-4</v>
      </c>
      <c r="K524">
        <f t="shared" si="117"/>
        <v>0</v>
      </c>
      <c r="L524">
        <f t="shared" si="117"/>
        <v>0</v>
      </c>
      <c r="M524">
        <f t="shared" si="117"/>
        <v>0</v>
      </c>
      <c r="N524">
        <f t="shared" si="117"/>
        <v>0</v>
      </c>
      <c r="O524">
        <f t="shared" si="117"/>
        <v>0</v>
      </c>
      <c r="P524">
        <f t="shared" si="117"/>
        <v>0</v>
      </c>
      <c r="Q524">
        <f t="shared" si="117"/>
        <v>0</v>
      </c>
      <c r="R524">
        <f t="shared" si="117"/>
        <v>0</v>
      </c>
      <c r="S524">
        <f t="shared" si="117"/>
        <v>0</v>
      </c>
      <c r="T524">
        <f t="shared" si="117"/>
        <v>0</v>
      </c>
      <c r="U524">
        <f t="shared" si="117"/>
        <v>0</v>
      </c>
      <c r="V524">
        <f t="shared" si="117"/>
        <v>0</v>
      </c>
      <c r="W524">
        <f t="shared" si="117"/>
        <v>0</v>
      </c>
      <c r="X524">
        <f t="shared" si="117"/>
        <v>0</v>
      </c>
      <c r="Y524">
        <f t="shared" si="118"/>
        <v>0</v>
      </c>
      <c r="Z524">
        <f t="shared" si="118"/>
        <v>0</v>
      </c>
      <c r="AA524">
        <f t="shared" si="118"/>
        <v>0</v>
      </c>
      <c r="AB524">
        <f t="shared" si="118"/>
        <v>0</v>
      </c>
      <c r="AC524">
        <f t="shared" si="118"/>
        <v>0</v>
      </c>
      <c r="AD524">
        <f t="shared" si="118"/>
        <v>0</v>
      </c>
      <c r="AE524">
        <f t="shared" si="118"/>
        <v>0</v>
      </c>
      <c r="AF524">
        <f t="shared" si="118"/>
        <v>0</v>
      </c>
      <c r="AG524">
        <f t="shared" si="118"/>
        <v>0</v>
      </c>
      <c r="AH524">
        <f t="shared" si="118"/>
        <v>0</v>
      </c>
      <c r="AI524">
        <f t="shared" si="118"/>
        <v>0</v>
      </c>
      <c r="AJ524">
        <f t="shared" si="118"/>
        <v>0</v>
      </c>
      <c r="AK524">
        <f t="shared" si="118"/>
        <v>0</v>
      </c>
      <c r="AL524">
        <f t="shared" si="118"/>
        <v>0</v>
      </c>
      <c r="AM524">
        <f t="shared" si="118"/>
        <v>0</v>
      </c>
      <c r="AN524">
        <f t="shared" si="118"/>
        <v>0</v>
      </c>
      <c r="AO524">
        <f t="shared" si="106"/>
        <v>0</v>
      </c>
      <c r="AP524">
        <f t="shared" si="106"/>
        <v>0</v>
      </c>
      <c r="AQ524">
        <f t="shared" si="106"/>
        <v>0</v>
      </c>
      <c r="AR524">
        <f t="shared" si="106"/>
        <v>0</v>
      </c>
    </row>
    <row r="525" spans="5:44" x14ac:dyDescent="0.2">
      <c r="E525" s="1">
        <f>moment_rate!$M525</f>
        <v>2.979074305180078E-2</v>
      </c>
      <c r="F525" s="1">
        <f t="shared" si="115"/>
        <v>4.7758559076046744E-4</v>
      </c>
      <c r="G525">
        <f>moment_rate!I525-0.005</f>
        <v>5.179999999999934</v>
      </c>
      <c r="H525" s="1">
        <f t="shared" si="116"/>
        <v>4.7758559076046744E-4</v>
      </c>
      <c r="I525">
        <f t="shared" si="117"/>
        <v>0</v>
      </c>
      <c r="J525">
        <f t="shared" si="117"/>
        <v>4.7758559076046744E-4</v>
      </c>
      <c r="K525">
        <f t="shared" si="117"/>
        <v>0</v>
      </c>
      <c r="L525">
        <f t="shared" si="117"/>
        <v>0</v>
      </c>
      <c r="M525">
        <f t="shared" si="117"/>
        <v>0</v>
      </c>
      <c r="N525">
        <f t="shared" si="117"/>
        <v>0</v>
      </c>
      <c r="O525">
        <f t="shared" si="117"/>
        <v>0</v>
      </c>
      <c r="P525">
        <f t="shared" si="117"/>
        <v>0</v>
      </c>
      <c r="Q525">
        <f t="shared" si="117"/>
        <v>0</v>
      </c>
      <c r="R525">
        <f t="shared" si="117"/>
        <v>0</v>
      </c>
      <c r="S525">
        <f t="shared" si="117"/>
        <v>0</v>
      </c>
      <c r="T525">
        <f t="shared" si="117"/>
        <v>0</v>
      </c>
      <c r="U525">
        <f t="shared" si="117"/>
        <v>0</v>
      </c>
      <c r="V525">
        <f t="shared" si="117"/>
        <v>0</v>
      </c>
      <c r="W525">
        <f t="shared" si="117"/>
        <v>0</v>
      </c>
      <c r="X525">
        <f t="shared" si="117"/>
        <v>0</v>
      </c>
      <c r="Y525">
        <f t="shared" si="118"/>
        <v>0</v>
      </c>
      <c r="Z525">
        <f t="shared" si="118"/>
        <v>0</v>
      </c>
      <c r="AA525">
        <f t="shared" si="118"/>
        <v>0</v>
      </c>
      <c r="AB525">
        <f t="shared" si="118"/>
        <v>0</v>
      </c>
      <c r="AC525">
        <f t="shared" si="118"/>
        <v>0</v>
      </c>
      <c r="AD525">
        <f t="shared" si="118"/>
        <v>0</v>
      </c>
      <c r="AE525">
        <f t="shared" si="118"/>
        <v>0</v>
      </c>
      <c r="AF525">
        <f t="shared" si="118"/>
        <v>0</v>
      </c>
      <c r="AG525">
        <f t="shared" si="118"/>
        <v>0</v>
      </c>
      <c r="AH525">
        <f t="shared" si="118"/>
        <v>0</v>
      </c>
      <c r="AI525">
        <f t="shared" si="118"/>
        <v>0</v>
      </c>
      <c r="AJ525">
        <f t="shared" si="118"/>
        <v>0</v>
      </c>
      <c r="AK525">
        <f t="shared" si="118"/>
        <v>0</v>
      </c>
      <c r="AL525">
        <f t="shared" si="118"/>
        <v>0</v>
      </c>
      <c r="AM525">
        <f t="shared" si="118"/>
        <v>0</v>
      </c>
      <c r="AN525">
        <f t="shared" si="118"/>
        <v>0</v>
      </c>
      <c r="AO525">
        <f t="shared" si="106"/>
        <v>0</v>
      </c>
      <c r="AP525">
        <f t="shared" si="106"/>
        <v>0</v>
      </c>
      <c r="AQ525">
        <f t="shared" si="106"/>
        <v>0</v>
      </c>
      <c r="AR525">
        <f t="shared" si="106"/>
        <v>0</v>
      </c>
    </row>
    <row r="526" spans="5:44" x14ac:dyDescent="0.2">
      <c r="E526" s="1">
        <f>moment_rate!$M526</f>
        <v>2.9313157461040313E-2</v>
      </c>
      <c r="F526" s="1">
        <f t="shared" si="115"/>
        <v>4.6779030332537441E-4</v>
      </c>
      <c r="G526">
        <f>moment_rate!I526-0.005</f>
        <v>5.1899999999999338</v>
      </c>
      <c r="H526" s="1">
        <f t="shared" si="116"/>
        <v>4.6779030332537441E-4</v>
      </c>
      <c r="I526">
        <f t="shared" si="117"/>
        <v>0</v>
      </c>
      <c r="J526">
        <f t="shared" si="117"/>
        <v>4.6779030332537441E-4</v>
      </c>
      <c r="K526">
        <f t="shared" si="117"/>
        <v>0</v>
      </c>
      <c r="L526">
        <f t="shared" si="117"/>
        <v>0</v>
      </c>
      <c r="M526">
        <f t="shared" si="117"/>
        <v>0</v>
      </c>
      <c r="N526">
        <f t="shared" si="117"/>
        <v>0</v>
      </c>
      <c r="O526">
        <f t="shared" si="117"/>
        <v>0</v>
      </c>
      <c r="P526">
        <f t="shared" si="117"/>
        <v>0</v>
      </c>
      <c r="Q526">
        <f t="shared" si="117"/>
        <v>0</v>
      </c>
      <c r="R526">
        <f t="shared" si="117"/>
        <v>0</v>
      </c>
      <c r="S526">
        <f t="shared" si="117"/>
        <v>0</v>
      </c>
      <c r="T526">
        <f t="shared" si="117"/>
        <v>0</v>
      </c>
      <c r="U526">
        <f t="shared" si="117"/>
        <v>0</v>
      </c>
      <c r="V526">
        <f t="shared" si="117"/>
        <v>0</v>
      </c>
      <c r="W526">
        <f t="shared" si="117"/>
        <v>0</v>
      </c>
      <c r="X526">
        <f t="shared" si="117"/>
        <v>0</v>
      </c>
      <c r="Y526">
        <f t="shared" si="118"/>
        <v>0</v>
      </c>
      <c r="Z526">
        <f t="shared" si="118"/>
        <v>0</v>
      </c>
      <c r="AA526">
        <f t="shared" si="118"/>
        <v>0</v>
      </c>
      <c r="AB526">
        <f t="shared" si="118"/>
        <v>0</v>
      </c>
      <c r="AC526">
        <f t="shared" si="118"/>
        <v>0</v>
      </c>
      <c r="AD526">
        <f t="shared" si="118"/>
        <v>0</v>
      </c>
      <c r="AE526">
        <f t="shared" si="118"/>
        <v>0</v>
      </c>
      <c r="AF526">
        <f t="shared" si="118"/>
        <v>0</v>
      </c>
      <c r="AG526">
        <f t="shared" si="118"/>
        <v>0</v>
      </c>
      <c r="AH526">
        <f t="shared" si="118"/>
        <v>0</v>
      </c>
      <c r="AI526">
        <f t="shared" si="118"/>
        <v>0</v>
      </c>
      <c r="AJ526">
        <f t="shared" si="118"/>
        <v>0</v>
      </c>
      <c r="AK526">
        <f t="shared" si="118"/>
        <v>0</v>
      </c>
      <c r="AL526">
        <f t="shared" si="118"/>
        <v>0</v>
      </c>
      <c r="AM526">
        <f t="shared" si="118"/>
        <v>0</v>
      </c>
      <c r="AN526">
        <f t="shared" si="118"/>
        <v>0</v>
      </c>
      <c r="AO526">
        <f t="shared" si="106"/>
        <v>0</v>
      </c>
      <c r="AP526">
        <f t="shared" si="106"/>
        <v>0</v>
      </c>
      <c r="AQ526">
        <f t="shared" si="106"/>
        <v>0</v>
      </c>
      <c r="AR526">
        <f t="shared" si="106"/>
        <v>0</v>
      </c>
    </row>
    <row r="527" spans="5:44" x14ac:dyDescent="0.2">
      <c r="E527" s="1">
        <f>moment_rate!$M527</f>
        <v>2.8845367157714939E-2</v>
      </c>
      <c r="F527" s="1">
        <f t="shared" si="115"/>
        <v>4.5819591737850107E-4</v>
      </c>
      <c r="G527">
        <f>moment_rate!I527-0.005</f>
        <v>5.1999999999999336</v>
      </c>
      <c r="H527" s="1">
        <f t="shared" si="116"/>
        <v>4.5819591737850107E-4</v>
      </c>
      <c r="I527">
        <f t="shared" si="117"/>
        <v>0</v>
      </c>
      <c r="J527">
        <f t="shared" si="117"/>
        <v>4.5819591737850107E-4</v>
      </c>
      <c r="K527">
        <f t="shared" si="117"/>
        <v>0</v>
      </c>
      <c r="L527">
        <f t="shared" si="117"/>
        <v>0</v>
      </c>
      <c r="M527">
        <f t="shared" si="117"/>
        <v>0</v>
      </c>
      <c r="N527">
        <f t="shared" si="117"/>
        <v>0</v>
      </c>
      <c r="O527">
        <f t="shared" si="117"/>
        <v>0</v>
      </c>
      <c r="P527">
        <f t="shared" si="117"/>
        <v>0</v>
      </c>
      <c r="Q527">
        <f t="shared" si="117"/>
        <v>0</v>
      </c>
      <c r="R527">
        <f t="shared" si="117"/>
        <v>0</v>
      </c>
      <c r="S527">
        <f t="shared" si="117"/>
        <v>0</v>
      </c>
      <c r="T527">
        <f t="shared" si="117"/>
        <v>0</v>
      </c>
      <c r="U527">
        <f t="shared" si="117"/>
        <v>0</v>
      </c>
      <c r="V527">
        <f t="shared" si="117"/>
        <v>0</v>
      </c>
      <c r="W527">
        <f t="shared" si="117"/>
        <v>0</v>
      </c>
      <c r="X527">
        <f t="shared" si="117"/>
        <v>0</v>
      </c>
      <c r="Y527">
        <f t="shared" si="118"/>
        <v>0</v>
      </c>
      <c r="Z527">
        <f t="shared" si="118"/>
        <v>0</v>
      </c>
      <c r="AA527">
        <f t="shared" si="118"/>
        <v>0</v>
      </c>
      <c r="AB527">
        <f t="shared" si="118"/>
        <v>0</v>
      </c>
      <c r="AC527">
        <f t="shared" si="118"/>
        <v>0</v>
      </c>
      <c r="AD527">
        <f t="shared" si="118"/>
        <v>0</v>
      </c>
      <c r="AE527">
        <f t="shared" si="118"/>
        <v>0</v>
      </c>
      <c r="AF527">
        <f t="shared" si="118"/>
        <v>0</v>
      </c>
      <c r="AG527">
        <f t="shared" si="118"/>
        <v>0</v>
      </c>
      <c r="AH527">
        <f t="shared" si="118"/>
        <v>0</v>
      </c>
      <c r="AI527">
        <f t="shared" si="118"/>
        <v>0</v>
      </c>
      <c r="AJ527">
        <f t="shared" si="118"/>
        <v>0</v>
      </c>
      <c r="AK527">
        <f t="shared" si="118"/>
        <v>0</v>
      </c>
      <c r="AL527">
        <f t="shared" si="118"/>
        <v>0</v>
      </c>
      <c r="AM527">
        <f t="shared" si="118"/>
        <v>0</v>
      </c>
      <c r="AN527">
        <f t="shared" si="118"/>
        <v>0</v>
      </c>
      <c r="AO527">
        <f t="shared" ref="AO527:AR545" si="119">IF(AND($G527&gt;=AO$3,$G527&lt;AO$4),$F527,0)</f>
        <v>0</v>
      </c>
      <c r="AP527">
        <f t="shared" si="119"/>
        <v>0</v>
      </c>
      <c r="AQ527">
        <f t="shared" si="119"/>
        <v>0</v>
      </c>
      <c r="AR527">
        <f t="shared" si="119"/>
        <v>0</v>
      </c>
    </row>
    <row r="528" spans="5:44" x14ac:dyDescent="0.2">
      <c r="E528" s="1">
        <f>moment_rate!$M528</f>
        <v>2.8387171240336437E-2</v>
      </c>
      <c r="F528" s="1">
        <f t="shared" si="115"/>
        <v>4.4879831242739324E-4</v>
      </c>
      <c r="G528">
        <f>moment_rate!I528-0.005</f>
        <v>5.2099999999999334</v>
      </c>
      <c r="H528" s="1">
        <f t="shared" si="116"/>
        <v>4.4879831242739324E-4</v>
      </c>
      <c r="I528">
        <f t="shared" si="117"/>
        <v>0</v>
      </c>
      <c r="J528">
        <f t="shared" si="117"/>
        <v>0</v>
      </c>
      <c r="K528">
        <f t="shared" si="117"/>
        <v>4.4879831242739324E-4</v>
      </c>
      <c r="L528">
        <f t="shared" si="117"/>
        <v>0</v>
      </c>
      <c r="M528">
        <f t="shared" si="117"/>
        <v>0</v>
      </c>
      <c r="N528">
        <f t="shared" si="117"/>
        <v>0</v>
      </c>
      <c r="O528">
        <f t="shared" si="117"/>
        <v>0</v>
      </c>
      <c r="P528">
        <f t="shared" si="117"/>
        <v>0</v>
      </c>
      <c r="Q528">
        <f t="shared" si="117"/>
        <v>0</v>
      </c>
      <c r="R528">
        <f t="shared" si="117"/>
        <v>0</v>
      </c>
      <c r="S528">
        <f t="shared" si="117"/>
        <v>0</v>
      </c>
      <c r="T528">
        <f t="shared" si="117"/>
        <v>0</v>
      </c>
      <c r="U528">
        <f t="shared" si="117"/>
        <v>0</v>
      </c>
      <c r="V528">
        <f t="shared" si="117"/>
        <v>0</v>
      </c>
      <c r="W528">
        <f t="shared" si="117"/>
        <v>0</v>
      </c>
      <c r="X528">
        <f t="shared" si="117"/>
        <v>0</v>
      </c>
      <c r="Y528">
        <f t="shared" si="118"/>
        <v>0</v>
      </c>
      <c r="Z528">
        <f t="shared" si="118"/>
        <v>0</v>
      </c>
      <c r="AA528">
        <f t="shared" si="118"/>
        <v>0</v>
      </c>
      <c r="AB528">
        <f t="shared" si="118"/>
        <v>0</v>
      </c>
      <c r="AC528">
        <f t="shared" si="118"/>
        <v>0</v>
      </c>
      <c r="AD528">
        <f t="shared" si="118"/>
        <v>0</v>
      </c>
      <c r="AE528">
        <f t="shared" si="118"/>
        <v>0</v>
      </c>
      <c r="AF528">
        <f t="shared" si="118"/>
        <v>0</v>
      </c>
      <c r="AG528">
        <f t="shared" si="118"/>
        <v>0</v>
      </c>
      <c r="AH528">
        <f t="shared" si="118"/>
        <v>0</v>
      </c>
      <c r="AI528">
        <f t="shared" si="118"/>
        <v>0</v>
      </c>
      <c r="AJ528">
        <f t="shared" si="118"/>
        <v>0</v>
      </c>
      <c r="AK528">
        <f t="shared" si="118"/>
        <v>0</v>
      </c>
      <c r="AL528">
        <f t="shared" si="118"/>
        <v>0</v>
      </c>
      <c r="AM528">
        <f t="shared" si="118"/>
        <v>0</v>
      </c>
      <c r="AN528">
        <f t="shared" si="118"/>
        <v>0</v>
      </c>
      <c r="AO528">
        <f t="shared" si="119"/>
        <v>0</v>
      </c>
      <c r="AP528">
        <f t="shared" si="119"/>
        <v>0</v>
      </c>
      <c r="AQ528">
        <f t="shared" si="119"/>
        <v>0</v>
      </c>
      <c r="AR528">
        <f t="shared" si="119"/>
        <v>0</v>
      </c>
    </row>
    <row r="529" spans="5:44" x14ac:dyDescent="0.2">
      <c r="E529" s="1">
        <f>moment_rate!$M529</f>
        <v>2.7938372927909044E-2</v>
      </c>
      <c r="F529" s="1">
        <f t="shared" si="115"/>
        <v>4.3959345249095991E-4</v>
      </c>
      <c r="G529">
        <f>moment_rate!I529-0.005</f>
        <v>5.2199999999999331</v>
      </c>
      <c r="H529" s="1">
        <f t="shared" si="116"/>
        <v>4.3959345249095991E-4</v>
      </c>
      <c r="I529">
        <f t="shared" si="117"/>
        <v>0</v>
      </c>
      <c r="J529">
        <f t="shared" si="117"/>
        <v>0</v>
      </c>
      <c r="K529">
        <f t="shared" si="117"/>
        <v>4.3959345249095991E-4</v>
      </c>
      <c r="L529">
        <f t="shared" si="117"/>
        <v>0</v>
      </c>
      <c r="M529">
        <f t="shared" si="117"/>
        <v>0</v>
      </c>
      <c r="N529">
        <f t="shared" si="117"/>
        <v>0</v>
      </c>
      <c r="O529">
        <f t="shared" si="117"/>
        <v>0</v>
      </c>
      <c r="P529">
        <f t="shared" si="117"/>
        <v>0</v>
      </c>
      <c r="Q529">
        <f t="shared" si="117"/>
        <v>0</v>
      </c>
      <c r="R529">
        <f t="shared" si="117"/>
        <v>0</v>
      </c>
      <c r="S529">
        <f t="shared" si="117"/>
        <v>0</v>
      </c>
      <c r="T529">
        <f t="shared" si="117"/>
        <v>0</v>
      </c>
      <c r="U529">
        <f t="shared" si="117"/>
        <v>0</v>
      </c>
      <c r="V529">
        <f t="shared" si="117"/>
        <v>0</v>
      </c>
      <c r="W529">
        <f t="shared" si="117"/>
        <v>0</v>
      </c>
      <c r="X529">
        <f t="shared" si="117"/>
        <v>0</v>
      </c>
      <c r="Y529">
        <f t="shared" si="118"/>
        <v>0</v>
      </c>
      <c r="Z529">
        <f t="shared" si="118"/>
        <v>0</v>
      </c>
      <c r="AA529">
        <f t="shared" si="118"/>
        <v>0</v>
      </c>
      <c r="AB529">
        <f t="shared" si="118"/>
        <v>0</v>
      </c>
      <c r="AC529">
        <f t="shared" si="118"/>
        <v>0</v>
      </c>
      <c r="AD529">
        <f t="shared" si="118"/>
        <v>0</v>
      </c>
      <c r="AE529">
        <f t="shared" si="118"/>
        <v>0</v>
      </c>
      <c r="AF529">
        <f t="shared" si="118"/>
        <v>0</v>
      </c>
      <c r="AG529">
        <f t="shared" si="118"/>
        <v>0</v>
      </c>
      <c r="AH529">
        <f t="shared" si="118"/>
        <v>0</v>
      </c>
      <c r="AI529">
        <f t="shared" si="118"/>
        <v>0</v>
      </c>
      <c r="AJ529">
        <f t="shared" si="118"/>
        <v>0</v>
      </c>
      <c r="AK529">
        <f t="shared" si="118"/>
        <v>0</v>
      </c>
      <c r="AL529">
        <f t="shared" si="118"/>
        <v>0</v>
      </c>
      <c r="AM529">
        <f t="shared" si="118"/>
        <v>0</v>
      </c>
      <c r="AN529">
        <f t="shared" si="118"/>
        <v>0</v>
      </c>
      <c r="AO529">
        <f t="shared" si="119"/>
        <v>0</v>
      </c>
      <c r="AP529">
        <f t="shared" si="119"/>
        <v>0</v>
      </c>
      <c r="AQ529">
        <f t="shared" si="119"/>
        <v>0</v>
      </c>
      <c r="AR529">
        <f t="shared" si="119"/>
        <v>0</v>
      </c>
    </row>
    <row r="530" spans="5:44" x14ac:dyDescent="0.2">
      <c r="E530" s="1">
        <f>moment_rate!$M530</f>
        <v>2.7498779475418084E-2</v>
      </c>
      <c r="F530" s="1">
        <f t="shared" si="115"/>
        <v>4.3057738436612369E-4</v>
      </c>
      <c r="G530">
        <f>moment_rate!I530-0.005</f>
        <v>5.2299999999999329</v>
      </c>
      <c r="H530" s="1">
        <f t="shared" si="116"/>
        <v>4.3057738436612369E-4</v>
      </c>
      <c r="I530">
        <f t="shared" si="117"/>
        <v>0</v>
      </c>
      <c r="J530">
        <f t="shared" si="117"/>
        <v>0</v>
      </c>
      <c r="K530">
        <f t="shared" si="117"/>
        <v>4.3057738436612369E-4</v>
      </c>
      <c r="L530">
        <f t="shared" si="117"/>
        <v>0</v>
      </c>
      <c r="M530">
        <f t="shared" si="117"/>
        <v>0</v>
      </c>
      <c r="N530">
        <f t="shared" si="117"/>
        <v>0</v>
      </c>
      <c r="O530">
        <f t="shared" si="117"/>
        <v>0</v>
      </c>
      <c r="P530">
        <f t="shared" si="117"/>
        <v>0</v>
      </c>
      <c r="Q530">
        <f t="shared" si="117"/>
        <v>0</v>
      </c>
      <c r="R530">
        <f t="shared" si="117"/>
        <v>0</v>
      </c>
      <c r="S530">
        <f t="shared" si="117"/>
        <v>0</v>
      </c>
      <c r="T530">
        <f t="shared" si="117"/>
        <v>0</v>
      </c>
      <c r="U530">
        <f t="shared" si="117"/>
        <v>0</v>
      </c>
      <c r="V530">
        <f t="shared" si="117"/>
        <v>0</v>
      </c>
      <c r="W530">
        <f t="shared" si="117"/>
        <v>0</v>
      </c>
      <c r="X530">
        <f t="shared" si="117"/>
        <v>0</v>
      </c>
      <c r="Y530">
        <f t="shared" si="118"/>
        <v>0</v>
      </c>
      <c r="Z530">
        <f t="shared" si="118"/>
        <v>0</v>
      </c>
      <c r="AA530">
        <f t="shared" si="118"/>
        <v>0</v>
      </c>
      <c r="AB530">
        <f t="shared" si="118"/>
        <v>0</v>
      </c>
      <c r="AC530">
        <f t="shared" si="118"/>
        <v>0</v>
      </c>
      <c r="AD530">
        <f t="shared" si="118"/>
        <v>0</v>
      </c>
      <c r="AE530">
        <f t="shared" si="118"/>
        <v>0</v>
      </c>
      <c r="AF530">
        <f t="shared" si="118"/>
        <v>0</v>
      </c>
      <c r="AG530">
        <f t="shared" si="118"/>
        <v>0</v>
      </c>
      <c r="AH530">
        <f t="shared" si="118"/>
        <v>0</v>
      </c>
      <c r="AI530">
        <f t="shared" si="118"/>
        <v>0</v>
      </c>
      <c r="AJ530">
        <f t="shared" si="118"/>
        <v>0</v>
      </c>
      <c r="AK530">
        <f t="shared" si="118"/>
        <v>0</v>
      </c>
      <c r="AL530">
        <f t="shared" si="118"/>
        <v>0</v>
      </c>
      <c r="AM530">
        <f t="shared" si="118"/>
        <v>0</v>
      </c>
      <c r="AN530">
        <f t="shared" si="118"/>
        <v>0</v>
      </c>
      <c r="AO530">
        <f t="shared" si="119"/>
        <v>0</v>
      </c>
      <c r="AP530">
        <f t="shared" si="119"/>
        <v>0</v>
      </c>
      <c r="AQ530">
        <f t="shared" si="119"/>
        <v>0</v>
      </c>
      <c r="AR530">
        <f t="shared" si="119"/>
        <v>0</v>
      </c>
    </row>
    <row r="531" spans="5:44" x14ac:dyDescent="0.2">
      <c r="E531" s="1">
        <f>moment_rate!$M531</f>
        <v>2.7068202091051961E-2</v>
      </c>
      <c r="F531" s="1">
        <f t="shared" si="115"/>
        <v>4.2174623593009553E-4</v>
      </c>
      <c r="G531">
        <f>moment_rate!I531-0.005</f>
        <v>5.2399999999999327</v>
      </c>
      <c r="H531" s="1">
        <f t="shared" si="116"/>
        <v>4.2174623593009553E-4</v>
      </c>
      <c r="I531">
        <f t="shared" si="117"/>
        <v>0</v>
      </c>
      <c r="J531">
        <f t="shared" si="117"/>
        <v>0</v>
      </c>
      <c r="K531">
        <f t="shared" si="117"/>
        <v>4.2174623593009553E-4</v>
      </c>
      <c r="L531">
        <f t="shared" si="117"/>
        <v>0</v>
      </c>
      <c r="M531">
        <f t="shared" si="117"/>
        <v>0</v>
      </c>
      <c r="N531">
        <f t="shared" si="117"/>
        <v>0</v>
      </c>
      <c r="O531">
        <f t="shared" si="117"/>
        <v>0</v>
      </c>
      <c r="P531">
        <f t="shared" si="117"/>
        <v>0</v>
      </c>
      <c r="Q531">
        <f t="shared" si="117"/>
        <v>0</v>
      </c>
      <c r="R531">
        <f t="shared" si="117"/>
        <v>0</v>
      </c>
      <c r="S531">
        <f t="shared" si="117"/>
        <v>0</v>
      </c>
      <c r="T531">
        <f t="shared" si="117"/>
        <v>0</v>
      </c>
      <c r="U531">
        <f t="shared" si="117"/>
        <v>0</v>
      </c>
      <c r="V531">
        <f t="shared" si="117"/>
        <v>0</v>
      </c>
      <c r="W531">
        <f t="shared" si="117"/>
        <v>0</v>
      </c>
      <c r="X531">
        <f t="shared" si="117"/>
        <v>0</v>
      </c>
      <c r="Y531">
        <f t="shared" si="118"/>
        <v>0</v>
      </c>
      <c r="Z531">
        <f t="shared" si="118"/>
        <v>0</v>
      </c>
      <c r="AA531">
        <f t="shared" si="118"/>
        <v>0</v>
      </c>
      <c r="AB531">
        <f t="shared" si="118"/>
        <v>0</v>
      </c>
      <c r="AC531">
        <f t="shared" si="118"/>
        <v>0</v>
      </c>
      <c r="AD531">
        <f t="shared" si="118"/>
        <v>0</v>
      </c>
      <c r="AE531">
        <f t="shared" si="118"/>
        <v>0</v>
      </c>
      <c r="AF531">
        <f t="shared" si="118"/>
        <v>0</v>
      </c>
      <c r="AG531">
        <f t="shared" si="118"/>
        <v>0</v>
      </c>
      <c r="AH531">
        <f t="shared" si="118"/>
        <v>0</v>
      </c>
      <c r="AI531">
        <f t="shared" si="118"/>
        <v>0</v>
      </c>
      <c r="AJ531">
        <f t="shared" si="118"/>
        <v>0</v>
      </c>
      <c r="AK531">
        <f t="shared" si="118"/>
        <v>0</v>
      </c>
      <c r="AL531">
        <f t="shared" si="118"/>
        <v>0</v>
      </c>
      <c r="AM531">
        <f t="shared" si="118"/>
        <v>0</v>
      </c>
      <c r="AN531">
        <f t="shared" si="118"/>
        <v>0</v>
      </c>
      <c r="AO531">
        <f t="shared" si="119"/>
        <v>0</v>
      </c>
      <c r="AP531">
        <f t="shared" si="119"/>
        <v>0</v>
      </c>
      <c r="AQ531">
        <f t="shared" si="119"/>
        <v>0</v>
      </c>
      <c r="AR531">
        <f t="shared" si="119"/>
        <v>0</v>
      </c>
    </row>
    <row r="532" spans="5:44" x14ac:dyDescent="0.2">
      <c r="E532" s="1">
        <f>moment_rate!$M532</f>
        <v>2.6646455855121865E-2</v>
      </c>
      <c r="F532" s="1">
        <f t="shared" si="115"/>
        <v>4.1309621447734035E-4</v>
      </c>
      <c r="G532">
        <f>moment_rate!I532-0.005</f>
        <v>5.2499999999999325</v>
      </c>
      <c r="H532" s="1">
        <f t="shared" si="116"/>
        <v>4.1309621447734035E-4</v>
      </c>
      <c r="I532">
        <f t="shared" si="117"/>
        <v>0</v>
      </c>
      <c r="J532">
        <f t="shared" si="117"/>
        <v>0</v>
      </c>
      <c r="K532">
        <f t="shared" si="117"/>
        <v>4.1309621447734035E-4</v>
      </c>
      <c r="L532">
        <f t="shared" si="117"/>
        <v>0</v>
      </c>
      <c r="M532">
        <f t="shared" si="117"/>
        <v>0</v>
      </c>
      <c r="N532">
        <f t="shared" si="117"/>
        <v>0</v>
      </c>
      <c r="O532">
        <f t="shared" si="117"/>
        <v>0</v>
      </c>
      <c r="P532">
        <f t="shared" si="117"/>
        <v>0</v>
      </c>
      <c r="Q532">
        <f t="shared" si="117"/>
        <v>0</v>
      </c>
      <c r="R532">
        <f t="shared" si="117"/>
        <v>0</v>
      </c>
      <c r="S532">
        <f t="shared" si="117"/>
        <v>0</v>
      </c>
      <c r="T532">
        <f t="shared" si="117"/>
        <v>0</v>
      </c>
      <c r="U532">
        <f t="shared" si="117"/>
        <v>0</v>
      </c>
      <c r="V532">
        <f t="shared" si="117"/>
        <v>0</v>
      </c>
      <c r="W532">
        <f t="shared" si="117"/>
        <v>0</v>
      </c>
      <c r="X532">
        <f t="shared" si="117"/>
        <v>0</v>
      </c>
      <c r="Y532">
        <f t="shared" si="118"/>
        <v>0</v>
      </c>
      <c r="Z532">
        <f t="shared" si="118"/>
        <v>0</v>
      </c>
      <c r="AA532">
        <f t="shared" si="118"/>
        <v>0</v>
      </c>
      <c r="AB532">
        <f t="shared" si="118"/>
        <v>0</v>
      </c>
      <c r="AC532">
        <f t="shared" si="118"/>
        <v>0</v>
      </c>
      <c r="AD532">
        <f t="shared" si="118"/>
        <v>0</v>
      </c>
      <c r="AE532">
        <f t="shared" si="118"/>
        <v>0</v>
      </c>
      <c r="AF532">
        <f t="shared" si="118"/>
        <v>0</v>
      </c>
      <c r="AG532">
        <f t="shared" si="118"/>
        <v>0</v>
      </c>
      <c r="AH532">
        <f t="shared" si="118"/>
        <v>0</v>
      </c>
      <c r="AI532">
        <f t="shared" si="118"/>
        <v>0</v>
      </c>
      <c r="AJ532">
        <f t="shared" si="118"/>
        <v>0</v>
      </c>
      <c r="AK532">
        <f t="shared" si="118"/>
        <v>0</v>
      </c>
      <c r="AL532">
        <f t="shared" si="118"/>
        <v>0</v>
      </c>
      <c r="AM532">
        <f t="shared" si="118"/>
        <v>0</v>
      </c>
      <c r="AN532">
        <f t="shared" si="118"/>
        <v>0</v>
      </c>
      <c r="AO532">
        <f t="shared" si="119"/>
        <v>0</v>
      </c>
      <c r="AP532">
        <f t="shared" si="119"/>
        <v>0</v>
      </c>
      <c r="AQ532">
        <f t="shared" si="119"/>
        <v>0</v>
      </c>
      <c r="AR532">
        <f t="shared" si="119"/>
        <v>0</v>
      </c>
    </row>
    <row r="533" spans="5:44" x14ac:dyDescent="0.2">
      <c r="E533" s="1">
        <f>moment_rate!$M533</f>
        <v>2.6233359640644525E-2</v>
      </c>
      <c r="F533" s="1">
        <f t="shared" si="115"/>
        <v>4.0462360509080017E-4</v>
      </c>
      <c r="G533">
        <f>moment_rate!I533-0.005</f>
        <v>5.2599999999999323</v>
      </c>
      <c r="H533" s="1">
        <f t="shared" si="116"/>
        <v>4.0462360509080017E-4</v>
      </c>
      <c r="I533">
        <f t="shared" si="117"/>
        <v>0</v>
      </c>
      <c r="J533">
        <f t="shared" si="117"/>
        <v>0</v>
      </c>
      <c r="K533">
        <f t="shared" si="117"/>
        <v>4.0462360509080017E-4</v>
      </c>
      <c r="L533">
        <f t="shared" si="117"/>
        <v>0</v>
      </c>
      <c r="M533">
        <f t="shared" si="117"/>
        <v>0</v>
      </c>
      <c r="N533">
        <f t="shared" si="117"/>
        <v>0</v>
      </c>
      <c r="O533">
        <f t="shared" si="117"/>
        <v>0</v>
      </c>
      <c r="P533">
        <f t="shared" si="117"/>
        <v>0</v>
      </c>
      <c r="Q533">
        <f t="shared" si="117"/>
        <v>0</v>
      </c>
      <c r="R533">
        <f t="shared" si="117"/>
        <v>0</v>
      </c>
      <c r="S533">
        <f t="shared" si="117"/>
        <v>0</v>
      </c>
      <c r="T533">
        <f t="shared" si="117"/>
        <v>0</v>
      </c>
      <c r="U533">
        <f t="shared" si="117"/>
        <v>0</v>
      </c>
      <c r="V533">
        <f t="shared" si="117"/>
        <v>0</v>
      </c>
      <c r="W533">
        <f t="shared" si="117"/>
        <v>0</v>
      </c>
      <c r="X533">
        <f t="shared" si="117"/>
        <v>0</v>
      </c>
      <c r="Y533">
        <f t="shared" si="118"/>
        <v>0</v>
      </c>
      <c r="Z533">
        <f t="shared" si="118"/>
        <v>0</v>
      </c>
      <c r="AA533">
        <f t="shared" si="118"/>
        <v>0</v>
      </c>
      <c r="AB533">
        <f t="shared" si="118"/>
        <v>0</v>
      </c>
      <c r="AC533">
        <f t="shared" si="118"/>
        <v>0</v>
      </c>
      <c r="AD533">
        <f t="shared" si="118"/>
        <v>0</v>
      </c>
      <c r="AE533">
        <f t="shared" si="118"/>
        <v>0</v>
      </c>
      <c r="AF533">
        <f t="shared" si="118"/>
        <v>0</v>
      </c>
      <c r="AG533">
        <f t="shared" si="118"/>
        <v>0</v>
      </c>
      <c r="AH533">
        <f t="shared" si="118"/>
        <v>0</v>
      </c>
      <c r="AI533">
        <f t="shared" si="118"/>
        <v>0</v>
      </c>
      <c r="AJ533">
        <f t="shared" si="118"/>
        <v>0</v>
      </c>
      <c r="AK533">
        <f t="shared" si="118"/>
        <v>0</v>
      </c>
      <c r="AL533">
        <f t="shared" si="118"/>
        <v>0</v>
      </c>
      <c r="AM533">
        <f t="shared" si="118"/>
        <v>0</v>
      </c>
      <c r="AN533">
        <f t="shared" si="118"/>
        <v>0</v>
      </c>
      <c r="AO533">
        <f t="shared" si="119"/>
        <v>0</v>
      </c>
      <c r="AP533">
        <f t="shared" si="119"/>
        <v>0</v>
      </c>
      <c r="AQ533">
        <f t="shared" si="119"/>
        <v>0</v>
      </c>
      <c r="AR533">
        <f t="shared" si="119"/>
        <v>0</v>
      </c>
    </row>
    <row r="534" spans="5:44" x14ac:dyDescent="0.2">
      <c r="E534" s="1">
        <f>moment_rate!$M534</f>
        <v>2.5828736035553725E-2</v>
      </c>
      <c r="F534" s="1">
        <f t="shared" si="115"/>
        <v>3.963247690464064E-4</v>
      </c>
      <c r="G534">
        <f>moment_rate!I534-0.005</f>
        <v>5.2699999999999321</v>
      </c>
      <c r="H534" s="1">
        <f t="shared" si="116"/>
        <v>3.963247690464064E-4</v>
      </c>
      <c r="I534">
        <f t="shared" si="117"/>
        <v>0</v>
      </c>
      <c r="J534">
        <f t="shared" si="117"/>
        <v>0</v>
      </c>
      <c r="K534">
        <f t="shared" si="117"/>
        <v>3.963247690464064E-4</v>
      </c>
      <c r="L534">
        <f t="shared" si="117"/>
        <v>0</v>
      </c>
      <c r="M534">
        <f t="shared" si="117"/>
        <v>0</v>
      </c>
      <c r="N534">
        <f t="shared" si="117"/>
        <v>0</v>
      </c>
      <c r="O534">
        <f t="shared" si="117"/>
        <v>0</v>
      </c>
      <c r="P534">
        <f t="shared" si="117"/>
        <v>0</v>
      </c>
      <c r="Q534">
        <f t="shared" si="117"/>
        <v>0</v>
      </c>
      <c r="R534">
        <f t="shared" si="117"/>
        <v>0</v>
      </c>
      <c r="S534">
        <f t="shared" si="117"/>
        <v>0</v>
      </c>
      <c r="T534">
        <f t="shared" si="117"/>
        <v>0</v>
      </c>
      <c r="U534">
        <f t="shared" si="117"/>
        <v>0</v>
      </c>
      <c r="V534">
        <f t="shared" si="117"/>
        <v>0</v>
      </c>
      <c r="W534">
        <f t="shared" si="117"/>
        <v>0</v>
      </c>
      <c r="X534">
        <f t="shared" si="117"/>
        <v>0</v>
      </c>
      <c r="Y534">
        <f t="shared" si="118"/>
        <v>0</v>
      </c>
      <c r="Z534">
        <f t="shared" si="118"/>
        <v>0</v>
      </c>
      <c r="AA534">
        <f t="shared" si="118"/>
        <v>0</v>
      </c>
      <c r="AB534">
        <f t="shared" si="118"/>
        <v>0</v>
      </c>
      <c r="AC534">
        <f t="shared" si="118"/>
        <v>0</v>
      </c>
      <c r="AD534">
        <f t="shared" si="118"/>
        <v>0</v>
      </c>
      <c r="AE534">
        <f t="shared" si="118"/>
        <v>0</v>
      </c>
      <c r="AF534">
        <f t="shared" si="118"/>
        <v>0</v>
      </c>
      <c r="AG534">
        <f t="shared" si="118"/>
        <v>0</v>
      </c>
      <c r="AH534">
        <f t="shared" si="118"/>
        <v>0</v>
      </c>
      <c r="AI534">
        <f t="shared" si="118"/>
        <v>0</v>
      </c>
      <c r="AJ534">
        <f t="shared" si="118"/>
        <v>0</v>
      </c>
      <c r="AK534">
        <f t="shared" si="118"/>
        <v>0</v>
      </c>
      <c r="AL534">
        <f t="shared" si="118"/>
        <v>0</v>
      </c>
      <c r="AM534">
        <f t="shared" si="118"/>
        <v>0</v>
      </c>
      <c r="AN534">
        <f t="shared" si="118"/>
        <v>0</v>
      </c>
      <c r="AO534">
        <f t="shared" si="119"/>
        <v>0</v>
      </c>
      <c r="AP534">
        <f t="shared" si="119"/>
        <v>0</v>
      </c>
      <c r="AQ534">
        <f t="shared" si="119"/>
        <v>0</v>
      </c>
      <c r="AR534">
        <f t="shared" si="119"/>
        <v>0</v>
      </c>
    </row>
    <row r="535" spans="5:44" x14ac:dyDescent="0.2">
      <c r="E535" s="1">
        <f>moment_rate!$M535</f>
        <v>2.5432411266507318E-2</v>
      </c>
      <c r="F535" s="1">
        <f t="shared" si="115"/>
        <v>3.8819614225036464E-4</v>
      </c>
      <c r="G535">
        <f>moment_rate!I535-0.005</f>
        <v>5.2799999999999319</v>
      </c>
      <c r="H535" s="1">
        <f t="shared" si="116"/>
        <v>3.8819614225036464E-4</v>
      </c>
      <c r="I535">
        <f t="shared" si="117"/>
        <v>0</v>
      </c>
      <c r="J535">
        <f t="shared" si="117"/>
        <v>0</v>
      </c>
      <c r="K535">
        <f t="shared" si="117"/>
        <v>3.8819614225036464E-4</v>
      </c>
      <c r="L535">
        <f t="shared" si="117"/>
        <v>0</v>
      </c>
      <c r="M535">
        <f t="shared" si="117"/>
        <v>0</v>
      </c>
      <c r="N535">
        <f t="shared" si="117"/>
        <v>0</v>
      </c>
      <c r="O535">
        <f t="shared" si="117"/>
        <v>0</v>
      </c>
      <c r="P535">
        <f t="shared" si="117"/>
        <v>0</v>
      </c>
      <c r="Q535">
        <f t="shared" si="117"/>
        <v>0</v>
      </c>
      <c r="R535">
        <f t="shared" si="117"/>
        <v>0</v>
      </c>
      <c r="S535">
        <f t="shared" si="117"/>
        <v>0</v>
      </c>
      <c r="T535">
        <f t="shared" si="117"/>
        <v>0</v>
      </c>
      <c r="U535">
        <f t="shared" si="117"/>
        <v>0</v>
      </c>
      <c r="V535">
        <f t="shared" si="117"/>
        <v>0</v>
      </c>
      <c r="W535">
        <f t="shared" si="117"/>
        <v>0</v>
      </c>
      <c r="X535">
        <f t="shared" si="117"/>
        <v>0</v>
      </c>
      <c r="Y535">
        <f t="shared" si="118"/>
        <v>0</v>
      </c>
      <c r="Z535">
        <f t="shared" si="118"/>
        <v>0</v>
      </c>
      <c r="AA535">
        <f t="shared" si="118"/>
        <v>0</v>
      </c>
      <c r="AB535">
        <f t="shared" si="118"/>
        <v>0</v>
      </c>
      <c r="AC535">
        <f t="shared" si="118"/>
        <v>0</v>
      </c>
      <c r="AD535">
        <f t="shared" si="118"/>
        <v>0</v>
      </c>
      <c r="AE535">
        <f t="shared" si="118"/>
        <v>0</v>
      </c>
      <c r="AF535">
        <f t="shared" si="118"/>
        <v>0</v>
      </c>
      <c r="AG535">
        <f t="shared" si="118"/>
        <v>0</v>
      </c>
      <c r="AH535">
        <f t="shared" si="118"/>
        <v>0</v>
      </c>
      <c r="AI535">
        <f t="shared" si="118"/>
        <v>0</v>
      </c>
      <c r="AJ535">
        <f t="shared" si="118"/>
        <v>0</v>
      </c>
      <c r="AK535">
        <f t="shared" si="118"/>
        <v>0</v>
      </c>
      <c r="AL535">
        <f t="shared" si="118"/>
        <v>0</v>
      </c>
      <c r="AM535">
        <f t="shared" si="118"/>
        <v>0</v>
      </c>
      <c r="AN535">
        <f t="shared" si="118"/>
        <v>0</v>
      </c>
      <c r="AO535">
        <f t="shared" si="119"/>
        <v>0</v>
      </c>
      <c r="AP535">
        <f t="shared" si="119"/>
        <v>0</v>
      </c>
      <c r="AQ535">
        <f t="shared" si="119"/>
        <v>0</v>
      </c>
      <c r="AR535">
        <f t="shared" si="119"/>
        <v>0</v>
      </c>
    </row>
    <row r="536" spans="5:44" x14ac:dyDescent="0.2">
      <c r="E536" s="1">
        <f>moment_rate!$M536</f>
        <v>2.5044215124256954E-2</v>
      </c>
      <c r="F536" s="1">
        <f t="shared" si="115"/>
        <v>3.8023423370852488E-4</v>
      </c>
      <c r="G536">
        <f>moment_rate!I536-0.005</f>
        <v>5.2899999999999316</v>
      </c>
      <c r="H536" s="1">
        <f t="shared" si="116"/>
        <v>3.8023423370852488E-4</v>
      </c>
      <c r="I536">
        <f t="shared" si="117"/>
        <v>0</v>
      </c>
      <c r="J536">
        <f t="shared" si="117"/>
        <v>0</v>
      </c>
      <c r="K536">
        <f t="shared" si="117"/>
        <v>3.8023423370852488E-4</v>
      </c>
      <c r="L536">
        <f t="shared" si="117"/>
        <v>0</v>
      </c>
      <c r="M536">
        <f t="shared" si="117"/>
        <v>0</v>
      </c>
      <c r="N536">
        <f t="shared" si="117"/>
        <v>0</v>
      </c>
      <c r="O536">
        <f t="shared" si="117"/>
        <v>0</v>
      </c>
      <c r="P536">
        <f t="shared" si="117"/>
        <v>0</v>
      </c>
      <c r="Q536">
        <f t="shared" si="117"/>
        <v>0</v>
      </c>
      <c r="R536">
        <f t="shared" si="117"/>
        <v>0</v>
      </c>
      <c r="S536">
        <f t="shared" si="117"/>
        <v>0</v>
      </c>
      <c r="T536">
        <f t="shared" si="117"/>
        <v>0</v>
      </c>
      <c r="U536">
        <f t="shared" si="117"/>
        <v>0</v>
      </c>
      <c r="V536">
        <f t="shared" si="117"/>
        <v>0</v>
      </c>
      <c r="W536">
        <f t="shared" si="117"/>
        <v>0</v>
      </c>
      <c r="X536">
        <f t="shared" si="117"/>
        <v>0</v>
      </c>
      <c r="Y536">
        <f t="shared" si="118"/>
        <v>0</v>
      </c>
      <c r="Z536">
        <f t="shared" si="118"/>
        <v>0</v>
      </c>
      <c r="AA536">
        <f t="shared" si="118"/>
        <v>0</v>
      </c>
      <c r="AB536">
        <f t="shared" si="118"/>
        <v>0</v>
      </c>
      <c r="AC536">
        <f t="shared" si="118"/>
        <v>0</v>
      </c>
      <c r="AD536">
        <f t="shared" si="118"/>
        <v>0</v>
      </c>
      <c r="AE536">
        <f t="shared" si="118"/>
        <v>0</v>
      </c>
      <c r="AF536">
        <f t="shared" si="118"/>
        <v>0</v>
      </c>
      <c r="AG536">
        <f t="shared" si="118"/>
        <v>0</v>
      </c>
      <c r="AH536">
        <f t="shared" si="118"/>
        <v>0</v>
      </c>
      <c r="AI536">
        <f t="shared" si="118"/>
        <v>0</v>
      </c>
      <c r="AJ536">
        <f t="shared" si="118"/>
        <v>0</v>
      </c>
      <c r="AK536">
        <f t="shared" si="118"/>
        <v>0</v>
      </c>
      <c r="AL536">
        <f t="shared" si="118"/>
        <v>0</v>
      </c>
      <c r="AM536">
        <f t="shared" si="118"/>
        <v>0</v>
      </c>
      <c r="AN536">
        <f t="shared" si="118"/>
        <v>0</v>
      </c>
      <c r="AO536">
        <f t="shared" si="119"/>
        <v>0</v>
      </c>
      <c r="AP536">
        <f t="shared" si="119"/>
        <v>0</v>
      </c>
      <c r="AQ536">
        <f t="shared" si="119"/>
        <v>0</v>
      </c>
      <c r="AR536">
        <f t="shared" si="119"/>
        <v>0</v>
      </c>
    </row>
    <row r="537" spans="5:44" x14ac:dyDescent="0.2">
      <c r="E537" s="1">
        <f>moment_rate!$M537</f>
        <v>2.4663980890548429E-2</v>
      </c>
      <c r="F537" s="1">
        <f t="shared" si="115"/>
        <v>3.7243562402705307E-4</v>
      </c>
      <c r="G537">
        <f>moment_rate!I537-0.005</f>
        <v>5.2999999999999314</v>
      </c>
      <c r="H537" s="1">
        <f t="shared" si="116"/>
        <v>3.7243562402705307E-4</v>
      </c>
      <c r="I537">
        <f t="shared" si="117"/>
        <v>0</v>
      </c>
      <c r="J537">
        <f t="shared" si="117"/>
        <v>0</v>
      </c>
      <c r="K537">
        <f t="shared" si="117"/>
        <v>3.7243562402705307E-4</v>
      </c>
      <c r="L537">
        <f t="shared" si="117"/>
        <v>0</v>
      </c>
      <c r="M537">
        <f t="shared" si="117"/>
        <v>0</v>
      </c>
      <c r="N537">
        <f t="shared" si="117"/>
        <v>0</v>
      </c>
      <c r="O537">
        <f t="shared" si="117"/>
        <v>0</v>
      </c>
      <c r="P537">
        <f t="shared" si="117"/>
        <v>0</v>
      </c>
      <c r="Q537">
        <f t="shared" si="117"/>
        <v>0</v>
      </c>
      <c r="R537">
        <f t="shared" si="117"/>
        <v>0</v>
      </c>
      <c r="S537">
        <f t="shared" si="117"/>
        <v>0</v>
      </c>
      <c r="T537">
        <f t="shared" si="117"/>
        <v>0</v>
      </c>
      <c r="U537">
        <f t="shared" si="117"/>
        <v>0</v>
      </c>
      <c r="V537">
        <f t="shared" si="117"/>
        <v>0</v>
      </c>
      <c r="W537">
        <f t="shared" si="117"/>
        <v>0</v>
      </c>
      <c r="X537">
        <f t="shared" si="117"/>
        <v>0</v>
      </c>
      <c r="Y537">
        <f t="shared" si="118"/>
        <v>0</v>
      </c>
      <c r="Z537">
        <f t="shared" si="118"/>
        <v>0</v>
      </c>
      <c r="AA537">
        <f t="shared" si="118"/>
        <v>0</v>
      </c>
      <c r="AB537">
        <f t="shared" si="118"/>
        <v>0</v>
      </c>
      <c r="AC537">
        <f t="shared" si="118"/>
        <v>0</v>
      </c>
      <c r="AD537">
        <f t="shared" si="118"/>
        <v>0</v>
      </c>
      <c r="AE537">
        <f t="shared" si="118"/>
        <v>0</v>
      </c>
      <c r="AF537">
        <f t="shared" si="118"/>
        <v>0</v>
      </c>
      <c r="AG537">
        <f t="shared" si="118"/>
        <v>0</v>
      </c>
      <c r="AH537">
        <f t="shared" si="118"/>
        <v>0</v>
      </c>
      <c r="AI537">
        <f t="shared" si="118"/>
        <v>0</v>
      </c>
      <c r="AJ537">
        <f t="shared" si="118"/>
        <v>0</v>
      </c>
      <c r="AK537">
        <f t="shared" si="118"/>
        <v>0</v>
      </c>
      <c r="AL537">
        <f t="shared" si="118"/>
        <v>0</v>
      </c>
      <c r="AM537">
        <f t="shared" si="118"/>
        <v>0</v>
      </c>
      <c r="AN537">
        <f>IF(AND($G537&gt;=AN$3,$G537&lt;AN$4),$F537,0)</f>
        <v>0</v>
      </c>
      <c r="AO537">
        <f t="shared" si="119"/>
        <v>0</v>
      </c>
      <c r="AP537">
        <f t="shared" si="119"/>
        <v>0</v>
      </c>
      <c r="AQ537">
        <f t="shared" si="119"/>
        <v>0</v>
      </c>
      <c r="AR537">
        <f t="shared" si="119"/>
        <v>0</v>
      </c>
    </row>
    <row r="538" spans="5:44" x14ac:dyDescent="0.2">
      <c r="E538" s="1">
        <f>moment_rate!$M538</f>
        <v>2.4291545266521376E-2</v>
      </c>
      <c r="F538" s="1">
        <f t="shared" si="115"/>
        <v>3.6479696394393565E-4</v>
      </c>
      <c r="G538">
        <f>moment_rate!I538-0.005</f>
        <v>5.3099999999999312</v>
      </c>
      <c r="H538" s="1">
        <f t="shared" si="116"/>
        <v>3.6479696394393565E-4</v>
      </c>
      <c r="I538">
        <f t="shared" si="117"/>
        <v>0</v>
      </c>
      <c r="J538">
        <f t="shared" si="117"/>
        <v>0</v>
      </c>
      <c r="K538">
        <f t="shared" si="117"/>
        <v>0</v>
      </c>
      <c r="L538">
        <f t="shared" si="117"/>
        <v>3.6479696394393565E-4</v>
      </c>
      <c r="M538">
        <f t="shared" si="117"/>
        <v>0</v>
      </c>
      <c r="N538">
        <f t="shared" si="117"/>
        <v>0</v>
      </c>
      <c r="O538">
        <f t="shared" si="117"/>
        <v>0</v>
      </c>
      <c r="P538">
        <f t="shared" si="117"/>
        <v>0</v>
      </c>
      <c r="Q538">
        <f t="shared" si="117"/>
        <v>0</v>
      </c>
      <c r="R538">
        <f t="shared" si="117"/>
        <v>0</v>
      </c>
      <c r="S538">
        <f t="shared" si="117"/>
        <v>0</v>
      </c>
      <c r="T538">
        <f t="shared" si="117"/>
        <v>0</v>
      </c>
      <c r="U538">
        <f t="shared" ref="U538:AJ553" si="120">IF(AND($G538&gt;=U$3,$G538&lt;U$4),$F538,0)</f>
        <v>0</v>
      </c>
      <c r="V538">
        <f t="shared" si="120"/>
        <v>0</v>
      </c>
      <c r="W538">
        <f t="shared" si="120"/>
        <v>0</v>
      </c>
      <c r="X538">
        <f t="shared" si="120"/>
        <v>0</v>
      </c>
      <c r="Y538">
        <f t="shared" si="120"/>
        <v>0</v>
      </c>
      <c r="Z538">
        <f t="shared" si="120"/>
        <v>0</v>
      </c>
      <c r="AA538">
        <f t="shared" si="120"/>
        <v>0</v>
      </c>
      <c r="AB538">
        <f t="shared" si="120"/>
        <v>0</v>
      </c>
      <c r="AC538">
        <f t="shared" si="120"/>
        <v>0</v>
      </c>
      <c r="AD538">
        <f t="shared" si="120"/>
        <v>0</v>
      </c>
      <c r="AE538">
        <f t="shared" si="120"/>
        <v>0</v>
      </c>
      <c r="AF538">
        <f t="shared" si="120"/>
        <v>0</v>
      </c>
      <c r="AG538">
        <f t="shared" si="120"/>
        <v>0</v>
      </c>
      <c r="AH538">
        <f t="shared" si="120"/>
        <v>0</v>
      </c>
      <c r="AI538">
        <f t="shared" si="120"/>
        <v>0</v>
      </c>
      <c r="AJ538">
        <f t="shared" si="120"/>
        <v>0</v>
      </c>
      <c r="AK538">
        <f t="shared" ref="AK538:AR561" si="121">IF(AND($G538&gt;=AK$3,$G538&lt;AK$4),$F538,0)</f>
        <v>0</v>
      </c>
      <c r="AL538">
        <f t="shared" si="121"/>
        <v>0</v>
      </c>
      <c r="AM538">
        <f t="shared" si="121"/>
        <v>0</v>
      </c>
      <c r="AN538">
        <f t="shared" si="121"/>
        <v>0</v>
      </c>
      <c r="AO538">
        <f t="shared" si="119"/>
        <v>0</v>
      </c>
      <c r="AP538">
        <f t="shared" si="119"/>
        <v>0</v>
      </c>
      <c r="AQ538">
        <f t="shared" si="119"/>
        <v>0</v>
      </c>
      <c r="AR538">
        <f t="shared" si="119"/>
        <v>0</v>
      </c>
    </row>
    <row r="539" spans="5:44" x14ac:dyDescent="0.2">
      <c r="E539" s="1">
        <f>moment_rate!$M539</f>
        <v>2.392674830257744E-2</v>
      </c>
      <c r="F539" s="1">
        <f t="shared" si="115"/>
        <v>3.57314972890585E-4</v>
      </c>
      <c r="G539">
        <f>moment_rate!I539-0.005</f>
        <v>5.319999999999931</v>
      </c>
      <c r="H539" s="1">
        <f t="shared" si="116"/>
        <v>3.57314972890585E-4</v>
      </c>
      <c r="I539">
        <f t="shared" ref="I539:X554" si="122">IF(AND($G539&gt;=I$3,$G539&lt;I$4),$F539,0)</f>
        <v>0</v>
      </c>
      <c r="J539">
        <f t="shared" si="122"/>
        <v>0</v>
      </c>
      <c r="K539">
        <f t="shared" si="122"/>
        <v>0</v>
      </c>
      <c r="L539">
        <f t="shared" si="122"/>
        <v>3.57314972890585E-4</v>
      </c>
      <c r="M539">
        <f t="shared" si="122"/>
        <v>0</v>
      </c>
      <c r="N539">
        <f t="shared" si="122"/>
        <v>0</v>
      </c>
      <c r="O539">
        <f t="shared" si="122"/>
        <v>0</v>
      </c>
      <c r="P539">
        <f t="shared" si="122"/>
        <v>0</v>
      </c>
      <c r="Q539">
        <f t="shared" si="122"/>
        <v>0</v>
      </c>
      <c r="R539">
        <f t="shared" si="122"/>
        <v>0</v>
      </c>
      <c r="S539">
        <f t="shared" si="122"/>
        <v>0</v>
      </c>
      <c r="T539">
        <f t="shared" si="122"/>
        <v>0</v>
      </c>
      <c r="U539">
        <f t="shared" si="122"/>
        <v>0</v>
      </c>
      <c r="V539">
        <f t="shared" si="122"/>
        <v>0</v>
      </c>
      <c r="W539">
        <f t="shared" si="122"/>
        <v>0</v>
      </c>
      <c r="X539">
        <f t="shared" si="122"/>
        <v>0</v>
      </c>
      <c r="Y539">
        <f t="shared" si="120"/>
        <v>0</v>
      </c>
      <c r="Z539">
        <f t="shared" si="120"/>
        <v>0</v>
      </c>
      <c r="AA539">
        <f t="shared" si="120"/>
        <v>0</v>
      </c>
      <c r="AB539">
        <f t="shared" si="120"/>
        <v>0</v>
      </c>
      <c r="AC539">
        <f t="shared" si="120"/>
        <v>0</v>
      </c>
      <c r="AD539">
        <f t="shared" si="120"/>
        <v>0</v>
      </c>
      <c r="AE539">
        <f t="shared" si="120"/>
        <v>0</v>
      </c>
      <c r="AF539">
        <f t="shared" si="120"/>
        <v>0</v>
      </c>
      <c r="AG539">
        <f t="shared" si="120"/>
        <v>0</v>
      </c>
      <c r="AH539">
        <f t="shared" si="120"/>
        <v>0</v>
      </c>
      <c r="AI539">
        <f t="shared" si="120"/>
        <v>0</v>
      </c>
      <c r="AJ539">
        <f t="shared" si="120"/>
        <v>0</v>
      </c>
      <c r="AK539">
        <f t="shared" si="121"/>
        <v>0</v>
      </c>
      <c r="AL539">
        <f t="shared" si="121"/>
        <v>0</v>
      </c>
      <c r="AM539">
        <f t="shared" si="121"/>
        <v>0</v>
      </c>
      <c r="AN539">
        <f t="shared" si="121"/>
        <v>0</v>
      </c>
      <c r="AO539">
        <f t="shared" si="119"/>
        <v>0</v>
      </c>
      <c r="AP539">
        <f t="shared" si="119"/>
        <v>0</v>
      </c>
      <c r="AQ539">
        <f t="shared" si="119"/>
        <v>0</v>
      </c>
      <c r="AR539">
        <f t="shared" si="119"/>
        <v>0</v>
      </c>
    </row>
    <row r="540" spans="5:44" x14ac:dyDescent="0.2">
      <c r="E540" s="1">
        <f>moment_rate!$M540</f>
        <v>2.3569433329686855E-2</v>
      </c>
      <c r="F540" s="1">
        <f t="shared" si="115"/>
        <v>3.4998643758291093E-4</v>
      </c>
      <c r="G540">
        <f>moment_rate!I540-0.005</f>
        <v>5.3299999999999308</v>
      </c>
      <c r="H540" s="1">
        <f t="shared" si="116"/>
        <v>3.4998643758291093E-4</v>
      </c>
      <c r="I540">
        <f t="shared" si="122"/>
        <v>0</v>
      </c>
      <c r="J540">
        <f t="shared" si="122"/>
        <v>0</v>
      </c>
      <c r="K540">
        <f t="shared" si="122"/>
        <v>0</v>
      </c>
      <c r="L540">
        <f t="shared" si="122"/>
        <v>3.4998643758291093E-4</v>
      </c>
      <c r="M540">
        <f t="shared" si="122"/>
        <v>0</v>
      </c>
      <c r="N540">
        <f t="shared" si="122"/>
        <v>0</v>
      </c>
      <c r="O540">
        <f t="shared" si="122"/>
        <v>0</v>
      </c>
      <c r="P540">
        <f t="shared" si="122"/>
        <v>0</v>
      </c>
      <c r="Q540">
        <f t="shared" si="122"/>
        <v>0</v>
      </c>
      <c r="R540">
        <f t="shared" si="122"/>
        <v>0</v>
      </c>
      <c r="S540">
        <f t="shared" si="122"/>
        <v>0</v>
      </c>
      <c r="T540">
        <f t="shared" si="122"/>
        <v>0</v>
      </c>
      <c r="U540">
        <f t="shared" si="122"/>
        <v>0</v>
      </c>
      <c r="V540">
        <f t="shared" si="122"/>
        <v>0</v>
      </c>
      <c r="W540">
        <f t="shared" si="122"/>
        <v>0</v>
      </c>
      <c r="X540">
        <f t="shared" si="122"/>
        <v>0</v>
      </c>
      <c r="Y540">
        <f t="shared" si="120"/>
        <v>0</v>
      </c>
      <c r="Z540">
        <f t="shared" si="120"/>
        <v>0</v>
      </c>
      <c r="AA540">
        <f t="shared" si="120"/>
        <v>0</v>
      </c>
      <c r="AB540">
        <f t="shared" si="120"/>
        <v>0</v>
      </c>
      <c r="AC540">
        <f t="shared" si="120"/>
        <v>0</v>
      </c>
      <c r="AD540">
        <f t="shared" si="120"/>
        <v>0</v>
      </c>
      <c r="AE540">
        <f t="shared" si="120"/>
        <v>0</v>
      </c>
      <c r="AF540">
        <f t="shared" si="120"/>
        <v>0</v>
      </c>
      <c r="AG540">
        <f t="shared" si="120"/>
        <v>0</v>
      </c>
      <c r="AH540">
        <f t="shared" si="120"/>
        <v>0</v>
      </c>
      <c r="AI540">
        <f t="shared" si="120"/>
        <v>0</v>
      </c>
      <c r="AJ540">
        <f t="shared" si="120"/>
        <v>0</v>
      </c>
      <c r="AK540">
        <f t="shared" si="121"/>
        <v>0</v>
      </c>
      <c r="AL540">
        <f t="shared" si="121"/>
        <v>0</v>
      </c>
      <c r="AM540">
        <f t="shared" si="121"/>
        <v>0</v>
      </c>
      <c r="AN540">
        <f t="shared" si="121"/>
        <v>0</v>
      </c>
      <c r="AO540">
        <f t="shared" si="119"/>
        <v>0</v>
      </c>
      <c r="AP540">
        <f t="shared" si="119"/>
        <v>0</v>
      </c>
      <c r="AQ540">
        <f t="shared" si="119"/>
        <v>0</v>
      </c>
      <c r="AR540">
        <f t="shared" si="119"/>
        <v>0</v>
      </c>
    </row>
    <row r="541" spans="5:44" x14ac:dyDescent="0.2">
      <c r="E541" s="1">
        <f>moment_rate!$M541</f>
        <v>2.3219446892103944E-2</v>
      </c>
      <c r="F541" s="1">
        <f t="shared" si="115"/>
        <v>3.428082106413273E-4</v>
      </c>
      <c r="G541">
        <f>moment_rate!I541-0.005</f>
        <v>5.3399999999999306</v>
      </c>
      <c r="H541" s="1">
        <f t="shared" si="116"/>
        <v>3.428082106413273E-4</v>
      </c>
      <c r="I541">
        <f t="shared" si="122"/>
        <v>0</v>
      </c>
      <c r="J541">
        <f t="shared" si="122"/>
        <v>0</v>
      </c>
      <c r="K541">
        <f t="shared" si="122"/>
        <v>0</v>
      </c>
      <c r="L541">
        <f t="shared" si="122"/>
        <v>3.428082106413273E-4</v>
      </c>
      <c r="M541">
        <f t="shared" si="122"/>
        <v>0</v>
      </c>
      <c r="N541">
        <f t="shared" si="122"/>
        <v>0</v>
      </c>
      <c r="O541">
        <f t="shared" si="122"/>
        <v>0</v>
      </c>
      <c r="P541">
        <f t="shared" si="122"/>
        <v>0</v>
      </c>
      <c r="Q541">
        <f t="shared" si="122"/>
        <v>0</v>
      </c>
      <c r="R541">
        <f t="shared" si="122"/>
        <v>0</v>
      </c>
      <c r="S541">
        <f t="shared" si="122"/>
        <v>0</v>
      </c>
      <c r="T541">
        <f t="shared" si="122"/>
        <v>0</v>
      </c>
      <c r="U541">
        <f t="shared" si="122"/>
        <v>0</v>
      </c>
      <c r="V541">
        <f t="shared" si="122"/>
        <v>0</v>
      </c>
      <c r="W541">
        <f t="shared" si="122"/>
        <v>0</v>
      </c>
      <c r="X541">
        <f t="shared" si="122"/>
        <v>0</v>
      </c>
      <c r="Y541">
        <f t="shared" si="120"/>
        <v>0</v>
      </c>
      <c r="Z541">
        <f t="shared" si="120"/>
        <v>0</v>
      </c>
      <c r="AA541">
        <f t="shared" si="120"/>
        <v>0</v>
      </c>
      <c r="AB541">
        <f t="shared" si="120"/>
        <v>0</v>
      </c>
      <c r="AC541">
        <f t="shared" si="120"/>
        <v>0</v>
      </c>
      <c r="AD541">
        <f t="shared" si="120"/>
        <v>0</v>
      </c>
      <c r="AE541">
        <f t="shared" si="120"/>
        <v>0</v>
      </c>
      <c r="AF541">
        <f t="shared" si="120"/>
        <v>0</v>
      </c>
      <c r="AG541">
        <f t="shared" si="120"/>
        <v>0</v>
      </c>
      <c r="AH541">
        <f t="shared" si="120"/>
        <v>0</v>
      </c>
      <c r="AI541">
        <f t="shared" si="120"/>
        <v>0</v>
      </c>
      <c r="AJ541">
        <f t="shared" si="120"/>
        <v>0</v>
      </c>
      <c r="AK541">
        <f t="shared" si="121"/>
        <v>0</v>
      </c>
      <c r="AL541">
        <f t="shared" si="121"/>
        <v>0</v>
      </c>
      <c r="AM541">
        <f t="shared" si="121"/>
        <v>0</v>
      </c>
      <c r="AN541">
        <f t="shared" si="121"/>
        <v>0</v>
      </c>
      <c r="AO541">
        <f t="shared" si="119"/>
        <v>0</v>
      </c>
      <c r="AP541">
        <f t="shared" si="119"/>
        <v>0</v>
      </c>
      <c r="AQ541">
        <f t="shared" si="119"/>
        <v>0</v>
      </c>
      <c r="AR541">
        <f t="shared" si="119"/>
        <v>0</v>
      </c>
    </row>
    <row r="542" spans="5:44" x14ac:dyDescent="0.2">
      <c r="E542" s="1">
        <f>moment_rate!$M542</f>
        <v>2.2876638681462617E-2</v>
      </c>
      <c r="F542" s="1">
        <f t="shared" si="115"/>
        <v>3.3577720923905555E-4</v>
      </c>
      <c r="G542">
        <f>moment_rate!I542-0.005</f>
        <v>5.3499999999999304</v>
      </c>
      <c r="H542" s="1">
        <f t="shared" si="116"/>
        <v>3.3577720923905555E-4</v>
      </c>
      <c r="I542">
        <f t="shared" si="122"/>
        <v>0</v>
      </c>
      <c r="J542">
        <f t="shared" si="122"/>
        <v>0</v>
      </c>
      <c r="K542">
        <f t="shared" si="122"/>
        <v>0</v>
      </c>
      <c r="L542">
        <f t="shared" si="122"/>
        <v>3.3577720923905555E-4</v>
      </c>
      <c r="M542">
        <f t="shared" si="122"/>
        <v>0</v>
      </c>
      <c r="N542">
        <f t="shared" si="122"/>
        <v>0</v>
      </c>
      <c r="O542">
        <f t="shared" si="122"/>
        <v>0</v>
      </c>
      <c r="P542">
        <f t="shared" si="122"/>
        <v>0</v>
      </c>
      <c r="Q542">
        <f t="shared" si="122"/>
        <v>0</v>
      </c>
      <c r="R542">
        <f t="shared" si="122"/>
        <v>0</v>
      </c>
      <c r="S542">
        <f t="shared" si="122"/>
        <v>0</v>
      </c>
      <c r="T542">
        <f t="shared" si="122"/>
        <v>0</v>
      </c>
      <c r="U542">
        <f t="shared" si="122"/>
        <v>0</v>
      </c>
      <c r="V542">
        <f t="shared" si="122"/>
        <v>0</v>
      </c>
      <c r="W542">
        <f t="shared" si="122"/>
        <v>0</v>
      </c>
      <c r="X542">
        <f t="shared" si="122"/>
        <v>0</v>
      </c>
      <c r="Y542">
        <f t="shared" si="120"/>
        <v>0</v>
      </c>
      <c r="Z542">
        <f t="shared" si="120"/>
        <v>0</v>
      </c>
      <c r="AA542">
        <f t="shared" si="120"/>
        <v>0</v>
      </c>
      <c r="AB542">
        <f t="shared" si="120"/>
        <v>0</v>
      </c>
      <c r="AC542">
        <f t="shared" si="120"/>
        <v>0</v>
      </c>
      <c r="AD542">
        <f t="shared" si="120"/>
        <v>0</v>
      </c>
      <c r="AE542">
        <f t="shared" si="120"/>
        <v>0</v>
      </c>
      <c r="AF542">
        <f t="shared" si="120"/>
        <v>0</v>
      </c>
      <c r="AG542">
        <f t="shared" si="120"/>
        <v>0</v>
      </c>
      <c r="AH542">
        <f t="shared" si="120"/>
        <v>0</v>
      </c>
      <c r="AI542">
        <f t="shared" si="120"/>
        <v>0</v>
      </c>
      <c r="AJ542">
        <f t="shared" si="120"/>
        <v>0</v>
      </c>
      <c r="AK542">
        <f t="shared" si="121"/>
        <v>0</v>
      </c>
      <c r="AL542">
        <f t="shared" si="121"/>
        <v>0</v>
      </c>
      <c r="AM542">
        <f t="shared" si="121"/>
        <v>0</v>
      </c>
      <c r="AN542">
        <f t="shared" si="121"/>
        <v>0</v>
      </c>
      <c r="AO542">
        <f t="shared" si="119"/>
        <v>0</v>
      </c>
      <c r="AP542">
        <f t="shared" si="119"/>
        <v>0</v>
      </c>
      <c r="AQ542">
        <f t="shared" si="119"/>
        <v>0</v>
      </c>
      <c r="AR542">
        <f t="shared" si="119"/>
        <v>0</v>
      </c>
    </row>
    <row r="543" spans="5:44" x14ac:dyDescent="0.2">
      <c r="E543" s="1">
        <f>moment_rate!$M543</f>
        <v>2.2540861472223561E-2</v>
      </c>
      <c r="F543" s="1">
        <f t="shared" si="115"/>
        <v>3.288904137781351E-4</v>
      </c>
      <c r="G543">
        <f>moment_rate!I543-0.005</f>
        <v>5.3599999999999302</v>
      </c>
      <c r="H543" s="1">
        <f t="shared" si="116"/>
        <v>3.288904137781351E-4</v>
      </c>
      <c r="I543">
        <f t="shared" si="122"/>
        <v>0</v>
      </c>
      <c r="J543">
        <f t="shared" si="122"/>
        <v>0</v>
      </c>
      <c r="K543">
        <f t="shared" si="122"/>
        <v>0</v>
      </c>
      <c r="L543">
        <f t="shared" si="122"/>
        <v>3.288904137781351E-4</v>
      </c>
      <c r="M543">
        <f t="shared" si="122"/>
        <v>0</v>
      </c>
      <c r="N543">
        <f t="shared" si="122"/>
        <v>0</v>
      </c>
      <c r="O543">
        <f t="shared" si="122"/>
        <v>0</v>
      </c>
      <c r="P543">
        <f t="shared" si="122"/>
        <v>0</v>
      </c>
      <c r="Q543">
        <f t="shared" si="122"/>
        <v>0</v>
      </c>
      <c r="R543">
        <f t="shared" si="122"/>
        <v>0</v>
      </c>
      <c r="S543">
        <f t="shared" si="122"/>
        <v>0</v>
      </c>
      <c r="T543">
        <f t="shared" si="122"/>
        <v>0</v>
      </c>
      <c r="U543">
        <f t="shared" si="122"/>
        <v>0</v>
      </c>
      <c r="V543">
        <f t="shared" si="122"/>
        <v>0</v>
      </c>
      <c r="W543">
        <f t="shared" si="122"/>
        <v>0</v>
      </c>
      <c r="X543">
        <f t="shared" si="122"/>
        <v>0</v>
      </c>
      <c r="Y543">
        <f t="shared" si="120"/>
        <v>0</v>
      </c>
      <c r="Z543">
        <f t="shared" si="120"/>
        <v>0</v>
      </c>
      <c r="AA543">
        <f t="shared" si="120"/>
        <v>0</v>
      </c>
      <c r="AB543">
        <f t="shared" si="120"/>
        <v>0</v>
      </c>
      <c r="AC543">
        <f t="shared" si="120"/>
        <v>0</v>
      </c>
      <c r="AD543">
        <f t="shared" si="120"/>
        <v>0</v>
      </c>
      <c r="AE543">
        <f t="shared" si="120"/>
        <v>0</v>
      </c>
      <c r="AF543">
        <f t="shared" si="120"/>
        <v>0</v>
      </c>
      <c r="AG543">
        <f t="shared" si="120"/>
        <v>0</v>
      </c>
      <c r="AH543">
        <f t="shared" si="120"/>
        <v>0</v>
      </c>
      <c r="AI543">
        <f t="shared" si="120"/>
        <v>0</v>
      </c>
      <c r="AJ543">
        <f t="shared" si="120"/>
        <v>0</v>
      </c>
      <c r="AK543">
        <f t="shared" si="121"/>
        <v>0</v>
      </c>
      <c r="AL543">
        <f t="shared" si="121"/>
        <v>0</v>
      </c>
      <c r="AM543">
        <f t="shared" si="121"/>
        <v>0</v>
      </c>
      <c r="AN543">
        <f t="shared" si="121"/>
        <v>0</v>
      </c>
      <c r="AO543">
        <f t="shared" si="119"/>
        <v>0</v>
      </c>
      <c r="AP543">
        <f t="shared" si="119"/>
        <v>0</v>
      </c>
      <c r="AQ543">
        <f t="shared" si="119"/>
        <v>0</v>
      </c>
      <c r="AR543">
        <f t="shared" si="119"/>
        <v>0</v>
      </c>
    </row>
    <row r="544" spans="5:44" x14ac:dyDescent="0.2">
      <c r="E544" s="1">
        <f>moment_rate!$M544</f>
        <v>2.2211971058445426E-2</v>
      </c>
      <c r="F544" s="1">
        <f t="shared" si="115"/>
        <v>3.2214486659261007E-4</v>
      </c>
      <c r="G544">
        <f>moment_rate!I544-0.005</f>
        <v>5.3699999999999299</v>
      </c>
      <c r="H544" s="1">
        <f t="shared" si="116"/>
        <v>3.2214486659261007E-4</v>
      </c>
      <c r="I544">
        <f t="shared" si="122"/>
        <v>0</v>
      </c>
      <c r="J544">
        <f t="shared" si="122"/>
        <v>0</v>
      </c>
      <c r="K544">
        <f t="shared" si="122"/>
        <v>0</v>
      </c>
      <c r="L544">
        <f t="shared" si="122"/>
        <v>3.2214486659261007E-4</v>
      </c>
      <c r="M544">
        <f t="shared" si="122"/>
        <v>0</v>
      </c>
      <c r="N544">
        <f t="shared" si="122"/>
        <v>0</v>
      </c>
      <c r="O544">
        <f t="shared" si="122"/>
        <v>0</v>
      </c>
      <c r="P544">
        <f t="shared" si="122"/>
        <v>0</v>
      </c>
      <c r="Q544">
        <f t="shared" si="122"/>
        <v>0</v>
      </c>
      <c r="R544">
        <f t="shared" si="122"/>
        <v>0</v>
      </c>
      <c r="S544">
        <f t="shared" si="122"/>
        <v>0</v>
      </c>
      <c r="T544">
        <f t="shared" si="122"/>
        <v>0</v>
      </c>
      <c r="U544">
        <f t="shared" si="122"/>
        <v>0</v>
      </c>
      <c r="V544">
        <f t="shared" si="122"/>
        <v>0</v>
      </c>
      <c r="W544">
        <f t="shared" si="122"/>
        <v>0</v>
      </c>
      <c r="X544">
        <f t="shared" si="122"/>
        <v>0</v>
      </c>
      <c r="Y544">
        <f t="shared" si="120"/>
        <v>0</v>
      </c>
      <c r="Z544">
        <f t="shared" si="120"/>
        <v>0</v>
      </c>
      <c r="AA544">
        <f t="shared" si="120"/>
        <v>0</v>
      </c>
      <c r="AB544">
        <f t="shared" si="120"/>
        <v>0</v>
      </c>
      <c r="AC544">
        <f t="shared" si="120"/>
        <v>0</v>
      </c>
      <c r="AD544">
        <f t="shared" si="120"/>
        <v>0</v>
      </c>
      <c r="AE544">
        <f t="shared" si="120"/>
        <v>0</v>
      </c>
      <c r="AF544">
        <f t="shared" si="120"/>
        <v>0</v>
      </c>
      <c r="AG544">
        <f t="shared" si="120"/>
        <v>0</v>
      </c>
      <c r="AH544">
        <f t="shared" si="120"/>
        <v>0</v>
      </c>
      <c r="AI544">
        <f t="shared" si="120"/>
        <v>0</v>
      </c>
      <c r="AJ544">
        <f t="shared" si="120"/>
        <v>0</v>
      </c>
      <c r="AK544">
        <f t="shared" si="121"/>
        <v>0</v>
      </c>
      <c r="AL544">
        <f t="shared" si="121"/>
        <v>0</v>
      </c>
      <c r="AM544">
        <f t="shared" si="121"/>
        <v>0</v>
      </c>
      <c r="AN544">
        <f t="shared" si="121"/>
        <v>0</v>
      </c>
      <c r="AO544">
        <f t="shared" si="119"/>
        <v>0</v>
      </c>
      <c r="AP544">
        <f t="shared" si="119"/>
        <v>0</v>
      </c>
      <c r="AQ544">
        <f t="shared" si="119"/>
        <v>0</v>
      </c>
      <c r="AR544">
        <f t="shared" si="119"/>
        <v>0</v>
      </c>
    </row>
    <row r="545" spans="5:44" x14ac:dyDescent="0.2">
      <c r="E545" s="1">
        <f>moment_rate!$M545</f>
        <v>2.1889826191852816E-2</v>
      </c>
      <c r="F545" s="1">
        <f t="shared" si="115"/>
        <v>3.1553767067827795E-4</v>
      </c>
      <c r="G545">
        <f>moment_rate!I545-0.005</f>
        <v>5.3799999999999297</v>
      </c>
      <c r="H545" s="1">
        <f t="shared" si="116"/>
        <v>3.1553767067827795E-4</v>
      </c>
      <c r="I545">
        <f t="shared" si="122"/>
        <v>0</v>
      </c>
      <c r="J545">
        <f t="shared" si="122"/>
        <v>0</v>
      </c>
      <c r="K545">
        <f t="shared" si="122"/>
        <v>0</v>
      </c>
      <c r="L545">
        <f t="shared" si="122"/>
        <v>3.1553767067827795E-4</v>
      </c>
      <c r="M545">
        <f t="shared" si="122"/>
        <v>0</v>
      </c>
      <c r="N545">
        <f t="shared" si="122"/>
        <v>0</v>
      </c>
      <c r="O545">
        <f t="shared" si="122"/>
        <v>0</v>
      </c>
      <c r="P545">
        <f t="shared" si="122"/>
        <v>0</v>
      </c>
      <c r="Q545">
        <f t="shared" si="122"/>
        <v>0</v>
      </c>
      <c r="R545">
        <f t="shared" si="122"/>
        <v>0</v>
      </c>
      <c r="S545">
        <f t="shared" si="122"/>
        <v>0</v>
      </c>
      <c r="T545">
        <f t="shared" si="122"/>
        <v>0</v>
      </c>
      <c r="U545">
        <f t="shared" si="122"/>
        <v>0</v>
      </c>
      <c r="V545">
        <f t="shared" si="122"/>
        <v>0</v>
      </c>
      <c r="W545">
        <f t="shared" si="122"/>
        <v>0</v>
      </c>
      <c r="X545">
        <f t="shared" si="122"/>
        <v>0</v>
      </c>
      <c r="Y545">
        <f t="shared" si="120"/>
        <v>0</v>
      </c>
      <c r="Z545">
        <f t="shared" si="120"/>
        <v>0</v>
      </c>
      <c r="AA545">
        <f t="shared" si="120"/>
        <v>0</v>
      </c>
      <c r="AB545">
        <f t="shared" si="120"/>
        <v>0</v>
      </c>
      <c r="AC545">
        <f t="shared" si="120"/>
        <v>0</v>
      </c>
      <c r="AD545">
        <f t="shared" si="120"/>
        <v>0</v>
      </c>
      <c r="AE545">
        <f t="shared" si="120"/>
        <v>0</v>
      </c>
      <c r="AF545">
        <f t="shared" si="120"/>
        <v>0</v>
      </c>
      <c r="AG545">
        <f t="shared" si="120"/>
        <v>0</v>
      </c>
      <c r="AH545">
        <f t="shared" si="120"/>
        <v>0</v>
      </c>
      <c r="AI545">
        <f t="shared" si="120"/>
        <v>0</v>
      </c>
      <c r="AJ545">
        <f t="shared" si="120"/>
        <v>0</v>
      </c>
      <c r="AK545">
        <f t="shared" si="121"/>
        <v>0</v>
      </c>
      <c r="AL545">
        <f t="shared" si="121"/>
        <v>0</v>
      </c>
      <c r="AM545">
        <f t="shared" si="121"/>
        <v>0</v>
      </c>
      <c r="AN545">
        <f t="shared" si="121"/>
        <v>0</v>
      </c>
      <c r="AO545">
        <f t="shared" si="119"/>
        <v>0</v>
      </c>
      <c r="AP545">
        <f t="shared" si="119"/>
        <v>0</v>
      </c>
      <c r="AQ545">
        <f t="shared" si="119"/>
        <v>0</v>
      </c>
      <c r="AR545">
        <f t="shared" si="119"/>
        <v>0</v>
      </c>
    </row>
    <row r="546" spans="5:44" x14ac:dyDescent="0.2">
      <c r="E546" s="1">
        <f>moment_rate!$M546</f>
        <v>2.1574288521174538E-2</v>
      </c>
      <c r="F546" s="1">
        <f t="shared" si="115"/>
        <v>3.0906598844856331E-4</v>
      </c>
      <c r="G546">
        <f>moment_rate!I546-0.005</f>
        <v>5.3899999999999295</v>
      </c>
      <c r="H546" s="1">
        <f t="shared" si="116"/>
        <v>3.0906598844856331E-4</v>
      </c>
      <c r="I546">
        <f t="shared" si="122"/>
        <v>0</v>
      </c>
      <c r="J546">
        <f t="shared" si="122"/>
        <v>0</v>
      </c>
      <c r="K546">
        <f t="shared" si="122"/>
        <v>0</v>
      </c>
      <c r="L546">
        <f t="shared" si="122"/>
        <v>3.0906598844856331E-4</v>
      </c>
      <c r="M546">
        <f t="shared" si="122"/>
        <v>0</v>
      </c>
      <c r="N546">
        <f t="shared" si="122"/>
        <v>0</v>
      </c>
      <c r="O546">
        <f t="shared" si="122"/>
        <v>0</v>
      </c>
      <c r="P546">
        <f t="shared" si="122"/>
        <v>0</v>
      </c>
      <c r="Q546">
        <f t="shared" si="122"/>
        <v>0</v>
      </c>
      <c r="R546">
        <f t="shared" si="122"/>
        <v>0</v>
      </c>
      <c r="S546">
        <f t="shared" si="122"/>
        <v>0</v>
      </c>
      <c r="T546">
        <f t="shared" si="122"/>
        <v>0</v>
      </c>
      <c r="U546">
        <f t="shared" si="122"/>
        <v>0</v>
      </c>
      <c r="V546">
        <f t="shared" si="122"/>
        <v>0</v>
      </c>
      <c r="W546">
        <f t="shared" si="122"/>
        <v>0</v>
      </c>
      <c r="X546">
        <f t="shared" si="122"/>
        <v>0</v>
      </c>
      <c r="Y546">
        <f t="shared" si="120"/>
        <v>0</v>
      </c>
      <c r="Z546">
        <f t="shared" si="120"/>
        <v>0</v>
      </c>
      <c r="AA546">
        <f t="shared" si="120"/>
        <v>0</v>
      </c>
      <c r="AB546">
        <f t="shared" si="120"/>
        <v>0</v>
      </c>
      <c r="AC546">
        <f t="shared" si="120"/>
        <v>0</v>
      </c>
      <c r="AD546">
        <f t="shared" si="120"/>
        <v>0</v>
      </c>
      <c r="AE546">
        <f t="shared" si="120"/>
        <v>0</v>
      </c>
      <c r="AF546">
        <f t="shared" si="120"/>
        <v>0</v>
      </c>
      <c r="AG546">
        <f t="shared" si="120"/>
        <v>0</v>
      </c>
      <c r="AH546">
        <f t="shared" si="120"/>
        <v>0</v>
      </c>
      <c r="AI546">
        <f t="shared" si="120"/>
        <v>0</v>
      </c>
      <c r="AJ546">
        <f t="shared" si="120"/>
        <v>0</v>
      </c>
      <c r="AK546">
        <f t="shared" si="121"/>
        <v>0</v>
      </c>
      <c r="AL546">
        <f t="shared" si="121"/>
        <v>0</v>
      </c>
      <c r="AM546">
        <f t="shared" si="121"/>
        <v>0</v>
      </c>
      <c r="AN546">
        <f t="shared" si="121"/>
        <v>0</v>
      </c>
      <c r="AO546">
        <f t="shared" si="121"/>
        <v>0</v>
      </c>
      <c r="AP546">
        <f t="shared" si="121"/>
        <v>0</v>
      </c>
      <c r="AQ546">
        <f t="shared" si="121"/>
        <v>0</v>
      </c>
      <c r="AR546">
        <f t="shared" si="121"/>
        <v>0</v>
      </c>
    </row>
    <row r="547" spans="5:44" x14ac:dyDescent="0.2">
      <c r="E547" s="1">
        <f>moment_rate!$M547</f>
        <v>2.1265222532725975E-2</v>
      </c>
      <c r="F547" s="1">
        <f t="shared" si="115"/>
        <v>3.0272704051580862E-4</v>
      </c>
      <c r="G547">
        <f>moment_rate!I547-0.005</f>
        <v>5.3999999999999293</v>
      </c>
      <c r="H547" s="1">
        <f t="shared" si="116"/>
        <v>3.0272704051580862E-4</v>
      </c>
      <c r="I547">
        <f t="shared" si="122"/>
        <v>0</v>
      </c>
      <c r="J547">
        <f t="shared" si="122"/>
        <v>0</v>
      </c>
      <c r="K547">
        <f t="shared" si="122"/>
        <v>0</v>
      </c>
      <c r="L547">
        <f t="shared" si="122"/>
        <v>3.0272704051580862E-4</v>
      </c>
      <c r="M547">
        <f t="shared" si="122"/>
        <v>0</v>
      </c>
      <c r="N547">
        <f t="shared" si="122"/>
        <v>0</v>
      </c>
      <c r="O547">
        <f t="shared" si="122"/>
        <v>0</v>
      </c>
      <c r="P547">
        <f t="shared" si="122"/>
        <v>0</v>
      </c>
      <c r="Q547">
        <f t="shared" si="122"/>
        <v>0</v>
      </c>
      <c r="R547">
        <f t="shared" si="122"/>
        <v>0</v>
      </c>
      <c r="S547">
        <f t="shared" si="122"/>
        <v>0</v>
      </c>
      <c r="T547">
        <f t="shared" si="122"/>
        <v>0</v>
      </c>
      <c r="U547">
        <f t="shared" si="122"/>
        <v>0</v>
      </c>
      <c r="V547">
        <f t="shared" si="122"/>
        <v>0</v>
      </c>
      <c r="W547">
        <f t="shared" si="122"/>
        <v>0</v>
      </c>
      <c r="X547">
        <f t="shared" si="122"/>
        <v>0</v>
      </c>
      <c r="Y547">
        <f t="shared" si="120"/>
        <v>0</v>
      </c>
      <c r="Z547">
        <f t="shared" si="120"/>
        <v>0</v>
      </c>
      <c r="AA547">
        <f t="shared" si="120"/>
        <v>0</v>
      </c>
      <c r="AB547">
        <f t="shared" si="120"/>
        <v>0</v>
      </c>
      <c r="AC547">
        <f t="shared" si="120"/>
        <v>0</v>
      </c>
      <c r="AD547">
        <f t="shared" si="120"/>
        <v>0</v>
      </c>
      <c r="AE547">
        <f t="shared" si="120"/>
        <v>0</v>
      </c>
      <c r="AF547">
        <f t="shared" si="120"/>
        <v>0</v>
      </c>
      <c r="AG547">
        <f t="shared" si="120"/>
        <v>0</v>
      </c>
      <c r="AH547">
        <f t="shared" si="120"/>
        <v>0</v>
      </c>
      <c r="AI547">
        <f t="shared" si="120"/>
        <v>0</v>
      </c>
      <c r="AJ547">
        <f t="shared" si="120"/>
        <v>0</v>
      </c>
      <c r="AK547">
        <f t="shared" si="121"/>
        <v>0</v>
      </c>
      <c r="AL547">
        <f t="shared" si="121"/>
        <v>0</v>
      </c>
      <c r="AM547">
        <f t="shared" si="121"/>
        <v>0</v>
      </c>
      <c r="AN547">
        <f t="shared" si="121"/>
        <v>0</v>
      </c>
      <c r="AO547">
        <f t="shared" si="121"/>
        <v>0</v>
      </c>
      <c r="AP547">
        <f t="shared" si="121"/>
        <v>0</v>
      </c>
      <c r="AQ547">
        <f t="shared" si="121"/>
        <v>0</v>
      </c>
      <c r="AR547">
        <f t="shared" si="121"/>
        <v>0</v>
      </c>
    </row>
    <row r="548" spans="5:44" x14ac:dyDescent="0.2">
      <c r="E548" s="1">
        <f>moment_rate!$M548</f>
        <v>2.0962495492210166E-2</v>
      </c>
      <c r="F548" s="1">
        <f t="shared" si="115"/>
        <v>2.9651810449764227E-4</v>
      </c>
      <c r="G548">
        <f>moment_rate!I548-0.005</f>
        <v>5.4099999999999291</v>
      </c>
      <c r="H548" s="1">
        <f t="shared" si="116"/>
        <v>2.9651810449764227E-4</v>
      </c>
      <c r="I548">
        <f t="shared" si="122"/>
        <v>0</v>
      </c>
      <c r="J548">
        <f t="shared" si="122"/>
        <v>0</v>
      </c>
      <c r="K548">
        <f t="shared" si="122"/>
        <v>0</v>
      </c>
      <c r="L548">
        <f t="shared" si="122"/>
        <v>0</v>
      </c>
      <c r="M548">
        <f t="shared" si="122"/>
        <v>2.9651810449764227E-4</v>
      </c>
      <c r="N548">
        <f t="shared" si="122"/>
        <v>0</v>
      </c>
      <c r="O548">
        <f t="shared" si="122"/>
        <v>0</v>
      </c>
      <c r="P548">
        <f t="shared" si="122"/>
        <v>0</v>
      </c>
      <c r="Q548">
        <f t="shared" si="122"/>
        <v>0</v>
      </c>
      <c r="R548">
        <f t="shared" si="122"/>
        <v>0</v>
      </c>
      <c r="S548">
        <f t="shared" si="122"/>
        <v>0</v>
      </c>
      <c r="T548">
        <f t="shared" si="122"/>
        <v>0</v>
      </c>
      <c r="U548">
        <f t="shared" si="122"/>
        <v>0</v>
      </c>
      <c r="V548">
        <f t="shared" si="122"/>
        <v>0</v>
      </c>
      <c r="W548">
        <f t="shared" si="122"/>
        <v>0</v>
      </c>
      <c r="X548">
        <f t="shared" si="122"/>
        <v>0</v>
      </c>
      <c r="Y548">
        <f t="shared" si="120"/>
        <v>0</v>
      </c>
      <c r="Z548">
        <f t="shared" si="120"/>
        <v>0</v>
      </c>
      <c r="AA548">
        <f t="shared" si="120"/>
        <v>0</v>
      </c>
      <c r="AB548">
        <f t="shared" si="120"/>
        <v>0</v>
      </c>
      <c r="AC548">
        <f t="shared" si="120"/>
        <v>0</v>
      </c>
      <c r="AD548">
        <f t="shared" si="120"/>
        <v>0</v>
      </c>
      <c r="AE548">
        <f t="shared" si="120"/>
        <v>0</v>
      </c>
      <c r="AF548">
        <f t="shared" si="120"/>
        <v>0</v>
      </c>
      <c r="AG548">
        <f t="shared" si="120"/>
        <v>0</v>
      </c>
      <c r="AH548">
        <f t="shared" si="120"/>
        <v>0</v>
      </c>
      <c r="AI548">
        <f t="shared" si="120"/>
        <v>0</v>
      </c>
      <c r="AJ548">
        <f t="shared" si="120"/>
        <v>0</v>
      </c>
      <c r="AK548">
        <f t="shared" si="121"/>
        <v>0</v>
      </c>
      <c r="AL548">
        <f t="shared" si="121"/>
        <v>0</v>
      </c>
      <c r="AM548">
        <f t="shared" si="121"/>
        <v>0</v>
      </c>
      <c r="AN548">
        <f t="shared" si="121"/>
        <v>0</v>
      </c>
      <c r="AO548">
        <f t="shared" si="121"/>
        <v>0</v>
      </c>
      <c r="AP548">
        <f t="shared" si="121"/>
        <v>0</v>
      </c>
      <c r="AQ548">
        <f t="shared" si="121"/>
        <v>0</v>
      </c>
      <c r="AR548">
        <f t="shared" si="121"/>
        <v>0</v>
      </c>
    </row>
    <row r="549" spans="5:44" x14ac:dyDescent="0.2">
      <c r="E549" s="1">
        <f>moment_rate!$M549</f>
        <v>2.0665977387712524E-2</v>
      </c>
      <c r="F549" s="1">
        <f t="shared" si="115"/>
        <v>2.9043651384782002E-4</v>
      </c>
      <c r="G549">
        <f>moment_rate!I549-0.005</f>
        <v>5.4199999999999289</v>
      </c>
      <c r="H549" s="1">
        <f t="shared" si="116"/>
        <v>2.9043651384782002E-4</v>
      </c>
      <c r="I549">
        <f t="shared" si="122"/>
        <v>0</v>
      </c>
      <c r="J549">
        <f t="shared" si="122"/>
        <v>0</v>
      </c>
      <c r="K549">
        <f t="shared" si="122"/>
        <v>0</v>
      </c>
      <c r="L549">
        <f t="shared" si="122"/>
        <v>0</v>
      </c>
      <c r="M549">
        <f t="shared" si="122"/>
        <v>2.9043651384782002E-4</v>
      </c>
      <c r="N549">
        <f t="shared" si="122"/>
        <v>0</v>
      </c>
      <c r="O549">
        <f t="shared" si="122"/>
        <v>0</v>
      </c>
      <c r="P549">
        <f t="shared" si="122"/>
        <v>0</v>
      </c>
      <c r="Q549">
        <f t="shared" si="122"/>
        <v>0</v>
      </c>
      <c r="R549">
        <f t="shared" si="122"/>
        <v>0</v>
      </c>
      <c r="S549">
        <f t="shared" si="122"/>
        <v>0</v>
      </c>
      <c r="T549">
        <f t="shared" si="122"/>
        <v>0</v>
      </c>
      <c r="U549">
        <f t="shared" si="122"/>
        <v>0</v>
      </c>
      <c r="V549">
        <f t="shared" si="122"/>
        <v>0</v>
      </c>
      <c r="W549">
        <f t="shared" si="122"/>
        <v>0</v>
      </c>
      <c r="X549">
        <f t="shared" si="122"/>
        <v>0</v>
      </c>
      <c r="Y549">
        <f t="shared" si="120"/>
        <v>0</v>
      </c>
      <c r="Z549">
        <f t="shared" si="120"/>
        <v>0</v>
      </c>
      <c r="AA549">
        <f t="shared" si="120"/>
        <v>0</v>
      </c>
      <c r="AB549">
        <f t="shared" si="120"/>
        <v>0</v>
      </c>
      <c r="AC549">
        <f t="shared" si="120"/>
        <v>0</v>
      </c>
      <c r="AD549">
        <f t="shared" si="120"/>
        <v>0</v>
      </c>
      <c r="AE549">
        <f t="shared" si="120"/>
        <v>0</v>
      </c>
      <c r="AF549">
        <f t="shared" si="120"/>
        <v>0</v>
      </c>
      <c r="AG549">
        <f t="shared" si="120"/>
        <v>0</v>
      </c>
      <c r="AH549">
        <f t="shared" si="120"/>
        <v>0</v>
      </c>
      <c r="AI549">
        <f t="shared" si="120"/>
        <v>0</v>
      </c>
      <c r="AJ549">
        <f t="shared" si="120"/>
        <v>0</v>
      </c>
      <c r="AK549">
        <f t="shared" si="121"/>
        <v>0</v>
      </c>
      <c r="AL549">
        <f t="shared" si="121"/>
        <v>0</v>
      </c>
      <c r="AM549">
        <f t="shared" si="121"/>
        <v>0</v>
      </c>
      <c r="AN549">
        <f t="shared" si="121"/>
        <v>0</v>
      </c>
      <c r="AO549">
        <f t="shared" si="121"/>
        <v>0</v>
      </c>
      <c r="AP549">
        <f t="shared" si="121"/>
        <v>0</v>
      </c>
      <c r="AQ549">
        <f t="shared" si="121"/>
        <v>0</v>
      </c>
      <c r="AR549">
        <f t="shared" si="121"/>
        <v>0</v>
      </c>
    </row>
    <row r="550" spans="5:44" x14ac:dyDescent="0.2">
      <c r="E550" s="1">
        <f>moment_rate!$M550</f>
        <v>2.0375540873864704E-2</v>
      </c>
      <c r="F550" s="1">
        <f t="shared" si="115"/>
        <v>2.8447965671095019E-4</v>
      </c>
      <c r="G550">
        <f>moment_rate!I550-0.005</f>
        <v>5.4299999999999287</v>
      </c>
      <c r="H550" s="1">
        <f t="shared" si="116"/>
        <v>2.8447965671095019E-4</v>
      </c>
      <c r="I550">
        <f t="shared" si="122"/>
        <v>0</v>
      </c>
      <c r="J550">
        <f t="shared" si="122"/>
        <v>0</v>
      </c>
      <c r="K550">
        <f t="shared" si="122"/>
        <v>0</v>
      </c>
      <c r="L550">
        <f t="shared" si="122"/>
        <v>0</v>
      </c>
      <c r="M550">
        <f t="shared" si="122"/>
        <v>2.8447965671095019E-4</v>
      </c>
      <c r="N550">
        <f t="shared" si="122"/>
        <v>0</v>
      </c>
      <c r="O550">
        <f t="shared" si="122"/>
        <v>0</v>
      </c>
      <c r="P550">
        <f t="shared" si="122"/>
        <v>0</v>
      </c>
      <c r="Q550">
        <f t="shared" si="122"/>
        <v>0</v>
      </c>
      <c r="R550">
        <f t="shared" si="122"/>
        <v>0</v>
      </c>
      <c r="S550">
        <f t="shared" si="122"/>
        <v>0</v>
      </c>
      <c r="T550">
        <f t="shared" si="122"/>
        <v>0</v>
      </c>
      <c r="U550">
        <f t="shared" si="122"/>
        <v>0</v>
      </c>
      <c r="V550">
        <f t="shared" si="122"/>
        <v>0</v>
      </c>
      <c r="W550">
        <f t="shared" si="122"/>
        <v>0</v>
      </c>
      <c r="X550">
        <f t="shared" si="122"/>
        <v>0</v>
      </c>
      <c r="Y550">
        <f t="shared" si="120"/>
        <v>0</v>
      </c>
      <c r="Z550">
        <f t="shared" si="120"/>
        <v>0</v>
      </c>
      <c r="AA550">
        <f t="shared" si="120"/>
        <v>0</v>
      </c>
      <c r="AB550">
        <f t="shared" si="120"/>
        <v>0</v>
      </c>
      <c r="AC550">
        <f t="shared" si="120"/>
        <v>0</v>
      </c>
      <c r="AD550">
        <f t="shared" si="120"/>
        <v>0</v>
      </c>
      <c r="AE550">
        <f t="shared" si="120"/>
        <v>0</v>
      </c>
      <c r="AF550">
        <f t="shared" si="120"/>
        <v>0</v>
      </c>
      <c r="AG550">
        <f t="shared" si="120"/>
        <v>0</v>
      </c>
      <c r="AH550">
        <f t="shared" si="120"/>
        <v>0</v>
      </c>
      <c r="AI550">
        <f t="shared" si="120"/>
        <v>0</v>
      </c>
      <c r="AJ550">
        <f t="shared" si="120"/>
        <v>0</v>
      </c>
      <c r="AK550">
        <f t="shared" si="121"/>
        <v>0</v>
      </c>
      <c r="AL550">
        <f t="shared" si="121"/>
        <v>0</v>
      </c>
      <c r="AM550">
        <f t="shared" si="121"/>
        <v>0</v>
      </c>
      <c r="AN550">
        <f t="shared" si="121"/>
        <v>0</v>
      </c>
      <c r="AO550">
        <f t="shared" si="121"/>
        <v>0</v>
      </c>
      <c r="AP550">
        <f t="shared" si="121"/>
        <v>0</v>
      </c>
      <c r="AQ550">
        <f t="shared" si="121"/>
        <v>0</v>
      </c>
      <c r="AR550">
        <f t="shared" si="121"/>
        <v>0</v>
      </c>
    </row>
    <row r="551" spans="5:44" x14ac:dyDescent="0.2">
      <c r="E551" s="1">
        <f>moment_rate!$M551</f>
        <v>2.0091061217153754E-2</v>
      </c>
      <c r="F551" s="1">
        <f t="shared" si="115"/>
        <v>2.7864497480088388E-4</v>
      </c>
      <c r="G551">
        <f>moment_rate!I551-0.005</f>
        <v>5.4399999999999284</v>
      </c>
      <c r="H551" s="1">
        <f t="shared" si="116"/>
        <v>2.7864497480088388E-4</v>
      </c>
      <c r="I551">
        <f t="shared" si="122"/>
        <v>0</v>
      </c>
      <c r="J551">
        <f t="shared" si="122"/>
        <v>0</v>
      </c>
      <c r="K551">
        <f t="shared" si="122"/>
        <v>0</v>
      </c>
      <c r="L551">
        <f t="shared" si="122"/>
        <v>0</v>
      </c>
      <c r="M551">
        <f t="shared" si="122"/>
        <v>2.7864497480088388E-4</v>
      </c>
      <c r="N551">
        <f t="shared" si="122"/>
        <v>0</v>
      </c>
      <c r="O551">
        <f t="shared" si="122"/>
        <v>0</v>
      </c>
      <c r="P551">
        <f t="shared" si="122"/>
        <v>0</v>
      </c>
      <c r="Q551">
        <f t="shared" si="122"/>
        <v>0</v>
      </c>
      <c r="R551">
        <f t="shared" si="122"/>
        <v>0</v>
      </c>
      <c r="S551">
        <f t="shared" si="122"/>
        <v>0</v>
      </c>
      <c r="T551">
        <f t="shared" si="122"/>
        <v>0</v>
      </c>
      <c r="U551">
        <f t="shared" si="122"/>
        <v>0</v>
      </c>
      <c r="V551">
        <f t="shared" si="122"/>
        <v>0</v>
      </c>
      <c r="W551">
        <f t="shared" si="122"/>
        <v>0</v>
      </c>
      <c r="X551">
        <f t="shared" si="122"/>
        <v>0</v>
      </c>
      <c r="Y551">
        <f t="shared" si="120"/>
        <v>0</v>
      </c>
      <c r="Z551">
        <f t="shared" si="120"/>
        <v>0</v>
      </c>
      <c r="AA551">
        <f t="shared" si="120"/>
        <v>0</v>
      </c>
      <c r="AB551">
        <f t="shared" si="120"/>
        <v>0</v>
      </c>
      <c r="AC551">
        <f t="shared" si="120"/>
        <v>0</v>
      </c>
      <c r="AD551">
        <f t="shared" si="120"/>
        <v>0</v>
      </c>
      <c r="AE551">
        <f t="shared" si="120"/>
        <v>0</v>
      </c>
      <c r="AF551">
        <f t="shared" si="120"/>
        <v>0</v>
      </c>
      <c r="AG551">
        <f t="shared" si="120"/>
        <v>0</v>
      </c>
      <c r="AH551">
        <f t="shared" si="120"/>
        <v>0</v>
      </c>
      <c r="AI551">
        <f t="shared" si="120"/>
        <v>0</v>
      </c>
      <c r="AJ551">
        <f t="shared" si="120"/>
        <v>0</v>
      </c>
      <c r="AK551">
        <f t="shared" si="121"/>
        <v>0</v>
      </c>
      <c r="AL551">
        <f t="shared" si="121"/>
        <v>0</v>
      </c>
      <c r="AM551">
        <f t="shared" si="121"/>
        <v>0</v>
      </c>
      <c r="AN551">
        <f t="shared" si="121"/>
        <v>0</v>
      </c>
      <c r="AO551">
        <f t="shared" si="121"/>
        <v>0</v>
      </c>
      <c r="AP551">
        <f t="shared" si="121"/>
        <v>0</v>
      </c>
      <c r="AQ551">
        <f t="shared" si="121"/>
        <v>0</v>
      </c>
      <c r="AR551">
        <f t="shared" si="121"/>
        <v>0</v>
      </c>
    </row>
    <row r="552" spans="5:44" x14ac:dyDescent="0.2">
      <c r="E552" s="1">
        <f>moment_rate!$M552</f>
        <v>1.981241624235287E-2</v>
      </c>
      <c r="F552" s="1">
        <f t="shared" si="115"/>
        <v>2.7292996230192032E-4</v>
      </c>
      <c r="G552">
        <f>moment_rate!I552-0.005</f>
        <v>5.4499999999999282</v>
      </c>
      <c r="H552" s="1">
        <f t="shared" si="116"/>
        <v>2.7292996230192032E-4</v>
      </c>
      <c r="I552">
        <f t="shared" si="122"/>
        <v>0</v>
      </c>
      <c r="J552">
        <f t="shared" si="122"/>
        <v>0</v>
      </c>
      <c r="K552">
        <f t="shared" si="122"/>
        <v>0</v>
      </c>
      <c r="L552">
        <f t="shared" si="122"/>
        <v>0</v>
      </c>
      <c r="M552">
        <f t="shared" si="122"/>
        <v>2.7292996230192032E-4</v>
      </c>
      <c r="N552">
        <f t="shared" si="122"/>
        <v>0</v>
      </c>
      <c r="O552">
        <f t="shared" si="122"/>
        <v>0</v>
      </c>
      <c r="P552">
        <f t="shared" si="122"/>
        <v>0</v>
      </c>
      <c r="Q552">
        <f t="shared" si="122"/>
        <v>0</v>
      </c>
      <c r="R552">
        <f t="shared" si="122"/>
        <v>0</v>
      </c>
      <c r="S552">
        <f t="shared" si="122"/>
        <v>0</v>
      </c>
      <c r="T552">
        <f t="shared" si="122"/>
        <v>0</v>
      </c>
      <c r="U552">
        <f t="shared" si="122"/>
        <v>0</v>
      </c>
      <c r="V552">
        <f t="shared" si="122"/>
        <v>0</v>
      </c>
      <c r="W552">
        <f t="shared" si="122"/>
        <v>0</v>
      </c>
      <c r="X552">
        <f t="shared" si="122"/>
        <v>0</v>
      </c>
      <c r="Y552">
        <f t="shared" si="120"/>
        <v>0</v>
      </c>
      <c r="Z552">
        <f t="shared" si="120"/>
        <v>0</v>
      </c>
      <c r="AA552">
        <f t="shared" si="120"/>
        <v>0</v>
      </c>
      <c r="AB552">
        <f t="shared" si="120"/>
        <v>0</v>
      </c>
      <c r="AC552">
        <f t="shared" si="120"/>
        <v>0</v>
      </c>
      <c r="AD552">
        <f t="shared" si="120"/>
        <v>0</v>
      </c>
      <c r="AE552">
        <f t="shared" si="120"/>
        <v>0</v>
      </c>
      <c r="AF552">
        <f t="shared" si="120"/>
        <v>0</v>
      </c>
      <c r="AG552">
        <f t="shared" si="120"/>
        <v>0</v>
      </c>
      <c r="AH552">
        <f t="shared" si="120"/>
        <v>0</v>
      </c>
      <c r="AI552">
        <f t="shared" si="120"/>
        <v>0</v>
      </c>
      <c r="AJ552">
        <f t="shared" si="120"/>
        <v>0</v>
      </c>
      <c r="AK552">
        <f t="shared" si="121"/>
        <v>0</v>
      </c>
      <c r="AL552">
        <f t="shared" si="121"/>
        <v>0</v>
      </c>
      <c r="AM552">
        <f t="shared" si="121"/>
        <v>0</v>
      </c>
      <c r="AN552">
        <f t="shared" si="121"/>
        <v>0</v>
      </c>
      <c r="AO552">
        <f t="shared" si="121"/>
        <v>0</v>
      </c>
      <c r="AP552">
        <f t="shared" si="121"/>
        <v>0</v>
      </c>
      <c r="AQ552">
        <f t="shared" si="121"/>
        <v>0</v>
      </c>
      <c r="AR552">
        <f t="shared" si="121"/>
        <v>0</v>
      </c>
    </row>
    <row r="553" spans="5:44" x14ac:dyDescent="0.2">
      <c r="E553" s="1">
        <f>moment_rate!$M553</f>
        <v>1.9539486280050949E-2</v>
      </c>
      <c r="F553" s="1">
        <f t="shared" si="115"/>
        <v>2.6733216479270586E-4</v>
      </c>
      <c r="G553">
        <f>moment_rate!I553-0.005</f>
        <v>5.459999999999928</v>
      </c>
      <c r="H553" s="1">
        <f t="shared" si="116"/>
        <v>2.6733216479270586E-4</v>
      </c>
      <c r="I553">
        <f t="shared" si="122"/>
        <v>0</v>
      </c>
      <c r="J553">
        <f t="shared" si="122"/>
        <v>0</v>
      </c>
      <c r="K553">
        <f t="shared" si="122"/>
        <v>0</v>
      </c>
      <c r="L553">
        <f t="shared" si="122"/>
        <v>0</v>
      </c>
      <c r="M553">
        <f t="shared" si="122"/>
        <v>2.6733216479270586E-4</v>
      </c>
      <c r="N553">
        <f t="shared" si="122"/>
        <v>0</v>
      </c>
      <c r="O553">
        <f t="shared" si="122"/>
        <v>0</v>
      </c>
      <c r="P553">
        <f t="shared" si="122"/>
        <v>0</v>
      </c>
      <c r="Q553">
        <f t="shared" si="122"/>
        <v>0</v>
      </c>
      <c r="R553">
        <f t="shared" si="122"/>
        <v>0</v>
      </c>
      <c r="S553">
        <f t="shared" si="122"/>
        <v>0</v>
      </c>
      <c r="T553">
        <f t="shared" si="122"/>
        <v>0</v>
      </c>
      <c r="U553">
        <f t="shared" si="122"/>
        <v>0</v>
      </c>
      <c r="V553">
        <f t="shared" si="122"/>
        <v>0</v>
      </c>
      <c r="W553">
        <f t="shared" si="122"/>
        <v>0</v>
      </c>
      <c r="X553">
        <f t="shared" si="122"/>
        <v>0</v>
      </c>
      <c r="Y553">
        <f t="shared" si="120"/>
        <v>0</v>
      </c>
      <c r="Z553">
        <f t="shared" si="120"/>
        <v>0</v>
      </c>
      <c r="AA553">
        <f t="shared" si="120"/>
        <v>0</v>
      </c>
      <c r="AB553">
        <f t="shared" si="120"/>
        <v>0</v>
      </c>
      <c r="AC553">
        <f t="shared" si="120"/>
        <v>0</v>
      </c>
      <c r="AD553">
        <f t="shared" si="120"/>
        <v>0</v>
      </c>
      <c r="AE553">
        <f t="shared" si="120"/>
        <v>0</v>
      </c>
      <c r="AF553">
        <f t="shared" si="120"/>
        <v>0</v>
      </c>
      <c r="AG553">
        <f t="shared" si="120"/>
        <v>0</v>
      </c>
      <c r="AH553">
        <f t="shared" si="120"/>
        <v>0</v>
      </c>
      <c r="AI553">
        <f t="shared" si="120"/>
        <v>0</v>
      </c>
      <c r="AJ553">
        <f t="shared" si="120"/>
        <v>0</v>
      </c>
      <c r="AK553">
        <f t="shared" si="121"/>
        <v>0</v>
      </c>
      <c r="AL553">
        <f t="shared" si="121"/>
        <v>0</v>
      </c>
      <c r="AM553">
        <f t="shared" si="121"/>
        <v>0</v>
      </c>
      <c r="AN553">
        <f t="shared" si="121"/>
        <v>0</v>
      </c>
      <c r="AO553">
        <f t="shared" si="121"/>
        <v>0</v>
      </c>
      <c r="AP553">
        <f t="shared" si="121"/>
        <v>0</v>
      </c>
      <c r="AQ553">
        <f t="shared" si="121"/>
        <v>0</v>
      </c>
      <c r="AR553">
        <f t="shared" si="121"/>
        <v>0</v>
      </c>
    </row>
    <row r="554" spans="5:44" x14ac:dyDescent="0.2">
      <c r="E554" s="1">
        <f>moment_rate!$M554</f>
        <v>1.9272154115258244E-2</v>
      </c>
      <c r="F554" s="1">
        <f t="shared" si="115"/>
        <v>2.6184917819208758E-4</v>
      </c>
      <c r="G554">
        <f>moment_rate!I554-0.005</f>
        <v>5.4699999999999278</v>
      </c>
      <c r="H554" s="1">
        <f t="shared" si="116"/>
        <v>2.6184917819208758E-4</v>
      </c>
      <c r="I554">
        <f t="shared" si="122"/>
        <v>0</v>
      </c>
      <c r="J554">
        <f t="shared" si="122"/>
        <v>0</v>
      </c>
      <c r="K554">
        <f t="shared" si="122"/>
        <v>0</v>
      </c>
      <c r="L554">
        <f t="shared" si="122"/>
        <v>0</v>
      </c>
      <c r="M554">
        <f t="shared" si="122"/>
        <v>2.6184917819208758E-4</v>
      </c>
      <c r="N554">
        <f t="shared" si="122"/>
        <v>0</v>
      </c>
      <c r="O554">
        <f t="shared" si="122"/>
        <v>0</v>
      </c>
      <c r="P554">
        <f t="shared" si="122"/>
        <v>0</v>
      </c>
      <c r="Q554">
        <f t="shared" si="122"/>
        <v>0</v>
      </c>
      <c r="R554">
        <f t="shared" si="122"/>
        <v>0</v>
      </c>
      <c r="S554">
        <f t="shared" si="122"/>
        <v>0</v>
      </c>
      <c r="T554">
        <f t="shared" si="122"/>
        <v>0</v>
      </c>
      <c r="U554">
        <f t="shared" si="122"/>
        <v>0</v>
      </c>
      <c r="V554">
        <f t="shared" si="122"/>
        <v>0</v>
      </c>
      <c r="W554">
        <f t="shared" si="122"/>
        <v>0</v>
      </c>
      <c r="X554">
        <f t="shared" ref="X554:AM569" si="123">IF(AND($G554&gt;=X$3,$G554&lt;X$4),$F554,0)</f>
        <v>0</v>
      </c>
      <c r="Y554">
        <f t="shared" si="123"/>
        <v>0</v>
      </c>
      <c r="Z554">
        <f t="shared" si="123"/>
        <v>0</v>
      </c>
      <c r="AA554">
        <f t="shared" si="123"/>
        <v>0</v>
      </c>
      <c r="AB554">
        <f t="shared" si="123"/>
        <v>0</v>
      </c>
      <c r="AC554">
        <f t="shared" si="123"/>
        <v>0</v>
      </c>
      <c r="AD554">
        <f t="shared" si="123"/>
        <v>0</v>
      </c>
      <c r="AE554">
        <f t="shared" si="123"/>
        <v>0</v>
      </c>
      <c r="AF554">
        <f t="shared" si="123"/>
        <v>0</v>
      </c>
      <c r="AG554">
        <f t="shared" si="123"/>
        <v>0</v>
      </c>
      <c r="AH554">
        <f t="shared" si="123"/>
        <v>0</v>
      </c>
      <c r="AI554">
        <f t="shared" si="123"/>
        <v>0</v>
      </c>
      <c r="AJ554">
        <f t="shared" si="123"/>
        <v>0</v>
      </c>
      <c r="AK554">
        <f t="shared" si="123"/>
        <v>0</v>
      </c>
      <c r="AL554">
        <f t="shared" si="123"/>
        <v>0</v>
      </c>
      <c r="AM554">
        <f t="shared" si="123"/>
        <v>0</v>
      </c>
      <c r="AN554">
        <f t="shared" si="121"/>
        <v>0</v>
      </c>
      <c r="AO554">
        <f t="shared" si="121"/>
        <v>0</v>
      </c>
      <c r="AP554">
        <f t="shared" si="121"/>
        <v>0</v>
      </c>
      <c r="AQ554">
        <f t="shared" si="121"/>
        <v>0</v>
      </c>
      <c r="AR554">
        <f t="shared" si="121"/>
        <v>0</v>
      </c>
    </row>
    <row r="555" spans="5:44" x14ac:dyDescent="0.2">
      <c r="E555" s="1">
        <f>moment_rate!$M555</f>
        <v>1.9010304937066156E-2</v>
      </c>
      <c r="F555" s="1">
        <f t="shared" si="115"/>
        <v>2.5647864772664411E-4</v>
      </c>
      <c r="G555">
        <f>moment_rate!I555-0.005</f>
        <v>5.4799999999999276</v>
      </c>
      <c r="H555" s="1">
        <f t="shared" si="116"/>
        <v>2.5647864772664411E-4</v>
      </c>
      <c r="I555">
        <f t="shared" ref="I555:X570" si="124">IF(AND($G555&gt;=I$3,$G555&lt;I$4),$F555,0)</f>
        <v>0</v>
      </c>
      <c r="J555">
        <f t="shared" si="124"/>
        <v>0</v>
      </c>
      <c r="K555">
        <f t="shared" si="124"/>
        <v>0</v>
      </c>
      <c r="L555">
        <f t="shared" si="124"/>
        <v>0</v>
      </c>
      <c r="M555">
        <f t="shared" si="124"/>
        <v>2.5647864772664411E-4</v>
      </c>
      <c r="N555">
        <f t="shared" si="124"/>
        <v>0</v>
      </c>
      <c r="O555">
        <f t="shared" si="124"/>
        <v>0</v>
      </c>
      <c r="P555">
        <f t="shared" si="124"/>
        <v>0</v>
      </c>
      <c r="Q555">
        <f t="shared" si="124"/>
        <v>0</v>
      </c>
      <c r="R555">
        <f t="shared" si="124"/>
        <v>0</v>
      </c>
      <c r="S555">
        <f t="shared" si="124"/>
        <v>0</v>
      </c>
      <c r="T555">
        <f t="shared" si="124"/>
        <v>0</v>
      </c>
      <c r="U555">
        <f t="shared" si="124"/>
        <v>0</v>
      </c>
      <c r="V555">
        <f t="shared" si="124"/>
        <v>0</v>
      </c>
      <c r="W555">
        <f t="shared" si="124"/>
        <v>0</v>
      </c>
      <c r="X555">
        <f t="shared" si="124"/>
        <v>0</v>
      </c>
      <c r="Y555">
        <f t="shared" si="123"/>
        <v>0</v>
      </c>
      <c r="Z555">
        <f t="shared" si="123"/>
        <v>0</v>
      </c>
      <c r="AA555">
        <f t="shared" si="123"/>
        <v>0</v>
      </c>
      <c r="AB555">
        <f t="shared" si="123"/>
        <v>0</v>
      </c>
      <c r="AC555">
        <f t="shared" si="123"/>
        <v>0</v>
      </c>
      <c r="AD555">
        <f t="shared" si="123"/>
        <v>0</v>
      </c>
      <c r="AE555">
        <f t="shared" si="123"/>
        <v>0</v>
      </c>
      <c r="AF555">
        <f t="shared" si="123"/>
        <v>0</v>
      </c>
      <c r="AG555">
        <f t="shared" si="123"/>
        <v>0</v>
      </c>
      <c r="AH555">
        <f t="shared" si="123"/>
        <v>0</v>
      </c>
      <c r="AI555">
        <f t="shared" si="123"/>
        <v>0</v>
      </c>
      <c r="AJ555">
        <f t="shared" si="123"/>
        <v>0</v>
      </c>
      <c r="AK555">
        <f t="shared" si="123"/>
        <v>0</v>
      </c>
      <c r="AL555">
        <f t="shared" si="123"/>
        <v>0</v>
      </c>
      <c r="AM555">
        <f t="shared" si="123"/>
        <v>0</v>
      </c>
      <c r="AN555">
        <f t="shared" si="121"/>
        <v>0</v>
      </c>
      <c r="AO555">
        <f t="shared" si="121"/>
        <v>0</v>
      </c>
      <c r="AP555">
        <f t="shared" si="121"/>
        <v>0</v>
      </c>
      <c r="AQ555">
        <f t="shared" si="121"/>
        <v>0</v>
      </c>
      <c r="AR555">
        <f t="shared" si="121"/>
        <v>0</v>
      </c>
    </row>
    <row r="556" spans="5:44" x14ac:dyDescent="0.2">
      <c r="E556" s="1">
        <f>moment_rate!$M556</f>
        <v>1.8753826289339512E-2</v>
      </c>
      <c r="F556" s="1">
        <f t="shared" si="115"/>
        <v>2.5121826691941809E-4</v>
      </c>
      <c r="G556">
        <f>moment_rate!I556-0.005</f>
        <v>5.4899999999999274</v>
      </c>
      <c r="H556" s="1">
        <f t="shared" si="116"/>
        <v>2.5121826691941809E-4</v>
      </c>
      <c r="I556">
        <f t="shared" si="124"/>
        <v>0</v>
      </c>
      <c r="J556">
        <f t="shared" si="124"/>
        <v>0</v>
      </c>
      <c r="K556">
        <f t="shared" si="124"/>
        <v>0</v>
      </c>
      <c r="L556">
        <f t="shared" si="124"/>
        <v>0</v>
      </c>
      <c r="M556">
        <f t="shared" si="124"/>
        <v>2.5121826691941809E-4</v>
      </c>
      <c r="N556">
        <f t="shared" si="124"/>
        <v>0</v>
      </c>
      <c r="O556">
        <f t="shared" si="124"/>
        <v>0</v>
      </c>
      <c r="P556">
        <f t="shared" si="124"/>
        <v>0</v>
      </c>
      <c r="Q556">
        <f t="shared" si="124"/>
        <v>0</v>
      </c>
      <c r="R556">
        <f t="shared" si="124"/>
        <v>0</v>
      </c>
      <c r="S556">
        <f t="shared" si="124"/>
        <v>0</v>
      </c>
      <c r="T556">
        <f t="shared" si="124"/>
        <v>0</v>
      </c>
      <c r="U556">
        <f t="shared" si="124"/>
        <v>0</v>
      </c>
      <c r="V556">
        <f t="shared" si="124"/>
        <v>0</v>
      </c>
      <c r="W556">
        <f t="shared" si="124"/>
        <v>0</v>
      </c>
      <c r="X556">
        <f t="shared" si="124"/>
        <v>0</v>
      </c>
      <c r="Y556">
        <f t="shared" si="123"/>
        <v>0</v>
      </c>
      <c r="Z556">
        <f t="shared" si="123"/>
        <v>0</v>
      </c>
      <c r="AA556">
        <f t="shared" si="123"/>
        <v>0</v>
      </c>
      <c r="AB556">
        <f t="shared" si="123"/>
        <v>0</v>
      </c>
      <c r="AC556">
        <f t="shared" si="123"/>
        <v>0</v>
      </c>
      <c r="AD556">
        <f t="shared" si="123"/>
        <v>0</v>
      </c>
      <c r="AE556">
        <f t="shared" si="123"/>
        <v>0</v>
      </c>
      <c r="AF556">
        <f t="shared" si="123"/>
        <v>0</v>
      </c>
      <c r="AG556">
        <f t="shared" si="123"/>
        <v>0</v>
      </c>
      <c r="AH556">
        <f t="shared" si="123"/>
        <v>0</v>
      </c>
      <c r="AI556">
        <f t="shared" si="123"/>
        <v>0</v>
      </c>
      <c r="AJ556">
        <f t="shared" si="123"/>
        <v>0</v>
      </c>
      <c r="AK556">
        <f t="shared" si="123"/>
        <v>0</v>
      </c>
      <c r="AL556">
        <f t="shared" si="123"/>
        <v>0</v>
      </c>
      <c r="AM556">
        <f t="shared" si="123"/>
        <v>0</v>
      </c>
      <c r="AN556">
        <f t="shared" si="121"/>
        <v>0</v>
      </c>
      <c r="AO556">
        <f t="shared" si="121"/>
        <v>0</v>
      </c>
      <c r="AP556">
        <f t="shared" si="121"/>
        <v>0</v>
      </c>
      <c r="AQ556">
        <f t="shared" si="121"/>
        <v>0</v>
      </c>
      <c r="AR556">
        <f t="shared" si="121"/>
        <v>0</v>
      </c>
    </row>
    <row r="557" spans="5:44" x14ac:dyDescent="0.2">
      <c r="E557" s="1">
        <f>moment_rate!$M557</f>
        <v>1.8502608022420094E-2</v>
      </c>
      <c r="F557" s="1">
        <f t="shared" si="115"/>
        <v>2.4606577659929546E-4</v>
      </c>
      <c r="G557">
        <f>moment_rate!I557-0.005</f>
        <v>5.4999999999999272</v>
      </c>
      <c r="H557" s="1">
        <f t="shared" si="116"/>
        <v>2.4606577659929546E-4</v>
      </c>
      <c r="I557">
        <f t="shared" si="124"/>
        <v>0</v>
      </c>
      <c r="J557">
        <f t="shared" si="124"/>
        <v>0</v>
      </c>
      <c r="K557">
        <f t="shared" si="124"/>
        <v>0</v>
      </c>
      <c r="L557">
        <f t="shared" si="124"/>
        <v>0</v>
      </c>
      <c r="M557">
        <f t="shared" si="124"/>
        <v>2.4606577659929546E-4</v>
      </c>
      <c r="N557">
        <f t="shared" si="124"/>
        <v>0</v>
      </c>
      <c r="O557">
        <f t="shared" si="124"/>
        <v>0</v>
      </c>
      <c r="P557">
        <f t="shared" si="124"/>
        <v>0</v>
      </c>
      <c r="Q557">
        <f t="shared" si="124"/>
        <v>0</v>
      </c>
      <c r="R557">
        <f t="shared" si="124"/>
        <v>0</v>
      </c>
      <c r="S557">
        <f t="shared" si="124"/>
        <v>0</v>
      </c>
      <c r="T557">
        <f t="shared" si="124"/>
        <v>0</v>
      </c>
      <c r="U557">
        <f t="shared" si="124"/>
        <v>0</v>
      </c>
      <c r="V557">
        <f t="shared" si="124"/>
        <v>0</v>
      </c>
      <c r="W557">
        <f t="shared" si="124"/>
        <v>0</v>
      </c>
      <c r="X557">
        <f t="shared" si="124"/>
        <v>0</v>
      </c>
      <c r="Y557">
        <f t="shared" si="123"/>
        <v>0</v>
      </c>
      <c r="Z557">
        <f t="shared" si="123"/>
        <v>0</v>
      </c>
      <c r="AA557">
        <f t="shared" si="123"/>
        <v>0</v>
      </c>
      <c r="AB557">
        <f t="shared" si="123"/>
        <v>0</v>
      </c>
      <c r="AC557">
        <f t="shared" si="123"/>
        <v>0</v>
      </c>
      <c r="AD557">
        <f t="shared" si="123"/>
        <v>0</v>
      </c>
      <c r="AE557">
        <f t="shared" si="123"/>
        <v>0</v>
      </c>
      <c r="AF557">
        <f t="shared" si="123"/>
        <v>0</v>
      </c>
      <c r="AG557">
        <f t="shared" si="123"/>
        <v>0</v>
      </c>
      <c r="AH557">
        <f t="shared" si="123"/>
        <v>0</v>
      </c>
      <c r="AI557">
        <f t="shared" si="123"/>
        <v>0</v>
      </c>
      <c r="AJ557">
        <f t="shared" si="123"/>
        <v>0</v>
      </c>
      <c r="AK557">
        <f t="shared" si="123"/>
        <v>0</v>
      </c>
      <c r="AL557">
        <f t="shared" si="123"/>
        <v>0</v>
      </c>
      <c r="AM557">
        <f t="shared" si="123"/>
        <v>0</v>
      </c>
      <c r="AN557">
        <f t="shared" si="121"/>
        <v>0</v>
      </c>
      <c r="AO557">
        <f t="shared" si="121"/>
        <v>0</v>
      </c>
      <c r="AP557">
        <f t="shared" si="121"/>
        <v>0</v>
      </c>
      <c r="AQ557">
        <f t="shared" si="121"/>
        <v>0</v>
      </c>
      <c r="AR557">
        <f t="shared" si="121"/>
        <v>0</v>
      </c>
    </row>
    <row r="558" spans="5:44" x14ac:dyDescent="0.2">
      <c r="E558" s="1">
        <f>moment_rate!$M558</f>
        <v>1.8256542245820798E-2</v>
      </c>
      <c r="F558" s="1">
        <f t="shared" si="115"/>
        <v>2.4101896393082661E-4</v>
      </c>
      <c r="G558">
        <f>moment_rate!I558-0.005</f>
        <v>5.509999999999927</v>
      </c>
      <c r="H558" s="1">
        <f t="shared" si="116"/>
        <v>2.4101896393082661E-4</v>
      </c>
      <c r="I558">
        <f t="shared" si="124"/>
        <v>0</v>
      </c>
      <c r="J558">
        <f t="shared" si="124"/>
        <v>0</v>
      </c>
      <c r="K558">
        <f t="shared" si="124"/>
        <v>0</v>
      </c>
      <c r="L558">
        <f t="shared" si="124"/>
        <v>0</v>
      </c>
      <c r="M558">
        <f t="shared" si="124"/>
        <v>0</v>
      </c>
      <c r="N558">
        <f t="shared" si="124"/>
        <v>2.4101896393082661E-4</v>
      </c>
      <c r="O558">
        <f t="shared" si="124"/>
        <v>0</v>
      </c>
      <c r="P558">
        <f t="shared" si="124"/>
        <v>0</v>
      </c>
      <c r="Q558">
        <f t="shared" si="124"/>
        <v>0</v>
      </c>
      <c r="R558">
        <f t="shared" si="124"/>
        <v>0</v>
      </c>
      <c r="S558">
        <f t="shared" si="124"/>
        <v>0</v>
      </c>
      <c r="T558">
        <f t="shared" si="124"/>
        <v>0</v>
      </c>
      <c r="U558">
        <f t="shared" si="124"/>
        <v>0</v>
      </c>
      <c r="V558">
        <f t="shared" si="124"/>
        <v>0</v>
      </c>
      <c r="W558">
        <f t="shared" si="124"/>
        <v>0</v>
      </c>
      <c r="X558">
        <f t="shared" si="124"/>
        <v>0</v>
      </c>
      <c r="Y558">
        <f t="shared" si="123"/>
        <v>0</v>
      </c>
      <c r="Z558">
        <f t="shared" si="123"/>
        <v>0</v>
      </c>
      <c r="AA558">
        <f t="shared" si="123"/>
        <v>0</v>
      </c>
      <c r="AB558">
        <f t="shared" si="123"/>
        <v>0</v>
      </c>
      <c r="AC558">
        <f t="shared" si="123"/>
        <v>0</v>
      </c>
      <c r="AD558">
        <f t="shared" si="123"/>
        <v>0</v>
      </c>
      <c r="AE558">
        <f t="shared" si="123"/>
        <v>0</v>
      </c>
      <c r="AF558">
        <f t="shared" si="123"/>
        <v>0</v>
      </c>
      <c r="AG558">
        <f t="shared" si="123"/>
        <v>0</v>
      </c>
      <c r="AH558">
        <f t="shared" si="123"/>
        <v>0</v>
      </c>
      <c r="AI558">
        <f t="shared" si="123"/>
        <v>0</v>
      </c>
      <c r="AJ558">
        <f t="shared" si="123"/>
        <v>0</v>
      </c>
      <c r="AK558">
        <f t="shared" si="123"/>
        <v>0</v>
      </c>
      <c r="AL558">
        <f t="shared" si="123"/>
        <v>0</v>
      </c>
      <c r="AM558">
        <f t="shared" si="123"/>
        <v>0</v>
      </c>
      <c r="AN558">
        <f t="shared" si="121"/>
        <v>0</v>
      </c>
      <c r="AO558">
        <f t="shared" si="121"/>
        <v>0</v>
      </c>
      <c r="AP558">
        <f t="shared" si="121"/>
        <v>0</v>
      </c>
      <c r="AQ558">
        <f t="shared" si="121"/>
        <v>0</v>
      </c>
      <c r="AR558">
        <f t="shared" si="121"/>
        <v>0</v>
      </c>
    </row>
    <row r="559" spans="5:44" x14ac:dyDescent="0.2">
      <c r="E559" s="1">
        <f>moment_rate!$M559</f>
        <v>1.8015523281889972E-2</v>
      </c>
      <c r="F559" s="1">
        <f t="shared" si="115"/>
        <v>2.3607566146382E-4</v>
      </c>
      <c r="G559">
        <f>moment_rate!I559-0.005</f>
        <v>5.5199999999999267</v>
      </c>
      <c r="H559" s="1">
        <f t="shared" si="116"/>
        <v>2.3607566146382E-4</v>
      </c>
      <c r="I559">
        <f t="shared" si="124"/>
        <v>0</v>
      </c>
      <c r="J559">
        <f t="shared" si="124"/>
        <v>0</v>
      </c>
      <c r="K559">
        <f t="shared" si="124"/>
        <v>0</v>
      </c>
      <c r="L559">
        <f t="shared" si="124"/>
        <v>0</v>
      </c>
      <c r="M559">
        <f t="shared" si="124"/>
        <v>0</v>
      </c>
      <c r="N559">
        <f t="shared" si="124"/>
        <v>2.3607566146382E-4</v>
      </c>
      <c r="O559">
        <f t="shared" si="124"/>
        <v>0</v>
      </c>
      <c r="P559">
        <f t="shared" si="124"/>
        <v>0</v>
      </c>
      <c r="Q559">
        <f t="shared" si="124"/>
        <v>0</v>
      </c>
      <c r="R559">
        <f t="shared" si="124"/>
        <v>0</v>
      </c>
      <c r="S559">
        <f t="shared" si="124"/>
        <v>0</v>
      </c>
      <c r="T559">
        <f t="shared" si="124"/>
        <v>0</v>
      </c>
      <c r="U559">
        <f t="shared" si="124"/>
        <v>0</v>
      </c>
      <c r="V559">
        <f t="shared" si="124"/>
        <v>0</v>
      </c>
      <c r="W559">
        <f t="shared" si="124"/>
        <v>0</v>
      </c>
      <c r="X559">
        <f t="shared" si="124"/>
        <v>0</v>
      </c>
      <c r="Y559">
        <f t="shared" si="123"/>
        <v>0</v>
      </c>
      <c r="Z559">
        <f t="shared" si="123"/>
        <v>0</v>
      </c>
      <c r="AA559">
        <f t="shared" si="123"/>
        <v>0</v>
      </c>
      <c r="AB559">
        <f t="shared" si="123"/>
        <v>0</v>
      </c>
      <c r="AC559">
        <f t="shared" si="123"/>
        <v>0</v>
      </c>
      <c r="AD559">
        <f t="shared" si="123"/>
        <v>0</v>
      </c>
      <c r="AE559">
        <f t="shared" si="123"/>
        <v>0</v>
      </c>
      <c r="AF559">
        <f t="shared" si="123"/>
        <v>0</v>
      </c>
      <c r="AG559">
        <f t="shared" si="123"/>
        <v>0</v>
      </c>
      <c r="AH559">
        <f t="shared" si="123"/>
        <v>0</v>
      </c>
      <c r="AI559">
        <f t="shared" si="123"/>
        <v>0</v>
      </c>
      <c r="AJ559">
        <f t="shared" si="123"/>
        <v>0</v>
      </c>
      <c r="AK559">
        <f t="shared" si="123"/>
        <v>0</v>
      </c>
      <c r="AL559">
        <f t="shared" si="123"/>
        <v>0</v>
      </c>
      <c r="AM559">
        <f t="shared" si="123"/>
        <v>0</v>
      </c>
      <c r="AN559">
        <f t="shared" si="121"/>
        <v>0</v>
      </c>
      <c r="AO559">
        <f t="shared" si="121"/>
        <v>0</v>
      </c>
      <c r="AP559">
        <f t="shared" si="121"/>
        <v>0</v>
      </c>
      <c r="AQ559">
        <f t="shared" si="121"/>
        <v>0</v>
      </c>
      <c r="AR559">
        <f t="shared" si="121"/>
        <v>0</v>
      </c>
    </row>
    <row r="560" spans="5:44" x14ac:dyDescent="0.2">
      <c r="E560" s="1">
        <f>moment_rate!$M560</f>
        <v>1.7779447620426152E-2</v>
      </c>
      <c r="F560" s="1">
        <f t="shared" si="115"/>
        <v>2.3123374620255197E-4</v>
      </c>
      <c r="G560">
        <f>moment_rate!I560-0.005</f>
        <v>5.5299999999999265</v>
      </c>
      <c r="H560" s="1">
        <f t="shared" si="116"/>
        <v>2.3123374620255197E-4</v>
      </c>
      <c r="I560">
        <f t="shared" si="124"/>
        <v>0</v>
      </c>
      <c r="J560">
        <f t="shared" si="124"/>
        <v>0</v>
      </c>
      <c r="K560">
        <f t="shared" si="124"/>
        <v>0</v>
      </c>
      <c r="L560">
        <f t="shared" si="124"/>
        <v>0</v>
      </c>
      <c r="M560">
        <f t="shared" si="124"/>
        <v>0</v>
      </c>
      <c r="N560">
        <f t="shared" si="124"/>
        <v>2.3123374620255197E-4</v>
      </c>
      <c r="O560">
        <f t="shared" si="124"/>
        <v>0</v>
      </c>
      <c r="P560">
        <f t="shared" si="124"/>
        <v>0</v>
      </c>
      <c r="Q560">
        <f t="shared" si="124"/>
        <v>0</v>
      </c>
      <c r="R560">
        <f t="shared" si="124"/>
        <v>0</v>
      </c>
      <c r="S560">
        <f t="shared" si="124"/>
        <v>0</v>
      </c>
      <c r="T560">
        <f t="shared" si="124"/>
        <v>0</v>
      </c>
      <c r="U560">
        <f t="shared" si="124"/>
        <v>0</v>
      </c>
      <c r="V560">
        <f t="shared" si="124"/>
        <v>0</v>
      </c>
      <c r="W560">
        <f t="shared" si="124"/>
        <v>0</v>
      </c>
      <c r="X560">
        <f t="shared" si="124"/>
        <v>0</v>
      </c>
      <c r="Y560">
        <f t="shared" si="123"/>
        <v>0</v>
      </c>
      <c r="Z560">
        <f t="shared" si="123"/>
        <v>0</v>
      </c>
      <c r="AA560">
        <f t="shared" si="123"/>
        <v>0</v>
      </c>
      <c r="AB560">
        <f t="shared" si="123"/>
        <v>0</v>
      </c>
      <c r="AC560">
        <f t="shared" si="123"/>
        <v>0</v>
      </c>
      <c r="AD560">
        <f t="shared" si="123"/>
        <v>0</v>
      </c>
      <c r="AE560">
        <f t="shared" si="123"/>
        <v>0</v>
      </c>
      <c r="AF560">
        <f t="shared" si="123"/>
        <v>0</v>
      </c>
      <c r="AG560">
        <f t="shared" si="123"/>
        <v>0</v>
      </c>
      <c r="AH560">
        <f t="shared" si="123"/>
        <v>0</v>
      </c>
      <c r="AI560">
        <f t="shared" si="123"/>
        <v>0</v>
      </c>
      <c r="AJ560">
        <f t="shared" si="123"/>
        <v>0</v>
      </c>
      <c r="AK560">
        <f t="shared" si="123"/>
        <v>0</v>
      </c>
      <c r="AL560">
        <f t="shared" si="123"/>
        <v>0</v>
      </c>
      <c r="AM560">
        <f t="shared" si="123"/>
        <v>0</v>
      </c>
      <c r="AN560">
        <f t="shared" si="121"/>
        <v>0</v>
      </c>
      <c r="AO560">
        <f t="shared" si="121"/>
        <v>0</v>
      </c>
      <c r="AP560">
        <f t="shared" si="121"/>
        <v>0</v>
      </c>
      <c r="AQ560">
        <f t="shared" si="121"/>
        <v>0</v>
      </c>
      <c r="AR560">
        <f t="shared" si="121"/>
        <v>0</v>
      </c>
    </row>
    <row r="561" spans="5:44" x14ac:dyDescent="0.2">
      <c r="E561" s="1">
        <f>moment_rate!$M561</f>
        <v>1.75482138742236E-2</v>
      </c>
      <c r="F561" s="1">
        <f t="shared" si="115"/>
        <v>2.2649113869393361E-4</v>
      </c>
      <c r="G561">
        <f>moment_rate!I561-0.005</f>
        <v>5.5399999999999263</v>
      </c>
      <c r="H561" s="1">
        <f t="shared" si="116"/>
        <v>2.2649113869393361E-4</v>
      </c>
      <c r="I561">
        <f t="shared" si="124"/>
        <v>0</v>
      </c>
      <c r="J561">
        <f t="shared" si="124"/>
        <v>0</v>
      </c>
      <c r="K561">
        <f t="shared" si="124"/>
        <v>0</v>
      </c>
      <c r="L561">
        <f t="shared" si="124"/>
        <v>0</v>
      </c>
      <c r="M561">
        <f t="shared" si="124"/>
        <v>0</v>
      </c>
      <c r="N561">
        <f t="shared" si="124"/>
        <v>2.2649113869393361E-4</v>
      </c>
      <c r="O561">
        <f t="shared" si="124"/>
        <v>0</v>
      </c>
      <c r="P561">
        <f t="shared" si="124"/>
        <v>0</v>
      </c>
      <c r="Q561">
        <f t="shared" si="124"/>
        <v>0</v>
      </c>
      <c r="R561">
        <f t="shared" si="124"/>
        <v>0</v>
      </c>
      <c r="S561">
        <f t="shared" si="124"/>
        <v>0</v>
      </c>
      <c r="T561">
        <f t="shared" si="124"/>
        <v>0</v>
      </c>
      <c r="U561">
        <f t="shared" si="124"/>
        <v>0</v>
      </c>
      <c r="V561">
        <f t="shared" si="124"/>
        <v>0</v>
      </c>
      <c r="W561">
        <f t="shared" si="124"/>
        <v>0</v>
      </c>
      <c r="X561">
        <f t="shared" si="124"/>
        <v>0</v>
      </c>
      <c r="Y561">
        <f t="shared" si="123"/>
        <v>0</v>
      </c>
      <c r="Z561">
        <f t="shared" si="123"/>
        <v>0</v>
      </c>
      <c r="AA561">
        <f t="shared" si="123"/>
        <v>0</v>
      </c>
      <c r="AB561">
        <f t="shared" si="123"/>
        <v>0</v>
      </c>
      <c r="AC561">
        <f t="shared" si="123"/>
        <v>0</v>
      </c>
      <c r="AD561">
        <f t="shared" si="123"/>
        <v>0</v>
      </c>
      <c r="AE561">
        <f t="shared" si="123"/>
        <v>0</v>
      </c>
      <c r="AF561">
        <f t="shared" si="123"/>
        <v>0</v>
      </c>
      <c r="AG561">
        <f t="shared" si="123"/>
        <v>0</v>
      </c>
      <c r="AH561">
        <f t="shared" si="123"/>
        <v>0</v>
      </c>
      <c r="AI561">
        <f t="shared" si="123"/>
        <v>0</v>
      </c>
      <c r="AJ561">
        <f t="shared" si="123"/>
        <v>0</v>
      </c>
      <c r="AK561">
        <f t="shared" si="123"/>
        <v>0</v>
      </c>
      <c r="AL561">
        <f t="shared" si="123"/>
        <v>0</v>
      </c>
      <c r="AM561">
        <f t="shared" si="123"/>
        <v>0</v>
      </c>
      <c r="AN561">
        <f t="shared" si="121"/>
        <v>0</v>
      </c>
      <c r="AO561">
        <f t="shared" si="121"/>
        <v>0</v>
      </c>
      <c r="AP561">
        <f t="shared" si="121"/>
        <v>0</v>
      </c>
      <c r="AQ561">
        <f t="shared" si="121"/>
        <v>0</v>
      </c>
      <c r="AR561">
        <f t="shared" si="121"/>
        <v>0</v>
      </c>
    </row>
    <row r="562" spans="5:44" x14ac:dyDescent="0.2">
      <c r="E562" s="1">
        <f>moment_rate!$M562</f>
        <v>1.7321722735529666E-2</v>
      </c>
      <c r="F562" s="1">
        <f t="shared" si="115"/>
        <v>2.2184580213452376E-4</v>
      </c>
      <c r="G562">
        <f>moment_rate!I562-0.005</f>
        <v>5.5499999999999261</v>
      </c>
      <c r="H562" s="1">
        <f t="shared" si="116"/>
        <v>2.2184580213452376E-4</v>
      </c>
      <c r="I562">
        <f t="shared" si="124"/>
        <v>0</v>
      </c>
      <c r="J562">
        <f t="shared" si="124"/>
        <v>0</v>
      </c>
      <c r="K562">
        <f t="shared" si="124"/>
        <v>0</v>
      </c>
      <c r="L562">
        <f t="shared" si="124"/>
        <v>0</v>
      </c>
      <c r="M562">
        <f t="shared" si="124"/>
        <v>0</v>
      </c>
      <c r="N562">
        <f t="shared" si="124"/>
        <v>2.2184580213452376E-4</v>
      </c>
      <c r="O562">
        <f t="shared" si="124"/>
        <v>0</v>
      </c>
      <c r="P562">
        <f t="shared" si="124"/>
        <v>0</v>
      </c>
      <c r="Q562">
        <f t="shared" si="124"/>
        <v>0</v>
      </c>
      <c r="R562">
        <f t="shared" si="124"/>
        <v>0</v>
      </c>
      <c r="S562">
        <f t="shared" si="124"/>
        <v>0</v>
      </c>
      <c r="T562">
        <f t="shared" si="124"/>
        <v>0</v>
      </c>
      <c r="U562">
        <f t="shared" si="124"/>
        <v>0</v>
      </c>
      <c r="V562">
        <f t="shared" si="124"/>
        <v>0</v>
      </c>
      <c r="W562">
        <f t="shared" si="124"/>
        <v>0</v>
      </c>
      <c r="X562">
        <f t="shared" si="124"/>
        <v>0</v>
      </c>
      <c r="Y562">
        <f t="shared" si="123"/>
        <v>0</v>
      </c>
      <c r="Z562">
        <f t="shared" si="123"/>
        <v>0</v>
      </c>
      <c r="AA562">
        <f t="shared" si="123"/>
        <v>0</v>
      </c>
      <c r="AB562">
        <f t="shared" si="123"/>
        <v>0</v>
      </c>
      <c r="AC562">
        <f t="shared" si="123"/>
        <v>0</v>
      </c>
      <c r="AD562">
        <f t="shared" si="123"/>
        <v>0</v>
      </c>
      <c r="AE562">
        <f t="shared" si="123"/>
        <v>0</v>
      </c>
      <c r="AF562">
        <f t="shared" si="123"/>
        <v>0</v>
      </c>
      <c r="AG562">
        <f t="shared" si="123"/>
        <v>0</v>
      </c>
      <c r="AH562">
        <f t="shared" si="123"/>
        <v>0</v>
      </c>
      <c r="AI562">
        <f t="shared" si="123"/>
        <v>0</v>
      </c>
      <c r="AJ562">
        <f t="shared" si="123"/>
        <v>0</v>
      </c>
      <c r="AK562">
        <f t="shared" si="123"/>
        <v>0</v>
      </c>
      <c r="AL562">
        <f t="shared" si="123"/>
        <v>0</v>
      </c>
      <c r="AM562">
        <f t="shared" si="123"/>
        <v>0</v>
      </c>
      <c r="AN562">
        <f t="shared" ref="AI562:AR601" si="125">IF(AND($G562&gt;=AN$3,$G562&lt;AN$4),$F562,0)</f>
        <v>0</v>
      </c>
      <c r="AO562">
        <f t="shared" si="125"/>
        <v>0</v>
      </c>
      <c r="AP562">
        <f t="shared" si="125"/>
        <v>0</v>
      </c>
      <c r="AQ562">
        <f t="shared" si="125"/>
        <v>0</v>
      </c>
      <c r="AR562">
        <f t="shared" si="125"/>
        <v>0</v>
      </c>
    </row>
    <row r="563" spans="5:44" x14ac:dyDescent="0.2">
      <c r="E563" s="1">
        <f>moment_rate!$M563</f>
        <v>1.7099876933395142E-2</v>
      </c>
      <c r="F563" s="1">
        <f t="shared" si="115"/>
        <v>2.1729574149572176E-4</v>
      </c>
      <c r="G563">
        <f>moment_rate!I563-0.005</f>
        <v>5.5599999999999259</v>
      </c>
      <c r="H563" s="1">
        <f t="shared" si="116"/>
        <v>2.1729574149572176E-4</v>
      </c>
      <c r="I563">
        <f t="shared" si="124"/>
        <v>0</v>
      </c>
      <c r="J563">
        <f t="shared" si="124"/>
        <v>0</v>
      </c>
      <c r="K563">
        <f t="shared" si="124"/>
        <v>0</v>
      </c>
      <c r="L563">
        <f t="shared" si="124"/>
        <v>0</v>
      </c>
      <c r="M563">
        <f t="shared" si="124"/>
        <v>0</v>
      </c>
      <c r="N563">
        <f t="shared" si="124"/>
        <v>2.1729574149572176E-4</v>
      </c>
      <c r="O563">
        <f t="shared" si="124"/>
        <v>0</v>
      </c>
      <c r="P563">
        <f t="shared" si="124"/>
        <v>0</v>
      </c>
      <c r="Q563">
        <f t="shared" si="124"/>
        <v>0</v>
      </c>
      <c r="R563">
        <f t="shared" si="124"/>
        <v>0</v>
      </c>
      <c r="S563">
        <f t="shared" si="124"/>
        <v>0</v>
      </c>
      <c r="T563">
        <f t="shared" si="124"/>
        <v>0</v>
      </c>
      <c r="U563">
        <f t="shared" si="124"/>
        <v>0</v>
      </c>
      <c r="V563">
        <f t="shared" si="124"/>
        <v>0</v>
      </c>
      <c r="W563">
        <f t="shared" si="124"/>
        <v>0</v>
      </c>
      <c r="X563">
        <f t="shared" si="124"/>
        <v>0</v>
      </c>
      <c r="Y563">
        <f t="shared" si="123"/>
        <v>0</v>
      </c>
      <c r="Z563">
        <f t="shared" si="123"/>
        <v>0</v>
      </c>
      <c r="AA563">
        <f t="shared" si="123"/>
        <v>0</v>
      </c>
      <c r="AB563">
        <f t="shared" si="123"/>
        <v>0</v>
      </c>
      <c r="AC563">
        <f t="shared" si="123"/>
        <v>0</v>
      </c>
      <c r="AD563">
        <f t="shared" si="123"/>
        <v>0</v>
      </c>
      <c r="AE563">
        <f t="shared" si="123"/>
        <v>0</v>
      </c>
      <c r="AF563">
        <f t="shared" si="123"/>
        <v>0</v>
      </c>
      <c r="AG563">
        <f t="shared" si="123"/>
        <v>0</v>
      </c>
      <c r="AH563">
        <f t="shared" si="123"/>
        <v>0</v>
      </c>
      <c r="AI563">
        <f t="shared" si="125"/>
        <v>0</v>
      </c>
      <c r="AJ563">
        <f t="shared" si="125"/>
        <v>0</v>
      </c>
      <c r="AK563">
        <f t="shared" si="125"/>
        <v>0</v>
      </c>
      <c r="AL563">
        <f t="shared" si="125"/>
        <v>0</v>
      </c>
      <c r="AM563">
        <f t="shared" si="125"/>
        <v>0</v>
      </c>
      <c r="AN563">
        <f t="shared" si="125"/>
        <v>0</v>
      </c>
      <c r="AO563">
        <f t="shared" si="125"/>
        <v>0</v>
      </c>
      <c r="AP563">
        <f t="shared" si="125"/>
        <v>0</v>
      </c>
      <c r="AQ563">
        <f t="shared" si="125"/>
        <v>0</v>
      </c>
      <c r="AR563">
        <f t="shared" si="125"/>
        <v>0</v>
      </c>
    </row>
    <row r="564" spans="5:44" x14ac:dyDescent="0.2">
      <c r="E564" s="1">
        <f>moment_rate!$M564</f>
        <v>1.6882581191899421E-2</v>
      </c>
      <c r="F564" s="1">
        <f t="shared" si="115"/>
        <v>2.1283900266701877E-4</v>
      </c>
      <c r="G564">
        <f>moment_rate!I564-0.005</f>
        <v>5.5699999999999257</v>
      </c>
      <c r="H564" s="1">
        <f t="shared" si="116"/>
        <v>2.1283900266701877E-4</v>
      </c>
      <c r="I564">
        <f t="shared" si="124"/>
        <v>0</v>
      </c>
      <c r="J564">
        <f t="shared" si="124"/>
        <v>0</v>
      </c>
      <c r="K564">
        <f t="shared" si="124"/>
        <v>0</v>
      </c>
      <c r="L564">
        <f t="shared" si="124"/>
        <v>0</v>
      </c>
      <c r="M564">
        <f t="shared" si="124"/>
        <v>0</v>
      </c>
      <c r="N564">
        <f t="shared" si="124"/>
        <v>2.1283900266701877E-4</v>
      </c>
      <c r="O564">
        <f t="shared" si="124"/>
        <v>0</v>
      </c>
      <c r="P564">
        <f t="shared" si="124"/>
        <v>0</v>
      </c>
      <c r="Q564">
        <f t="shared" si="124"/>
        <v>0</v>
      </c>
      <c r="R564">
        <f t="shared" si="124"/>
        <v>0</v>
      </c>
      <c r="S564">
        <f t="shared" si="124"/>
        <v>0</v>
      </c>
      <c r="T564">
        <f t="shared" si="124"/>
        <v>0</v>
      </c>
      <c r="U564">
        <f t="shared" si="124"/>
        <v>0</v>
      </c>
      <c r="V564">
        <f t="shared" si="124"/>
        <v>0</v>
      </c>
      <c r="W564">
        <f t="shared" si="124"/>
        <v>0</v>
      </c>
      <c r="X564">
        <f t="shared" si="124"/>
        <v>0</v>
      </c>
      <c r="Y564">
        <f t="shared" si="123"/>
        <v>0</v>
      </c>
      <c r="Z564">
        <f t="shared" si="123"/>
        <v>0</v>
      </c>
      <c r="AA564">
        <f t="shared" si="123"/>
        <v>0</v>
      </c>
      <c r="AB564">
        <f t="shared" si="123"/>
        <v>0</v>
      </c>
      <c r="AC564">
        <f t="shared" si="123"/>
        <v>0</v>
      </c>
      <c r="AD564">
        <f t="shared" si="123"/>
        <v>0</v>
      </c>
      <c r="AE564">
        <f t="shared" si="123"/>
        <v>0</v>
      </c>
      <c r="AF564">
        <f t="shared" si="123"/>
        <v>0</v>
      </c>
      <c r="AG564">
        <f t="shared" si="123"/>
        <v>0</v>
      </c>
      <c r="AH564">
        <f t="shared" si="123"/>
        <v>0</v>
      </c>
      <c r="AI564">
        <f t="shared" si="125"/>
        <v>0</v>
      </c>
      <c r="AJ564">
        <f t="shared" si="125"/>
        <v>0</v>
      </c>
      <c r="AK564">
        <f t="shared" si="125"/>
        <v>0</v>
      </c>
      <c r="AL564">
        <f t="shared" si="125"/>
        <v>0</v>
      </c>
      <c r="AM564">
        <f t="shared" si="125"/>
        <v>0</v>
      </c>
      <c r="AN564">
        <f t="shared" si="125"/>
        <v>0</v>
      </c>
      <c r="AO564">
        <f t="shared" si="125"/>
        <v>0</v>
      </c>
      <c r="AP564">
        <f t="shared" si="125"/>
        <v>0</v>
      </c>
      <c r="AQ564">
        <f t="shared" si="125"/>
        <v>0</v>
      </c>
      <c r="AR564">
        <f t="shared" si="125"/>
        <v>0</v>
      </c>
    </row>
    <row r="565" spans="5:44" x14ac:dyDescent="0.2">
      <c r="E565" s="1">
        <f>moment_rate!$M565</f>
        <v>1.6669742189232402E-2</v>
      </c>
      <c r="F565" s="1">
        <f t="shared" si="115"/>
        <v>2.0847367161671779E-4</v>
      </c>
      <c r="G565">
        <f>moment_rate!I565-0.005</f>
        <v>5.5799999999999255</v>
      </c>
      <c r="H565" s="1">
        <f t="shared" si="116"/>
        <v>2.0847367161671779E-4</v>
      </c>
      <c r="I565">
        <f t="shared" si="124"/>
        <v>0</v>
      </c>
      <c r="J565">
        <f t="shared" si="124"/>
        <v>0</v>
      </c>
      <c r="K565">
        <f t="shared" si="124"/>
        <v>0</v>
      </c>
      <c r="L565">
        <f t="shared" si="124"/>
        <v>0</v>
      </c>
      <c r="M565">
        <f t="shared" si="124"/>
        <v>0</v>
      </c>
      <c r="N565">
        <f t="shared" si="124"/>
        <v>2.0847367161671779E-4</v>
      </c>
      <c r="O565">
        <f t="shared" si="124"/>
        <v>0</v>
      </c>
      <c r="P565">
        <f t="shared" si="124"/>
        <v>0</v>
      </c>
      <c r="Q565">
        <f t="shared" si="124"/>
        <v>0</v>
      </c>
      <c r="R565">
        <f t="shared" si="124"/>
        <v>0</v>
      </c>
      <c r="S565">
        <f t="shared" si="124"/>
        <v>0</v>
      </c>
      <c r="T565">
        <f t="shared" si="124"/>
        <v>0</v>
      </c>
      <c r="U565">
        <f t="shared" si="124"/>
        <v>0</v>
      </c>
      <c r="V565">
        <f t="shared" si="124"/>
        <v>0</v>
      </c>
      <c r="W565">
        <f t="shared" si="124"/>
        <v>0</v>
      </c>
      <c r="X565">
        <f t="shared" si="124"/>
        <v>0</v>
      </c>
      <c r="Y565">
        <f t="shared" si="123"/>
        <v>0</v>
      </c>
      <c r="Z565">
        <f t="shared" si="123"/>
        <v>0</v>
      </c>
      <c r="AA565">
        <f t="shared" si="123"/>
        <v>0</v>
      </c>
      <c r="AB565">
        <f t="shared" si="123"/>
        <v>0</v>
      </c>
      <c r="AC565">
        <f t="shared" si="123"/>
        <v>0</v>
      </c>
      <c r="AD565">
        <f t="shared" si="123"/>
        <v>0</v>
      </c>
      <c r="AE565">
        <f t="shared" si="123"/>
        <v>0</v>
      </c>
      <c r="AF565">
        <f t="shared" si="123"/>
        <v>0</v>
      </c>
      <c r="AG565">
        <f t="shared" si="123"/>
        <v>0</v>
      </c>
      <c r="AH565">
        <f t="shared" si="123"/>
        <v>0</v>
      </c>
      <c r="AI565">
        <f t="shared" si="125"/>
        <v>0</v>
      </c>
      <c r="AJ565">
        <f t="shared" si="125"/>
        <v>0</v>
      </c>
      <c r="AK565">
        <f t="shared" si="125"/>
        <v>0</v>
      </c>
      <c r="AL565">
        <f t="shared" si="125"/>
        <v>0</v>
      </c>
      <c r="AM565">
        <f t="shared" si="125"/>
        <v>0</v>
      </c>
      <c r="AN565">
        <f t="shared" si="125"/>
        <v>0</v>
      </c>
      <c r="AO565">
        <f t="shared" si="125"/>
        <v>0</v>
      </c>
      <c r="AP565">
        <f t="shared" si="125"/>
        <v>0</v>
      </c>
      <c r="AQ565">
        <f t="shared" si="125"/>
        <v>0</v>
      </c>
      <c r="AR565">
        <f t="shared" si="125"/>
        <v>0</v>
      </c>
    </row>
    <row r="566" spans="5:44" x14ac:dyDescent="0.2">
      <c r="E566" s="1">
        <f>moment_rate!$M566</f>
        <v>1.6461268517615684E-2</v>
      </c>
      <c r="F566" s="1">
        <f t="shared" si="115"/>
        <v>2.0419787356995914E-4</v>
      </c>
      <c r="G566">
        <f>moment_rate!I566-0.005</f>
        <v>5.5899999999999253</v>
      </c>
      <c r="H566" s="1">
        <f t="shared" si="116"/>
        <v>2.0419787356995914E-4</v>
      </c>
      <c r="I566">
        <f t="shared" si="124"/>
        <v>0</v>
      </c>
      <c r="J566">
        <f t="shared" si="124"/>
        <v>0</v>
      </c>
      <c r="K566">
        <f t="shared" si="124"/>
        <v>0</v>
      </c>
      <c r="L566">
        <f t="shared" si="124"/>
        <v>0</v>
      </c>
      <c r="M566">
        <f t="shared" si="124"/>
        <v>0</v>
      </c>
      <c r="N566">
        <f t="shared" si="124"/>
        <v>2.0419787356995914E-4</v>
      </c>
      <c r="O566">
        <f t="shared" si="124"/>
        <v>0</v>
      </c>
      <c r="P566">
        <f t="shared" si="124"/>
        <v>0</v>
      </c>
      <c r="Q566">
        <f t="shared" si="124"/>
        <v>0</v>
      </c>
      <c r="R566">
        <f t="shared" si="124"/>
        <v>0</v>
      </c>
      <c r="S566">
        <f t="shared" si="124"/>
        <v>0</v>
      </c>
      <c r="T566">
        <f t="shared" si="124"/>
        <v>0</v>
      </c>
      <c r="U566">
        <f t="shared" si="124"/>
        <v>0</v>
      </c>
      <c r="V566">
        <f t="shared" si="124"/>
        <v>0</v>
      </c>
      <c r="W566">
        <f t="shared" si="124"/>
        <v>0</v>
      </c>
      <c r="X566">
        <f t="shared" si="124"/>
        <v>0</v>
      </c>
      <c r="Y566">
        <f t="shared" si="123"/>
        <v>0</v>
      </c>
      <c r="Z566">
        <f t="shared" si="123"/>
        <v>0</v>
      </c>
      <c r="AA566">
        <f t="shared" si="123"/>
        <v>0</v>
      </c>
      <c r="AB566">
        <f t="shared" si="123"/>
        <v>0</v>
      </c>
      <c r="AC566">
        <f t="shared" si="123"/>
        <v>0</v>
      </c>
      <c r="AD566">
        <f t="shared" si="123"/>
        <v>0</v>
      </c>
      <c r="AE566">
        <f t="shared" si="123"/>
        <v>0</v>
      </c>
      <c r="AF566">
        <f t="shared" si="123"/>
        <v>0</v>
      </c>
      <c r="AG566">
        <f t="shared" si="123"/>
        <v>0</v>
      </c>
      <c r="AH566">
        <f t="shared" si="123"/>
        <v>0</v>
      </c>
      <c r="AI566">
        <f t="shared" si="125"/>
        <v>0</v>
      </c>
      <c r="AJ566">
        <f t="shared" si="125"/>
        <v>0</v>
      </c>
      <c r="AK566">
        <f t="shared" si="125"/>
        <v>0</v>
      </c>
      <c r="AL566">
        <f t="shared" si="125"/>
        <v>0</v>
      </c>
      <c r="AM566">
        <f t="shared" si="125"/>
        <v>0</v>
      </c>
      <c r="AN566">
        <f t="shared" si="125"/>
        <v>0</v>
      </c>
      <c r="AO566">
        <f t="shared" si="125"/>
        <v>0</v>
      </c>
      <c r="AP566">
        <f t="shared" si="125"/>
        <v>0</v>
      </c>
      <c r="AQ566">
        <f t="shared" si="125"/>
        <v>0</v>
      </c>
      <c r="AR566">
        <f t="shared" si="125"/>
        <v>0</v>
      </c>
    </row>
    <row r="567" spans="5:44" x14ac:dyDescent="0.2">
      <c r="E567" s="1">
        <f>moment_rate!$M567</f>
        <v>1.6257070644045725E-2</v>
      </c>
      <c r="F567" s="1">
        <f t="shared" si="115"/>
        <v>2.0000977220352781E-4</v>
      </c>
      <c r="G567">
        <f>moment_rate!I567-0.005</f>
        <v>5.599999999999925</v>
      </c>
      <c r="H567" s="1">
        <f t="shared" si="116"/>
        <v>2.0000977220352781E-4</v>
      </c>
      <c r="I567">
        <f t="shared" si="124"/>
        <v>0</v>
      </c>
      <c r="J567">
        <f t="shared" si="124"/>
        <v>0</v>
      </c>
      <c r="K567">
        <f t="shared" si="124"/>
        <v>0</v>
      </c>
      <c r="L567">
        <f t="shared" si="124"/>
        <v>0</v>
      </c>
      <c r="M567">
        <f t="shared" si="124"/>
        <v>0</v>
      </c>
      <c r="N567">
        <f t="shared" si="124"/>
        <v>2.0000977220352781E-4</v>
      </c>
      <c r="O567">
        <f t="shared" si="124"/>
        <v>0</v>
      </c>
      <c r="P567">
        <f t="shared" si="124"/>
        <v>0</v>
      </c>
      <c r="Q567">
        <f t="shared" si="124"/>
        <v>0</v>
      </c>
      <c r="R567">
        <f t="shared" si="124"/>
        <v>0</v>
      </c>
      <c r="S567">
        <f t="shared" si="124"/>
        <v>0</v>
      </c>
      <c r="T567">
        <f t="shared" si="124"/>
        <v>0</v>
      </c>
      <c r="U567">
        <f t="shared" si="124"/>
        <v>0</v>
      </c>
      <c r="V567">
        <f t="shared" si="124"/>
        <v>0</v>
      </c>
      <c r="W567">
        <f t="shared" si="124"/>
        <v>0</v>
      </c>
      <c r="X567">
        <f t="shared" si="124"/>
        <v>0</v>
      </c>
      <c r="Y567">
        <f t="shared" si="123"/>
        <v>0</v>
      </c>
      <c r="Z567">
        <f t="shared" si="123"/>
        <v>0</v>
      </c>
      <c r="AA567">
        <f t="shared" si="123"/>
        <v>0</v>
      </c>
      <c r="AB567">
        <f t="shared" si="123"/>
        <v>0</v>
      </c>
      <c r="AC567">
        <f t="shared" si="123"/>
        <v>0</v>
      </c>
      <c r="AD567">
        <f t="shared" si="123"/>
        <v>0</v>
      </c>
      <c r="AE567">
        <f t="shared" si="123"/>
        <v>0</v>
      </c>
      <c r="AF567">
        <f t="shared" si="123"/>
        <v>0</v>
      </c>
      <c r="AG567">
        <f t="shared" si="123"/>
        <v>0</v>
      </c>
      <c r="AH567">
        <f t="shared" si="123"/>
        <v>0</v>
      </c>
      <c r="AI567">
        <f t="shared" si="125"/>
        <v>0</v>
      </c>
      <c r="AJ567">
        <f t="shared" si="125"/>
        <v>0</v>
      </c>
      <c r="AK567">
        <f t="shared" si="125"/>
        <v>0</v>
      </c>
      <c r="AL567">
        <f t="shared" si="125"/>
        <v>0</v>
      </c>
      <c r="AM567">
        <f t="shared" si="125"/>
        <v>0</v>
      </c>
      <c r="AN567">
        <f t="shared" si="125"/>
        <v>0</v>
      </c>
      <c r="AO567">
        <f t="shared" si="125"/>
        <v>0</v>
      </c>
      <c r="AP567">
        <f t="shared" si="125"/>
        <v>0</v>
      </c>
      <c r="AQ567">
        <f t="shared" si="125"/>
        <v>0</v>
      </c>
      <c r="AR567">
        <f t="shared" si="125"/>
        <v>0</v>
      </c>
    </row>
    <row r="568" spans="5:44" x14ac:dyDescent="0.2">
      <c r="E568" s="1">
        <f>moment_rate!$M568</f>
        <v>1.6057060871842197E-2</v>
      </c>
      <c r="F568" s="1">
        <f t="shared" si="115"/>
        <v>1.9590756885723079E-4</v>
      </c>
      <c r="G568">
        <f>moment_rate!I568-0.005</f>
        <v>5.6099999999999248</v>
      </c>
      <c r="H568" s="1">
        <f t="shared" si="116"/>
        <v>1.9590756885723079E-4</v>
      </c>
      <c r="I568">
        <f t="shared" si="124"/>
        <v>0</v>
      </c>
      <c r="J568">
        <f t="shared" si="124"/>
        <v>0</v>
      </c>
      <c r="K568">
        <f t="shared" si="124"/>
        <v>0</v>
      </c>
      <c r="L568">
        <f t="shared" si="124"/>
        <v>0</v>
      </c>
      <c r="M568">
        <f t="shared" si="124"/>
        <v>0</v>
      </c>
      <c r="N568">
        <f t="shared" si="124"/>
        <v>0</v>
      </c>
      <c r="O568">
        <f t="shared" si="124"/>
        <v>1.9590756885723079E-4</v>
      </c>
      <c r="P568">
        <f t="shared" si="124"/>
        <v>0</v>
      </c>
      <c r="Q568">
        <f t="shared" si="124"/>
        <v>0</v>
      </c>
      <c r="R568">
        <f t="shared" si="124"/>
        <v>0</v>
      </c>
      <c r="S568">
        <f t="shared" si="124"/>
        <v>0</v>
      </c>
      <c r="T568">
        <f t="shared" si="124"/>
        <v>0</v>
      </c>
      <c r="U568">
        <f t="shared" si="124"/>
        <v>0</v>
      </c>
      <c r="V568">
        <f t="shared" si="124"/>
        <v>0</v>
      </c>
      <c r="W568">
        <f t="shared" si="124"/>
        <v>0</v>
      </c>
      <c r="X568">
        <f t="shared" si="124"/>
        <v>0</v>
      </c>
      <c r="Y568">
        <f t="shared" si="123"/>
        <v>0</v>
      </c>
      <c r="Z568">
        <f t="shared" si="123"/>
        <v>0</v>
      </c>
      <c r="AA568">
        <f t="shared" si="123"/>
        <v>0</v>
      </c>
      <c r="AB568">
        <f t="shared" si="123"/>
        <v>0</v>
      </c>
      <c r="AC568">
        <f t="shared" si="123"/>
        <v>0</v>
      </c>
      <c r="AD568">
        <f t="shared" si="123"/>
        <v>0</v>
      </c>
      <c r="AE568">
        <f t="shared" si="123"/>
        <v>0</v>
      </c>
      <c r="AF568">
        <f t="shared" si="123"/>
        <v>0</v>
      </c>
      <c r="AG568">
        <f t="shared" si="123"/>
        <v>0</v>
      </c>
      <c r="AH568">
        <f t="shared" si="123"/>
        <v>0</v>
      </c>
      <c r="AI568">
        <f t="shared" si="125"/>
        <v>0</v>
      </c>
      <c r="AJ568">
        <f t="shared" si="125"/>
        <v>0</v>
      </c>
      <c r="AK568">
        <f t="shared" si="125"/>
        <v>0</v>
      </c>
      <c r="AL568">
        <f t="shared" si="125"/>
        <v>0</v>
      </c>
      <c r="AM568">
        <f t="shared" si="125"/>
        <v>0</v>
      </c>
      <c r="AN568">
        <f t="shared" si="125"/>
        <v>0</v>
      </c>
      <c r="AO568">
        <f t="shared" si="125"/>
        <v>0</v>
      </c>
      <c r="AP568">
        <f t="shared" si="125"/>
        <v>0</v>
      </c>
      <c r="AQ568">
        <f t="shared" si="125"/>
        <v>0</v>
      </c>
      <c r="AR568">
        <f t="shared" si="125"/>
        <v>0</v>
      </c>
    </row>
    <row r="569" spans="5:44" x14ac:dyDescent="0.2">
      <c r="E569" s="1">
        <f>moment_rate!$M569</f>
        <v>1.5861153302984966E-2</v>
      </c>
      <c r="F569" s="1">
        <f t="shared" si="115"/>
        <v>1.9188950176142125E-4</v>
      </c>
      <c r="G569">
        <f>moment_rate!I569-0.005</f>
        <v>5.6199999999999246</v>
      </c>
      <c r="H569" s="1">
        <f t="shared" si="116"/>
        <v>1.9188950176142125E-4</v>
      </c>
      <c r="I569">
        <f t="shared" si="124"/>
        <v>0</v>
      </c>
      <c r="J569">
        <f t="shared" si="124"/>
        <v>0</v>
      </c>
      <c r="K569">
        <f t="shared" si="124"/>
        <v>0</v>
      </c>
      <c r="L569">
        <f t="shared" si="124"/>
        <v>0</v>
      </c>
      <c r="M569">
        <f t="shared" si="124"/>
        <v>0</v>
      </c>
      <c r="N569">
        <f t="shared" si="124"/>
        <v>0</v>
      </c>
      <c r="O569">
        <f t="shared" si="124"/>
        <v>1.9188950176142125E-4</v>
      </c>
      <c r="P569">
        <f t="shared" si="124"/>
        <v>0</v>
      </c>
      <c r="Q569">
        <f t="shared" si="124"/>
        <v>0</v>
      </c>
      <c r="R569">
        <f t="shared" si="124"/>
        <v>0</v>
      </c>
      <c r="S569">
        <f t="shared" si="124"/>
        <v>0</v>
      </c>
      <c r="T569">
        <f t="shared" si="124"/>
        <v>0</v>
      </c>
      <c r="U569">
        <f t="shared" si="124"/>
        <v>0</v>
      </c>
      <c r="V569">
        <f t="shared" si="124"/>
        <v>0</v>
      </c>
      <c r="W569">
        <f t="shared" si="124"/>
        <v>0</v>
      </c>
      <c r="X569">
        <f t="shared" si="124"/>
        <v>0</v>
      </c>
      <c r="Y569">
        <f t="shared" si="123"/>
        <v>0</v>
      </c>
      <c r="Z569">
        <f t="shared" si="123"/>
        <v>0</v>
      </c>
      <c r="AA569">
        <f t="shared" si="123"/>
        <v>0</v>
      </c>
      <c r="AB569">
        <f t="shared" si="123"/>
        <v>0</v>
      </c>
      <c r="AC569">
        <f t="shared" si="123"/>
        <v>0</v>
      </c>
      <c r="AD569">
        <f t="shared" si="123"/>
        <v>0</v>
      </c>
      <c r="AE569">
        <f t="shared" si="123"/>
        <v>0</v>
      </c>
      <c r="AF569">
        <f t="shared" si="123"/>
        <v>0</v>
      </c>
      <c r="AG569">
        <f t="shared" si="123"/>
        <v>0</v>
      </c>
      <c r="AH569">
        <f t="shared" si="123"/>
        <v>0</v>
      </c>
      <c r="AI569">
        <f t="shared" si="123"/>
        <v>0</v>
      </c>
      <c r="AJ569">
        <f t="shared" si="123"/>
        <v>0</v>
      </c>
      <c r="AK569">
        <f t="shared" si="123"/>
        <v>0</v>
      </c>
      <c r="AL569">
        <f t="shared" si="123"/>
        <v>0</v>
      </c>
      <c r="AM569">
        <f t="shared" si="123"/>
        <v>0</v>
      </c>
      <c r="AN569">
        <f t="shared" si="125"/>
        <v>0</v>
      </c>
      <c r="AO569">
        <f t="shared" si="125"/>
        <v>0</v>
      </c>
      <c r="AP569">
        <f t="shared" si="125"/>
        <v>0</v>
      </c>
      <c r="AQ569">
        <f t="shared" si="125"/>
        <v>0</v>
      </c>
      <c r="AR569">
        <f t="shared" si="125"/>
        <v>0</v>
      </c>
    </row>
    <row r="570" spans="5:44" x14ac:dyDescent="0.2">
      <c r="E570" s="1">
        <f>moment_rate!$M570</f>
        <v>1.5669263801223545E-2</v>
      </c>
      <c r="F570" s="1">
        <f t="shared" si="115"/>
        <v>1.8795384528037633E-4</v>
      </c>
      <c r="G570">
        <f>moment_rate!I570-0.005</f>
        <v>5.6299999999999244</v>
      </c>
      <c r="H570" s="1">
        <f t="shared" si="116"/>
        <v>1.8795384528037633E-4</v>
      </c>
      <c r="I570">
        <f t="shared" si="124"/>
        <v>0</v>
      </c>
      <c r="J570">
        <f t="shared" si="124"/>
        <v>0</v>
      </c>
      <c r="K570">
        <f t="shared" si="124"/>
        <v>0</v>
      </c>
      <c r="L570">
        <f t="shared" si="124"/>
        <v>0</v>
      </c>
      <c r="M570">
        <f t="shared" si="124"/>
        <v>0</v>
      </c>
      <c r="N570">
        <f t="shared" si="124"/>
        <v>0</v>
      </c>
      <c r="O570">
        <f t="shared" si="124"/>
        <v>1.8795384528037633E-4</v>
      </c>
      <c r="P570">
        <f t="shared" si="124"/>
        <v>0</v>
      </c>
      <c r="Q570">
        <f t="shared" si="124"/>
        <v>0</v>
      </c>
      <c r="R570">
        <f t="shared" si="124"/>
        <v>0</v>
      </c>
      <c r="S570">
        <f t="shared" si="124"/>
        <v>0</v>
      </c>
      <c r="T570">
        <f t="shared" si="124"/>
        <v>0</v>
      </c>
      <c r="U570">
        <f t="shared" si="124"/>
        <v>0</v>
      </c>
      <c r="V570">
        <f t="shared" si="124"/>
        <v>0</v>
      </c>
      <c r="W570">
        <f t="shared" si="124"/>
        <v>0</v>
      </c>
      <c r="X570">
        <f t="shared" ref="X570:AM585" si="126">IF(AND($G570&gt;=X$3,$G570&lt;X$4),$F570,0)</f>
        <v>0</v>
      </c>
      <c r="Y570">
        <f t="shared" si="126"/>
        <v>0</v>
      </c>
      <c r="Z570">
        <f t="shared" si="126"/>
        <v>0</v>
      </c>
      <c r="AA570">
        <f t="shared" si="126"/>
        <v>0</v>
      </c>
      <c r="AB570">
        <f t="shared" si="126"/>
        <v>0</v>
      </c>
      <c r="AC570">
        <f t="shared" si="126"/>
        <v>0</v>
      </c>
      <c r="AD570">
        <f t="shared" si="126"/>
        <v>0</v>
      </c>
      <c r="AE570">
        <f t="shared" si="126"/>
        <v>0</v>
      </c>
      <c r="AF570">
        <f t="shared" si="126"/>
        <v>0</v>
      </c>
      <c r="AG570">
        <f t="shared" si="126"/>
        <v>0</v>
      </c>
      <c r="AH570">
        <f t="shared" si="126"/>
        <v>0</v>
      </c>
      <c r="AI570">
        <f t="shared" si="126"/>
        <v>0</v>
      </c>
      <c r="AJ570">
        <f t="shared" si="126"/>
        <v>0</v>
      </c>
      <c r="AK570">
        <f t="shared" si="126"/>
        <v>0</v>
      </c>
      <c r="AL570">
        <f t="shared" si="126"/>
        <v>0</v>
      </c>
      <c r="AM570">
        <f t="shared" si="126"/>
        <v>0</v>
      </c>
      <c r="AN570">
        <f t="shared" si="125"/>
        <v>0</v>
      </c>
      <c r="AO570">
        <f t="shared" si="125"/>
        <v>0</v>
      </c>
      <c r="AP570">
        <f t="shared" si="125"/>
        <v>0</v>
      </c>
      <c r="AQ570">
        <f t="shared" si="125"/>
        <v>0</v>
      </c>
      <c r="AR570">
        <f t="shared" si="125"/>
        <v>0</v>
      </c>
    </row>
    <row r="571" spans="5:44" x14ac:dyDescent="0.2">
      <c r="E571" s="1">
        <f>moment_rate!$M571</f>
        <v>1.5481309955943169E-2</v>
      </c>
      <c r="F571" s="1">
        <f t="shared" si="115"/>
        <v>1.8409890917118511E-4</v>
      </c>
      <c r="G571">
        <f>moment_rate!I571-0.005</f>
        <v>5.6399999999999242</v>
      </c>
      <c r="H571" s="1">
        <f t="shared" si="116"/>
        <v>1.8409890917118511E-4</v>
      </c>
      <c r="I571">
        <f t="shared" ref="I571:X586" si="127">IF(AND($G571&gt;=I$3,$G571&lt;I$4),$F571,0)</f>
        <v>0</v>
      </c>
      <c r="J571">
        <f t="shared" si="127"/>
        <v>0</v>
      </c>
      <c r="K571">
        <f t="shared" si="127"/>
        <v>0</v>
      </c>
      <c r="L571">
        <f t="shared" si="127"/>
        <v>0</v>
      </c>
      <c r="M571">
        <f t="shared" si="127"/>
        <v>0</v>
      </c>
      <c r="N571">
        <f t="shared" si="127"/>
        <v>0</v>
      </c>
      <c r="O571">
        <f t="shared" si="127"/>
        <v>1.8409890917118511E-4</v>
      </c>
      <c r="P571">
        <f t="shared" si="127"/>
        <v>0</v>
      </c>
      <c r="Q571">
        <f t="shared" si="127"/>
        <v>0</v>
      </c>
      <c r="R571">
        <f t="shared" si="127"/>
        <v>0</v>
      </c>
      <c r="S571">
        <f t="shared" si="127"/>
        <v>0</v>
      </c>
      <c r="T571">
        <f t="shared" si="127"/>
        <v>0</v>
      </c>
      <c r="U571">
        <f t="shared" si="127"/>
        <v>0</v>
      </c>
      <c r="V571">
        <f t="shared" si="127"/>
        <v>0</v>
      </c>
      <c r="W571">
        <f t="shared" si="127"/>
        <v>0</v>
      </c>
      <c r="X571">
        <f t="shared" si="127"/>
        <v>0</v>
      </c>
      <c r="Y571">
        <f t="shared" si="126"/>
        <v>0</v>
      </c>
      <c r="Z571">
        <f t="shared" si="126"/>
        <v>0</v>
      </c>
      <c r="AA571">
        <f t="shared" si="126"/>
        <v>0</v>
      </c>
      <c r="AB571">
        <f t="shared" si="126"/>
        <v>0</v>
      </c>
      <c r="AC571">
        <f t="shared" si="126"/>
        <v>0</v>
      </c>
      <c r="AD571">
        <f t="shared" si="126"/>
        <v>0</v>
      </c>
      <c r="AE571">
        <f t="shared" si="126"/>
        <v>0</v>
      </c>
      <c r="AF571">
        <f t="shared" si="126"/>
        <v>0</v>
      </c>
      <c r="AG571">
        <f t="shared" si="126"/>
        <v>0</v>
      </c>
      <c r="AH571">
        <f t="shared" si="126"/>
        <v>0</v>
      </c>
      <c r="AI571">
        <f t="shared" si="126"/>
        <v>0</v>
      </c>
      <c r="AJ571">
        <f t="shared" si="126"/>
        <v>0</v>
      </c>
      <c r="AK571">
        <f t="shared" si="126"/>
        <v>0</v>
      </c>
      <c r="AL571">
        <f t="shared" si="126"/>
        <v>0</v>
      </c>
      <c r="AM571">
        <f t="shared" si="126"/>
        <v>0</v>
      </c>
      <c r="AN571">
        <f t="shared" si="125"/>
        <v>0</v>
      </c>
      <c r="AO571">
        <f t="shared" si="125"/>
        <v>0</v>
      </c>
      <c r="AP571">
        <f t="shared" si="125"/>
        <v>0</v>
      </c>
      <c r="AQ571">
        <f t="shared" si="125"/>
        <v>0</v>
      </c>
      <c r="AR571">
        <f t="shared" si="125"/>
        <v>0</v>
      </c>
    </row>
    <row r="572" spans="5:44" x14ac:dyDescent="0.2">
      <c r="E572" s="1">
        <f>moment_rate!$M572</f>
        <v>1.5297211046771984E-2</v>
      </c>
      <c r="F572" s="1">
        <f t="shared" si="115"/>
        <v>1.8032303785784319E-4</v>
      </c>
      <c r="G572">
        <f>moment_rate!I572-0.005</f>
        <v>5.649999999999924</v>
      </c>
      <c r="H572" s="1">
        <f t="shared" si="116"/>
        <v>1.8032303785784319E-4</v>
      </c>
      <c r="I572">
        <f t="shared" si="127"/>
        <v>0</v>
      </c>
      <c r="J572">
        <f t="shared" si="127"/>
        <v>0</v>
      </c>
      <c r="K572">
        <f t="shared" si="127"/>
        <v>0</v>
      </c>
      <c r="L572">
        <f t="shared" si="127"/>
        <v>0</v>
      </c>
      <c r="M572">
        <f t="shared" si="127"/>
        <v>0</v>
      </c>
      <c r="N572">
        <f t="shared" si="127"/>
        <v>0</v>
      </c>
      <c r="O572">
        <f t="shared" si="127"/>
        <v>1.8032303785784319E-4</v>
      </c>
      <c r="P572">
        <f t="shared" si="127"/>
        <v>0</v>
      </c>
      <c r="Q572">
        <f t="shared" si="127"/>
        <v>0</v>
      </c>
      <c r="R572">
        <f t="shared" si="127"/>
        <v>0</v>
      </c>
      <c r="S572">
        <f t="shared" si="127"/>
        <v>0</v>
      </c>
      <c r="T572">
        <f t="shared" si="127"/>
        <v>0</v>
      </c>
      <c r="U572">
        <f t="shared" si="127"/>
        <v>0</v>
      </c>
      <c r="V572">
        <f t="shared" si="127"/>
        <v>0</v>
      </c>
      <c r="W572">
        <f t="shared" si="127"/>
        <v>0</v>
      </c>
      <c r="X572">
        <f t="shared" si="127"/>
        <v>0</v>
      </c>
      <c r="Y572">
        <f t="shared" si="126"/>
        <v>0</v>
      </c>
      <c r="Z572">
        <f t="shared" si="126"/>
        <v>0</v>
      </c>
      <c r="AA572">
        <f t="shared" si="126"/>
        <v>0</v>
      </c>
      <c r="AB572">
        <f t="shared" si="126"/>
        <v>0</v>
      </c>
      <c r="AC572">
        <f t="shared" si="126"/>
        <v>0</v>
      </c>
      <c r="AD572">
        <f t="shared" si="126"/>
        <v>0</v>
      </c>
      <c r="AE572">
        <f t="shared" si="126"/>
        <v>0</v>
      </c>
      <c r="AF572">
        <f t="shared" si="126"/>
        <v>0</v>
      </c>
      <c r="AG572">
        <f t="shared" si="126"/>
        <v>0</v>
      </c>
      <c r="AH572">
        <f t="shared" si="126"/>
        <v>0</v>
      </c>
      <c r="AI572">
        <f t="shared" si="126"/>
        <v>0</v>
      </c>
      <c r="AJ572">
        <f t="shared" si="126"/>
        <v>0</v>
      </c>
      <c r="AK572">
        <f t="shared" si="126"/>
        <v>0</v>
      </c>
      <c r="AL572">
        <f t="shared" si="126"/>
        <v>0</v>
      </c>
      <c r="AM572">
        <f t="shared" si="126"/>
        <v>0</v>
      </c>
      <c r="AN572">
        <f t="shared" si="125"/>
        <v>0</v>
      </c>
      <c r="AO572">
        <f t="shared" si="125"/>
        <v>0</v>
      </c>
      <c r="AP572">
        <f t="shared" si="125"/>
        <v>0</v>
      </c>
      <c r="AQ572">
        <f t="shared" si="125"/>
        <v>0</v>
      </c>
      <c r="AR572">
        <f t="shared" si="125"/>
        <v>0</v>
      </c>
    </row>
    <row r="573" spans="5:44" x14ac:dyDescent="0.2">
      <c r="E573" s="1">
        <f>moment_rate!$M573</f>
        <v>1.511688800891414E-2</v>
      </c>
      <c r="F573" s="1">
        <f t="shared" si="115"/>
        <v>1.7662460972022939E-4</v>
      </c>
      <c r="G573">
        <f>moment_rate!I573-0.005</f>
        <v>5.6599999999999238</v>
      </c>
      <c r="H573" s="1">
        <f t="shared" si="116"/>
        <v>1.7662460972022939E-4</v>
      </c>
      <c r="I573">
        <f t="shared" si="127"/>
        <v>0</v>
      </c>
      <c r="J573">
        <f t="shared" si="127"/>
        <v>0</v>
      </c>
      <c r="K573">
        <f t="shared" si="127"/>
        <v>0</v>
      </c>
      <c r="L573">
        <f t="shared" si="127"/>
        <v>0</v>
      </c>
      <c r="M573">
        <f t="shared" si="127"/>
        <v>0</v>
      </c>
      <c r="N573">
        <f t="shared" si="127"/>
        <v>0</v>
      </c>
      <c r="O573">
        <f t="shared" si="127"/>
        <v>1.7662460972022939E-4</v>
      </c>
      <c r="P573">
        <f t="shared" si="127"/>
        <v>0</v>
      </c>
      <c r="Q573">
        <f t="shared" si="127"/>
        <v>0</v>
      </c>
      <c r="R573">
        <f t="shared" si="127"/>
        <v>0</v>
      </c>
      <c r="S573">
        <f t="shared" si="127"/>
        <v>0</v>
      </c>
      <c r="T573">
        <f t="shared" si="127"/>
        <v>0</v>
      </c>
      <c r="U573">
        <f t="shared" si="127"/>
        <v>0</v>
      </c>
      <c r="V573">
        <f t="shared" si="127"/>
        <v>0</v>
      </c>
      <c r="W573">
        <f t="shared" si="127"/>
        <v>0</v>
      </c>
      <c r="X573">
        <f t="shared" si="127"/>
        <v>0</v>
      </c>
      <c r="Y573">
        <f t="shared" si="126"/>
        <v>0</v>
      </c>
      <c r="Z573">
        <f t="shared" si="126"/>
        <v>0</v>
      </c>
      <c r="AA573">
        <f t="shared" si="126"/>
        <v>0</v>
      </c>
      <c r="AB573">
        <f t="shared" si="126"/>
        <v>0</v>
      </c>
      <c r="AC573">
        <f t="shared" si="126"/>
        <v>0</v>
      </c>
      <c r="AD573">
        <f t="shared" si="126"/>
        <v>0</v>
      </c>
      <c r="AE573">
        <f t="shared" si="126"/>
        <v>0</v>
      </c>
      <c r="AF573">
        <f t="shared" si="126"/>
        <v>0</v>
      </c>
      <c r="AG573">
        <f t="shared" si="126"/>
        <v>0</v>
      </c>
      <c r="AH573">
        <f t="shared" si="126"/>
        <v>0</v>
      </c>
      <c r="AI573">
        <f t="shared" si="126"/>
        <v>0</v>
      </c>
      <c r="AJ573">
        <f t="shared" si="126"/>
        <v>0</v>
      </c>
      <c r="AK573">
        <f t="shared" si="126"/>
        <v>0</v>
      </c>
      <c r="AL573">
        <f t="shared" si="126"/>
        <v>0</v>
      </c>
      <c r="AM573">
        <f t="shared" si="126"/>
        <v>0</v>
      </c>
      <c r="AN573">
        <f t="shared" si="125"/>
        <v>0</v>
      </c>
      <c r="AO573">
        <f t="shared" si="125"/>
        <v>0</v>
      </c>
      <c r="AP573">
        <f t="shared" si="125"/>
        <v>0</v>
      </c>
      <c r="AQ573">
        <f t="shared" si="125"/>
        <v>0</v>
      </c>
      <c r="AR573">
        <f t="shared" si="125"/>
        <v>0</v>
      </c>
    </row>
    <row r="574" spans="5:44" x14ac:dyDescent="0.2">
      <c r="E574" s="1">
        <f>moment_rate!$M574</f>
        <v>1.4940263399193911E-2</v>
      </c>
      <c r="F574" s="1">
        <f t="shared" si="115"/>
        <v>1.7300203639768544E-4</v>
      </c>
      <c r="G574">
        <f>moment_rate!I574-0.005</f>
        <v>5.6699999999999235</v>
      </c>
      <c r="H574" s="1">
        <f t="shared" si="116"/>
        <v>1.7300203639768544E-4</v>
      </c>
      <c r="I574">
        <f t="shared" si="127"/>
        <v>0</v>
      </c>
      <c r="J574">
        <f t="shared" si="127"/>
        <v>0</v>
      </c>
      <c r="K574">
        <f t="shared" si="127"/>
        <v>0</v>
      </c>
      <c r="L574">
        <f t="shared" si="127"/>
        <v>0</v>
      </c>
      <c r="M574">
        <f t="shared" si="127"/>
        <v>0</v>
      </c>
      <c r="N574">
        <f t="shared" si="127"/>
        <v>0</v>
      </c>
      <c r="O574">
        <f t="shared" si="127"/>
        <v>1.7300203639768544E-4</v>
      </c>
      <c r="P574">
        <f t="shared" si="127"/>
        <v>0</v>
      </c>
      <c r="Q574">
        <f t="shared" si="127"/>
        <v>0</v>
      </c>
      <c r="R574">
        <f t="shared" si="127"/>
        <v>0</v>
      </c>
      <c r="S574">
        <f t="shared" si="127"/>
        <v>0</v>
      </c>
      <c r="T574">
        <f t="shared" si="127"/>
        <v>0</v>
      </c>
      <c r="U574">
        <f t="shared" si="127"/>
        <v>0</v>
      </c>
      <c r="V574">
        <f t="shared" si="127"/>
        <v>0</v>
      </c>
      <c r="W574">
        <f t="shared" si="127"/>
        <v>0</v>
      </c>
      <c r="X574">
        <f t="shared" si="127"/>
        <v>0</v>
      </c>
      <c r="Y574">
        <f t="shared" si="126"/>
        <v>0</v>
      </c>
      <c r="Z574">
        <f t="shared" si="126"/>
        <v>0</v>
      </c>
      <c r="AA574">
        <f t="shared" si="126"/>
        <v>0</v>
      </c>
      <c r="AB574">
        <f t="shared" si="126"/>
        <v>0</v>
      </c>
      <c r="AC574">
        <f t="shared" si="126"/>
        <v>0</v>
      </c>
      <c r="AD574">
        <f t="shared" si="126"/>
        <v>0</v>
      </c>
      <c r="AE574">
        <f t="shared" si="126"/>
        <v>0</v>
      </c>
      <c r="AF574">
        <f t="shared" si="126"/>
        <v>0</v>
      </c>
      <c r="AG574">
        <f t="shared" si="126"/>
        <v>0</v>
      </c>
      <c r="AH574">
        <f t="shared" si="126"/>
        <v>0</v>
      </c>
      <c r="AI574">
        <f t="shared" si="126"/>
        <v>0</v>
      </c>
      <c r="AJ574">
        <f t="shared" si="126"/>
        <v>0</v>
      </c>
      <c r="AK574">
        <f t="shared" si="126"/>
        <v>0</v>
      </c>
      <c r="AL574">
        <f t="shared" si="126"/>
        <v>0</v>
      </c>
      <c r="AM574">
        <f t="shared" si="126"/>
        <v>0</v>
      </c>
      <c r="AN574">
        <f t="shared" si="125"/>
        <v>0</v>
      </c>
      <c r="AO574">
        <f t="shared" si="125"/>
        <v>0</v>
      </c>
      <c r="AP574">
        <f t="shared" si="125"/>
        <v>0</v>
      </c>
      <c r="AQ574">
        <f t="shared" si="125"/>
        <v>0</v>
      </c>
      <c r="AR574">
        <f t="shared" si="125"/>
        <v>0</v>
      </c>
    </row>
    <row r="575" spans="5:44" x14ac:dyDescent="0.2">
      <c r="E575" s="1">
        <f>moment_rate!$M575</f>
        <v>1.4767261362796226E-2</v>
      </c>
      <c r="F575" s="1">
        <f t="shared" si="115"/>
        <v>1.6945376210684461E-4</v>
      </c>
      <c r="G575">
        <f>moment_rate!I575-0.005</f>
        <v>5.6799999999999233</v>
      </c>
      <c r="H575" s="1">
        <f t="shared" si="116"/>
        <v>1.6945376210684461E-4</v>
      </c>
      <c r="I575">
        <f t="shared" si="127"/>
        <v>0</v>
      </c>
      <c r="J575">
        <f t="shared" si="127"/>
        <v>0</v>
      </c>
      <c r="K575">
        <f t="shared" si="127"/>
        <v>0</v>
      </c>
      <c r="L575">
        <f t="shared" si="127"/>
        <v>0</v>
      </c>
      <c r="M575">
        <f t="shared" si="127"/>
        <v>0</v>
      </c>
      <c r="N575">
        <f t="shared" si="127"/>
        <v>0</v>
      </c>
      <c r="O575">
        <f t="shared" si="127"/>
        <v>1.6945376210684461E-4</v>
      </c>
      <c r="P575">
        <f t="shared" si="127"/>
        <v>0</v>
      </c>
      <c r="Q575">
        <f t="shared" si="127"/>
        <v>0</v>
      </c>
      <c r="R575">
        <f t="shared" si="127"/>
        <v>0</v>
      </c>
      <c r="S575">
        <f t="shared" si="127"/>
        <v>0</v>
      </c>
      <c r="T575">
        <f t="shared" si="127"/>
        <v>0</v>
      </c>
      <c r="U575">
        <f t="shared" si="127"/>
        <v>0</v>
      </c>
      <c r="V575">
        <f t="shared" si="127"/>
        <v>0</v>
      </c>
      <c r="W575">
        <f t="shared" si="127"/>
        <v>0</v>
      </c>
      <c r="X575">
        <f t="shared" si="127"/>
        <v>0</v>
      </c>
      <c r="Y575">
        <f t="shared" si="126"/>
        <v>0</v>
      </c>
      <c r="Z575">
        <f t="shared" si="126"/>
        <v>0</v>
      </c>
      <c r="AA575">
        <f t="shared" si="126"/>
        <v>0</v>
      </c>
      <c r="AB575">
        <f t="shared" si="126"/>
        <v>0</v>
      </c>
      <c r="AC575">
        <f t="shared" si="126"/>
        <v>0</v>
      </c>
      <c r="AD575">
        <f t="shared" si="126"/>
        <v>0</v>
      </c>
      <c r="AE575">
        <f t="shared" si="126"/>
        <v>0</v>
      </c>
      <c r="AF575">
        <f t="shared" si="126"/>
        <v>0</v>
      </c>
      <c r="AG575">
        <f t="shared" si="126"/>
        <v>0</v>
      </c>
      <c r="AH575">
        <f t="shared" si="126"/>
        <v>0</v>
      </c>
      <c r="AI575">
        <f t="shared" si="126"/>
        <v>0</v>
      </c>
      <c r="AJ575">
        <f t="shared" si="126"/>
        <v>0</v>
      </c>
      <c r="AK575">
        <f t="shared" si="126"/>
        <v>0</v>
      </c>
      <c r="AL575">
        <f t="shared" si="126"/>
        <v>0</v>
      </c>
      <c r="AM575">
        <f t="shared" si="126"/>
        <v>0</v>
      </c>
      <c r="AN575">
        <f t="shared" si="125"/>
        <v>0</v>
      </c>
      <c r="AO575">
        <f t="shared" si="125"/>
        <v>0</v>
      </c>
      <c r="AP575">
        <f t="shared" si="125"/>
        <v>0</v>
      </c>
      <c r="AQ575">
        <f t="shared" si="125"/>
        <v>0</v>
      </c>
      <c r="AR575">
        <f t="shared" si="125"/>
        <v>0</v>
      </c>
    </row>
    <row r="576" spans="5:44" x14ac:dyDescent="0.2">
      <c r="E576" s="1">
        <f>moment_rate!$M576</f>
        <v>1.4597807600689381E-2</v>
      </c>
      <c r="F576" s="1">
        <f t="shared" si="115"/>
        <v>1.6597826297348219E-4</v>
      </c>
      <c r="G576">
        <f>moment_rate!I576-0.005</f>
        <v>5.6899999999999231</v>
      </c>
      <c r="H576" s="1">
        <f t="shared" si="116"/>
        <v>1.6597826297348219E-4</v>
      </c>
      <c r="I576">
        <f t="shared" si="127"/>
        <v>0</v>
      </c>
      <c r="J576">
        <f t="shared" si="127"/>
        <v>0</v>
      </c>
      <c r="K576">
        <f t="shared" si="127"/>
        <v>0</v>
      </c>
      <c r="L576">
        <f t="shared" si="127"/>
        <v>0</v>
      </c>
      <c r="M576">
        <f t="shared" si="127"/>
        <v>0</v>
      </c>
      <c r="N576">
        <f t="shared" si="127"/>
        <v>0</v>
      </c>
      <c r="O576">
        <f t="shared" si="127"/>
        <v>1.6597826297348219E-4</v>
      </c>
      <c r="P576">
        <f t="shared" si="127"/>
        <v>0</v>
      </c>
      <c r="Q576">
        <f t="shared" si="127"/>
        <v>0</v>
      </c>
      <c r="R576">
        <f t="shared" si="127"/>
        <v>0</v>
      </c>
      <c r="S576">
        <f t="shared" si="127"/>
        <v>0</v>
      </c>
      <c r="T576">
        <f t="shared" si="127"/>
        <v>0</v>
      </c>
      <c r="U576">
        <f t="shared" si="127"/>
        <v>0</v>
      </c>
      <c r="V576">
        <f t="shared" si="127"/>
        <v>0</v>
      </c>
      <c r="W576">
        <f t="shared" si="127"/>
        <v>0</v>
      </c>
      <c r="X576">
        <f t="shared" si="127"/>
        <v>0</v>
      </c>
      <c r="Y576">
        <f t="shared" si="126"/>
        <v>0</v>
      </c>
      <c r="Z576">
        <f t="shared" si="126"/>
        <v>0</v>
      </c>
      <c r="AA576">
        <f t="shared" si="126"/>
        <v>0</v>
      </c>
      <c r="AB576">
        <f t="shared" si="126"/>
        <v>0</v>
      </c>
      <c r="AC576">
        <f t="shared" si="126"/>
        <v>0</v>
      </c>
      <c r="AD576">
        <f t="shared" si="126"/>
        <v>0</v>
      </c>
      <c r="AE576">
        <f t="shared" si="126"/>
        <v>0</v>
      </c>
      <c r="AF576">
        <f t="shared" si="126"/>
        <v>0</v>
      </c>
      <c r="AG576">
        <f t="shared" si="126"/>
        <v>0</v>
      </c>
      <c r="AH576">
        <f t="shared" si="126"/>
        <v>0</v>
      </c>
      <c r="AI576">
        <f t="shared" si="126"/>
        <v>0</v>
      </c>
      <c r="AJ576">
        <f t="shared" si="126"/>
        <v>0</v>
      </c>
      <c r="AK576">
        <f t="shared" si="126"/>
        <v>0</v>
      </c>
      <c r="AL576">
        <f t="shared" si="126"/>
        <v>0</v>
      </c>
      <c r="AM576">
        <f t="shared" si="126"/>
        <v>0</v>
      </c>
      <c r="AN576">
        <f t="shared" si="125"/>
        <v>0</v>
      </c>
      <c r="AO576">
        <f t="shared" si="125"/>
        <v>0</v>
      </c>
      <c r="AP576">
        <f t="shared" si="125"/>
        <v>0</v>
      </c>
      <c r="AQ576">
        <f t="shared" si="125"/>
        <v>0</v>
      </c>
      <c r="AR576">
        <f t="shared" si="125"/>
        <v>0</v>
      </c>
    </row>
    <row r="577" spans="5:44" x14ac:dyDescent="0.2">
      <c r="E577" s="1">
        <f>moment_rate!$M577</f>
        <v>1.4431829337715899E-2</v>
      </c>
      <c r="F577" s="1">
        <f t="shared" si="115"/>
        <v>1.6257404637805631E-4</v>
      </c>
      <c r="G577">
        <f>moment_rate!I577-0.005</f>
        <v>5.6999999999999229</v>
      </c>
      <c r="H577" s="1">
        <f t="shared" si="116"/>
        <v>1.6257404637805631E-4</v>
      </c>
      <c r="I577">
        <f t="shared" si="127"/>
        <v>0</v>
      </c>
      <c r="J577">
        <f t="shared" si="127"/>
        <v>0</v>
      </c>
      <c r="K577">
        <f t="shared" si="127"/>
        <v>0</v>
      </c>
      <c r="L577">
        <f t="shared" si="127"/>
        <v>0</v>
      </c>
      <c r="M577">
        <f t="shared" si="127"/>
        <v>0</v>
      </c>
      <c r="N577">
        <f t="shared" si="127"/>
        <v>0</v>
      </c>
      <c r="O577">
        <f t="shared" si="127"/>
        <v>1.6257404637805631E-4</v>
      </c>
      <c r="P577">
        <f t="shared" si="127"/>
        <v>0</v>
      </c>
      <c r="Q577">
        <f t="shared" si="127"/>
        <v>0</v>
      </c>
      <c r="R577">
        <f t="shared" si="127"/>
        <v>0</v>
      </c>
      <c r="S577">
        <f t="shared" si="127"/>
        <v>0</v>
      </c>
      <c r="T577">
        <f t="shared" si="127"/>
        <v>0</v>
      </c>
      <c r="U577">
        <f t="shared" si="127"/>
        <v>0</v>
      </c>
      <c r="V577">
        <f t="shared" si="127"/>
        <v>0</v>
      </c>
      <c r="W577">
        <f t="shared" si="127"/>
        <v>0</v>
      </c>
      <c r="X577">
        <f t="shared" si="127"/>
        <v>0</v>
      </c>
      <c r="Y577">
        <f t="shared" si="126"/>
        <v>0</v>
      </c>
      <c r="Z577">
        <f t="shared" si="126"/>
        <v>0</v>
      </c>
      <c r="AA577">
        <f t="shared" si="126"/>
        <v>0</v>
      </c>
      <c r="AB577">
        <f t="shared" si="126"/>
        <v>0</v>
      </c>
      <c r="AC577">
        <f t="shared" si="126"/>
        <v>0</v>
      </c>
      <c r="AD577">
        <f t="shared" si="126"/>
        <v>0</v>
      </c>
      <c r="AE577">
        <f t="shared" si="126"/>
        <v>0</v>
      </c>
      <c r="AF577">
        <f t="shared" si="126"/>
        <v>0</v>
      </c>
      <c r="AG577">
        <f t="shared" si="126"/>
        <v>0</v>
      </c>
      <c r="AH577">
        <f t="shared" si="126"/>
        <v>0</v>
      </c>
      <c r="AI577">
        <f t="shared" si="126"/>
        <v>0</v>
      </c>
      <c r="AJ577">
        <f t="shared" si="126"/>
        <v>0</v>
      </c>
      <c r="AK577">
        <f t="shared" si="126"/>
        <v>0</v>
      </c>
      <c r="AL577">
        <f t="shared" si="126"/>
        <v>0</v>
      </c>
      <c r="AM577">
        <f t="shared" si="126"/>
        <v>0</v>
      </c>
      <c r="AN577">
        <f t="shared" si="125"/>
        <v>0</v>
      </c>
      <c r="AO577">
        <f t="shared" si="125"/>
        <v>0</v>
      </c>
      <c r="AP577">
        <f t="shared" si="125"/>
        <v>0</v>
      </c>
      <c r="AQ577">
        <f t="shared" si="125"/>
        <v>0</v>
      </c>
      <c r="AR577">
        <f t="shared" si="125"/>
        <v>0</v>
      </c>
    </row>
    <row r="578" spans="5:44" x14ac:dyDescent="0.2">
      <c r="E578" s="1">
        <f>moment_rate!$M578</f>
        <v>1.4269255291337843E-2</v>
      </c>
      <c r="F578" s="1">
        <f t="shared" si="115"/>
        <v>1.5923965031467736E-4</v>
      </c>
      <c r="G578">
        <f>moment_rate!I578-0.005</f>
        <v>5.7099999999999227</v>
      </c>
      <c r="H578" s="1">
        <f t="shared" si="116"/>
        <v>1.5923965031467736E-4</v>
      </c>
      <c r="I578">
        <f t="shared" si="127"/>
        <v>0</v>
      </c>
      <c r="J578">
        <f t="shared" si="127"/>
        <v>0</v>
      </c>
      <c r="K578">
        <f t="shared" si="127"/>
        <v>0</v>
      </c>
      <c r="L578">
        <f t="shared" si="127"/>
        <v>0</v>
      </c>
      <c r="M578">
        <f t="shared" si="127"/>
        <v>0</v>
      </c>
      <c r="N578">
        <f t="shared" si="127"/>
        <v>0</v>
      </c>
      <c r="O578">
        <f t="shared" si="127"/>
        <v>0</v>
      </c>
      <c r="P578">
        <f t="shared" si="127"/>
        <v>1.5923965031467736E-4</v>
      </c>
      <c r="Q578">
        <f t="shared" si="127"/>
        <v>0</v>
      </c>
      <c r="R578">
        <f t="shared" si="127"/>
        <v>0</v>
      </c>
      <c r="S578">
        <f t="shared" si="127"/>
        <v>0</v>
      </c>
      <c r="T578">
        <f t="shared" si="127"/>
        <v>0</v>
      </c>
      <c r="U578">
        <f t="shared" si="127"/>
        <v>0</v>
      </c>
      <c r="V578">
        <f t="shared" si="127"/>
        <v>0</v>
      </c>
      <c r="W578">
        <f t="shared" si="127"/>
        <v>0</v>
      </c>
      <c r="X578">
        <f t="shared" si="127"/>
        <v>0</v>
      </c>
      <c r="Y578">
        <f t="shared" si="126"/>
        <v>0</v>
      </c>
      <c r="Z578">
        <f t="shared" si="126"/>
        <v>0</v>
      </c>
      <c r="AA578">
        <f t="shared" si="126"/>
        <v>0</v>
      </c>
      <c r="AB578">
        <f t="shared" si="126"/>
        <v>0</v>
      </c>
      <c r="AC578">
        <f t="shared" si="126"/>
        <v>0</v>
      </c>
      <c r="AD578">
        <f t="shared" si="126"/>
        <v>0</v>
      </c>
      <c r="AE578">
        <f t="shared" si="126"/>
        <v>0</v>
      </c>
      <c r="AF578">
        <f t="shared" si="126"/>
        <v>0</v>
      </c>
      <c r="AG578">
        <f t="shared" si="126"/>
        <v>0</v>
      </c>
      <c r="AH578">
        <f t="shared" si="126"/>
        <v>0</v>
      </c>
      <c r="AI578">
        <f t="shared" si="126"/>
        <v>0</v>
      </c>
      <c r="AJ578">
        <f t="shared" si="126"/>
        <v>0</v>
      </c>
      <c r="AK578">
        <f t="shared" si="126"/>
        <v>0</v>
      </c>
      <c r="AL578">
        <f t="shared" si="126"/>
        <v>0</v>
      </c>
      <c r="AM578">
        <f t="shared" si="126"/>
        <v>0</v>
      </c>
      <c r="AN578">
        <f t="shared" si="125"/>
        <v>0</v>
      </c>
      <c r="AO578">
        <f t="shared" si="125"/>
        <v>0</v>
      </c>
      <c r="AP578">
        <f t="shared" si="125"/>
        <v>0</v>
      </c>
      <c r="AQ578">
        <f t="shared" si="125"/>
        <v>0</v>
      </c>
      <c r="AR578">
        <f t="shared" si="125"/>
        <v>0</v>
      </c>
    </row>
    <row r="579" spans="5:44" x14ac:dyDescent="0.2">
      <c r="E579" s="1">
        <f>moment_rate!$M579</f>
        <v>1.4110015641023165E-2</v>
      </c>
      <c r="F579" s="1">
        <f t="shared" si="115"/>
        <v>1.559736427632092E-4</v>
      </c>
      <c r="G579">
        <f>moment_rate!I579-0.005</f>
        <v>5.7199999999999225</v>
      </c>
      <c r="H579" s="1">
        <f t="shared" si="116"/>
        <v>1.559736427632092E-4</v>
      </c>
      <c r="I579">
        <f t="shared" si="127"/>
        <v>0</v>
      </c>
      <c r="J579">
        <f t="shared" si="127"/>
        <v>0</v>
      </c>
      <c r="K579">
        <f t="shared" si="127"/>
        <v>0</v>
      </c>
      <c r="L579">
        <f t="shared" si="127"/>
        <v>0</v>
      </c>
      <c r="M579">
        <f t="shared" si="127"/>
        <v>0</v>
      </c>
      <c r="N579">
        <f t="shared" si="127"/>
        <v>0</v>
      </c>
      <c r="O579">
        <f t="shared" si="127"/>
        <v>0</v>
      </c>
      <c r="P579">
        <f t="shared" si="127"/>
        <v>1.559736427632092E-4</v>
      </c>
      <c r="Q579">
        <f t="shared" si="127"/>
        <v>0</v>
      </c>
      <c r="R579">
        <f t="shared" si="127"/>
        <v>0</v>
      </c>
      <c r="S579">
        <f t="shared" si="127"/>
        <v>0</v>
      </c>
      <c r="T579">
        <f t="shared" si="127"/>
        <v>0</v>
      </c>
      <c r="U579">
        <f t="shared" si="127"/>
        <v>0</v>
      </c>
      <c r="V579">
        <f t="shared" si="127"/>
        <v>0</v>
      </c>
      <c r="W579">
        <f t="shared" si="127"/>
        <v>0</v>
      </c>
      <c r="X579">
        <f t="shared" si="127"/>
        <v>0</v>
      </c>
      <c r="Y579">
        <f t="shared" si="126"/>
        <v>0</v>
      </c>
      <c r="Z579">
        <f t="shared" si="126"/>
        <v>0</v>
      </c>
      <c r="AA579">
        <f t="shared" si="126"/>
        <v>0</v>
      </c>
      <c r="AB579">
        <f t="shared" si="126"/>
        <v>0</v>
      </c>
      <c r="AC579">
        <f t="shared" si="126"/>
        <v>0</v>
      </c>
      <c r="AD579">
        <f t="shared" si="126"/>
        <v>0</v>
      </c>
      <c r="AE579">
        <f t="shared" si="126"/>
        <v>0</v>
      </c>
      <c r="AF579">
        <f t="shared" si="126"/>
        <v>0</v>
      </c>
      <c r="AG579">
        <f t="shared" si="126"/>
        <v>0</v>
      </c>
      <c r="AH579">
        <f t="shared" si="126"/>
        <v>0</v>
      </c>
      <c r="AI579">
        <f t="shared" si="126"/>
        <v>0</v>
      </c>
      <c r="AJ579">
        <f t="shared" si="126"/>
        <v>0</v>
      </c>
      <c r="AK579">
        <f t="shared" si="126"/>
        <v>0</v>
      </c>
      <c r="AL579">
        <f t="shared" si="126"/>
        <v>0</v>
      </c>
      <c r="AM579">
        <f t="shared" si="126"/>
        <v>0</v>
      </c>
      <c r="AN579">
        <f t="shared" si="125"/>
        <v>0</v>
      </c>
      <c r="AO579">
        <f t="shared" si="125"/>
        <v>0</v>
      </c>
      <c r="AP579">
        <f t="shared" si="125"/>
        <v>0</v>
      </c>
      <c r="AQ579">
        <f t="shared" si="125"/>
        <v>0</v>
      </c>
      <c r="AR579">
        <f t="shared" si="125"/>
        <v>0</v>
      </c>
    </row>
    <row r="580" spans="5:44" x14ac:dyDescent="0.2">
      <c r="E580" s="1">
        <f>moment_rate!$M580</f>
        <v>1.3954041998259956E-2</v>
      </c>
      <c r="F580" s="1">
        <f t="shared" si="115"/>
        <v>1.5277462107427843E-4</v>
      </c>
      <c r="G580">
        <f>moment_rate!I580-0.005</f>
        <v>5.7299999999999223</v>
      </c>
      <c r="H580" s="1">
        <f t="shared" si="116"/>
        <v>1.5277462107427843E-4</v>
      </c>
      <c r="I580">
        <f t="shared" si="127"/>
        <v>0</v>
      </c>
      <c r="J580">
        <f t="shared" si="127"/>
        <v>0</v>
      </c>
      <c r="K580">
        <f t="shared" si="127"/>
        <v>0</v>
      </c>
      <c r="L580">
        <f t="shared" si="127"/>
        <v>0</v>
      </c>
      <c r="M580">
        <f t="shared" si="127"/>
        <v>0</v>
      </c>
      <c r="N580">
        <f t="shared" si="127"/>
        <v>0</v>
      </c>
      <c r="O580">
        <f t="shared" si="127"/>
        <v>0</v>
      </c>
      <c r="P580">
        <f t="shared" si="127"/>
        <v>1.5277462107427843E-4</v>
      </c>
      <c r="Q580">
        <f t="shared" si="127"/>
        <v>0</v>
      </c>
      <c r="R580">
        <f t="shared" si="127"/>
        <v>0</v>
      </c>
      <c r="S580">
        <f t="shared" si="127"/>
        <v>0</v>
      </c>
      <c r="T580">
        <f t="shared" si="127"/>
        <v>0</v>
      </c>
      <c r="U580">
        <f t="shared" si="127"/>
        <v>0</v>
      </c>
      <c r="V580">
        <f t="shared" si="127"/>
        <v>0</v>
      </c>
      <c r="W580">
        <f t="shared" si="127"/>
        <v>0</v>
      </c>
      <c r="X580">
        <f t="shared" si="127"/>
        <v>0</v>
      </c>
      <c r="Y580">
        <f t="shared" si="126"/>
        <v>0</v>
      </c>
      <c r="Z580">
        <f t="shared" si="126"/>
        <v>0</v>
      </c>
      <c r="AA580">
        <f t="shared" si="126"/>
        <v>0</v>
      </c>
      <c r="AB580">
        <f t="shared" si="126"/>
        <v>0</v>
      </c>
      <c r="AC580">
        <f t="shared" si="126"/>
        <v>0</v>
      </c>
      <c r="AD580">
        <f t="shared" si="126"/>
        <v>0</v>
      </c>
      <c r="AE580">
        <f t="shared" si="126"/>
        <v>0</v>
      </c>
      <c r="AF580">
        <f t="shared" si="126"/>
        <v>0</v>
      </c>
      <c r="AG580">
        <f t="shared" si="126"/>
        <v>0</v>
      </c>
      <c r="AH580">
        <f t="shared" si="126"/>
        <v>0</v>
      </c>
      <c r="AI580">
        <f t="shared" si="126"/>
        <v>0</v>
      </c>
      <c r="AJ580">
        <f t="shared" si="126"/>
        <v>0</v>
      </c>
      <c r="AK580">
        <f t="shared" si="126"/>
        <v>0</v>
      </c>
      <c r="AL580">
        <f t="shared" si="126"/>
        <v>0</v>
      </c>
      <c r="AM580">
        <f t="shared" si="126"/>
        <v>0</v>
      </c>
      <c r="AN580">
        <f t="shared" si="125"/>
        <v>0</v>
      </c>
      <c r="AO580">
        <f t="shared" si="125"/>
        <v>0</v>
      </c>
      <c r="AP580">
        <f t="shared" si="125"/>
        <v>0</v>
      </c>
      <c r="AQ580">
        <f t="shared" si="125"/>
        <v>0</v>
      </c>
      <c r="AR580">
        <f t="shared" si="125"/>
        <v>0</v>
      </c>
    </row>
    <row r="581" spans="5:44" x14ac:dyDescent="0.2">
      <c r="E581" s="1">
        <f>moment_rate!$M581</f>
        <v>1.3801267377185678E-2</v>
      </c>
      <c r="F581" s="1">
        <f t="shared" si="115"/>
        <v>1.4964121136686048E-4</v>
      </c>
      <c r="G581">
        <f>moment_rate!I581-0.005</f>
        <v>5.7399999999999221</v>
      </c>
      <c r="H581" s="1">
        <f t="shared" si="116"/>
        <v>1.4964121136686048E-4</v>
      </c>
      <c r="I581">
        <f t="shared" si="127"/>
        <v>0</v>
      </c>
      <c r="J581">
        <f t="shared" si="127"/>
        <v>0</v>
      </c>
      <c r="K581">
        <f t="shared" si="127"/>
        <v>0</v>
      </c>
      <c r="L581">
        <f t="shared" si="127"/>
        <v>0</v>
      </c>
      <c r="M581">
        <f t="shared" si="127"/>
        <v>0</v>
      </c>
      <c r="N581">
        <f t="shared" si="127"/>
        <v>0</v>
      </c>
      <c r="O581">
        <f t="shared" si="127"/>
        <v>0</v>
      </c>
      <c r="P581">
        <f t="shared" si="127"/>
        <v>1.4964121136686048E-4</v>
      </c>
      <c r="Q581">
        <f t="shared" si="127"/>
        <v>0</v>
      </c>
      <c r="R581">
        <f t="shared" si="127"/>
        <v>0</v>
      </c>
      <c r="S581">
        <f t="shared" si="127"/>
        <v>0</v>
      </c>
      <c r="T581">
        <f t="shared" si="127"/>
        <v>0</v>
      </c>
      <c r="U581">
        <f t="shared" si="127"/>
        <v>0</v>
      </c>
      <c r="V581">
        <f t="shared" si="127"/>
        <v>0</v>
      </c>
      <c r="W581">
        <f t="shared" si="127"/>
        <v>0</v>
      </c>
      <c r="X581">
        <f t="shared" si="127"/>
        <v>0</v>
      </c>
      <c r="Y581">
        <f t="shared" si="126"/>
        <v>0</v>
      </c>
      <c r="Z581">
        <f t="shared" si="126"/>
        <v>0</v>
      </c>
      <c r="AA581">
        <f t="shared" si="126"/>
        <v>0</v>
      </c>
      <c r="AB581">
        <f t="shared" si="126"/>
        <v>0</v>
      </c>
      <c r="AC581">
        <f t="shared" si="126"/>
        <v>0</v>
      </c>
      <c r="AD581">
        <f t="shared" si="126"/>
        <v>0</v>
      </c>
      <c r="AE581">
        <f t="shared" si="126"/>
        <v>0</v>
      </c>
      <c r="AF581">
        <f t="shared" si="126"/>
        <v>0</v>
      </c>
      <c r="AG581">
        <f t="shared" si="126"/>
        <v>0</v>
      </c>
      <c r="AH581">
        <f t="shared" si="126"/>
        <v>0</v>
      </c>
      <c r="AI581">
        <f t="shared" si="126"/>
        <v>0</v>
      </c>
      <c r="AJ581">
        <f t="shared" si="126"/>
        <v>0</v>
      </c>
      <c r="AK581">
        <f t="shared" si="126"/>
        <v>0</v>
      </c>
      <c r="AL581">
        <f t="shared" si="126"/>
        <v>0</v>
      </c>
      <c r="AM581">
        <f t="shared" si="126"/>
        <v>0</v>
      </c>
      <c r="AN581">
        <f t="shared" si="125"/>
        <v>0</v>
      </c>
      <c r="AO581">
        <f t="shared" si="125"/>
        <v>0</v>
      </c>
      <c r="AP581">
        <f t="shared" si="125"/>
        <v>0</v>
      </c>
      <c r="AQ581">
        <f t="shared" si="125"/>
        <v>0</v>
      </c>
      <c r="AR581">
        <f t="shared" si="125"/>
        <v>0</v>
      </c>
    </row>
    <row r="582" spans="5:44" x14ac:dyDescent="0.2">
      <c r="E582" s="1">
        <f>moment_rate!$M582</f>
        <v>1.3651626165818817E-2</v>
      </c>
      <c r="F582" s="1">
        <f t="shared" si="115"/>
        <v>1.4657206793827066E-4</v>
      </c>
      <c r="G582">
        <f>moment_rate!I582-0.005</f>
        <v>5.7499999999999218</v>
      </c>
      <c r="H582" s="1">
        <f t="shared" si="116"/>
        <v>1.4657206793827066E-4</v>
      </c>
      <c r="I582">
        <f t="shared" si="127"/>
        <v>0</v>
      </c>
      <c r="J582">
        <f t="shared" si="127"/>
        <v>0</v>
      </c>
      <c r="K582">
        <f t="shared" si="127"/>
        <v>0</v>
      </c>
      <c r="L582">
        <f t="shared" si="127"/>
        <v>0</v>
      </c>
      <c r="M582">
        <f t="shared" si="127"/>
        <v>0</v>
      </c>
      <c r="N582">
        <f t="shared" si="127"/>
        <v>0</v>
      </c>
      <c r="O582">
        <f t="shared" si="127"/>
        <v>0</v>
      </c>
      <c r="P582">
        <f t="shared" si="127"/>
        <v>1.4657206793827066E-4</v>
      </c>
      <c r="Q582">
        <f t="shared" si="127"/>
        <v>0</v>
      </c>
      <c r="R582">
        <f t="shared" si="127"/>
        <v>0</v>
      </c>
      <c r="S582">
        <f t="shared" si="127"/>
        <v>0</v>
      </c>
      <c r="T582">
        <f t="shared" si="127"/>
        <v>0</v>
      </c>
      <c r="U582">
        <f t="shared" si="127"/>
        <v>0</v>
      </c>
      <c r="V582">
        <f t="shared" si="127"/>
        <v>0</v>
      </c>
      <c r="W582">
        <f t="shared" si="127"/>
        <v>0</v>
      </c>
      <c r="X582">
        <f t="shared" si="127"/>
        <v>0</v>
      </c>
      <c r="Y582">
        <f t="shared" si="126"/>
        <v>0</v>
      </c>
      <c r="Z582">
        <f t="shared" si="126"/>
        <v>0</v>
      </c>
      <c r="AA582">
        <f t="shared" si="126"/>
        <v>0</v>
      </c>
      <c r="AB582">
        <f t="shared" si="126"/>
        <v>0</v>
      </c>
      <c r="AC582">
        <f t="shared" si="126"/>
        <v>0</v>
      </c>
      <c r="AD582">
        <f t="shared" si="126"/>
        <v>0</v>
      </c>
      <c r="AE582">
        <f t="shared" si="126"/>
        <v>0</v>
      </c>
      <c r="AF582">
        <f t="shared" si="126"/>
        <v>0</v>
      </c>
      <c r="AG582">
        <f t="shared" si="126"/>
        <v>0</v>
      </c>
      <c r="AH582">
        <f t="shared" si="126"/>
        <v>0</v>
      </c>
      <c r="AI582">
        <f t="shared" si="126"/>
        <v>0</v>
      </c>
      <c r="AJ582">
        <f t="shared" si="126"/>
        <v>0</v>
      </c>
      <c r="AK582">
        <f t="shared" si="126"/>
        <v>0</v>
      </c>
      <c r="AL582">
        <f t="shared" si="126"/>
        <v>0</v>
      </c>
      <c r="AM582">
        <f t="shared" si="126"/>
        <v>0</v>
      </c>
      <c r="AN582">
        <f t="shared" si="125"/>
        <v>0</v>
      </c>
      <c r="AO582">
        <f t="shared" si="125"/>
        <v>0</v>
      </c>
      <c r="AP582">
        <f t="shared" si="125"/>
        <v>0</v>
      </c>
      <c r="AQ582">
        <f t="shared" si="125"/>
        <v>0</v>
      </c>
      <c r="AR582">
        <f t="shared" si="125"/>
        <v>0</v>
      </c>
    </row>
    <row r="583" spans="5:44" x14ac:dyDescent="0.2">
      <c r="E583" s="1">
        <f>moment_rate!$M583</f>
        <v>1.3505054097880546E-2</v>
      </c>
      <c r="F583" s="1">
        <f t="shared" si="115"/>
        <v>1.4356587268617681E-4</v>
      </c>
      <c r="G583">
        <f>moment_rate!I583-0.005</f>
        <v>5.7599999999999216</v>
      </c>
      <c r="H583" s="1">
        <f t="shared" si="116"/>
        <v>1.4356587268617681E-4</v>
      </c>
      <c r="I583">
        <f t="shared" si="127"/>
        <v>0</v>
      </c>
      <c r="J583">
        <f t="shared" si="127"/>
        <v>0</v>
      </c>
      <c r="K583">
        <f t="shared" si="127"/>
        <v>0</v>
      </c>
      <c r="L583">
        <f t="shared" si="127"/>
        <v>0</v>
      </c>
      <c r="M583">
        <f t="shared" si="127"/>
        <v>0</v>
      </c>
      <c r="N583">
        <f t="shared" si="127"/>
        <v>0</v>
      </c>
      <c r="O583">
        <f t="shared" si="127"/>
        <v>0</v>
      </c>
      <c r="P583">
        <f t="shared" si="127"/>
        <v>1.4356587268617681E-4</v>
      </c>
      <c r="Q583">
        <f t="shared" si="127"/>
        <v>0</v>
      </c>
      <c r="R583">
        <f t="shared" si="127"/>
        <v>0</v>
      </c>
      <c r="S583">
        <f t="shared" si="127"/>
        <v>0</v>
      </c>
      <c r="T583">
        <f t="shared" si="127"/>
        <v>0</v>
      </c>
      <c r="U583">
        <f t="shared" si="127"/>
        <v>0</v>
      </c>
      <c r="V583">
        <f t="shared" si="127"/>
        <v>0</v>
      </c>
      <c r="W583">
        <f t="shared" si="127"/>
        <v>0</v>
      </c>
      <c r="X583">
        <f t="shared" si="127"/>
        <v>0</v>
      </c>
      <c r="Y583">
        <f t="shared" si="126"/>
        <v>0</v>
      </c>
      <c r="Z583">
        <f t="shared" si="126"/>
        <v>0</v>
      </c>
      <c r="AA583">
        <f t="shared" si="126"/>
        <v>0</v>
      </c>
      <c r="AB583">
        <f t="shared" si="126"/>
        <v>0</v>
      </c>
      <c r="AC583">
        <f t="shared" si="126"/>
        <v>0</v>
      </c>
      <c r="AD583">
        <f t="shared" si="126"/>
        <v>0</v>
      </c>
      <c r="AE583">
        <f t="shared" si="126"/>
        <v>0</v>
      </c>
      <c r="AF583">
        <f t="shared" si="126"/>
        <v>0</v>
      </c>
      <c r="AG583">
        <f t="shared" si="126"/>
        <v>0</v>
      </c>
      <c r="AH583">
        <f t="shared" si="126"/>
        <v>0</v>
      </c>
      <c r="AI583">
        <f t="shared" si="126"/>
        <v>0</v>
      </c>
      <c r="AJ583">
        <f t="shared" si="126"/>
        <v>0</v>
      </c>
      <c r="AK583">
        <f t="shared" si="126"/>
        <v>0</v>
      </c>
      <c r="AL583">
        <f t="shared" si="126"/>
        <v>0</v>
      </c>
      <c r="AM583">
        <f t="shared" si="126"/>
        <v>0</v>
      </c>
      <c r="AN583">
        <f t="shared" si="125"/>
        <v>0</v>
      </c>
      <c r="AO583">
        <f t="shared" si="125"/>
        <v>0</v>
      </c>
      <c r="AP583">
        <f t="shared" si="125"/>
        <v>0</v>
      </c>
      <c r="AQ583">
        <f t="shared" si="125"/>
        <v>0</v>
      </c>
      <c r="AR583">
        <f t="shared" si="125"/>
        <v>0</v>
      </c>
    </row>
    <row r="584" spans="5:44" x14ac:dyDescent="0.2">
      <c r="E584" s="1">
        <f>moment_rate!$M584</f>
        <v>1.336148822519437E-2</v>
      </c>
      <c r="F584" s="1">
        <f t="shared" ref="F584:F647" si="128">E584-E585</f>
        <v>1.4062133454257122E-4</v>
      </c>
      <c r="G584">
        <f>moment_rate!I584-0.005</f>
        <v>5.7699999999999214</v>
      </c>
      <c r="H584" s="1">
        <f t="shared" ref="H584:H647" si="129">IF($G584&gt;=4.999,(E584-E585),0)</f>
        <v>1.4062133454257122E-4</v>
      </c>
      <c r="I584">
        <f t="shared" si="127"/>
        <v>0</v>
      </c>
      <c r="J584">
        <f t="shared" si="127"/>
        <v>0</v>
      </c>
      <c r="K584">
        <f t="shared" si="127"/>
        <v>0</v>
      </c>
      <c r="L584">
        <f t="shared" si="127"/>
        <v>0</v>
      </c>
      <c r="M584">
        <f t="shared" si="127"/>
        <v>0</v>
      </c>
      <c r="N584">
        <f t="shared" si="127"/>
        <v>0</v>
      </c>
      <c r="O584">
        <f t="shared" si="127"/>
        <v>0</v>
      </c>
      <c r="P584">
        <f t="shared" si="127"/>
        <v>1.4062133454257122E-4</v>
      </c>
      <c r="Q584">
        <f t="shared" si="127"/>
        <v>0</v>
      </c>
      <c r="R584">
        <f t="shared" si="127"/>
        <v>0</v>
      </c>
      <c r="S584">
        <f t="shared" si="127"/>
        <v>0</v>
      </c>
      <c r="T584">
        <f t="shared" si="127"/>
        <v>0</v>
      </c>
      <c r="U584">
        <f t="shared" si="127"/>
        <v>0</v>
      </c>
      <c r="V584">
        <f t="shared" si="127"/>
        <v>0</v>
      </c>
      <c r="W584">
        <f t="shared" si="127"/>
        <v>0</v>
      </c>
      <c r="X584">
        <f t="shared" si="127"/>
        <v>0</v>
      </c>
      <c r="Y584">
        <f t="shared" si="126"/>
        <v>0</v>
      </c>
      <c r="Z584">
        <f t="shared" si="126"/>
        <v>0</v>
      </c>
      <c r="AA584">
        <f t="shared" si="126"/>
        <v>0</v>
      </c>
      <c r="AB584">
        <f t="shared" si="126"/>
        <v>0</v>
      </c>
      <c r="AC584">
        <f t="shared" si="126"/>
        <v>0</v>
      </c>
      <c r="AD584">
        <f t="shared" si="126"/>
        <v>0</v>
      </c>
      <c r="AE584">
        <f t="shared" si="126"/>
        <v>0</v>
      </c>
      <c r="AF584">
        <f t="shared" si="126"/>
        <v>0</v>
      </c>
      <c r="AG584">
        <f t="shared" si="126"/>
        <v>0</v>
      </c>
      <c r="AH584">
        <f t="shared" si="126"/>
        <v>0</v>
      </c>
      <c r="AI584">
        <f t="shared" si="126"/>
        <v>0</v>
      </c>
      <c r="AJ584">
        <f t="shared" si="126"/>
        <v>0</v>
      </c>
      <c r="AK584">
        <f t="shared" si="126"/>
        <v>0</v>
      </c>
      <c r="AL584">
        <f t="shared" si="126"/>
        <v>0</v>
      </c>
      <c r="AM584">
        <f t="shared" si="126"/>
        <v>0</v>
      </c>
      <c r="AN584">
        <f t="shared" si="125"/>
        <v>0</v>
      </c>
      <c r="AO584">
        <f t="shared" si="125"/>
        <v>0</v>
      </c>
      <c r="AP584">
        <f t="shared" si="125"/>
        <v>0</v>
      </c>
      <c r="AQ584">
        <f t="shared" si="125"/>
        <v>0</v>
      </c>
      <c r="AR584">
        <f t="shared" si="125"/>
        <v>0</v>
      </c>
    </row>
    <row r="585" spans="5:44" x14ac:dyDescent="0.2">
      <c r="E585" s="1">
        <f>moment_rate!$M585</f>
        <v>1.3220866890651798E-2</v>
      </c>
      <c r="F585" s="1">
        <f t="shared" si="128"/>
        <v>1.3773718891925586E-4</v>
      </c>
      <c r="G585">
        <f>moment_rate!I585-0.005</f>
        <v>5.7799999999999212</v>
      </c>
      <c r="H585" s="1">
        <f t="shared" si="129"/>
        <v>1.3773718891925586E-4</v>
      </c>
      <c r="I585">
        <f t="shared" si="127"/>
        <v>0</v>
      </c>
      <c r="J585">
        <f t="shared" si="127"/>
        <v>0</v>
      </c>
      <c r="K585">
        <f t="shared" si="127"/>
        <v>0</v>
      </c>
      <c r="L585">
        <f t="shared" si="127"/>
        <v>0</v>
      </c>
      <c r="M585">
        <f t="shared" si="127"/>
        <v>0</v>
      </c>
      <c r="N585">
        <f t="shared" si="127"/>
        <v>0</v>
      </c>
      <c r="O585">
        <f t="shared" si="127"/>
        <v>0</v>
      </c>
      <c r="P585">
        <f t="shared" si="127"/>
        <v>1.3773718891925586E-4</v>
      </c>
      <c r="Q585">
        <f t="shared" si="127"/>
        <v>0</v>
      </c>
      <c r="R585">
        <f t="shared" si="127"/>
        <v>0</v>
      </c>
      <c r="S585">
        <f t="shared" si="127"/>
        <v>0</v>
      </c>
      <c r="T585">
        <f t="shared" si="127"/>
        <v>0</v>
      </c>
      <c r="U585">
        <f t="shared" si="127"/>
        <v>0</v>
      </c>
      <c r="V585">
        <f t="shared" si="127"/>
        <v>0</v>
      </c>
      <c r="W585">
        <f t="shared" si="127"/>
        <v>0</v>
      </c>
      <c r="X585">
        <f t="shared" si="127"/>
        <v>0</v>
      </c>
      <c r="Y585">
        <f t="shared" si="126"/>
        <v>0</v>
      </c>
      <c r="Z585">
        <f t="shared" si="126"/>
        <v>0</v>
      </c>
      <c r="AA585">
        <f t="shared" si="126"/>
        <v>0</v>
      </c>
      <c r="AB585">
        <f t="shared" si="126"/>
        <v>0</v>
      </c>
      <c r="AC585">
        <f t="shared" si="126"/>
        <v>0</v>
      </c>
      <c r="AD585">
        <f t="shared" si="126"/>
        <v>0</v>
      </c>
      <c r="AE585">
        <f t="shared" si="126"/>
        <v>0</v>
      </c>
      <c r="AF585">
        <f t="shared" si="126"/>
        <v>0</v>
      </c>
      <c r="AG585">
        <f t="shared" si="126"/>
        <v>0</v>
      </c>
      <c r="AH585">
        <f t="shared" si="126"/>
        <v>0</v>
      </c>
      <c r="AI585">
        <f t="shared" si="126"/>
        <v>0</v>
      </c>
      <c r="AJ585">
        <f t="shared" si="126"/>
        <v>0</v>
      </c>
      <c r="AK585">
        <f t="shared" si="126"/>
        <v>0</v>
      </c>
      <c r="AL585">
        <f t="shared" si="126"/>
        <v>0</v>
      </c>
      <c r="AM585">
        <f t="shared" si="126"/>
        <v>0</v>
      </c>
      <c r="AN585">
        <f t="shared" si="125"/>
        <v>0</v>
      </c>
      <c r="AO585">
        <f t="shared" si="125"/>
        <v>0</v>
      </c>
      <c r="AP585">
        <f t="shared" si="125"/>
        <v>0</v>
      </c>
      <c r="AQ585">
        <f t="shared" si="125"/>
        <v>0</v>
      </c>
      <c r="AR585">
        <f t="shared" si="125"/>
        <v>0</v>
      </c>
    </row>
    <row r="586" spans="5:44" x14ac:dyDescent="0.2">
      <c r="E586" s="1">
        <f>moment_rate!$M586</f>
        <v>1.3083129701732542E-2</v>
      </c>
      <c r="F586" s="1">
        <f t="shared" si="128"/>
        <v>1.3491219716475593E-4</v>
      </c>
      <c r="G586">
        <f>moment_rate!I586-0.005</f>
        <v>5.789999999999921</v>
      </c>
      <c r="H586" s="1">
        <f t="shared" si="129"/>
        <v>1.3491219716475593E-4</v>
      </c>
      <c r="I586">
        <f t="shared" si="127"/>
        <v>0</v>
      </c>
      <c r="J586">
        <f t="shared" si="127"/>
        <v>0</v>
      </c>
      <c r="K586">
        <f t="shared" si="127"/>
        <v>0</v>
      </c>
      <c r="L586">
        <f t="shared" si="127"/>
        <v>0</v>
      </c>
      <c r="M586">
        <f t="shared" si="127"/>
        <v>0</v>
      </c>
      <c r="N586">
        <f t="shared" si="127"/>
        <v>0</v>
      </c>
      <c r="O586">
        <f t="shared" si="127"/>
        <v>0</v>
      </c>
      <c r="P586">
        <f t="shared" si="127"/>
        <v>1.3491219716475593E-4</v>
      </c>
      <c r="Q586">
        <f t="shared" si="127"/>
        <v>0</v>
      </c>
      <c r="R586">
        <f t="shared" si="127"/>
        <v>0</v>
      </c>
      <c r="S586">
        <f t="shared" si="127"/>
        <v>0</v>
      </c>
      <c r="T586">
        <f t="shared" si="127"/>
        <v>0</v>
      </c>
      <c r="U586">
        <f t="shared" si="127"/>
        <v>0</v>
      </c>
      <c r="V586">
        <f t="shared" si="127"/>
        <v>0</v>
      </c>
      <c r="W586">
        <f t="shared" si="127"/>
        <v>0</v>
      </c>
      <c r="X586">
        <f t="shared" ref="X586:AM603" si="130">IF(AND($G586&gt;=X$3,$G586&lt;X$4),$F586,0)</f>
        <v>0</v>
      </c>
      <c r="Y586">
        <f t="shared" si="130"/>
        <v>0</v>
      </c>
      <c r="Z586">
        <f t="shared" si="130"/>
        <v>0</v>
      </c>
      <c r="AA586">
        <f t="shared" si="130"/>
        <v>0</v>
      </c>
      <c r="AB586">
        <f t="shared" si="130"/>
        <v>0</v>
      </c>
      <c r="AC586">
        <f t="shared" si="130"/>
        <v>0</v>
      </c>
      <c r="AD586">
        <f t="shared" si="130"/>
        <v>0</v>
      </c>
      <c r="AE586">
        <f t="shared" si="130"/>
        <v>0</v>
      </c>
      <c r="AF586">
        <f t="shared" si="130"/>
        <v>0</v>
      </c>
      <c r="AG586">
        <f t="shared" si="130"/>
        <v>0</v>
      </c>
      <c r="AH586">
        <f t="shared" si="130"/>
        <v>0</v>
      </c>
      <c r="AI586">
        <f t="shared" si="130"/>
        <v>0</v>
      </c>
      <c r="AJ586">
        <f t="shared" si="130"/>
        <v>0</v>
      </c>
      <c r="AK586">
        <f t="shared" si="130"/>
        <v>0</v>
      </c>
      <c r="AL586">
        <f t="shared" si="130"/>
        <v>0</v>
      </c>
      <c r="AM586">
        <f t="shared" si="130"/>
        <v>0</v>
      </c>
      <c r="AN586">
        <f t="shared" si="125"/>
        <v>0</v>
      </c>
      <c r="AO586">
        <f t="shared" si="125"/>
        <v>0</v>
      </c>
      <c r="AP586">
        <f t="shared" si="125"/>
        <v>0</v>
      </c>
      <c r="AQ586">
        <f t="shared" si="125"/>
        <v>0</v>
      </c>
      <c r="AR586">
        <f t="shared" si="125"/>
        <v>0</v>
      </c>
    </row>
    <row r="587" spans="5:44" x14ac:dyDescent="0.2">
      <c r="E587" s="1">
        <f>moment_rate!$M587</f>
        <v>1.2948217504567787E-2</v>
      </c>
      <c r="F587" s="1">
        <f t="shared" si="128"/>
        <v>1.321451460323652E-4</v>
      </c>
      <c r="G587">
        <f>moment_rate!I587-0.005</f>
        <v>5.7999999999999208</v>
      </c>
      <c r="H587" s="1">
        <f t="shared" si="129"/>
        <v>1.321451460323652E-4</v>
      </c>
      <c r="I587">
        <f t="shared" ref="I587:X602" si="131">IF(AND($G587&gt;=I$3,$G587&lt;I$4),$F587,0)</f>
        <v>0</v>
      </c>
      <c r="J587">
        <f t="shared" si="131"/>
        <v>0</v>
      </c>
      <c r="K587">
        <f t="shared" si="131"/>
        <v>0</v>
      </c>
      <c r="L587">
        <f t="shared" si="131"/>
        <v>0</v>
      </c>
      <c r="M587">
        <f t="shared" si="131"/>
        <v>0</v>
      </c>
      <c r="N587">
        <f t="shared" si="131"/>
        <v>0</v>
      </c>
      <c r="O587">
        <f t="shared" si="131"/>
        <v>0</v>
      </c>
      <c r="P587">
        <f t="shared" si="131"/>
        <v>1.321451460323652E-4</v>
      </c>
      <c r="Q587">
        <f t="shared" si="131"/>
        <v>0</v>
      </c>
      <c r="R587">
        <f t="shared" si="131"/>
        <v>0</v>
      </c>
      <c r="S587">
        <f t="shared" si="131"/>
        <v>0</v>
      </c>
      <c r="T587">
        <f t="shared" si="131"/>
        <v>0</v>
      </c>
      <c r="U587">
        <f t="shared" si="131"/>
        <v>0</v>
      </c>
      <c r="V587">
        <f t="shared" si="131"/>
        <v>0</v>
      </c>
      <c r="W587">
        <f t="shared" si="131"/>
        <v>0</v>
      </c>
      <c r="X587">
        <f t="shared" si="131"/>
        <v>0</v>
      </c>
      <c r="Y587">
        <f t="shared" si="130"/>
        <v>0</v>
      </c>
      <c r="Z587">
        <f t="shared" si="130"/>
        <v>0</v>
      </c>
      <c r="AA587">
        <f t="shared" si="130"/>
        <v>0</v>
      </c>
      <c r="AB587">
        <f t="shared" si="130"/>
        <v>0</v>
      </c>
      <c r="AC587">
        <f t="shared" si="130"/>
        <v>0</v>
      </c>
      <c r="AD587">
        <f t="shared" si="130"/>
        <v>0</v>
      </c>
      <c r="AE587">
        <f t="shared" si="130"/>
        <v>0</v>
      </c>
      <c r="AF587">
        <f t="shared" si="130"/>
        <v>0</v>
      </c>
      <c r="AG587">
        <f t="shared" si="130"/>
        <v>0</v>
      </c>
      <c r="AH587">
        <f t="shared" si="130"/>
        <v>0</v>
      </c>
      <c r="AI587">
        <f t="shared" si="130"/>
        <v>0</v>
      </c>
      <c r="AJ587">
        <f t="shared" si="130"/>
        <v>0</v>
      </c>
      <c r="AK587">
        <f t="shared" si="130"/>
        <v>0</v>
      </c>
      <c r="AL587">
        <f t="shared" si="130"/>
        <v>0</v>
      </c>
      <c r="AM587">
        <f t="shared" si="130"/>
        <v>0</v>
      </c>
      <c r="AN587">
        <f t="shared" si="125"/>
        <v>0</v>
      </c>
      <c r="AO587">
        <f t="shared" si="125"/>
        <v>0</v>
      </c>
      <c r="AP587">
        <f t="shared" si="125"/>
        <v>0</v>
      </c>
      <c r="AQ587">
        <f t="shared" si="125"/>
        <v>0</v>
      </c>
      <c r="AR587">
        <f t="shared" si="125"/>
        <v>0</v>
      </c>
    </row>
    <row r="588" spans="5:44" x14ac:dyDescent="0.2">
      <c r="E588" s="1">
        <f>moment_rate!$M588</f>
        <v>1.2816072358535421E-2</v>
      </c>
      <c r="F588" s="1">
        <f t="shared" si="128"/>
        <v>1.2943484715906804E-4</v>
      </c>
      <c r="G588">
        <f>moment_rate!I588-0.005</f>
        <v>5.8099999999999206</v>
      </c>
      <c r="H588" s="1">
        <f t="shared" si="129"/>
        <v>1.2943484715906804E-4</v>
      </c>
      <c r="I588">
        <f t="shared" si="131"/>
        <v>0</v>
      </c>
      <c r="J588">
        <f t="shared" si="131"/>
        <v>0</v>
      </c>
      <c r="K588">
        <f t="shared" si="131"/>
        <v>0</v>
      </c>
      <c r="L588">
        <f t="shared" si="131"/>
        <v>0</v>
      </c>
      <c r="M588">
        <f t="shared" si="131"/>
        <v>0</v>
      </c>
      <c r="N588">
        <f t="shared" si="131"/>
        <v>0</v>
      </c>
      <c r="O588">
        <f t="shared" si="131"/>
        <v>0</v>
      </c>
      <c r="P588">
        <f t="shared" si="131"/>
        <v>0</v>
      </c>
      <c r="Q588">
        <f t="shared" si="131"/>
        <v>1.2943484715906804E-4</v>
      </c>
      <c r="R588">
        <f t="shared" si="131"/>
        <v>0</v>
      </c>
      <c r="S588">
        <f t="shared" si="131"/>
        <v>0</v>
      </c>
      <c r="T588">
        <f t="shared" si="131"/>
        <v>0</v>
      </c>
      <c r="U588">
        <f t="shared" si="131"/>
        <v>0</v>
      </c>
      <c r="V588">
        <f t="shared" si="131"/>
        <v>0</v>
      </c>
      <c r="W588">
        <f t="shared" si="131"/>
        <v>0</v>
      </c>
      <c r="X588">
        <f t="shared" si="131"/>
        <v>0</v>
      </c>
      <c r="Y588">
        <f t="shared" si="130"/>
        <v>0</v>
      </c>
      <c r="Z588">
        <f t="shared" si="130"/>
        <v>0</v>
      </c>
      <c r="AA588">
        <f t="shared" si="130"/>
        <v>0</v>
      </c>
      <c r="AB588">
        <f t="shared" si="130"/>
        <v>0</v>
      </c>
      <c r="AC588">
        <f t="shared" si="130"/>
        <v>0</v>
      </c>
      <c r="AD588">
        <f t="shared" si="130"/>
        <v>0</v>
      </c>
      <c r="AE588">
        <f t="shared" si="130"/>
        <v>0</v>
      </c>
      <c r="AF588">
        <f t="shared" si="130"/>
        <v>0</v>
      </c>
      <c r="AG588">
        <f t="shared" si="130"/>
        <v>0</v>
      </c>
      <c r="AH588">
        <f t="shared" si="130"/>
        <v>0</v>
      </c>
      <c r="AI588">
        <f t="shared" si="130"/>
        <v>0</v>
      </c>
      <c r="AJ588">
        <f t="shared" si="130"/>
        <v>0</v>
      </c>
      <c r="AK588">
        <f t="shared" si="130"/>
        <v>0</v>
      </c>
      <c r="AL588">
        <f t="shared" si="130"/>
        <v>0</v>
      </c>
      <c r="AM588">
        <f t="shared" si="130"/>
        <v>0</v>
      </c>
      <c r="AN588">
        <f t="shared" si="125"/>
        <v>0</v>
      </c>
      <c r="AO588">
        <f t="shared" si="125"/>
        <v>0</v>
      </c>
      <c r="AP588">
        <f t="shared" si="125"/>
        <v>0</v>
      </c>
      <c r="AQ588">
        <f t="shared" si="125"/>
        <v>0</v>
      </c>
      <c r="AR588">
        <f t="shared" si="125"/>
        <v>0</v>
      </c>
    </row>
    <row r="589" spans="5:44" x14ac:dyDescent="0.2">
      <c r="E589" s="1">
        <f>moment_rate!$M589</f>
        <v>1.2686637511376353E-2</v>
      </c>
      <c r="F589" s="1">
        <f t="shared" si="128"/>
        <v>1.2678013655521674E-4</v>
      </c>
      <c r="G589">
        <f>moment_rate!I589-0.005</f>
        <v>5.8199999999999203</v>
      </c>
      <c r="H589" s="1">
        <f t="shared" si="129"/>
        <v>1.2678013655521674E-4</v>
      </c>
      <c r="I589">
        <f t="shared" si="131"/>
        <v>0</v>
      </c>
      <c r="J589">
        <f t="shared" si="131"/>
        <v>0</v>
      </c>
      <c r="K589">
        <f t="shared" si="131"/>
        <v>0</v>
      </c>
      <c r="L589">
        <f t="shared" si="131"/>
        <v>0</v>
      </c>
      <c r="M589">
        <f t="shared" si="131"/>
        <v>0</v>
      </c>
      <c r="N589">
        <f t="shared" si="131"/>
        <v>0</v>
      </c>
      <c r="O589">
        <f t="shared" si="131"/>
        <v>0</v>
      </c>
      <c r="P589">
        <f t="shared" si="131"/>
        <v>0</v>
      </c>
      <c r="Q589">
        <f t="shared" si="131"/>
        <v>1.2678013655521674E-4</v>
      </c>
      <c r="R589">
        <f t="shared" si="131"/>
        <v>0</v>
      </c>
      <c r="S589">
        <f t="shared" si="131"/>
        <v>0</v>
      </c>
      <c r="T589">
        <f t="shared" si="131"/>
        <v>0</v>
      </c>
      <c r="U589">
        <f t="shared" si="131"/>
        <v>0</v>
      </c>
      <c r="V589">
        <f t="shared" si="131"/>
        <v>0</v>
      </c>
      <c r="W589">
        <f t="shared" si="131"/>
        <v>0</v>
      </c>
      <c r="X589">
        <f t="shared" si="131"/>
        <v>0</v>
      </c>
      <c r="Y589">
        <f t="shared" si="130"/>
        <v>0</v>
      </c>
      <c r="Z589">
        <f t="shared" si="130"/>
        <v>0</v>
      </c>
      <c r="AA589">
        <f t="shared" si="130"/>
        <v>0</v>
      </c>
      <c r="AB589">
        <f t="shared" si="130"/>
        <v>0</v>
      </c>
      <c r="AC589">
        <f t="shared" si="130"/>
        <v>0</v>
      </c>
      <c r="AD589">
        <f t="shared" si="130"/>
        <v>0</v>
      </c>
      <c r="AE589">
        <f t="shared" si="130"/>
        <v>0</v>
      </c>
      <c r="AF589">
        <f t="shared" si="130"/>
        <v>0</v>
      </c>
      <c r="AG589">
        <f t="shared" si="130"/>
        <v>0</v>
      </c>
      <c r="AH589">
        <f t="shared" si="130"/>
        <v>0</v>
      </c>
      <c r="AI589">
        <f t="shared" si="130"/>
        <v>0</v>
      </c>
      <c r="AJ589">
        <f t="shared" si="130"/>
        <v>0</v>
      </c>
      <c r="AK589">
        <f t="shared" si="130"/>
        <v>0</v>
      </c>
      <c r="AL589">
        <f t="shared" si="130"/>
        <v>0</v>
      </c>
      <c r="AM589">
        <f t="shared" si="130"/>
        <v>0</v>
      </c>
      <c r="AN589">
        <f t="shared" si="125"/>
        <v>0</v>
      </c>
      <c r="AO589">
        <f t="shared" si="125"/>
        <v>0</v>
      </c>
      <c r="AP589">
        <f t="shared" si="125"/>
        <v>0</v>
      </c>
      <c r="AQ589">
        <f t="shared" si="125"/>
        <v>0</v>
      </c>
      <c r="AR589">
        <f t="shared" si="125"/>
        <v>0</v>
      </c>
    </row>
    <row r="590" spans="5:44" x14ac:dyDescent="0.2">
      <c r="E590" s="1">
        <f>moment_rate!$M590</f>
        <v>1.2559857374821137E-2</v>
      </c>
      <c r="F590" s="1">
        <f t="shared" si="128"/>
        <v>1.2417987410458069E-4</v>
      </c>
      <c r="G590">
        <f>moment_rate!I590-0.005</f>
        <v>5.8299999999999201</v>
      </c>
      <c r="H590" s="1">
        <f t="shared" si="129"/>
        <v>1.2417987410458069E-4</v>
      </c>
      <c r="I590">
        <f t="shared" si="131"/>
        <v>0</v>
      </c>
      <c r="J590">
        <f t="shared" si="131"/>
        <v>0</v>
      </c>
      <c r="K590">
        <f t="shared" si="131"/>
        <v>0</v>
      </c>
      <c r="L590">
        <f t="shared" si="131"/>
        <v>0</v>
      </c>
      <c r="M590">
        <f t="shared" si="131"/>
        <v>0</v>
      </c>
      <c r="N590">
        <f t="shared" si="131"/>
        <v>0</v>
      </c>
      <c r="O590">
        <f t="shared" si="131"/>
        <v>0</v>
      </c>
      <c r="P590">
        <f t="shared" si="131"/>
        <v>0</v>
      </c>
      <c r="Q590">
        <f t="shared" si="131"/>
        <v>1.2417987410458069E-4</v>
      </c>
      <c r="R590">
        <f t="shared" si="131"/>
        <v>0</v>
      </c>
      <c r="S590">
        <f t="shared" si="131"/>
        <v>0</v>
      </c>
      <c r="T590">
        <f t="shared" si="131"/>
        <v>0</v>
      </c>
      <c r="U590">
        <f t="shared" si="131"/>
        <v>0</v>
      </c>
      <c r="V590">
        <f t="shared" si="131"/>
        <v>0</v>
      </c>
      <c r="W590">
        <f t="shared" si="131"/>
        <v>0</v>
      </c>
      <c r="X590">
        <f t="shared" si="131"/>
        <v>0</v>
      </c>
      <c r="Y590">
        <f t="shared" si="130"/>
        <v>0</v>
      </c>
      <c r="Z590">
        <f t="shared" si="130"/>
        <v>0</v>
      </c>
      <c r="AA590">
        <f t="shared" si="130"/>
        <v>0</v>
      </c>
      <c r="AB590">
        <f t="shared" si="130"/>
        <v>0</v>
      </c>
      <c r="AC590">
        <f t="shared" si="130"/>
        <v>0</v>
      </c>
      <c r="AD590">
        <f t="shared" si="130"/>
        <v>0</v>
      </c>
      <c r="AE590">
        <f t="shared" si="130"/>
        <v>0</v>
      </c>
      <c r="AF590">
        <f t="shared" si="130"/>
        <v>0</v>
      </c>
      <c r="AG590">
        <f t="shared" si="130"/>
        <v>0</v>
      </c>
      <c r="AH590">
        <f t="shared" si="130"/>
        <v>0</v>
      </c>
      <c r="AI590">
        <f t="shared" si="130"/>
        <v>0</v>
      </c>
      <c r="AJ590">
        <f t="shared" si="130"/>
        <v>0</v>
      </c>
      <c r="AK590">
        <f t="shared" si="130"/>
        <v>0</v>
      </c>
      <c r="AL590">
        <f t="shared" si="130"/>
        <v>0</v>
      </c>
      <c r="AM590">
        <f t="shared" si="130"/>
        <v>0</v>
      </c>
      <c r="AN590">
        <f t="shared" si="125"/>
        <v>0</v>
      </c>
      <c r="AO590">
        <f t="shared" si="125"/>
        <v>0</v>
      </c>
      <c r="AP590">
        <f t="shared" si="125"/>
        <v>0</v>
      </c>
      <c r="AQ590">
        <f t="shared" si="125"/>
        <v>0</v>
      </c>
      <c r="AR590">
        <f t="shared" si="125"/>
        <v>0</v>
      </c>
    </row>
    <row r="591" spans="5:44" x14ac:dyDescent="0.2">
      <c r="E591" s="1">
        <f>moment_rate!$M591</f>
        <v>1.2435677500716556E-2</v>
      </c>
      <c r="F591" s="1">
        <f t="shared" si="128"/>
        <v>1.2163294307474676E-4</v>
      </c>
      <c r="G591">
        <f>moment_rate!I591-0.005</f>
        <v>5.8399999999999199</v>
      </c>
      <c r="H591" s="1">
        <f t="shared" si="129"/>
        <v>1.2163294307474676E-4</v>
      </c>
      <c r="I591">
        <f t="shared" si="131"/>
        <v>0</v>
      </c>
      <c r="J591">
        <f t="shared" si="131"/>
        <v>0</v>
      </c>
      <c r="K591">
        <f t="shared" si="131"/>
        <v>0</v>
      </c>
      <c r="L591">
        <f t="shared" si="131"/>
        <v>0</v>
      </c>
      <c r="M591">
        <f t="shared" si="131"/>
        <v>0</v>
      </c>
      <c r="N591">
        <f t="shared" si="131"/>
        <v>0</v>
      </c>
      <c r="O591">
        <f t="shared" si="131"/>
        <v>0</v>
      </c>
      <c r="P591">
        <f t="shared" si="131"/>
        <v>0</v>
      </c>
      <c r="Q591">
        <f t="shared" si="131"/>
        <v>1.2163294307474676E-4</v>
      </c>
      <c r="R591">
        <f t="shared" si="131"/>
        <v>0</v>
      </c>
      <c r="S591">
        <f t="shared" si="131"/>
        <v>0</v>
      </c>
      <c r="T591">
        <f t="shared" si="131"/>
        <v>0</v>
      </c>
      <c r="U591">
        <f t="shared" si="131"/>
        <v>0</v>
      </c>
      <c r="V591">
        <f t="shared" si="131"/>
        <v>0</v>
      </c>
      <c r="W591">
        <f t="shared" si="131"/>
        <v>0</v>
      </c>
      <c r="X591">
        <f t="shared" si="131"/>
        <v>0</v>
      </c>
      <c r="Y591">
        <f t="shared" si="130"/>
        <v>0</v>
      </c>
      <c r="Z591">
        <f t="shared" si="130"/>
        <v>0</v>
      </c>
      <c r="AA591">
        <f t="shared" si="130"/>
        <v>0</v>
      </c>
      <c r="AB591">
        <f t="shared" si="130"/>
        <v>0</v>
      </c>
      <c r="AC591">
        <f t="shared" si="130"/>
        <v>0</v>
      </c>
      <c r="AD591">
        <f t="shared" si="130"/>
        <v>0</v>
      </c>
      <c r="AE591">
        <f t="shared" si="130"/>
        <v>0</v>
      </c>
      <c r="AF591">
        <f t="shared" si="130"/>
        <v>0</v>
      </c>
      <c r="AG591">
        <f t="shared" si="130"/>
        <v>0</v>
      </c>
      <c r="AH591">
        <f t="shared" si="130"/>
        <v>0</v>
      </c>
      <c r="AI591">
        <f t="shared" si="130"/>
        <v>0</v>
      </c>
      <c r="AJ591">
        <f t="shared" si="130"/>
        <v>0</v>
      </c>
      <c r="AK591">
        <f t="shared" si="130"/>
        <v>0</v>
      </c>
      <c r="AL591">
        <f t="shared" si="130"/>
        <v>0</v>
      </c>
      <c r="AM591">
        <f t="shared" si="130"/>
        <v>0</v>
      </c>
      <c r="AN591">
        <f t="shared" si="125"/>
        <v>0</v>
      </c>
      <c r="AO591">
        <f t="shared" si="125"/>
        <v>0</v>
      </c>
      <c r="AP591">
        <f t="shared" si="125"/>
        <v>0</v>
      </c>
      <c r="AQ591">
        <f t="shared" si="125"/>
        <v>0</v>
      </c>
      <c r="AR591">
        <f t="shared" si="125"/>
        <v>0</v>
      </c>
    </row>
    <row r="592" spans="5:44" x14ac:dyDescent="0.2">
      <c r="E592" s="1">
        <f>moment_rate!$M592</f>
        <v>1.2314044557641809E-2</v>
      </c>
      <c r="F592" s="1">
        <f t="shared" si="128"/>
        <v>1.1913824963750465E-4</v>
      </c>
      <c r="G592">
        <f>moment_rate!I592-0.005</f>
        <v>5.8499999999999197</v>
      </c>
      <c r="H592" s="1">
        <f t="shared" si="129"/>
        <v>1.1913824963750465E-4</v>
      </c>
      <c r="I592">
        <f t="shared" si="131"/>
        <v>0</v>
      </c>
      <c r="J592">
        <f t="shared" si="131"/>
        <v>0</v>
      </c>
      <c r="K592">
        <f t="shared" si="131"/>
        <v>0</v>
      </c>
      <c r="L592">
        <f t="shared" si="131"/>
        <v>0</v>
      </c>
      <c r="M592">
        <f t="shared" si="131"/>
        <v>0</v>
      </c>
      <c r="N592">
        <f t="shared" si="131"/>
        <v>0</v>
      </c>
      <c r="O592">
        <f t="shared" si="131"/>
        <v>0</v>
      </c>
      <c r="P592">
        <f t="shared" si="131"/>
        <v>0</v>
      </c>
      <c r="Q592">
        <f t="shared" si="131"/>
        <v>1.1913824963750465E-4</v>
      </c>
      <c r="R592">
        <f t="shared" si="131"/>
        <v>0</v>
      </c>
      <c r="S592">
        <f t="shared" si="131"/>
        <v>0</v>
      </c>
      <c r="T592">
        <f t="shared" si="131"/>
        <v>0</v>
      </c>
      <c r="U592">
        <f t="shared" si="131"/>
        <v>0</v>
      </c>
      <c r="V592">
        <f t="shared" si="131"/>
        <v>0</v>
      </c>
      <c r="W592">
        <f t="shared" si="131"/>
        <v>0</v>
      </c>
      <c r="X592">
        <f t="shared" si="131"/>
        <v>0</v>
      </c>
      <c r="Y592">
        <f t="shared" si="130"/>
        <v>0</v>
      </c>
      <c r="Z592">
        <f t="shared" si="130"/>
        <v>0</v>
      </c>
      <c r="AA592">
        <f t="shared" si="130"/>
        <v>0</v>
      </c>
      <c r="AB592">
        <f t="shared" si="130"/>
        <v>0</v>
      </c>
      <c r="AC592">
        <f t="shared" si="130"/>
        <v>0</v>
      </c>
      <c r="AD592">
        <f t="shared" si="130"/>
        <v>0</v>
      </c>
      <c r="AE592">
        <f t="shared" si="130"/>
        <v>0</v>
      </c>
      <c r="AF592">
        <f t="shared" si="130"/>
        <v>0</v>
      </c>
      <c r="AG592">
        <f t="shared" si="130"/>
        <v>0</v>
      </c>
      <c r="AH592">
        <f t="shared" si="130"/>
        <v>0</v>
      </c>
      <c r="AI592">
        <f t="shared" si="130"/>
        <v>0</v>
      </c>
      <c r="AJ592">
        <f t="shared" si="130"/>
        <v>0</v>
      </c>
      <c r="AK592">
        <f t="shared" si="130"/>
        <v>0</v>
      </c>
      <c r="AL592">
        <f t="shared" si="130"/>
        <v>0</v>
      </c>
      <c r="AM592">
        <f t="shared" si="130"/>
        <v>0</v>
      </c>
      <c r="AN592">
        <f t="shared" si="125"/>
        <v>0</v>
      </c>
      <c r="AO592">
        <f t="shared" si="125"/>
        <v>0</v>
      </c>
      <c r="AP592">
        <f t="shared" si="125"/>
        <v>0</v>
      </c>
      <c r="AQ592">
        <f t="shared" si="125"/>
        <v>0</v>
      </c>
      <c r="AR592">
        <f t="shared" si="125"/>
        <v>0</v>
      </c>
    </row>
    <row r="593" spans="5:44" x14ac:dyDescent="0.2">
      <c r="E593" s="1">
        <f>moment_rate!$M593</f>
        <v>1.2194906308004305E-2</v>
      </c>
      <c r="F593" s="1">
        <f t="shared" si="128"/>
        <v>1.1669472239905603E-4</v>
      </c>
      <c r="G593">
        <f>moment_rate!I593-0.005</f>
        <v>5.8599999999999195</v>
      </c>
      <c r="H593" s="1">
        <f t="shared" si="129"/>
        <v>1.1669472239905603E-4</v>
      </c>
      <c r="I593">
        <f t="shared" si="131"/>
        <v>0</v>
      </c>
      <c r="J593">
        <f t="shared" si="131"/>
        <v>0</v>
      </c>
      <c r="K593">
        <f t="shared" si="131"/>
        <v>0</v>
      </c>
      <c r="L593">
        <f t="shared" si="131"/>
        <v>0</v>
      </c>
      <c r="M593">
        <f t="shared" si="131"/>
        <v>0</v>
      </c>
      <c r="N593">
        <f t="shared" si="131"/>
        <v>0</v>
      </c>
      <c r="O593">
        <f t="shared" si="131"/>
        <v>0</v>
      </c>
      <c r="P593">
        <f t="shared" si="131"/>
        <v>0</v>
      </c>
      <c r="Q593">
        <f t="shared" si="131"/>
        <v>1.1669472239905603E-4</v>
      </c>
      <c r="R593">
        <f t="shared" si="131"/>
        <v>0</v>
      </c>
      <c r="S593">
        <f t="shared" si="131"/>
        <v>0</v>
      </c>
      <c r="T593">
        <f t="shared" si="131"/>
        <v>0</v>
      </c>
      <c r="U593">
        <f t="shared" si="131"/>
        <v>0</v>
      </c>
      <c r="V593">
        <f t="shared" si="131"/>
        <v>0</v>
      </c>
      <c r="W593">
        <f t="shared" si="131"/>
        <v>0</v>
      </c>
      <c r="X593">
        <f t="shared" si="131"/>
        <v>0</v>
      </c>
      <c r="Y593">
        <f t="shared" si="130"/>
        <v>0</v>
      </c>
      <c r="Z593">
        <f t="shared" si="130"/>
        <v>0</v>
      </c>
      <c r="AA593">
        <f t="shared" si="130"/>
        <v>0</v>
      </c>
      <c r="AB593">
        <f t="shared" si="130"/>
        <v>0</v>
      </c>
      <c r="AC593">
        <f t="shared" si="130"/>
        <v>0</v>
      </c>
      <c r="AD593">
        <f t="shared" si="130"/>
        <v>0</v>
      </c>
      <c r="AE593">
        <f t="shared" si="130"/>
        <v>0</v>
      </c>
      <c r="AF593">
        <f t="shared" si="130"/>
        <v>0</v>
      </c>
      <c r="AG593">
        <f t="shared" si="130"/>
        <v>0</v>
      </c>
      <c r="AH593">
        <f t="shared" si="130"/>
        <v>0</v>
      </c>
      <c r="AI593">
        <f t="shared" si="130"/>
        <v>0</v>
      </c>
      <c r="AJ593">
        <f t="shared" si="130"/>
        <v>0</v>
      </c>
      <c r="AK593">
        <f t="shared" si="130"/>
        <v>0</v>
      </c>
      <c r="AL593">
        <f t="shared" si="130"/>
        <v>0</v>
      </c>
      <c r="AM593">
        <f t="shared" si="130"/>
        <v>0</v>
      </c>
      <c r="AN593">
        <f t="shared" si="125"/>
        <v>0</v>
      </c>
      <c r="AO593">
        <f t="shared" si="125"/>
        <v>0</v>
      </c>
      <c r="AP593">
        <f t="shared" si="125"/>
        <v>0</v>
      </c>
      <c r="AQ593">
        <f t="shared" si="125"/>
        <v>0</v>
      </c>
      <c r="AR593">
        <f t="shared" si="125"/>
        <v>0</v>
      </c>
    </row>
    <row r="594" spans="5:44" x14ac:dyDescent="0.2">
      <c r="E594" s="1">
        <f>moment_rate!$M594</f>
        <v>1.2078211585605248E-2</v>
      </c>
      <c r="F594" s="1">
        <f t="shared" si="128"/>
        <v>1.1430131193992249E-4</v>
      </c>
      <c r="G594">
        <f>moment_rate!I594-0.005</f>
        <v>5.8699999999999193</v>
      </c>
      <c r="H594" s="1">
        <f t="shared" si="129"/>
        <v>1.1430131193992249E-4</v>
      </c>
      <c r="I594">
        <f t="shared" si="131"/>
        <v>0</v>
      </c>
      <c r="J594">
        <f t="shared" si="131"/>
        <v>0</v>
      </c>
      <c r="K594">
        <f t="shared" si="131"/>
        <v>0</v>
      </c>
      <c r="L594">
        <f t="shared" si="131"/>
        <v>0</v>
      </c>
      <c r="M594">
        <f t="shared" si="131"/>
        <v>0</v>
      </c>
      <c r="N594">
        <f t="shared" si="131"/>
        <v>0</v>
      </c>
      <c r="O594">
        <f t="shared" si="131"/>
        <v>0</v>
      </c>
      <c r="P594">
        <f t="shared" si="131"/>
        <v>0</v>
      </c>
      <c r="Q594">
        <f t="shared" si="131"/>
        <v>1.1430131193992249E-4</v>
      </c>
      <c r="R594">
        <f t="shared" si="131"/>
        <v>0</v>
      </c>
      <c r="S594">
        <f t="shared" si="131"/>
        <v>0</v>
      </c>
      <c r="T594">
        <f t="shared" si="131"/>
        <v>0</v>
      </c>
      <c r="U594">
        <f t="shared" si="131"/>
        <v>0</v>
      </c>
      <c r="V594">
        <f t="shared" si="131"/>
        <v>0</v>
      </c>
      <c r="W594">
        <f t="shared" si="131"/>
        <v>0</v>
      </c>
      <c r="X594">
        <f t="shared" si="131"/>
        <v>0</v>
      </c>
      <c r="Y594">
        <f t="shared" si="130"/>
        <v>0</v>
      </c>
      <c r="Z594">
        <f t="shared" si="130"/>
        <v>0</v>
      </c>
      <c r="AA594">
        <f t="shared" si="130"/>
        <v>0</v>
      </c>
      <c r="AB594">
        <f t="shared" si="130"/>
        <v>0</v>
      </c>
      <c r="AC594">
        <f t="shared" si="130"/>
        <v>0</v>
      </c>
      <c r="AD594">
        <f t="shared" si="130"/>
        <v>0</v>
      </c>
      <c r="AE594">
        <f t="shared" si="130"/>
        <v>0</v>
      </c>
      <c r="AF594">
        <f t="shared" si="130"/>
        <v>0</v>
      </c>
      <c r="AG594">
        <f t="shared" si="130"/>
        <v>0</v>
      </c>
      <c r="AH594">
        <f t="shared" si="130"/>
        <v>0</v>
      </c>
      <c r="AI594">
        <f t="shared" si="130"/>
        <v>0</v>
      </c>
      <c r="AJ594">
        <f t="shared" si="130"/>
        <v>0</v>
      </c>
      <c r="AK594">
        <f t="shared" si="130"/>
        <v>0</v>
      </c>
      <c r="AL594">
        <f t="shared" si="130"/>
        <v>0</v>
      </c>
      <c r="AM594">
        <f t="shared" si="130"/>
        <v>0</v>
      </c>
      <c r="AN594">
        <f t="shared" si="125"/>
        <v>0</v>
      </c>
      <c r="AO594">
        <f t="shared" si="125"/>
        <v>0</v>
      </c>
      <c r="AP594">
        <f t="shared" si="125"/>
        <v>0</v>
      </c>
      <c r="AQ594">
        <f t="shared" si="125"/>
        <v>0</v>
      </c>
      <c r="AR594">
        <f t="shared" si="125"/>
        <v>0</v>
      </c>
    </row>
    <row r="595" spans="5:44" x14ac:dyDescent="0.2">
      <c r="E595" s="1">
        <f>moment_rate!$M595</f>
        <v>1.1963910273665326E-2</v>
      </c>
      <c r="F595" s="1">
        <f t="shared" si="128"/>
        <v>1.1195699036422972E-4</v>
      </c>
      <c r="G595">
        <f>moment_rate!I595-0.005</f>
        <v>5.8799999999999191</v>
      </c>
      <c r="H595" s="1">
        <f t="shared" si="129"/>
        <v>1.1195699036422972E-4</v>
      </c>
      <c r="I595">
        <f t="shared" si="131"/>
        <v>0</v>
      </c>
      <c r="J595">
        <f t="shared" si="131"/>
        <v>0</v>
      </c>
      <c r="K595">
        <f t="shared" si="131"/>
        <v>0</v>
      </c>
      <c r="L595">
        <f t="shared" si="131"/>
        <v>0</v>
      </c>
      <c r="M595">
        <f t="shared" si="131"/>
        <v>0</v>
      </c>
      <c r="N595">
        <f t="shared" si="131"/>
        <v>0</v>
      </c>
      <c r="O595">
        <f t="shared" si="131"/>
        <v>0</v>
      </c>
      <c r="P595">
        <f t="shared" si="131"/>
        <v>0</v>
      </c>
      <c r="Q595">
        <f t="shared" si="131"/>
        <v>1.1195699036422972E-4</v>
      </c>
      <c r="R595">
        <f t="shared" si="131"/>
        <v>0</v>
      </c>
      <c r="S595">
        <f t="shared" si="131"/>
        <v>0</v>
      </c>
      <c r="T595">
        <f t="shared" si="131"/>
        <v>0</v>
      </c>
      <c r="U595">
        <f t="shared" si="131"/>
        <v>0</v>
      </c>
      <c r="V595">
        <f t="shared" si="131"/>
        <v>0</v>
      </c>
      <c r="W595">
        <f t="shared" si="131"/>
        <v>0</v>
      </c>
      <c r="X595">
        <f t="shared" si="131"/>
        <v>0</v>
      </c>
      <c r="Y595">
        <f t="shared" si="130"/>
        <v>0</v>
      </c>
      <c r="Z595">
        <f t="shared" si="130"/>
        <v>0</v>
      </c>
      <c r="AA595">
        <f t="shared" si="130"/>
        <v>0</v>
      </c>
      <c r="AB595">
        <f t="shared" si="130"/>
        <v>0</v>
      </c>
      <c r="AC595">
        <f t="shared" si="130"/>
        <v>0</v>
      </c>
      <c r="AD595">
        <f t="shared" si="130"/>
        <v>0</v>
      </c>
      <c r="AE595">
        <f t="shared" si="130"/>
        <v>0</v>
      </c>
      <c r="AF595">
        <f t="shared" si="130"/>
        <v>0</v>
      </c>
      <c r="AG595">
        <f t="shared" si="130"/>
        <v>0</v>
      </c>
      <c r="AH595">
        <f t="shared" si="130"/>
        <v>0</v>
      </c>
      <c r="AI595">
        <f t="shared" si="130"/>
        <v>0</v>
      </c>
      <c r="AJ595">
        <f t="shared" si="130"/>
        <v>0</v>
      </c>
      <c r="AK595">
        <f t="shared" si="130"/>
        <v>0</v>
      </c>
      <c r="AL595">
        <f t="shared" si="130"/>
        <v>0</v>
      </c>
      <c r="AM595">
        <f t="shared" si="130"/>
        <v>0</v>
      </c>
      <c r="AN595">
        <f t="shared" si="125"/>
        <v>0</v>
      </c>
      <c r="AO595">
        <f t="shared" si="125"/>
        <v>0</v>
      </c>
      <c r="AP595">
        <f t="shared" si="125"/>
        <v>0</v>
      </c>
      <c r="AQ595">
        <f t="shared" si="125"/>
        <v>0</v>
      </c>
      <c r="AR595">
        <f t="shared" si="125"/>
        <v>0</v>
      </c>
    </row>
    <row r="596" spans="5:44" x14ac:dyDescent="0.2">
      <c r="E596" s="1">
        <f>moment_rate!$M596</f>
        <v>1.1851953283301096E-2</v>
      </c>
      <c r="F596" s="1">
        <f t="shared" si="128"/>
        <v>1.0966075085826199E-4</v>
      </c>
      <c r="G596">
        <f>moment_rate!I596-0.005</f>
        <v>5.8899999999999189</v>
      </c>
      <c r="H596" s="1">
        <f t="shared" si="129"/>
        <v>1.0966075085826199E-4</v>
      </c>
      <c r="I596">
        <f t="shared" si="131"/>
        <v>0</v>
      </c>
      <c r="J596">
        <f t="shared" si="131"/>
        <v>0</v>
      </c>
      <c r="K596">
        <f t="shared" si="131"/>
        <v>0</v>
      </c>
      <c r="L596">
        <f t="shared" si="131"/>
        <v>0</v>
      </c>
      <c r="M596">
        <f t="shared" si="131"/>
        <v>0</v>
      </c>
      <c r="N596">
        <f t="shared" si="131"/>
        <v>0</v>
      </c>
      <c r="O596">
        <f t="shared" si="131"/>
        <v>0</v>
      </c>
      <c r="P596">
        <f t="shared" si="131"/>
        <v>0</v>
      </c>
      <c r="Q596">
        <f t="shared" si="131"/>
        <v>1.0966075085826199E-4</v>
      </c>
      <c r="R596">
        <f t="shared" si="131"/>
        <v>0</v>
      </c>
      <c r="S596">
        <f t="shared" si="131"/>
        <v>0</v>
      </c>
      <c r="T596">
        <f t="shared" si="131"/>
        <v>0</v>
      </c>
      <c r="U596">
        <f t="shared" si="131"/>
        <v>0</v>
      </c>
      <c r="V596">
        <f t="shared" si="131"/>
        <v>0</v>
      </c>
      <c r="W596">
        <f t="shared" si="131"/>
        <v>0</v>
      </c>
      <c r="X596">
        <f t="shared" si="131"/>
        <v>0</v>
      </c>
      <c r="Y596">
        <f t="shared" si="130"/>
        <v>0</v>
      </c>
      <c r="Z596">
        <f t="shared" si="130"/>
        <v>0</v>
      </c>
      <c r="AA596">
        <f t="shared" si="130"/>
        <v>0</v>
      </c>
      <c r="AB596">
        <f t="shared" si="130"/>
        <v>0</v>
      </c>
      <c r="AC596">
        <f t="shared" si="130"/>
        <v>0</v>
      </c>
      <c r="AD596">
        <f t="shared" si="130"/>
        <v>0</v>
      </c>
      <c r="AE596">
        <f t="shared" si="130"/>
        <v>0</v>
      </c>
      <c r="AF596">
        <f t="shared" si="130"/>
        <v>0</v>
      </c>
      <c r="AG596">
        <f t="shared" si="130"/>
        <v>0</v>
      </c>
      <c r="AH596">
        <f t="shared" si="130"/>
        <v>0</v>
      </c>
      <c r="AI596">
        <f t="shared" si="130"/>
        <v>0</v>
      </c>
      <c r="AJ596">
        <f t="shared" si="130"/>
        <v>0</v>
      </c>
      <c r="AK596">
        <f t="shared" si="130"/>
        <v>0</v>
      </c>
      <c r="AL596">
        <f t="shared" si="130"/>
        <v>0</v>
      </c>
      <c r="AM596">
        <f t="shared" si="130"/>
        <v>0</v>
      </c>
      <c r="AN596">
        <f t="shared" si="125"/>
        <v>0</v>
      </c>
      <c r="AO596">
        <f t="shared" si="125"/>
        <v>0</v>
      </c>
      <c r="AP596">
        <f t="shared" si="125"/>
        <v>0</v>
      </c>
      <c r="AQ596">
        <f t="shared" si="125"/>
        <v>0</v>
      </c>
      <c r="AR596">
        <f t="shared" si="125"/>
        <v>0</v>
      </c>
    </row>
    <row r="597" spans="5:44" x14ac:dyDescent="0.2">
      <c r="E597" s="1">
        <f>moment_rate!$M597</f>
        <v>1.1742292532442834E-2</v>
      </c>
      <c r="F597" s="1">
        <f t="shared" si="128"/>
        <v>1.0741160725806671E-4</v>
      </c>
      <c r="G597">
        <f>moment_rate!I597-0.005</f>
        <v>5.8999999999999186</v>
      </c>
      <c r="H597" s="1">
        <f t="shared" si="129"/>
        <v>1.0741160725806671E-4</v>
      </c>
      <c r="I597">
        <f t="shared" si="131"/>
        <v>0</v>
      </c>
      <c r="J597">
        <f t="shared" si="131"/>
        <v>0</v>
      </c>
      <c r="K597">
        <f t="shared" si="131"/>
        <v>0</v>
      </c>
      <c r="L597">
        <f t="shared" si="131"/>
        <v>0</v>
      </c>
      <c r="M597">
        <f t="shared" si="131"/>
        <v>0</v>
      </c>
      <c r="N597">
        <f t="shared" si="131"/>
        <v>0</v>
      </c>
      <c r="O597">
        <f t="shared" si="131"/>
        <v>0</v>
      </c>
      <c r="P597">
        <f t="shared" si="131"/>
        <v>0</v>
      </c>
      <c r="Q597">
        <f t="shared" si="131"/>
        <v>1.0741160725806671E-4</v>
      </c>
      <c r="R597">
        <f t="shared" si="131"/>
        <v>0</v>
      </c>
      <c r="S597">
        <f t="shared" si="131"/>
        <v>0</v>
      </c>
      <c r="T597">
        <f t="shared" si="131"/>
        <v>0</v>
      </c>
      <c r="U597">
        <f t="shared" si="131"/>
        <v>0</v>
      </c>
      <c r="V597">
        <f t="shared" si="131"/>
        <v>0</v>
      </c>
      <c r="W597">
        <f t="shared" si="131"/>
        <v>0</v>
      </c>
      <c r="X597">
        <f t="shared" si="131"/>
        <v>0</v>
      </c>
      <c r="Y597">
        <f t="shared" si="130"/>
        <v>0</v>
      </c>
      <c r="Z597">
        <f t="shared" si="130"/>
        <v>0</v>
      </c>
      <c r="AA597">
        <f t="shared" si="130"/>
        <v>0</v>
      </c>
      <c r="AB597">
        <f t="shared" si="130"/>
        <v>0</v>
      </c>
      <c r="AC597">
        <f t="shared" si="130"/>
        <v>0</v>
      </c>
      <c r="AD597">
        <f t="shared" si="130"/>
        <v>0</v>
      </c>
      <c r="AE597">
        <f t="shared" si="130"/>
        <v>0</v>
      </c>
      <c r="AF597">
        <f t="shared" si="130"/>
        <v>0</v>
      </c>
      <c r="AG597">
        <f t="shared" si="130"/>
        <v>0</v>
      </c>
      <c r="AH597">
        <f t="shared" si="130"/>
        <v>0</v>
      </c>
      <c r="AI597">
        <f t="shared" si="130"/>
        <v>0</v>
      </c>
      <c r="AJ597">
        <f t="shared" si="130"/>
        <v>0</v>
      </c>
      <c r="AK597">
        <f t="shared" si="130"/>
        <v>0</v>
      </c>
      <c r="AL597">
        <f t="shared" si="130"/>
        <v>0</v>
      </c>
      <c r="AM597">
        <f t="shared" si="130"/>
        <v>0</v>
      </c>
      <c r="AN597">
        <f t="shared" si="125"/>
        <v>0</v>
      </c>
      <c r="AO597">
        <f t="shared" si="125"/>
        <v>0</v>
      </c>
      <c r="AP597">
        <f t="shared" si="125"/>
        <v>0</v>
      </c>
      <c r="AQ597">
        <f t="shared" si="125"/>
        <v>0</v>
      </c>
      <c r="AR597">
        <f t="shared" si="125"/>
        <v>0</v>
      </c>
    </row>
    <row r="598" spans="5:44" x14ac:dyDescent="0.2">
      <c r="E598" s="1">
        <f>moment_rate!$M598</f>
        <v>1.1634880925184768E-2</v>
      </c>
      <c r="F598" s="1">
        <f t="shared" si="128"/>
        <v>1.0520859362593039E-4</v>
      </c>
      <c r="G598">
        <f>moment_rate!I598-0.005</f>
        <v>5.9099999999999184</v>
      </c>
      <c r="H598" s="1">
        <f t="shared" si="129"/>
        <v>1.0520859362593039E-4</v>
      </c>
      <c r="I598">
        <f t="shared" si="131"/>
        <v>0</v>
      </c>
      <c r="J598">
        <f t="shared" si="131"/>
        <v>0</v>
      </c>
      <c r="K598">
        <f t="shared" si="131"/>
        <v>0</v>
      </c>
      <c r="L598">
        <f t="shared" si="131"/>
        <v>0</v>
      </c>
      <c r="M598">
        <f t="shared" si="131"/>
        <v>0</v>
      </c>
      <c r="N598">
        <f t="shared" si="131"/>
        <v>0</v>
      </c>
      <c r="O598">
        <f t="shared" si="131"/>
        <v>0</v>
      </c>
      <c r="P598">
        <f t="shared" si="131"/>
        <v>0</v>
      </c>
      <c r="Q598">
        <f t="shared" si="131"/>
        <v>0</v>
      </c>
      <c r="R598">
        <f t="shared" si="131"/>
        <v>1.0520859362593039E-4</v>
      </c>
      <c r="S598">
        <f t="shared" si="131"/>
        <v>0</v>
      </c>
      <c r="T598">
        <f t="shared" si="131"/>
        <v>0</v>
      </c>
      <c r="U598">
        <f t="shared" si="131"/>
        <v>0</v>
      </c>
      <c r="V598">
        <f t="shared" si="131"/>
        <v>0</v>
      </c>
      <c r="W598">
        <f t="shared" si="131"/>
        <v>0</v>
      </c>
      <c r="X598">
        <f t="shared" si="131"/>
        <v>0</v>
      </c>
      <c r="Y598">
        <f t="shared" si="130"/>
        <v>0</v>
      </c>
      <c r="Z598">
        <f t="shared" si="130"/>
        <v>0</v>
      </c>
      <c r="AA598">
        <f t="shared" si="130"/>
        <v>0</v>
      </c>
      <c r="AB598">
        <f t="shared" si="130"/>
        <v>0</v>
      </c>
      <c r="AC598">
        <f t="shared" si="130"/>
        <v>0</v>
      </c>
      <c r="AD598">
        <f t="shared" si="130"/>
        <v>0</v>
      </c>
      <c r="AE598">
        <f t="shared" si="130"/>
        <v>0</v>
      </c>
      <c r="AF598">
        <f t="shared" si="130"/>
        <v>0</v>
      </c>
      <c r="AG598">
        <f t="shared" si="130"/>
        <v>0</v>
      </c>
      <c r="AH598">
        <f t="shared" si="130"/>
        <v>0</v>
      </c>
      <c r="AI598">
        <f t="shared" si="130"/>
        <v>0</v>
      </c>
      <c r="AJ598">
        <f t="shared" si="130"/>
        <v>0</v>
      </c>
      <c r="AK598">
        <f t="shared" si="130"/>
        <v>0</v>
      </c>
      <c r="AL598">
        <f t="shared" si="130"/>
        <v>0</v>
      </c>
      <c r="AM598">
        <f t="shared" si="130"/>
        <v>0</v>
      </c>
      <c r="AN598">
        <f t="shared" si="125"/>
        <v>0</v>
      </c>
      <c r="AO598">
        <f t="shared" si="125"/>
        <v>0</v>
      </c>
      <c r="AP598">
        <f t="shared" si="125"/>
        <v>0</v>
      </c>
      <c r="AQ598">
        <f t="shared" si="125"/>
        <v>0</v>
      </c>
      <c r="AR598">
        <f t="shared" si="125"/>
        <v>0</v>
      </c>
    </row>
    <row r="599" spans="5:44" x14ac:dyDescent="0.2">
      <c r="E599" s="1">
        <f>moment_rate!$M599</f>
        <v>1.1529672331558837E-2</v>
      </c>
      <c r="F599" s="1">
        <f t="shared" si="128"/>
        <v>1.0305076383552991E-4</v>
      </c>
      <c r="G599">
        <f>moment_rate!I599-0.005</f>
        <v>5.9199999999999182</v>
      </c>
      <c r="H599" s="1">
        <f t="shared" si="129"/>
        <v>1.0305076383552991E-4</v>
      </c>
      <c r="I599">
        <f t="shared" si="131"/>
        <v>0</v>
      </c>
      <c r="J599">
        <f t="shared" si="131"/>
        <v>0</v>
      </c>
      <c r="K599">
        <f t="shared" si="131"/>
        <v>0</v>
      </c>
      <c r="L599">
        <f t="shared" si="131"/>
        <v>0</v>
      </c>
      <c r="M599">
        <f t="shared" si="131"/>
        <v>0</v>
      </c>
      <c r="N599">
        <f t="shared" si="131"/>
        <v>0</v>
      </c>
      <c r="O599">
        <f t="shared" si="131"/>
        <v>0</v>
      </c>
      <c r="P599">
        <f t="shared" si="131"/>
        <v>0</v>
      </c>
      <c r="Q599">
        <f t="shared" si="131"/>
        <v>0</v>
      </c>
      <c r="R599">
        <f t="shared" si="131"/>
        <v>1.0305076383552991E-4</v>
      </c>
      <c r="S599">
        <f t="shared" si="131"/>
        <v>0</v>
      </c>
      <c r="T599">
        <f t="shared" si="131"/>
        <v>0</v>
      </c>
      <c r="U599">
        <f t="shared" si="131"/>
        <v>0</v>
      </c>
      <c r="V599">
        <f t="shared" si="131"/>
        <v>0</v>
      </c>
      <c r="W599">
        <f t="shared" si="131"/>
        <v>0</v>
      </c>
      <c r="X599">
        <f t="shared" si="131"/>
        <v>0</v>
      </c>
      <c r="Y599">
        <f t="shared" si="130"/>
        <v>0</v>
      </c>
      <c r="Z599">
        <f t="shared" si="130"/>
        <v>0</v>
      </c>
      <c r="AA599">
        <f t="shared" si="130"/>
        <v>0</v>
      </c>
      <c r="AB599">
        <f t="shared" si="130"/>
        <v>0</v>
      </c>
      <c r="AC599">
        <f t="shared" si="130"/>
        <v>0</v>
      </c>
      <c r="AD599">
        <f t="shared" si="130"/>
        <v>0</v>
      </c>
      <c r="AE599">
        <f t="shared" si="130"/>
        <v>0</v>
      </c>
      <c r="AF599">
        <f t="shared" si="130"/>
        <v>0</v>
      </c>
      <c r="AG599">
        <f t="shared" si="130"/>
        <v>0</v>
      </c>
      <c r="AH599">
        <f t="shared" si="130"/>
        <v>0</v>
      </c>
      <c r="AI599">
        <f t="shared" si="130"/>
        <v>0</v>
      </c>
      <c r="AJ599">
        <f t="shared" si="130"/>
        <v>0</v>
      </c>
      <c r="AK599">
        <f t="shared" si="130"/>
        <v>0</v>
      </c>
      <c r="AL599">
        <f t="shared" si="130"/>
        <v>0</v>
      </c>
      <c r="AM599">
        <f t="shared" si="130"/>
        <v>0</v>
      </c>
      <c r="AN599">
        <f t="shared" si="125"/>
        <v>0</v>
      </c>
      <c r="AO599">
        <f t="shared" si="125"/>
        <v>0</v>
      </c>
      <c r="AP599">
        <f t="shared" si="125"/>
        <v>0</v>
      </c>
      <c r="AQ599">
        <f t="shared" si="125"/>
        <v>0</v>
      </c>
      <c r="AR599">
        <f t="shared" si="125"/>
        <v>0</v>
      </c>
    </row>
    <row r="600" spans="5:44" x14ac:dyDescent="0.2">
      <c r="E600" s="1">
        <f>moment_rate!$M600</f>
        <v>1.1426621567723307E-2</v>
      </c>
      <c r="F600" s="1">
        <f t="shared" si="128"/>
        <v>1.0093719116561865E-4</v>
      </c>
      <c r="G600">
        <f>moment_rate!I600-0.005</f>
        <v>5.929999999999918</v>
      </c>
      <c r="H600" s="1">
        <f t="shared" si="129"/>
        <v>1.0093719116561865E-4</v>
      </c>
      <c r="I600">
        <f t="shared" si="131"/>
        <v>0</v>
      </c>
      <c r="J600">
        <f t="shared" si="131"/>
        <v>0</v>
      </c>
      <c r="K600">
        <f t="shared" si="131"/>
        <v>0</v>
      </c>
      <c r="L600">
        <f t="shared" si="131"/>
        <v>0</v>
      </c>
      <c r="M600">
        <f t="shared" si="131"/>
        <v>0</v>
      </c>
      <c r="N600">
        <f t="shared" si="131"/>
        <v>0</v>
      </c>
      <c r="O600">
        <f t="shared" si="131"/>
        <v>0</v>
      </c>
      <c r="P600">
        <f t="shared" si="131"/>
        <v>0</v>
      </c>
      <c r="Q600">
        <f t="shared" si="131"/>
        <v>0</v>
      </c>
      <c r="R600">
        <f t="shared" si="131"/>
        <v>1.0093719116561865E-4</v>
      </c>
      <c r="S600">
        <f t="shared" si="131"/>
        <v>0</v>
      </c>
      <c r="T600">
        <f t="shared" si="131"/>
        <v>0</v>
      </c>
      <c r="U600">
        <f t="shared" si="131"/>
        <v>0</v>
      </c>
      <c r="V600">
        <f t="shared" si="131"/>
        <v>0</v>
      </c>
      <c r="W600">
        <f t="shared" si="131"/>
        <v>0</v>
      </c>
      <c r="X600">
        <f t="shared" si="131"/>
        <v>0</v>
      </c>
      <c r="Y600">
        <f t="shared" si="130"/>
        <v>0</v>
      </c>
      <c r="Z600">
        <f t="shared" si="130"/>
        <v>0</v>
      </c>
      <c r="AA600">
        <f t="shared" si="130"/>
        <v>0</v>
      </c>
      <c r="AB600">
        <f t="shared" si="130"/>
        <v>0</v>
      </c>
      <c r="AC600">
        <f t="shared" si="130"/>
        <v>0</v>
      </c>
      <c r="AD600">
        <f t="shared" si="130"/>
        <v>0</v>
      </c>
      <c r="AE600">
        <f t="shared" si="130"/>
        <v>0</v>
      </c>
      <c r="AF600">
        <f t="shared" si="130"/>
        <v>0</v>
      </c>
      <c r="AG600">
        <f t="shared" si="130"/>
        <v>0</v>
      </c>
      <c r="AH600">
        <f t="shared" si="130"/>
        <v>0</v>
      </c>
      <c r="AI600">
        <f t="shared" si="130"/>
        <v>0</v>
      </c>
      <c r="AJ600">
        <f t="shared" si="130"/>
        <v>0</v>
      </c>
      <c r="AK600">
        <f t="shared" si="130"/>
        <v>0</v>
      </c>
      <c r="AL600">
        <f t="shared" si="130"/>
        <v>0</v>
      </c>
      <c r="AM600">
        <f t="shared" si="130"/>
        <v>0</v>
      </c>
      <c r="AN600">
        <f t="shared" si="125"/>
        <v>0</v>
      </c>
      <c r="AO600">
        <f t="shared" si="125"/>
        <v>0</v>
      </c>
      <c r="AP600">
        <f t="shared" si="125"/>
        <v>0</v>
      </c>
      <c r="AQ600">
        <f t="shared" si="125"/>
        <v>0</v>
      </c>
      <c r="AR600">
        <f t="shared" si="125"/>
        <v>0</v>
      </c>
    </row>
    <row r="601" spans="5:44" x14ac:dyDescent="0.2">
      <c r="E601" s="1">
        <f>moment_rate!$M601</f>
        <v>1.1325684376557689E-2</v>
      </c>
      <c r="F601" s="1">
        <f t="shared" si="128"/>
        <v>9.8866967902008079E-5</v>
      </c>
      <c r="G601">
        <f>moment_rate!I601-0.005</f>
        <v>5.9399999999999178</v>
      </c>
      <c r="H601" s="1">
        <f t="shared" si="129"/>
        <v>9.8866967902008079E-5</v>
      </c>
      <c r="I601">
        <f t="shared" si="131"/>
        <v>0</v>
      </c>
      <c r="J601">
        <f t="shared" si="131"/>
        <v>0</v>
      </c>
      <c r="K601">
        <f t="shared" si="131"/>
        <v>0</v>
      </c>
      <c r="L601">
        <f t="shared" si="131"/>
        <v>0</v>
      </c>
      <c r="M601">
        <f t="shared" si="131"/>
        <v>0</v>
      </c>
      <c r="N601">
        <f t="shared" si="131"/>
        <v>0</v>
      </c>
      <c r="O601">
        <f t="shared" si="131"/>
        <v>0</v>
      </c>
      <c r="P601">
        <f t="shared" si="131"/>
        <v>0</v>
      </c>
      <c r="Q601">
        <f t="shared" si="131"/>
        <v>0</v>
      </c>
      <c r="R601">
        <f t="shared" si="131"/>
        <v>9.8866967902008079E-5</v>
      </c>
      <c r="S601">
        <f t="shared" si="131"/>
        <v>0</v>
      </c>
      <c r="T601">
        <f t="shared" si="131"/>
        <v>0</v>
      </c>
      <c r="U601">
        <f t="shared" si="131"/>
        <v>0</v>
      </c>
      <c r="V601">
        <f t="shared" si="131"/>
        <v>0</v>
      </c>
      <c r="W601">
        <f t="shared" si="131"/>
        <v>0</v>
      </c>
      <c r="X601">
        <f t="shared" si="131"/>
        <v>0</v>
      </c>
      <c r="Y601">
        <f t="shared" si="130"/>
        <v>0</v>
      </c>
      <c r="Z601">
        <f t="shared" si="130"/>
        <v>0</v>
      </c>
      <c r="AA601">
        <f t="shared" si="130"/>
        <v>0</v>
      </c>
      <c r="AB601">
        <f t="shared" si="130"/>
        <v>0</v>
      </c>
      <c r="AC601">
        <f t="shared" si="130"/>
        <v>0</v>
      </c>
      <c r="AD601">
        <f t="shared" si="130"/>
        <v>0</v>
      </c>
      <c r="AE601">
        <f t="shared" si="130"/>
        <v>0</v>
      </c>
      <c r="AF601">
        <f t="shared" si="130"/>
        <v>0</v>
      </c>
      <c r="AG601">
        <f t="shared" si="130"/>
        <v>0</v>
      </c>
      <c r="AH601">
        <f t="shared" si="130"/>
        <v>0</v>
      </c>
      <c r="AI601">
        <f t="shared" si="125"/>
        <v>0</v>
      </c>
      <c r="AJ601">
        <f t="shared" si="125"/>
        <v>0</v>
      </c>
      <c r="AK601">
        <f t="shared" si="125"/>
        <v>0</v>
      </c>
      <c r="AL601">
        <f t="shared" si="125"/>
        <v>0</v>
      </c>
      <c r="AM601">
        <f t="shared" si="125"/>
        <v>0</v>
      </c>
      <c r="AN601">
        <f t="shared" si="125"/>
        <v>0</v>
      </c>
      <c r="AO601">
        <f t="shared" si="125"/>
        <v>0</v>
      </c>
      <c r="AP601">
        <f t="shared" si="125"/>
        <v>0</v>
      </c>
      <c r="AQ601">
        <f t="shared" si="125"/>
        <v>0</v>
      </c>
      <c r="AR601">
        <f t="shared" si="125"/>
        <v>0</v>
      </c>
    </row>
    <row r="602" spans="5:44" x14ac:dyDescent="0.2">
      <c r="E602" s="1">
        <f>moment_rate!$M602</f>
        <v>1.1226817408655681E-2</v>
      </c>
      <c r="F602" s="1">
        <f t="shared" si="128"/>
        <v>9.6839204947738941E-5</v>
      </c>
      <c r="G602">
        <f>moment_rate!I602-0.005</f>
        <v>5.9499999999999176</v>
      </c>
      <c r="H602" s="1">
        <f t="shared" si="129"/>
        <v>9.6839204947738941E-5</v>
      </c>
      <c r="I602">
        <f t="shared" si="131"/>
        <v>0</v>
      </c>
      <c r="J602">
        <f t="shared" si="131"/>
        <v>0</v>
      </c>
      <c r="K602">
        <f t="shared" si="131"/>
        <v>0</v>
      </c>
      <c r="L602">
        <f t="shared" si="131"/>
        <v>0</v>
      </c>
      <c r="M602">
        <f t="shared" si="131"/>
        <v>0</v>
      </c>
      <c r="N602">
        <f t="shared" si="131"/>
        <v>0</v>
      </c>
      <c r="O602">
        <f t="shared" si="131"/>
        <v>0</v>
      </c>
      <c r="P602">
        <f t="shared" si="131"/>
        <v>0</v>
      </c>
      <c r="Q602">
        <f t="shared" si="131"/>
        <v>0</v>
      </c>
      <c r="R602">
        <f t="shared" si="131"/>
        <v>9.6839204947738941E-5</v>
      </c>
      <c r="S602">
        <f t="shared" si="131"/>
        <v>0</v>
      </c>
      <c r="T602">
        <f t="shared" si="131"/>
        <v>0</v>
      </c>
      <c r="U602">
        <f t="shared" si="131"/>
        <v>0</v>
      </c>
      <c r="V602">
        <f t="shared" si="131"/>
        <v>0</v>
      </c>
      <c r="W602">
        <f t="shared" si="131"/>
        <v>0</v>
      </c>
      <c r="X602">
        <f>IF(AND($G602&gt;=X$3,$G602&lt;X$4),$F602,0)</f>
        <v>0</v>
      </c>
      <c r="Y602">
        <f t="shared" si="130"/>
        <v>0</v>
      </c>
      <c r="Z602">
        <f t="shared" si="130"/>
        <v>0</v>
      </c>
      <c r="AA602">
        <f t="shared" si="130"/>
        <v>0</v>
      </c>
      <c r="AB602">
        <f t="shared" si="130"/>
        <v>0</v>
      </c>
      <c r="AC602">
        <f t="shared" si="130"/>
        <v>0</v>
      </c>
      <c r="AD602">
        <f t="shared" si="130"/>
        <v>0</v>
      </c>
      <c r="AE602">
        <f t="shared" si="130"/>
        <v>0</v>
      </c>
      <c r="AF602">
        <f t="shared" si="130"/>
        <v>0</v>
      </c>
      <c r="AG602">
        <f t="shared" si="130"/>
        <v>0</v>
      </c>
      <c r="AH602">
        <f t="shared" si="130"/>
        <v>0</v>
      </c>
      <c r="AI602">
        <f t="shared" si="130"/>
        <v>0</v>
      </c>
      <c r="AJ602">
        <f t="shared" si="130"/>
        <v>0</v>
      </c>
      <c r="AK602">
        <f t="shared" si="130"/>
        <v>0</v>
      </c>
      <c r="AL602">
        <f t="shared" si="130"/>
        <v>0</v>
      </c>
      <c r="AM602">
        <f t="shared" si="130"/>
        <v>0</v>
      </c>
      <c r="AN602">
        <f t="shared" ref="AI602:AR640" si="132">IF(AND($G602&gt;=AN$3,$G602&lt;AN$4),$F602,0)</f>
        <v>0</v>
      </c>
      <c r="AO602">
        <f t="shared" si="132"/>
        <v>0</v>
      </c>
      <c r="AP602">
        <f t="shared" si="132"/>
        <v>0</v>
      </c>
      <c r="AQ602">
        <f t="shared" si="132"/>
        <v>0</v>
      </c>
      <c r="AR602">
        <f t="shared" si="132"/>
        <v>0</v>
      </c>
    </row>
    <row r="603" spans="5:44" x14ac:dyDescent="0.2">
      <c r="E603" s="1">
        <f>moment_rate!$M603</f>
        <v>1.1129978203707942E-2</v>
      </c>
      <c r="F603" s="1">
        <f t="shared" si="128"/>
        <v>9.4853031441249555E-5</v>
      </c>
      <c r="G603">
        <f>moment_rate!I603-0.005</f>
        <v>5.9599999999999174</v>
      </c>
      <c r="H603" s="1">
        <f t="shared" si="129"/>
        <v>9.4853031441249555E-5</v>
      </c>
      <c r="I603">
        <f t="shared" ref="I603:X618" si="133">IF(AND($G603&gt;=I$3,$G603&lt;I$4),$F603,0)</f>
        <v>0</v>
      </c>
      <c r="J603">
        <f t="shared" si="133"/>
        <v>0</v>
      </c>
      <c r="K603">
        <f t="shared" si="133"/>
        <v>0</v>
      </c>
      <c r="L603">
        <f t="shared" si="133"/>
        <v>0</v>
      </c>
      <c r="M603">
        <f t="shared" si="133"/>
        <v>0</v>
      </c>
      <c r="N603">
        <f t="shared" si="133"/>
        <v>0</v>
      </c>
      <c r="O603">
        <f t="shared" si="133"/>
        <v>0</v>
      </c>
      <c r="P603">
        <f t="shared" si="133"/>
        <v>0</v>
      </c>
      <c r="Q603">
        <f t="shared" si="133"/>
        <v>0</v>
      </c>
      <c r="R603">
        <f t="shared" si="133"/>
        <v>9.4853031441249555E-5</v>
      </c>
      <c r="S603">
        <f t="shared" si="133"/>
        <v>0</v>
      </c>
      <c r="T603">
        <f t="shared" si="133"/>
        <v>0</v>
      </c>
      <c r="U603">
        <f t="shared" si="133"/>
        <v>0</v>
      </c>
      <c r="V603">
        <f t="shared" si="133"/>
        <v>0</v>
      </c>
      <c r="W603">
        <f t="shared" si="133"/>
        <v>0</v>
      </c>
      <c r="X603">
        <f t="shared" si="133"/>
        <v>0</v>
      </c>
      <c r="Y603">
        <f t="shared" si="130"/>
        <v>0</v>
      </c>
      <c r="Z603">
        <f t="shared" si="130"/>
        <v>0</v>
      </c>
      <c r="AA603">
        <f t="shared" si="130"/>
        <v>0</v>
      </c>
      <c r="AB603">
        <f t="shared" si="130"/>
        <v>0</v>
      </c>
      <c r="AC603">
        <f t="shared" ref="AC603:AH603" si="134">IF(AND($G603&gt;=AC$3,$G603&lt;AC$4),$F603,0)</f>
        <v>0</v>
      </c>
      <c r="AD603">
        <f t="shared" si="134"/>
        <v>0</v>
      </c>
      <c r="AE603">
        <f t="shared" si="134"/>
        <v>0</v>
      </c>
      <c r="AF603">
        <f t="shared" si="134"/>
        <v>0</v>
      </c>
      <c r="AG603">
        <f t="shared" si="134"/>
        <v>0</v>
      </c>
      <c r="AH603">
        <f t="shared" si="134"/>
        <v>0</v>
      </c>
      <c r="AI603">
        <f t="shared" si="132"/>
        <v>0</v>
      </c>
      <c r="AJ603">
        <f t="shared" si="132"/>
        <v>0</v>
      </c>
      <c r="AK603">
        <f t="shared" si="132"/>
        <v>0</v>
      </c>
      <c r="AL603">
        <f t="shared" si="132"/>
        <v>0</v>
      </c>
      <c r="AM603">
        <f t="shared" si="132"/>
        <v>0</v>
      </c>
      <c r="AN603">
        <f t="shared" si="132"/>
        <v>0</v>
      </c>
      <c r="AO603">
        <f t="shared" si="132"/>
        <v>0</v>
      </c>
      <c r="AP603">
        <f t="shared" si="132"/>
        <v>0</v>
      </c>
      <c r="AQ603">
        <f t="shared" si="132"/>
        <v>0</v>
      </c>
      <c r="AR603">
        <f t="shared" si="132"/>
        <v>0</v>
      </c>
    </row>
    <row r="604" spans="5:44" x14ac:dyDescent="0.2">
      <c r="E604" s="1">
        <f>moment_rate!$M604</f>
        <v>1.1035125172266692E-2</v>
      </c>
      <c r="F604" s="1">
        <f t="shared" si="128"/>
        <v>9.290759438236422E-5</v>
      </c>
      <c r="G604">
        <f>moment_rate!I604-0.005</f>
        <v>5.9699999999999172</v>
      </c>
      <c r="H604" s="1">
        <f t="shared" si="129"/>
        <v>9.290759438236422E-5</v>
      </c>
      <c r="I604">
        <f t="shared" si="133"/>
        <v>0</v>
      </c>
      <c r="J604">
        <f t="shared" si="133"/>
        <v>0</v>
      </c>
      <c r="K604">
        <f t="shared" si="133"/>
        <v>0</v>
      </c>
      <c r="L604">
        <f t="shared" si="133"/>
        <v>0</v>
      </c>
      <c r="M604">
        <f t="shared" si="133"/>
        <v>0</v>
      </c>
      <c r="N604">
        <f t="shared" si="133"/>
        <v>0</v>
      </c>
      <c r="O604">
        <f t="shared" si="133"/>
        <v>0</v>
      </c>
      <c r="P604">
        <f t="shared" si="133"/>
        <v>0</v>
      </c>
      <c r="Q604">
        <f t="shared" si="133"/>
        <v>0</v>
      </c>
      <c r="R604">
        <f t="shared" si="133"/>
        <v>9.290759438236422E-5</v>
      </c>
      <c r="S604">
        <f t="shared" si="133"/>
        <v>0</v>
      </c>
      <c r="T604">
        <f t="shared" si="133"/>
        <v>0</v>
      </c>
      <c r="U604">
        <f t="shared" si="133"/>
        <v>0</v>
      </c>
      <c r="V604">
        <f t="shared" si="133"/>
        <v>0</v>
      </c>
      <c r="W604">
        <f t="shared" si="133"/>
        <v>0</v>
      </c>
      <c r="X604">
        <f t="shared" si="133"/>
        <v>0</v>
      </c>
      <c r="Y604">
        <f t="shared" ref="Y604:AJ619" si="135">IF(AND($G604&gt;=Y$3,$G604&lt;Y$4),$F604,0)</f>
        <v>0</v>
      </c>
      <c r="Z604">
        <f t="shared" si="135"/>
        <v>0</v>
      </c>
      <c r="AA604">
        <f t="shared" si="135"/>
        <v>0</v>
      </c>
      <c r="AB604">
        <f t="shared" si="135"/>
        <v>0</v>
      </c>
      <c r="AC604">
        <f t="shared" si="135"/>
        <v>0</v>
      </c>
      <c r="AD604">
        <f t="shared" si="135"/>
        <v>0</v>
      </c>
      <c r="AE604">
        <f t="shared" si="135"/>
        <v>0</v>
      </c>
      <c r="AF604">
        <f t="shared" si="135"/>
        <v>0</v>
      </c>
      <c r="AG604">
        <f t="shared" si="135"/>
        <v>0</v>
      </c>
      <c r="AH604">
        <f t="shared" si="135"/>
        <v>0</v>
      </c>
      <c r="AI604">
        <f t="shared" si="132"/>
        <v>0</v>
      </c>
      <c r="AJ604">
        <f t="shared" si="132"/>
        <v>0</v>
      </c>
      <c r="AK604">
        <f t="shared" si="132"/>
        <v>0</v>
      </c>
      <c r="AL604">
        <f t="shared" si="132"/>
        <v>0</v>
      </c>
      <c r="AM604">
        <f t="shared" si="132"/>
        <v>0</v>
      </c>
      <c r="AN604">
        <f t="shared" si="132"/>
        <v>0</v>
      </c>
      <c r="AO604">
        <f t="shared" si="132"/>
        <v>0</v>
      </c>
      <c r="AP604">
        <f t="shared" si="132"/>
        <v>0</v>
      </c>
      <c r="AQ604">
        <f t="shared" si="132"/>
        <v>0</v>
      </c>
      <c r="AR604">
        <f t="shared" si="132"/>
        <v>0</v>
      </c>
    </row>
    <row r="605" spans="5:44" x14ac:dyDescent="0.2">
      <c r="E605" s="1">
        <f>moment_rate!$M605</f>
        <v>1.0942217577884328E-2</v>
      </c>
      <c r="F605" s="1">
        <f t="shared" si="128"/>
        <v>9.1002058265935229E-5</v>
      </c>
      <c r="G605">
        <f>moment_rate!I605-0.005</f>
        <v>5.9799999999999169</v>
      </c>
      <c r="H605" s="1">
        <f t="shared" si="129"/>
        <v>9.1002058265935229E-5</v>
      </c>
      <c r="I605">
        <f t="shared" si="133"/>
        <v>0</v>
      </c>
      <c r="J605">
        <f t="shared" si="133"/>
        <v>0</v>
      </c>
      <c r="K605">
        <f t="shared" si="133"/>
        <v>0</v>
      </c>
      <c r="L605">
        <f t="shared" si="133"/>
        <v>0</v>
      </c>
      <c r="M605">
        <f t="shared" si="133"/>
        <v>0</v>
      </c>
      <c r="N605">
        <f t="shared" si="133"/>
        <v>0</v>
      </c>
      <c r="O605">
        <f t="shared" si="133"/>
        <v>0</v>
      </c>
      <c r="P605">
        <f t="shared" si="133"/>
        <v>0</v>
      </c>
      <c r="Q605">
        <f t="shared" si="133"/>
        <v>0</v>
      </c>
      <c r="R605">
        <f t="shared" si="133"/>
        <v>9.1002058265935229E-5</v>
      </c>
      <c r="S605">
        <f t="shared" si="133"/>
        <v>0</v>
      </c>
      <c r="T605">
        <f t="shared" si="133"/>
        <v>0</v>
      </c>
      <c r="U605">
        <f t="shared" si="133"/>
        <v>0</v>
      </c>
      <c r="V605">
        <f t="shared" si="133"/>
        <v>0</v>
      </c>
      <c r="W605">
        <f t="shared" si="133"/>
        <v>0</v>
      </c>
      <c r="X605">
        <f t="shared" si="133"/>
        <v>0</v>
      </c>
      <c r="Y605">
        <f t="shared" si="135"/>
        <v>0</v>
      </c>
      <c r="Z605">
        <f t="shared" si="135"/>
        <v>0</v>
      </c>
      <c r="AA605">
        <f t="shared" si="135"/>
        <v>0</v>
      </c>
      <c r="AB605">
        <f t="shared" si="135"/>
        <v>0</v>
      </c>
      <c r="AC605">
        <f t="shared" si="135"/>
        <v>0</v>
      </c>
      <c r="AD605">
        <f t="shared" si="135"/>
        <v>0</v>
      </c>
      <c r="AE605">
        <f t="shared" si="135"/>
        <v>0</v>
      </c>
      <c r="AF605">
        <f t="shared" si="135"/>
        <v>0</v>
      </c>
      <c r="AG605">
        <f t="shared" si="135"/>
        <v>0</v>
      </c>
      <c r="AH605">
        <f t="shared" si="135"/>
        <v>0</v>
      </c>
      <c r="AI605">
        <f t="shared" si="132"/>
        <v>0</v>
      </c>
      <c r="AJ605">
        <f t="shared" si="132"/>
        <v>0</v>
      </c>
      <c r="AK605">
        <f t="shared" si="132"/>
        <v>0</v>
      </c>
      <c r="AL605">
        <f t="shared" si="132"/>
        <v>0</v>
      </c>
      <c r="AM605">
        <f t="shared" si="132"/>
        <v>0</v>
      </c>
      <c r="AN605">
        <f t="shared" si="132"/>
        <v>0</v>
      </c>
      <c r="AO605">
        <f t="shared" si="132"/>
        <v>0</v>
      </c>
      <c r="AP605">
        <f t="shared" si="132"/>
        <v>0</v>
      </c>
      <c r="AQ605">
        <f t="shared" si="132"/>
        <v>0</v>
      </c>
      <c r="AR605">
        <f t="shared" si="132"/>
        <v>0</v>
      </c>
    </row>
    <row r="606" spans="5:44" x14ac:dyDescent="0.2">
      <c r="E606" s="1">
        <f>moment_rate!$M606</f>
        <v>1.0851215519618393E-2</v>
      </c>
      <c r="F606" s="1">
        <f t="shared" si="128"/>
        <v>8.9135604723065628E-5</v>
      </c>
      <c r="G606">
        <f>moment_rate!I606-0.005</f>
        <v>5.9899999999999167</v>
      </c>
      <c r="H606" s="1">
        <f t="shared" si="129"/>
        <v>8.9135604723065628E-5</v>
      </c>
      <c r="I606">
        <f t="shared" si="133"/>
        <v>0</v>
      </c>
      <c r="J606">
        <f t="shared" si="133"/>
        <v>0</v>
      </c>
      <c r="K606">
        <f t="shared" si="133"/>
        <v>0</v>
      </c>
      <c r="L606">
        <f t="shared" si="133"/>
        <v>0</v>
      </c>
      <c r="M606">
        <f t="shared" si="133"/>
        <v>0</v>
      </c>
      <c r="N606">
        <f t="shared" si="133"/>
        <v>0</v>
      </c>
      <c r="O606">
        <f t="shared" si="133"/>
        <v>0</v>
      </c>
      <c r="P606">
        <f t="shared" si="133"/>
        <v>0</v>
      </c>
      <c r="Q606">
        <f t="shared" si="133"/>
        <v>0</v>
      </c>
      <c r="R606">
        <f t="shared" si="133"/>
        <v>8.9135604723065628E-5</v>
      </c>
      <c r="S606">
        <f t="shared" si="133"/>
        <v>0</v>
      </c>
      <c r="T606">
        <f t="shared" si="133"/>
        <v>0</v>
      </c>
      <c r="U606">
        <f t="shared" si="133"/>
        <v>0</v>
      </c>
      <c r="V606">
        <f t="shared" si="133"/>
        <v>0</v>
      </c>
      <c r="W606">
        <f t="shared" si="133"/>
        <v>0</v>
      </c>
      <c r="X606">
        <f t="shared" si="133"/>
        <v>0</v>
      </c>
      <c r="Y606">
        <f t="shared" si="135"/>
        <v>0</v>
      </c>
      <c r="Z606">
        <f t="shared" si="135"/>
        <v>0</v>
      </c>
      <c r="AA606">
        <f t="shared" si="135"/>
        <v>0</v>
      </c>
      <c r="AB606">
        <f t="shared" si="135"/>
        <v>0</v>
      </c>
      <c r="AC606">
        <f t="shared" si="135"/>
        <v>0</v>
      </c>
      <c r="AD606">
        <f t="shared" si="135"/>
        <v>0</v>
      </c>
      <c r="AE606">
        <f t="shared" si="135"/>
        <v>0</v>
      </c>
      <c r="AF606">
        <f t="shared" si="135"/>
        <v>0</v>
      </c>
      <c r="AG606">
        <f t="shared" si="135"/>
        <v>0</v>
      </c>
      <c r="AH606">
        <f t="shared" si="135"/>
        <v>0</v>
      </c>
      <c r="AI606">
        <f t="shared" si="135"/>
        <v>0</v>
      </c>
      <c r="AJ606">
        <f t="shared" si="135"/>
        <v>0</v>
      </c>
      <c r="AK606">
        <f t="shared" si="132"/>
        <v>0</v>
      </c>
      <c r="AL606">
        <f t="shared" si="132"/>
        <v>0</v>
      </c>
      <c r="AM606">
        <f t="shared" si="132"/>
        <v>0</v>
      </c>
      <c r="AN606">
        <f t="shared" si="132"/>
        <v>0</v>
      </c>
      <c r="AO606">
        <f t="shared" si="132"/>
        <v>0</v>
      </c>
      <c r="AP606">
        <f t="shared" si="132"/>
        <v>0</v>
      </c>
      <c r="AQ606">
        <f t="shared" si="132"/>
        <v>0</v>
      </c>
      <c r="AR606">
        <f t="shared" si="132"/>
        <v>0</v>
      </c>
    </row>
    <row r="607" spans="5:44" x14ac:dyDescent="0.2">
      <c r="E607" s="1">
        <f>moment_rate!$M607</f>
        <v>1.0762079914895327E-2</v>
      </c>
      <c r="F607" s="1">
        <f t="shared" si="128"/>
        <v>8.7307432169590055E-5</v>
      </c>
      <c r="G607">
        <f>moment_rate!I607-0.005</f>
        <v>5.9999999999999165</v>
      </c>
      <c r="H607" s="1">
        <f t="shared" si="129"/>
        <v>8.7307432169590055E-5</v>
      </c>
      <c r="I607">
        <f t="shared" si="133"/>
        <v>0</v>
      </c>
      <c r="J607">
        <f t="shared" si="133"/>
        <v>0</v>
      </c>
      <c r="K607">
        <f t="shared" si="133"/>
        <v>0</v>
      </c>
      <c r="L607">
        <f t="shared" si="133"/>
        <v>0</v>
      </c>
      <c r="M607">
        <f t="shared" si="133"/>
        <v>0</v>
      </c>
      <c r="N607">
        <f t="shared" si="133"/>
        <v>0</v>
      </c>
      <c r="O607">
        <f t="shared" si="133"/>
        <v>0</v>
      </c>
      <c r="P607">
        <f t="shared" si="133"/>
        <v>0</v>
      </c>
      <c r="Q607">
        <f t="shared" si="133"/>
        <v>0</v>
      </c>
      <c r="R607">
        <f t="shared" si="133"/>
        <v>8.7307432169590055E-5</v>
      </c>
      <c r="S607">
        <f t="shared" si="133"/>
        <v>0</v>
      </c>
      <c r="T607">
        <f t="shared" si="133"/>
        <v>0</v>
      </c>
      <c r="U607">
        <f t="shared" si="133"/>
        <v>0</v>
      </c>
      <c r="V607">
        <f t="shared" si="133"/>
        <v>0</v>
      </c>
      <c r="W607">
        <f t="shared" si="133"/>
        <v>0</v>
      </c>
      <c r="X607">
        <f t="shared" si="133"/>
        <v>0</v>
      </c>
      <c r="Y607">
        <f t="shared" si="135"/>
        <v>0</v>
      </c>
      <c r="Z607">
        <f t="shared" si="135"/>
        <v>0</v>
      </c>
      <c r="AA607">
        <f t="shared" si="135"/>
        <v>0</v>
      </c>
      <c r="AB607">
        <f t="shared" si="135"/>
        <v>0</v>
      </c>
      <c r="AC607">
        <f t="shared" si="135"/>
        <v>0</v>
      </c>
      <c r="AD607">
        <f t="shared" si="135"/>
        <v>0</v>
      </c>
      <c r="AE607">
        <f t="shared" si="135"/>
        <v>0</v>
      </c>
      <c r="AF607">
        <f t="shared" si="135"/>
        <v>0</v>
      </c>
      <c r="AG607">
        <f t="shared" si="135"/>
        <v>0</v>
      </c>
      <c r="AH607">
        <f t="shared" si="135"/>
        <v>0</v>
      </c>
      <c r="AI607">
        <f t="shared" si="135"/>
        <v>0</v>
      </c>
      <c r="AJ607">
        <f t="shared" si="135"/>
        <v>0</v>
      </c>
      <c r="AK607">
        <f t="shared" si="132"/>
        <v>0</v>
      </c>
      <c r="AL607">
        <f t="shared" si="132"/>
        <v>0</v>
      </c>
      <c r="AM607">
        <f t="shared" si="132"/>
        <v>0</v>
      </c>
      <c r="AN607">
        <f t="shared" si="132"/>
        <v>0</v>
      </c>
      <c r="AO607">
        <f t="shared" si="132"/>
        <v>0</v>
      </c>
      <c r="AP607">
        <f t="shared" si="132"/>
        <v>0</v>
      </c>
      <c r="AQ607">
        <f t="shared" si="132"/>
        <v>0</v>
      </c>
      <c r="AR607">
        <f t="shared" si="132"/>
        <v>0</v>
      </c>
    </row>
    <row r="608" spans="5:44" x14ac:dyDescent="0.2">
      <c r="E608" s="1">
        <f>moment_rate!$M608</f>
        <v>1.0674772482725737E-2</v>
      </c>
      <c r="F608" s="1">
        <f t="shared" si="128"/>
        <v>8.5516755461860494E-5</v>
      </c>
      <c r="G608">
        <f>moment_rate!I608-0.005</f>
        <v>6.0099999999999163</v>
      </c>
      <c r="H608" s="1">
        <f t="shared" si="129"/>
        <v>8.5516755461860494E-5</v>
      </c>
      <c r="I608">
        <f t="shared" si="133"/>
        <v>0</v>
      </c>
      <c r="J608">
        <f t="shared" si="133"/>
        <v>0</v>
      </c>
      <c r="K608">
        <f t="shared" si="133"/>
        <v>0</v>
      </c>
      <c r="L608">
        <f t="shared" si="133"/>
        <v>0</v>
      </c>
      <c r="M608">
        <f t="shared" si="133"/>
        <v>0</v>
      </c>
      <c r="N608">
        <f t="shared" si="133"/>
        <v>0</v>
      </c>
      <c r="O608">
        <f t="shared" si="133"/>
        <v>0</v>
      </c>
      <c r="P608">
        <f t="shared" si="133"/>
        <v>0</v>
      </c>
      <c r="Q608">
        <f t="shared" si="133"/>
        <v>0</v>
      </c>
      <c r="R608">
        <f t="shared" si="133"/>
        <v>0</v>
      </c>
      <c r="S608">
        <f t="shared" si="133"/>
        <v>8.5516755461860494E-5</v>
      </c>
      <c r="T608">
        <f t="shared" si="133"/>
        <v>0</v>
      </c>
      <c r="U608">
        <f t="shared" si="133"/>
        <v>0</v>
      </c>
      <c r="V608">
        <f t="shared" si="133"/>
        <v>0</v>
      </c>
      <c r="W608">
        <f t="shared" si="133"/>
        <v>0</v>
      </c>
      <c r="X608">
        <f t="shared" si="133"/>
        <v>0</v>
      </c>
      <c r="Y608">
        <f t="shared" si="135"/>
        <v>0</v>
      </c>
      <c r="Z608">
        <f t="shared" si="135"/>
        <v>0</v>
      </c>
      <c r="AA608">
        <f t="shared" si="135"/>
        <v>0</v>
      </c>
      <c r="AB608">
        <f t="shared" si="135"/>
        <v>0</v>
      </c>
      <c r="AC608">
        <f t="shared" si="135"/>
        <v>0</v>
      </c>
      <c r="AD608">
        <f t="shared" si="135"/>
        <v>0</v>
      </c>
      <c r="AE608">
        <f t="shared" si="135"/>
        <v>0</v>
      </c>
      <c r="AF608">
        <f t="shared" si="135"/>
        <v>0</v>
      </c>
      <c r="AG608">
        <f t="shared" si="135"/>
        <v>0</v>
      </c>
      <c r="AH608">
        <f t="shared" si="135"/>
        <v>0</v>
      </c>
      <c r="AI608">
        <f t="shared" si="135"/>
        <v>0</v>
      </c>
      <c r="AJ608">
        <f t="shared" si="135"/>
        <v>0</v>
      </c>
      <c r="AK608">
        <f t="shared" si="132"/>
        <v>0</v>
      </c>
      <c r="AL608">
        <f t="shared" si="132"/>
        <v>0</v>
      </c>
      <c r="AM608">
        <f t="shared" si="132"/>
        <v>0</v>
      </c>
      <c r="AN608">
        <f t="shared" si="132"/>
        <v>0</v>
      </c>
      <c r="AO608">
        <f t="shared" si="132"/>
        <v>0</v>
      </c>
      <c r="AP608">
        <f t="shared" si="132"/>
        <v>0</v>
      </c>
      <c r="AQ608">
        <f t="shared" si="132"/>
        <v>0</v>
      </c>
      <c r="AR608">
        <f t="shared" si="132"/>
        <v>0</v>
      </c>
    </row>
    <row r="609" spans="5:44" x14ac:dyDescent="0.2">
      <c r="E609" s="1">
        <f>moment_rate!$M609</f>
        <v>1.0589255727263876E-2</v>
      </c>
      <c r="F609" s="1">
        <f t="shared" si="128"/>
        <v>8.3762805559540326E-5</v>
      </c>
      <c r="G609">
        <f>moment_rate!I609-0.005</f>
        <v>6.0199999999999161</v>
      </c>
      <c r="H609" s="1">
        <f t="shared" si="129"/>
        <v>8.3762805559540326E-5</v>
      </c>
      <c r="I609">
        <f t="shared" si="133"/>
        <v>0</v>
      </c>
      <c r="J609">
        <f t="shared" si="133"/>
        <v>0</v>
      </c>
      <c r="K609">
        <f t="shared" si="133"/>
        <v>0</v>
      </c>
      <c r="L609">
        <f t="shared" si="133"/>
        <v>0</v>
      </c>
      <c r="M609">
        <f t="shared" si="133"/>
        <v>0</v>
      </c>
      <c r="N609">
        <f t="shared" si="133"/>
        <v>0</v>
      </c>
      <c r="O609">
        <f t="shared" si="133"/>
        <v>0</v>
      </c>
      <c r="P609">
        <f t="shared" si="133"/>
        <v>0</v>
      </c>
      <c r="Q609">
        <f t="shared" si="133"/>
        <v>0</v>
      </c>
      <c r="R609">
        <f t="shared" si="133"/>
        <v>0</v>
      </c>
      <c r="S609">
        <f t="shared" si="133"/>
        <v>8.3762805559540326E-5</v>
      </c>
      <c r="T609">
        <f t="shared" si="133"/>
        <v>0</v>
      </c>
      <c r="U609">
        <f t="shared" si="133"/>
        <v>0</v>
      </c>
      <c r="V609">
        <f t="shared" si="133"/>
        <v>0</v>
      </c>
      <c r="W609">
        <f t="shared" si="133"/>
        <v>0</v>
      </c>
      <c r="X609">
        <f t="shared" si="133"/>
        <v>0</v>
      </c>
      <c r="Y609">
        <f t="shared" si="135"/>
        <v>0</v>
      </c>
      <c r="Z609">
        <f t="shared" si="135"/>
        <v>0</v>
      </c>
      <c r="AA609">
        <f t="shared" si="135"/>
        <v>0</v>
      </c>
      <c r="AB609">
        <f t="shared" si="135"/>
        <v>0</v>
      </c>
      <c r="AC609">
        <f t="shared" si="135"/>
        <v>0</v>
      </c>
      <c r="AD609">
        <f t="shared" si="135"/>
        <v>0</v>
      </c>
      <c r="AE609">
        <f t="shared" si="135"/>
        <v>0</v>
      </c>
      <c r="AF609">
        <f t="shared" si="135"/>
        <v>0</v>
      </c>
      <c r="AG609">
        <f t="shared" si="135"/>
        <v>0</v>
      </c>
      <c r="AH609">
        <f t="shared" si="135"/>
        <v>0</v>
      </c>
      <c r="AI609">
        <f t="shared" si="135"/>
        <v>0</v>
      </c>
      <c r="AJ609">
        <f t="shared" si="135"/>
        <v>0</v>
      </c>
      <c r="AK609">
        <f t="shared" si="132"/>
        <v>0</v>
      </c>
      <c r="AL609">
        <f t="shared" si="132"/>
        <v>0</v>
      </c>
      <c r="AM609">
        <f t="shared" si="132"/>
        <v>0</v>
      </c>
      <c r="AN609">
        <f t="shared" si="132"/>
        <v>0</v>
      </c>
      <c r="AO609">
        <f t="shared" si="132"/>
        <v>0</v>
      </c>
      <c r="AP609">
        <f t="shared" si="132"/>
        <v>0</v>
      </c>
      <c r="AQ609">
        <f t="shared" si="132"/>
        <v>0</v>
      </c>
      <c r="AR609">
        <f t="shared" si="132"/>
        <v>0</v>
      </c>
    </row>
    <row r="610" spans="5:44" x14ac:dyDescent="0.2">
      <c r="E610" s="1">
        <f>moment_rate!$M610</f>
        <v>1.0505492921704336E-2</v>
      </c>
      <c r="F610" s="1">
        <f t="shared" si="128"/>
        <v>8.20448291953043E-5</v>
      </c>
      <c r="G610">
        <f>moment_rate!I610-0.005</f>
        <v>6.0299999999999159</v>
      </c>
      <c r="H610" s="1">
        <f t="shared" si="129"/>
        <v>8.20448291953043E-5</v>
      </c>
      <c r="I610">
        <f t="shared" si="133"/>
        <v>0</v>
      </c>
      <c r="J610">
        <f t="shared" si="133"/>
        <v>0</v>
      </c>
      <c r="K610">
        <f t="shared" si="133"/>
        <v>0</v>
      </c>
      <c r="L610">
        <f t="shared" si="133"/>
        <v>0</v>
      </c>
      <c r="M610">
        <f t="shared" si="133"/>
        <v>0</v>
      </c>
      <c r="N610">
        <f t="shared" si="133"/>
        <v>0</v>
      </c>
      <c r="O610">
        <f t="shared" si="133"/>
        <v>0</v>
      </c>
      <c r="P610">
        <f t="shared" si="133"/>
        <v>0</v>
      </c>
      <c r="Q610">
        <f t="shared" si="133"/>
        <v>0</v>
      </c>
      <c r="R610">
        <f t="shared" si="133"/>
        <v>0</v>
      </c>
      <c r="S610">
        <f t="shared" si="133"/>
        <v>8.20448291953043E-5</v>
      </c>
      <c r="T610">
        <f t="shared" si="133"/>
        <v>0</v>
      </c>
      <c r="U610">
        <f t="shared" si="133"/>
        <v>0</v>
      </c>
      <c r="V610">
        <f t="shared" si="133"/>
        <v>0</v>
      </c>
      <c r="W610">
        <f t="shared" si="133"/>
        <v>0</v>
      </c>
      <c r="X610">
        <f t="shared" si="133"/>
        <v>0</v>
      </c>
      <c r="Y610">
        <f t="shared" si="135"/>
        <v>0</v>
      </c>
      <c r="Z610">
        <f t="shared" si="135"/>
        <v>0</v>
      </c>
      <c r="AA610">
        <f t="shared" si="135"/>
        <v>0</v>
      </c>
      <c r="AB610">
        <f t="shared" si="135"/>
        <v>0</v>
      </c>
      <c r="AC610">
        <f t="shared" si="135"/>
        <v>0</v>
      </c>
      <c r="AD610">
        <f t="shared" si="135"/>
        <v>0</v>
      </c>
      <c r="AE610">
        <f t="shared" si="135"/>
        <v>0</v>
      </c>
      <c r="AF610">
        <f t="shared" si="135"/>
        <v>0</v>
      </c>
      <c r="AG610">
        <f t="shared" si="135"/>
        <v>0</v>
      </c>
      <c r="AH610">
        <f t="shared" si="135"/>
        <v>0</v>
      </c>
      <c r="AI610">
        <f t="shared" si="135"/>
        <v>0</v>
      </c>
      <c r="AJ610">
        <f t="shared" si="135"/>
        <v>0</v>
      </c>
      <c r="AK610">
        <f t="shared" si="132"/>
        <v>0</v>
      </c>
      <c r="AL610">
        <f t="shared" si="132"/>
        <v>0</v>
      </c>
      <c r="AM610">
        <f t="shared" si="132"/>
        <v>0</v>
      </c>
      <c r="AN610">
        <f t="shared" si="132"/>
        <v>0</v>
      </c>
      <c r="AO610">
        <f t="shared" si="132"/>
        <v>0</v>
      </c>
      <c r="AP610">
        <f t="shared" si="132"/>
        <v>0</v>
      </c>
      <c r="AQ610">
        <f t="shared" si="132"/>
        <v>0</v>
      </c>
      <c r="AR610">
        <f t="shared" si="132"/>
        <v>0</v>
      </c>
    </row>
    <row r="611" spans="5:44" x14ac:dyDescent="0.2">
      <c r="E611" s="1">
        <f>moment_rate!$M611</f>
        <v>1.0423448092509032E-2</v>
      </c>
      <c r="F611" s="1">
        <f t="shared" si="128"/>
        <v>8.0362088551371585E-5</v>
      </c>
      <c r="G611">
        <f>moment_rate!I611-0.005</f>
        <v>6.0399999999999157</v>
      </c>
      <c r="H611" s="1">
        <f t="shared" si="129"/>
        <v>8.0362088551371585E-5</v>
      </c>
      <c r="I611">
        <f t="shared" si="133"/>
        <v>0</v>
      </c>
      <c r="J611">
        <f t="shared" si="133"/>
        <v>0</v>
      </c>
      <c r="K611">
        <f t="shared" si="133"/>
        <v>0</v>
      </c>
      <c r="L611">
        <f t="shared" si="133"/>
        <v>0</v>
      </c>
      <c r="M611">
        <f t="shared" si="133"/>
        <v>0</v>
      </c>
      <c r="N611">
        <f t="shared" si="133"/>
        <v>0</v>
      </c>
      <c r="O611">
        <f t="shared" si="133"/>
        <v>0</v>
      </c>
      <c r="P611">
        <f t="shared" si="133"/>
        <v>0</v>
      </c>
      <c r="Q611">
        <f t="shared" si="133"/>
        <v>0</v>
      </c>
      <c r="R611">
        <f t="shared" si="133"/>
        <v>0</v>
      </c>
      <c r="S611">
        <f t="shared" si="133"/>
        <v>8.0362088551371585E-5</v>
      </c>
      <c r="T611">
        <f t="shared" si="133"/>
        <v>0</v>
      </c>
      <c r="U611">
        <f t="shared" si="133"/>
        <v>0</v>
      </c>
      <c r="V611">
        <f t="shared" si="133"/>
        <v>0</v>
      </c>
      <c r="W611">
        <f t="shared" si="133"/>
        <v>0</v>
      </c>
      <c r="X611">
        <f t="shared" si="133"/>
        <v>0</v>
      </c>
      <c r="Y611">
        <f t="shared" si="135"/>
        <v>0</v>
      </c>
      <c r="Z611">
        <f t="shared" si="135"/>
        <v>0</v>
      </c>
      <c r="AA611">
        <f t="shared" si="135"/>
        <v>0</v>
      </c>
      <c r="AB611">
        <f t="shared" si="135"/>
        <v>0</v>
      </c>
      <c r="AC611">
        <f t="shared" si="135"/>
        <v>0</v>
      </c>
      <c r="AD611">
        <f t="shared" si="135"/>
        <v>0</v>
      </c>
      <c r="AE611">
        <f t="shared" si="135"/>
        <v>0</v>
      </c>
      <c r="AF611">
        <f t="shared" si="135"/>
        <v>0</v>
      </c>
      <c r="AG611">
        <f t="shared" si="135"/>
        <v>0</v>
      </c>
      <c r="AH611">
        <f t="shared" si="135"/>
        <v>0</v>
      </c>
      <c r="AI611">
        <f t="shared" si="135"/>
        <v>0</v>
      </c>
      <c r="AJ611">
        <f t="shared" si="135"/>
        <v>0</v>
      </c>
      <c r="AK611">
        <f t="shared" si="132"/>
        <v>0</v>
      </c>
      <c r="AL611">
        <f t="shared" si="132"/>
        <v>0</v>
      </c>
      <c r="AM611">
        <f t="shared" si="132"/>
        <v>0</v>
      </c>
      <c r="AN611">
        <f t="shared" si="132"/>
        <v>0</v>
      </c>
      <c r="AO611">
        <f t="shared" si="132"/>
        <v>0</v>
      </c>
      <c r="AP611">
        <f t="shared" si="132"/>
        <v>0</v>
      </c>
      <c r="AQ611">
        <f t="shared" si="132"/>
        <v>0</v>
      </c>
      <c r="AR611">
        <f t="shared" si="132"/>
        <v>0</v>
      </c>
    </row>
    <row r="612" spans="5:44" x14ac:dyDescent="0.2">
      <c r="E612" s="1">
        <f>moment_rate!$M612</f>
        <v>1.034308600395766E-2</v>
      </c>
      <c r="F612" s="1">
        <f t="shared" si="128"/>
        <v>7.8713860942590877E-5</v>
      </c>
      <c r="G612">
        <f>moment_rate!I612-0.005</f>
        <v>6.0499999999999154</v>
      </c>
      <c r="H612" s="1">
        <f t="shared" si="129"/>
        <v>7.8713860942590877E-5</v>
      </c>
      <c r="I612">
        <f t="shared" si="133"/>
        <v>0</v>
      </c>
      <c r="J612">
        <f t="shared" si="133"/>
        <v>0</v>
      </c>
      <c r="K612">
        <f t="shared" si="133"/>
        <v>0</v>
      </c>
      <c r="L612">
        <f t="shared" si="133"/>
        <v>0</v>
      </c>
      <c r="M612">
        <f t="shared" si="133"/>
        <v>0</v>
      </c>
      <c r="N612">
        <f t="shared" si="133"/>
        <v>0</v>
      </c>
      <c r="O612">
        <f t="shared" si="133"/>
        <v>0</v>
      </c>
      <c r="P612">
        <f t="shared" si="133"/>
        <v>0</v>
      </c>
      <c r="Q612">
        <f t="shared" si="133"/>
        <v>0</v>
      </c>
      <c r="R612">
        <f t="shared" si="133"/>
        <v>0</v>
      </c>
      <c r="S612">
        <f t="shared" si="133"/>
        <v>7.8713860942590877E-5</v>
      </c>
      <c r="T612">
        <f t="shared" si="133"/>
        <v>0</v>
      </c>
      <c r="U612">
        <f t="shared" si="133"/>
        <v>0</v>
      </c>
      <c r="V612">
        <f t="shared" si="133"/>
        <v>0</v>
      </c>
      <c r="W612">
        <f t="shared" si="133"/>
        <v>0</v>
      </c>
      <c r="X612">
        <f t="shared" si="133"/>
        <v>0</v>
      </c>
      <c r="Y612">
        <f t="shared" si="135"/>
        <v>0</v>
      </c>
      <c r="Z612">
        <f t="shared" si="135"/>
        <v>0</v>
      </c>
      <c r="AA612">
        <f t="shared" si="135"/>
        <v>0</v>
      </c>
      <c r="AB612">
        <f t="shared" si="135"/>
        <v>0</v>
      </c>
      <c r="AC612">
        <f t="shared" si="135"/>
        <v>0</v>
      </c>
      <c r="AD612">
        <f t="shared" si="135"/>
        <v>0</v>
      </c>
      <c r="AE612">
        <f t="shared" si="135"/>
        <v>0</v>
      </c>
      <c r="AF612">
        <f t="shared" si="135"/>
        <v>0</v>
      </c>
      <c r="AG612">
        <f t="shared" si="135"/>
        <v>0</v>
      </c>
      <c r="AH612">
        <f t="shared" si="135"/>
        <v>0</v>
      </c>
      <c r="AI612">
        <f t="shared" si="135"/>
        <v>0</v>
      </c>
      <c r="AJ612">
        <f t="shared" si="135"/>
        <v>0</v>
      </c>
      <c r="AK612">
        <f t="shared" si="132"/>
        <v>0</v>
      </c>
      <c r="AL612">
        <f t="shared" si="132"/>
        <v>0</v>
      </c>
      <c r="AM612">
        <f t="shared" si="132"/>
        <v>0</v>
      </c>
      <c r="AN612">
        <f t="shared" si="132"/>
        <v>0</v>
      </c>
      <c r="AO612">
        <f t="shared" si="132"/>
        <v>0</v>
      </c>
      <c r="AP612">
        <f t="shared" si="132"/>
        <v>0</v>
      </c>
      <c r="AQ612">
        <f t="shared" si="132"/>
        <v>0</v>
      </c>
      <c r="AR612">
        <f t="shared" si="132"/>
        <v>0</v>
      </c>
    </row>
    <row r="613" spans="5:44" x14ac:dyDescent="0.2">
      <c r="E613" s="1">
        <f>moment_rate!$M613</f>
        <v>1.0264372143015069E-2</v>
      </c>
      <c r="F613" s="1">
        <f t="shared" si="128"/>
        <v>7.709943850612265E-5</v>
      </c>
      <c r="G613">
        <f>moment_rate!I613-0.005</f>
        <v>6.0599999999999152</v>
      </c>
      <c r="H613" s="1">
        <f t="shared" si="129"/>
        <v>7.709943850612265E-5</v>
      </c>
      <c r="I613">
        <f t="shared" si="133"/>
        <v>0</v>
      </c>
      <c r="J613">
        <f t="shared" si="133"/>
        <v>0</v>
      </c>
      <c r="K613">
        <f t="shared" si="133"/>
        <v>0</v>
      </c>
      <c r="L613">
        <f t="shared" si="133"/>
        <v>0</v>
      </c>
      <c r="M613">
        <f t="shared" si="133"/>
        <v>0</v>
      </c>
      <c r="N613">
        <f t="shared" si="133"/>
        <v>0</v>
      </c>
      <c r="O613">
        <f t="shared" si="133"/>
        <v>0</v>
      </c>
      <c r="P613">
        <f t="shared" si="133"/>
        <v>0</v>
      </c>
      <c r="Q613">
        <f t="shared" si="133"/>
        <v>0</v>
      </c>
      <c r="R613">
        <f t="shared" si="133"/>
        <v>0</v>
      </c>
      <c r="S613">
        <f t="shared" si="133"/>
        <v>7.709943850612265E-5</v>
      </c>
      <c r="T613">
        <f t="shared" si="133"/>
        <v>0</v>
      </c>
      <c r="U613">
        <f t="shared" si="133"/>
        <v>0</v>
      </c>
      <c r="V613">
        <f t="shared" si="133"/>
        <v>0</v>
      </c>
      <c r="W613">
        <f t="shared" si="133"/>
        <v>0</v>
      </c>
      <c r="X613">
        <f t="shared" si="133"/>
        <v>0</v>
      </c>
      <c r="Y613">
        <f t="shared" si="135"/>
        <v>0</v>
      </c>
      <c r="Z613">
        <f t="shared" si="135"/>
        <v>0</v>
      </c>
      <c r="AA613">
        <f t="shared" si="135"/>
        <v>0</v>
      </c>
      <c r="AB613">
        <f t="shared" si="135"/>
        <v>0</v>
      </c>
      <c r="AC613">
        <f t="shared" si="135"/>
        <v>0</v>
      </c>
      <c r="AD613">
        <f t="shared" si="135"/>
        <v>0</v>
      </c>
      <c r="AE613">
        <f t="shared" si="135"/>
        <v>0</v>
      </c>
      <c r="AF613">
        <f t="shared" si="135"/>
        <v>0</v>
      </c>
      <c r="AG613">
        <f t="shared" si="135"/>
        <v>0</v>
      </c>
      <c r="AH613">
        <f t="shared" si="135"/>
        <v>0</v>
      </c>
      <c r="AI613">
        <f t="shared" si="135"/>
        <v>0</v>
      </c>
      <c r="AJ613">
        <f t="shared" si="135"/>
        <v>0</v>
      </c>
      <c r="AK613">
        <f t="shared" si="132"/>
        <v>0</v>
      </c>
      <c r="AL613">
        <f t="shared" si="132"/>
        <v>0</v>
      </c>
      <c r="AM613">
        <f t="shared" si="132"/>
        <v>0</v>
      </c>
      <c r="AN613">
        <f t="shared" si="132"/>
        <v>0</v>
      </c>
      <c r="AO613">
        <f t="shared" si="132"/>
        <v>0</v>
      </c>
      <c r="AP613">
        <f t="shared" si="132"/>
        <v>0</v>
      </c>
      <c r="AQ613">
        <f t="shared" si="132"/>
        <v>0</v>
      </c>
      <c r="AR613">
        <f t="shared" si="132"/>
        <v>0</v>
      </c>
    </row>
    <row r="614" spans="5:44" x14ac:dyDescent="0.2">
      <c r="E614" s="1">
        <f>moment_rate!$M614</f>
        <v>1.0187272704508947E-2</v>
      </c>
      <c r="F614" s="1">
        <f t="shared" si="128"/>
        <v>7.5518127897380299E-5</v>
      </c>
      <c r="G614">
        <f>moment_rate!I614-0.005</f>
        <v>6.069999999999915</v>
      </c>
      <c r="H614" s="1">
        <f t="shared" si="129"/>
        <v>7.5518127897380299E-5</v>
      </c>
      <c r="I614">
        <f t="shared" si="133"/>
        <v>0</v>
      </c>
      <c r="J614">
        <f t="shared" si="133"/>
        <v>0</v>
      </c>
      <c r="K614">
        <f t="shared" si="133"/>
        <v>0</v>
      </c>
      <c r="L614">
        <f t="shared" si="133"/>
        <v>0</v>
      </c>
      <c r="M614">
        <f t="shared" si="133"/>
        <v>0</v>
      </c>
      <c r="N614">
        <f t="shared" si="133"/>
        <v>0</v>
      </c>
      <c r="O614">
        <f t="shared" si="133"/>
        <v>0</v>
      </c>
      <c r="P614">
        <f t="shared" si="133"/>
        <v>0</v>
      </c>
      <c r="Q614">
        <f t="shared" si="133"/>
        <v>0</v>
      </c>
      <c r="R614">
        <f t="shared" si="133"/>
        <v>0</v>
      </c>
      <c r="S614">
        <f t="shared" si="133"/>
        <v>7.5518127897380299E-5</v>
      </c>
      <c r="T614">
        <f t="shared" si="133"/>
        <v>0</v>
      </c>
      <c r="U614">
        <f t="shared" si="133"/>
        <v>0</v>
      </c>
      <c r="V614">
        <f t="shared" si="133"/>
        <v>0</v>
      </c>
      <c r="W614">
        <f t="shared" si="133"/>
        <v>0</v>
      </c>
      <c r="X614">
        <f t="shared" si="133"/>
        <v>0</v>
      </c>
      <c r="Y614">
        <f t="shared" si="135"/>
        <v>0</v>
      </c>
      <c r="Z614">
        <f t="shared" si="135"/>
        <v>0</v>
      </c>
      <c r="AA614">
        <f t="shared" si="135"/>
        <v>0</v>
      </c>
      <c r="AB614">
        <f t="shared" si="135"/>
        <v>0</v>
      </c>
      <c r="AC614">
        <f t="shared" si="135"/>
        <v>0</v>
      </c>
      <c r="AD614">
        <f t="shared" si="135"/>
        <v>0</v>
      </c>
      <c r="AE614">
        <f t="shared" si="135"/>
        <v>0</v>
      </c>
      <c r="AF614">
        <f t="shared" si="135"/>
        <v>0</v>
      </c>
      <c r="AG614">
        <f t="shared" si="135"/>
        <v>0</v>
      </c>
      <c r="AH614">
        <f t="shared" si="135"/>
        <v>0</v>
      </c>
      <c r="AI614">
        <f t="shared" si="135"/>
        <v>0</v>
      </c>
      <c r="AJ614">
        <f t="shared" si="135"/>
        <v>0</v>
      </c>
      <c r="AK614">
        <f t="shared" si="132"/>
        <v>0</v>
      </c>
      <c r="AL614">
        <f t="shared" si="132"/>
        <v>0</v>
      </c>
      <c r="AM614">
        <f t="shared" si="132"/>
        <v>0</v>
      </c>
      <c r="AN614">
        <f t="shared" si="132"/>
        <v>0</v>
      </c>
      <c r="AO614">
        <f t="shared" si="132"/>
        <v>0</v>
      </c>
      <c r="AP614">
        <f t="shared" si="132"/>
        <v>0</v>
      </c>
      <c r="AQ614">
        <f t="shared" si="132"/>
        <v>0</v>
      </c>
      <c r="AR614">
        <f t="shared" si="132"/>
        <v>0</v>
      </c>
    </row>
    <row r="615" spans="5:44" x14ac:dyDescent="0.2">
      <c r="E615" s="1">
        <f>moment_rate!$M615</f>
        <v>1.0111754576611566E-2</v>
      </c>
      <c r="F615" s="1">
        <f t="shared" si="128"/>
        <v>7.3969249992296079E-5</v>
      </c>
      <c r="G615">
        <f>moment_rate!I615-0.005</f>
        <v>6.0799999999999148</v>
      </c>
      <c r="H615" s="1">
        <f t="shared" si="129"/>
        <v>7.3969249992296079E-5</v>
      </c>
      <c r="I615">
        <f t="shared" si="133"/>
        <v>0</v>
      </c>
      <c r="J615">
        <f t="shared" si="133"/>
        <v>0</v>
      </c>
      <c r="K615">
        <f t="shared" si="133"/>
        <v>0</v>
      </c>
      <c r="L615">
        <f t="shared" si="133"/>
        <v>0</v>
      </c>
      <c r="M615">
        <f t="shared" si="133"/>
        <v>0</v>
      </c>
      <c r="N615">
        <f t="shared" si="133"/>
        <v>0</v>
      </c>
      <c r="O615">
        <f t="shared" si="133"/>
        <v>0</v>
      </c>
      <c r="P615">
        <f t="shared" si="133"/>
        <v>0</v>
      </c>
      <c r="Q615">
        <f t="shared" si="133"/>
        <v>0</v>
      </c>
      <c r="R615">
        <f t="shared" si="133"/>
        <v>0</v>
      </c>
      <c r="S615">
        <f t="shared" si="133"/>
        <v>7.3969249992296079E-5</v>
      </c>
      <c r="T615">
        <f t="shared" si="133"/>
        <v>0</v>
      </c>
      <c r="U615">
        <f t="shared" si="133"/>
        <v>0</v>
      </c>
      <c r="V615">
        <f t="shared" si="133"/>
        <v>0</v>
      </c>
      <c r="W615">
        <f t="shared" si="133"/>
        <v>0</v>
      </c>
      <c r="X615">
        <f t="shared" si="133"/>
        <v>0</v>
      </c>
      <c r="Y615">
        <f t="shared" si="135"/>
        <v>0</v>
      </c>
      <c r="Z615">
        <f t="shared" si="135"/>
        <v>0</v>
      </c>
      <c r="AA615">
        <f t="shared" si="135"/>
        <v>0</v>
      </c>
      <c r="AB615">
        <f t="shared" si="135"/>
        <v>0</v>
      </c>
      <c r="AC615">
        <f t="shared" si="135"/>
        <v>0</v>
      </c>
      <c r="AD615">
        <f t="shared" si="135"/>
        <v>0</v>
      </c>
      <c r="AE615">
        <f t="shared" si="135"/>
        <v>0</v>
      </c>
      <c r="AF615">
        <f t="shared" si="135"/>
        <v>0</v>
      </c>
      <c r="AG615">
        <f t="shared" si="135"/>
        <v>0</v>
      </c>
      <c r="AH615">
        <f t="shared" si="135"/>
        <v>0</v>
      </c>
      <c r="AI615">
        <f t="shared" si="135"/>
        <v>0</v>
      </c>
      <c r="AJ615">
        <f t="shared" si="135"/>
        <v>0</v>
      </c>
      <c r="AK615">
        <f t="shared" si="132"/>
        <v>0</v>
      </c>
      <c r="AL615">
        <f t="shared" si="132"/>
        <v>0</v>
      </c>
      <c r="AM615">
        <f t="shared" si="132"/>
        <v>0</v>
      </c>
      <c r="AN615">
        <f t="shared" si="132"/>
        <v>0</v>
      </c>
      <c r="AO615">
        <f t="shared" si="132"/>
        <v>0</v>
      </c>
      <c r="AP615">
        <f t="shared" si="132"/>
        <v>0</v>
      </c>
      <c r="AQ615">
        <f t="shared" si="132"/>
        <v>0</v>
      </c>
      <c r="AR615">
        <f t="shared" si="132"/>
        <v>0</v>
      </c>
    </row>
    <row r="616" spans="5:44" x14ac:dyDescent="0.2">
      <c r="E616" s="1">
        <f>moment_rate!$M616</f>
        <v>1.003778532661927E-2</v>
      </c>
      <c r="F616" s="1">
        <f t="shared" si="128"/>
        <v>7.2452139595649903E-5</v>
      </c>
      <c r="G616">
        <f>moment_rate!I616-0.005</f>
        <v>6.0899999999999146</v>
      </c>
      <c r="H616" s="1">
        <f t="shared" si="129"/>
        <v>7.2452139595649903E-5</v>
      </c>
      <c r="I616">
        <f t="shared" si="133"/>
        <v>0</v>
      </c>
      <c r="J616">
        <f t="shared" si="133"/>
        <v>0</v>
      </c>
      <c r="K616">
        <f t="shared" si="133"/>
        <v>0</v>
      </c>
      <c r="L616">
        <f t="shared" si="133"/>
        <v>0</v>
      </c>
      <c r="M616">
        <f t="shared" si="133"/>
        <v>0</v>
      </c>
      <c r="N616">
        <f t="shared" si="133"/>
        <v>0</v>
      </c>
      <c r="O616">
        <f t="shared" si="133"/>
        <v>0</v>
      </c>
      <c r="P616">
        <f t="shared" si="133"/>
        <v>0</v>
      </c>
      <c r="Q616">
        <f t="shared" si="133"/>
        <v>0</v>
      </c>
      <c r="R616">
        <f t="shared" si="133"/>
        <v>0</v>
      </c>
      <c r="S616">
        <f t="shared" si="133"/>
        <v>7.2452139595649903E-5</v>
      </c>
      <c r="T616">
        <f t="shared" si="133"/>
        <v>0</v>
      </c>
      <c r="U616">
        <f t="shared" si="133"/>
        <v>0</v>
      </c>
      <c r="V616">
        <f t="shared" si="133"/>
        <v>0</v>
      </c>
      <c r="W616">
        <f t="shared" si="133"/>
        <v>0</v>
      </c>
      <c r="X616">
        <f t="shared" si="133"/>
        <v>0</v>
      </c>
      <c r="Y616">
        <f t="shared" si="135"/>
        <v>0</v>
      </c>
      <c r="Z616">
        <f t="shared" si="135"/>
        <v>0</v>
      </c>
      <c r="AA616">
        <f t="shared" si="135"/>
        <v>0</v>
      </c>
      <c r="AB616">
        <f t="shared" si="135"/>
        <v>0</v>
      </c>
      <c r="AC616">
        <f t="shared" si="135"/>
        <v>0</v>
      </c>
      <c r="AD616">
        <f t="shared" si="135"/>
        <v>0</v>
      </c>
      <c r="AE616">
        <f t="shared" si="135"/>
        <v>0</v>
      </c>
      <c r="AF616">
        <f t="shared" si="135"/>
        <v>0</v>
      </c>
      <c r="AG616">
        <f t="shared" si="135"/>
        <v>0</v>
      </c>
      <c r="AH616">
        <f t="shared" si="135"/>
        <v>0</v>
      </c>
      <c r="AI616">
        <f t="shared" si="135"/>
        <v>0</v>
      </c>
      <c r="AJ616">
        <f t="shared" si="135"/>
        <v>0</v>
      </c>
      <c r="AK616">
        <f t="shared" si="132"/>
        <v>0</v>
      </c>
      <c r="AL616">
        <f t="shared" si="132"/>
        <v>0</v>
      </c>
      <c r="AM616">
        <f t="shared" si="132"/>
        <v>0</v>
      </c>
      <c r="AN616">
        <f t="shared" si="132"/>
        <v>0</v>
      </c>
      <c r="AO616">
        <f t="shared" si="132"/>
        <v>0</v>
      </c>
      <c r="AP616">
        <f t="shared" si="132"/>
        <v>0</v>
      </c>
      <c r="AQ616">
        <f t="shared" si="132"/>
        <v>0</v>
      </c>
      <c r="AR616">
        <f t="shared" si="132"/>
        <v>0</v>
      </c>
    </row>
    <row r="617" spans="5:44" x14ac:dyDescent="0.2">
      <c r="E617" s="1">
        <f>moment_rate!$M617</f>
        <v>9.9653331870236204E-3</v>
      </c>
      <c r="F617" s="1">
        <f t="shared" si="128"/>
        <v>7.0966145155369059E-5</v>
      </c>
      <c r="G617">
        <f>moment_rate!I617-0.005</f>
        <v>6.0999999999999144</v>
      </c>
      <c r="H617" s="1">
        <f t="shared" si="129"/>
        <v>7.0966145155369059E-5</v>
      </c>
      <c r="I617">
        <f t="shared" si="133"/>
        <v>0</v>
      </c>
      <c r="J617">
        <f t="shared" si="133"/>
        <v>0</v>
      </c>
      <c r="K617">
        <f t="shared" si="133"/>
        <v>0</v>
      </c>
      <c r="L617">
        <f t="shared" si="133"/>
        <v>0</v>
      </c>
      <c r="M617">
        <f t="shared" si="133"/>
        <v>0</v>
      </c>
      <c r="N617">
        <f t="shared" si="133"/>
        <v>0</v>
      </c>
      <c r="O617">
        <f t="shared" si="133"/>
        <v>0</v>
      </c>
      <c r="P617">
        <f t="shared" si="133"/>
        <v>0</v>
      </c>
      <c r="Q617">
        <f t="shared" si="133"/>
        <v>0</v>
      </c>
      <c r="R617">
        <f t="shared" si="133"/>
        <v>0</v>
      </c>
      <c r="S617">
        <f t="shared" si="133"/>
        <v>7.0966145155369059E-5</v>
      </c>
      <c r="T617">
        <f t="shared" si="133"/>
        <v>0</v>
      </c>
      <c r="U617">
        <f t="shared" si="133"/>
        <v>0</v>
      </c>
      <c r="V617">
        <f t="shared" si="133"/>
        <v>0</v>
      </c>
      <c r="W617">
        <f t="shared" si="133"/>
        <v>0</v>
      </c>
      <c r="X617">
        <f t="shared" si="133"/>
        <v>0</v>
      </c>
      <c r="Y617">
        <f t="shared" si="135"/>
        <v>0</v>
      </c>
      <c r="Z617">
        <f t="shared" si="135"/>
        <v>0</v>
      </c>
      <c r="AA617">
        <f t="shared" si="135"/>
        <v>0</v>
      </c>
      <c r="AB617">
        <f t="shared" si="135"/>
        <v>0</v>
      </c>
      <c r="AC617">
        <f t="shared" si="135"/>
        <v>0</v>
      </c>
      <c r="AD617">
        <f t="shared" si="135"/>
        <v>0</v>
      </c>
      <c r="AE617">
        <f t="shared" si="135"/>
        <v>0</v>
      </c>
      <c r="AF617">
        <f t="shared" si="135"/>
        <v>0</v>
      </c>
      <c r="AG617">
        <f t="shared" si="135"/>
        <v>0</v>
      </c>
      <c r="AH617">
        <f t="shared" si="135"/>
        <v>0</v>
      </c>
      <c r="AI617">
        <f t="shared" si="135"/>
        <v>0</v>
      </c>
      <c r="AJ617">
        <f t="shared" si="135"/>
        <v>0</v>
      </c>
      <c r="AK617">
        <f t="shared" si="132"/>
        <v>0</v>
      </c>
      <c r="AL617">
        <f t="shared" si="132"/>
        <v>0</v>
      </c>
      <c r="AM617">
        <f t="shared" si="132"/>
        <v>0</v>
      </c>
      <c r="AN617">
        <f t="shared" si="132"/>
        <v>0</v>
      </c>
      <c r="AO617">
        <f t="shared" si="132"/>
        <v>0</v>
      </c>
      <c r="AP617">
        <f t="shared" si="132"/>
        <v>0</v>
      </c>
      <c r="AQ617">
        <f t="shared" si="132"/>
        <v>0</v>
      </c>
      <c r="AR617">
        <f t="shared" si="132"/>
        <v>0</v>
      </c>
    </row>
    <row r="618" spans="5:44" x14ac:dyDescent="0.2">
      <c r="E618" s="1">
        <f>moment_rate!$M618</f>
        <v>9.8943670418682513E-3</v>
      </c>
      <c r="F618" s="1">
        <f t="shared" si="128"/>
        <v>6.9510628482745071E-5</v>
      </c>
      <c r="G618">
        <f>moment_rate!I618-0.005</f>
        <v>6.1099999999999142</v>
      </c>
      <c r="H618" s="1">
        <f t="shared" si="129"/>
        <v>6.9510628482745071E-5</v>
      </c>
      <c r="I618">
        <f t="shared" si="133"/>
        <v>0</v>
      </c>
      <c r="J618">
        <f t="shared" si="133"/>
        <v>0</v>
      </c>
      <c r="K618">
        <f t="shared" si="133"/>
        <v>0</v>
      </c>
      <c r="L618">
        <f t="shared" si="133"/>
        <v>0</v>
      </c>
      <c r="M618">
        <f t="shared" si="133"/>
        <v>0</v>
      </c>
      <c r="N618">
        <f t="shared" si="133"/>
        <v>0</v>
      </c>
      <c r="O618">
        <f t="shared" si="133"/>
        <v>0</v>
      </c>
      <c r="P618">
        <f t="shared" si="133"/>
        <v>0</v>
      </c>
      <c r="Q618">
        <f t="shared" si="133"/>
        <v>0</v>
      </c>
      <c r="R618">
        <f t="shared" si="133"/>
        <v>0</v>
      </c>
      <c r="S618">
        <f t="shared" si="133"/>
        <v>0</v>
      </c>
      <c r="T618">
        <f t="shared" si="133"/>
        <v>6.9510628482745071E-5</v>
      </c>
      <c r="U618">
        <f t="shared" si="133"/>
        <v>0</v>
      </c>
      <c r="V618">
        <f t="shared" si="133"/>
        <v>0</v>
      </c>
      <c r="W618">
        <f t="shared" si="133"/>
        <v>0</v>
      </c>
      <c r="X618">
        <f t="shared" ref="X618:AM633" si="136">IF(AND($G618&gt;=X$3,$G618&lt;X$4),$F618,0)</f>
        <v>0</v>
      </c>
      <c r="Y618">
        <f t="shared" si="136"/>
        <v>0</v>
      </c>
      <c r="Z618">
        <f t="shared" si="135"/>
        <v>0</v>
      </c>
      <c r="AA618">
        <f t="shared" si="135"/>
        <v>0</v>
      </c>
      <c r="AB618">
        <f t="shared" si="135"/>
        <v>0</v>
      </c>
      <c r="AC618">
        <f t="shared" si="135"/>
        <v>0</v>
      </c>
      <c r="AD618">
        <f t="shared" si="135"/>
        <v>0</v>
      </c>
      <c r="AE618">
        <f t="shared" si="135"/>
        <v>0</v>
      </c>
      <c r="AF618">
        <f t="shared" si="135"/>
        <v>0</v>
      </c>
      <c r="AG618">
        <f t="shared" si="135"/>
        <v>0</v>
      </c>
      <c r="AH618">
        <f t="shared" si="135"/>
        <v>0</v>
      </c>
      <c r="AI618">
        <f t="shared" si="135"/>
        <v>0</v>
      </c>
      <c r="AJ618">
        <f t="shared" si="135"/>
        <v>0</v>
      </c>
      <c r="AK618">
        <f t="shared" si="132"/>
        <v>0</v>
      </c>
      <c r="AL618">
        <f t="shared" si="132"/>
        <v>0</v>
      </c>
      <c r="AM618">
        <f t="shared" si="132"/>
        <v>0</v>
      </c>
      <c r="AN618">
        <f t="shared" si="132"/>
        <v>0</v>
      </c>
      <c r="AO618">
        <f t="shared" si="132"/>
        <v>0</v>
      </c>
      <c r="AP618">
        <f t="shared" si="132"/>
        <v>0</v>
      </c>
      <c r="AQ618">
        <f t="shared" si="132"/>
        <v>0</v>
      </c>
      <c r="AR618">
        <f t="shared" si="132"/>
        <v>0</v>
      </c>
    </row>
    <row r="619" spans="5:44" x14ac:dyDescent="0.2">
      <c r="E619" s="1">
        <f>moment_rate!$M619</f>
        <v>9.8248564133855062E-3</v>
      </c>
      <c r="F619" s="1">
        <f t="shared" si="128"/>
        <v>6.8084964478312693E-5</v>
      </c>
      <c r="G619">
        <f>moment_rate!I619-0.005</f>
        <v>6.119999999999914</v>
      </c>
      <c r="H619" s="1">
        <f t="shared" si="129"/>
        <v>6.8084964478312693E-5</v>
      </c>
      <c r="I619">
        <f t="shared" ref="I619:X634" si="137">IF(AND($G619&gt;=I$3,$G619&lt;I$4),$F619,0)</f>
        <v>0</v>
      </c>
      <c r="J619">
        <f t="shared" si="137"/>
        <v>0</v>
      </c>
      <c r="K619">
        <f t="shared" si="137"/>
        <v>0</v>
      </c>
      <c r="L619">
        <f t="shared" si="137"/>
        <v>0</v>
      </c>
      <c r="M619">
        <f t="shared" si="137"/>
        <v>0</v>
      </c>
      <c r="N619">
        <f t="shared" si="137"/>
        <v>0</v>
      </c>
      <c r="O619">
        <f t="shared" si="137"/>
        <v>0</v>
      </c>
      <c r="P619">
        <f t="shared" si="137"/>
        <v>0</v>
      </c>
      <c r="Q619">
        <f t="shared" si="137"/>
        <v>0</v>
      </c>
      <c r="R619">
        <f t="shared" si="137"/>
        <v>0</v>
      </c>
      <c r="S619">
        <f t="shared" si="137"/>
        <v>0</v>
      </c>
      <c r="T619">
        <f t="shared" si="137"/>
        <v>6.8084964478312693E-5</v>
      </c>
      <c r="U619">
        <f t="shared" si="137"/>
        <v>0</v>
      </c>
      <c r="V619">
        <f t="shared" si="137"/>
        <v>0</v>
      </c>
      <c r="W619">
        <f t="shared" si="137"/>
        <v>0</v>
      </c>
      <c r="X619">
        <f t="shared" si="137"/>
        <v>0</v>
      </c>
      <c r="Y619">
        <f t="shared" si="136"/>
        <v>0</v>
      </c>
      <c r="Z619">
        <f t="shared" si="135"/>
        <v>0</v>
      </c>
      <c r="AA619">
        <f t="shared" si="135"/>
        <v>0</v>
      </c>
      <c r="AB619">
        <f t="shared" si="135"/>
        <v>0</v>
      </c>
      <c r="AC619">
        <f t="shared" si="135"/>
        <v>0</v>
      </c>
      <c r="AD619">
        <f t="shared" si="135"/>
        <v>0</v>
      </c>
      <c r="AE619">
        <f t="shared" si="135"/>
        <v>0</v>
      </c>
      <c r="AF619">
        <f t="shared" si="135"/>
        <v>0</v>
      </c>
      <c r="AG619">
        <f t="shared" si="135"/>
        <v>0</v>
      </c>
      <c r="AH619">
        <f t="shared" si="135"/>
        <v>0</v>
      </c>
      <c r="AI619">
        <f t="shared" si="135"/>
        <v>0</v>
      </c>
      <c r="AJ619">
        <f t="shared" si="135"/>
        <v>0</v>
      </c>
      <c r="AK619">
        <f t="shared" si="132"/>
        <v>0</v>
      </c>
      <c r="AL619">
        <f t="shared" si="132"/>
        <v>0</v>
      </c>
      <c r="AM619">
        <f t="shared" si="132"/>
        <v>0</v>
      </c>
      <c r="AN619">
        <f t="shared" si="132"/>
        <v>0</v>
      </c>
      <c r="AO619">
        <f t="shared" si="132"/>
        <v>0</v>
      </c>
      <c r="AP619">
        <f t="shared" si="132"/>
        <v>0</v>
      </c>
      <c r="AQ619">
        <f t="shared" si="132"/>
        <v>0</v>
      </c>
      <c r="AR619">
        <f t="shared" si="132"/>
        <v>0</v>
      </c>
    </row>
    <row r="620" spans="5:44" x14ac:dyDescent="0.2">
      <c r="E620" s="1">
        <f>moment_rate!$M620</f>
        <v>9.7567714489071936E-3</v>
      </c>
      <c r="F620" s="1">
        <f t="shared" si="128"/>
        <v>6.668854086341533E-5</v>
      </c>
      <c r="G620">
        <f>moment_rate!I620-0.005</f>
        <v>6.1299999999999137</v>
      </c>
      <c r="H620" s="1">
        <f t="shared" si="129"/>
        <v>6.668854086341533E-5</v>
      </c>
      <c r="I620">
        <f t="shared" si="137"/>
        <v>0</v>
      </c>
      <c r="J620">
        <f t="shared" si="137"/>
        <v>0</v>
      </c>
      <c r="K620">
        <f t="shared" si="137"/>
        <v>0</v>
      </c>
      <c r="L620">
        <f t="shared" si="137"/>
        <v>0</v>
      </c>
      <c r="M620">
        <f t="shared" si="137"/>
        <v>0</v>
      </c>
      <c r="N620">
        <f t="shared" si="137"/>
        <v>0</v>
      </c>
      <c r="O620">
        <f t="shared" si="137"/>
        <v>0</v>
      </c>
      <c r="P620">
        <f t="shared" si="137"/>
        <v>0</v>
      </c>
      <c r="Q620">
        <f t="shared" si="137"/>
        <v>0</v>
      </c>
      <c r="R620">
        <f t="shared" si="137"/>
        <v>0</v>
      </c>
      <c r="S620">
        <f t="shared" si="137"/>
        <v>0</v>
      </c>
      <c r="T620">
        <f t="shared" si="137"/>
        <v>6.668854086341533E-5</v>
      </c>
      <c r="U620">
        <f t="shared" si="137"/>
        <v>0</v>
      </c>
      <c r="V620">
        <f t="shared" si="137"/>
        <v>0</v>
      </c>
      <c r="W620">
        <f t="shared" si="137"/>
        <v>0</v>
      </c>
      <c r="X620">
        <f t="shared" si="137"/>
        <v>0</v>
      </c>
      <c r="Y620">
        <f t="shared" si="136"/>
        <v>0</v>
      </c>
      <c r="Z620">
        <f t="shared" si="136"/>
        <v>0</v>
      </c>
      <c r="AA620">
        <f t="shared" si="136"/>
        <v>0</v>
      </c>
      <c r="AB620">
        <f t="shared" si="136"/>
        <v>0</v>
      </c>
      <c r="AC620">
        <f t="shared" si="136"/>
        <v>0</v>
      </c>
      <c r="AD620">
        <f t="shared" si="136"/>
        <v>0</v>
      </c>
      <c r="AE620">
        <f t="shared" si="136"/>
        <v>0</v>
      </c>
      <c r="AF620">
        <f t="shared" si="136"/>
        <v>0</v>
      </c>
      <c r="AG620">
        <f t="shared" si="136"/>
        <v>0</v>
      </c>
      <c r="AH620">
        <f t="shared" si="136"/>
        <v>0</v>
      </c>
      <c r="AI620">
        <f t="shared" si="136"/>
        <v>0</v>
      </c>
      <c r="AJ620">
        <f t="shared" si="136"/>
        <v>0</v>
      </c>
      <c r="AK620">
        <f t="shared" si="132"/>
        <v>0</v>
      </c>
      <c r="AL620">
        <f t="shared" si="132"/>
        <v>0</v>
      </c>
      <c r="AM620">
        <f t="shared" si="132"/>
        <v>0</v>
      </c>
      <c r="AN620">
        <f t="shared" si="132"/>
        <v>0</v>
      </c>
      <c r="AO620">
        <f t="shared" si="132"/>
        <v>0</v>
      </c>
      <c r="AP620">
        <f t="shared" si="132"/>
        <v>0</v>
      </c>
      <c r="AQ620">
        <f t="shared" si="132"/>
        <v>0</v>
      </c>
      <c r="AR620">
        <f t="shared" si="132"/>
        <v>0</v>
      </c>
    </row>
    <row r="621" spans="5:44" x14ac:dyDescent="0.2">
      <c r="E621" s="1">
        <f>moment_rate!$M621</f>
        <v>9.6900829080437782E-3</v>
      </c>
      <c r="F621" s="1">
        <f t="shared" si="128"/>
        <v>6.5320757917233102E-5</v>
      </c>
      <c r="G621">
        <f>moment_rate!I621-0.005</f>
        <v>6.1399999999999135</v>
      </c>
      <c r="H621" s="1">
        <f t="shared" si="129"/>
        <v>6.5320757917233102E-5</v>
      </c>
      <c r="I621">
        <f t="shared" si="137"/>
        <v>0</v>
      </c>
      <c r="J621">
        <f t="shared" si="137"/>
        <v>0</v>
      </c>
      <c r="K621">
        <f t="shared" si="137"/>
        <v>0</v>
      </c>
      <c r="L621">
        <f t="shared" si="137"/>
        <v>0</v>
      </c>
      <c r="M621">
        <f t="shared" si="137"/>
        <v>0</v>
      </c>
      <c r="N621">
        <f t="shared" si="137"/>
        <v>0</v>
      </c>
      <c r="O621">
        <f t="shared" si="137"/>
        <v>0</v>
      </c>
      <c r="P621">
        <f t="shared" si="137"/>
        <v>0</v>
      </c>
      <c r="Q621">
        <f t="shared" si="137"/>
        <v>0</v>
      </c>
      <c r="R621">
        <f t="shared" si="137"/>
        <v>0</v>
      </c>
      <c r="S621">
        <f t="shared" si="137"/>
        <v>0</v>
      </c>
      <c r="T621">
        <f t="shared" si="137"/>
        <v>6.5320757917233102E-5</v>
      </c>
      <c r="U621">
        <f t="shared" si="137"/>
        <v>0</v>
      </c>
      <c r="V621">
        <f t="shared" si="137"/>
        <v>0</v>
      </c>
      <c r="W621">
        <f t="shared" si="137"/>
        <v>0</v>
      </c>
      <c r="X621">
        <f t="shared" si="137"/>
        <v>0</v>
      </c>
      <c r="Y621">
        <f t="shared" si="136"/>
        <v>0</v>
      </c>
      <c r="Z621">
        <f t="shared" si="136"/>
        <v>0</v>
      </c>
      <c r="AA621">
        <f t="shared" si="136"/>
        <v>0</v>
      </c>
      <c r="AB621">
        <f t="shared" si="136"/>
        <v>0</v>
      </c>
      <c r="AC621">
        <f t="shared" si="136"/>
        <v>0</v>
      </c>
      <c r="AD621">
        <f t="shared" si="136"/>
        <v>0</v>
      </c>
      <c r="AE621">
        <f t="shared" si="136"/>
        <v>0</v>
      </c>
      <c r="AF621">
        <f t="shared" si="136"/>
        <v>0</v>
      </c>
      <c r="AG621">
        <f t="shared" si="136"/>
        <v>0</v>
      </c>
      <c r="AH621">
        <f t="shared" si="136"/>
        <v>0</v>
      </c>
      <c r="AI621">
        <f t="shared" si="136"/>
        <v>0</v>
      </c>
      <c r="AJ621">
        <f t="shared" si="136"/>
        <v>0</v>
      </c>
      <c r="AK621">
        <f t="shared" si="132"/>
        <v>0</v>
      </c>
      <c r="AL621">
        <f t="shared" si="132"/>
        <v>0</v>
      </c>
      <c r="AM621">
        <f t="shared" si="132"/>
        <v>0</v>
      </c>
      <c r="AN621">
        <f t="shared" si="132"/>
        <v>0</v>
      </c>
      <c r="AO621">
        <f t="shared" si="132"/>
        <v>0</v>
      </c>
      <c r="AP621">
        <f t="shared" si="132"/>
        <v>0</v>
      </c>
      <c r="AQ621">
        <f t="shared" si="132"/>
        <v>0</v>
      </c>
      <c r="AR621">
        <f t="shared" si="132"/>
        <v>0</v>
      </c>
    </row>
    <row r="622" spans="5:44" x14ac:dyDescent="0.2">
      <c r="E622" s="1">
        <f>moment_rate!$M622</f>
        <v>9.6247621501265451E-3</v>
      </c>
      <c r="F622" s="1">
        <f t="shared" si="128"/>
        <v>6.3981028219237124E-5</v>
      </c>
      <c r="G622">
        <f>moment_rate!I622-0.005</f>
        <v>6.1499999999999133</v>
      </c>
      <c r="H622" s="1">
        <f t="shared" si="129"/>
        <v>6.3981028219237124E-5</v>
      </c>
      <c r="I622">
        <f t="shared" si="137"/>
        <v>0</v>
      </c>
      <c r="J622">
        <f t="shared" si="137"/>
        <v>0</v>
      </c>
      <c r="K622">
        <f t="shared" si="137"/>
        <v>0</v>
      </c>
      <c r="L622">
        <f t="shared" si="137"/>
        <v>0</v>
      </c>
      <c r="M622">
        <f t="shared" si="137"/>
        <v>0</v>
      </c>
      <c r="N622">
        <f t="shared" si="137"/>
        <v>0</v>
      </c>
      <c r="O622">
        <f t="shared" si="137"/>
        <v>0</v>
      </c>
      <c r="P622">
        <f t="shared" si="137"/>
        <v>0</v>
      </c>
      <c r="Q622">
        <f t="shared" si="137"/>
        <v>0</v>
      </c>
      <c r="R622">
        <f t="shared" si="137"/>
        <v>0</v>
      </c>
      <c r="S622">
        <f t="shared" si="137"/>
        <v>0</v>
      </c>
      <c r="T622">
        <f t="shared" si="137"/>
        <v>6.3981028219237124E-5</v>
      </c>
      <c r="U622">
        <f t="shared" si="137"/>
        <v>0</v>
      </c>
      <c r="V622">
        <f t="shared" si="137"/>
        <v>0</v>
      </c>
      <c r="W622">
        <f t="shared" si="137"/>
        <v>0</v>
      </c>
      <c r="X622">
        <f t="shared" si="137"/>
        <v>0</v>
      </c>
      <c r="Y622">
        <f t="shared" si="136"/>
        <v>0</v>
      </c>
      <c r="Z622">
        <f t="shared" si="136"/>
        <v>0</v>
      </c>
      <c r="AA622">
        <f t="shared" si="136"/>
        <v>0</v>
      </c>
      <c r="AB622">
        <f t="shared" si="136"/>
        <v>0</v>
      </c>
      <c r="AC622">
        <f t="shared" si="136"/>
        <v>0</v>
      </c>
      <c r="AD622">
        <f t="shared" si="136"/>
        <v>0</v>
      </c>
      <c r="AE622">
        <f t="shared" si="136"/>
        <v>0</v>
      </c>
      <c r="AF622">
        <f t="shared" si="136"/>
        <v>0</v>
      </c>
      <c r="AG622">
        <f t="shared" si="136"/>
        <v>0</v>
      </c>
      <c r="AH622">
        <f t="shared" si="136"/>
        <v>0</v>
      </c>
      <c r="AI622">
        <f t="shared" si="136"/>
        <v>0</v>
      </c>
      <c r="AJ622">
        <f t="shared" si="136"/>
        <v>0</v>
      </c>
      <c r="AK622">
        <f t="shared" si="136"/>
        <v>0</v>
      </c>
      <c r="AL622">
        <f t="shared" si="136"/>
        <v>0</v>
      </c>
      <c r="AM622">
        <f t="shared" si="136"/>
        <v>0</v>
      </c>
      <c r="AN622">
        <f t="shared" si="132"/>
        <v>0</v>
      </c>
      <c r="AO622">
        <f t="shared" si="132"/>
        <v>0</v>
      </c>
      <c r="AP622">
        <f t="shared" si="132"/>
        <v>0</v>
      </c>
      <c r="AQ622">
        <f t="shared" si="132"/>
        <v>0</v>
      </c>
      <c r="AR622">
        <f t="shared" si="132"/>
        <v>0</v>
      </c>
    </row>
    <row r="623" spans="5:44" x14ac:dyDescent="0.2">
      <c r="E623" s="1">
        <f>moment_rate!$M623</f>
        <v>9.560781121907308E-3</v>
      </c>
      <c r="F623" s="1">
        <f t="shared" si="128"/>
        <v>6.266877639689479E-5</v>
      </c>
      <c r="G623">
        <f>moment_rate!I623-0.005</f>
        <v>6.1599999999999131</v>
      </c>
      <c r="H623" s="1">
        <f t="shared" si="129"/>
        <v>6.266877639689479E-5</v>
      </c>
      <c r="I623">
        <f t="shared" si="137"/>
        <v>0</v>
      </c>
      <c r="J623">
        <f t="shared" si="137"/>
        <v>0</v>
      </c>
      <c r="K623">
        <f t="shared" si="137"/>
        <v>0</v>
      </c>
      <c r="L623">
        <f t="shared" si="137"/>
        <v>0</v>
      </c>
      <c r="M623">
        <f t="shared" si="137"/>
        <v>0</v>
      </c>
      <c r="N623">
        <f t="shared" si="137"/>
        <v>0</v>
      </c>
      <c r="O623">
        <f t="shared" si="137"/>
        <v>0</v>
      </c>
      <c r="P623">
        <f t="shared" si="137"/>
        <v>0</v>
      </c>
      <c r="Q623">
        <f t="shared" si="137"/>
        <v>0</v>
      </c>
      <c r="R623">
        <f t="shared" si="137"/>
        <v>0</v>
      </c>
      <c r="S623">
        <f t="shared" si="137"/>
        <v>0</v>
      </c>
      <c r="T623">
        <f t="shared" si="137"/>
        <v>6.266877639689479E-5</v>
      </c>
      <c r="U623">
        <f t="shared" si="137"/>
        <v>0</v>
      </c>
      <c r="V623">
        <f t="shared" si="137"/>
        <v>0</v>
      </c>
      <c r="W623">
        <f t="shared" si="137"/>
        <v>0</v>
      </c>
      <c r="X623">
        <f t="shared" si="137"/>
        <v>0</v>
      </c>
      <c r="Y623">
        <f t="shared" si="136"/>
        <v>0</v>
      </c>
      <c r="Z623">
        <f t="shared" si="136"/>
        <v>0</v>
      </c>
      <c r="AA623">
        <f t="shared" si="136"/>
        <v>0</v>
      </c>
      <c r="AB623">
        <f t="shared" si="136"/>
        <v>0</v>
      </c>
      <c r="AC623">
        <f t="shared" si="136"/>
        <v>0</v>
      </c>
      <c r="AD623">
        <f t="shared" si="136"/>
        <v>0</v>
      </c>
      <c r="AE623">
        <f t="shared" si="136"/>
        <v>0</v>
      </c>
      <c r="AF623">
        <f t="shared" si="136"/>
        <v>0</v>
      </c>
      <c r="AG623">
        <f t="shared" si="136"/>
        <v>0</v>
      </c>
      <c r="AH623">
        <f t="shared" si="136"/>
        <v>0</v>
      </c>
      <c r="AI623">
        <f t="shared" si="136"/>
        <v>0</v>
      </c>
      <c r="AJ623">
        <f t="shared" si="136"/>
        <v>0</v>
      </c>
      <c r="AK623">
        <f t="shared" si="136"/>
        <v>0</v>
      </c>
      <c r="AL623">
        <f t="shared" si="136"/>
        <v>0</v>
      </c>
      <c r="AM623">
        <f t="shared" si="136"/>
        <v>0</v>
      </c>
      <c r="AN623">
        <f t="shared" si="132"/>
        <v>0</v>
      </c>
      <c r="AO623">
        <f t="shared" si="132"/>
        <v>0</v>
      </c>
      <c r="AP623">
        <f t="shared" si="132"/>
        <v>0</v>
      </c>
      <c r="AQ623">
        <f t="shared" si="132"/>
        <v>0</v>
      </c>
      <c r="AR623">
        <f t="shared" si="132"/>
        <v>0</v>
      </c>
    </row>
    <row r="624" spans="5:44" x14ac:dyDescent="0.2">
      <c r="E624" s="1">
        <f>moment_rate!$M624</f>
        <v>9.4981123455104132E-3</v>
      </c>
      <c r="F624" s="1">
        <f t="shared" si="128"/>
        <v>6.1383438878574031E-5</v>
      </c>
      <c r="G624">
        <f>moment_rate!I624-0.005</f>
        <v>6.1699999999999129</v>
      </c>
      <c r="H624" s="1">
        <f t="shared" si="129"/>
        <v>6.1383438878574031E-5</v>
      </c>
      <c r="I624">
        <f t="shared" si="137"/>
        <v>0</v>
      </c>
      <c r="J624">
        <f t="shared" si="137"/>
        <v>0</v>
      </c>
      <c r="K624">
        <f t="shared" si="137"/>
        <v>0</v>
      </c>
      <c r="L624">
        <f t="shared" si="137"/>
        <v>0</v>
      </c>
      <c r="M624">
        <f t="shared" si="137"/>
        <v>0</v>
      </c>
      <c r="N624">
        <f t="shared" si="137"/>
        <v>0</v>
      </c>
      <c r="O624">
        <f t="shared" si="137"/>
        <v>0</v>
      </c>
      <c r="P624">
        <f t="shared" si="137"/>
        <v>0</v>
      </c>
      <c r="Q624">
        <f t="shared" si="137"/>
        <v>0</v>
      </c>
      <c r="R624">
        <f t="shared" si="137"/>
        <v>0</v>
      </c>
      <c r="S624">
        <f t="shared" si="137"/>
        <v>0</v>
      </c>
      <c r="T624">
        <f t="shared" si="137"/>
        <v>6.1383438878574031E-5</v>
      </c>
      <c r="U624">
        <f t="shared" si="137"/>
        <v>0</v>
      </c>
      <c r="V624">
        <f t="shared" si="137"/>
        <v>0</v>
      </c>
      <c r="W624">
        <f t="shared" si="137"/>
        <v>0</v>
      </c>
      <c r="X624">
        <f t="shared" si="137"/>
        <v>0</v>
      </c>
      <c r="Y624">
        <f t="shared" si="136"/>
        <v>0</v>
      </c>
      <c r="Z624">
        <f t="shared" si="136"/>
        <v>0</v>
      </c>
      <c r="AA624">
        <f t="shared" si="136"/>
        <v>0</v>
      </c>
      <c r="AB624">
        <f t="shared" si="136"/>
        <v>0</v>
      </c>
      <c r="AC624">
        <f t="shared" si="136"/>
        <v>0</v>
      </c>
      <c r="AD624">
        <f t="shared" si="136"/>
        <v>0</v>
      </c>
      <c r="AE624">
        <f t="shared" si="136"/>
        <v>0</v>
      </c>
      <c r="AF624">
        <f t="shared" si="136"/>
        <v>0</v>
      </c>
      <c r="AG624">
        <f t="shared" si="136"/>
        <v>0</v>
      </c>
      <c r="AH624">
        <f t="shared" si="136"/>
        <v>0</v>
      </c>
      <c r="AI624">
        <f t="shared" si="136"/>
        <v>0</v>
      </c>
      <c r="AJ624">
        <f t="shared" si="136"/>
        <v>0</v>
      </c>
      <c r="AK624">
        <f t="shared" si="136"/>
        <v>0</v>
      </c>
      <c r="AL624">
        <f t="shared" si="136"/>
        <v>0</v>
      </c>
      <c r="AM624">
        <f t="shared" si="136"/>
        <v>0</v>
      </c>
      <c r="AN624">
        <f t="shared" si="132"/>
        <v>0</v>
      </c>
      <c r="AO624">
        <f t="shared" si="132"/>
        <v>0</v>
      </c>
      <c r="AP624">
        <f t="shared" si="132"/>
        <v>0</v>
      </c>
      <c r="AQ624">
        <f t="shared" si="132"/>
        <v>0</v>
      </c>
      <c r="AR624">
        <f t="shared" si="132"/>
        <v>0</v>
      </c>
    </row>
    <row r="625" spans="5:44" x14ac:dyDescent="0.2">
      <c r="E625" s="1">
        <f>moment_rate!$M625</f>
        <v>9.4367289066318392E-3</v>
      </c>
      <c r="F625" s="1">
        <f t="shared" si="128"/>
        <v>6.0124463651511223E-5</v>
      </c>
      <c r="G625">
        <f>moment_rate!I625-0.005</f>
        <v>6.1799999999999127</v>
      </c>
      <c r="H625" s="1">
        <f t="shared" si="129"/>
        <v>6.0124463651511223E-5</v>
      </c>
      <c r="I625">
        <f t="shared" si="137"/>
        <v>0</v>
      </c>
      <c r="J625">
        <f t="shared" si="137"/>
        <v>0</v>
      </c>
      <c r="K625">
        <f t="shared" si="137"/>
        <v>0</v>
      </c>
      <c r="L625">
        <f t="shared" si="137"/>
        <v>0</v>
      </c>
      <c r="M625">
        <f t="shared" si="137"/>
        <v>0</v>
      </c>
      <c r="N625">
        <f t="shared" si="137"/>
        <v>0</v>
      </c>
      <c r="O625">
        <f t="shared" si="137"/>
        <v>0</v>
      </c>
      <c r="P625">
        <f t="shared" si="137"/>
        <v>0</v>
      </c>
      <c r="Q625">
        <f t="shared" si="137"/>
        <v>0</v>
      </c>
      <c r="R625">
        <f t="shared" si="137"/>
        <v>0</v>
      </c>
      <c r="S625">
        <f t="shared" si="137"/>
        <v>0</v>
      </c>
      <c r="T625">
        <f t="shared" si="137"/>
        <v>6.0124463651511223E-5</v>
      </c>
      <c r="U625">
        <f t="shared" si="137"/>
        <v>0</v>
      </c>
      <c r="V625">
        <f t="shared" si="137"/>
        <v>0</v>
      </c>
      <c r="W625">
        <f t="shared" si="137"/>
        <v>0</v>
      </c>
      <c r="X625">
        <f t="shared" si="137"/>
        <v>0</v>
      </c>
      <c r="Y625">
        <f t="shared" si="136"/>
        <v>0</v>
      </c>
      <c r="Z625">
        <f t="shared" si="136"/>
        <v>0</v>
      </c>
      <c r="AA625">
        <f t="shared" si="136"/>
        <v>0</v>
      </c>
      <c r="AB625">
        <f t="shared" si="136"/>
        <v>0</v>
      </c>
      <c r="AC625">
        <f t="shared" si="136"/>
        <v>0</v>
      </c>
      <c r="AD625">
        <f t="shared" si="136"/>
        <v>0</v>
      </c>
      <c r="AE625">
        <f t="shared" si="136"/>
        <v>0</v>
      </c>
      <c r="AF625">
        <f t="shared" si="136"/>
        <v>0</v>
      </c>
      <c r="AG625">
        <f t="shared" si="136"/>
        <v>0</v>
      </c>
      <c r="AH625">
        <f t="shared" si="136"/>
        <v>0</v>
      </c>
      <c r="AI625">
        <f t="shared" si="136"/>
        <v>0</v>
      </c>
      <c r="AJ625">
        <f t="shared" si="136"/>
        <v>0</v>
      </c>
      <c r="AK625">
        <f t="shared" si="136"/>
        <v>0</v>
      </c>
      <c r="AL625">
        <f t="shared" si="136"/>
        <v>0</v>
      </c>
      <c r="AM625">
        <f t="shared" si="136"/>
        <v>0</v>
      </c>
      <c r="AN625">
        <f t="shared" si="132"/>
        <v>0</v>
      </c>
      <c r="AO625">
        <f t="shared" si="132"/>
        <v>0</v>
      </c>
      <c r="AP625">
        <f t="shared" si="132"/>
        <v>0</v>
      </c>
      <c r="AQ625">
        <f t="shared" si="132"/>
        <v>0</v>
      </c>
      <c r="AR625">
        <f t="shared" si="132"/>
        <v>0</v>
      </c>
    </row>
    <row r="626" spans="5:44" x14ac:dyDescent="0.2">
      <c r="E626" s="1">
        <f>moment_rate!$M626</f>
        <v>9.376604442980328E-3</v>
      </c>
      <c r="F626" s="1">
        <f t="shared" si="128"/>
        <v>5.8891310024724794E-5</v>
      </c>
      <c r="G626">
        <f>moment_rate!I626-0.005</f>
        <v>6.1899999999999125</v>
      </c>
      <c r="H626" s="1">
        <f t="shared" si="129"/>
        <v>5.8891310024724794E-5</v>
      </c>
      <c r="I626">
        <f t="shared" si="137"/>
        <v>0</v>
      </c>
      <c r="J626">
        <f t="shared" si="137"/>
        <v>0</v>
      </c>
      <c r="K626">
        <f t="shared" si="137"/>
        <v>0</v>
      </c>
      <c r="L626">
        <f t="shared" si="137"/>
        <v>0</v>
      </c>
      <c r="M626">
        <f t="shared" si="137"/>
        <v>0</v>
      </c>
      <c r="N626">
        <f t="shared" si="137"/>
        <v>0</v>
      </c>
      <c r="O626">
        <f t="shared" si="137"/>
        <v>0</v>
      </c>
      <c r="P626">
        <f t="shared" si="137"/>
        <v>0</v>
      </c>
      <c r="Q626">
        <f t="shared" si="137"/>
        <v>0</v>
      </c>
      <c r="R626">
        <f t="shared" si="137"/>
        <v>0</v>
      </c>
      <c r="S626">
        <f t="shared" si="137"/>
        <v>0</v>
      </c>
      <c r="T626">
        <f t="shared" si="137"/>
        <v>5.8891310024724794E-5</v>
      </c>
      <c r="U626">
        <f t="shared" si="137"/>
        <v>0</v>
      </c>
      <c r="V626">
        <f t="shared" si="137"/>
        <v>0</v>
      </c>
      <c r="W626">
        <f t="shared" si="137"/>
        <v>0</v>
      </c>
      <c r="X626">
        <f t="shared" si="137"/>
        <v>0</v>
      </c>
      <c r="Y626">
        <f t="shared" si="136"/>
        <v>0</v>
      </c>
      <c r="Z626">
        <f t="shared" si="136"/>
        <v>0</v>
      </c>
      <c r="AA626">
        <f t="shared" si="136"/>
        <v>0</v>
      </c>
      <c r="AB626">
        <f t="shared" si="136"/>
        <v>0</v>
      </c>
      <c r="AC626">
        <f t="shared" si="136"/>
        <v>0</v>
      </c>
      <c r="AD626">
        <f t="shared" si="136"/>
        <v>0</v>
      </c>
      <c r="AE626">
        <f t="shared" si="136"/>
        <v>0</v>
      </c>
      <c r="AF626">
        <f t="shared" si="136"/>
        <v>0</v>
      </c>
      <c r="AG626">
        <f t="shared" si="136"/>
        <v>0</v>
      </c>
      <c r="AH626">
        <f t="shared" si="136"/>
        <v>0</v>
      </c>
      <c r="AI626">
        <f t="shared" si="136"/>
        <v>0</v>
      </c>
      <c r="AJ626">
        <f t="shared" si="136"/>
        <v>0</v>
      </c>
      <c r="AK626">
        <f t="shared" si="136"/>
        <v>0</v>
      </c>
      <c r="AL626">
        <f t="shared" si="136"/>
        <v>0</v>
      </c>
      <c r="AM626">
        <f t="shared" si="136"/>
        <v>0</v>
      </c>
      <c r="AN626">
        <f t="shared" si="132"/>
        <v>0</v>
      </c>
      <c r="AO626">
        <f t="shared" si="132"/>
        <v>0</v>
      </c>
      <c r="AP626">
        <f t="shared" si="132"/>
        <v>0</v>
      </c>
      <c r="AQ626">
        <f t="shared" si="132"/>
        <v>0</v>
      </c>
      <c r="AR626">
        <f t="shared" si="132"/>
        <v>0</v>
      </c>
    </row>
    <row r="627" spans="5:44" x14ac:dyDescent="0.2">
      <c r="E627" s="1">
        <f>moment_rate!$M627</f>
        <v>9.3177131329556032E-3</v>
      </c>
      <c r="F627" s="1">
        <f t="shared" si="128"/>
        <v>5.7683448396815551E-5</v>
      </c>
      <c r="G627">
        <f>moment_rate!I627-0.005</f>
        <v>6.1999999999999122</v>
      </c>
      <c r="H627" s="1">
        <f t="shared" si="129"/>
        <v>5.7683448396815551E-5</v>
      </c>
      <c r="I627">
        <f t="shared" si="137"/>
        <v>0</v>
      </c>
      <c r="J627">
        <f t="shared" si="137"/>
        <v>0</v>
      </c>
      <c r="K627">
        <f t="shared" si="137"/>
        <v>0</v>
      </c>
      <c r="L627">
        <f t="shared" si="137"/>
        <v>0</v>
      </c>
      <c r="M627">
        <f t="shared" si="137"/>
        <v>0</v>
      </c>
      <c r="N627">
        <f t="shared" si="137"/>
        <v>0</v>
      </c>
      <c r="O627">
        <f t="shared" si="137"/>
        <v>0</v>
      </c>
      <c r="P627">
        <f t="shared" si="137"/>
        <v>0</v>
      </c>
      <c r="Q627">
        <f t="shared" si="137"/>
        <v>0</v>
      </c>
      <c r="R627">
        <f t="shared" si="137"/>
        <v>0</v>
      </c>
      <c r="S627">
        <f t="shared" si="137"/>
        <v>0</v>
      </c>
      <c r="T627">
        <f t="shared" si="137"/>
        <v>5.7683448396815551E-5</v>
      </c>
      <c r="U627">
        <f t="shared" si="137"/>
        <v>0</v>
      </c>
      <c r="V627">
        <f t="shared" si="137"/>
        <v>0</v>
      </c>
      <c r="W627">
        <f t="shared" si="137"/>
        <v>0</v>
      </c>
      <c r="X627">
        <f t="shared" si="137"/>
        <v>0</v>
      </c>
      <c r="Y627">
        <f t="shared" si="136"/>
        <v>0</v>
      </c>
      <c r="Z627">
        <f t="shared" si="136"/>
        <v>0</v>
      </c>
      <c r="AA627">
        <f t="shared" si="136"/>
        <v>0</v>
      </c>
      <c r="AB627">
        <f t="shared" si="136"/>
        <v>0</v>
      </c>
      <c r="AC627">
        <f t="shared" si="136"/>
        <v>0</v>
      </c>
      <c r="AD627">
        <f t="shared" si="136"/>
        <v>0</v>
      </c>
      <c r="AE627">
        <f t="shared" si="136"/>
        <v>0</v>
      </c>
      <c r="AF627">
        <f t="shared" si="136"/>
        <v>0</v>
      </c>
      <c r="AG627">
        <f t="shared" si="136"/>
        <v>0</v>
      </c>
      <c r="AH627">
        <f t="shared" si="136"/>
        <v>0</v>
      </c>
      <c r="AI627">
        <f t="shared" si="136"/>
        <v>0</v>
      </c>
      <c r="AJ627">
        <f t="shared" si="136"/>
        <v>0</v>
      </c>
      <c r="AK627">
        <f t="shared" si="136"/>
        <v>0</v>
      </c>
      <c r="AL627">
        <f t="shared" si="136"/>
        <v>0</v>
      </c>
      <c r="AM627">
        <f t="shared" si="136"/>
        <v>0</v>
      </c>
      <c r="AN627">
        <f t="shared" si="132"/>
        <v>0</v>
      </c>
      <c r="AO627">
        <f t="shared" si="132"/>
        <v>0</v>
      </c>
      <c r="AP627">
        <f t="shared" si="132"/>
        <v>0</v>
      </c>
      <c r="AQ627">
        <f t="shared" si="132"/>
        <v>0</v>
      </c>
      <c r="AR627">
        <f t="shared" si="132"/>
        <v>0</v>
      </c>
    </row>
    <row r="628" spans="5:44" x14ac:dyDescent="0.2">
      <c r="E628" s="1">
        <f>moment_rate!$M628</f>
        <v>9.2600296845587876E-3</v>
      </c>
      <c r="F628" s="1">
        <f t="shared" si="128"/>
        <v>5.6500360028520144E-5</v>
      </c>
      <c r="G628">
        <f>moment_rate!I628-0.005</f>
        <v>6.209999999999912</v>
      </c>
      <c r="H628" s="1">
        <f t="shared" si="129"/>
        <v>5.6500360028520144E-5</v>
      </c>
      <c r="I628">
        <f t="shared" si="137"/>
        <v>0</v>
      </c>
      <c r="J628">
        <f t="shared" si="137"/>
        <v>0</v>
      </c>
      <c r="K628">
        <f t="shared" si="137"/>
        <v>0</v>
      </c>
      <c r="L628">
        <f t="shared" si="137"/>
        <v>0</v>
      </c>
      <c r="M628">
        <f t="shared" si="137"/>
        <v>0</v>
      </c>
      <c r="N628">
        <f t="shared" si="137"/>
        <v>0</v>
      </c>
      <c r="O628">
        <f t="shared" si="137"/>
        <v>0</v>
      </c>
      <c r="P628">
        <f t="shared" si="137"/>
        <v>0</v>
      </c>
      <c r="Q628">
        <f t="shared" si="137"/>
        <v>0</v>
      </c>
      <c r="R628">
        <f t="shared" si="137"/>
        <v>0</v>
      </c>
      <c r="S628">
        <f t="shared" si="137"/>
        <v>0</v>
      </c>
      <c r="T628">
        <f t="shared" si="137"/>
        <v>0</v>
      </c>
      <c r="U628">
        <f t="shared" si="137"/>
        <v>5.6500360028520144E-5</v>
      </c>
      <c r="V628">
        <f t="shared" si="137"/>
        <v>0</v>
      </c>
      <c r="W628">
        <f t="shared" si="137"/>
        <v>0</v>
      </c>
      <c r="X628">
        <f t="shared" si="137"/>
        <v>0</v>
      </c>
      <c r="Y628">
        <f t="shared" si="136"/>
        <v>0</v>
      </c>
      <c r="Z628">
        <f t="shared" si="136"/>
        <v>0</v>
      </c>
      <c r="AA628">
        <f t="shared" si="136"/>
        <v>0</v>
      </c>
      <c r="AB628">
        <f t="shared" si="136"/>
        <v>0</v>
      </c>
      <c r="AC628">
        <f t="shared" si="136"/>
        <v>0</v>
      </c>
      <c r="AD628">
        <f t="shared" si="136"/>
        <v>0</v>
      </c>
      <c r="AE628">
        <f t="shared" si="136"/>
        <v>0</v>
      </c>
      <c r="AF628">
        <f t="shared" si="136"/>
        <v>0</v>
      </c>
      <c r="AG628">
        <f t="shared" si="136"/>
        <v>0</v>
      </c>
      <c r="AH628">
        <f t="shared" si="136"/>
        <v>0</v>
      </c>
      <c r="AI628">
        <f t="shared" si="136"/>
        <v>0</v>
      </c>
      <c r="AJ628">
        <f t="shared" si="136"/>
        <v>0</v>
      </c>
      <c r="AK628">
        <f t="shared" si="136"/>
        <v>0</v>
      </c>
      <c r="AL628">
        <f t="shared" si="136"/>
        <v>0</v>
      </c>
      <c r="AM628">
        <f t="shared" si="136"/>
        <v>0</v>
      </c>
      <c r="AN628">
        <f t="shared" si="132"/>
        <v>0</v>
      </c>
      <c r="AO628">
        <f t="shared" si="132"/>
        <v>0</v>
      </c>
      <c r="AP628">
        <f t="shared" si="132"/>
        <v>0</v>
      </c>
      <c r="AQ628">
        <f t="shared" si="132"/>
        <v>0</v>
      </c>
      <c r="AR628">
        <f t="shared" si="132"/>
        <v>0</v>
      </c>
    </row>
    <row r="629" spans="5:44" x14ac:dyDescent="0.2">
      <c r="E629" s="1">
        <f>moment_rate!$M629</f>
        <v>9.2035293245302675E-3</v>
      </c>
      <c r="F629" s="1">
        <f t="shared" si="128"/>
        <v>5.5341536819922266E-5</v>
      </c>
      <c r="G629">
        <f>moment_rate!I629-0.005</f>
        <v>6.2199999999999118</v>
      </c>
      <c r="H629" s="1">
        <f t="shared" si="129"/>
        <v>5.5341536819922266E-5</v>
      </c>
      <c r="I629">
        <f t="shared" si="137"/>
        <v>0</v>
      </c>
      <c r="J629">
        <f t="shared" si="137"/>
        <v>0</v>
      </c>
      <c r="K629">
        <f t="shared" si="137"/>
        <v>0</v>
      </c>
      <c r="L629">
        <f t="shared" si="137"/>
        <v>0</v>
      </c>
      <c r="M629">
        <f t="shared" si="137"/>
        <v>0</v>
      </c>
      <c r="N629">
        <f t="shared" si="137"/>
        <v>0</v>
      </c>
      <c r="O629">
        <f t="shared" si="137"/>
        <v>0</v>
      </c>
      <c r="P629">
        <f t="shared" si="137"/>
        <v>0</v>
      </c>
      <c r="Q629">
        <f t="shared" si="137"/>
        <v>0</v>
      </c>
      <c r="R629">
        <f t="shared" si="137"/>
        <v>0</v>
      </c>
      <c r="S629">
        <f t="shared" si="137"/>
        <v>0</v>
      </c>
      <c r="T629">
        <f t="shared" si="137"/>
        <v>0</v>
      </c>
      <c r="U629">
        <f t="shared" si="137"/>
        <v>5.5341536819922266E-5</v>
      </c>
      <c r="V629">
        <f t="shared" si="137"/>
        <v>0</v>
      </c>
      <c r="W629">
        <f t="shared" si="137"/>
        <v>0</v>
      </c>
      <c r="X629">
        <f t="shared" si="137"/>
        <v>0</v>
      </c>
      <c r="Y629">
        <f t="shared" si="136"/>
        <v>0</v>
      </c>
      <c r="Z629">
        <f t="shared" si="136"/>
        <v>0</v>
      </c>
      <c r="AA629">
        <f t="shared" si="136"/>
        <v>0</v>
      </c>
      <c r="AB629">
        <f t="shared" si="136"/>
        <v>0</v>
      </c>
      <c r="AC629">
        <f t="shared" si="136"/>
        <v>0</v>
      </c>
      <c r="AD629">
        <f t="shared" si="136"/>
        <v>0</v>
      </c>
      <c r="AE629">
        <f t="shared" si="136"/>
        <v>0</v>
      </c>
      <c r="AF629">
        <f t="shared" si="136"/>
        <v>0</v>
      </c>
      <c r="AG629">
        <f t="shared" si="136"/>
        <v>0</v>
      </c>
      <c r="AH629">
        <f t="shared" si="136"/>
        <v>0</v>
      </c>
      <c r="AI629">
        <f t="shared" si="136"/>
        <v>0</v>
      </c>
      <c r="AJ629">
        <f t="shared" si="136"/>
        <v>0</v>
      </c>
      <c r="AK629">
        <f t="shared" si="136"/>
        <v>0</v>
      </c>
      <c r="AL629">
        <f t="shared" si="136"/>
        <v>0</v>
      </c>
      <c r="AM629">
        <f t="shared" si="136"/>
        <v>0</v>
      </c>
      <c r="AN629">
        <f t="shared" si="132"/>
        <v>0</v>
      </c>
      <c r="AO629">
        <f t="shared" si="132"/>
        <v>0</v>
      </c>
      <c r="AP629">
        <f t="shared" si="132"/>
        <v>0</v>
      </c>
      <c r="AQ629">
        <f t="shared" si="132"/>
        <v>0</v>
      </c>
      <c r="AR629">
        <f t="shared" si="132"/>
        <v>0</v>
      </c>
    </row>
    <row r="630" spans="5:44" x14ac:dyDescent="0.2">
      <c r="E630" s="1">
        <f>moment_rate!$M630</f>
        <v>9.1481877877103452E-3</v>
      </c>
      <c r="F630" s="1">
        <f t="shared" si="128"/>
        <v>5.4206481092241784E-5</v>
      </c>
      <c r="G630">
        <f>moment_rate!I630-0.005</f>
        <v>6.2299999999999116</v>
      </c>
      <c r="H630" s="1">
        <f t="shared" si="129"/>
        <v>5.4206481092241784E-5</v>
      </c>
      <c r="I630">
        <f t="shared" si="137"/>
        <v>0</v>
      </c>
      <c r="J630">
        <f t="shared" si="137"/>
        <v>0</v>
      </c>
      <c r="K630">
        <f t="shared" si="137"/>
        <v>0</v>
      </c>
      <c r="L630">
        <f t="shared" si="137"/>
        <v>0</v>
      </c>
      <c r="M630">
        <f t="shared" si="137"/>
        <v>0</v>
      </c>
      <c r="N630">
        <f t="shared" si="137"/>
        <v>0</v>
      </c>
      <c r="O630">
        <f t="shared" si="137"/>
        <v>0</v>
      </c>
      <c r="P630">
        <f t="shared" si="137"/>
        <v>0</v>
      </c>
      <c r="Q630">
        <f t="shared" si="137"/>
        <v>0</v>
      </c>
      <c r="R630">
        <f t="shared" si="137"/>
        <v>0</v>
      </c>
      <c r="S630">
        <f t="shared" si="137"/>
        <v>0</v>
      </c>
      <c r="T630">
        <f t="shared" si="137"/>
        <v>0</v>
      </c>
      <c r="U630">
        <f t="shared" si="137"/>
        <v>5.4206481092241784E-5</v>
      </c>
      <c r="V630">
        <f t="shared" si="137"/>
        <v>0</v>
      </c>
      <c r="W630">
        <f t="shared" si="137"/>
        <v>0</v>
      </c>
      <c r="X630">
        <f t="shared" si="137"/>
        <v>0</v>
      </c>
      <c r="Y630">
        <f t="shared" si="136"/>
        <v>0</v>
      </c>
      <c r="Z630">
        <f t="shared" si="136"/>
        <v>0</v>
      </c>
      <c r="AA630">
        <f t="shared" si="136"/>
        <v>0</v>
      </c>
      <c r="AB630">
        <f t="shared" si="136"/>
        <v>0</v>
      </c>
      <c r="AC630">
        <f t="shared" si="136"/>
        <v>0</v>
      </c>
      <c r="AD630">
        <f t="shared" si="136"/>
        <v>0</v>
      </c>
      <c r="AE630">
        <f t="shared" si="136"/>
        <v>0</v>
      </c>
      <c r="AF630">
        <f t="shared" si="136"/>
        <v>0</v>
      </c>
      <c r="AG630">
        <f t="shared" si="136"/>
        <v>0</v>
      </c>
      <c r="AH630">
        <f t="shared" si="136"/>
        <v>0</v>
      </c>
      <c r="AI630">
        <f t="shared" si="136"/>
        <v>0</v>
      </c>
      <c r="AJ630">
        <f t="shared" si="136"/>
        <v>0</v>
      </c>
      <c r="AK630">
        <f t="shared" si="136"/>
        <v>0</v>
      </c>
      <c r="AL630">
        <f t="shared" si="136"/>
        <v>0</v>
      </c>
      <c r="AM630">
        <f t="shared" si="136"/>
        <v>0</v>
      </c>
      <c r="AN630">
        <f t="shared" si="132"/>
        <v>0</v>
      </c>
      <c r="AO630">
        <f t="shared" si="132"/>
        <v>0</v>
      </c>
      <c r="AP630">
        <f t="shared" si="132"/>
        <v>0</v>
      </c>
      <c r="AQ630">
        <f t="shared" si="132"/>
        <v>0</v>
      </c>
      <c r="AR630">
        <f t="shared" si="132"/>
        <v>0</v>
      </c>
    </row>
    <row r="631" spans="5:44" x14ac:dyDescent="0.2">
      <c r="E631" s="1">
        <f>moment_rate!$M631</f>
        <v>9.0939813066181034E-3</v>
      </c>
      <c r="F631" s="1">
        <f t="shared" si="128"/>
        <v>5.3094705374095996E-5</v>
      </c>
      <c r="G631">
        <f>moment_rate!I631-0.005</f>
        <v>6.2399999999999114</v>
      </c>
      <c r="H631" s="1">
        <f t="shared" si="129"/>
        <v>5.3094705374095996E-5</v>
      </c>
      <c r="I631">
        <f t="shared" si="137"/>
        <v>0</v>
      </c>
      <c r="J631">
        <f t="shared" si="137"/>
        <v>0</v>
      </c>
      <c r="K631">
        <f t="shared" si="137"/>
        <v>0</v>
      </c>
      <c r="L631">
        <f t="shared" si="137"/>
        <v>0</v>
      </c>
      <c r="M631">
        <f t="shared" si="137"/>
        <v>0</v>
      </c>
      <c r="N631">
        <f t="shared" si="137"/>
        <v>0</v>
      </c>
      <c r="O631">
        <f t="shared" si="137"/>
        <v>0</v>
      </c>
      <c r="P631">
        <f t="shared" si="137"/>
        <v>0</v>
      </c>
      <c r="Q631">
        <f t="shared" si="137"/>
        <v>0</v>
      </c>
      <c r="R631">
        <f t="shared" si="137"/>
        <v>0</v>
      </c>
      <c r="S631">
        <f t="shared" si="137"/>
        <v>0</v>
      </c>
      <c r="T631">
        <f t="shared" si="137"/>
        <v>0</v>
      </c>
      <c r="U631">
        <f t="shared" si="137"/>
        <v>5.3094705374095996E-5</v>
      </c>
      <c r="V631">
        <f t="shared" si="137"/>
        <v>0</v>
      </c>
      <c r="W631">
        <f t="shared" si="137"/>
        <v>0</v>
      </c>
      <c r="X631">
        <f t="shared" si="137"/>
        <v>0</v>
      </c>
      <c r="Y631">
        <f t="shared" si="136"/>
        <v>0</v>
      </c>
      <c r="Z631">
        <f t="shared" si="136"/>
        <v>0</v>
      </c>
      <c r="AA631">
        <f t="shared" si="136"/>
        <v>0</v>
      </c>
      <c r="AB631">
        <f t="shared" si="136"/>
        <v>0</v>
      </c>
      <c r="AC631">
        <f t="shared" si="136"/>
        <v>0</v>
      </c>
      <c r="AD631">
        <f t="shared" si="136"/>
        <v>0</v>
      </c>
      <c r="AE631">
        <f t="shared" si="136"/>
        <v>0</v>
      </c>
      <c r="AF631">
        <f t="shared" si="136"/>
        <v>0</v>
      </c>
      <c r="AG631">
        <f t="shared" si="136"/>
        <v>0</v>
      </c>
      <c r="AH631">
        <f t="shared" si="136"/>
        <v>0</v>
      </c>
      <c r="AI631">
        <f t="shared" si="136"/>
        <v>0</v>
      </c>
      <c r="AJ631">
        <f t="shared" si="136"/>
        <v>0</v>
      </c>
      <c r="AK631">
        <f t="shared" si="136"/>
        <v>0</v>
      </c>
      <c r="AL631">
        <f t="shared" si="136"/>
        <v>0</v>
      </c>
      <c r="AM631">
        <f t="shared" si="136"/>
        <v>0</v>
      </c>
      <c r="AN631">
        <f t="shared" si="132"/>
        <v>0</v>
      </c>
      <c r="AO631">
        <f t="shared" si="132"/>
        <v>0</v>
      </c>
      <c r="AP631">
        <f t="shared" si="132"/>
        <v>0</v>
      </c>
      <c r="AQ631">
        <f t="shared" si="132"/>
        <v>0</v>
      </c>
      <c r="AR631">
        <f t="shared" si="132"/>
        <v>0</v>
      </c>
    </row>
    <row r="632" spans="5:44" x14ac:dyDescent="0.2">
      <c r="E632" s="1">
        <f>moment_rate!$M632</f>
        <v>9.0408866012440074E-3</v>
      </c>
      <c r="F632" s="1">
        <f t="shared" si="128"/>
        <v>5.2005732192153195E-5</v>
      </c>
      <c r="G632">
        <f>moment_rate!I632-0.005</f>
        <v>6.2499999999999112</v>
      </c>
      <c r="H632" s="1">
        <f t="shared" si="129"/>
        <v>5.2005732192153195E-5</v>
      </c>
      <c r="I632">
        <f t="shared" si="137"/>
        <v>0</v>
      </c>
      <c r="J632">
        <f t="shared" si="137"/>
        <v>0</v>
      </c>
      <c r="K632">
        <f t="shared" si="137"/>
        <v>0</v>
      </c>
      <c r="L632">
        <f t="shared" si="137"/>
        <v>0</v>
      </c>
      <c r="M632">
        <f t="shared" si="137"/>
        <v>0</v>
      </c>
      <c r="N632">
        <f t="shared" si="137"/>
        <v>0</v>
      </c>
      <c r="O632">
        <f t="shared" si="137"/>
        <v>0</v>
      </c>
      <c r="P632">
        <f t="shared" si="137"/>
        <v>0</v>
      </c>
      <c r="Q632">
        <f t="shared" si="137"/>
        <v>0</v>
      </c>
      <c r="R632">
        <f t="shared" si="137"/>
        <v>0</v>
      </c>
      <c r="S632">
        <f t="shared" si="137"/>
        <v>0</v>
      </c>
      <c r="T632">
        <f t="shared" si="137"/>
        <v>0</v>
      </c>
      <c r="U632">
        <f t="shared" si="137"/>
        <v>5.2005732192153195E-5</v>
      </c>
      <c r="V632">
        <f t="shared" si="137"/>
        <v>0</v>
      </c>
      <c r="W632">
        <f t="shared" si="137"/>
        <v>0</v>
      </c>
      <c r="X632">
        <f t="shared" si="137"/>
        <v>0</v>
      </c>
      <c r="Y632">
        <f t="shared" si="136"/>
        <v>0</v>
      </c>
      <c r="Z632">
        <f t="shared" si="136"/>
        <v>0</v>
      </c>
      <c r="AA632">
        <f t="shared" si="136"/>
        <v>0</v>
      </c>
      <c r="AB632">
        <f t="shared" si="136"/>
        <v>0</v>
      </c>
      <c r="AC632">
        <f t="shared" si="136"/>
        <v>0</v>
      </c>
      <c r="AD632">
        <f t="shared" si="136"/>
        <v>0</v>
      </c>
      <c r="AE632">
        <f t="shared" si="136"/>
        <v>0</v>
      </c>
      <c r="AF632">
        <f t="shared" si="136"/>
        <v>0</v>
      </c>
      <c r="AG632">
        <f t="shared" si="136"/>
        <v>0</v>
      </c>
      <c r="AH632">
        <f t="shared" si="136"/>
        <v>0</v>
      </c>
      <c r="AI632">
        <f t="shared" si="136"/>
        <v>0</v>
      </c>
      <c r="AJ632">
        <f t="shared" si="136"/>
        <v>0</v>
      </c>
      <c r="AK632">
        <f t="shared" si="136"/>
        <v>0</v>
      </c>
      <c r="AL632">
        <f t="shared" si="136"/>
        <v>0</v>
      </c>
      <c r="AM632">
        <f t="shared" si="136"/>
        <v>0</v>
      </c>
      <c r="AN632">
        <f t="shared" si="132"/>
        <v>0</v>
      </c>
      <c r="AO632">
        <f t="shared" si="132"/>
        <v>0</v>
      </c>
      <c r="AP632">
        <f t="shared" si="132"/>
        <v>0</v>
      </c>
      <c r="AQ632">
        <f t="shared" si="132"/>
        <v>0</v>
      </c>
      <c r="AR632">
        <f t="shared" si="132"/>
        <v>0</v>
      </c>
    </row>
    <row r="633" spans="5:44" x14ac:dyDescent="0.2">
      <c r="E633" s="1">
        <f>moment_rate!$M633</f>
        <v>8.9888808690518542E-3</v>
      </c>
      <c r="F633" s="1">
        <f t="shared" si="128"/>
        <v>5.0939093866058868E-5</v>
      </c>
      <c r="G633">
        <f>moment_rate!I633-0.005</f>
        <v>6.259999999999911</v>
      </c>
      <c r="H633" s="1">
        <f t="shared" si="129"/>
        <v>5.0939093866058868E-5</v>
      </c>
      <c r="I633">
        <f t="shared" si="137"/>
        <v>0</v>
      </c>
      <c r="J633">
        <f t="shared" si="137"/>
        <v>0</v>
      </c>
      <c r="K633">
        <f t="shared" si="137"/>
        <v>0</v>
      </c>
      <c r="L633">
        <f t="shared" si="137"/>
        <v>0</v>
      </c>
      <c r="M633">
        <f t="shared" si="137"/>
        <v>0</v>
      </c>
      <c r="N633">
        <f t="shared" si="137"/>
        <v>0</v>
      </c>
      <c r="O633">
        <f t="shared" si="137"/>
        <v>0</v>
      </c>
      <c r="P633">
        <f t="shared" si="137"/>
        <v>0</v>
      </c>
      <c r="Q633">
        <f t="shared" si="137"/>
        <v>0</v>
      </c>
      <c r="R633">
        <f t="shared" si="137"/>
        <v>0</v>
      </c>
      <c r="S633">
        <f t="shared" si="137"/>
        <v>0</v>
      </c>
      <c r="T633">
        <f t="shared" si="137"/>
        <v>0</v>
      </c>
      <c r="U633">
        <f t="shared" si="137"/>
        <v>5.0939093866058868E-5</v>
      </c>
      <c r="V633">
        <f t="shared" si="137"/>
        <v>0</v>
      </c>
      <c r="W633">
        <f t="shared" si="137"/>
        <v>0</v>
      </c>
      <c r="X633">
        <f t="shared" si="137"/>
        <v>0</v>
      </c>
      <c r="Y633">
        <f t="shared" si="136"/>
        <v>0</v>
      </c>
      <c r="Z633">
        <f t="shared" si="136"/>
        <v>0</v>
      </c>
      <c r="AA633">
        <f t="shared" si="136"/>
        <v>0</v>
      </c>
      <c r="AB633">
        <f t="shared" si="136"/>
        <v>0</v>
      </c>
      <c r="AC633">
        <f t="shared" si="136"/>
        <v>0</v>
      </c>
      <c r="AD633">
        <f t="shared" si="136"/>
        <v>0</v>
      </c>
      <c r="AE633">
        <f t="shared" si="136"/>
        <v>0</v>
      </c>
      <c r="AF633">
        <f t="shared" si="136"/>
        <v>0</v>
      </c>
      <c r="AG633">
        <f t="shared" si="136"/>
        <v>0</v>
      </c>
      <c r="AH633">
        <f t="shared" si="136"/>
        <v>0</v>
      </c>
      <c r="AI633">
        <f t="shared" si="136"/>
        <v>0</v>
      </c>
      <c r="AJ633">
        <f t="shared" si="136"/>
        <v>0</v>
      </c>
      <c r="AK633">
        <f t="shared" si="136"/>
        <v>0</v>
      </c>
      <c r="AL633">
        <f t="shared" si="136"/>
        <v>0</v>
      </c>
      <c r="AM633">
        <f t="shared" si="136"/>
        <v>0</v>
      </c>
      <c r="AN633">
        <f t="shared" si="132"/>
        <v>0</v>
      </c>
      <c r="AO633">
        <f t="shared" si="132"/>
        <v>0</v>
      </c>
      <c r="AP633">
        <f t="shared" si="132"/>
        <v>0</v>
      </c>
      <c r="AQ633">
        <f t="shared" si="132"/>
        <v>0</v>
      </c>
      <c r="AR633">
        <f t="shared" si="132"/>
        <v>0</v>
      </c>
    </row>
    <row r="634" spans="5:44" x14ac:dyDescent="0.2">
      <c r="E634" s="1">
        <f>moment_rate!$M634</f>
        <v>8.9379417751857954E-3</v>
      </c>
      <c r="F634" s="1">
        <f t="shared" si="128"/>
        <v>4.989433230759982E-5</v>
      </c>
      <c r="G634">
        <f>moment_rate!I634-0.005</f>
        <v>6.2699999999999108</v>
      </c>
      <c r="H634" s="1">
        <f t="shared" si="129"/>
        <v>4.989433230759982E-5</v>
      </c>
      <c r="I634">
        <f t="shared" si="137"/>
        <v>0</v>
      </c>
      <c r="J634">
        <f t="shared" si="137"/>
        <v>0</v>
      </c>
      <c r="K634">
        <f t="shared" si="137"/>
        <v>0</v>
      </c>
      <c r="L634">
        <f t="shared" si="137"/>
        <v>0</v>
      </c>
      <c r="M634">
        <f t="shared" si="137"/>
        <v>0</v>
      </c>
      <c r="N634">
        <f t="shared" si="137"/>
        <v>0</v>
      </c>
      <c r="O634">
        <f t="shared" si="137"/>
        <v>0</v>
      </c>
      <c r="P634">
        <f t="shared" si="137"/>
        <v>0</v>
      </c>
      <c r="Q634">
        <f t="shared" si="137"/>
        <v>0</v>
      </c>
      <c r="R634">
        <f t="shared" si="137"/>
        <v>0</v>
      </c>
      <c r="S634">
        <f t="shared" si="137"/>
        <v>0</v>
      </c>
      <c r="T634">
        <f t="shared" si="137"/>
        <v>0</v>
      </c>
      <c r="U634">
        <f t="shared" si="137"/>
        <v>4.989433230759982E-5</v>
      </c>
      <c r="V634">
        <f t="shared" si="137"/>
        <v>0</v>
      </c>
      <c r="W634">
        <f t="shared" si="137"/>
        <v>0</v>
      </c>
      <c r="X634">
        <f t="shared" ref="X634:AM649" si="138">IF(AND($G634&gt;=X$3,$G634&lt;X$4),$F634,0)</f>
        <v>0</v>
      </c>
      <c r="Y634">
        <f t="shared" si="138"/>
        <v>0</v>
      </c>
      <c r="Z634">
        <f t="shared" si="138"/>
        <v>0</v>
      </c>
      <c r="AA634">
        <f t="shared" si="138"/>
        <v>0</v>
      </c>
      <c r="AB634">
        <f t="shared" si="138"/>
        <v>0</v>
      </c>
      <c r="AC634">
        <f t="shared" si="138"/>
        <v>0</v>
      </c>
      <c r="AD634">
        <f t="shared" si="138"/>
        <v>0</v>
      </c>
      <c r="AE634">
        <f t="shared" si="138"/>
        <v>0</v>
      </c>
      <c r="AF634">
        <f t="shared" si="138"/>
        <v>0</v>
      </c>
      <c r="AG634">
        <f t="shared" si="138"/>
        <v>0</v>
      </c>
      <c r="AH634">
        <f t="shared" si="138"/>
        <v>0</v>
      </c>
      <c r="AI634">
        <f t="shared" si="138"/>
        <v>0</v>
      </c>
      <c r="AJ634">
        <f t="shared" si="138"/>
        <v>0</v>
      </c>
      <c r="AK634">
        <f t="shared" si="138"/>
        <v>0</v>
      </c>
      <c r="AL634">
        <f t="shared" si="138"/>
        <v>0</v>
      </c>
      <c r="AM634">
        <f t="shared" si="138"/>
        <v>0</v>
      </c>
      <c r="AN634">
        <f t="shared" si="132"/>
        <v>0</v>
      </c>
      <c r="AO634">
        <f t="shared" si="132"/>
        <v>0</v>
      </c>
      <c r="AP634">
        <f t="shared" si="132"/>
        <v>0</v>
      </c>
      <c r="AQ634">
        <f t="shared" si="132"/>
        <v>0</v>
      </c>
      <c r="AR634">
        <f t="shared" si="132"/>
        <v>0</v>
      </c>
    </row>
    <row r="635" spans="5:44" x14ac:dyDescent="0.2">
      <c r="E635" s="1">
        <f>moment_rate!$M635</f>
        <v>8.8880474428781955E-3</v>
      </c>
      <c r="F635" s="1">
        <f t="shared" si="128"/>
        <v>4.8870998823948367E-5</v>
      </c>
      <c r="G635">
        <f>moment_rate!I635-0.005</f>
        <v>6.2799999999999105</v>
      </c>
      <c r="H635" s="1">
        <f t="shared" si="129"/>
        <v>4.8870998823948367E-5</v>
      </c>
      <c r="I635">
        <f t="shared" ref="I635:X650" si="139">IF(AND($G635&gt;=I$3,$G635&lt;I$4),$F635,0)</f>
        <v>0</v>
      </c>
      <c r="J635">
        <f t="shared" si="139"/>
        <v>0</v>
      </c>
      <c r="K635">
        <f t="shared" si="139"/>
        <v>0</v>
      </c>
      <c r="L635">
        <f t="shared" si="139"/>
        <v>0</v>
      </c>
      <c r="M635">
        <f t="shared" si="139"/>
        <v>0</v>
      </c>
      <c r="N635">
        <f t="shared" si="139"/>
        <v>0</v>
      </c>
      <c r="O635">
        <f t="shared" si="139"/>
        <v>0</v>
      </c>
      <c r="P635">
        <f t="shared" si="139"/>
        <v>0</v>
      </c>
      <c r="Q635">
        <f t="shared" si="139"/>
        <v>0</v>
      </c>
      <c r="R635">
        <f t="shared" si="139"/>
        <v>0</v>
      </c>
      <c r="S635">
        <f t="shared" si="139"/>
        <v>0</v>
      </c>
      <c r="T635">
        <f t="shared" si="139"/>
        <v>0</v>
      </c>
      <c r="U635">
        <f t="shared" si="139"/>
        <v>4.8870998823948367E-5</v>
      </c>
      <c r="V635">
        <f t="shared" si="139"/>
        <v>0</v>
      </c>
      <c r="W635">
        <f t="shared" si="139"/>
        <v>0</v>
      </c>
      <c r="X635">
        <f t="shared" si="139"/>
        <v>0</v>
      </c>
      <c r="Y635">
        <f t="shared" si="138"/>
        <v>0</v>
      </c>
      <c r="Z635">
        <f t="shared" si="138"/>
        <v>0</v>
      </c>
      <c r="AA635">
        <f t="shared" si="138"/>
        <v>0</v>
      </c>
      <c r="AB635">
        <f t="shared" si="138"/>
        <v>0</v>
      </c>
      <c r="AC635">
        <f t="shared" si="138"/>
        <v>0</v>
      </c>
      <c r="AD635">
        <f t="shared" si="138"/>
        <v>0</v>
      </c>
      <c r="AE635">
        <f t="shared" si="138"/>
        <v>0</v>
      </c>
      <c r="AF635">
        <f t="shared" si="138"/>
        <v>0</v>
      </c>
      <c r="AG635">
        <f t="shared" si="138"/>
        <v>0</v>
      </c>
      <c r="AH635">
        <f t="shared" si="138"/>
        <v>0</v>
      </c>
      <c r="AI635">
        <f t="shared" si="138"/>
        <v>0</v>
      </c>
      <c r="AJ635">
        <f t="shared" si="138"/>
        <v>0</v>
      </c>
      <c r="AK635">
        <f t="shared" si="138"/>
        <v>0</v>
      </c>
      <c r="AL635">
        <f t="shared" si="138"/>
        <v>0</v>
      </c>
      <c r="AM635">
        <f t="shared" si="138"/>
        <v>0</v>
      </c>
      <c r="AN635">
        <f t="shared" si="132"/>
        <v>0</v>
      </c>
      <c r="AO635">
        <f t="shared" si="132"/>
        <v>0</v>
      </c>
      <c r="AP635">
        <f t="shared" si="132"/>
        <v>0</v>
      </c>
      <c r="AQ635">
        <f t="shared" si="132"/>
        <v>0</v>
      </c>
      <c r="AR635">
        <f t="shared" si="132"/>
        <v>0</v>
      </c>
    </row>
    <row r="636" spans="5:44" x14ac:dyDescent="0.2">
      <c r="E636" s="1">
        <f>moment_rate!$M636</f>
        <v>8.8391764440542472E-3</v>
      </c>
      <c r="F636" s="1">
        <f t="shared" si="128"/>
        <v>4.7868653924974455E-5</v>
      </c>
      <c r="G636">
        <f>moment_rate!I636-0.005</f>
        <v>6.2899999999999103</v>
      </c>
      <c r="H636" s="1">
        <f t="shared" si="129"/>
        <v>4.7868653924974455E-5</v>
      </c>
      <c r="I636">
        <f t="shared" si="139"/>
        <v>0</v>
      </c>
      <c r="J636">
        <f t="shared" si="139"/>
        <v>0</v>
      </c>
      <c r="K636">
        <f t="shared" si="139"/>
        <v>0</v>
      </c>
      <c r="L636">
        <f t="shared" si="139"/>
        <v>0</v>
      </c>
      <c r="M636">
        <f t="shared" si="139"/>
        <v>0</v>
      </c>
      <c r="N636">
        <f t="shared" si="139"/>
        <v>0</v>
      </c>
      <c r="O636">
        <f t="shared" si="139"/>
        <v>0</v>
      </c>
      <c r="P636">
        <f t="shared" si="139"/>
        <v>0</v>
      </c>
      <c r="Q636">
        <f t="shared" si="139"/>
        <v>0</v>
      </c>
      <c r="R636">
        <f t="shared" si="139"/>
        <v>0</v>
      </c>
      <c r="S636">
        <f t="shared" si="139"/>
        <v>0</v>
      </c>
      <c r="T636">
        <f t="shared" si="139"/>
        <v>0</v>
      </c>
      <c r="U636">
        <f t="shared" si="139"/>
        <v>4.7868653924974455E-5</v>
      </c>
      <c r="V636">
        <f t="shared" si="139"/>
        <v>0</v>
      </c>
      <c r="W636">
        <f t="shared" si="139"/>
        <v>0</v>
      </c>
      <c r="X636">
        <f t="shared" si="139"/>
        <v>0</v>
      </c>
      <c r="Y636">
        <f t="shared" si="138"/>
        <v>0</v>
      </c>
      <c r="Z636">
        <f t="shared" si="138"/>
        <v>0</v>
      </c>
      <c r="AA636">
        <f t="shared" si="138"/>
        <v>0</v>
      </c>
      <c r="AB636">
        <f t="shared" si="138"/>
        <v>0</v>
      </c>
      <c r="AC636">
        <f t="shared" si="138"/>
        <v>0</v>
      </c>
      <c r="AD636">
        <f t="shared" si="138"/>
        <v>0</v>
      </c>
      <c r="AE636">
        <f t="shared" si="138"/>
        <v>0</v>
      </c>
      <c r="AF636">
        <f t="shared" si="138"/>
        <v>0</v>
      </c>
      <c r="AG636">
        <f t="shared" si="138"/>
        <v>0</v>
      </c>
      <c r="AH636">
        <f t="shared" si="138"/>
        <v>0</v>
      </c>
      <c r="AI636">
        <f t="shared" si="138"/>
        <v>0</v>
      </c>
      <c r="AJ636">
        <f t="shared" si="138"/>
        <v>0</v>
      </c>
      <c r="AK636">
        <f t="shared" si="138"/>
        <v>0</v>
      </c>
      <c r="AL636">
        <f t="shared" si="138"/>
        <v>0</v>
      </c>
      <c r="AM636">
        <f t="shared" si="138"/>
        <v>0</v>
      </c>
      <c r="AN636">
        <f t="shared" si="132"/>
        <v>0</v>
      </c>
      <c r="AO636">
        <f t="shared" si="132"/>
        <v>0</v>
      </c>
      <c r="AP636">
        <f t="shared" si="132"/>
        <v>0</v>
      </c>
      <c r="AQ636">
        <f t="shared" si="132"/>
        <v>0</v>
      </c>
      <c r="AR636">
        <f t="shared" si="132"/>
        <v>0</v>
      </c>
    </row>
    <row r="637" spans="5:44" x14ac:dyDescent="0.2">
      <c r="E637" s="1">
        <f>moment_rate!$M637</f>
        <v>8.7913077901292727E-3</v>
      </c>
      <c r="F637" s="1">
        <f t="shared" si="128"/>
        <v>4.6886867134509486E-5</v>
      </c>
      <c r="G637">
        <f>moment_rate!I637-0.005</f>
        <v>6.2999999999999101</v>
      </c>
      <c r="H637" s="1">
        <f t="shared" si="129"/>
        <v>4.6886867134509486E-5</v>
      </c>
      <c r="I637">
        <f t="shared" si="139"/>
        <v>0</v>
      </c>
      <c r="J637">
        <f t="shared" si="139"/>
        <v>0</v>
      </c>
      <c r="K637">
        <f t="shared" si="139"/>
        <v>0</v>
      </c>
      <c r="L637">
        <f t="shared" si="139"/>
        <v>0</v>
      </c>
      <c r="M637">
        <f t="shared" si="139"/>
        <v>0</v>
      </c>
      <c r="N637">
        <f t="shared" si="139"/>
        <v>0</v>
      </c>
      <c r="O637">
        <f t="shared" si="139"/>
        <v>0</v>
      </c>
      <c r="P637">
        <f t="shared" si="139"/>
        <v>0</v>
      </c>
      <c r="Q637">
        <f t="shared" si="139"/>
        <v>0</v>
      </c>
      <c r="R637">
        <f t="shared" si="139"/>
        <v>0</v>
      </c>
      <c r="S637">
        <f t="shared" si="139"/>
        <v>0</v>
      </c>
      <c r="T637">
        <f t="shared" si="139"/>
        <v>0</v>
      </c>
      <c r="U637">
        <f t="shared" si="139"/>
        <v>4.6886867134509486E-5</v>
      </c>
      <c r="V637">
        <f t="shared" si="139"/>
        <v>0</v>
      </c>
      <c r="W637">
        <f t="shared" si="139"/>
        <v>0</v>
      </c>
      <c r="X637">
        <f t="shared" si="139"/>
        <v>0</v>
      </c>
      <c r="Y637">
        <f t="shared" si="138"/>
        <v>0</v>
      </c>
      <c r="Z637">
        <f t="shared" si="138"/>
        <v>0</v>
      </c>
      <c r="AA637">
        <f t="shared" si="138"/>
        <v>0</v>
      </c>
      <c r="AB637">
        <f t="shared" si="138"/>
        <v>0</v>
      </c>
      <c r="AC637">
        <f t="shared" si="138"/>
        <v>0</v>
      </c>
      <c r="AD637">
        <f t="shared" si="138"/>
        <v>0</v>
      </c>
      <c r="AE637">
        <f t="shared" si="138"/>
        <v>0</v>
      </c>
      <c r="AF637">
        <f t="shared" si="138"/>
        <v>0</v>
      </c>
      <c r="AG637">
        <f t="shared" si="138"/>
        <v>0</v>
      </c>
      <c r="AH637">
        <f t="shared" si="138"/>
        <v>0</v>
      </c>
      <c r="AI637">
        <f t="shared" si="138"/>
        <v>0</v>
      </c>
      <c r="AJ637">
        <f t="shared" si="138"/>
        <v>0</v>
      </c>
      <c r="AK637">
        <f t="shared" si="138"/>
        <v>0</v>
      </c>
      <c r="AL637">
        <f t="shared" si="138"/>
        <v>0</v>
      </c>
      <c r="AM637">
        <f t="shared" si="138"/>
        <v>0</v>
      </c>
      <c r="AN637">
        <f t="shared" si="132"/>
        <v>0</v>
      </c>
      <c r="AO637">
        <f t="shared" si="132"/>
        <v>0</v>
      </c>
      <c r="AP637">
        <f t="shared" si="132"/>
        <v>0</v>
      </c>
      <c r="AQ637">
        <f t="shared" si="132"/>
        <v>0</v>
      </c>
      <c r="AR637">
        <f t="shared" si="132"/>
        <v>0</v>
      </c>
    </row>
    <row r="638" spans="5:44" x14ac:dyDescent="0.2">
      <c r="E638" s="1">
        <f>moment_rate!$M638</f>
        <v>8.7444209229947632E-3</v>
      </c>
      <c r="F638" s="1">
        <f t="shared" si="128"/>
        <v>4.59252168054404E-5</v>
      </c>
      <c r="G638">
        <f>moment_rate!I638-0.005</f>
        <v>6.3099999999999099</v>
      </c>
      <c r="H638" s="1">
        <f t="shared" si="129"/>
        <v>4.59252168054404E-5</v>
      </c>
      <c r="I638">
        <f t="shared" si="139"/>
        <v>0</v>
      </c>
      <c r="J638">
        <f t="shared" si="139"/>
        <v>0</v>
      </c>
      <c r="K638">
        <f t="shared" si="139"/>
        <v>0</v>
      </c>
      <c r="L638">
        <f t="shared" si="139"/>
        <v>0</v>
      </c>
      <c r="M638">
        <f t="shared" si="139"/>
        <v>0</v>
      </c>
      <c r="N638">
        <f t="shared" si="139"/>
        <v>0</v>
      </c>
      <c r="O638">
        <f t="shared" si="139"/>
        <v>0</v>
      </c>
      <c r="P638">
        <f t="shared" si="139"/>
        <v>0</v>
      </c>
      <c r="Q638">
        <f t="shared" si="139"/>
        <v>0</v>
      </c>
      <c r="R638">
        <f t="shared" si="139"/>
        <v>0</v>
      </c>
      <c r="S638">
        <f t="shared" si="139"/>
        <v>0</v>
      </c>
      <c r="T638">
        <f t="shared" si="139"/>
        <v>0</v>
      </c>
      <c r="U638">
        <f t="shared" si="139"/>
        <v>0</v>
      </c>
      <c r="V638">
        <f t="shared" si="139"/>
        <v>4.59252168054404E-5</v>
      </c>
      <c r="W638">
        <f t="shared" si="139"/>
        <v>0</v>
      </c>
      <c r="X638">
        <f t="shared" si="139"/>
        <v>0</v>
      </c>
      <c r="Y638">
        <f t="shared" si="138"/>
        <v>0</v>
      </c>
      <c r="Z638">
        <f t="shared" si="138"/>
        <v>0</v>
      </c>
      <c r="AA638">
        <f t="shared" si="138"/>
        <v>0</v>
      </c>
      <c r="AB638">
        <f t="shared" si="138"/>
        <v>0</v>
      </c>
      <c r="AC638">
        <f t="shared" si="138"/>
        <v>0</v>
      </c>
      <c r="AD638">
        <f t="shared" si="138"/>
        <v>0</v>
      </c>
      <c r="AE638">
        <f t="shared" si="138"/>
        <v>0</v>
      </c>
      <c r="AF638">
        <f t="shared" si="138"/>
        <v>0</v>
      </c>
      <c r="AG638">
        <f t="shared" si="138"/>
        <v>0</v>
      </c>
      <c r="AH638">
        <f t="shared" si="138"/>
        <v>0</v>
      </c>
      <c r="AI638">
        <f t="shared" si="138"/>
        <v>0</v>
      </c>
      <c r="AJ638">
        <f t="shared" si="138"/>
        <v>0</v>
      </c>
      <c r="AK638">
        <f t="shared" si="138"/>
        <v>0</v>
      </c>
      <c r="AL638">
        <f t="shared" si="138"/>
        <v>0</v>
      </c>
      <c r="AM638">
        <f t="shared" si="138"/>
        <v>0</v>
      </c>
      <c r="AN638">
        <f t="shared" si="132"/>
        <v>0</v>
      </c>
      <c r="AO638">
        <f t="shared" si="132"/>
        <v>0</v>
      </c>
      <c r="AP638">
        <f t="shared" si="132"/>
        <v>0</v>
      </c>
      <c r="AQ638">
        <f t="shared" si="132"/>
        <v>0</v>
      </c>
      <c r="AR638">
        <f t="shared" si="132"/>
        <v>0</v>
      </c>
    </row>
    <row r="639" spans="5:44" x14ac:dyDescent="0.2">
      <c r="E639" s="1">
        <f>moment_rate!$M639</f>
        <v>8.6984957061893228E-3</v>
      </c>
      <c r="F639" s="1">
        <f t="shared" si="128"/>
        <v>4.4983289938651388E-5</v>
      </c>
      <c r="G639">
        <f>moment_rate!I639-0.005</f>
        <v>6.3199999999999097</v>
      </c>
      <c r="H639" s="1">
        <f t="shared" si="129"/>
        <v>4.4983289938651388E-5</v>
      </c>
      <c r="I639">
        <f t="shared" si="139"/>
        <v>0</v>
      </c>
      <c r="J639">
        <f t="shared" si="139"/>
        <v>0</v>
      </c>
      <c r="K639">
        <f t="shared" si="139"/>
        <v>0</v>
      </c>
      <c r="L639">
        <f t="shared" si="139"/>
        <v>0</v>
      </c>
      <c r="M639">
        <f t="shared" si="139"/>
        <v>0</v>
      </c>
      <c r="N639">
        <f t="shared" si="139"/>
        <v>0</v>
      </c>
      <c r="O639">
        <f t="shared" si="139"/>
        <v>0</v>
      </c>
      <c r="P639">
        <f t="shared" si="139"/>
        <v>0</v>
      </c>
      <c r="Q639">
        <f t="shared" si="139"/>
        <v>0</v>
      </c>
      <c r="R639">
        <f t="shared" si="139"/>
        <v>0</v>
      </c>
      <c r="S639">
        <f t="shared" si="139"/>
        <v>0</v>
      </c>
      <c r="T639">
        <f t="shared" si="139"/>
        <v>0</v>
      </c>
      <c r="U639">
        <f t="shared" si="139"/>
        <v>0</v>
      </c>
      <c r="V639">
        <f t="shared" si="139"/>
        <v>4.4983289938651388E-5</v>
      </c>
      <c r="W639">
        <f t="shared" si="139"/>
        <v>0</v>
      </c>
      <c r="X639">
        <f t="shared" si="139"/>
        <v>0</v>
      </c>
      <c r="Y639">
        <f t="shared" si="138"/>
        <v>0</v>
      </c>
      <c r="Z639">
        <f t="shared" si="138"/>
        <v>0</v>
      </c>
      <c r="AA639">
        <f t="shared" si="138"/>
        <v>0</v>
      </c>
      <c r="AB639">
        <f t="shared" si="138"/>
        <v>0</v>
      </c>
      <c r="AC639">
        <f t="shared" si="138"/>
        <v>0</v>
      </c>
      <c r="AD639">
        <f t="shared" si="138"/>
        <v>0</v>
      </c>
      <c r="AE639">
        <f t="shared" si="138"/>
        <v>0</v>
      </c>
      <c r="AF639">
        <f t="shared" si="138"/>
        <v>0</v>
      </c>
      <c r="AG639">
        <f t="shared" si="138"/>
        <v>0</v>
      </c>
      <c r="AH639">
        <f t="shared" si="138"/>
        <v>0</v>
      </c>
      <c r="AI639">
        <f t="shared" si="138"/>
        <v>0</v>
      </c>
      <c r="AJ639">
        <f t="shared" si="138"/>
        <v>0</v>
      </c>
      <c r="AK639">
        <f t="shared" si="138"/>
        <v>0</v>
      </c>
      <c r="AL639">
        <f t="shared" si="138"/>
        <v>0</v>
      </c>
      <c r="AM639">
        <f t="shared" si="138"/>
        <v>0</v>
      </c>
      <c r="AN639">
        <f t="shared" si="132"/>
        <v>0</v>
      </c>
      <c r="AO639">
        <f t="shared" si="132"/>
        <v>0</v>
      </c>
      <c r="AP639">
        <f t="shared" si="132"/>
        <v>0</v>
      </c>
      <c r="AQ639">
        <f t="shared" si="132"/>
        <v>0</v>
      </c>
      <c r="AR639">
        <f t="shared" si="132"/>
        <v>0</v>
      </c>
    </row>
    <row r="640" spans="5:44" x14ac:dyDescent="0.2">
      <c r="E640" s="1">
        <f>moment_rate!$M640</f>
        <v>8.6535124162506714E-3</v>
      </c>
      <c r="F640" s="1">
        <f t="shared" si="128"/>
        <v>4.4060682005644947E-5</v>
      </c>
      <c r="G640">
        <f>moment_rate!I640-0.005</f>
        <v>6.3299999999999095</v>
      </c>
      <c r="H640" s="1">
        <f t="shared" si="129"/>
        <v>4.4060682005644947E-5</v>
      </c>
      <c r="I640">
        <f t="shared" si="139"/>
        <v>0</v>
      </c>
      <c r="J640">
        <f t="shared" si="139"/>
        <v>0</v>
      </c>
      <c r="K640">
        <f t="shared" si="139"/>
        <v>0</v>
      </c>
      <c r="L640">
        <f t="shared" si="139"/>
        <v>0</v>
      </c>
      <c r="M640">
        <f t="shared" si="139"/>
        <v>0</v>
      </c>
      <c r="N640">
        <f t="shared" si="139"/>
        <v>0</v>
      </c>
      <c r="O640">
        <f t="shared" si="139"/>
        <v>0</v>
      </c>
      <c r="P640">
        <f t="shared" si="139"/>
        <v>0</v>
      </c>
      <c r="Q640">
        <f t="shared" si="139"/>
        <v>0</v>
      </c>
      <c r="R640">
        <f t="shared" si="139"/>
        <v>0</v>
      </c>
      <c r="S640">
        <f t="shared" si="139"/>
        <v>0</v>
      </c>
      <c r="T640">
        <f t="shared" si="139"/>
        <v>0</v>
      </c>
      <c r="U640">
        <f t="shared" si="139"/>
        <v>0</v>
      </c>
      <c r="V640">
        <f t="shared" si="139"/>
        <v>4.4060682005644947E-5</v>
      </c>
      <c r="W640">
        <f t="shared" si="139"/>
        <v>0</v>
      </c>
      <c r="X640">
        <f t="shared" si="139"/>
        <v>0</v>
      </c>
      <c r="Y640">
        <f t="shared" si="138"/>
        <v>0</v>
      </c>
      <c r="Z640">
        <f t="shared" si="138"/>
        <v>0</v>
      </c>
      <c r="AA640">
        <f t="shared" si="138"/>
        <v>0</v>
      </c>
      <c r="AB640">
        <f t="shared" si="138"/>
        <v>0</v>
      </c>
      <c r="AC640">
        <f t="shared" si="138"/>
        <v>0</v>
      </c>
      <c r="AD640">
        <f t="shared" si="138"/>
        <v>0</v>
      </c>
      <c r="AE640">
        <f t="shared" si="138"/>
        <v>0</v>
      </c>
      <c r="AF640">
        <f t="shared" si="138"/>
        <v>0</v>
      </c>
      <c r="AG640">
        <f t="shared" si="138"/>
        <v>0</v>
      </c>
      <c r="AH640">
        <f t="shared" si="138"/>
        <v>0</v>
      </c>
      <c r="AI640">
        <f t="shared" si="138"/>
        <v>0</v>
      </c>
      <c r="AJ640">
        <f t="shared" si="138"/>
        <v>0</v>
      </c>
      <c r="AK640">
        <f t="shared" si="138"/>
        <v>0</v>
      </c>
      <c r="AL640">
        <f t="shared" si="138"/>
        <v>0</v>
      </c>
      <c r="AM640">
        <f t="shared" si="138"/>
        <v>0</v>
      </c>
      <c r="AN640">
        <f t="shared" si="132"/>
        <v>0</v>
      </c>
      <c r="AO640">
        <f t="shared" si="132"/>
        <v>0</v>
      </c>
      <c r="AP640">
        <f>IF(AND($G640&gt;=AP$3,$G640&lt;AP$4),$F640,0)</f>
        <v>0</v>
      </c>
      <c r="AQ640">
        <f>IF(AND($G640&gt;=AQ$3,$G640&lt;AQ$4),$F640,0)</f>
        <v>0</v>
      </c>
      <c r="AR640">
        <f>IF(AND($G640&gt;=AR$3,$G640&lt;AR$4),$F640,0)</f>
        <v>0</v>
      </c>
    </row>
    <row r="641" spans="5:44" x14ac:dyDescent="0.2">
      <c r="E641" s="1">
        <f>moment_rate!$M641</f>
        <v>8.6094517342450265E-3</v>
      </c>
      <c r="F641" s="1">
        <f t="shared" si="128"/>
        <v>4.3156996774807582E-5</v>
      </c>
      <c r="G641">
        <f>moment_rate!I641-0.005</f>
        <v>6.3399999999999093</v>
      </c>
      <c r="H641" s="1">
        <f t="shared" si="129"/>
        <v>4.3156996774807582E-5</v>
      </c>
      <c r="I641">
        <f t="shared" si="139"/>
        <v>0</v>
      </c>
      <c r="J641">
        <f t="shared" si="139"/>
        <v>0</v>
      </c>
      <c r="K641">
        <f t="shared" si="139"/>
        <v>0</v>
      </c>
      <c r="L641">
        <f t="shared" si="139"/>
        <v>0</v>
      </c>
      <c r="M641">
        <f t="shared" si="139"/>
        <v>0</v>
      </c>
      <c r="N641">
        <f t="shared" si="139"/>
        <v>0</v>
      </c>
      <c r="O641">
        <f t="shared" si="139"/>
        <v>0</v>
      </c>
      <c r="P641">
        <f t="shared" si="139"/>
        <v>0</v>
      </c>
      <c r="Q641">
        <f t="shared" si="139"/>
        <v>0</v>
      </c>
      <c r="R641">
        <f t="shared" si="139"/>
        <v>0</v>
      </c>
      <c r="S641">
        <f t="shared" si="139"/>
        <v>0</v>
      </c>
      <c r="T641">
        <f t="shared" si="139"/>
        <v>0</v>
      </c>
      <c r="U641">
        <f t="shared" si="139"/>
        <v>0</v>
      </c>
      <c r="V641">
        <f t="shared" si="139"/>
        <v>4.3156996774807582E-5</v>
      </c>
      <c r="W641">
        <f t="shared" si="139"/>
        <v>0</v>
      </c>
      <c r="X641">
        <f t="shared" si="139"/>
        <v>0</v>
      </c>
      <c r="Y641">
        <f t="shared" si="138"/>
        <v>0</v>
      </c>
      <c r="Z641">
        <f t="shared" si="138"/>
        <v>0</v>
      </c>
      <c r="AA641">
        <f t="shared" si="138"/>
        <v>0</v>
      </c>
      <c r="AB641">
        <f t="shared" si="138"/>
        <v>0</v>
      </c>
      <c r="AC641">
        <f t="shared" si="138"/>
        <v>0</v>
      </c>
      <c r="AD641">
        <f t="shared" si="138"/>
        <v>0</v>
      </c>
      <c r="AE641">
        <f t="shared" si="138"/>
        <v>0</v>
      </c>
      <c r="AF641">
        <f t="shared" si="138"/>
        <v>0</v>
      </c>
      <c r="AG641">
        <f t="shared" si="138"/>
        <v>0</v>
      </c>
      <c r="AH641">
        <f t="shared" si="138"/>
        <v>0</v>
      </c>
      <c r="AI641">
        <f t="shared" si="138"/>
        <v>0</v>
      </c>
      <c r="AJ641">
        <f t="shared" si="138"/>
        <v>0</v>
      </c>
      <c r="AK641">
        <f t="shared" si="138"/>
        <v>0</v>
      </c>
      <c r="AL641">
        <f t="shared" si="138"/>
        <v>0</v>
      </c>
      <c r="AM641">
        <f t="shared" si="138"/>
        <v>0</v>
      </c>
      <c r="AN641">
        <f t="shared" ref="AN641:AR656" si="140">IF(AND($G641&gt;=AN$3,$G641&lt;AN$4),$F641,0)</f>
        <v>0</v>
      </c>
      <c r="AO641">
        <f t="shared" si="140"/>
        <v>0</v>
      </c>
      <c r="AP641">
        <f t="shared" si="140"/>
        <v>0</v>
      </c>
      <c r="AQ641">
        <f t="shared" si="140"/>
        <v>0</v>
      </c>
      <c r="AR641">
        <f t="shared" si="140"/>
        <v>0</v>
      </c>
    </row>
    <row r="642" spans="5:44" x14ac:dyDescent="0.2">
      <c r="E642" s="1">
        <f>moment_rate!$M642</f>
        <v>8.5662947374702189E-3</v>
      </c>
      <c r="F642" s="1">
        <f t="shared" si="128"/>
        <v>4.2271846141240382E-5</v>
      </c>
      <c r="G642">
        <f>moment_rate!I642-0.005</f>
        <v>6.3499999999999091</v>
      </c>
      <c r="H642" s="1">
        <f t="shared" si="129"/>
        <v>4.2271846141240382E-5</v>
      </c>
      <c r="I642">
        <f t="shared" si="139"/>
        <v>0</v>
      </c>
      <c r="J642">
        <f t="shared" si="139"/>
        <v>0</v>
      </c>
      <c r="K642">
        <f t="shared" si="139"/>
        <v>0</v>
      </c>
      <c r="L642">
        <f t="shared" si="139"/>
        <v>0</v>
      </c>
      <c r="M642">
        <f t="shared" si="139"/>
        <v>0</v>
      </c>
      <c r="N642">
        <f t="shared" si="139"/>
        <v>0</v>
      </c>
      <c r="O642">
        <f t="shared" si="139"/>
        <v>0</v>
      </c>
      <c r="P642">
        <f t="shared" si="139"/>
        <v>0</v>
      </c>
      <c r="Q642">
        <f t="shared" si="139"/>
        <v>0</v>
      </c>
      <c r="R642">
        <f t="shared" si="139"/>
        <v>0</v>
      </c>
      <c r="S642">
        <f t="shared" si="139"/>
        <v>0</v>
      </c>
      <c r="T642">
        <f t="shared" si="139"/>
        <v>0</v>
      </c>
      <c r="U642">
        <f t="shared" si="139"/>
        <v>0</v>
      </c>
      <c r="V642">
        <f t="shared" si="139"/>
        <v>4.2271846141240382E-5</v>
      </c>
      <c r="W642">
        <f t="shared" si="139"/>
        <v>0</v>
      </c>
      <c r="X642">
        <f t="shared" si="139"/>
        <v>0</v>
      </c>
      <c r="Y642">
        <f t="shared" si="138"/>
        <v>0</v>
      </c>
      <c r="Z642">
        <f t="shared" si="138"/>
        <v>0</v>
      </c>
      <c r="AA642">
        <f t="shared" si="138"/>
        <v>0</v>
      </c>
      <c r="AB642">
        <f t="shared" si="138"/>
        <v>0</v>
      </c>
      <c r="AC642">
        <f t="shared" si="138"/>
        <v>0</v>
      </c>
      <c r="AD642">
        <f t="shared" si="138"/>
        <v>0</v>
      </c>
      <c r="AE642">
        <f t="shared" si="138"/>
        <v>0</v>
      </c>
      <c r="AF642">
        <f t="shared" si="138"/>
        <v>0</v>
      </c>
      <c r="AG642">
        <f t="shared" si="138"/>
        <v>0</v>
      </c>
      <c r="AH642">
        <f t="shared" si="138"/>
        <v>0</v>
      </c>
      <c r="AI642">
        <f t="shared" si="138"/>
        <v>0</v>
      </c>
      <c r="AJ642">
        <f t="shared" si="138"/>
        <v>0</v>
      </c>
      <c r="AK642">
        <f t="shared" si="138"/>
        <v>0</v>
      </c>
      <c r="AL642">
        <f t="shared" si="138"/>
        <v>0</v>
      </c>
      <c r="AM642">
        <f t="shared" si="138"/>
        <v>0</v>
      </c>
      <c r="AN642">
        <f t="shared" si="140"/>
        <v>0</v>
      </c>
      <c r="AO642">
        <f t="shared" si="140"/>
        <v>0</v>
      </c>
      <c r="AP642">
        <f t="shared" si="140"/>
        <v>0</v>
      </c>
      <c r="AQ642">
        <f t="shared" si="140"/>
        <v>0</v>
      </c>
      <c r="AR642">
        <f t="shared" si="140"/>
        <v>0</v>
      </c>
    </row>
    <row r="643" spans="5:44" x14ac:dyDescent="0.2">
      <c r="E643" s="1">
        <f>moment_rate!$M643</f>
        <v>8.5240228913289785E-3</v>
      </c>
      <c r="F643" s="1">
        <f t="shared" si="128"/>
        <v>4.1404849960079843E-5</v>
      </c>
      <c r="G643">
        <f>moment_rate!I643-0.005</f>
        <v>6.3599999999999088</v>
      </c>
      <c r="H643" s="1">
        <f t="shared" si="129"/>
        <v>4.1404849960079843E-5</v>
      </c>
      <c r="I643">
        <f t="shared" si="139"/>
        <v>0</v>
      </c>
      <c r="J643">
        <f t="shared" si="139"/>
        <v>0</v>
      </c>
      <c r="K643">
        <f t="shared" si="139"/>
        <v>0</v>
      </c>
      <c r="L643">
        <f t="shared" si="139"/>
        <v>0</v>
      </c>
      <c r="M643">
        <f t="shared" si="139"/>
        <v>0</v>
      </c>
      <c r="N643">
        <f t="shared" si="139"/>
        <v>0</v>
      </c>
      <c r="O643">
        <f t="shared" si="139"/>
        <v>0</v>
      </c>
      <c r="P643">
        <f t="shared" si="139"/>
        <v>0</v>
      </c>
      <c r="Q643">
        <f t="shared" si="139"/>
        <v>0</v>
      </c>
      <c r="R643">
        <f t="shared" si="139"/>
        <v>0</v>
      </c>
      <c r="S643">
        <f t="shared" si="139"/>
        <v>0</v>
      </c>
      <c r="T643">
        <f t="shared" si="139"/>
        <v>0</v>
      </c>
      <c r="U643">
        <f t="shared" si="139"/>
        <v>0</v>
      </c>
      <c r="V643">
        <f t="shared" si="139"/>
        <v>4.1404849960079843E-5</v>
      </c>
      <c r="W643">
        <f t="shared" si="139"/>
        <v>0</v>
      </c>
      <c r="X643">
        <f t="shared" si="139"/>
        <v>0</v>
      </c>
      <c r="Y643">
        <f t="shared" si="138"/>
        <v>0</v>
      </c>
      <c r="Z643">
        <f t="shared" si="138"/>
        <v>0</v>
      </c>
      <c r="AA643">
        <f t="shared" si="138"/>
        <v>0</v>
      </c>
      <c r="AB643">
        <f t="shared" si="138"/>
        <v>0</v>
      </c>
      <c r="AC643">
        <f t="shared" si="138"/>
        <v>0</v>
      </c>
      <c r="AD643">
        <f t="shared" si="138"/>
        <v>0</v>
      </c>
      <c r="AE643">
        <f t="shared" si="138"/>
        <v>0</v>
      </c>
      <c r="AF643">
        <f t="shared" si="138"/>
        <v>0</v>
      </c>
      <c r="AG643">
        <f t="shared" si="138"/>
        <v>0</v>
      </c>
      <c r="AH643">
        <f t="shared" si="138"/>
        <v>0</v>
      </c>
      <c r="AI643">
        <f t="shared" si="138"/>
        <v>0</v>
      </c>
      <c r="AJ643">
        <f t="shared" si="138"/>
        <v>0</v>
      </c>
      <c r="AK643">
        <f t="shared" si="138"/>
        <v>0</v>
      </c>
      <c r="AL643">
        <f t="shared" si="138"/>
        <v>0</v>
      </c>
      <c r="AM643">
        <f t="shared" si="138"/>
        <v>0</v>
      </c>
      <c r="AN643">
        <f t="shared" si="140"/>
        <v>0</v>
      </c>
      <c r="AO643">
        <f t="shared" si="140"/>
        <v>0</v>
      </c>
      <c r="AP643">
        <f t="shared" si="140"/>
        <v>0</v>
      </c>
      <c r="AQ643">
        <f t="shared" si="140"/>
        <v>0</v>
      </c>
      <c r="AR643">
        <f t="shared" si="140"/>
        <v>0</v>
      </c>
    </row>
    <row r="644" spans="5:44" x14ac:dyDescent="0.2">
      <c r="E644" s="1">
        <f>moment_rate!$M644</f>
        <v>8.4826180413688987E-3</v>
      </c>
      <c r="F644" s="1">
        <f t="shared" si="128"/>
        <v>4.0555635883248245E-5</v>
      </c>
      <c r="G644">
        <f>moment_rate!I644-0.005</f>
        <v>6.3699999999999086</v>
      </c>
      <c r="H644" s="1">
        <f t="shared" si="129"/>
        <v>4.0555635883248245E-5</v>
      </c>
      <c r="I644">
        <f t="shared" si="139"/>
        <v>0</v>
      </c>
      <c r="J644">
        <f t="shared" si="139"/>
        <v>0</v>
      </c>
      <c r="K644">
        <f t="shared" si="139"/>
        <v>0</v>
      </c>
      <c r="L644">
        <f t="shared" si="139"/>
        <v>0</v>
      </c>
      <c r="M644">
        <f t="shared" si="139"/>
        <v>0</v>
      </c>
      <c r="N644">
        <f t="shared" si="139"/>
        <v>0</v>
      </c>
      <c r="O644">
        <f t="shared" si="139"/>
        <v>0</v>
      </c>
      <c r="P644">
        <f t="shared" si="139"/>
        <v>0</v>
      </c>
      <c r="Q644">
        <f t="shared" si="139"/>
        <v>0</v>
      </c>
      <c r="R644">
        <f t="shared" si="139"/>
        <v>0</v>
      </c>
      <c r="S644">
        <f t="shared" si="139"/>
        <v>0</v>
      </c>
      <c r="T644">
        <f t="shared" si="139"/>
        <v>0</v>
      </c>
      <c r="U644">
        <f t="shared" si="139"/>
        <v>0</v>
      </c>
      <c r="V644">
        <f t="shared" si="139"/>
        <v>4.0555635883248245E-5</v>
      </c>
      <c r="W644">
        <f t="shared" si="139"/>
        <v>0</v>
      </c>
      <c r="X644">
        <f t="shared" si="139"/>
        <v>0</v>
      </c>
      <c r="Y644">
        <f t="shared" si="138"/>
        <v>0</v>
      </c>
      <c r="Z644">
        <f t="shared" si="138"/>
        <v>0</v>
      </c>
      <c r="AA644">
        <f t="shared" si="138"/>
        <v>0</v>
      </c>
      <c r="AB644">
        <f t="shared" si="138"/>
        <v>0</v>
      </c>
      <c r="AC644">
        <f t="shared" si="138"/>
        <v>0</v>
      </c>
      <c r="AD644">
        <f t="shared" si="138"/>
        <v>0</v>
      </c>
      <c r="AE644">
        <f t="shared" si="138"/>
        <v>0</v>
      </c>
      <c r="AF644">
        <f t="shared" si="138"/>
        <v>0</v>
      </c>
      <c r="AG644">
        <f t="shared" si="138"/>
        <v>0</v>
      </c>
      <c r="AH644">
        <f t="shared" si="138"/>
        <v>0</v>
      </c>
      <c r="AI644">
        <f t="shared" si="138"/>
        <v>0</v>
      </c>
      <c r="AJ644">
        <f t="shared" si="138"/>
        <v>0</v>
      </c>
      <c r="AK644">
        <f t="shared" si="138"/>
        <v>0</v>
      </c>
      <c r="AL644">
        <f t="shared" si="138"/>
        <v>0</v>
      </c>
      <c r="AM644">
        <f t="shared" si="138"/>
        <v>0</v>
      </c>
      <c r="AN644">
        <f t="shared" si="140"/>
        <v>0</v>
      </c>
      <c r="AO644">
        <f t="shared" si="140"/>
        <v>0</v>
      </c>
      <c r="AP644">
        <f t="shared" si="140"/>
        <v>0</v>
      </c>
      <c r="AQ644">
        <f t="shared" si="140"/>
        <v>0</v>
      </c>
      <c r="AR644">
        <f t="shared" si="140"/>
        <v>0</v>
      </c>
    </row>
    <row r="645" spans="5:44" x14ac:dyDescent="0.2">
      <c r="E645" s="1">
        <f>moment_rate!$M645</f>
        <v>8.4420624054856504E-3</v>
      </c>
      <c r="F645" s="1">
        <f t="shared" si="128"/>
        <v>3.9723839199526031E-5</v>
      </c>
      <c r="G645">
        <f>moment_rate!I645-0.005</f>
        <v>6.3799999999999084</v>
      </c>
      <c r="H645" s="1">
        <f t="shared" si="129"/>
        <v>3.9723839199526031E-5</v>
      </c>
      <c r="I645">
        <f t="shared" si="139"/>
        <v>0</v>
      </c>
      <c r="J645">
        <f t="shared" si="139"/>
        <v>0</v>
      </c>
      <c r="K645">
        <f t="shared" si="139"/>
        <v>0</v>
      </c>
      <c r="L645">
        <f t="shared" si="139"/>
        <v>0</v>
      </c>
      <c r="M645">
        <f t="shared" si="139"/>
        <v>0</v>
      </c>
      <c r="N645">
        <f t="shared" si="139"/>
        <v>0</v>
      </c>
      <c r="O645">
        <f t="shared" si="139"/>
        <v>0</v>
      </c>
      <c r="P645">
        <f t="shared" si="139"/>
        <v>0</v>
      </c>
      <c r="Q645">
        <f t="shared" si="139"/>
        <v>0</v>
      </c>
      <c r="R645">
        <f t="shared" si="139"/>
        <v>0</v>
      </c>
      <c r="S645">
        <f t="shared" si="139"/>
        <v>0</v>
      </c>
      <c r="T645">
        <f t="shared" si="139"/>
        <v>0</v>
      </c>
      <c r="U645">
        <f t="shared" si="139"/>
        <v>0</v>
      </c>
      <c r="V645">
        <f t="shared" si="139"/>
        <v>3.9723839199526031E-5</v>
      </c>
      <c r="W645">
        <f t="shared" si="139"/>
        <v>0</v>
      </c>
      <c r="X645">
        <f t="shared" si="139"/>
        <v>0</v>
      </c>
      <c r="Y645">
        <f t="shared" si="138"/>
        <v>0</v>
      </c>
      <c r="Z645">
        <f t="shared" si="138"/>
        <v>0</v>
      </c>
      <c r="AA645">
        <f t="shared" si="138"/>
        <v>0</v>
      </c>
      <c r="AB645">
        <f t="shared" si="138"/>
        <v>0</v>
      </c>
      <c r="AC645">
        <f t="shared" si="138"/>
        <v>0</v>
      </c>
      <c r="AD645">
        <f t="shared" si="138"/>
        <v>0</v>
      </c>
      <c r="AE645">
        <f t="shared" si="138"/>
        <v>0</v>
      </c>
      <c r="AF645">
        <f t="shared" si="138"/>
        <v>0</v>
      </c>
      <c r="AG645">
        <f t="shared" si="138"/>
        <v>0</v>
      </c>
      <c r="AH645">
        <f t="shared" si="138"/>
        <v>0</v>
      </c>
      <c r="AI645">
        <f t="shared" si="138"/>
        <v>0</v>
      </c>
      <c r="AJ645">
        <f t="shared" si="138"/>
        <v>0</v>
      </c>
      <c r="AK645">
        <f t="shared" si="138"/>
        <v>0</v>
      </c>
      <c r="AL645">
        <f t="shared" si="138"/>
        <v>0</v>
      </c>
      <c r="AM645">
        <f t="shared" si="138"/>
        <v>0</v>
      </c>
      <c r="AN645">
        <f t="shared" si="140"/>
        <v>0</v>
      </c>
      <c r="AO645">
        <f t="shared" si="140"/>
        <v>0</v>
      </c>
      <c r="AP645">
        <f t="shared" si="140"/>
        <v>0</v>
      </c>
      <c r="AQ645">
        <f t="shared" si="140"/>
        <v>0</v>
      </c>
      <c r="AR645">
        <f t="shared" si="140"/>
        <v>0</v>
      </c>
    </row>
    <row r="646" spans="5:44" x14ac:dyDescent="0.2">
      <c r="E646" s="1">
        <f>moment_rate!$M646</f>
        <v>8.4023385662861244E-3</v>
      </c>
      <c r="F646" s="1">
        <f t="shared" si="128"/>
        <v>3.8909102677918417E-5</v>
      </c>
      <c r="G646">
        <f>moment_rate!I646-0.005</f>
        <v>6.3899999999999082</v>
      </c>
      <c r="H646" s="1">
        <f t="shared" si="129"/>
        <v>3.8909102677918417E-5</v>
      </c>
      <c r="I646">
        <f t="shared" si="139"/>
        <v>0</v>
      </c>
      <c r="J646">
        <f t="shared" si="139"/>
        <v>0</v>
      </c>
      <c r="K646">
        <f t="shared" si="139"/>
        <v>0</v>
      </c>
      <c r="L646">
        <f t="shared" si="139"/>
        <v>0</v>
      </c>
      <c r="M646">
        <f t="shared" si="139"/>
        <v>0</v>
      </c>
      <c r="N646">
        <f t="shared" si="139"/>
        <v>0</v>
      </c>
      <c r="O646">
        <f t="shared" si="139"/>
        <v>0</v>
      </c>
      <c r="P646">
        <f t="shared" si="139"/>
        <v>0</v>
      </c>
      <c r="Q646">
        <f t="shared" si="139"/>
        <v>0</v>
      </c>
      <c r="R646">
        <f t="shared" si="139"/>
        <v>0</v>
      </c>
      <c r="S646">
        <f t="shared" si="139"/>
        <v>0</v>
      </c>
      <c r="T646">
        <f t="shared" si="139"/>
        <v>0</v>
      </c>
      <c r="U646">
        <f t="shared" si="139"/>
        <v>0</v>
      </c>
      <c r="V646">
        <f t="shared" si="139"/>
        <v>3.8909102677918417E-5</v>
      </c>
      <c r="W646">
        <f t="shared" si="139"/>
        <v>0</v>
      </c>
      <c r="X646">
        <f t="shared" si="139"/>
        <v>0</v>
      </c>
      <c r="Y646">
        <f t="shared" si="138"/>
        <v>0</v>
      </c>
      <c r="Z646">
        <f t="shared" si="138"/>
        <v>0</v>
      </c>
      <c r="AA646">
        <f t="shared" si="138"/>
        <v>0</v>
      </c>
      <c r="AB646">
        <f t="shared" si="138"/>
        <v>0</v>
      </c>
      <c r="AC646">
        <f t="shared" si="138"/>
        <v>0</v>
      </c>
      <c r="AD646">
        <f t="shared" si="138"/>
        <v>0</v>
      </c>
      <c r="AE646">
        <f t="shared" si="138"/>
        <v>0</v>
      </c>
      <c r="AF646">
        <f t="shared" si="138"/>
        <v>0</v>
      </c>
      <c r="AG646">
        <f t="shared" si="138"/>
        <v>0</v>
      </c>
      <c r="AH646">
        <f t="shared" si="138"/>
        <v>0</v>
      </c>
      <c r="AI646">
        <f t="shared" si="138"/>
        <v>0</v>
      </c>
      <c r="AJ646">
        <f t="shared" si="138"/>
        <v>0</v>
      </c>
      <c r="AK646">
        <f t="shared" si="138"/>
        <v>0</v>
      </c>
      <c r="AL646">
        <f t="shared" si="138"/>
        <v>0</v>
      </c>
      <c r="AM646">
        <f t="shared" si="138"/>
        <v>0</v>
      </c>
      <c r="AN646">
        <f t="shared" si="140"/>
        <v>0</v>
      </c>
      <c r="AO646">
        <f t="shared" si="140"/>
        <v>0</v>
      </c>
      <c r="AP646">
        <f t="shared" si="140"/>
        <v>0</v>
      </c>
      <c r="AQ646">
        <f t="shared" si="140"/>
        <v>0</v>
      </c>
      <c r="AR646">
        <f t="shared" si="140"/>
        <v>0</v>
      </c>
    </row>
    <row r="647" spans="5:44" x14ac:dyDescent="0.2">
      <c r="E647" s="1">
        <f>moment_rate!$M647</f>
        <v>8.363429463608206E-3</v>
      </c>
      <c r="F647" s="1">
        <f t="shared" si="128"/>
        <v>3.8111076414262465E-5</v>
      </c>
      <c r="G647">
        <f>moment_rate!I647-0.005</f>
        <v>6.399999999999908</v>
      </c>
      <c r="H647" s="1">
        <f t="shared" si="129"/>
        <v>3.8111076414262465E-5</v>
      </c>
      <c r="I647">
        <f t="shared" si="139"/>
        <v>0</v>
      </c>
      <c r="J647">
        <f t="shared" si="139"/>
        <v>0</v>
      </c>
      <c r="K647">
        <f t="shared" si="139"/>
        <v>0</v>
      </c>
      <c r="L647">
        <f t="shared" si="139"/>
        <v>0</v>
      </c>
      <c r="M647">
        <f t="shared" si="139"/>
        <v>0</v>
      </c>
      <c r="N647">
        <f t="shared" si="139"/>
        <v>0</v>
      </c>
      <c r="O647">
        <f t="shared" si="139"/>
        <v>0</v>
      </c>
      <c r="P647">
        <f t="shared" si="139"/>
        <v>0</v>
      </c>
      <c r="Q647">
        <f t="shared" si="139"/>
        <v>0</v>
      </c>
      <c r="R647">
        <f t="shared" si="139"/>
        <v>0</v>
      </c>
      <c r="S647">
        <f t="shared" si="139"/>
        <v>0</v>
      </c>
      <c r="T647">
        <f t="shared" si="139"/>
        <v>0</v>
      </c>
      <c r="U647">
        <f t="shared" si="139"/>
        <v>0</v>
      </c>
      <c r="V647">
        <f t="shared" si="139"/>
        <v>3.8111076414262465E-5</v>
      </c>
      <c r="W647">
        <f t="shared" si="139"/>
        <v>0</v>
      </c>
      <c r="X647">
        <f t="shared" si="139"/>
        <v>0</v>
      </c>
      <c r="Y647">
        <f t="shared" si="138"/>
        <v>0</v>
      </c>
      <c r="Z647">
        <f t="shared" si="138"/>
        <v>0</v>
      </c>
      <c r="AA647">
        <f t="shared" si="138"/>
        <v>0</v>
      </c>
      <c r="AB647">
        <f t="shared" si="138"/>
        <v>0</v>
      </c>
      <c r="AC647">
        <f t="shared" si="138"/>
        <v>0</v>
      </c>
      <c r="AD647">
        <f t="shared" si="138"/>
        <v>0</v>
      </c>
      <c r="AE647">
        <f t="shared" si="138"/>
        <v>0</v>
      </c>
      <c r="AF647">
        <f t="shared" si="138"/>
        <v>0</v>
      </c>
      <c r="AG647">
        <f t="shared" si="138"/>
        <v>0</v>
      </c>
      <c r="AH647">
        <f t="shared" si="138"/>
        <v>0</v>
      </c>
      <c r="AI647">
        <f t="shared" si="138"/>
        <v>0</v>
      </c>
      <c r="AJ647">
        <f t="shared" si="138"/>
        <v>0</v>
      </c>
      <c r="AK647">
        <f t="shared" si="138"/>
        <v>0</v>
      </c>
      <c r="AL647">
        <f t="shared" si="138"/>
        <v>0</v>
      </c>
      <c r="AM647">
        <f t="shared" si="138"/>
        <v>0</v>
      </c>
      <c r="AN647">
        <f t="shared" si="140"/>
        <v>0</v>
      </c>
      <c r="AO647">
        <f t="shared" si="140"/>
        <v>0</v>
      </c>
      <c r="AP647">
        <f t="shared" si="140"/>
        <v>0</v>
      </c>
      <c r="AQ647">
        <f t="shared" si="140"/>
        <v>0</v>
      </c>
      <c r="AR647">
        <f t="shared" si="140"/>
        <v>0</v>
      </c>
    </row>
    <row r="648" spans="5:44" x14ac:dyDescent="0.2">
      <c r="E648" s="1">
        <f>moment_rate!$M648</f>
        <v>8.3253183871939435E-3</v>
      </c>
      <c r="F648" s="1">
        <f t="shared" ref="F648:F711" si="141">E648-E649</f>
        <v>3.7329417680913302E-5</v>
      </c>
      <c r="G648">
        <f>moment_rate!I648-0.005</f>
        <v>6.4099999999999078</v>
      </c>
      <c r="H648" s="1">
        <f t="shared" ref="H648:H711" si="142">IF($G648&gt;=4.999,(E648-E649),0)</f>
        <v>3.7329417680913302E-5</v>
      </c>
      <c r="I648">
        <f t="shared" si="139"/>
        <v>0</v>
      </c>
      <c r="J648">
        <f t="shared" si="139"/>
        <v>0</v>
      </c>
      <c r="K648">
        <f t="shared" si="139"/>
        <v>0</v>
      </c>
      <c r="L648">
        <f t="shared" si="139"/>
        <v>0</v>
      </c>
      <c r="M648">
        <f t="shared" si="139"/>
        <v>0</v>
      </c>
      <c r="N648">
        <f t="shared" si="139"/>
        <v>0</v>
      </c>
      <c r="O648">
        <f t="shared" si="139"/>
        <v>0</v>
      </c>
      <c r="P648">
        <f t="shared" si="139"/>
        <v>0</v>
      </c>
      <c r="Q648">
        <f t="shared" si="139"/>
        <v>0</v>
      </c>
      <c r="R648">
        <f t="shared" si="139"/>
        <v>0</v>
      </c>
      <c r="S648">
        <f t="shared" si="139"/>
        <v>0</v>
      </c>
      <c r="T648">
        <f t="shared" si="139"/>
        <v>0</v>
      </c>
      <c r="U648">
        <f t="shared" si="139"/>
        <v>0</v>
      </c>
      <c r="V648">
        <f t="shared" si="139"/>
        <v>0</v>
      </c>
      <c r="W648">
        <f t="shared" si="139"/>
        <v>3.7329417680913302E-5</v>
      </c>
      <c r="X648">
        <f t="shared" si="139"/>
        <v>0</v>
      </c>
      <c r="Y648">
        <f t="shared" si="138"/>
        <v>0</v>
      </c>
      <c r="Z648">
        <f t="shared" si="138"/>
        <v>0</v>
      </c>
      <c r="AA648">
        <f t="shared" si="138"/>
        <v>0</v>
      </c>
      <c r="AB648">
        <f t="shared" si="138"/>
        <v>0</v>
      </c>
      <c r="AC648">
        <f t="shared" si="138"/>
        <v>0</v>
      </c>
      <c r="AD648">
        <f t="shared" si="138"/>
        <v>0</v>
      </c>
      <c r="AE648">
        <f t="shared" si="138"/>
        <v>0</v>
      </c>
      <c r="AF648">
        <f t="shared" si="138"/>
        <v>0</v>
      </c>
      <c r="AG648">
        <f t="shared" si="138"/>
        <v>0</v>
      </c>
      <c r="AH648">
        <f t="shared" si="138"/>
        <v>0</v>
      </c>
      <c r="AI648">
        <f t="shared" si="138"/>
        <v>0</v>
      </c>
      <c r="AJ648">
        <f t="shared" si="138"/>
        <v>0</v>
      </c>
      <c r="AK648">
        <f t="shared" si="138"/>
        <v>0</v>
      </c>
      <c r="AL648">
        <f t="shared" si="138"/>
        <v>0</v>
      </c>
      <c r="AM648">
        <f t="shared" si="138"/>
        <v>0</v>
      </c>
      <c r="AN648">
        <f t="shared" si="140"/>
        <v>0</v>
      </c>
      <c r="AO648">
        <f t="shared" si="140"/>
        <v>0</v>
      </c>
      <c r="AP648">
        <f t="shared" si="140"/>
        <v>0</v>
      </c>
      <c r="AQ648">
        <f t="shared" si="140"/>
        <v>0</v>
      </c>
      <c r="AR648">
        <f t="shared" si="140"/>
        <v>0</v>
      </c>
    </row>
    <row r="649" spans="5:44" x14ac:dyDescent="0.2">
      <c r="E649" s="1">
        <f>moment_rate!$M649</f>
        <v>8.2879889695130302E-3</v>
      </c>
      <c r="F649" s="1">
        <f t="shared" si="141"/>
        <v>3.6563790779594457E-5</v>
      </c>
      <c r="G649">
        <f>moment_rate!I649-0.005</f>
        <v>6.4199999999999076</v>
      </c>
      <c r="H649" s="1">
        <f t="shared" si="142"/>
        <v>3.6563790779594457E-5</v>
      </c>
      <c r="I649">
        <f t="shared" si="139"/>
        <v>0</v>
      </c>
      <c r="J649">
        <f t="shared" si="139"/>
        <v>0</v>
      </c>
      <c r="K649">
        <f t="shared" si="139"/>
        <v>0</v>
      </c>
      <c r="L649">
        <f t="shared" si="139"/>
        <v>0</v>
      </c>
      <c r="M649">
        <f t="shared" si="139"/>
        <v>0</v>
      </c>
      <c r="N649">
        <f t="shared" si="139"/>
        <v>0</v>
      </c>
      <c r="O649">
        <f t="shared" si="139"/>
        <v>0</v>
      </c>
      <c r="P649">
        <f t="shared" si="139"/>
        <v>0</v>
      </c>
      <c r="Q649">
        <f t="shared" si="139"/>
        <v>0</v>
      </c>
      <c r="R649">
        <f t="shared" si="139"/>
        <v>0</v>
      </c>
      <c r="S649">
        <f t="shared" si="139"/>
        <v>0</v>
      </c>
      <c r="T649">
        <f t="shared" si="139"/>
        <v>0</v>
      </c>
      <c r="U649">
        <f t="shared" si="139"/>
        <v>0</v>
      </c>
      <c r="V649">
        <f t="shared" si="139"/>
        <v>0</v>
      </c>
      <c r="W649">
        <f t="shared" si="139"/>
        <v>3.6563790779594457E-5</v>
      </c>
      <c r="X649">
        <f t="shared" si="139"/>
        <v>0</v>
      </c>
      <c r="Y649">
        <f t="shared" si="138"/>
        <v>0</v>
      </c>
      <c r="Z649">
        <f t="shared" si="138"/>
        <v>0</v>
      </c>
      <c r="AA649">
        <f t="shared" si="138"/>
        <v>0</v>
      </c>
      <c r="AB649">
        <f t="shared" si="138"/>
        <v>0</v>
      </c>
      <c r="AC649">
        <f t="shared" si="138"/>
        <v>0</v>
      </c>
      <c r="AD649">
        <f t="shared" si="138"/>
        <v>0</v>
      </c>
      <c r="AE649">
        <f t="shared" si="138"/>
        <v>0</v>
      </c>
      <c r="AF649">
        <f t="shared" si="138"/>
        <v>0</v>
      </c>
      <c r="AG649">
        <f t="shared" si="138"/>
        <v>0</v>
      </c>
      <c r="AH649">
        <f t="shared" si="138"/>
        <v>0</v>
      </c>
      <c r="AI649">
        <f t="shared" si="138"/>
        <v>0</v>
      </c>
      <c r="AJ649">
        <f t="shared" si="138"/>
        <v>0</v>
      </c>
      <c r="AK649">
        <f t="shared" si="138"/>
        <v>0</v>
      </c>
      <c r="AL649">
        <f t="shared" si="138"/>
        <v>0</v>
      </c>
      <c r="AM649">
        <f t="shared" si="138"/>
        <v>0</v>
      </c>
      <c r="AN649">
        <f t="shared" si="140"/>
        <v>0</v>
      </c>
      <c r="AO649">
        <f t="shared" si="140"/>
        <v>0</v>
      </c>
      <c r="AP649">
        <f t="shared" si="140"/>
        <v>0</v>
      </c>
      <c r="AQ649">
        <f t="shared" si="140"/>
        <v>0</v>
      </c>
      <c r="AR649">
        <f t="shared" si="140"/>
        <v>0</v>
      </c>
    </row>
    <row r="650" spans="5:44" x14ac:dyDescent="0.2">
      <c r="E650" s="1">
        <f>moment_rate!$M650</f>
        <v>8.2514251787334358E-3</v>
      </c>
      <c r="F650" s="1">
        <f t="shared" si="141"/>
        <v>3.5813866897192043E-5</v>
      </c>
      <c r="G650">
        <f>moment_rate!I650-0.005</f>
        <v>6.4299999999999073</v>
      </c>
      <c r="H650" s="1">
        <f t="shared" si="142"/>
        <v>3.5813866897192043E-5</v>
      </c>
      <c r="I650">
        <f t="shared" si="139"/>
        <v>0</v>
      </c>
      <c r="J650">
        <f t="shared" si="139"/>
        <v>0</v>
      </c>
      <c r="K650">
        <f t="shared" si="139"/>
        <v>0</v>
      </c>
      <c r="L650">
        <f t="shared" si="139"/>
        <v>0</v>
      </c>
      <c r="M650">
        <f t="shared" si="139"/>
        <v>0</v>
      </c>
      <c r="N650">
        <f t="shared" si="139"/>
        <v>0</v>
      </c>
      <c r="O650">
        <f t="shared" si="139"/>
        <v>0</v>
      </c>
      <c r="P650">
        <f t="shared" si="139"/>
        <v>0</v>
      </c>
      <c r="Q650">
        <f t="shared" si="139"/>
        <v>0</v>
      </c>
      <c r="R650">
        <f t="shared" si="139"/>
        <v>0</v>
      </c>
      <c r="S650">
        <f t="shared" si="139"/>
        <v>0</v>
      </c>
      <c r="T650">
        <f t="shared" si="139"/>
        <v>0</v>
      </c>
      <c r="U650">
        <f t="shared" si="139"/>
        <v>0</v>
      </c>
      <c r="V650">
        <f t="shared" si="139"/>
        <v>0</v>
      </c>
      <c r="W650">
        <f t="shared" si="139"/>
        <v>3.5813866897192043E-5</v>
      </c>
      <c r="X650">
        <f t="shared" ref="X650:AM665" si="143">IF(AND($G650&gt;=X$3,$G650&lt;X$4),$F650,0)</f>
        <v>0</v>
      </c>
      <c r="Y650">
        <f t="shared" si="143"/>
        <v>0</v>
      </c>
      <c r="Z650">
        <f t="shared" si="143"/>
        <v>0</v>
      </c>
      <c r="AA650">
        <f t="shared" si="143"/>
        <v>0</v>
      </c>
      <c r="AB650">
        <f t="shared" si="143"/>
        <v>0</v>
      </c>
      <c r="AC650">
        <f t="shared" si="143"/>
        <v>0</v>
      </c>
      <c r="AD650">
        <f t="shared" si="143"/>
        <v>0</v>
      </c>
      <c r="AE650">
        <f t="shared" si="143"/>
        <v>0</v>
      </c>
      <c r="AF650">
        <f t="shared" si="143"/>
        <v>0</v>
      </c>
      <c r="AG650">
        <f t="shared" si="143"/>
        <v>0</v>
      </c>
      <c r="AH650">
        <f t="shared" si="143"/>
        <v>0</v>
      </c>
      <c r="AI650">
        <f t="shared" si="143"/>
        <v>0</v>
      </c>
      <c r="AJ650">
        <f t="shared" si="143"/>
        <v>0</v>
      </c>
      <c r="AK650">
        <f t="shared" si="143"/>
        <v>0</v>
      </c>
      <c r="AL650">
        <f t="shared" si="143"/>
        <v>0</v>
      </c>
      <c r="AM650">
        <f t="shared" si="143"/>
        <v>0</v>
      </c>
      <c r="AN650">
        <f t="shared" si="140"/>
        <v>0</v>
      </c>
      <c r="AO650">
        <f t="shared" si="140"/>
        <v>0</v>
      </c>
      <c r="AP650">
        <f t="shared" si="140"/>
        <v>0</v>
      </c>
      <c r="AQ650">
        <f t="shared" si="140"/>
        <v>0</v>
      </c>
      <c r="AR650">
        <f t="shared" si="140"/>
        <v>0</v>
      </c>
    </row>
    <row r="651" spans="5:44" x14ac:dyDescent="0.2">
      <c r="E651" s="1">
        <f>moment_rate!$M651</f>
        <v>8.2156113118362437E-3</v>
      </c>
      <c r="F651" s="1">
        <f t="shared" si="141"/>
        <v>3.5079323964558665E-5</v>
      </c>
      <c r="G651">
        <f>moment_rate!I651-0.005</f>
        <v>6.4399999999999071</v>
      </c>
      <c r="H651" s="1">
        <f t="shared" si="142"/>
        <v>3.5079323964558665E-5</v>
      </c>
      <c r="I651">
        <f t="shared" ref="I651:X666" si="144">IF(AND($G651&gt;=I$3,$G651&lt;I$4),$F651,0)</f>
        <v>0</v>
      </c>
      <c r="J651">
        <f t="shared" si="144"/>
        <v>0</v>
      </c>
      <c r="K651">
        <f t="shared" si="144"/>
        <v>0</v>
      </c>
      <c r="L651">
        <f t="shared" si="144"/>
        <v>0</v>
      </c>
      <c r="M651">
        <f t="shared" si="144"/>
        <v>0</v>
      </c>
      <c r="N651">
        <f t="shared" si="144"/>
        <v>0</v>
      </c>
      <c r="O651">
        <f t="shared" si="144"/>
        <v>0</v>
      </c>
      <c r="P651">
        <f t="shared" si="144"/>
        <v>0</v>
      </c>
      <c r="Q651">
        <f t="shared" si="144"/>
        <v>0</v>
      </c>
      <c r="R651">
        <f t="shared" si="144"/>
        <v>0</v>
      </c>
      <c r="S651">
        <f t="shared" si="144"/>
        <v>0</v>
      </c>
      <c r="T651">
        <f t="shared" si="144"/>
        <v>0</v>
      </c>
      <c r="U651">
        <f t="shared" si="144"/>
        <v>0</v>
      </c>
      <c r="V651">
        <f t="shared" si="144"/>
        <v>0</v>
      </c>
      <c r="W651">
        <f t="shared" si="144"/>
        <v>3.5079323964558665E-5</v>
      </c>
      <c r="X651">
        <f t="shared" si="144"/>
        <v>0</v>
      </c>
      <c r="Y651">
        <f t="shared" si="143"/>
        <v>0</v>
      </c>
      <c r="Z651">
        <f t="shared" si="143"/>
        <v>0</v>
      </c>
      <c r="AA651">
        <f t="shared" si="143"/>
        <v>0</v>
      </c>
      <c r="AB651">
        <f t="shared" si="143"/>
        <v>0</v>
      </c>
      <c r="AC651">
        <f t="shared" si="143"/>
        <v>0</v>
      </c>
      <c r="AD651">
        <f t="shared" si="143"/>
        <v>0</v>
      </c>
      <c r="AE651">
        <f t="shared" si="143"/>
        <v>0</v>
      </c>
      <c r="AF651">
        <f t="shared" si="143"/>
        <v>0</v>
      </c>
      <c r="AG651">
        <f t="shared" si="143"/>
        <v>0</v>
      </c>
      <c r="AH651">
        <f t="shared" si="143"/>
        <v>0</v>
      </c>
      <c r="AI651">
        <f t="shared" si="143"/>
        <v>0</v>
      </c>
      <c r="AJ651">
        <f t="shared" si="143"/>
        <v>0</v>
      </c>
      <c r="AK651">
        <f t="shared" si="143"/>
        <v>0</v>
      </c>
      <c r="AL651">
        <f t="shared" si="143"/>
        <v>0</v>
      </c>
      <c r="AM651">
        <f t="shared" si="143"/>
        <v>0</v>
      </c>
      <c r="AN651">
        <f t="shared" si="140"/>
        <v>0</v>
      </c>
      <c r="AO651">
        <f t="shared" si="140"/>
        <v>0</v>
      </c>
      <c r="AP651">
        <f t="shared" si="140"/>
        <v>0</v>
      </c>
      <c r="AQ651">
        <f t="shared" si="140"/>
        <v>0</v>
      </c>
      <c r="AR651">
        <f t="shared" si="140"/>
        <v>0</v>
      </c>
    </row>
    <row r="652" spans="5:44" x14ac:dyDescent="0.2">
      <c r="E652" s="1">
        <f>moment_rate!$M652</f>
        <v>8.1805319878716851E-3</v>
      </c>
      <c r="F652" s="1">
        <f t="shared" si="141"/>
        <v>3.4359846518193515E-5</v>
      </c>
      <c r="G652">
        <f>moment_rate!I652-0.005</f>
        <v>6.4499999999999069</v>
      </c>
      <c r="H652" s="1">
        <f t="shared" si="142"/>
        <v>3.4359846518193515E-5</v>
      </c>
      <c r="I652">
        <f t="shared" si="144"/>
        <v>0</v>
      </c>
      <c r="J652">
        <f t="shared" si="144"/>
        <v>0</v>
      </c>
      <c r="K652">
        <f t="shared" si="144"/>
        <v>0</v>
      </c>
      <c r="L652">
        <f t="shared" si="144"/>
        <v>0</v>
      </c>
      <c r="M652">
        <f t="shared" si="144"/>
        <v>0</v>
      </c>
      <c r="N652">
        <f t="shared" si="144"/>
        <v>0</v>
      </c>
      <c r="O652">
        <f t="shared" si="144"/>
        <v>0</v>
      </c>
      <c r="P652">
        <f t="shared" si="144"/>
        <v>0</v>
      </c>
      <c r="Q652">
        <f t="shared" si="144"/>
        <v>0</v>
      </c>
      <c r="R652">
        <f t="shared" si="144"/>
        <v>0</v>
      </c>
      <c r="S652">
        <f t="shared" si="144"/>
        <v>0</v>
      </c>
      <c r="T652">
        <f t="shared" si="144"/>
        <v>0</v>
      </c>
      <c r="U652">
        <f t="shared" si="144"/>
        <v>0</v>
      </c>
      <c r="V652">
        <f t="shared" si="144"/>
        <v>0</v>
      </c>
      <c r="W652">
        <f t="shared" si="144"/>
        <v>3.4359846518193515E-5</v>
      </c>
      <c r="X652">
        <f t="shared" si="144"/>
        <v>0</v>
      </c>
      <c r="Y652">
        <f t="shared" si="143"/>
        <v>0</v>
      </c>
      <c r="Z652">
        <f t="shared" si="143"/>
        <v>0</v>
      </c>
      <c r="AA652">
        <f t="shared" si="143"/>
        <v>0</v>
      </c>
      <c r="AB652">
        <f t="shared" si="143"/>
        <v>0</v>
      </c>
      <c r="AC652">
        <f t="shared" si="143"/>
        <v>0</v>
      </c>
      <c r="AD652">
        <f t="shared" si="143"/>
        <v>0</v>
      </c>
      <c r="AE652">
        <f t="shared" si="143"/>
        <v>0</v>
      </c>
      <c r="AF652">
        <f t="shared" si="143"/>
        <v>0</v>
      </c>
      <c r="AG652">
        <f t="shared" si="143"/>
        <v>0</v>
      </c>
      <c r="AH652">
        <f t="shared" si="143"/>
        <v>0</v>
      </c>
      <c r="AI652">
        <f t="shared" si="143"/>
        <v>0</v>
      </c>
      <c r="AJ652">
        <f t="shared" si="143"/>
        <v>0</v>
      </c>
      <c r="AK652">
        <f t="shared" si="143"/>
        <v>0</v>
      </c>
      <c r="AL652">
        <f t="shared" si="143"/>
        <v>0</v>
      </c>
      <c r="AM652">
        <f t="shared" si="143"/>
        <v>0</v>
      </c>
      <c r="AN652">
        <f t="shared" si="140"/>
        <v>0</v>
      </c>
      <c r="AO652">
        <f t="shared" si="140"/>
        <v>0</v>
      </c>
      <c r="AP652">
        <f t="shared" si="140"/>
        <v>0</v>
      </c>
      <c r="AQ652">
        <f t="shared" si="140"/>
        <v>0</v>
      </c>
      <c r="AR652">
        <f t="shared" si="140"/>
        <v>0</v>
      </c>
    </row>
    <row r="653" spans="5:44" x14ac:dyDescent="0.2">
      <c r="E653" s="1">
        <f>moment_rate!$M653</f>
        <v>8.1461721413534915E-3</v>
      </c>
      <c r="F653" s="1">
        <f t="shared" si="141"/>
        <v>3.365512556475006E-5</v>
      </c>
      <c r="G653">
        <f>moment_rate!I653-0.005</f>
        <v>6.4599999999999067</v>
      </c>
      <c r="H653" s="1">
        <f t="shared" si="142"/>
        <v>3.365512556475006E-5</v>
      </c>
      <c r="I653">
        <f t="shared" si="144"/>
        <v>0</v>
      </c>
      <c r="J653">
        <f t="shared" si="144"/>
        <v>0</v>
      </c>
      <c r="K653">
        <f t="shared" si="144"/>
        <v>0</v>
      </c>
      <c r="L653">
        <f t="shared" si="144"/>
        <v>0</v>
      </c>
      <c r="M653">
        <f t="shared" si="144"/>
        <v>0</v>
      </c>
      <c r="N653">
        <f t="shared" si="144"/>
        <v>0</v>
      </c>
      <c r="O653">
        <f t="shared" si="144"/>
        <v>0</v>
      </c>
      <c r="P653">
        <f t="shared" si="144"/>
        <v>0</v>
      </c>
      <c r="Q653">
        <f t="shared" si="144"/>
        <v>0</v>
      </c>
      <c r="R653">
        <f t="shared" si="144"/>
        <v>0</v>
      </c>
      <c r="S653">
        <f t="shared" si="144"/>
        <v>0</v>
      </c>
      <c r="T653">
        <f t="shared" si="144"/>
        <v>0</v>
      </c>
      <c r="U653">
        <f t="shared" si="144"/>
        <v>0</v>
      </c>
      <c r="V653">
        <f t="shared" si="144"/>
        <v>0</v>
      </c>
      <c r="W653">
        <f t="shared" si="144"/>
        <v>3.365512556475006E-5</v>
      </c>
      <c r="X653">
        <f t="shared" si="144"/>
        <v>0</v>
      </c>
      <c r="Y653">
        <f t="shared" si="143"/>
        <v>0</v>
      </c>
      <c r="Z653">
        <f t="shared" si="143"/>
        <v>0</v>
      </c>
      <c r="AA653">
        <f t="shared" si="143"/>
        <v>0</v>
      </c>
      <c r="AB653">
        <f t="shared" si="143"/>
        <v>0</v>
      </c>
      <c r="AC653">
        <f t="shared" si="143"/>
        <v>0</v>
      </c>
      <c r="AD653">
        <f t="shared" si="143"/>
        <v>0</v>
      </c>
      <c r="AE653">
        <f t="shared" si="143"/>
        <v>0</v>
      </c>
      <c r="AF653">
        <f t="shared" si="143"/>
        <v>0</v>
      </c>
      <c r="AG653">
        <f t="shared" si="143"/>
        <v>0</v>
      </c>
      <c r="AH653">
        <f t="shared" si="143"/>
        <v>0</v>
      </c>
      <c r="AI653">
        <f t="shared" si="143"/>
        <v>0</v>
      </c>
      <c r="AJ653">
        <f t="shared" si="143"/>
        <v>0</v>
      </c>
      <c r="AK653">
        <f t="shared" si="143"/>
        <v>0</v>
      </c>
      <c r="AL653">
        <f t="shared" si="143"/>
        <v>0</v>
      </c>
      <c r="AM653">
        <f t="shared" si="143"/>
        <v>0</v>
      </c>
      <c r="AN653">
        <f t="shared" si="140"/>
        <v>0</v>
      </c>
      <c r="AO653">
        <f t="shared" si="140"/>
        <v>0</v>
      </c>
      <c r="AP653">
        <f t="shared" si="140"/>
        <v>0</v>
      </c>
      <c r="AQ653">
        <f t="shared" si="140"/>
        <v>0</v>
      </c>
      <c r="AR653">
        <f t="shared" si="140"/>
        <v>0</v>
      </c>
    </row>
    <row r="654" spans="5:44" x14ac:dyDescent="0.2">
      <c r="E654" s="1">
        <f>moment_rate!$M654</f>
        <v>8.1125170157887415E-3</v>
      </c>
      <c r="F654" s="1">
        <f t="shared" si="141"/>
        <v>3.2964858448345305E-5</v>
      </c>
      <c r="G654">
        <f>moment_rate!I654-0.005</f>
        <v>6.4699999999999065</v>
      </c>
      <c r="H654" s="1">
        <f t="shared" si="142"/>
        <v>3.2964858448345305E-5</v>
      </c>
      <c r="I654">
        <f t="shared" si="144"/>
        <v>0</v>
      </c>
      <c r="J654">
        <f t="shared" si="144"/>
        <v>0</v>
      </c>
      <c r="K654">
        <f t="shared" si="144"/>
        <v>0</v>
      </c>
      <c r="L654">
        <f t="shared" si="144"/>
        <v>0</v>
      </c>
      <c r="M654">
        <f t="shared" si="144"/>
        <v>0</v>
      </c>
      <c r="N654">
        <f t="shared" si="144"/>
        <v>0</v>
      </c>
      <c r="O654">
        <f t="shared" si="144"/>
        <v>0</v>
      </c>
      <c r="P654">
        <f t="shared" si="144"/>
        <v>0</v>
      </c>
      <c r="Q654">
        <f t="shared" si="144"/>
        <v>0</v>
      </c>
      <c r="R654">
        <f t="shared" si="144"/>
        <v>0</v>
      </c>
      <c r="S654">
        <f t="shared" si="144"/>
        <v>0</v>
      </c>
      <c r="T654">
        <f t="shared" si="144"/>
        <v>0</v>
      </c>
      <c r="U654">
        <f t="shared" si="144"/>
        <v>0</v>
      </c>
      <c r="V654">
        <f t="shared" si="144"/>
        <v>0</v>
      </c>
      <c r="W654">
        <f t="shared" si="144"/>
        <v>3.2964858448345305E-5</v>
      </c>
      <c r="X654">
        <f t="shared" si="144"/>
        <v>0</v>
      </c>
      <c r="Y654">
        <f t="shared" si="143"/>
        <v>0</v>
      </c>
      <c r="Z654">
        <f t="shared" si="143"/>
        <v>0</v>
      </c>
      <c r="AA654">
        <f t="shared" si="143"/>
        <v>0</v>
      </c>
      <c r="AB654">
        <f t="shared" si="143"/>
        <v>0</v>
      </c>
      <c r="AC654">
        <f t="shared" si="143"/>
        <v>0</v>
      </c>
      <c r="AD654">
        <f t="shared" si="143"/>
        <v>0</v>
      </c>
      <c r="AE654">
        <f t="shared" si="143"/>
        <v>0</v>
      </c>
      <c r="AF654">
        <f t="shared" si="143"/>
        <v>0</v>
      </c>
      <c r="AG654">
        <f t="shared" si="143"/>
        <v>0</v>
      </c>
      <c r="AH654">
        <f t="shared" si="143"/>
        <v>0</v>
      </c>
      <c r="AI654">
        <f t="shared" si="143"/>
        <v>0</v>
      </c>
      <c r="AJ654">
        <f t="shared" si="143"/>
        <v>0</v>
      </c>
      <c r="AK654">
        <f t="shared" si="143"/>
        <v>0</v>
      </c>
      <c r="AL654">
        <f t="shared" si="143"/>
        <v>0</v>
      </c>
      <c r="AM654">
        <f t="shared" si="143"/>
        <v>0</v>
      </c>
      <c r="AN654">
        <f t="shared" si="140"/>
        <v>0</v>
      </c>
      <c r="AO654">
        <f t="shared" si="140"/>
        <v>0</v>
      </c>
      <c r="AP654">
        <f t="shared" si="140"/>
        <v>0</v>
      </c>
      <c r="AQ654">
        <f t="shared" si="140"/>
        <v>0</v>
      </c>
      <c r="AR654">
        <f t="shared" si="140"/>
        <v>0</v>
      </c>
    </row>
    <row r="655" spans="5:44" x14ac:dyDescent="0.2">
      <c r="E655" s="1">
        <f>moment_rate!$M655</f>
        <v>8.0795521573403962E-3</v>
      </c>
      <c r="F655" s="1">
        <f t="shared" si="141"/>
        <v>3.2288748720568292E-5</v>
      </c>
      <c r="G655">
        <f>moment_rate!I655-0.005</f>
        <v>6.4799999999999063</v>
      </c>
      <c r="H655" s="1">
        <f t="shared" si="142"/>
        <v>3.2288748720568292E-5</v>
      </c>
      <c r="I655">
        <f t="shared" si="144"/>
        <v>0</v>
      </c>
      <c r="J655">
        <f t="shared" si="144"/>
        <v>0</v>
      </c>
      <c r="K655">
        <f t="shared" si="144"/>
        <v>0</v>
      </c>
      <c r="L655">
        <f t="shared" si="144"/>
        <v>0</v>
      </c>
      <c r="M655">
        <f t="shared" si="144"/>
        <v>0</v>
      </c>
      <c r="N655">
        <f t="shared" si="144"/>
        <v>0</v>
      </c>
      <c r="O655">
        <f t="shared" si="144"/>
        <v>0</v>
      </c>
      <c r="P655">
        <f t="shared" si="144"/>
        <v>0</v>
      </c>
      <c r="Q655">
        <f t="shared" si="144"/>
        <v>0</v>
      </c>
      <c r="R655">
        <f t="shared" si="144"/>
        <v>0</v>
      </c>
      <c r="S655">
        <f t="shared" si="144"/>
        <v>0</v>
      </c>
      <c r="T655">
        <f t="shared" si="144"/>
        <v>0</v>
      </c>
      <c r="U655">
        <f t="shared" si="144"/>
        <v>0</v>
      </c>
      <c r="V655">
        <f t="shared" si="144"/>
        <v>0</v>
      </c>
      <c r="W655">
        <f t="shared" si="144"/>
        <v>3.2288748720568292E-5</v>
      </c>
      <c r="X655">
        <f t="shared" si="144"/>
        <v>0</v>
      </c>
      <c r="Y655">
        <f t="shared" si="143"/>
        <v>0</v>
      </c>
      <c r="Z655">
        <f t="shared" si="143"/>
        <v>0</v>
      </c>
      <c r="AA655">
        <f t="shared" si="143"/>
        <v>0</v>
      </c>
      <c r="AB655">
        <f t="shared" si="143"/>
        <v>0</v>
      </c>
      <c r="AC655">
        <f t="shared" si="143"/>
        <v>0</v>
      </c>
      <c r="AD655">
        <f t="shared" si="143"/>
        <v>0</v>
      </c>
      <c r="AE655">
        <f t="shared" si="143"/>
        <v>0</v>
      </c>
      <c r="AF655">
        <f t="shared" si="143"/>
        <v>0</v>
      </c>
      <c r="AG655">
        <f t="shared" si="143"/>
        <v>0</v>
      </c>
      <c r="AH655">
        <f t="shared" si="143"/>
        <v>0</v>
      </c>
      <c r="AI655">
        <f t="shared" si="143"/>
        <v>0</v>
      </c>
      <c r="AJ655">
        <f t="shared" si="143"/>
        <v>0</v>
      </c>
      <c r="AK655">
        <f t="shared" si="143"/>
        <v>0</v>
      </c>
      <c r="AL655">
        <f t="shared" si="143"/>
        <v>0</v>
      </c>
      <c r="AM655">
        <f t="shared" si="143"/>
        <v>0</v>
      </c>
      <c r="AN655">
        <f t="shared" si="140"/>
        <v>0</v>
      </c>
      <c r="AO655">
        <f t="shared" si="140"/>
        <v>0</v>
      </c>
      <c r="AP655">
        <f t="shared" si="140"/>
        <v>0</v>
      </c>
      <c r="AQ655">
        <f t="shared" si="140"/>
        <v>0</v>
      </c>
      <c r="AR655">
        <f t="shared" si="140"/>
        <v>0</v>
      </c>
    </row>
    <row r="656" spans="5:44" x14ac:dyDescent="0.2">
      <c r="E656" s="1">
        <f>moment_rate!$M656</f>
        <v>8.0472634086198279E-3</v>
      </c>
      <c r="F656" s="1">
        <f t="shared" si="141"/>
        <v>3.1626506013173947E-5</v>
      </c>
      <c r="G656">
        <f>moment_rate!I656-0.005</f>
        <v>6.4899999999999061</v>
      </c>
      <c r="H656" s="1">
        <f t="shared" si="142"/>
        <v>3.1626506013173947E-5</v>
      </c>
      <c r="I656">
        <f t="shared" si="144"/>
        <v>0</v>
      </c>
      <c r="J656">
        <f t="shared" si="144"/>
        <v>0</v>
      </c>
      <c r="K656">
        <f t="shared" si="144"/>
        <v>0</v>
      </c>
      <c r="L656">
        <f t="shared" si="144"/>
        <v>0</v>
      </c>
      <c r="M656">
        <f t="shared" si="144"/>
        <v>0</v>
      </c>
      <c r="N656">
        <f t="shared" si="144"/>
        <v>0</v>
      </c>
      <c r="O656">
        <f t="shared" si="144"/>
        <v>0</v>
      </c>
      <c r="P656">
        <f t="shared" si="144"/>
        <v>0</v>
      </c>
      <c r="Q656">
        <f t="shared" si="144"/>
        <v>0</v>
      </c>
      <c r="R656">
        <f t="shared" si="144"/>
        <v>0</v>
      </c>
      <c r="S656">
        <f t="shared" si="144"/>
        <v>0</v>
      </c>
      <c r="T656">
        <f t="shared" si="144"/>
        <v>0</v>
      </c>
      <c r="U656">
        <f t="shared" si="144"/>
        <v>0</v>
      </c>
      <c r="V656">
        <f t="shared" si="144"/>
        <v>0</v>
      </c>
      <c r="W656">
        <f t="shared" si="144"/>
        <v>3.1626506013173947E-5</v>
      </c>
      <c r="X656">
        <f t="shared" si="144"/>
        <v>0</v>
      </c>
      <c r="Y656">
        <f t="shared" si="143"/>
        <v>0</v>
      </c>
      <c r="Z656">
        <f t="shared" si="143"/>
        <v>0</v>
      </c>
      <c r="AA656">
        <f t="shared" si="143"/>
        <v>0</v>
      </c>
      <c r="AB656">
        <f t="shared" si="143"/>
        <v>0</v>
      </c>
      <c r="AC656">
        <f t="shared" si="143"/>
        <v>0</v>
      </c>
      <c r="AD656">
        <f t="shared" si="143"/>
        <v>0</v>
      </c>
      <c r="AE656">
        <f t="shared" si="143"/>
        <v>0</v>
      </c>
      <c r="AF656">
        <f t="shared" si="143"/>
        <v>0</v>
      </c>
      <c r="AG656">
        <f t="shared" si="143"/>
        <v>0</v>
      </c>
      <c r="AH656">
        <f t="shared" si="143"/>
        <v>0</v>
      </c>
      <c r="AI656">
        <f t="shared" si="143"/>
        <v>0</v>
      </c>
      <c r="AJ656">
        <f t="shared" si="143"/>
        <v>0</v>
      </c>
      <c r="AK656">
        <f t="shared" si="143"/>
        <v>0</v>
      </c>
      <c r="AL656">
        <f t="shared" si="143"/>
        <v>0</v>
      </c>
      <c r="AM656">
        <f t="shared" si="143"/>
        <v>0</v>
      </c>
      <c r="AN656">
        <f t="shared" si="140"/>
        <v>0</v>
      </c>
      <c r="AO656">
        <f t="shared" si="140"/>
        <v>0</v>
      </c>
      <c r="AP656">
        <f t="shared" si="140"/>
        <v>0</v>
      </c>
      <c r="AQ656">
        <f t="shared" si="140"/>
        <v>0</v>
      </c>
      <c r="AR656">
        <f t="shared" si="140"/>
        <v>0</v>
      </c>
    </row>
    <row r="657" spans="5:44" x14ac:dyDescent="0.2">
      <c r="E657" s="1">
        <f>moment_rate!$M657</f>
        <v>8.0156369026066539E-3</v>
      </c>
      <c r="F657" s="1">
        <f t="shared" si="141"/>
        <v>3.0977845913373811E-5</v>
      </c>
      <c r="G657">
        <f>moment_rate!I657-0.005</f>
        <v>6.4999999999999059</v>
      </c>
      <c r="H657" s="1">
        <f t="shared" si="142"/>
        <v>3.0977845913373811E-5</v>
      </c>
      <c r="I657">
        <f t="shared" si="144"/>
        <v>0</v>
      </c>
      <c r="J657">
        <f t="shared" si="144"/>
        <v>0</v>
      </c>
      <c r="K657">
        <f t="shared" si="144"/>
        <v>0</v>
      </c>
      <c r="L657">
        <f t="shared" si="144"/>
        <v>0</v>
      </c>
      <c r="M657">
        <f t="shared" si="144"/>
        <v>0</v>
      </c>
      <c r="N657">
        <f t="shared" si="144"/>
        <v>0</v>
      </c>
      <c r="O657">
        <f t="shared" si="144"/>
        <v>0</v>
      </c>
      <c r="P657">
        <f t="shared" si="144"/>
        <v>0</v>
      </c>
      <c r="Q657">
        <f t="shared" si="144"/>
        <v>0</v>
      </c>
      <c r="R657">
        <f t="shared" si="144"/>
        <v>0</v>
      </c>
      <c r="S657">
        <f t="shared" si="144"/>
        <v>0</v>
      </c>
      <c r="T657">
        <f t="shared" si="144"/>
        <v>0</v>
      </c>
      <c r="U657">
        <f t="shared" si="144"/>
        <v>0</v>
      </c>
      <c r="V657">
        <f t="shared" si="144"/>
        <v>0</v>
      </c>
      <c r="W657">
        <f t="shared" si="144"/>
        <v>3.0977845913373811E-5</v>
      </c>
      <c r="X657">
        <f t="shared" si="144"/>
        <v>0</v>
      </c>
      <c r="Y657">
        <f t="shared" si="143"/>
        <v>0</v>
      </c>
      <c r="Z657">
        <f t="shared" si="143"/>
        <v>0</v>
      </c>
      <c r="AA657">
        <f t="shared" si="143"/>
        <v>0</v>
      </c>
      <c r="AB657">
        <f t="shared" si="143"/>
        <v>0</v>
      </c>
      <c r="AC657">
        <f t="shared" si="143"/>
        <v>0</v>
      </c>
      <c r="AD657">
        <f t="shared" si="143"/>
        <v>0</v>
      </c>
      <c r="AE657">
        <f t="shared" si="143"/>
        <v>0</v>
      </c>
      <c r="AF657">
        <f t="shared" si="143"/>
        <v>0</v>
      </c>
      <c r="AG657">
        <f t="shared" si="143"/>
        <v>0</v>
      </c>
      <c r="AH657">
        <f t="shared" si="143"/>
        <v>0</v>
      </c>
      <c r="AI657">
        <f t="shared" si="143"/>
        <v>0</v>
      </c>
      <c r="AJ657">
        <f t="shared" si="143"/>
        <v>0</v>
      </c>
      <c r="AK657">
        <f t="shared" si="143"/>
        <v>0</v>
      </c>
      <c r="AL657">
        <f t="shared" si="143"/>
        <v>0</v>
      </c>
      <c r="AM657">
        <f t="shared" si="143"/>
        <v>0</v>
      </c>
      <c r="AN657">
        <f t="shared" ref="AI657:AR695" si="145">IF(AND($G657&gt;=AN$3,$G657&lt;AN$4),$F657,0)</f>
        <v>0</v>
      </c>
      <c r="AO657">
        <f t="shared" si="145"/>
        <v>0</v>
      </c>
      <c r="AP657">
        <f t="shared" si="145"/>
        <v>0</v>
      </c>
      <c r="AQ657">
        <f t="shared" si="145"/>
        <v>0</v>
      </c>
      <c r="AR657">
        <f t="shared" si="145"/>
        <v>0</v>
      </c>
    </row>
    <row r="658" spans="5:44" x14ac:dyDescent="0.2">
      <c r="E658" s="1">
        <f>moment_rate!$M658</f>
        <v>7.9846590566932801E-3</v>
      </c>
      <c r="F658" s="1">
        <f t="shared" si="141"/>
        <v>3.0342489841683751E-5</v>
      </c>
      <c r="G658">
        <f>moment_rate!I658-0.005</f>
        <v>6.5099999999999056</v>
      </c>
      <c r="H658" s="1">
        <f t="shared" si="142"/>
        <v>3.0342489841683751E-5</v>
      </c>
      <c r="I658">
        <f t="shared" si="144"/>
        <v>0</v>
      </c>
      <c r="J658">
        <f t="shared" si="144"/>
        <v>0</v>
      </c>
      <c r="K658">
        <f t="shared" si="144"/>
        <v>0</v>
      </c>
      <c r="L658">
        <f t="shared" si="144"/>
        <v>0</v>
      </c>
      <c r="M658">
        <f t="shared" si="144"/>
        <v>0</v>
      </c>
      <c r="N658">
        <f t="shared" si="144"/>
        <v>0</v>
      </c>
      <c r="O658">
        <f t="shared" si="144"/>
        <v>0</v>
      </c>
      <c r="P658">
        <f t="shared" si="144"/>
        <v>0</v>
      </c>
      <c r="Q658">
        <f t="shared" si="144"/>
        <v>0</v>
      </c>
      <c r="R658">
        <f t="shared" si="144"/>
        <v>0</v>
      </c>
      <c r="S658">
        <f t="shared" si="144"/>
        <v>0</v>
      </c>
      <c r="T658">
        <f t="shared" si="144"/>
        <v>0</v>
      </c>
      <c r="U658">
        <f t="shared" si="144"/>
        <v>0</v>
      </c>
      <c r="V658">
        <f t="shared" si="144"/>
        <v>0</v>
      </c>
      <c r="W658">
        <f t="shared" si="144"/>
        <v>0</v>
      </c>
      <c r="X658">
        <f t="shared" si="144"/>
        <v>3.0342489841683751E-5</v>
      </c>
      <c r="Y658">
        <f t="shared" si="143"/>
        <v>0</v>
      </c>
      <c r="Z658">
        <f t="shared" si="143"/>
        <v>0</v>
      </c>
      <c r="AA658">
        <f t="shared" si="143"/>
        <v>0</v>
      </c>
      <c r="AB658">
        <f t="shared" si="143"/>
        <v>0</v>
      </c>
      <c r="AC658">
        <f t="shared" si="143"/>
        <v>0</v>
      </c>
      <c r="AD658">
        <f t="shared" si="143"/>
        <v>0</v>
      </c>
      <c r="AE658">
        <f t="shared" si="143"/>
        <v>0</v>
      </c>
      <c r="AF658">
        <f t="shared" si="143"/>
        <v>0</v>
      </c>
      <c r="AG658">
        <f t="shared" si="143"/>
        <v>0</v>
      </c>
      <c r="AH658">
        <f t="shared" si="143"/>
        <v>0</v>
      </c>
      <c r="AI658">
        <f t="shared" si="145"/>
        <v>0</v>
      </c>
      <c r="AJ658">
        <f t="shared" si="145"/>
        <v>0</v>
      </c>
      <c r="AK658">
        <f t="shared" si="145"/>
        <v>0</v>
      </c>
      <c r="AL658">
        <f t="shared" si="145"/>
        <v>0</v>
      </c>
      <c r="AM658">
        <f t="shared" si="145"/>
        <v>0</v>
      </c>
      <c r="AN658">
        <f t="shared" si="145"/>
        <v>0</v>
      </c>
      <c r="AO658">
        <f t="shared" si="145"/>
        <v>0</v>
      </c>
      <c r="AP658">
        <f t="shared" si="145"/>
        <v>0</v>
      </c>
      <c r="AQ658">
        <f t="shared" si="145"/>
        <v>0</v>
      </c>
      <c r="AR658">
        <f t="shared" si="145"/>
        <v>0</v>
      </c>
    </row>
    <row r="659" spans="5:44" x14ac:dyDescent="0.2">
      <c r="E659" s="1">
        <f>moment_rate!$M659</f>
        <v>7.9543165668515964E-3</v>
      </c>
      <c r="F659" s="1">
        <f t="shared" si="141"/>
        <v>2.9720164932293958E-5</v>
      </c>
      <c r="G659">
        <f>moment_rate!I659-0.005</f>
        <v>6.5199999999999054</v>
      </c>
      <c r="H659" s="1">
        <f t="shared" si="142"/>
        <v>2.9720164932293958E-5</v>
      </c>
      <c r="I659">
        <f t="shared" si="144"/>
        <v>0</v>
      </c>
      <c r="J659">
        <f t="shared" si="144"/>
        <v>0</v>
      </c>
      <c r="K659">
        <f t="shared" si="144"/>
        <v>0</v>
      </c>
      <c r="L659">
        <f t="shared" si="144"/>
        <v>0</v>
      </c>
      <c r="M659">
        <f t="shared" si="144"/>
        <v>0</v>
      </c>
      <c r="N659">
        <f t="shared" si="144"/>
        <v>0</v>
      </c>
      <c r="O659">
        <f t="shared" si="144"/>
        <v>0</v>
      </c>
      <c r="P659">
        <f t="shared" si="144"/>
        <v>0</v>
      </c>
      <c r="Q659">
        <f t="shared" si="144"/>
        <v>0</v>
      </c>
      <c r="R659">
        <f t="shared" si="144"/>
        <v>0</v>
      </c>
      <c r="S659">
        <f t="shared" si="144"/>
        <v>0</v>
      </c>
      <c r="T659">
        <f t="shared" si="144"/>
        <v>0</v>
      </c>
      <c r="U659">
        <f t="shared" si="144"/>
        <v>0</v>
      </c>
      <c r="V659">
        <f t="shared" si="144"/>
        <v>0</v>
      </c>
      <c r="W659">
        <f t="shared" si="144"/>
        <v>0</v>
      </c>
      <c r="X659">
        <f t="shared" si="144"/>
        <v>2.9720164932293958E-5</v>
      </c>
      <c r="Y659">
        <f t="shared" si="143"/>
        <v>0</v>
      </c>
      <c r="Z659">
        <f t="shared" si="143"/>
        <v>0</v>
      </c>
      <c r="AA659">
        <f t="shared" si="143"/>
        <v>0</v>
      </c>
      <c r="AB659">
        <f t="shared" si="143"/>
        <v>0</v>
      </c>
      <c r="AC659">
        <f t="shared" si="143"/>
        <v>0</v>
      </c>
      <c r="AD659">
        <f t="shared" si="143"/>
        <v>0</v>
      </c>
      <c r="AE659">
        <f t="shared" si="143"/>
        <v>0</v>
      </c>
      <c r="AF659">
        <f t="shared" si="143"/>
        <v>0</v>
      </c>
      <c r="AG659">
        <f t="shared" si="143"/>
        <v>0</v>
      </c>
      <c r="AH659">
        <f t="shared" si="143"/>
        <v>0</v>
      </c>
      <c r="AI659">
        <f t="shared" si="145"/>
        <v>0</v>
      </c>
      <c r="AJ659">
        <f t="shared" si="145"/>
        <v>0</v>
      </c>
      <c r="AK659">
        <f t="shared" si="145"/>
        <v>0</v>
      </c>
      <c r="AL659">
        <f t="shared" si="145"/>
        <v>0</v>
      </c>
      <c r="AM659">
        <f t="shared" si="145"/>
        <v>0</v>
      </c>
      <c r="AN659">
        <f t="shared" si="145"/>
        <v>0</v>
      </c>
      <c r="AO659">
        <f t="shared" si="145"/>
        <v>0</v>
      </c>
      <c r="AP659">
        <f t="shared" si="145"/>
        <v>0</v>
      </c>
      <c r="AQ659">
        <f t="shared" si="145"/>
        <v>0</v>
      </c>
      <c r="AR659">
        <f t="shared" si="145"/>
        <v>0</v>
      </c>
    </row>
    <row r="660" spans="5:44" x14ac:dyDescent="0.2">
      <c r="E660" s="1">
        <f>moment_rate!$M660</f>
        <v>7.9245964019193024E-3</v>
      </c>
      <c r="F660" s="1">
        <f t="shared" si="141"/>
        <v>2.9110603915876235E-5</v>
      </c>
      <c r="G660">
        <f>moment_rate!I660-0.005</f>
        <v>6.5299999999999052</v>
      </c>
      <c r="H660" s="1">
        <f t="shared" si="142"/>
        <v>2.9110603915876235E-5</v>
      </c>
      <c r="I660">
        <f t="shared" si="144"/>
        <v>0</v>
      </c>
      <c r="J660">
        <f t="shared" si="144"/>
        <v>0</v>
      </c>
      <c r="K660">
        <f t="shared" si="144"/>
        <v>0</v>
      </c>
      <c r="L660">
        <f t="shared" si="144"/>
        <v>0</v>
      </c>
      <c r="M660">
        <f t="shared" si="144"/>
        <v>0</v>
      </c>
      <c r="N660">
        <f t="shared" si="144"/>
        <v>0</v>
      </c>
      <c r="O660">
        <f t="shared" si="144"/>
        <v>0</v>
      </c>
      <c r="P660">
        <f t="shared" si="144"/>
        <v>0</v>
      </c>
      <c r="Q660">
        <f t="shared" si="144"/>
        <v>0</v>
      </c>
      <c r="R660">
        <f t="shared" si="144"/>
        <v>0</v>
      </c>
      <c r="S660">
        <f t="shared" si="144"/>
        <v>0</v>
      </c>
      <c r="T660">
        <f t="shared" si="144"/>
        <v>0</v>
      </c>
      <c r="U660">
        <f t="shared" si="144"/>
        <v>0</v>
      </c>
      <c r="V660">
        <f t="shared" si="144"/>
        <v>0</v>
      </c>
      <c r="W660">
        <f t="shared" si="144"/>
        <v>0</v>
      </c>
      <c r="X660">
        <f t="shared" si="144"/>
        <v>2.9110603915876235E-5</v>
      </c>
      <c r="Y660">
        <f t="shared" si="143"/>
        <v>0</v>
      </c>
      <c r="Z660">
        <f t="shared" si="143"/>
        <v>0</v>
      </c>
      <c r="AA660">
        <f t="shared" si="143"/>
        <v>0</v>
      </c>
      <c r="AB660">
        <f t="shared" si="143"/>
        <v>0</v>
      </c>
      <c r="AC660">
        <f t="shared" si="143"/>
        <v>0</v>
      </c>
      <c r="AD660">
        <f t="shared" si="143"/>
        <v>0</v>
      </c>
      <c r="AE660">
        <f t="shared" si="143"/>
        <v>0</v>
      </c>
      <c r="AF660">
        <f t="shared" si="143"/>
        <v>0</v>
      </c>
      <c r="AG660">
        <f t="shared" si="143"/>
        <v>0</v>
      </c>
      <c r="AH660">
        <f t="shared" si="143"/>
        <v>0</v>
      </c>
      <c r="AI660">
        <f t="shared" si="145"/>
        <v>0</v>
      </c>
      <c r="AJ660">
        <f t="shared" si="145"/>
        <v>0</v>
      </c>
      <c r="AK660">
        <f t="shared" si="145"/>
        <v>0</v>
      </c>
      <c r="AL660">
        <f t="shared" si="145"/>
        <v>0</v>
      </c>
      <c r="AM660">
        <f t="shared" si="145"/>
        <v>0</v>
      </c>
      <c r="AN660">
        <f t="shared" si="145"/>
        <v>0</v>
      </c>
      <c r="AO660">
        <f t="shared" si="145"/>
        <v>0</v>
      </c>
      <c r="AP660">
        <f t="shared" si="145"/>
        <v>0</v>
      </c>
      <c r="AQ660">
        <f t="shared" si="145"/>
        <v>0</v>
      </c>
      <c r="AR660">
        <f t="shared" si="145"/>
        <v>0</v>
      </c>
    </row>
    <row r="661" spans="5:44" x14ac:dyDescent="0.2">
      <c r="E661" s="1">
        <f>moment_rate!$M661</f>
        <v>7.8954857980034262E-3</v>
      </c>
      <c r="F661" s="1">
        <f t="shared" si="141"/>
        <v>2.8513545004799079E-5</v>
      </c>
      <c r="G661">
        <f>moment_rate!I661-0.005</f>
        <v>6.539999999999905</v>
      </c>
      <c r="H661" s="1">
        <f t="shared" si="142"/>
        <v>2.8513545004799079E-5</v>
      </c>
      <c r="I661">
        <f t="shared" si="144"/>
        <v>0</v>
      </c>
      <c r="J661">
        <f t="shared" si="144"/>
        <v>0</v>
      </c>
      <c r="K661">
        <f t="shared" si="144"/>
        <v>0</v>
      </c>
      <c r="L661">
        <f t="shared" si="144"/>
        <v>0</v>
      </c>
      <c r="M661">
        <f t="shared" si="144"/>
        <v>0</v>
      </c>
      <c r="N661">
        <f t="shared" si="144"/>
        <v>0</v>
      </c>
      <c r="O661">
        <f t="shared" si="144"/>
        <v>0</v>
      </c>
      <c r="P661">
        <f t="shared" si="144"/>
        <v>0</v>
      </c>
      <c r="Q661">
        <f t="shared" si="144"/>
        <v>0</v>
      </c>
      <c r="R661">
        <f t="shared" si="144"/>
        <v>0</v>
      </c>
      <c r="S661">
        <f t="shared" si="144"/>
        <v>0</v>
      </c>
      <c r="T661">
        <f t="shared" si="144"/>
        <v>0</v>
      </c>
      <c r="U661">
        <f t="shared" si="144"/>
        <v>0</v>
      </c>
      <c r="V661">
        <f t="shared" si="144"/>
        <v>0</v>
      </c>
      <c r="W661">
        <f t="shared" si="144"/>
        <v>0</v>
      </c>
      <c r="X661">
        <f t="shared" si="144"/>
        <v>2.8513545004799079E-5</v>
      </c>
      <c r="Y661">
        <f t="shared" si="143"/>
        <v>0</v>
      </c>
      <c r="Z661">
        <f t="shared" si="143"/>
        <v>0</v>
      </c>
      <c r="AA661">
        <f t="shared" si="143"/>
        <v>0</v>
      </c>
      <c r="AB661">
        <f t="shared" si="143"/>
        <v>0</v>
      </c>
      <c r="AC661">
        <f t="shared" si="143"/>
        <v>0</v>
      </c>
      <c r="AD661">
        <f t="shared" si="143"/>
        <v>0</v>
      </c>
      <c r="AE661">
        <f t="shared" si="143"/>
        <v>0</v>
      </c>
      <c r="AF661">
        <f t="shared" si="143"/>
        <v>0</v>
      </c>
      <c r="AG661">
        <f t="shared" si="143"/>
        <v>0</v>
      </c>
      <c r="AH661">
        <f t="shared" si="143"/>
        <v>0</v>
      </c>
      <c r="AI661">
        <f t="shared" si="145"/>
        <v>0</v>
      </c>
      <c r="AJ661">
        <f t="shared" si="145"/>
        <v>0</v>
      </c>
      <c r="AK661">
        <f t="shared" si="145"/>
        <v>0</v>
      </c>
      <c r="AL661">
        <f t="shared" si="145"/>
        <v>0</v>
      </c>
      <c r="AM661">
        <f t="shared" si="145"/>
        <v>0</v>
      </c>
      <c r="AN661">
        <f t="shared" si="145"/>
        <v>0</v>
      </c>
      <c r="AO661">
        <f t="shared" si="145"/>
        <v>0</v>
      </c>
      <c r="AP661">
        <f t="shared" si="145"/>
        <v>0</v>
      </c>
      <c r="AQ661">
        <f t="shared" si="145"/>
        <v>0</v>
      </c>
      <c r="AR661">
        <f t="shared" si="145"/>
        <v>0</v>
      </c>
    </row>
    <row r="662" spans="5:44" x14ac:dyDescent="0.2">
      <c r="E662" s="1">
        <f>moment_rate!$M662</f>
        <v>7.8669722529986271E-3</v>
      </c>
      <c r="F662" s="1">
        <f t="shared" si="141"/>
        <v>2.7928731780701987E-5</v>
      </c>
      <c r="G662">
        <f>moment_rate!I662-0.005</f>
        <v>6.5499999999999048</v>
      </c>
      <c r="H662" s="1">
        <f t="shared" si="142"/>
        <v>2.7928731780701987E-5</v>
      </c>
      <c r="I662">
        <f t="shared" si="144"/>
        <v>0</v>
      </c>
      <c r="J662">
        <f t="shared" si="144"/>
        <v>0</v>
      </c>
      <c r="K662">
        <f t="shared" si="144"/>
        <v>0</v>
      </c>
      <c r="L662">
        <f t="shared" si="144"/>
        <v>0</v>
      </c>
      <c r="M662">
        <f t="shared" si="144"/>
        <v>0</v>
      </c>
      <c r="N662">
        <f t="shared" si="144"/>
        <v>0</v>
      </c>
      <c r="O662">
        <f t="shared" si="144"/>
        <v>0</v>
      </c>
      <c r="P662">
        <f t="shared" si="144"/>
        <v>0</v>
      </c>
      <c r="Q662">
        <f t="shared" si="144"/>
        <v>0</v>
      </c>
      <c r="R662">
        <f t="shared" si="144"/>
        <v>0</v>
      </c>
      <c r="S662">
        <f t="shared" si="144"/>
        <v>0</v>
      </c>
      <c r="T662">
        <f t="shared" si="144"/>
        <v>0</v>
      </c>
      <c r="U662">
        <f t="shared" si="144"/>
        <v>0</v>
      </c>
      <c r="V662">
        <f t="shared" si="144"/>
        <v>0</v>
      </c>
      <c r="W662">
        <f t="shared" si="144"/>
        <v>0</v>
      </c>
      <c r="X662">
        <f t="shared" si="144"/>
        <v>2.7928731780701987E-5</v>
      </c>
      <c r="Y662">
        <f t="shared" si="143"/>
        <v>0</v>
      </c>
      <c r="Z662">
        <f t="shared" si="143"/>
        <v>0</v>
      </c>
      <c r="AA662">
        <f t="shared" si="143"/>
        <v>0</v>
      </c>
      <c r="AB662">
        <f t="shared" si="143"/>
        <v>0</v>
      </c>
      <c r="AC662">
        <f t="shared" si="143"/>
        <v>0</v>
      </c>
      <c r="AD662">
        <f t="shared" si="143"/>
        <v>0</v>
      </c>
      <c r="AE662">
        <f t="shared" si="143"/>
        <v>0</v>
      </c>
      <c r="AF662">
        <f t="shared" si="143"/>
        <v>0</v>
      </c>
      <c r="AG662">
        <f t="shared" si="143"/>
        <v>0</v>
      </c>
      <c r="AH662">
        <f t="shared" si="143"/>
        <v>0</v>
      </c>
      <c r="AI662">
        <f t="shared" si="143"/>
        <v>0</v>
      </c>
      <c r="AJ662">
        <f t="shared" si="143"/>
        <v>0</v>
      </c>
      <c r="AK662">
        <f t="shared" si="143"/>
        <v>0</v>
      </c>
      <c r="AL662">
        <f t="shared" si="143"/>
        <v>0</v>
      </c>
      <c r="AM662">
        <f t="shared" si="143"/>
        <v>0</v>
      </c>
      <c r="AN662">
        <f t="shared" si="145"/>
        <v>0</v>
      </c>
      <c r="AO662">
        <f t="shared" si="145"/>
        <v>0</v>
      </c>
      <c r="AP662">
        <f t="shared" si="145"/>
        <v>0</v>
      </c>
      <c r="AQ662">
        <f t="shared" si="145"/>
        <v>0</v>
      </c>
      <c r="AR662">
        <f t="shared" si="145"/>
        <v>0</v>
      </c>
    </row>
    <row r="663" spans="5:44" x14ac:dyDescent="0.2">
      <c r="E663" s="1">
        <f>moment_rate!$M663</f>
        <v>7.8390435212179251E-3</v>
      </c>
      <c r="F663" s="1">
        <f t="shared" si="141"/>
        <v>2.7355913084363935E-5</v>
      </c>
      <c r="G663">
        <f>moment_rate!I663-0.005</f>
        <v>6.5599999999999046</v>
      </c>
      <c r="H663" s="1">
        <f t="shared" si="142"/>
        <v>2.7355913084363935E-5</v>
      </c>
      <c r="I663">
        <f t="shared" si="144"/>
        <v>0</v>
      </c>
      <c r="J663">
        <f t="shared" si="144"/>
        <v>0</v>
      </c>
      <c r="K663">
        <f t="shared" si="144"/>
        <v>0</v>
      </c>
      <c r="L663">
        <f t="shared" si="144"/>
        <v>0</v>
      </c>
      <c r="M663">
        <f t="shared" si="144"/>
        <v>0</v>
      </c>
      <c r="N663">
        <f t="shared" si="144"/>
        <v>0</v>
      </c>
      <c r="O663">
        <f t="shared" si="144"/>
        <v>0</v>
      </c>
      <c r="P663">
        <f t="shared" si="144"/>
        <v>0</v>
      </c>
      <c r="Q663">
        <f t="shared" si="144"/>
        <v>0</v>
      </c>
      <c r="R663">
        <f t="shared" si="144"/>
        <v>0</v>
      </c>
      <c r="S663">
        <f t="shared" si="144"/>
        <v>0</v>
      </c>
      <c r="T663">
        <f t="shared" si="144"/>
        <v>0</v>
      </c>
      <c r="U663">
        <f t="shared" si="144"/>
        <v>0</v>
      </c>
      <c r="V663">
        <f t="shared" si="144"/>
        <v>0</v>
      </c>
      <c r="W663">
        <f t="shared" si="144"/>
        <v>0</v>
      </c>
      <c r="X663">
        <f t="shared" si="144"/>
        <v>2.7355913084363935E-5</v>
      </c>
      <c r="Y663">
        <f t="shared" si="143"/>
        <v>0</v>
      </c>
      <c r="Z663">
        <f t="shared" si="143"/>
        <v>0</v>
      </c>
      <c r="AA663">
        <f t="shared" si="143"/>
        <v>0</v>
      </c>
      <c r="AB663">
        <f t="shared" si="143"/>
        <v>0</v>
      </c>
      <c r="AC663">
        <f t="shared" si="143"/>
        <v>0</v>
      </c>
      <c r="AD663">
        <f t="shared" si="143"/>
        <v>0</v>
      </c>
      <c r="AE663">
        <f t="shared" si="143"/>
        <v>0</v>
      </c>
      <c r="AF663">
        <f t="shared" si="143"/>
        <v>0</v>
      </c>
      <c r="AG663">
        <f t="shared" si="143"/>
        <v>0</v>
      </c>
      <c r="AH663">
        <f t="shared" si="143"/>
        <v>0</v>
      </c>
      <c r="AI663">
        <f t="shared" si="143"/>
        <v>0</v>
      </c>
      <c r="AJ663">
        <f t="shared" si="143"/>
        <v>0</v>
      </c>
      <c r="AK663">
        <f t="shared" si="143"/>
        <v>0</v>
      </c>
      <c r="AL663">
        <f t="shared" si="143"/>
        <v>0</v>
      </c>
      <c r="AM663">
        <f t="shared" si="143"/>
        <v>0</v>
      </c>
      <c r="AN663">
        <f t="shared" si="145"/>
        <v>0</v>
      </c>
      <c r="AO663">
        <f t="shared" si="145"/>
        <v>0</v>
      </c>
      <c r="AP663">
        <f t="shared" si="145"/>
        <v>0</v>
      </c>
      <c r="AQ663">
        <f t="shared" si="145"/>
        <v>0</v>
      </c>
      <c r="AR663">
        <f t="shared" si="145"/>
        <v>0</v>
      </c>
    </row>
    <row r="664" spans="5:44" x14ac:dyDescent="0.2">
      <c r="E664" s="1">
        <f>moment_rate!$M664</f>
        <v>7.8116876081335612E-3</v>
      </c>
      <c r="F664" s="1">
        <f t="shared" si="141"/>
        <v>2.6794842907845208E-5</v>
      </c>
      <c r="G664">
        <f>moment_rate!I664-0.005</f>
        <v>6.5699999999999044</v>
      </c>
      <c r="H664" s="1">
        <f t="shared" si="142"/>
        <v>2.6794842907845208E-5</v>
      </c>
      <c r="I664">
        <f t="shared" si="144"/>
        <v>0</v>
      </c>
      <c r="J664">
        <f t="shared" si="144"/>
        <v>0</v>
      </c>
      <c r="K664">
        <f t="shared" si="144"/>
        <v>0</v>
      </c>
      <c r="L664">
        <f t="shared" si="144"/>
        <v>0</v>
      </c>
      <c r="M664">
        <f t="shared" si="144"/>
        <v>0</v>
      </c>
      <c r="N664">
        <f t="shared" si="144"/>
        <v>0</v>
      </c>
      <c r="O664">
        <f t="shared" si="144"/>
        <v>0</v>
      </c>
      <c r="P664">
        <f t="shared" si="144"/>
        <v>0</v>
      </c>
      <c r="Q664">
        <f t="shared" si="144"/>
        <v>0</v>
      </c>
      <c r="R664">
        <f t="shared" si="144"/>
        <v>0</v>
      </c>
      <c r="S664">
        <f t="shared" si="144"/>
        <v>0</v>
      </c>
      <c r="T664">
        <f t="shared" si="144"/>
        <v>0</v>
      </c>
      <c r="U664">
        <f t="shared" si="144"/>
        <v>0</v>
      </c>
      <c r="V664">
        <f t="shared" si="144"/>
        <v>0</v>
      </c>
      <c r="W664">
        <f t="shared" si="144"/>
        <v>0</v>
      </c>
      <c r="X664">
        <f t="shared" si="144"/>
        <v>2.6794842907845208E-5</v>
      </c>
      <c r="Y664">
        <f t="shared" si="143"/>
        <v>0</v>
      </c>
      <c r="Z664">
        <f t="shared" si="143"/>
        <v>0</v>
      </c>
      <c r="AA664">
        <f t="shared" si="143"/>
        <v>0</v>
      </c>
      <c r="AB664">
        <f t="shared" si="143"/>
        <v>0</v>
      </c>
      <c r="AC664">
        <f t="shared" si="143"/>
        <v>0</v>
      </c>
      <c r="AD664">
        <f t="shared" si="143"/>
        <v>0</v>
      </c>
      <c r="AE664">
        <f t="shared" si="143"/>
        <v>0</v>
      </c>
      <c r="AF664">
        <f t="shared" si="143"/>
        <v>0</v>
      </c>
      <c r="AG664">
        <f t="shared" si="143"/>
        <v>0</v>
      </c>
      <c r="AH664">
        <f t="shared" si="143"/>
        <v>0</v>
      </c>
      <c r="AI664">
        <f t="shared" si="143"/>
        <v>0</v>
      </c>
      <c r="AJ664">
        <f t="shared" si="143"/>
        <v>0</v>
      </c>
      <c r="AK664">
        <f t="shared" si="143"/>
        <v>0</v>
      </c>
      <c r="AL664">
        <f t="shared" si="143"/>
        <v>0</v>
      </c>
      <c r="AM664">
        <f t="shared" si="143"/>
        <v>0</v>
      </c>
      <c r="AN664">
        <f t="shared" si="145"/>
        <v>0</v>
      </c>
      <c r="AO664">
        <f t="shared" si="145"/>
        <v>0</v>
      </c>
      <c r="AP664">
        <f t="shared" si="145"/>
        <v>0</v>
      </c>
      <c r="AQ664">
        <f t="shared" si="145"/>
        <v>0</v>
      </c>
      <c r="AR664">
        <f t="shared" si="145"/>
        <v>0</v>
      </c>
    </row>
    <row r="665" spans="5:44" x14ac:dyDescent="0.2">
      <c r="E665" s="1">
        <f>moment_rate!$M665</f>
        <v>7.784892765225716E-3</v>
      </c>
      <c r="F665" s="1">
        <f t="shared" si="141"/>
        <v>2.6245280288833203E-5</v>
      </c>
      <c r="G665">
        <f>moment_rate!I665-0.005</f>
        <v>6.5799999999999041</v>
      </c>
      <c r="H665" s="1">
        <f t="shared" si="142"/>
        <v>2.6245280288833203E-5</v>
      </c>
      <c r="I665">
        <f t="shared" si="144"/>
        <v>0</v>
      </c>
      <c r="J665">
        <f t="shared" si="144"/>
        <v>0</v>
      </c>
      <c r="K665">
        <f t="shared" si="144"/>
        <v>0</v>
      </c>
      <c r="L665">
        <f t="shared" si="144"/>
        <v>0</v>
      </c>
      <c r="M665">
        <f t="shared" si="144"/>
        <v>0</v>
      </c>
      <c r="N665">
        <f t="shared" si="144"/>
        <v>0</v>
      </c>
      <c r="O665">
        <f t="shared" si="144"/>
        <v>0</v>
      </c>
      <c r="P665">
        <f t="shared" si="144"/>
        <v>0</v>
      </c>
      <c r="Q665">
        <f t="shared" si="144"/>
        <v>0</v>
      </c>
      <c r="R665">
        <f t="shared" si="144"/>
        <v>0</v>
      </c>
      <c r="S665">
        <f t="shared" si="144"/>
        <v>0</v>
      </c>
      <c r="T665">
        <f t="shared" si="144"/>
        <v>0</v>
      </c>
      <c r="U665">
        <f t="shared" si="144"/>
        <v>0</v>
      </c>
      <c r="V665">
        <f t="shared" si="144"/>
        <v>0</v>
      </c>
      <c r="W665">
        <f t="shared" si="144"/>
        <v>0</v>
      </c>
      <c r="X665">
        <f t="shared" si="144"/>
        <v>2.6245280288833203E-5</v>
      </c>
      <c r="Y665">
        <f t="shared" si="143"/>
        <v>0</v>
      </c>
      <c r="Z665">
        <f t="shared" si="143"/>
        <v>0</v>
      </c>
      <c r="AA665">
        <f t="shared" si="143"/>
        <v>0</v>
      </c>
      <c r="AB665">
        <f t="shared" si="143"/>
        <v>0</v>
      </c>
      <c r="AC665">
        <f t="shared" si="143"/>
        <v>0</v>
      </c>
      <c r="AD665">
        <f t="shared" si="143"/>
        <v>0</v>
      </c>
      <c r="AE665">
        <f t="shared" si="143"/>
        <v>0</v>
      </c>
      <c r="AF665">
        <f t="shared" si="143"/>
        <v>0</v>
      </c>
      <c r="AG665">
        <f t="shared" si="143"/>
        <v>0</v>
      </c>
      <c r="AH665">
        <f t="shared" si="143"/>
        <v>0</v>
      </c>
      <c r="AI665">
        <f t="shared" si="143"/>
        <v>0</v>
      </c>
      <c r="AJ665">
        <f t="shared" si="143"/>
        <v>0</v>
      </c>
      <c r="AK665">
        <f t="shared" si="143"/>
        <v>0</v>
      </c>
      <c r="AL665">
        <f t="shared" si="143"/>
        <v>0</v>
      </c>
      <c r="AM665">
        <f t="shared" si="143"/>
        <v>0</v>
      </c>
      <c r="AN665">
        <f t="shared" si="145"/>
        <v>0</v>
      </c>
      <c r="AO665">
        <f t="shared" si="145"/>
        <v>0</v>
      </c>
      <c r="AP665">
        <f t="shared" si="145"/>
        <v>0</v>
      </c>
      <c r="AQ665">
        <f t="shared" si="145"/>
        <v>0</v>
      </c>
      <c r="AR665">
        <f t="shared" si="145"/>
        <v>0</v>
      </c>
    </row>
    <row r="666" spans="5:44" x14ac:dyDescent="0.2">
      <c r="E666" s="1">
        <f>moment_rate!$M666</f>
        <v>7.7586474849368828E-3</v>
      </c>
      <c r="F666" s="1">
        <f t="shared" si="141"/>
        <v>2.5706989207157499E-5</v>
      </c>
      <c r="G666">
        <f>moment_rate!I666-0.005</f>
        <v>6.5899999999999039</v>
      </c>
      <c r="H666" s="1">
        <f t="shared" si="142"/>
        <v>2.5706989207157499E-5</v>
      </c>
      <c r="I666">
        <f t="shared" si="144"/>
        <v>0</v>
      </c>
      <c r="J666">
        <f t="shared" si="144"/>
        <v>0</v>
      </c>
      <c r="K666">
        <f t="shared" si="144"/>
        <v>0</v>
      </c>
      <c r="L666">
        <f t="shared" si="144"/>
        <v>0</v>
      </c>
      <c r="M666">
        <f t="shared" si="144"/>
        <v>0</v>
      </c>
      <c r="N666">
        <f t="shared" si="144"/>
        <v>0</v>
      </c>
      <c r="O666">
        <f t="shared" si="144"/>
        <v>0</v>
      </c>
      <c r="P666">
        <f t="shared" si="144"/>
        <v>0</v>
      </c>
      <c r="Q666">
        <f t="shared" si="144"/>
        <v>0</v>
      </c>
      <c r="R666">
        <f t="shared" si="144"/>
        <v>0</v>
      </c>
      <c r="S666">
        <f t="shared" si="144"/>
        <v>0</v>
      </c>
      <c r="T666">
        <f t="shared" si="144"/>
        <v>0</v>
      </c>
      <c r="U666">
        <f t="shared" si="144"/>
        <v>0</v>
      </c>
      <c r="V666">
        <f t="shared" si="144"/>
        <v>0</v>
      </c>
      <c r="W666">
        <f t="shared" si="144"/>
        <v>0</v>
      </c>
      <c r="X666">
        <f t="shared" ref="X666:AM685" si="146">IF(AND($G666&gt;=X$3,$G666&lt;X$4),$F666,0)</f>
        <v>2.5706989207157499E-5</v>
      </c>
      <c r="Y666">
        <f t="shared" si="146"/>
        <v>0</v>
      </c>
      <c r="Z666">
        <f t="shared" si="146"/>
        <v>0</v>
      </c>
      <c r="AA666">
        <f t="shared" si="146"/>
        <v>0</v>
      </c>
      <c r="AB666">
        <f t="shared" si="146"/>
        <v>0</v>
      </c>
      <c r="AC666">
        <f t="shared" si="146"/>
        <v>0</v>
      </c>
      <c r="AD666">
        <f t="shared" si="146"/>
        <v>0</v>
      </c>
      <c r="AE666">
        <f t="shared" si="146"/>
        <v>0</v>
      </c>
      <c r="AF666">
        <f t="shared" si="146"/>
        <v>0</v>
      </c>
      <c r="AG666">
        <f t="shared" si="146"/>
        <v>0</v>
      </c>
      <c r="AH666">
        <f t="shared" si="146"/>
        <v>0</v>
      </c>
      <c r="AI666">
        <f t="shared" si="146"/>
        <v>0</v>
      </c>
      <c r="AJ666">
        <f t="shared" si="146"/>
        <v>0</v>
      </c>
      <c r="AK666">
        <f t="shared" si="146"/>
        <v>0</v>
      </c>
      <c r="AL666">
        <f t="shared" si="146"/>
        <v>0</v>
      </c>
      <c r="AM666">
        <f t="shared" si="146"/>
        <v>0</v>
      </c>
      <c r="AN666">
        <f t="shared" si="145"/>
        <v>0</v>
      </c>
      <c r="AO666">
        <f t="shared" si="145"/>
        <v>0</v>
      </c>
      <c r="AP666">
        <f t="shared" si="145"/>
        <v>0</v>
      </c>
      <c r="AQ666">
        <f t="shared" si="145"/>
        <v>0</v>
      </c>
      <c r="AR666">
        <f t="shared" si="145"/>
        <v>0</v>
      </c>
    </row>
    <row r="667" spans="5:44" x14ac:dyDescent="0.2">
      <c r="E667" s="1">
        <f>moment_rate!$M667</f>
        <v>7.7329404957297253E-3</v>
      </c>
      <c r="F667" s="1">
        <f t="shared" si="141"/>
        <v>2.5179738483418687E-5</v>
      </c>
      <c r="G667">
        <f>moment_rate!I667-0.005</f>
        <v>6.5999999999999037</v>
      </c>
      <c r="H667" s="1">
        <f t="shared" si="142"/>
        <v>2.5179738483418687E-5</v>
      </c>
      <c r="I667">
        <f t="shared" ref="I667:X682" si="147">IF(AND($G667&gt;=I$3,$G667&lt;I$4),$F667,0)</f>
        <v>0</v>
      </c>
      <c r="J667">
        <f t="shared" si="147"/>
        <v>0</v>
      </c>
      <c r="K667">
        <f t="shared" si="147"/>
        <v>0</v>
      </c>
      <c r="L667">
        <f t="shared" si="147"/>
        <v>0</v>
      </c>
      <c r="M667">
        <f t="shared" si="147"/>
        <v>0</v>
      </c>
      <c r="N667">
        <f t="shared" si="147"/>
        <v>0</v>
      </c>
      <c r="O667">
        <f t="shared" si="147"/>
        <v>0</v>
      </c>
      <c r="P667">
        <f t="shared" si="147"/>
        <v>0</v>
      </c>
      <c r="Q667">
        <f t="shared" si="147"/>
        <v>0</v>
      </c>
      <c r="R667">
        <f t="shared" si="147"/>
        <v>0</v>
      </c>
      <c r="S667">
        <f t="shared" si="147"/>
        <v>0</v>
      </c>
      <c r="T667">
        <f t="shared" si="147"/>
        <v>0</v>
      </c>
      <c r="U667">
        <f t="shared" si="147"/>
        <v>0</v>
      </c>
      <c r="V667">
        <f t="shared" si="147"/>
        <v>0</v>
      </c>
      <c r="W667">
        <f t="shared" si="147"/>
        <v>0</v>
      </c>
      <c r="X667">
        <f t="shared" si="147"/>
        <v>2.5179738483418687E-5</v>
      </c>
      <c r="Y667">
        <f t="shared" si="146"/>
        <v>0</v>
      </c>
      <c r="Z667">
        <f t="shared" si="146"/>
        <v>0</v>
      </c>
      <c r="AA667">
        <f t="shared" si="146"/>
        <v>0</v>
      </c>
      <c r="AB667">
        <f t="shared" si="146"/>
        <v>0</v>
      </c>
      <c r="AC667">
        <f t="shared" si="146"/>
        <v>0</v>
      </c>
      <c r="AD667">
        <f t="shared" si="146"/>
        <v>0</v>
      </c>
      <c r="AE667">
        <f t="shared" si="146"/>
        <v>0</v>
      </c>
      <c r="AF667">
        <f t="shared" si="146"/>
        <v>0</v>
      </c>
      <c r="AG667">
        <f t="shared" si="146"/>
        <v>0</v>
      </c>
      <c r="AH667">
        <f t="shared" si="146"/>
        <v>0</v>
      </c>
      <c r="AI667">
        <f t="shared" si="146"/>
        <v>0</v>
      </c>
      <c r="AJ667">
        <f t="shared" si="146"/>
        <v>0</v>
      </c>
      <c r="AK667">
        <f t="shared" si="146"/>
        <v>0</v>
      </c>
      <c r="AL667">
        <f t="shared" si="146"/>
        <v>0</v>
      </c>
      <c r="AM667">
        <f t="shared" si="146"/>
        <v>0</v>
      </c>
      <c r="AN667">
        <f t="shared" si="145"/>
        <v>0</v>
      </c>
      <c r="AO667">
        <f t="shared" si="145"/>
        <v>0</v>
      </c>
      <c r="AP667">
        <f t="shared" si="145"/>
        <v>0</v>
      </c>
      <c r="AQ667">
        <f t="shared" si="145"/>
        <v>0</v>
      </c>
      <c r="AR667">
        <f t="shared" si="145"/>
        <v>0</v>
      </c>
    </row>
    <row r="668" spans="5:44" x14ac:dyDescent="0.2">
      <c r="E668" s="1">
        <f>moment_rate!$M668</f>
        <v>7.7077607572463066E-3</v>
      </c>
      <c r="F668" s="1">
        <f t="shared" si="141"/>
        <v>2.4663301679717954E-5</v>
      </c>
      <c r="G668">
        <f>moment_rate!I668-0.005</f>
        <v>6.6099999999999035</v>
      </c>
      <c r="H668" s="1">
        <f t="shared" si="142"/>
        <v>2.4663301679717954E-5</v>
      </c>
      <c r="I668">
        <f t="shared" si="147"/>
        <v>0</v>
      </c>
      <c r="J668">
        <f t="shared" si="147"/>
        <v>0</v>
      </c>
      <c r="K668">
        <f t="shared" si="147"/>
        <v>0</v>
      </c>
      <c r="L668">
        <f t="shared" si="147"/>
        <v>0</v>
      </c>
      <c r="M668">
        <f t="shared" si="147"/>
        <v>0</v>
      </c>
      <c r="N668">
        <f t="shared" si="147"/>
        <v>0</v>
      </c>
      <c r="O668">
        <f t="shared" si="147"/>
        <v>0</v>
      </c>
      <c r="P668">
        <f t="shared" si="147"/>
        <v>0</v>
      </c>
      <c r="Q668">
        <f t="shared" si="147"/>
        <v>0</v>
      </c>
      <c r="R668">
        <f t="shared" si="147"/>
        <v>0</v>
      </c>
      <c r="S668">
        <f t="shared" si="147"/>
        <v>0</v>
      </c>
      <c r="T668">
        <f t="shared" si="147"/>
        <v>0</v>
      </c>
      <c r="U668">
        <f t="shared" si="147"/>
        <v>0</v>
      </c>
      <c r="V668">
        <f t="shared" si="147"/>
        <v>0</v>
      </c>
      <c r="W668">
        <f t="shared" si="147"/>
        <v>0</v>
      </c>
      <c r="X668">
        <f t="shared" si="147"/>
        <v>0</v>
      </c>
      <c r="Y668">
        <f t="shared" si="146"/>
        <v>2.4663301679717954E-5</v>
      </c>
      <c r="Z668">
        <f t="shared" si="146"/>
        <v>0</v>
      </c>
      <c r="AA668">
        <f t="shared" si="146"/>
        <v>0</v>
      </c>
      <c r="AB668">
        <f t="shared" si="146"/>
        <v>0</v>
      </c>
      <c r="AC668">
        <f t="shared" si="146"/>
        <v>0</v>
      </c>
      <c r="AD668">
        <f t="shared" si="146"/>
        <v>0</v>
      </c>
      <c r="AE668">
        <f t="shared" si="146"/>
        <v>0</v>
      </c>
      <c r="AF668">
        <f t="shared" si="146"/>
        <v>0</v>
      </c>
      <c r="AG668">
        <f t="shared" si="146"/>
        <v>0</v>
      </c>
      <c r="AH668">
        <f t="shared" si="146"/>
        <v>0</v>
      </c>
      <c r="AI668">
        <f t="shared" si="146"/>
        <v>0</v>
      </c>
      <c r="AJ668">
        <f t="shared" si="146"/>
        <v>0</v>
      </c>
      <c r="AK668">
        <f t="shared" si="146"/>
        <v>0</v>
      </c>
      <c r="AL668">
        <f t="shared" si="146"/>
        <v>0</v>
      </c>
      <c r="AM668">
        <f t="shared" si="146"/>
        <v>0</v>
      </c>
      <c r="AN668">
        <f t="shared" si="145"/>
        <v>0</v>
      </c>
      <c r="AO668">
        <f t="shared" si="145"/>
        <v>0</v>
      </c>
      <c r="AP668">
        <f t="shared" si="145"/>
        <v>0</v>
      </c>
      <c r="AQ668">
        <f t="shared" si="145"/>
        <v>0</v>
      </c>
      <c r="AR668">
        <f t="shared" si="145"/>
        <v>0</v>
      </c>
    </row>
    <row r="669" spans="5:44" x14ac:dyDescent="0.2">
      <c r="E669" s="1">
        <f>moment_rate!$M669</f>
        <v>7.6830974555665886E-3</v>
      </c>
      <c r="F669" s="1">
        <f t="shared" si="141"/>
        <v>2.4157457002398942E-5</v>
      </c>
      <c r="G669">
        <f>moment_rate!I669-0.005</f>
        <v>6.6199999999999033</v>
      </c>
      <c r="H669" s="1">
        <f t="shared" si="142"/>
        <v>2.4157457002398942E-5</v>
      </c>
      <c r="I669">
        <f t="shared" si="147"/>
        <v>0</v>
      </c>
      <c r="J669">
        <f t="shared" si="147"/>
        <v>0</v>
      </c>
      <c r="K669">
        <f t="shared" si="147"/>
        <v>0</v>
      </c>
      <c r="L669">
        <f t="shared" si="147"/>
        <v>0</v>
      </c>
      <c r="M669">
        <f t="shared" si="147"/>
        <v>0</v>
      </c>
      <c r="N669">
        <f t="shared" si="147"/>
        <v>0</v>
      </c>
      <c r="O669">
        <f t="shared" si="147"/>
        <v>0</v>
      </c>
      <c r="P669">
        <f t="shared" si="147"/>
        <v>0</v>
      </c>
      <c r="Q669">
        <f t="shared" si="147"/>
        <v>0</v>
      </c>
      <c r="R669">
        <f t="shared" si="147"/>
        <v>0</v>
      </c>
      <c r="S669">
        <f t="shared" si="147"/>
        <v>0</v>
      </c>
      <c r="T669">
        <f t="shared" si="147"/>
        <v>0</v>
      </c>
      <c r="U669">
        <f t="shared" si="147"/>
        <v>0</v>
      </c>
      <c r="V669">
        <f t="shared" si="147"/>
        <v>0</v>
      </c>
      <c r="W669">
        <f t="shared" si="147"/>
        <v>0</v>
      </c>
      <c r="X669">
        <f t="shared" si="147"/>
        <v>0</v>
      </c>
      <c r="Y669">
        <f t="shared" si="146"/>
        <v>2.4157457002398942E-5</v>
      </c>
      <c r="Z669">
        <f t="shared" si="146"/>
        <v>0</v>
      </c>
      <c r="AA669">
        <f t="shared" si="146"/>
        <v>0</v>
      </c>
      <c r="AB669">
        <f t="shared" si="146"/>
        <v>0</v>
      </c>
      <c r="AC669">
        <f t="shared" si="146"/>
        <v>0</v>
      </c>
      <c r="AD669">
        <f t="shared" si="146"/>
        <v>0</v>
      </c>
      <c r="AE669">
        <f t="shared" si="146"/>
        <v>0</v>
      </c>
      <c r="AF669">
        <f t="shared" si="146"/>
        <v>0</v>
      </c>
      <c r="AG669">
        <f t="shared" si="146"/>
        <v>0</v>
      </c>
      <c r="AH669">
        <f t="shared" si="146"/>
        <v>0</v>
      </c>
      <c r="AI669">
        <f t="shared" si="146"/>
        <v>0</v>
      </c>
      <c r="AJ669">
        <f t="shared" si="146"/>
        <v>0</v>
      </c>
      <c r="AK669">
        <f t="shared" si="146"/>
        <v>0</v>
      </c>
      <c r="AL669">
        <f t="shared" si="146"/>
        <v>0</v>
      </c>
      <c r="AM669">
        <f t="shared" si="146"/>
        <v>0</v>
      </c>
      <c r="AN669">
        <f t="shared" si="145"/>
        <v>0</v>
      </c>
      <c r="AO669">
        <f t="shared" si="145"/>
        <v>0</v>
      </c>
      <c r="AP669">
        <f t="shared" si="145"/>
        <v>0</v>
      </c>
      <c r="AQ669">
        <f t="shared" si="145"/>
        <v>0</v>
      </c>
      <c r="AR669">
        <f t="shared" si="145"/>
        <v>0</v>
      </c>
    </row>
    <row r="670" spans="5:44" x14ac:dyDescent="0.2">
      <c r="E670" s="1">
        <f>moment_rate!$M670</f>
        <v>7.6589399985641897E-3</v>
      </c>
      <c r="F670" s="1">
        <f t="shared" si="141"/>
        <v>2.3661987206791482E-5</v>
      </c>
      <c r="G670">
        <f>moment_rate!I670-0.005</f>
        <v>6.6299999999999031</v>
      </c>
      <c r="H670" s="1">
        <f t="shared" si="142"/>
        <v>2.3661987206791482E-5</v>
      </c>
      <c r="I670">
        <f t="shared" si="147"/>
        <v>0</v>
      </c>
      <c r="J670">
        <f t="shared" si="147"/>
        <v>0</v>
      </c>
      <c r="K670">
        <f t="shared" si="147"/>
        <v>0</v>
      </c>
      <c r="L670">
        <f t="shared" si="147"/>
        <v>0</v>
      </c>
      <c r="M670">
        <f t="shared" si="147"/>
        <v>0</v>
      </c>
      <c r="N670">
        <f t="shared" si="147"/>
        <v>0</v>
      </c>
      <c r="O670">
        <f t="shared" si="147"/>
        <v>0</v>
      </c>
      <c r="P670">
        <f t="shared" si="147"/>
        <v>0</v>
      </c>
      <c r="Q670">
        <f t="shared" si="147"/>
        <v>0</v>
      </c>
      <c r="R670">
        <f t="shared" si="147"/>
        <v>0</v>
      </c>
      <c r="S670">
        <f t="shared" si="147"/>
        <v>0</v>
      </c>
      <c r="T670">
        <f t="shared" si="147"/>
        <v>0</v>
      </c>
      <c r="U670">
        <f t="shared" si="147"/>
        <v>0</v>
      </c>
      <c r="V670">
        <f t="shared" si="147"/>
        <v>0</v>
      </c>
      <c r="W670">
        <f t="shared" si="147"/>
        <v>0</v>
      </c>
      <c r="X670">
        <f t="shared" si="147"/>
        <v>0</v>
      </c>
      <c r="Y670">
        <f t="shared" si="146"/>
        <v>2.3661987206791482E-5</v>
      </c>
      <c r="Z670">
        <f t="shared" si="146"/>
        <v>0</v>
      </c>
      <c r="AA670">
        <f t="shared" si="146"/>
        <v>0</v>
      </c>
      <c r="AB670">
        <f t="shared" si="146"/>
        <v>0</v>
      </c>
      <c r="AC670">
        <f t="shared" si="146"/>
        <v>0</v>
      </c>
      <c r="AD670">
        <f t="shared" si="146"/>
        <v>0</v>
      </c>
      <c r="AE670">
        <f t="shared" si="146"/>
        <v>0</v>
      </c>
      <c r="AF670">
        <f t="shared" si="146"/>
        <v>0</v>
      </c>
      <c r="AG670">
        <f t="shared" si="146"/>
        <v>0</v>
      </c>
      <c r="AH670">
        <f t="shared" si="146"/>
        <v>0</v>
      </c>
      <c r="AI670">
        <f t="shared" si="146"/>
        <v>0</v>
      </c>
      <c r="AJ670">
        <f t="shared" si="146"/>
        <v>0</v>
      </c>
      <c r="AK670">
        <f t="shared" si="146"/>
        <v>0</v>
      </c>
      <c r="AL670">
        <f t="shared" si="146"/>
        <v>0</v>
      </c>
      <c r="AM670">
        <f t="shared" si="146"/>
        <v>0</v>
      </c>
      <c r="AN670">
        <f t="shared" si="145"/>
        <v>0</v>
      </c>
      <c r="AO670">
        <f t="shared" si="145"/>
        <v>0</v>
      </c>
      <c r="AP670">
        <f t="shared" si="145"/>
        <v>0</v>
      </c>
      <c r="AQ670">
        <f t="shared" si="145"/>
        <v>0</v>
      </c>
      <c r="AR670">
        <f t="shared" si="145"/>
        <v>0</v>
      </c>
    </row>
    <row r="671" spans="5:44" x14ac:dyDescent="0.2">
      <c r="E671" s="1">
        <f>moment_rate!$M671</f>
        <v>7.6352780113573982E-3</v>
      </c>
      <c r="F671" s="1">
        <f t="shared" si="141"/>
        <v>2.3176679503919898E-5</v>
      </c>
      <c r="G671">
        <f>moment_rate!I671-0.005</f>
        <v>6.6399999999999029</v>
      </c>
      <c r="H671" s="1">
        <f t="shared" si="142"/>
        <v>2.3176679503919898E-5</v>
      </c>
      <c r="I671">
        <f t="shared" si="147"/>
        <v>0</v>
      </c>
      <c r="J671">
        <f t="shared" si="147"/>
        <v>0</v>
      </c>
      <c r="K671">
        <f t="shared" si="147"/>
        <v>0</v>
      </c>
      <c r="L671">
        <f t="shared" si="147"/>
        <v>0</v>
      </c>
      <c r="M671">
        <f t="shared" si="147"/>
        <v>0</v>
      </c>
      <c r="N671">
        <f t="shared" si="147"/>
        <v>0</v>
      </c>
      <c r="O671">
        <f t="shared" si="147"/>
        <v>0</v>
      </c>
      <c r="P671">
        <f t="shared" si="147"/>
        <v>0</v>
      </c>
      <c r="Q671">
        <f t="shared" si="147"/>
        <v>0</v>
      </c>
      <c r="R671">
        <f t="shared" si="147"/>
        <v>0</v>
      </c>
      <c r="S671">
        <f t="shared" si="147"/>
        <v>0</v>
      </c>
      <c r="T671">
        <f t="shared" si="147"/>
        <v>0</v>
      </c>
      <c r="U671">
        <f t="shared" si="147"/>
        <v>0</v>
      </c>
      <c r="V671">
        <f t="shared" si="147"/>
        <v>0</v>
      </c>
      <c r="W671">
        <f t="shared" si="147"/>
        <v>0</v>
      </c>
      <c r="X671">
        <f t="shared" si="147"/>
        <v>0</v>
      </c>
      <c r="Y671">
        <f t="shared" si="146"/>
        <v>2.3176679503919898E-5</v>
      </c>
      <c r="Z671">
        <f t="shared" si="146"/>
        <v>0</v>
      </c>
      <c r="AA671">
        <f t="shared" si="146"/>
        <v>0</v>
      </c>
      <c r="AB671">
        <f t="shared" si="146"/>
        <v>0</v>
      </c>
      <c r="AC671">
        <f t="shared" si="146"/>
        <v>0</v>
      </c>
      <c r="AD671">
        <f t="shared" si="146"/>
        <v>0</v>
      </c>
      <c r="AE671">
        <f t="shared" si="146"/>
        <v>0</v>
      </c>
      <c r="AF671">
        <f t="shared" si="146"/>
        <v>0</v>
      </c>
      <c r="AG671">
        <f t="shared" si="146"/>
        <v>0</v>
      </c>
      <c r="AH671">
        <f t="shared" si="146"/>
        <v>0</v>
      </c>
      <c r="AI671">
        <f t="shared" si="146"/>
        <v>0</v>
      </c>
      <c r="AJ671">
        <f t="shared" si="146"/>
        <v>0</v>
      </c>
      <c r="AK671">
        <f t="shared" si="146"/>
        <v>0</v>
      </c>
      <c r="AL671">
        <f t="shared" si="146"/>
        <v>0</v>
      </c>
      <c r="AM671">
        <f t="shared" si="146"/>
        <v>0</v>
      </c>
      <c r="AN671">
        <f t="shared" si="145"/>
        <v>0</v>
      </c>
      <c r="AO671">
        <f t="shared" si="145"/>
        <v>0</v>
      </c>
      <c r="AP671">
        <f t="shared" si="145"/>
        <v>0</v>
      </c>
      <c r="AQ671">
        <f t="shared" si="145"/>
        <v>0</v>
      </c>
      <c r="AR671">
        <f t="shared" si="145"/>
        <v>0</v>
      </c>
    </row>
    <row r="672" spans="5:44" x14ac:dyDescent="0.2">
      <c r="E672" s="1">
        <f>moment_rate!$M672</f>
        <v>7.6121013318534783E-3</v>
      </c>
      <c r="F672" s="1">
        <f t="shared" si="141"/>
        <v>2.2701325469116906E-5</v>
      </c>
      <c r="G672">
        <f>moment_rate!I672-0.005</f>
        <v>6.6499999999999027</v>
      </c>
      <c r="H672" s="1">
        <f t="shared" si="142"/>
        <v>2.2701325469116906E-5</v>
      </c>
      <c r="I672">
        <f t="shared" si="147"/>
        <v>0</v>
      </c>
      <c r="J672">
        <f t="shared" si="147"/>
        <v>0</v>
      </c>
      <c r="K672">
        <f t="shared" si="147"/>
        <v>0</v>
      </c>
      <c r="L672">
        <f t="shared" si="147"/>
        <v>0</v>
      </c>
      <c r="M672">
        <f t="shared" si="147"/>
        <v>0</v>
      </c>
      <c r="N672">
        <f t="shared" si="147"/>
        <v>0</v>
      </c>
      <c r="O672">
        <f t="shared" si="147"/>
        <v>0</v>
      </c>
      <c r="P672">
        <f t="shared" si="147"/>
        <v>0</v>
      </c>
      <c r="Q672">
        <f t="shared" si="147"/>
        <v>0</v>
      </c>
      <c r="R672">
        <f t="shared" si="147"/>
        <v>0</v>
      </c>
      <c r="S672">
        <f t="shared" si="147"/>
        <v>0</v>
      </c>
      <c r="T672">
        <f t="shared" si="147"/>
        <v>0</v>
      </c>
      <c r="U672">
        <f t="shared" si="147"/>
        <v>0</v>
      </c>
      <c r="V672">
        <f t="shared" si="147"/>
        <v>0</v>
      </c>
      <c r="W672">
        <f t="shared" si="147"/>
        <v>0</v>
      </c>
      <c r="X672">
        <f t="shared" si="147"/>
        <v>0</v>
      </c>
      <c r="Y672">
        <f t="shared" si="146"/>
        <v>2.2701325469116906E-5</v>
      </c>
      <c r="Z672">
        <f t="shared" si="146"/>
        <v>0</v>
      </c>
      <c r="AA672">
        <f t="shared" si="146"/>
        <v>0</v>
      </c>
      <c r="AB672">
        <f t="shared" si="146"/>
        <v>0</v>
      </c>
      <c r="AC672">
        <f t="shared" si="146"/>
        <v>0</v>
      </c>
      <c r="AD672">
        <f t="shared" si="146"/>
        <v>0</v>
      </c>
      <c r="AE672">
        <f t="shared" si="146"/>
        <v>0</v>
      </c>
      <c r="AF672">
        <f t="shared" si="146"/>
        <v>0</v>
      </c>
      <c r="AG672">
        <f t="shared" si="146"/>
        <v>0</v>
      </c>
      <c r="AH672">
        <f t="shared" si="146"/>
        <v>0</v>
      </c>
      <c r="AI672">
        <f t="shared" si="146"/>
        <v>0</v>
      </c>
      <c r="AJ672">
        <f t="shared" si="146"/>
        <v>0</v>
      </c>
      <c r="AK672">
        <f t="shared" si="146"/>
        <v>0</v>
      </c>
      <c r="AL672">
        <f t="shared" si="146"/>
        <v>0</v>
      </c>
      <c r="AM672">
        <f t="shared" si="146"/>
        <v>0</v>
      </c>
      <c r="AN672">
        <f t="shared" si="145"/>
        <v>0</v>
      </c>
      <c r="AO672">
        <f t="shared" si="145"/>
        <v>0</v>
      </c>
      <c r="AP672">
        <f t="shared" si="145"/>
        <v>0</v>
      </c>
      <c r="AQ672">
        <f t="shared" si="145"/>
        <v>0</v>
      </c>
      <c r="AR672">
        <f t="shared" si="145"/>
        <v>0</v>
      </c>
    </row>
    <row r="673" spans="5:44" x14ac:dyDescent="0.2">
      <c r="E673" s="1">
        <f>moment_rate!$M673</f>
        <v>7.5894000063843614E-3</v>
      </c>
      <c r="F673" s="1">
        <f t="shared" si="141"/>
        <v>2.2235720952504083E-5</v>
      </c>
      <c r="G673">
        <f>moment_rate!I673-0.005</f>
        <v>6.6599999999999024</v>
      </c>
      <c r="H673" s="1">
        <f t="shared" si="142"/>
        <v>2.2235720952504083E-5</v>
      </c>
      <c r="I673">
        <f t="shared" si="147"/>
        <v>0</v>
      </c>
      <c r="J673">
        <f t="shared" si="147"/>
        <v>0</v>
      </c>
      <c r="K673">
        <f t="shared" si="147"/>
        <v>0</v>
      </c>
      <c r="L673">
        <f t="shared" si="147"/>
        <v>0</v>
      </c>
      <c r="M673">
        <f t="shared" si="147"/>
        <v>0</v>
      </c>
      <c r="N673">
        <f t="shared" si="147"/>
        <v>0</v>
      </c>
      <c r="O673">
        <f t="shared" si="147"/>
        <v>0</v>
      </c>
      <c r="P673">
        <f t="shared" si="147"/>
        <v>0</v>
      </c>
      <c r="Q673">
        <f t="shared" si="147"/>
        <v>0</v>
      </c>
      <c r="R673">
        <f t="shared" si="147"/>
        <v>0</v>
      </c>
      <c r="S673">
        <f t="shared" si="147"/>
        <v>0</v>
      </c>
      <c r="T673">
        <f t="shared" si="147"/>
        <v>0</v>
      </c>
      <c r="U673">
        <f t="shared" si="147"/>
        <v>0</v>
      </c>
      <c r="V673">
        <f t="shared" si="147"/>
        <v>0</v>
      </c>
      <c r="W673">
        <f t="shared" si="147"/>
        <v>0</v>
      </c>
      <c r="X673">
        <f t="shared" si="147"/>
        <v>0</v>
      </c>
      <c r="Y673">
        <f t="shared" si="146"/>
        <v>2.2235720952504083E-5</v>
      </c>
      <c r="Z673">
        <f t="shared" si="146"/>
        <v>0</v>
      </c>
      <c r="AA673">
        <f t="shared" si="146"/>
        <v>0</v>
      </c>
      <c r="AB673">
        <f t="shared" si="146"/>
        <v>0</v>
      </c>
      <c r="AC673">
        <f t="shared" si="146"/>
        <v>0</v>
      </c>
      <c r="AD673">
        <f t="shared" si="146"/>
        <v>0</v>
      </c>
      <c r="AE673">
        <f t="shared" si="146"/>
        <v>0</v>
      </c>
      <c r="AF673">
        <f t="shared" si="146"/>
        <v>0</v>
      </c>
      <c r="AG673">
        <f t="shared" si="146"/>
        <v>0</v>
      </c>
      <c r="AH673">
        <f t="shared" si="146"/>
        <v>0</v>
      </c>
      <c r="AI673">
        <f t="shared" si="146"/>
        <v>0</v>
      </c>
      <c r="AJ673">
        <f t="shared" si="146"/>
        <v>0</v>
      </c>
      <c r="AK673">
        <f t="shared" si="146"/>
        <v>0</v>
      </c>
      <c r="AL673">
        <f t="shared" si="146"/>
        <v>0</v>
      </c>
      <c r="AM673">
        <f t="shared" si="146"/>
        <v>0</v>
      </c>
      <c r="AN673">
        <f t="shared" si="145"/>
        <v>0</v>
      </c>
      <c r="AO673">
        <f t="shared" si="145"/>
        <v>0</v>
      </c>
      <c r="AP673">
        <f t="shared" si="145"/>
        <v>0</v>
      </c>
      <c r="AQ673">
        <f t="shared" si="145"/>
        <v>0</v>
      </c>
      <c r="AR673">
        <f t="shared" si="145"/>
        <v>0</v>
      </c>
    </row>
    <row r="674" spans="5:44" x14ac:dyDescent="0.2">
      <c r="E674" s="1">
        <f>moment_rate!$M674</f>
        <v>7.5671642854318573E-3</v>
      </c>
      <c r="F674" s="1">
        <f t="shared" si="141"/>
        <v>2.1779665991318933E-5</v>
      </c>
      <c r="G674">
        <f>moment_rate!I674-0.005</f>
        <v>6.6699999999999022</v>
      </c>
      <c r="H674" s="1">
        <f t="shared" si="142"/>
        <v>2.1779665991318933E-5</v>
      </c>
      <c r="I674">
        <f t="shared" si="147"/>
        <v>0</v>
      </c>
      <c r="J674">
        <f t="shared" si="147"/>
        <v>0</v>
      </c>
      <c r="K674">
        <f t="shared" si="147"/>
        <v>0</v>
      </c>
      <c r="L674">
        <f t="shared" si="147"/>
        <v>0</v>
      </c>
      <c r="M674">
        <f t="shared" si="147"/>
        <v>0</v>
      </c>
      <c r="N674">
        <f t="shared" si="147"/>
        <v>0</v>
      </c>
      <c r="O674">
        <f t="shared" si="147"/>
        <v>0</v>
      </c>
      <c r="P674">
        <f t="shared" si="147"/>
        <v>0</v>
      </c>
      <c r="Q674">
        <f t="shared" si="147"/>
        <v>0</v>
      </c>
      <c r="R674">
        <f t="shared" si="147"/>
        <v>0</v>
      </c>
      <c r="S674">
        <f t="shared" si="147"/>
        <v>0</v>
      </c>
      <c r="T674">
        <f t="shared" si="147"/>
        <v>0</v>
      </c>
      <c r="U674">
        <f t="shared" si="147"/>
        <v>0</v>
      </c>
      <c r="V674">
        <f t="shared" si="147"/>
        <v>0</v>
      </c>
      <c r="W674">
        <f t="shared" si="147"/>
        <v>0</v>
      </c>
      <c r="X674">
        <f t="shared" si="147"/>
        <v>0</v>
      </c>
      <c r="Y674">
        <f t="shared" si="146"/>
        <v>2.1779665991318933E-5</v>
      </c>
      <c r="Z674">
        <f t="shared" si="146"/>
        <v>0</v>
      </c>
      <c r="AA674">
        <f t="shared" si="146"/>
        <v>0</v>
      </c>
      <c r="AB674">
        <f t="shared" si="146"/>
        <v>0</v>
      </c>
      <c r="AC674">
        <f t="shared" si="146"/>
        <v>0</v>
      </c>
      <c r="AD674">
        <f t="shared" si="146"/>
        <v>0</v>
      </c>
      <c r="AE674">
        <f t="shared" si="146"/>
        <v>0</v>
      </c>
      <c r="AF674">
        <f t="shared" si="146"/>
        <v>0</v>
      </c>
      <c r="AG674">
        <f t="shared" si="146"/>
        <v>0</v>
      </c>
      <c r="AH674">
        <f t="shared" si="146"/>
        <v>0</v>
      </c>
      <c r="AI674">
        <f t="shared" si="146"/>
        <v>0</v>
      </c>
      <c r="AJ674">
        <f t="shared" si="146"/>
        <v>0</v>
      </c>
      <c r="AK674">
        <f t="shared" si="146"/>
        <v>0</v>
      </c>
      <c r="AL674">
        <f t="shared" si="146"/>
        <v>0</v>
      </c>
      <c r="AM674">
        <f t="shared" si="146"/>
        <v>0</v>
      </c>
      <c r="AN674">
        <f t="shared" si="145"/>
        <v>0</v>
      </c>
      <c r="AO674">
        <f t="shared" si="145"/>
        <v>0</v>
      </c>
      <c r="AP674">
        <f t="shared" si="145"/>
        <v>0</v>
      </c>
      <c r="AQ674">
        <f t="shared" si="145"/>
        <v>0</v>
      </c>
      <c r="AR674">
        <f t="shared" si="145"/>
        <v>0</v>
      </c>
    </row>
    <row r="675" spans="5:44" x14ac:dyDescent="0.2">
      <c r="E675" s="1">
        <f>moment_rate!$M675</f>
        <v>7.5453846194405384E-3</v>
      </c>
      <c r="F675" s="1">
        <f t="shared" si="141"/>
        <v>2.1332964724044348E-5</v>
      </c>
      <c r="G675">
        <f>moment_rate!I675-0.005</f>
        <v>6.679999999999902</v>
      </c>
      <c r="H675" s="1">
        <f t="shared" si="142"/>
        <v>2.1332964724044348E-5</v>
      </c>
      <c r="I675">
        <f t="shared" si="147"/>
        <v>0</v>
      </c>
      <c r="J675">
        <f t="shared" si="147"/>
        <v>0</v>
      </c>
      <c r="K675">
        <f t="shared" si="147"/>
        <v>0</v>
      </c>
      <c r="L675">
        <f t="shared" si="147"/>
        <v>0</v>
      </c>
      <c r="M675">
        <f t="shared" si="147"/>
        <v>0</v>
      </c>
      <c r="N675">
        <f t="shared" si="147"/>
        <v>0</v>
      </c>
      <c r="O675">
        <f t="shared" si="147"/>
        <v>0</v>
      </c>
      <c r="P675">
        <f t="shared" si="147"/>
        <v>0</v>
      </c>
      <c r="Q675">
        <f t="shared" si="147"/>
        <v>0</v>
      </c>
      <c r="R675">
        <f t="shared" si="147"/>
        <v>0</v>
      </c>
      <c r="S675">
        <f t="shared" si="147"/>
        <v>0</v>
      </c>
      <c r="T675">
        <f t="shared" si="147"/>
        <v>0</v>
      </c>
      <c r="U675">
        <f t="shared" si="147"/>
        <v>0</v>
      </c>
      <c r="V675">
        <f t="shared" si="147"/>
        <v>0</v>
      </c>
      <c r="W675">
        <f t="shared" si="147"/>
        <v>0</v>
      </c>
      <c r="X675">
        <f t="shared" si="147"/>
        <v>0</v>
      </c>
      <c r="Y675">
        <f t="shared" si="146"/>
        <v>2.1332964724044348E-5</v>
      </c>
      <c r="Z675">
        <f t="shared" si="146"/>
        <v>0</v>
      </c>
      <c r="AA675">
        <f t="shared" si="146"/>
        <v>0</v>
      </c>
      <c r="AB675">
        <f t="shared" si="146"/>
        <v>0</v>
      </c>
      <c r="AC675">
        <f t="shared" si="146"/>
        <v>0</v>
      </c>
      <c r="AD675">
        <f t="shared" si="146"/>
        <v>0</v>
      </c>
      <c r="AE675">
        <f t="shared" si="146"/>
        <v>0</v>
      </c>
      <c r="AF675">
        <f t="shared" si="146"/>
        <v>0</v>
      </c>
      <c r="AG675">
        <f t="shared" si="146"/>
        <v>0</v>
      </c>
      <c r="AH675">
        <f t="shared" si="146"/>
        <v>0</v>
      </c>
      <c r="AI675">
        <f t="shared" si="146"/>
        <v>0</v>
      </c>
      <c r="AJ675">
        <f t="shared" si="146"/>
        <v>0</v>
      </c>
      <c r="AK675">
        <f t="shared" si="145"/>
        <v>0</v>
      </c>
      <c r="AL675">
        <f t="shared" si="145"/>
        <v>0</v>
      </c>
      <c r="AM675">
        <f t="shared" si="145"/>
        <v>0</v>
      </c>
      <c r="AN675">
        <f t="shared" si="145"/>
        <v>0</v>
      </c>
      <c r="AO675">
        <f t="shared" si="145"/>
        <v>0</v>
      </c>
      <c r="AP675">
        <f t="shared" si="145"/>
        <v>0</v>
      </c>
      <c r="AQ675">
        <f t="shared" si="145"/>
        <v>0</v>
      </c>
      <c r="AR675">
        <f t="shared" si="145"/>
        <v>0</v>
      </c>
    </row>
    <row r="676" spans="5:44" x14ac:dyDescent="0.2">
      <c r="E676" s="1">
        <f>moment_rate!$M676</f>
        <v>7.524051654716494E-3</v>
      </c>
      <c r="F676" s="1">
        <f t="shared" si="141"/>
        <v>2.0895425306277984E-5</v>
      </c>
      <c r="G676">
        <f>moment_rate!I676-0.005</f>
        <v>6.6899999999999018</v>
      </c>
      <c r="H676" s="1">
        <f t="shared" si="142"/>
        <v>2.0895425306277984E-5</v>
      </c>
      <c r="I676">
        <f t="shared" si="147"/>
        <v>0</v>
      </c>
      <c r="J676">
        <f t="shared" si="147"/>
        <v>0</v>
      </c>
      <c r="K676">
        <f t="shared" si="147"/>
        <v>0</v>
      </c>
      <c r="L676">
        <f t="shared" si="147"/>
        <v>0</v>
      </c>
      <c r="M676">
        <f t="shared" si="147"/>
        <v>0</v>
      </c>
      <c r="N676">
        <f t="shared" si="147"/>
        <v>0</v>
      </c>
      <c r="O676">
        <f t="shared" si="147"/>
        <v>0</v>
      </c>
      <c r="P676">
        <f t="shared" si="147"/>
        <v>0</v>
      </c>
      <c r="Q676">
        <f t="shared" si="147"/>
        <v>0</v>
      </c>
      <c r="R676">
        <f t="shared" si="147"/>
        <v>0</v>
      </c>
      <c r="S676">
        <f t="shared" si="147"/>
        <v>0</v>
      </c>
      <c r="T676">
        <f t="shared" si="147"/>
        <v>0</v>
      </c>
      <c r="U676">
        <f t="shared" si="147"/>
        <v>0</v>
      </c>
      <c r="V676">
        <f t="shared" si="147"/>
        <v>0</v>
      </c>
      <c r="W676">
        <f t="shared" si="147"/>
        <v>0</v>
      </c>
      <c r="X676">
        <f t="shared" si="147"/>
        <v>0</v>
      </c>
      <c r="Y676">
        <f t="shared" si="146"/>
        <v>2.0895425306277984E-5</v>
      </c>
      <c r="Z676">
        <f t="shared" si="146"/>
        <v>0</v>
      </c>
      <c r="AA676">
        <f t="shared" si="146"/>
        <v>0</v>
      </c>
      <c r="AB676">
        <f t="shared" si="146"/>
        <v>0</v>
      </c>
      <c r="AC676">
        <f t="shared" si="146"/>
        <v>0</v>
      </c>
      <c r="AD676">
        <f t="shared" si="146"/>
        <v>0</v>
      </c>
      <c r="AE676">
        <f t="shared" si="146"/>
        <v>0</v>
      </c>
      <c r="AF676">
        <f t="shared" si="146"/>
        <v>0</v>
      </c>
      <c r="AG676">
        <f t="shared" si="146"/>
        <v>0</v>
      </c>
      <c r="AH676">
        <f t="shared" si="146"/>
        <v>0</v>
      </c>
      <c r="AI676">
        <f t="shared" si="146"/>
        <v>0</v>
      </c>
      <c r="AJ676">
        <f t="shared" si="146"/>
        <v>0</v>
      </c>
      <c r="AK676">
        <f t="shared" si="145"/>
        <v>0</v>
      </c>
      <c r="AL676">
        <f t="shared" si="145"/>
        <v>0</v>
      </c>
      <c r="AM676">
        <f t="shared" si="145"/>
        <v>0</v>
      </c>
      <c r="AN676">
        <f t="shared" si="145"/>
        <v>0</v>
      </c>
      <c r="AO676">
        <f t="shared" si="145"/>
        <v>0</v>
      </c>
      <c r="AP676">
        <f t="shared" si="145"/>
        <v>0</v>
      </c>
      <c r="AQ676">
        <f t="shared" si="145"/>
        <v>0</v>
      </c>
      <c r="AR676">
        <f t="shared" si="145"/>
        <v>0</v>
      </c>
    </row>
    <row r="677" spans="5:44" x14ac:dyDescent="0.2">
      <c r="E677" s="1">
        <f>moment_rate!$M677</f>
        <v>7.5031562294102161E-3</v>
      </c>
      <c r="F677" s="1">
        <f t="shared" si="141"/>
        <v>2.0466859828355451E-5</v>
      </c>
      <c r="G677">
        <f>moment_rate!I677-0.005</f>
        <v>6.6999999999999016</v>
      </c>
      <c r="H677" s="1">
        <f t="shared" si="142"/>
        <v>2.0466859828355451E-5</v>
      </c>
      <c r="I677">
        <f t="shared" si="147"/>
        <v>0</v>
      </c>
      <c r="J677">
        <f t="shared" si="147"/>
        <v>0</v>
      </c>
      <c r="K677">
        <f t="shared" si="147"/>
        <v>0</v>
      </c>
      <c r="L677">
        <f t="shared" si="147"/>
        <v>0</v>
      </c>
      <c r="M677">
        <f t="shared" si="147"/>
        <v>0</v>
      </c>
      <c r="N677">
        <f t="shared" si="147"/>
        <v>0</v>
      </c>
      <c r="O677">
        <f t="shared" si="147"/>
        <v>0</v>
      </c>
      <c r="P677">
        <f t="shared" si="147"/>
        <v>0</v>
      </c>
      <c r="Q677">
        <f t="shared" si="147"/>
        <v>0</v>
      </c>
      <c r="R677">
        <f t="shared" si="147"/>
        <v>0</v>
      </c>
      <c r="S677">
        <f t="shared" si="147"/>
        <v>0</v>
      </c>
      <c r="T677">
        <f t="shared" si="147"/>
        <v>0</v>
      </c>
      <c r="U677">
        <f t="shared" si="147"/>
        <v>0</v>
      </c>
      <c r="V677">
        <f t="shared" si="147"/>
        <v>0</v>
      </c>
      <c r="W677">
        <f t="shared" si="147"/>
        <v>0</v>
      </c>
      <c r="X677">
        <f t="shared" si="147"/>
        <v>0</v>
      </c>
      <c r="Y677">
        <f t="shared" si="146"/>
        <v>2.0466859828355451E-5</v>
      </c>
      <c r="Z677">
        <f t="shared" si="146"/>
        <v>0</v>
      </c>
      <c r="AA677">
        <f t="shared" si="146"/>
        <v>0</v>
      </c>
      <c r="AB677">
        <f t="shared" si="146"/>
        <v>0</v>
      </c>
      <c r="AC677">
        <f t="shared" si="146"/>
        <v>0</v>
      </c>
      <c r="AD677">
        <f t="shared" si="146"/>
        <v>0</v>
      </c>
      <c r="AE677">
        <f t="shared" si="146"/>
        <v>0</v>
      </c>
      <c r="AF677">
        <f t="shared" si="146"/>
        <v>0</v>
      </c>
      <c r="AG677">
        <f t="shared" si="146"/>
        <v>0</v>
      </c>
      <c r="AH677">
        <f t="shared" si="146"/>
        <v>0</v>
      </c>
      <c r="AI677">
        <f t="shared" si="146"/>
        <v>0</v>
      </c>
      <c r="AJ677">
        <f t="shared" si="146"/>
        <v>0</v>
      </c>
      <c r="AK677">
        <f t="shared" si="145"/>
        <v>0</v>
      </c>
      <c r="AL677">
        <f t="shared" si="145"/>
        <v>0</v>
      </c>
      <c r="AM677">
        <f t="shared" si="145"/>
        <v>0</v>
      </c>
      <c r="AN677">
        <f t="shared" si="145"/>
        <v>0</v>
      </c>
      <c r="AO677">
        <f t="shared" si="145"/>
        <v>0</v>
      </c>
      <c r="AP677">
        <f t="shared" si="145"/>
        <v>0</v>
      </c>
      <c r="AQ677">
        <f t="shared" si="145"/>
        <v>0</v>
      </c>
      <c r="AR677">
        <f t="shared" si="145"/>
        <v>0</v>
      </c>
    </row>
    <row r="678" spans="5:44" x14ac:dyDescent="0.2">
      <c r="E678" s="1">
        <f>moment_rate!$M678</f>
        <v>7.4826893695818606E-3</v>
      </c>
      <c r="F678" s="1">
        <f t="shared" si="141"/>
        <v>2.0047084234636227E-5</v>
      </c>
      <c r="G678">
        <f>moment_rate!I678-0.005</f>
        <v>6.7099999999999014</v>
      </c>
      <c r="H678" s="1">
        <f t="shared" si="142"/>
        <v>2.0047084234636227E-5</v>
      </c>
      <c r="I678">
        <f t="shared" si="147"/>
        <v>0</v>
      </c>
      <c r="J678">
        <f t="shared" si="147"/>
        <v>0</v>
      </c>
      <c r="K678">
        <f t="shared" si="147"/>
        <v>0</v>
      </c>
      <c r="L678">
        <f t="shared" si="147"/>
        <v>0</v>
      </c>
      <c r="M678">
        <f t="shared" si="147"/>
        <v>0</v>
      </c>
      <c r="N678">
        <f t="shared" si="147"/>
        <v>0</v>
      </c>
      <c r="O678">
        <f t="shared" si="147"/>
        <v>0</v>
      </c>
      <c r="P678">
        <f t="shared" si="147"/>
        <v>0</v>
      </c>
      <c r="Q678">
        <f t="shared" si="147"/>
        <v>0</v>
      </c>
      <c r="R678">
        <f t="shared" si="147"/>
        <v>0</v>
      </c>
      <c r="S678">
        <f t="shared" si="147"/>
        <v>0</v>
      </c>
      <c r="T678">
        <f t="shared" si="147"/>
        <v>0</v>
      </c>
      <c r="U678">
        <f t="shared" si="147"/>
        <v>0</v>
      </c>
      <c r="V678">
        <f t="shared" si="147"/>
        <v>0</v>
      </c>
      <c r="W678">
        <f t="shared" si="147"/>
        <v>0</v>
      </c>
      <c r="X678">
        <f t="shared" si="147"/>
        <v>0</v>
      </c>
      <c r="Y678">
        <f t="shared" si="146"/>
        <v>0</v>
      </c>
      <c r="Z678">
        <f t="shared" si="146"/>
        <v>2.0047084234636227E-5</v>
      </c>
      <c r="AA678">
        <f t="shared" si="146"/>
        <v>0</v>
      </c>
      <c r="AB678">
        <f t="shared" si="146"/>
        <v>0</v>
      </c>
      <c r="AC678">
        <f t="shared" si="146"/>
        <v>0</v>
      </c>
      <c r="AD678">
        <f t="shared" si="146"/>
        <v>0</v>
      </c>
      <c r="AE678">
        <f t="shared" si="146"/>
        <v>0</v>
      </c>
      <c r="AF678">
        <f t="shared" si="146"/>
        <v>0</v>
      </c>
      <c r="AG678">
        <f t="shared" si="146"/>
        <v>0</v>
      </c>
      <c r="AH678">
        <f t="shared" si="146"/>
        <v>0</v>
      </c>
      <c r="AI678">
        <f t="shared" si="146"/>
        <v>0</v>
      </c>
      <c r="AJ678">
        <f t="shared" si="146"/>
        <v>0</v>
      </c>
      <c r="AK678">
        <f t="shared" si="145"/>
        <v>0</v>
      </c>
      <c r="AL678">
        <f t="shared" si="145"/>
        <v>0</v>
      </c>
      <c r="AM678">
        <f t="shared" si="145"/>
        <v>0</v>
      </c>
      <c r="AN678">
        <f t="shared" si="145"/>
        <v>0</v>
      </c>
      <c r="AO678">
        <f t="shared" si="145"/>
        <v>0</v>
      </c>
      <c r="AP678">
        <f t="shared" si="145"/>
        <v>0</v>
      </c>
      <c r="AQ678">
        <f t="shared" si="145"/>
        <v>0</v>
      </c>
      <c r="AR678">
        <f t="shared" si="145"/>
        <v>0</v>
      </c>
    </row>
    <row r="679" spans="5:44" x14ac:dyDescent="0.2">
      <c r="E679" s="1">
        <f>moment_rate!$M679</f>
        <v>7.4626422853472244E-3</v>
      </c>
      <c r="F679" s="1">
        <f t="shared" si="141"/>
        <v>1.9635918244471397E-5</v>
      </c>
      <c r="G679">
        <f>moment_rate!I679-0.005</f>
        <v>6.7199999999999012</v>
      </c>
      <c r="H679" s="1">
        <f t="shared" si="142"/>
        <v>1.9635918244471397E-5</v>
      </c>
      <c r="I679">
        <f t="shared" si="147"/>
        <v>0</v>
      </c>
      <c r="J679">
        <f t="shared" si="147"/>
        <v>0</v>
      </c>
      <c r="K679">
        <f t="shared" si="147"/>
        <v>0</v>
      </c>
      <c r="L679">
        <f t="shared" si="147"/>
        <v>0</v>
      </c>
      <c r="M679">
        <f t="shared" si="147"/>
        <v>0</v>
      </c>
      <c r="N679">
        <f t="shared" si="147"/>
        <v>0</v>
      </c>
      <c r="O679">
        <f t="shared" si="147"/>
        <v>0</v>
      </c>
      <c r="P679">
        <f t="shared" si="147"/>
        <v>0</v>
      </c>
      <c r="Q679">
        <f t="shared" si="147"/>
        <v>0</v>
      </c>
      <c r="R679">
        <f t="shared" si="147"/>
        <v>0</v>
      </c>
      <c r="S679">
        <f t="shared" si="147"/>
        <v>0</v>
      </c>
      <c r="T679">
        <f t="shared" si="147"/>
        <v>0</v>
      </c>
      <c r="U679">
        <f t="shared" si="147"/>
        <v>0</v>
      </c>
      <c r="V679">
        <f t="shared" si="147"/>
        <v>0</v>
      </c>
      <c r="W679">
        <f t="shared" si="147"/>
        <v>0</v>
      </c>
      <c r="X679">
        <f t="shared" si="147"/>
        <v>0</v>
      </c>
      <c r="Y679">
        <f t="shared" si="146"/>
        <v>0</v>
      </c>
      <c r="Z679">
        <f t="shared" si="146"/>
        <v>1.9635918244471397E-5</v>
      </c>
      <c r="AA679">
        <f t="shared" si="146"/>
        <v>0</v>
      </c>
      <c r="AB679">
        <f t="shared" si="146"/>
        <v>0</v>
      </c>
      <c r="AC679">
        <f t="shared" si="146"/>
        <v>0</v>
      </c>
      <c r="AD679">
        <f t="shared" si="146"/>
        <v>0</v>
      </c>
      <c r="AE679">
        <f t="shared" si="146"/>
        <v>0</v>
      </c>
      <c r="AF679">
        <f t="shared" si="146"/>
        <v>0</v>
      </c>
      <c r="AG679">
        <f t="shared" si="146"/>
        <v>0</v>
      </c>
      <c r="AH679">
        <f t="shared" si="146"/>
        <v>0</v>
      </c>
      <c r="AI679">
        <f t="shared" si="146"/>
        <v>0</v>
      </c>
      <c r="AJ679">
        <f t="shared" si="146"/>
        <v>0</v>
      </c>
      <c r="AK679">
        <f t="shared" si="145"/>
        <v>0</v>
      </c>
      <c r="AL679">
        <f t="shared" si="145"/>
        <v>0</v>
      </c>
      <c r="AM679">
        <f t="shared" si="145"/>
        <v>0</v>
      </c>
      <c r="AN679">
        <f t="shared" si="145"/>
        <v>0</v>
      </c>
      <c r="AO679">
        <f t="shared" si="145"/>
        <v>0</v>
      </c>
      <c r="AP679">
        <f t="shared" si="145"/>
        <v>0</v>
      </c>
      <c r="AQ679">
        <f t="shared" si="145"/>
        <v>0</v>
      </c>
      <c r="AR679">
        <f t="shared" si="145"/>
        <v>0</v>
      </c>
    </row>
    <row r="680" spans="5:44" x14ac:dyDescent="0.2">
      <c r="E680" s="1">
        <f>moment_rate!$M680</f>
        <v>7.443006367102753E-3</v>
      </c>
      <c r="F680" s="1">
        <f t="shared" si="141"/>
        <v>1.9233185274764725E-5</v>
      </c>
      <c r="G680">
        <f>moment_rate!I680-0.005</f>
        <v>6.729999999999901</v>
      </c>
      <c r="H680" s="1">
        <f t="shared" si="142"/>
        <v>1.9233185274764725E-5</v>
      </c>
      <c r="I680">
        <f t="shared" si="147"/>
        <v>0</v>
      </c>
      <c r="J680">
        <f t="shared" si="147"/>
        <v>0</v>
      </c>
      <c r="K680">
        <f t="shared" si="147"/>
        <v>0</v>
      </c>
      <c r="L680">
        <f t="shared" si="147"/>
        <v>0</v>
      </c>
      <c r="M680">
        <f t="shared" si="147"/>
        <v>0</v>
      </c>
      <c r="N680">
        <f t="shared" si="147"/>
        <v>0</v>
      </c>
      <c r="O680">
        <f t="shared" si="147"/>
        <v>0</v>
      </c>
      <c r="P680">
        <f t="shared" si="147"/>
        <v>0</v>
      </c>
      <c r="Q680">
        <f t="shared" si="147"/>
        <v>0</v>
      </c>
      <c r="R680">
        <f t="shared" si="147"/>
        <v>0</v>
      </c>
      <c r="S680">
        <f t="shared" si="147"/>
        <v>0</v>
      </c>
      <c r="T680">
        <f t="shared" si="147"/>
        <v>0</v>
      </c>
      <c r="U680">
        <f t="shared" si="147"/>
        <v>0</v>
      </c>
      <c r="V680">
        <f t="shared" si="147"/>
        <v>0</v>
      </c>
      <c r="W680">
        <f t="shared" si="147"/>
        <v>0</v>
      </c>
      <c r="X680">
        <f t="shared" si="147"/>
        <v>0</v>
      </c>
      <c r="Y680">
        <f t="shared" si="146"/>
        <v>0</v>
      </c>
      <c r="Z680">
        <f t="shared" si="146"/>
        <v>1.9233185274764725E-5</v>
      </c>
      <c r="AA680">
        <f t="shared" si="146"/>
        <v>0</v>
      </c>
      <c r="AB680">
        <f t="shared" si="146"/>
        <v>0</v>
      </c>
      <c r="AC680">
        <f t="shared" si="146"/>
        <v>0</v>
      </c>
      <c r="AD680">
        <f t="shared" si="146"/>
        <v>0</v>
      </c>
      <c r="AE680">
        <f t="shared" si="146"/>
        <v>0</v>
      </c>
      <c r="AF680">
        <f t="shared" si="146"/>
        <v>0</v>
      </c>
      <c r="AG680">
        <f t="shared" si="146"/>
        <v>0</v>
      </c>
      <c r="AH680">
        <f t="shared" si="146"/>
        <v>0</v>
      </c>
      <c r="AI680">
        <f t="shared" si="146"/>
        <v>0</v>
      </c>
      <c r="AJ680">
        <f t="shared" si="146"/>
        <v>0</v>
      </c>
      <c r="AK680">
        <f t="shared" si="145"/>
        <v>0</v>
      </c>
      <c r="AL680">
        <f t="shared" si="145"/>
        <v>0</v>
      </c>
      <c r="AM680">
        <f t="shared" si="145"/>
        <v>0</v>
      </c>
      <c r="AN680">
        <f t="shared" si="145"/>
        <v>0</v>
      </c>
      <c r="AO680">
        <f t="shared" si="145"/>
        <v>0</v>
      </c>
      <c r="AP680">
        <f t="shared" si="145"/>
        <v>0</v>
      </c>
      <c r="AQ680">
        <f t="shared" si="145"/>
        <v>0</v>
      </c>
      <c r="AR680">
        <f t="shared" si="145"/>
        <v>0</v>
      </c>
    </row>
    <row r="681" spans="5:44" x14ac:dyDescent="0.2">
      <c r="E681" s="1">
        <f>moment_rate!$M681</f>
        <v>7.4237731818279883E-3</v>
      </c>
      <c r="F681" s="1">
        <f t="shared" si="141"/>
        <v>1.8838712364141821E-5</v>
      </c>
      <c r="G681">
        <f>moment_rate!I681-0.005</f>
        <v>6.7399999999999007</v>
      </c>
      <c r="H681" s="1">
        <f t="shared" si="142"/>
        <v>1.8838712364141821E-5</v>
      </c>
      <c r="I681">
        <f t="shared" si="147"/>
        <v>0</v>
      </c>
      <c r="J681">
        <f t="shared" si="147"/>
        <v>0</v>
      </c>
      <c r="K681">
        <f t="shared" si="147"/>
        <v>0</v>
      </c>
      <c r="L681">
        <f t="shared" si="147"/>
        <v>0</v>
      </c>
      <c r="M681">
        <f t="shared" si="147"/>
        <v>0</v>
      </c>
      <c r="N681">
        <f t="shared" si="147"/>
        <v>0</v>
      </c>
      <c r="O681">
        <f t="shared" si="147"/>
        <v>0</v>
      </c>
      <c r="P681">
        <f t="shared" si="147"/>
        <v>0</v>
      </c>
      <c r="Q681">
        <f t="shared" si="147"/>
        <v>0</v>
      </c>
      <c r="R681">
        <f t="shared" si="147"/>
        <v>0</v>
      </c>
      <c r="S681">
        <f t="shared" si="147"/>
        <v>0</v>
      </c>
      <c r="T681">
        <f t="shared" si="147"/>
        <v>0</v>
      </c>
      <c r="U681">
        <f t="shared" si="147"/>
        <v>0</v>
      </c>
      <c r="V681">
        <f t="shared" si="147"/>
        <v>0</v>
      </c>
      <c r="W681">
        <f t="shared" si="147"/>
        <v>0</v>
      </c>
      <c r="X681">
        <f t="shared" si="147"/>
        <v>0</v>
      </c>
      <c r="Y681">
        <f t="shared" si="146"/>
        <v>0</v>
      </c>
      <c r="Z681">
        <f t="shared" si="146"/>
        <v>1.8838712364141821E-5</v>
      </c>
      <c r="AA681">
        <f t="shared" si="146"/>
        <v>0</v>
      </c>
      <c r="AB681">
        <f t="shared" si="146"/>
        <v>0</v>
      </c>
      <c r="AC681">
        <f t="shared" si="146"/>
        <v>0</v>
      </c>
      <c r="AD681">
        <f t="shared" si="146"/>
        <v>0</v>
      </c>
      <c r="AE681">
        <f t="shared" si="146"/>
        <v>0</v>
      </c>
      <c r="AF681">
        <f t="shared" si="146"/>
        <v>0</v>
      </c>
      <c r="AG681">
        <f t="shared" si="146"/>
        <v>0</v>
      </c>
      <c r="AH681">
        <f t="shared" si="146"/>
        <v>0</v>
      </c>
      <c r="AI681">
        <f t="shared" si="146"/>
        <v>0</v>
      </c>
      <c r="AJ681">
        <f t="shared" si="146"/>
        <v>0</v>
      </c>
      <c r="AK681">
        <f t="shared" si="145"/>
        <v>0</v>
      </c>
      <c r="AL681">
        <f t="shared" si="145"/>
        <v>0</v>
      </c>
      <c r="AM681">
        <f t="shared" si="145"/>
        <v>0</v>
      </c>
      <c r="AN681">
        <f t="shared" si="145"/>
        <v>0</v>
      </c>
      <c r="AO681">
        <f t="shared" si="145"/>
        <v>0</v>
      </c>
      <c r="AP681">
        <f t="shared" si="145"/>
        <v>0</v>
      </c>
      <c r="AQ681">
        <f t="shared" si="145"/>
        <v>0</v>
      </c>
      <c r="AR681">
        <f t="shared" si="145"/>
        <v>0</v>
      </c>
    </row>
    <row r="682" spans="5:44" x14ac:dyDescent="0.2">
      <c r="E682" s="1">
        <f>moment_rate!$M682</f>
        <v>7.4049344694638464E-3</v>
      </c>
      <c r="F682" s="1">
        <f t="shared" si="141"/>
        <v>1.4809868938927672E-4</v>
      </c>
      <c r="G682">
        <f>moment_rate!I682-0.005</f>
        <v>6.7499999999999005</v>
      </c>
      <c r="H682" s="1">
        <f t="shared" si="142"/>
        <v>1.4809868938927672E-4</v>
      </c>
      <c r="I682">
        <f t="shared" si="147"/>
        <v>0</v>
      </c>
      <c r="J682">
        <f t="shared" si="147"/>
        <v>0</v>
      </c>
      <c r="K682">
        <f t="shared" si="147"/>
        <v>0</v>
      </c>
      <c r="L682">
        <f t="shared" si="147"/>
        <v>0</v>
      </c>
      <c r="M682">
        <f t="shared" si="147"/>
        <v>0</v>
      </c>
      <c r="N682">
        <f t="shared" si="147"/>
        <v>0</v>
      </c>
      <c r="O682">
        <f t="shared" si="147"/>
        <v>0</v>
      </c>
      <c r="P682">
        <f t="shared" si="147"/>
        <v>0</v>
      </c>
      <c r="Q682">
        <f t="shared" si="147"/>
        <v>0</v>
      </c>
      <c r="R682">
        <f t="shared" si="147"/>
        <v>0</v>
      </c>
      <c r="S682">
        <f t="shared" si="147"/>
        <v>0</v>
      </c>
      <c r="T682">
        <f t="shared" si="147"/>
        <v>0</v>
      </c>
      <c r="U682">
        <f t="shared" si="147"/>
        <v>0</v>
      </c>
      <c r="V682">
        <f t="shared" si="147"/>
        <v>0</v>
      </c>
      <c r="W682">
        <f t="shared" si="147"/>
        <v>0</v>
      </c>
      <c r="X682">
        <f t="shared" ref="X682:AM697" si="148">IF(AND($G682&gt;=X$3,$G682&lt;X$4),$F682,0)</f>
        <v>0</v>
      </c>
      <c r="Y682">
        <f t="shared" si="148"/>
        <v>0</v>
      </c>
      <c r="Z682">
        <f t="shared" si="146"/>
        <v>1.4809868938927672E-4</v>
      </c>
      <c r="AA682">
        <f t="shared" si="146"/>
        <v>0</v>
      </c>
      <c r="AB682">
        <f t="shared" si="146"/>
        <v>0</v>
      </c>
      <c r="AC682">
        <f t="shared" si="146"/>
        <v>0</v>
      </c>
      <c r="AD682">
        <f t="shared" si="146"/>
        <v>0</v>
      </c>
      <c r="AE682">
        <f t="shared" si="146"/>
        <v>0</v>
      </c>
      <c r="AF682">
        <f t="shared" si="146"/>
        <v>0</v>
      </c>
      <c r="AG682">
        <f t="shared" si="146"/>
        <v>0</v>
      </c>
      <c r="AH682">
        <f t="shared" si="146"/>
        <v>0</v>
      </c>
      <c r="AI682">
        <f t="shared" si="146"/>
        <v>0</v>
      </c>
      <c r="AJ682">
        <f t="shared" si="146"/>
        <v>0</v>
      </c>
      <c r="AK682">
        <f t="shared" si="145"/>
        <v>0</v>
      </c>
      <c r="AL682">
        <f t="shared" si="145"/>
        <v>0</v>
      </c>
      <c r="AM682">
        <f t="shared" si="145"/>
        <v>0</v>
      </c>
      <c r="AN682">
        <f t="shared" si="145"/>
        <v>0</v>
      </c>
      <c r="AO682">
        <f t="shared" si="145"/>
        <v>0</v>
      </c>
      <c r="AP682">
        <f t="shared" si="145"/>
        <v>0</v>
      </c>
      <c r="AQ682">
        <f t="shared" si="145"/>
        <v>0</v>
      </c>
      <c r="AR682">
        <f t="shared" si="145"/>
        <v>0</v>
      </c>
    </row>
    <row r="683" spans="5:44" x14ac:dyDescent="0.2">
      <c r="E683" s="1">
        <f>moment_rate!$M683</f>
        <v>7.2568357800745697E-3</v>
      </c>
      <c r="F683" s="1">
        <f t="shared" si="141"/>
        <v>1.4809868938927672E-4</v>
      </c>
      <c r="G683">
        <f>moment_rate!I683-0.005</f>
        <v>6.7599999999999003</v>
      </c>
      <c r="H683" s="1">
        <f t="shared" si="142"/>
        <v>1.4809868938927672E-4</v>
      </c>
      <c r="I683">
        <f t="shared" ref="I683:X698" si="149">IF(AND($G683&gt;=I$3,$G683&lt;I$4),$F683,0)</f>
        <v>0</v>
      </c>
      <c r="J683">
        <f t="shared" si="149"/>
        <v>0</v>
      </c>
      <c r="K683">
        <f t="shared" si="149"/>
        <v>0</v>
      </c>
      <c r="L683">
        <f t="shared" si="149"/>
        <v>0</v>
      </c>
      <c r="M683">
        <f t="shared" si="149"/>
        <v>0</v>
      </c>
      <c r="N683">
        <f t="shared" si="149"/>
        <v>0</v>
      </c>
      <c r="O683">
        <f t="shared" si="149"/>
        <v>0</v>
      </c>
      <c r="P683">
        <f t="shared" si="149"/>
        <v>0</v>
      </c>
      <c r="Q683">
        <f t="shared" si="149"/>
        <v>0</v>
      </c>
      <c r="R683">
        <f t="shared" si="149"/>
        <v>0</v>
      </c>
      <c r="S683">
        <f t="shared" si="149"/>
        <v>0</v>
      </c>
      <c r="T683">
        <f t="shared" si="149"/>
        <v>0</v>
      </c>
      <c r="U683">
        <f t="shared" si="149"/>
        <v>0</v>
      </c>
      <c r="V683">
        <f t="shared" si="149"/>
        <v>0</v>
      </c>
      <c r="W683">
        <f t="shared" si="149"/>
        <v>0</v>
      </c>
      <c r="X683">
        <f t="shared" si="149"/>
        <v>0</v>
      </c>
      <c r="Y683">
        <f t="shared" si="148"/>
        <v>0</v>
      </c>
      <c r="Z683">
        <f t="shared" si="146"/>
        <v>1.4809868938927672E-4</v>
      </c>
      <c r="AA683">
        <f t="shared" si="146"/>
        <v>0</v>
      </c>
      <c r="AB683">
        <f t="shared" si="146"/>
        <v>0</v>
      </c>
      <c r="AC683">
        <f t="shared" si="146"/>
        <v>0</v>
      </c>
      <c r="AD683">
        <f t="shared" si="146"/>
        <v>0</v>
      </c>
      <c r="AE683">
        <f t="shared" si="146"/>
        <v>0</v>
      </c>
      <c r="AF683">
        <f t="shared" si="146"/>
        <v>0</v>
      </c>
      <c r="AG683">
        <f t="shared" si="146"/>
        <v>0</v>
      </c>
      <c r="AH683">
        <f t="shared" si="146"/>
        <v>0</v>
      </c>
      <c r="AI683">
        <f t="shared" si="146"/>
        <v>0</v>
      </c>
      <c r="AJ683">
        <f t="shared" si="146"/>
        <v>0</v>
      </c>
      <c r="AK683">
        <f t="shared" si="145"/>
        <v>0</v>
      </c>
      <c r="AL683">
        <f t="shared" si="145"/>
        <v>0</v>
      </c>
      <c r="AM683">
        <f t="shared" si="145"/>
        <v>0</v>
      </c>
      <c r="AN683">
        <f t="shared" si="145"/>
        <v>0</v>
      </c>
      <c r="AO683">
        <f t="shared" si="145"/>
        <v>0</v>
      </c>
      <c r="AP683">
        <f t="shared" si="145"/>
        <v>0</v>
      </c>
      <c r="AQ683">
        <f t="shared" si="145"/>
        <v>0</v>
      </c>
      <c r="AR683">
        <f t="shared" si="145"/>
        <v>0</v>
      </c>
    </row>
    <row r="684" spans="5:44" x14ac:dyDescent="0.2">
      <c r="E684" s="1">
        <f>moment_rate!$M684</f>
        <v>7.108737090685293E-3</v>
      </c>
      <c r="F684" s="1">
        <f t="shared" si="141"/>
        <v>1.4809868938927672E-4</v>
      </c>
      <c r="G684">
        <f>moment_rate!I684-0.005</f>
        <v>6.7699999999999001</v>
      </c>
      <c r="H684" s="1">
        <f t="shared" si="142"/>
        <v>1.4809868938927672E-4</v>
      </c>
      <c r="I684">
        <f t="shared" si="149"/>
        <v>0</v>
      </c>
      <c r="J684">
        <f t="shared" si="149"/>
        <v>0</v>
      </c>
      <c r="K684">
        <f t="shared" si="149"/>
        <v>0</v>
      </c>
      <c r="L684">
        <f t="shared" si="149"/>
        <v>0</v>
      </c>
      <c r="M684">
        <f t="shared" si="149"/>
        <v>0</v>
      </c>
      <c r="N684">
        <f t="shared" si="149"/>
        <v>0</v>
      </c>
      <c r="O684">
        <f t="shared" si="149"/>
        <v>0</v>
      </c>
      <c r="P684">
        <f t="shared" si="149"/>
        <v>0</v>
      </c>
      <c r="Q684">
        <f t="shared" si="149"/>
        <v>0</v>
      </c>
      <c r="R684">
        <f t="shared" si="149"/>
        <v>0</v>
      </c>
      <c r="S684">
        <f t="shared" si="149"/>
        <v>0</v>
      </c>
      <c r="T684">
        <f t="shared" si="149"/>
        <v>0</v>
      </c>
      <c r="U684">
        <f t="shared" si="149"/>
        <v>0</v>
      </c>
      <c r="V684">
        <f t="shared" si="149"/>
        <v>0</v>
      </c>
      <c r="W684">
        <f t="shared" si="149"/>
        <v>0</v>
      </c>
      <c r="X684">
        <f t="shared" si="149"/>
        <v>0</v>
      </c>
      <c r="Y684">
        <f t="shared" si="148"/>
        <v>0</v>
      </c>
      <c r="Z684">
        <f t="shared" si="146"/>
        <v>1.4809868938927672E-4</v>
      </c>
      <c r="AA684">
        <f t="shared" si="146"/>
        <v>0</v>
      </c>
      <c r="AB684">
        <f t="shared" si="146"/>
        <v>0</v>
      </c>
      <c r="AC684">
        <f t="shared" si="146"/>
        <v>0</v>
      </c>
      <c r="AD684">
        <f t="shared" si="146"/>
        <v>0</v>
      </c>
      <c r="AE684">
        <f t="shared" si="146"/>
        <v>0</v>
      </c>
      <c r="AF684">
        <f t="shared" si="146"/>
        <v>0</v>
      </c>
      <c r="AG684">
        <f t="shared" si="146"/>
        <v>0</v>
      </c>
      <c r="AH684">
        <f t="shared" si="146"/>
        <v>0</v>
      </c>
      <c r="AI684">
        <f t="shared" si="146"/>
        <v>0</v>
      </c>
      <c r="AJ684">
        <f t="shared" si="146"/>
        <v>0</v>
      </c>
      <c r="AK684">
        <f t="shared" si="145"/>
        <v>0</v>
      </c>
      <c r="AL684">
        <f t="shared" si="145"/>
        <v>0</v>
      </c>
      <c r="AM684">
        <f t="shared" si="145"/>
        <v>0</v>
      </c>
      <c r="AN684">
        <f t="shared" si="145"/>
        <v>0</v>
      </c>
      <c r="AO684">
        <f t="shared" si="145"/>
        <v>0</v>
      </c>
      <c r="AP684">
        <f t="shared" si="145"/>
        <v>0</v>
      </c>
      <c r="AQ684">
        <f t="shared" si="145"/>
        <v>0</v>
      </c>
      <c r="AR684">
        <f t="shared" si="145"/>
        <v>0</v>
      </c>
    </row>
    <row r="685" spans="5:44" x14ac:dyDescent="0.2">
      <c r="E685" s="1">
        <f>moment_rate!$M685</f>
        <v>6.9606384012960163E-3</v>
      </c>
      <c r="F685" s="1">
        <f t="shared" si="141"/>
        <v>1.4809868938927672E-4</v>
      </c>
      <c r="G685">
        <f>moment_rate!I685-0.005</f>
        <v>6.7799999999998999</v>
      </c>
      <c r="H685" s="1">
        <f t="shared" si="142"/>
        <v>1.4809868938927672E-4</v>
      </c>
      <c r="I685">
        <f t="shared" si="149"/>
        <v>0</v>
      </c>
      <c r="J685">
        <f t="shared" si="149"/>
        <v>0</v>
      </c>
      <c r="K685">
        <f t="shared" si="149"/>
        <v>0</v>
      </c>
      <c r="L685">
        <f t="shared" si="149"/>
        <v>0</v>
      </c>
      <c r="M685">
        <f t="shared" si="149"/>
        <v>0</v>
      </c>
      <c r="N685">
        <f t="shared" si="149"/>
        <v>0</v>
      </c>
      <c r="O685">
        <f t="shared" si="149"/>
        <v>0</v>
      </c>
      <c r="P685">
        <f t="shared" si="149"/>
        <v>0</v>
      </c>
      <c r="Q685">
        <f t="shared" si="149"/>
        <v>0</v>
      </c>
      <c r="R685">
        <f t="shared" si="149"/>
        <v>0</v>
      </c>
      <c r="S685">
        <f t="shared" si="149"/>
        <v>0</v>
      </c>
      <c r="T685">
        <f t="shared" si="149"/>
        <v>0</v>
      </c>
      <c r="U685">
        <f t="shared" si="149"/>
        <v>0</v>
      </c>
      <c r="V685">
        <f t="shared" si="149"/>
        <v>0</v>
      </c>
      <c r="W685">
        <f t="shared" si="149"/>
        <v>0</v>
      </c>
      <c r="X685">
        <f t="shared" si="149"/>
        <v>0</v>
      </c>
      <c r="Y685">
        <f t="shared" si="148"/>
        <v>0</v>
      </c>
      <c r="Z685">
        <f t="shared" si="146"/>
        <v>1.4809868938927672E-4</v>
      </c>
      <c r="AA685">
        <f t="shared" si="146"/>
        <v>0</v>
      </c>
      <c r="AB685">
        <f t="shared" ref="AB685:AJ685" si="150">IF(AND($G685&gt;=AB$3,$G685&lt;AB$4),$F685,0)</f>
        <v>0</v>
      </c>
      <c r="AC685">
        <f t="shared" si="150"/>
        <v>0</v>
      </c>
      <c r="AD685">
        <f t="shared" si="150"/>
        <v>0</v>
      </c>
      <c r="AE685">
        <f t="shared" si="150"/>
        <v>0</v>
      </c>
      <c r="AF685">
        <f t="shared" si="150"/>
        <v>0</v>
      </c>
      <c r="AG685">
        <f t="shared" si="150"/>
        <v>0</v>
      </c>
      <c r="AH685">
        <f t="shared" si="150"/>
        <v>0</v>
      </c>
      <c r="AI685">
        <f t="shared" si="150"/>
        <v>0</v>
      </c>
      <c r="AJ685">
        <f t="shared" si="150"/>
        <v>0</v>
      </c>
      <c r="AK685">
        <f t="shared" si="145"/>
        <v>0</v>
      </c>
      <c r="AL685">
        <f t="shared" si="145"/>
        <v>0</v>
      </c>
      <c r="AM685">
        <f t="shared" si="145"/>
        <v>0</v>
      </c>
      <c r="AN685">
        <f t="shared" si="145"/>
        <v>0</v>
      </c>
      <c r="AO685">
        <f t="shared" si="145"/>
        <v>0</v>
      </c>
      <c r="AP685">
        <f t="shared" si="145"/>
        <v>0</v>
      </c>
      <c r="AQ685">
        <f t="shared" si="145"/>
        <v>0</v>
      </c>
      <c r="AR685">
        <f t="shared" si="145"/>
        <v>0</v>
      </c>
    </row>
    <row r="686" spans="5:44" x14ac:dyDescent="0.2">
      <c r="E686" s="1">
        <f>moment_rate!$M686</f>
        <v>6.8125397119067396E-3</v>
      </c>
      <c r="F686" s="1">
        <f t="shared" si="141"/>
        <v>1.4809868938927672E-4</v>
      </c>
      <c r="G686">
        <f>moment_rate!I686-0.005</f>
        <v>6.7899999999998997</v>
      </c>
      <c r="H686" s="1">
        <f t="shared" si="142"/>
        <v>1.4809868938927672E-4</v>
      </c>
      <c r="I686">
        <f t="shared" si="149"/>
        <v>0</v>
      </c>
      <c r="J686">
        <f t="shared" si="149"/>
        <v>0</v>
      </c>
      <c r="K686">
        <f t="shared" si="149"/>
        <v>0</v>
      </c>
      <c r="L686">
        <f t="shared" si="149"/>
        <v>0</v>
      </c>
      <c r="M686">
        <f t="shared" si="149"/>
        <v>0</v>
      </c>
      <c r="N686">
        <f t="shared" si="149"/>
        <v>0</v>
      </c>
      <c r="O686">
        <f t="shared" si="149"/>
        <v>0</v>
      </c>
      <c r="P686">
        <f t="shared" si="149"/>
        <v>0</v>
      </c>
      <c r="Q686">
        <f t="shared" si="149"/>
        <v>0</v>
      </c>
      <c r="R686">
        <f t="shared" si="149"/>
        <v>0</v>
      </c>
      <c r="S686">
        <f t="shared" si="149"/>
        <v>0</v>
      </c>
      <c r="T686">
        <f t="shared" si="149"/>
        <v>0</v>
      </c>
      <c r="U686">
        <f t="shared" si="149"/>
        <v>0</v>
      </c>
      <c r="V686">
        <f t="shared" si="149"/>
        <v>0</v>
      </c>
      <c r="W686">
        <f t="shared" si="149"/>
        <v>0</v>
      </c>
      <c r="X686">
        <f t="shared" si="149"/>
        <v>0</v>
      </c>
      <c r="Y686">
        <f t="shared" si="148"/>
        <v>0</v>
      </c>
      <c r="Z686">
        <f t="shared" si="148"/>
        <v>1.4809868938927672E-4</v>
      </c>
      <c r="AA686">
        <f t="shared" si="148"/>
        <v>0</v>
      </c>
      <c r="AB686">
        <f t="shared" si="148"/>
        <v>0</v>
      </c>
      <c r="AC686">
        <f t="shared" si="148"/>
        <v>0</v>
      </c>
      <c r="AD686">
        <f t="shared" si="148"/>
        <v>0</v>
      </c>
      <c r="AE686">
        <f t="shared" si="148"/>
        <v>0</v>
      </c>
      <c r="AF686">
        <f t="shared" si="148"/>
        <v>0</v>
      </c>
      <c r="AG686">
        <f t="shared" si="148"/>
        <v>0</v>
      </c>
      <c r="AH686">
        <f t="shared" si="148"/>
        <v>0</v>
      </c>
      <c r="AI686">
        <f t="shared" si="148"/>
        <v>0</v>
      </c>
      <c r="AJ686">
        <f t="shared" si="148"/>
        <v>0</v>
      </c>
      <c r="AK686">
        <f t="shared" si="148"/>
        <v>0</v>
      </c>
      <c r="AL686">
        <f t="shared" si="148"/>
        <v>0</v>
      </c>
      <c r="AM686">
        <f t="shared" si="148"/>
        <v>0</v>
      </c>
      <c r="AN686">
        <f t="shared" si="145"/>
        <v>0</v>
      </c>
      <c r="AO686">
        <f t="shared" si="145"/>
        <v>0</v>
      </c>
      <c r="AP686">
        <f t="shared" si="145"/>
        <v>0</v>
      </c>
      <c r="AQ686">
        <f t="shared" si="145"/>
        <v>0</v>
      </c>
      <c r="AR686">
        <f t="shared" si="145"/>
        <v>0</v>
      </c>
    </row>
    <row r="687" spans="5:44" x14ac:dyDescent="0.2">
      <c r="E687" s="1">
        <f>moment_rate!$M687</f>
        <v>6.6644410225174628E-3</v>
      </c>
      <c r="F687" s="1">
        <f t="shared" si="141"/>
        <v>1.4809868938927672E-4</v>
      </c>
      <c r="G687">
        <f>moment_rate!I687-0.005</f>
        <v>6.7999999999998995</v>
      </c>
      <c r="H687" s="1">
        <f t="shared" si="142"/>
        <v>1.4809868938927672E-4</v>
      </c>
      <c r="I687">
        <f t="shared" si="149"/>
        <v>0</v>
      </c>
      <c r="J687">
        <f t="shared" si="149"/>
        <v>0</v>
      </c>
      <c r="K687">
        <f t="shared" si="149"/>
        <v>0</v>
      </c>
      <c r="L687">
        <f t="shared" si="149"/>
        <v>0</v>
      </c>
      <c r="M687">
        <f t="shared" si="149"/>
        <v>0</v>
      </c>
      <c r="N687">
        <f t="shared" si="149"/>
        <v>0</v>
      </c>
      <c r="O687">
        <f t="shared" si="149"/>
        <v>0</v>
      </c>
      <c r="P687">
        <f t="shared" si="149"/>
        <v>0</v>
      </c>
      <c r="Q687">
        <f t="shared" si="149"/>
        <v>0</v>
      </c>
      <c r="R687">
        <f t="shared" si="149"/>
        <v>0</v>
      </c>
      <c r="S687">
        <f t="shared" si="149"/>
        <v>0</v>
      </c>
      <c r="T687">
        <f t="shared" si="149"/>
        <v>0</v>
      </c>
      <c r="U687">
        <f t="shared" si="149"/>
        <v>0</v>
      </c>
      <c r="V687">
        <f t="shared" si="149"/>
        <v>0</v>
      </c>
      <c r="W687">
        <f t="shared" si="149"/>
        <v>0</v>
      </c>
      <c r="X687">
        <f t="shared" si="149"/>
        <v>0</v>
      </c>
      <c r="Y687">
        <f t="shared" si="148"/>
        <v>0</v>
      </c>
      <c r="Z687">
        <f t="shared" si="148"/>
        <v>1.4809868938927672E-4</v>
      </c>
      <c r="AA687">
        <f t="shared" si="148"/>
        <v>0</v>
      </c>
      <c r="AB687">
        <f t="shared" si="148"/>
        <v>0</v>
      </c>
      <c r="AC687">
        <f t="shared" si="148"/>
        <v>0</v>
      </c>
      <c r="AD687">
        <f t="shared" si="148"/>
        <v>0</v>
      </c>
      <c r="AE687">
        <f t="shared" si="148"/>
        <v>0</v>
      </c>
      <c r="AF687">
        <f t="shared" si="148"/>
        <v>0</v>
      </c>
      <c r="AG687">
        <f t="shared" si="148"/>
        <v>0</v>
      </c>
      <c r="AH687">
        <f t="shared" si="148"/>
        <v>0</v>
      </c>
      <c r="AI687">
        <f t="shared" si="148"/>
        <v>0</v>
      </c>
      <c r="AJ687">
        <f t="shared" si="148"/>
        <v>0</v>
      </c>
      <c r="AK687">
        <f t="shared" si="148"/>
        <v>0</v>
      </c>
      <c r="AL687">
        <f t="shared" si="148"/>
        <v>0</v>
      </c>
      <c r="AM687">
        <f t="shared" si="148"/>
        <v>0</v>
      </c>
      <c r="AN687">
        <f t="shared" si="145"/>
        <v>0</v>
      </c>
      <c r="AO687">
        <f t="shared" si="145"/>
        <v>0</v>
      </c>
      <c r="AP687">
        <f t="shared" si="145"/>
        <v>0</v>
      </c>
      <c r="AQ687">
        <f t="shared" si="145"/>
        <v>0</v>
      </c>
      <c r="AR687">
        <f t="shared" si="145"/>
        <v>0</v>
      </c>
    </row>
    <row r="688" spans="5:44" x14ac:dyDescent="0.2">
      <c r="E688" s="1">
        <f>moment_rate!$M688</f>
        <v>6.5163423331281861E-3</v>
      </c>
      <c r="F688" s="1">
        <f t="shared" si="141"/>
        <v>1.4809868938927672E-4</v>
      </c>
      <c r="G688">
        <f>moment_rate!I688-0.005</f>
        <v>6.8099999999998992</v>
      </c>
      <c r="H688" s="1">
        <f t="shared" si="142"/>
        <v>1.4809868938927672E-4</v>
      </c>
      <c r="I688">
        <f t="shared" si="149"/>
        <v>0</v>
      </c>
      <c r="J688">
        <f t="shared" si="149"/>
        <v>0</v>
      </c>
      <c r="K688">
        <f t="shared" si="149"/>
        <v>0</v>
      </c>
      <c r="L688">
        <f t="shared" si="149"/>
        <v>0</v>
      </c>
      <c r="M688">
        <f t="shared" si="149"/>
        <v>0</v>
      </c>
      <c r="N688">
        <f t="shared" si="149"/>
        <v>0</v>
      </c>
      <c r="O688">
        <f t="shared" si="149"/>
        <v>0</v>
      </c>
      <c r="P688">
        <f t="shared" si="149"/>
        <v>0</v>
      </c>
      <c r="Q688">
        <f t="shared" si="149"/>
        <v>0</v>
      </c>
      <c r="R688">
        <f t="shared" si="149"/>
        <v>0</v>
      </c>
      <c r="S688">
        <f t="shared" si="149"/>
        <v>0</v>
      </c>
      <c r="T688">
        <f t="shared" si="149"/>
        <v>0</v>
      </c>
      <c r="U688">
        <f t="shared" si="149"/>
        <v>0</v>
      </c>
      <c r="V688">
        <f t="shared" si="149"/>
        <v>0</v>
      </c>
      <c r="W688">
        <f t="shared" si="149"/>
        <v>0</v>
      </c>
      <c r="X688">
        <f t="shared" si="149"/>
        <v>0</v>
      </c>
      <c r="Y688">
        <f t="shared" si="148"/>
        <v>0</v>
      </c>
      <c r="Z688">
        <f t="shared" si="148"/>
        <v>0</v>
      </c>
      <c r="AA688">
        <f t="shared" si="148"/>
        <v>1.4809868938927672E-4</v>
      </c>
      <c r="AB688">
        <f t="shared" si="148"/>
        <v>0</v>
      </c>
      <c r="AC688">
        <f t="shared" si="148"/>
        <v>0</v>
      </c>
      <c r="AD688">
        <f t="shared" si="148"/>
        <v>0</v>
      </c>
      <c r="AE688">
        <f t="shared" si="148"/>
        <v>0</v>
      </c>
      <c r="AF688">
        <f t="shared" si="148"/>
        <v>0</v>
      </c>
      <c r="AG688">
        <f t="shared" si="148"/>
        <v>0</v>
      </c>
      <c r="AH688">
        <f t="shared" si="148"/>
        <v>0</v>
      </c>
      <c r="AI688">
        <f t="shared" si="148"/>
        <v>0</v>
      </c>
      <c r="AJ688">
        <f t="shared" si="148"/>
        <v>0</v>
      </c>
      <c r="AK688">
        <f t="shared" si="148"/>
        <v>0</v>
      </c>
      <c r="AL688">
        <f t="shared" si="148"/>
        <v>0</v>
      </c>
      <c r="AM688">
        <f t="shared" si="148"/>
        <v>0</v>
      </c>
      <c r="AN688">
        <f t="shared" si="145"/>
        <v>0</v>
      </c>
      <c r="AO688">
        <f t="shared" si="145"/>
        <v>0</v>
      </c>
      <c r="AP688">
        <f t="shared" si="145"/>
        <v>0</v>
      </c>
      <c r="AQ688">
        <f t="shared" si="145"/>
        <v>0</v>
      </c>
      <c r="AR688">
        <f t="shared" si="145"/>
        <v>0</v>
      </c>
    </row>
    <row r="689" spans="5:44" x14ac:dyDescent="0.2">
      <c r="E689" s="1">
        <f>moment_rate!$M689</f>
        <v>6.3682436437389094E-3</v>
      </c>
      <c r="F689" s="1">
        <f t="shared" si="141"/>
        <v>1.4809868938927672E-4</v>
      </c>
      <c r="G689">
        <f>moment_rate!I689-0.005</f>
        <v>6.819999999999899</v>
      </c>
      <c r="H689" s="1">
        <f t="shared" si="142"/>
        <v>1.4809868938927672E-4</v>
      </c>
      <c r="I689">
        <f t="shared" si="149"/>
        <v>0</v>
      </c>
      <c r="J689">
        <f t="shared" si="149"/>
        <v>0</v>
      </c>
      <c r="K689">
        <f t="shared" si="149"/>
        <v>0</v>
      </c>
      <c r="L689">
        <f t="shared" si="149"/>
        <v>0</v>
      </c>
      <c r="M689">
        <f t="shared" si="149"/>
        <v>0</v>
      </c>
      <c r="N689">
        <f t="shared" si="149"/>
        <v>0</v>
      </c>
      <c r="O689">
        <f t="shared" si="149"/>
        <v>0</v>
      </c>
      <c r="P689">
        <f t="shared" si="149"/>
        <v>0</v>
      </c>
      <c r="Q689">
        <f t="shared" si="149"/>
        <v>0</v>
      </c>
      <c r="R689">
        <f t="shared" si="149"/>
        <v>0</v>
      </c>
      <c r="S689">
        <f t="shared" si="149"/>
        <v>0</v>
      </c>
      <c r="T689">
        <f t="shared" si="149"/>
        <v>0</v>
      </c>
      <c r="U689">
        <f t="shared" si="149"/>
        <v>0</v>
      </c>
      <c r="V689">
        <f t="shared" si="149"/>
        <v>0</v>
      </c>
      <c r="W689">
        <f t="shared" si="149"/>
        <v>0</v>
      </c>
      <c r="X689">
        <f t="shared" si="149"/>
        <v>0</v>
      </c>
      <c r="Y689">
        <f t="shared" si="148"/>
        <v>0</v>
      </c>
      <c r="Z689">
        <f t="shared" si="148"/>
        <v>0</v>
      </c>
      <c r="AA689">
        <f t="shared" si="148"/>
        <v>1.4809868938927672E-4</v>
      </c>
      <c r="AB689">
        <f t="shared" si="148"/>
        <v>0</v>
      </c>
      <c r="AC689">
        <f t="shared" si="148"/>
        <v>0</v>
      </c>
      <c r="AD689">
        <f t="shared" si="148"/>
        <v>0</v>
      </c>
      <c r="AE689">
        <f t="shared" si="148"/>
        <v>0</v>
      </c>
      <c r="AF689">
        <f t="shared" si="148"/>
        <v>0</v>
      </c>
      <c r="AG689">
        <f t="shared" si="148"/>
        <v>0</v>
      </c>
      <c r="AH689">
        <f t="shared" si="148"/>
        <v>0</v>
      </c>
      <c r="AI689">
        <f t="shared" si="148"/>
        <v>0</v>
      </c>
      <c r="AJ689">
        <f t="shared" si="148"/>
        <v>0</v>
      </c>
      <c r="AK689">
        <f t="shared" si="148"/>
        <v>0</v>
      </c>
      <c r="AL689">
        <f t="shared" si="148"/>
        <v>0</v>
      </c>
      <c r="AM689">
        <f t="shared" si="148"/>
        <v>0</v>
      </c>
      <c r="AN689">
        <f t="shared" si="145"/>
        <v>0</v>
      </c>
      <c r="AO689">
        <f t="shared" si="145"/>
        <v>0</v>
      </c>
      <c r="AP689">
        <f t="shared" si="145"/>
        <v>0</v>
      </c>
      <c r="AQ689">
        <f t="shared" si="145"/>
        <v>0</v>
      </c>
      <c r="AR689">
        <f t="shared" si="145"/>
        <v>0</v>
      </c>
    </row>
    <row r="690" spans="5:44" x14ac:dyDescent="0.2">
      <c r="E690" s="1">
        <f>moment_rate!$M690</f>
        <v>6.2201449543496327E-3</v>
      </c>
      <c r="F690" s="1">
        <f t="shared" si="141"/>
        <v>1.4809868938927585E-4</v>
      </c>
      <c r="G690">
        <f>moment_rate!I690-0.005</f>
        <v>6.8299999999998988</v>
      </c>
      <c r="H690" s="1">
        <f t="shared" si="142"/>
        <v>1.4809868938927585E-4</v>
      </c>
      <c r="I690">
        <f t="shared" si="149"/>
        <v>0</v>
      </c>
      <c r="J690">
        <f t="shared" si="149"/>
        <v>0</v>
      </c>
      <c r="K690">
        <f t="shared" si="149"/>
        <v>0</v>
      </c>
      <c r="L690">
        <f t="shared" si="149"/>
        <v>0</v>
      </c>
      <c r="M690">
        <f t="shared" si="149"/>
        <v>0</v>
      </c>
      <c r="N690">
        <f t="shared" si="149"/>
        <v>0</v>
      </c>
      <c r="O690">
        <f t="shared" si="149"/>
        <v>0</v>
      </c>
      <c r="P690">
        <f t="shared" si="149"/>
        <v>0</v>
      </c>
      <c r="Q690">
        <f t="shared" si="149"/>
        <v>0</v>
      </c>
      <c r="R690">
        <f t="shared" si="149"/>
        <v>0</v>
      </c>
      <c r="S690">
        <f t="shared" si="149"/>
        <v>0</v>
      </c>
      <c r="T690">
        <f t="shared" si="149"/>
        <v>0</v>
      </c>
      <c r="U690">
        <f t="shared" si="149"/>
        <v>0</v>
      </c>
      <c r="V690">
        <f t="shared" si="149"/>
        <v>0</v>
      </c>
      <c r="W690">
        <f t="shared" si="149"/>
        <v>0</v>
      </c>
      <c r="X690">
        <f t="shared" si="149"/>
        <v>0</v>
      </c>
      <c r="Y690">
        <f t="shared" si="148"/>
        <v>0</v>
      </c>
      <c r="Z690">
        <f t="shared" si="148"/>
        <v>0</v>
      </c>
      <c r="AA690">
        <f t="shared" si="148"/>
        <v>1.4809868938927585E-4</v>
      </c>
      <c r="AB690">
        <f t="shared" si="148"/>
        <v>0</v>
      </c>
      <c r="AC690">
        <f t="shared" si="148"/>
        <v>0</v>
      </c>
      <c r="AD690">
        <f t="shared" si="148"/>
        <v>0</v>
      </c>
      <c r="AE690">
        <f t="shared" si="148"/>
        <v>0</v>
      </c>
      <c r="AF690">
        <f t="shared" si="148"/>
        <v>0</v>
      </c>
      <c r="AG690">
        <f t="shared" si="148"/>
        <v>0</v>
      </c>
      <c r="AH690">
        <f t="shared" si="148"/>
        <v>0</v>
      </c>
      <c r="AI690">
        <f t="shared" si="148"/>
        <v>0</v>
      </c>
      <c r="AJ690">
        <f t="shared" si="148"/>
        <v>0</v>
      </c>
      <c r="AK690">
        <f t="shared" si="148"/>
        <v>0</v>
      </c>
      <c r="AL690">
        <f t="shared" si="148"/>
        <v>0</v>
      </c>
      <c r="AM690">
        <f t="shared" si="148"/>
        <v>0</v>
      </c>
      <c r="AN690">
        <f t="shared" si="145"/>
        <v>0</v>
      </c>
      <c r="AO690">
        <f t="shared" si="145"/>
        <v>0</v>
      </c>
      <c r="AP690">
        <f t="shared" si="145"/>
        <v>0</v>
      </c>
      <c r="AQ690">
        <f t="shared" si="145"/>
        <v>0</v>
      </c>
      <c r="AR690">
        <f t="shared" si="145"/>
        <v>0</v>
      </c>
    </row>
    <row r="691" spans="5:44" x14ac:dyDescent="0.2">
      <c r="E691" s="1">
        <f>moment_rate!$M691</f>
        <v>6.0720462649603568E-3</v>
      </c>
      <c r="F691" s="1">
        <f t="shared" si="141"/>
        <v>1.4809868938927672E-4</v>
      </c>
      <c r="G691">
        <f>moment_rate!I691-0.005</f>
        <v>6.8399999999998986</v>
      </c>
      <c r="H691" s="1">
        <f t="shared" si="142"/>
        <v>1.4809868938927672E-4</v>
      </c>
      <c r="I691">
        <f t="shared" si="149"/>
        <v>0</v>
      </c>
      <c r="J691">
        <f t="shared" si="149"/>
        <v>0</v>
      </c>
      <c r="K691">
        <f t="shared" si="149"/>
        <v>0</v>
      </c>
      <c r="L691">
        <f t="shared" si="149"/>
        <v>0</v>
      </c>
      <c r="M691">
        <f t="shared" si="149"/>
        <v>0</v>
      </c>
      <c r="N691">
        <f t="shared" si="149"/>
        <v>0</v>
      </c>
      <c r="O691">
        <f t="shared" si="149"/>
        <v>0</v>
      </c>
      <c r="P691">
        <f t="shared" si="149"/>
        <v>0</v>
      </c>
      <c r="Q691">
        <f t="shared" si="149"/>
        <v>0</v>
      </c>
      <c r="R691">
        <f t="shared" si="149"/>
        <v>0</v>
      </c>
      <c r="S691">
        <f t="shared" si="149"/>
        <v>0</v>
      </c>
      <c r="T691">
        <f t="shared" si="149"/>
        <v>0</v>
      </c>
      <c r="U691">
        <f t="shared" si="149"/>
        <v>0</v>
      </c>
      <c r="V691">
        <f t="shared" si="149"/>
        <v>0</v>
      </c>
      <c r="W691">
        <f t="shared" si="149"/>
        <v>0</v>
      </c>
      <c r="X691">
        <f t="shared" si="149"/>
        <v>0</v>
      </c>
      <c r="Y691">
        <f t="shared" si="148"/>
        <v>0</v>
      </c>
      <c r="Z691">
        <f t="shared" si="148"/>
        <v>0</v>
      </c>
      <c r="AA691">
        <f t="shared" si="148"/>
        <v>1.4809868938927672E-4</v>
      </c>
      <c r="AB691">
        <f t="shared" si="148"/>
        <v>0</v>
      </c>
      <c r="AC691">
        <f t="shared" si="148"/>
        <v>0</v>
      </c>
      <c r="AD691">
        <f t="shared" si="148"/>
        <v>0</v>
      </c>
      <c r="AE691">
        <f t="shared" si="148"/>
        <v>0</v>
      </c>
      <c r="AF691">
        <f t="shared" si="148"/>
        <v>0</v>
      </c>
      <c r="AG691">
        <f t="shared" si="148"/>
        <v>0</v>
      </c>
      <c r="AH691">
        <f t="shared" si="148"/>
        <v>0</v>
      </c>
      <c r="AI691">
        <f t="shared" si="148"/>
        <v>0</v>
      </c>
      <c r="AJ691">
        <f t="shared" si="148"/>
        <v>0</v>
      </c>
      <c r="AK691">
        <f t="shared" si="148"/>
        <v>0</v>
      </c>
      <c r="AL691">
        <f t="shared" si="148"/>
        <v>0</v>
      </c>
      <c r="AM691">
        <f t="shared" si="148"/>
        <v>0</v>
      </c>
      <c r="AN691">
        <f t="shared" si="145"/>
        <v>0</v>
      </c>
      <c r="AO691">
        <f t="shared" si="145"/>
        <v>0</v>
      </c>
      <c r="AP691">
        <f t="shared" si="145"/>
        <v>0</v>
      </c>
      <c r="AQ691">
        <f t="shared" si="145"/>
        <v>0</v>
      </c>
      <c r="AR691">
        <f t="shared" si="145"/>
        <v>0</v>
      </c>
    </row>
    <row r="692" spans="5:44" x14ac:dyDescent="0.2">
      <c r="E692" s="1">
        <f>moment_rate!$M692</f>
        <v>5.9239475755710801E-3</v>
      </c>
      <c r="F692" s="1">
        <f t="shared" si="141"/>
        <v>1.4809868938927672E-4</v>
      </c>
      <c r="G692">
        <f>moment_rate!I692-0.005</f>
        <v>6.8499999999998984</v>
      </c>
      <c r="H692" s="1">
        <f t="shared" si="142"/>
        <v>1.4809868938927672E-4</v>
      </c>
      <c r="I692">
        <f t="shared" si="149"/>
        <v>0</v>
      </c>
      <c r="J692">
        <f t="shared" si="149"/>
        <v>0</v>
      </c>
      <c r="K692">
        <f t="shared" si="149"/>
        <v>0</v>
      </c>
      <c r="L692">
        <f t="shared" si="149"/>
        <v>0</v>
      </c>
      <c r="M692">
        <f t="shared" si="149"/>
        <v>0</v>
      </c>
      <c r="N692">
        <f t="shared" si="149"/>
        <v>0</v>
      </c>
      <c r="O692">
        <f t="shared" si="149"/>
        <v>0</v>
      </c>
      <c r="P692">
        <f t="shared" si="149"/>
        <v>0</v>
      </c>
      <c r="Q692">
        <f t="shared" si="149"/>
        <v>0</v>
      </c>
      <c r="R692">
        <f t="shared" si="149"/>
        <v>0</v>
      </c>
      <c r="S692">
        <f t="shared" si="149"/>
        <v>0</v>
      </c>
      <c r="T692">
        <f t="shared" si="149"/>
        <v>0</v>
      </c>
      <c r="U692">
        <f t="shared" si="149"/>
        <v>0</v>
      </c>
      <c r="V692">
        <f t="shared" si="149"/>
        <v>0</v>
      </c>
      <c r="W692">
        <f t="shared" si="149"/>
        <v>0</v>
      </c>
      <c r="X692">
        <f t="shared" si="149"/>
        <v>0</v>
      </c>
      <c r="Y692">
        <f t="shared" si="148"/>
        <v>0</v>
      </c>
      <c r="Z692">
        <f t="shared" si="148"/>
        <v>0</v>
      </c>
      <c r="AA692">
        <f t="shared" si="148"/>
        <v>1.4809868938927672E-4</v>
      </c>
      <c r="AB692">
        <f t="shared" si="148"/>
        <v>0</v>
      </c>
      <c r="AC692">
        <f t="shared" si="148"/>
        <v>0</v>
      </c>
      <c r="AD692">
        <f t="shared" si="148"/>
        <v>0</v>
      </c>
      <c r="AE692">
        <f t="shared" si="148"/>
        <v>0</v>
      </c>
      <c r="AF692">
        <f t="shared" si="148"/>
        <v>0</v>
      </c>
      <c r="AG692">
        <f t="shared" si="148"/>
        <v>0</v>
      </c>
      <c r="AH692">
        <f t="shared" si="148"/>
        <v>0</v>
      </c>
      <c r="AI692">
        <f t="shared" si="148"/>
        <v>0</v>
      </c>
      <c r="AJ692">
        <f t="shared" si="148"/>
        <v>0</v>
      </c>
      <c r="AK692">
        <f t="shared" si="148"/>
        <v>0</v>
      </c>
      <c r="AL692">
        <f t="shared" si="148"/>
        <v>0</v>
      </c>
      <c r="AM692">
        <f t="shared" si="148"/>
        <v>0</v>
      </c>
      <c r="AN692">
        <f t="shared" si="145"/>
        <v>0</v>
      </c>
      <c r="AO692">
        <f t="shared" si="145"/>
        <v>0</v>
      </c>
      <c r="AP692">
        <f t="shared" si="145"/>
        <v>0</v>
      </c>
      <c r="AQ692">
        <f t="shared" si="145"/>
        <v>0</v>
      </c>
      <c r="AR692">
        <f t="shared" si="145"/>
        <v>0</v>
      </c>
    </row>
    <row r="693" spans="5:44" x14ac:dyDescent="0.2">
      <c r="E693" s="1">
        <f>moment_rate!$M693</f>
        <v>5.7758488861818034E-3</v>
      </c>
      <c r="F693" s="1">
        <f t="shared" si="141"/>
        <v>1.4809868938927672E-4</v>
      </c>
      <c r="G693">
        <f>moment_rate!I693-0.005</f>
        <v>6.8599999999998982</v>
      </c>
      <c r="H693" s="1">
        <f t="shared" si="142"/>
        <v>1.4809868938927672E-4</v>
      </c>
      <c r="I693">
        <f t="shared" si="149"/>
        <v>0</v>
      </c>
      <c r="J693">
        <f t="shared" si="149"/>
        <v>0</v>
      </c>
      <c r="K693">
        <f t="shared" si="149"/>
        <v>0</v>
      </c>
      <c r="L693">
        <f t="shared" si="149"/>
        <v>0</v>
      </c>
      <c r="M693">
        <f t="shared" si="149"/>
        <v>0</v>
      </c>
      <c r="N693">
        <f t="shared" si="149"/>
        <v>0</v>
      </c>
      <c r="O693">
        <f t="shared" si="149"/>
        <v>0</v>
      </c>
      <c r="P693">
        <f t="shared" si="149"/>
        <v>0</v>
      </c>
      <c r="Q693">
        <f t="shared" si="149"/>
        <v>0</v>
      </c>
      <c r="R693">
        <f t="shared" si="149"/>
        <v>0</v>
      </c>
      <c r="S693">
        <f t="shared" si="149"/>
        <v>0</v>
      </c>
      <c r="T693">
        <f t="shared" si="149"/>
        <v>0</v>
      </c>
      <c r="U693">
        <f t="shared" si="149"/>
        <v>0</v>
      </c>
      <c r="V693">
        <f t="shared" si="149"/>
        <v>0</v>
      </c>
      <c r="W693">
        <f t="shared" si="149"/>
        <v>0</v>
      </c>
      <c r="X693">
        <f t="shared" si="149"/>
        <v>0</v>
      </c>
      <c r="Y693">
        <f t="shared" si="148"/>
        <v>0</v>
      </c>
      <c r="Z693">
        <f t="shared" si="148"/>
        <v>0</v>
      </c>
      <c r="AA693">
        <f t="shared" si="148"/>
        <v>1.4809868938927672E-4</v>
      </c>
      <c r="AB693">
        <f t="shared" si="148"/>
        <v>0</v>
      </c>
      <c r="AC693">
        <f t="shared" si="148"/>
        <v>0</v>
      </c>
      <c r="AD693">
        <f t="shared" si="148"/>
        <v>0</v>
      </c>
      <c r="AE693">
        <f t="shared" si="148"/>
        <v>0</v>
      </c>
      <c r="AF693">
        <f t="shared" si="148"/>
        <v>0</v>
      </c>
      <c r="AG693">
        <f t="shared" si="148"/>
        <v>0</v>
      </c>
      <c r="AH693">
        <f t="shared" si="148"/>
        <v>0</v>
      </c>
      <c r="AI693">
        <f t="shared" si="148"/>
        <v>0</v>
      </c>
      <c r="AJ693">
        <f t="shared" si="148"/>
        <v>0</v>
      </c>
      <c r="AK693">
        <f t="shared" si="148"/>
        <v>0</v>
      </c>
      <c r="AL693">
        <f t="shared" si="148"/>
        <v>0</v>
      </c>
      <c r="AM693">
        <f t="shared" si="148"/>
        <v>0</v>
      </c>
      <c r="AN693">
        <f t="shared" si="145"/>
        <v>0</v>
      </c>
      <c r="AO693">
        <f t="shared" si="145"/>
        <v>0</v>
      </c>
      <c r="AP693">
        <f t="shared" si="145"/>
        <v>0</v>
      </c>
      <c r="AQ693">
        <f t="shared" si="145"/>
        <v>0</v>
      </c>
      <c r="AR693">
        <f t="shared" si="145"/>
        <v>0</v>
      </c>
    </row>
    <row r="694" spans="5:44" x14ac:dyDescent="0.2">
      <c r="E694" s="1">
        <f>moment_rate!$M694</f>
        <v>5.6277501967925267E-3</v>
      </c>
      <c r="F694" s="1">
        <f t="shared" si="141"/>
        <v>1.4809868938927672E-4</v>
      </c>
      <c r="G694">
        <f>moment_rate!I694-0.005</f>
        <v>6.869999999999898</v>
      </c>
      <c r="H694" s="1">
        <f t="shared" si="142"/>
        <v>1.4809868938927672E-4</v>
      </c>
      <c r="I694">
        <f t="shared" si="149"/>
        <v>0</v>
      </c>
      <c r="J694">
        <f t="shared" si="149"/>
        <v>0</v>
      </c>
      <c r="K694">
        <f t="shared" si="149"/>
        <v>0</v>
      </c>
      <c r="L694">
        <f t="shared" si="149"/>
        <v>0</v>
      </c>
      <c r="M694">
        <f t="shared" si="149"/>
        <v>0</v>
      </c>
      <c r="N694">
        <f t="shared" si="149"/>
        <v>0</v>
      </c>
      <c r="O694">
        <f t="shared" si="149"/>
        <v>0</v>
      </c>
      <c r="P694">
        <f t="shared" si="149"/>
        <v>0</v>
      </c>
      <c r="Q694">
        <f t="shared" si="149"/>
        <v>0</v>
      </c>
      <c r="R694">
        <f t="shared" si="149"/>
        <v>0</v>
      </c>
      <c r="S694">
        <f t="shared" si="149"/>
        <v>0</v>
      </c>
      <c r="T694">
        <f t="shared" si="149"/>
        <v>0</v>
      </c>
      <c r="U694">
        <f t="shared" si="149"/>
        <v>0</v>
      </c>
      <c r="V694">
        <f t="shared" si="149"/>
        <v>0</v>
      </c>
      <c r="W694">
        <f t="shared" si="149"/>
        <v>0</v>
      </c>
      <c r="X694">
        <f t="shared" si="149"/>
        <v>0</v>
      </c>
      <c r="Y694">
        <f t="shared" si="148"/>
        <v>0</v>
      </c>
      <c r="Z694">
        <f t="shared" si="148"/>
        <v>0</v>
      </c>
      <c r="AA694">
        <f t="shared" si="148"/>
        <v>1.4809868938927672E-4</v>
      </c>
      <c r="AB694">
        <f t="shared" si="148"/>
        <v>0</v>
      </c>
      <c r="AC694">
        <f t="shared" si="148"/>
        <v>0</v>
      </c>
      <c r="AD694">
        <f t="shared" si="148"/>
        <v>0</v>
      </c>
      <c r="AE694">
        <f t="shared" si="148"/>
        <v>0</v>
      </c>
      <c r="AF694">
        <f t="shared" si="148"/>
        <v>0</v>
      </c>
      <c r="AG694">
        <f t="shared" si="148"/>
        <v>0</v>
      </c>
      <c r="AH694">
        <f t="shared" si="148"/>
        <v>0</v>
      </c>
      <c r="AI694">
        <f t="shared" si="145"/>
        <v>0</v>
      </c>
      <c r="AJ694">
        <f t="shared" si="145"/>
        <v>0</v>
      </c>
      <c r="AK694">
        <f t="shared" si="145"/>
        <v>0</v>
      </c>
      <c r="AL694">
        <f t="shared" si="145"/>
        <v>0</v>
      </c>
      <c r="AM694">
        <f t="shared" si="145"/>
        <v>0</v>
      </c>
      <c r="AN694">
        <f t="shared" si="145"/>
        <v>0</v>
      </c>
      <c r="AO694">
        <f t="shared" si="145"/>
        <v>0</v>
      </c>
      <c r="AP694">
        <f t="shared" si="145"/>
        <v>0</v>
      </c>
      <c r="AQ694">
        <f t="shared" si="145"/>
        <v>0</v>
      </c>
      <c r="AR694">
        <f t="shared" si="145"/>
        <v>0</v>
      </c>
    </row>
    <row r="695" spans="5:44" x14ac:dyDescent="0.2">
      <c r="E695" s="1">
        <f>moment_rate!$M695</f>
        <v>5.4796515074032499E-3</v>
      </c>
      <c r="F695" s="1">
        <f t="shared" si="141"/>
        <v>1.4809868938927672E-4</v>
      </c>
      <c r="G695">
        <f>moment_rate!I695-0.005</f>
        <v>6.8799999999998978</v>
      </c>
      <c r="H695" s="1">
        <f t="shared" si="142"/>
        <v>1.4809868938927672E-4</v>
      </c>
      <c r="I695">
        <f t="shared" si="149"/>
        <v>0</v>
      </c>
      <c r="J695">
        <f t="shared" si="149"/>
        <v>0</v>
      </c>
      <c r="K695">
        <f t="shared" si="149"/>
        <v>0</v>
      </c>
      <c r="L695">
        <f t="shared" si="149"/>
        <v>0</v>
      </c>
      <c r="M695">
        <f t="shared" si="149"/>
        <v>0</v>
      </c>
      <c r="N695">
        <f t="shared" si="149"/>
        <v>0</v>
      </c>
      <c r="O695">
        <f t="shared" si="149"/>
        <v>0</v>
      </c>
      <c r="P695">
        <f t="shared" si="149"/>
        <v>0</v>
      </c>
      <c r="Q695">
        <f t="shared" si="149"/>
        <v>0</v>
      </c>
      <c r="R695">
        <f t="shared" si="149"/>
        <v>0</v>
      </c>
      <c r="S695">
        <f t="shared" si="149"/>
        <v>0</v>
      </c>
      <c r="T695">
        <f t="shared" si="149"/>
        <v>0</v>
      </c>
      <c r="U695">
        <f t="shared" si="149"/>
        <v>0</v>
      </c>
      <c r="V695">
        <f t="shared" si="149"/>
        <v>0</v>
      </c>
      <c r="W695">
        <f t="shared" si="149"/>
        <v>0</v>
      </c>
      <c r="X695">
        <f t="shared" si="149"/>
        <v>0</v>
      </c>
      <c r="Y695">
        <f t="shared" si="148"/>
        <v>0</v>
      </c>
      <c r="Z695">
        <f t="shared" si="148"/>
        <v>0</v>
      </c>
      <c r="AA695">
        <f t="shared" si="148"/>
        <v>1.4809868938927672E-4</v>
      </c>
      <c r="AB695">
        <f t="shared" si="148"/>
        <v>0</v>
      </c>
      <c r="AC695">
        <f t="shared" si="148"/>
        <v>0</v>
      </c>
      <c r="AD695">
        <f t="shared" si="148"/>
        <v>0</v>
      </c>
      <c r="AE695">
        <f t="shared" si="148"/>
        <v>0</v>
      </c>
      <c r="AF695">
        <f t="shared" si="148"/>
        <v>0</v>
      </c>
      <c r="AG695">
        <f t="shared" si="148"/>
        <v>0</v>
      </c>
      <c r="AH695">
        <f t="shared" si="148"/>
        <v>0</v>
      </c>
      <c r="AI695">
        <f t="shared" si="145"/>
        <v>0</v>
      </c>
      <c r="AJ695">
        <f t="shared" si="145"/>
        <v>0</v>
      </c>
      <c r="AK695">
        <f t="shared" si="145"/>
        <v>0</v>
      </c>
      <c r="AL695">
        <f t="shared" si="145"/>
        <v>0</v>
      </c>
      <c r="AM695">
        <f t="shared" si="145"/>
        <v>0</v>
      </c>
      <c r="AN695">
        <f t="shared" si="145"/>
        <v>0</v>
      </c>
      <c r="AO695">
        <f t="shared" si="145"/>
        <v>0</v>
      </c>
      <c r="AP695">
        <f>IF(AND($G695&gt;=AP$3,$G695&lt;AP$4),$F695,0)</f>
        <v>0</v>
      </c>
      <c r="AQ695">
        <f>IF(AND($G695&gt;=AQ$3,$G695&lt;AQ$4),$F695,0)</f>
        <v>0</v>
      </c>
      <c r="AR695">
        <f>IF(AND($G695&gt;=AR$3,$G695&lt;AR$4),$F695,0)</f>
        <v>0</v>
      </c>
    </row>
    <row r="696" spans="5:44" x14ac:dyDescent="0.2">
      <c r="E696" s="1">
        <f>moment_rate!$M696</f>
        <v>5.3315528180139732E-3</v>
      </c>
      <c r="F696" s="1">
        <f t="shared" si="141"/>
        <v>1.4809868938927672E-4</v>
      </c>
      <c r="G696">
        <f>moment_rate!I696-0.005</f>
        <v>6.8899999999998975</v>
      </c>
      <c r="H696" s="1">
        <f t="shared" si="142"/>
        <v>1.4809868938927672E-4</v>
      </c>
      <c r="I696">
        <f t="shared" si="149"/>
        <v>0</v>
      </c>
      <c r="J696">
        <f t="shared" si="149"/>
        <v>0</v>
      </c>
      <c r="K696">
        <f t="shared" si="149"/>
        <v>0</v>
      </c>
      <c r="L696">
        <f t="shared" si="149"/>
        <v>0</v>
      </c>
      <c r="M696">
        <f t="shared" si="149"/>
        <v>0</v>
      </c>
      <c r="N696">
        <f t="shared" si="149"/>
        <v>0</v>
      </c>
      <c r="O696">
        <f t="shared" si="149"/>
        <v>0</v>
      </c>
      <c r="P696">
        <f t="shared" si="149"/>
        <v>0</v>
      </c>
      <c r="Q696">
        <f t="shared" si="149"/>
        <v>0</v>
      </c>
      <c r="R696">
        <f t="shared" si="149"/>
        <v>0</v>
      </c>
      <c r="S696">
        <f t="shared" si="149"/>
        <v>0</v>
      </c>
      <c r="T696">
        <f t="shared" si="149"/>
        <v>0</v>
      </c>
      <c r="U696">
        <f t="shared" si="149"/>
        <v>0</v>
      </c>
      <c r="V696">
        <f t="shared" si="149"/>
        <v>0</v>
      </c>
      <c r="W696">
        <f t="shared" si="149"/>
        <v>0</v>
      </c>
      <c r="X696">
        <f t="shared" si="149"/>
        <v>0</v>
      </c>
      <c r="Y696">
        <f t="shared" si="148"/>
        <v>0</v>
      </c>
      <c r="Z696">
        <f t="shared" si="148"/>
        <v>0</v>
      </c>
      <c r="AA696">
        <f t="shared" si="148"/>
        <v>1.4809868938927672E-4</v>
      </c>
      <c r="AB696">
        <f t="shared" si="148"/>
        <v>0</v>
      </c>
      <c r="AC696">
        <f t="shared" si="148"/>
        <v>0</v>
      </c>
      <c r="AD696">
        <f t="shared" si="148"/>
        <v>0</v>
      </c>
      <c r="AE696">
        <f t="shared" si="148"/>
        <v>0</v>
      </c>
      <c r="AF696">
        <f t="shared" si="148"/>
        <v>0</v>
      </c>
      <c r="AG696">
        <f t="shared" si="148"/>
        <v>0</v>
      </c>
      <c r="AH696">
        <f t="shared" si="148"/>
        <v>0</v>
      </c>
      <c r="AI696">
        <f t="shared" si="148"/>
        <v>0</v>
      </c>
      <c r="AJ696">
        <f t="shared" si="148"/>
        <v>0</v>
      </c>
      <c r="AK696">
        <f t="shared" si="148"/>
        <v>0</v>
      </c>
      <c r="AL696">
        <f t="shared" si="148"/>
        <v>0</v>
      </c>
      <c r="AM696">
        <f t="shared" si="148"/>
        <v>0</v>
      </c>
      <c r="AN696">
        <f t="shared" ref="AI696:AR734" si="151">IF(AND($G696&gt;=AN$3,$G696&lt;AN$4),$F696,0)</f>
        <v>0</v>
      </c>
      <c r="AO696">
        <f t="shared" si="151"/>
        <v>0</v>
      </c>
      <c r="AP696">
        <f t="shared" si="151"/>
        <v>0</v>
      </c>
      <c r="AQ696">
        <f t="shared" si="151"/>
        <v>0</v>
      </c>
      <c r="AR696">
        <f t="shared" si="151"/>
        <v>0</v>
      </c>
    </row>
    <row r="697" spans="5:44" x14ac:dyDescent="0.2">
      <c r="E697" s="1">
        <f>moment_rate!$M697</f>
        <v>5.1834541286246965E-3</v>
      </c>
      <c r="F697" s="1">
        <f t="shared" si="141"/>
        <v>1.4809868938927672E-4</v>
      </c>
      <c r="G697">
        <f>moment_rate!I697-0.005</f>
        <v>6.8999999999998973</v>
      </c>
      <c r="H697" s="1">
        <f t="shared" si="142"/>
        <v>1.4809868938927672E-4</v>
      </c>
      <c r="I697">
        <f t="shared" si="149"/>
        <v>0</v>
      </c>
      <c r="J697">
        <f t="shared" si="149"/>
        <v>0</v>
      </c>
      <c r="K697">
        <f t="shared" si="149"/>
        <v>0</v>
      </c>
      <c r="L697">
        <f t="shared" si="149"/>
        <v>0</v>
      </c>
      <c r="M697">
        <f t="shared" si="149"/>
        <v>0</v>
      </c>
      <c r="N697">
        <f t="shared" si="149"/>
        <v>0</v>
      </c>
      <c r="O697">
        <f t="shared" si="149"/>
        <v>0</v>
      </c>
      <c r="P697">
        <f t="shared" si="149"/>
        <v>0</v>
      </c>
      <c r="Q697">
        <f t="shared" si="149"/>
        <v>0</v>
      </c>
      <c r="R697">
        <f t="shared" si="149"/>
        <v>0</v>
      </c>
      <c r="S697">
        <f t="shared" si="149"/>
        <v>0</v>
      </c>
      <c r="T697">
        <f t="shared" si="149"/>
        <v>0</v>
      </c>
      <c r="U697">
        <f t="shared" si="149"/>
        <v>0</v>
      </c>
      <c r="V697">
        <f t="shared" si="149"/>
        <v>0</v>
      </c>
      <c r="W697">
        <f t="shared" si="149"/>
        <v>0</v>
      </c>
      <c r="X697">
        <f t="shared" si="149"/>
        <v>0</v>
      </c>
      <c r="Y697">
        <f t="shared" si="148"/>
        <v>0</v>
      </c>
      <c r="Z697">
        <f t="shared" si="148"/>
        <v>0</v>
      </c>
      <c r="AA697">
        <f t="shared" si="148"/>
        <v>1.4809868938927672E-4</v>
      </c>
      <c r="AB697">
        <f t="shared" si="148"/>
        <v>0</v>
      </c>
      <c r="AC697">
        <f t="shared" si="148"/>
        <v>0</v>
      </c>
      <c r="AD697">
        <f t="shared" si="148"/>
        <v>0</v>
      </c>
      <c r="AE697">
        <f t="shared" si="148"/>
        <v>0</v>
      </c>
      <c r="AF697">
        <f t="shared" si="148"/>
        <v>0</v>
      </c>
      <c r="AG697">
        <f t="shared" si="148"/>
        <v>0</v>
      </c>
      <c r="AH697">
        <f t="shared" si="148"/>
        <v>0</v>
      </c>
      <c r="AI697">
        <f t="shared" si="151"/>
        <v>0</v>
      </c>
      <c r="AJ697">
        <f t="shared" si="151"/>
        <v>0</v>
      </c>
      <c r="AK697">
        <f t="shared" si="151"/>
        <v>0</v>
      </c>
      <c r="AL697">
        <f t="shared" si="151"/>
        <v>0</v>
      </c>
      <c r="AM697">
        <f t="shared" si="151"/>
        <v>0</v>
      </c>
      <c r="AN697">
        <f t="shared" si="151"/>
        <v>0</v>
      </c>
      <c r="AO697">
        <f t="shared" si="151"/>
        <v>0</v>
      </c>
      <c r="AP697">
        <f t="shared" si="151"/>
        <v>0</v>
      </c>
      <c r="AQ697">
        <f t="shared" si="151"/>
        <v>0</v>
      </c>
      <c r="AR697">
        <f t="shared" si="151"/>
        <v>0</v>
      </c>
    </row>
    <row r="698" spans="5:44" x14ac:dyDescent="0.2">
      <c r="E698" s="1">
        <f>moment_rate!$M698</f>
        <v>5.0353554392354198E-3</v>
      </c>
      <c r="F698" s="1">
        <f t="shared" si="141"/>
        <v>1.4809868938927672E-4</v>
      </c>
      <c r="G698">
        <f>moment_rate!I698-0.005</f>
        <v>6.9099999999998971</v>
      </c>
      <c r="H698" s="1">
        <f t="shared" si="142"/>
        <v>1.4809868938927672E-4</v>
      </c>
      <c r="I698">
        <f t="shared" si="149"/>
        <v>0</v>
      </c>
      <c r="J698">
        <f t="shared" si="149"/>
        <v>0</v>
      </c>
      <c r="K698">
        <f t="shared" si="149"/>
        <v>0</v>
      </c>
      <c r="L698">
        <f t="shared" si="149"/>
        <v>0</v>
      </c>
      <c r="M698">
        <f t="shared" si="149"/>
        <v>0</v>
      </c>
      <c r="N698">
        <f t="shared" si="149"/>
        <v>0</v>
      </c>
      <c r="O698">
        <f t="shared" si="149"/>
        <v>0</v>
      </c>
      <c r="P698">
        <f t="shared" si="149"/>
        <v>0</v>
      </c>
      <c r="Q698">
        <f t="shared" si="149"/>
        <v>0</v>
      </c>
      <c r="R698">
        <f t="shared" si="149"/>
        <v>0</v>
      </c>
      <c r="S698">
        <f t="shared" si="149"/>
        <v>0</v>
      </c>
      <c r="T698">
        <f t="shared" si="149"/>
        <v>0</v>
      </c>
      <c r="U698">
        <f t="shared" si="149"/>
        <v>0</v>
      </c>
      <c r="V698">
        <f t="shared" si="149"/>
        <v>0</v>
      </c>
      <c r="W698">
        <f t="shared" si="149"/>
        <v>0</v>
      </c>
      <c r="X698">
        <f t="shared" ref="X698:AM713" si="152">IF(AND($G698&gt;=X$3,$G698&lt;X$4),$F698,0)</f>
        <v>0</v>
      </c>
      <c r="Y698">
        <f t="shared" si="152"/>
        <v>0</v>
      </c>
      <c r="Z698">
        <f t="shared" si="152"/>
        <v>0</v>
      </c>
      <c r="AA698">
        <f t="shared" si="152"/>
        <v>0</v>
      </c>
      <c r="AB698">
        <f t="shared" si="152"/>
        <v>1.4809868938927672E-4</v>
      </c>
      <c r="AC698">
        <f t="shared" si="152"/>
        <v>0</v>
      </c>
      <c r="AD698">
        <f t="shared" si="152"/>
        <v>0</v>
      </c>
      <c r="AE698">
        <f t="shared" si="152"/>
        <v>0</v>
      </c>
      <c r="AF698">
        <f t="shared" si="152"/>
        <v>0</v>
      </c>
      <c r="AG698">
        <f t="shared" si="152"/>
        <v>0</v>
      </c>
      <c r="AH698">
        <f t="shared" si="152"/>
        <v>0</v>
      </c>
      <c r="AI698">
        <f t="shared" si="151"/>
        <v>0</v>
      </c>
      <c r="AJ698">
        <f t="shared" si="151"/>
        <v>0</v>
      </c>
      <c r="AK698">
        <f t="shared" si="151"/>
        <v>0</v>
      </c>
      <c r="AL698">
        <f t="shared" si="151"/>
        <v>0</v>
      </c>
      <c r="AM698">
        <f t="shared" si="151"/>
        <v>0</v>
      </c>
      <c r="AN698">
        <f t="shared" si="151"/>
        <v>0</v>
      </c>
      <c r="AO698">
        <f t="shared" si="151"/>
        <v>0</v>
      </c>
      <c r="AP698">
        <f t="shared" si="151"/>
        <v>0</v>
      </c>
      <c r="AQ698">
        <f t="shared" si="151"/>
        <v>0</v>
      </c>
      <c r="AR698">
        <f t="shared" si="151"/>
        <v>0</v>
      </c>
    </row>
    <row r="699" spans="5:44" x14ac:dyDescent="0.2">
      <c r="E699" s="1">
        <f>moment_rate!$M699</f>
        <v>4.8872567498461431E-3</v>
      </c>
      <c r="F699" s="1">
        <f t="shared" si="141"/>
        <v>1.4809868938927672E-4</v>
      </c>
      <c r="G699">
        <f>moment_rate!I699-0.005</f>
        <v>6.9199999999998969</v>
      </c>
      <c r="H699" s="1">
        <f t="shared" si="142"/>
        <v>1.4809868938927672E-4</v>
      </c>
      <c r="I699">
        <f t="shared" ref="I699:X714" si="153">IF(AND($G699&gt;=I$3,$G699&lt;I$4),$F699,0)</f>
        <v>0</v>
      </c>
      <c r="J699">
        <f t="shared" si="153"/>
        <v>0</v>
      </c>
      <c r="K699">
        <f t="shared" si="153"/>
        <v>0</v>
      </c>
      <c r="L699">
        <f t="shared" si="153"/>
        <v>0</v>
      </c>
      <c r="M699">
        <f t="shared" si="153"/>
        <v>0</v>
      </c>
      <c r="N699">
        <f t="shared" si="153"/>
        <v>0</v>
      </c>
      <c r="O699">
        <f t="shared" si="153"/>
        <v>0</v>
      </c>
      <c r="P699">
        <f t="shared" si="153"/>
        <v>0</v>
      </c>
      <c r="Q699">
        <f t="shared" si="153"/>
        <v>0</v>
      </c>
      <c r="R699">
        <f t="shared" si="153"/>
        <v>0</v>
      </c>
      <c r="S699">
        <f t="shared" si="153"/>
        <v>0</v>
      </c>
      <c r="T699">
        <f t="shared" si="153"/>
        <v>0</v>
      </c>
      <c r="U699">
        <f t="shared" si="153"/>
        <v>0</v>
      </c>
      <c r="V699">
        <f t="shared" si="153"/>
        <v>0</v>
      </c>
      <c r="W699">
        <f t="shared" si="153"/>
        <v>0</v>
      </c>
      <c r="X699">
        <f t="shared" si="153"/>
        <v>0</v>
      </c>
      <c r="Y699">
        <f t="shared" si="152"/>
        <v>0</v>
      </c>
      <c r="Z699">
        <f t="shared" si="152"/>
        <v>0</v>
      </c>
      <c r="AA699">
        <f t="shared" si="152"/>
        <v>0</v>
      </c>
      <c r="AB699">
        <f t="shared" si="152"/>
        <v>1.4809868938927672E-4</v>
      </c>
      <c r="AC699">
        <f t="shared" si="152"/>
        <v>0</v>
      </c>
      <c r="AD699">
        <f t="shared" si="152"/>
        <v>0</v>
      </c>
      <c r="AE699">
        <f t="shared" si="152"/>
        <v>0</v>
      </c>
      <c r="AF699">
        <f t="shared" si="152"/>
        <v>0</v>
      </c>
      <c r="AG699">
        <f t="shared" si="152"/>
        <v>0</v>
      </c>
      <c r="AH699">
        <f t="shared" si="152"/>
        <v>0</v>
      </c>
      <c r="AI699">
        <f t="shared" si="151"/>
        <v>0</v>
      </c>
      <c r="AJ699">
        <f t="shared" si="151"/>
        <v>0</v>
      </c>
      <c r="AK699">
        <f t="shared" si="151"/>
        <v>0</v>
      </c>
      <c r="AL699">
        <f t="shared" si="151"/>
        <v>0</v>
      </c>
      <c r="AM699">
        <f t="shared" si="151"/>
        <v>0</v>
      </c>
      <c r="AN699">
        <f t="shared" si="151"/>
        <v>0</v>
      </c>
      <c r="AO699">
        <f t="shared" si="151"/>
        <v>0</v>
      </c>
      <c r="AP699">
        <f t="shared" si="151"/>
        <v>0</v>
      </c>
      <c r="AQ699">
        <f t="shared" si="151"/>
        <v>0</v>
      </c>
      <c r="AR699">
        <f t="shared" si="151"/>
        <v>0</v>
      </c>
    </row>
    <row r="700" spans="5:44" x14ac:dyDescent="0.2">
      <c r="E700" s="1">
        <f>moment_rate!$M700</f>
        <v>4.7391580604568663E-3</v>
      </c>
      <c r="F700" s="1">
        <f t="shared" si="141"/>
        <v>1.4809868938927672E-4</v>
      </c>
      <c r="G700">
        <f>moment_rate!I700-0.005</f>
        <v>6.9299999999998967</v>
      </c>
      <c r="H700" s="1">
        <f t="shared" si="142"/>
        <v>1.4809868938927672E-4</v>
      </c>
      <c r="I700">
        <f t="shared" si="153"/>
        <v>0</v>
      </c>
      <c r="J700">
        <f t="shared" si="153"/>
        <v>0</v>
      </c>
      <c r="K700">
        <f t="shared" si="153"/>
        <v>0</v>
      </c>
      <c r="L700">
        <f t="shared" si="153"/>
        <v>0</v>
      </c>
      <c r="M700">
        <f t="shared" si="153"/>
        <v>0</v>
      </c>
      <c r="N700">
        <f t="shared" si="153"/>
        <v>0</v>
      </c>
      <c r="O700">
        <f t="shared" si="153"/>
        <v>0</v>
      </c>
      <c r="P700">
        <f t="shared" si="153"/>
        <v>0</v>
      </c>
      <c r="Q700">
        <f t="shared" si="153"/>
        <v>0</v>
      </c>
      <c r="R700">
        <f t="shared" si="153"/>
        <v>0</v>
      </c>
      <c r="S700">
        <f t="shared" si="153"/>
        <v>0</v>
      </c>
      <c r="T700">
        <f t="shared" si="153"/>
        <v>0</v>
      </c>
      <c r="U700">
        <f t="shared" si="153"/>
        <v>0</v>
      </c>
      <c r="V700">
        <f t="shared" si="153"/>
        <v>0</v>
      </c>
      <c r="W700">
        <f t="shared" si="153"/>
        <v>0</v>
      </c>
      <c r="X700">
        <f t="shared" si="153"/>
        <v>0</v>
      </c>
      <c r="Y700">
        <f t="shared" si="152"/>
        <v>0</v>
      </c>
      <c r="Z700">
        <f t="shared" si="152"/>
        <v>0</v>
      </c>
      <c r="AA700">
        <f t="shared" si="152"/>
        <v>0</v>
      </c>
      <c r="AB700">
        <f t="shared" si="152"/>
        <v>1.4809868938927672E-4</v>
      </c>
      <c r="AC700">
        <f t="shared" si="152"/>
        <v>0</v>
      </c>
      <c r="AD700">
        <f t="shared" si="152"/>
        <v>0</v>
      </c>
      <c r="AE700">
        <f t="shared" si="152"/>
        <v>0</v>
      </c>
      <c r="AF700">
        <f t="shared" si="152"/>
        <v>0</v>
      </c>
      <c r="AG700">
        <f t="shared" si="152"/>
        <v>0</v>
      </c>
      <c r="AH700">
        <f t="shared" si="152"/>
        <v>0</v>
      </c>
      <c r="AI700">
        <f t="shared" si="151"/>
        <v>0</v>
      </c>
      <c r="AJ700">
        <f t="shared" si="151"/>
        <v>0</v>
      </c>
      <c r="AK700">
        <f t="shared" si="151"/>
        <v>0</v>
      </c>
      <c r="AL700">
        <f t="shared" si="151"/>
        <v>0</v>
      </c>
      <c r="AM700">
        <f t="shared" si="151"/>
        <v>0</v>
      </c>
      <c r="AN700">
        <f t="shared" si="151"/>
        <v>0</v>
      </c>
      <c r="AO700">
        <f t="shared" si="151"/>
        <v>0</v>
      </c>
      <c r="AP700">
        <f t="shared" si="151"/>
        <v>0</v>
      </c>
      <c r="AQ700">
        <f t="shared" si="151"/>
        <v>0</v>
      </c>
      <c r="AR700">
        <f t="shared" si="151"/>
        <v>0</v>
      </c>
    </row>
    <row r="701" spans="5:44" x14ac:dyDescent="0.2">
      <c r="E701" s="1">
        <f>moment_rate!$M701</f>
        <v>4.5910593710675896E-3</v>
      </c>
      <c r="F701" s="1">
        <f t="shared" si="141"/>
        <v>1.4809868938927672E-4</v>
      </c>
      <c r="G701">
        <f>moment_rate!I701-0.005</f>
        <v>6.9399999999998965</v>
      </c>
      <c r="H701" s="1">
        <f t="shared" si="142"/>
        <v>1.4809868938927672E-4</v>
      </c>
      <c r="I701">
        <f t="shared" si="153"/>
        <v>0</v>
      </c>
      <c r="J701">
        <f t="shared" si="153"/>
        <v>0</v>
      </c>
      <c r="K701">
        <f t="shared" si="153"/>
        <v>0</v>
      </c>
      <c r="L701">
        <f t="shared" si="153"/>
        <v>0</v>
      </c>
      <c r="M701">
        <f t="shared" si="153"/>
        <v>0</v>
      </c>
      <c r="N701">
        <f t="shared" si="153"/>
        <v>0</v>
      </c>
      <c r="O701">
        <f t="shared" si="153"/>
        <v>0</v>
      </c>
      <c r="P701">
        <f t="shared" si="153"/>
        <v>0</v>
      </c>
      <c r="Q701">
        <f t="shared" si="153"/>
        <v>0</v>
      </c>
      <c r="R701">
        <f t="shared" si="153"/>
        <v>0</v>
      </c>
      <c r="S701">
        <f t="shared" si="153"/>
        <v>0</v>
      </c>
      <c r="T701">
        <f t="shared" si="153"/>
        <v>0</v>
      </c>
      <c r="U701">
        <f t="shared" si="153"/>
        <v>0</v>
      </c>
      <c r="V701">
        <f t="shared" si="153"/>
        <v>0</v>
      </c>
      <c r="W701">
        <f t="shared" si="153"/>
        <v>0</v>
      </c>
      <c r="X701">
        <f t="shared" si="153"/>
        <v>0</v>
      </c>
      <c r="Y701">
        <f t="shared" si="152"/>
        <v>0</v>
      </c>
      <c r="Z701">
        <f t="shared" si="152"/>
        <v>0</v>
      </c>
      <c r="AA701">
        <f t="shared" si="152"/>
        <v>0</v>
      </c>
      <c r="AB701">
        <f t="shared" si="152"/>
        <v>1.4809868938927672E-4</v>
      </c>
      <c r="AC701">
        <f t="shared" si="152"/>
        <v>0</v>
      </c>
      <c r="AD701">
        <f t="shared" si="152"/>
        <v>0</v>
      </c>
      <c r="AE701">
        <f t="shared" si="152"/>
        <v>0</v>
      </c>
      <c r="AF701">
        <f t="shared" si="152"/>
        <v>0</v>
      </c>
      <c r="AG701">
        <f t="shared" si="152"/>
        <v>0</v>
      </c>
      <c r="AH701">
        <f t="shared" si="152"/>
        <v>0</v>
      </c>
      <c r="AI701">
        <f t="shared" si="151"/>
        <v>0</v>
      </c>
      <c r="AJ701">
        <f t="shared" si="151"/>
        <v>0</v>
      </c>
      <c r="AK701">
        <f t="shared" si="151"/>
        <v>0</v>
      </c>
      <c r="AL701">
        <f t="shared" si="151"/>
        <v>0</v>
      </c>
      <c r="AM701">
        <f t="shared" si="151"/>
        <v>0</v>
      </c>
      <c r="AN701">
        <f t="shared" si="151"/>
        <v>0</v>
      </c>
      <c r="AO701">
        <f t="shared" si="151"/>
        <v>0</v>
      </c>
      <c r="AP701">
        <f t="shared" si="151"/>
        <v>0</v>
      </c>
      <c r="AQ701">
        <f t="shared" si="151"/>
        <v>0</v>
      </c>
      <c r="AR701">
        <f t="shared" si="151"/>
        <v>0</v>
      </c>
    </row>
    <row r="702" spans="5:44" x14ac:dyDescent="0.2">
      <c r="E702" s="1">
        <f>moment_rate!$M702</f>
        <v>4.4429606816783129E-3</v>
      </c>
      <c r="F702" s="1">
        <f t="shared" si="141"/>
        <v>1.4809868938927672E-4</v>
      </c>
      <c r="G702">
        <f>moment_rate!I702-0.005</f>
        <v>6.9499999999998963</v>
      </c>
      <c r="H702" s="1">
        <f t="shared" si="142"/>
        <v>1.4809868938927672E-4</v>
      </c>
      <c r="I702">
        <f t="shared" si="153"/>
        <v>0</v>
      </c>
      <c r="J702">
        <f t="shared" si="153"/>
        <v>0</v>
      </c>
      <c r="K702">
        <f t="shared" si="153"/>
        <v>0</v>
      </c>
      <c r="L702">
        <f t="shared" si="153"/>
        <v>0</v>
      </c>
      <c r="M702">
        <f t="shared" si="153"/>
        <v>0</v>
      </c>
      <c r="N702">
        <f t="shared" si="153"/>
        <v>0</v>
      </c>
      <c r="O702">
        <f t="shared" si="153"/>
        <v>0</v>
      </c>
      <c r="P702">
        <f t="shared" si="153"/>
        <v>0</v>
      </c>
      <c r="Q702">
        <f t="shared" si="153"/>
        <v>0</v>
      </c>
      <c r="R702">
        <f t="shared" si="153"/>
        <v>0</v>
      </c>
      <c r="S702">
        <f t="shared" si="153"/>
        <v>0</v>
      </c>
      <c r="T702">
        <f t="shared" si="153"/>
        <v>0</v>
      </c>
      <c r="U702">
        <f t="shared" si="153"/>
        <v>0</v>
      </c>
      <c r="V702">
        <f t="shared" si="153"/>
        <v>0</v>
      </c>
      <c r="W702">
        <f t="shared" si="153"/>
        <v>0</v>
      </c>
      <c r="X702">
        <f t="shared" si="153"/>
        <v>0</v>
      </c>
      <c r="Y702">
        <f t="shared" si="152"/>
        <v>0</v>
      </c>
      <c r="Z702">
        <f t="shared" si="152"/>
        <v>0</v>
      </c>
      <c r="AA702">
        <f t="shared" si="152"/>
        <v>0</v>
      </c>
      <c r="AB702">
        <f t="shared" si="152"/>
        <v>1.4809868938927672E-4</v>
      </c>
      <c r="AC702">
        <f t="shared" si="152"/>
        <v>0</v>
      </c>
      <c r="AD702">
        <f t="shared" si="152"/>
        <v>0</v>
      </c>
      <c r="AE702">
        <f t="shared" si="152"/>
        <v>0</v>
      </c>
      <c r="AF702">
        <f t="shared" si="152"/>
        <v>0</v>
      </c>
      <c r="AG702">
        <f t="shared" si="152"/>
        <v>0</v>
      </c>
      <c r="AH702">
        <f t="shared" si="152"/>
        <v>0</v>
      </c>
      <c r="AI702">
        <f t="shared" si="151"/>
        <v>0</v>
      </c>
      <c r="AJ702">
        <f t="shared" si="151"/>
        <v>0</v>
      </c>
      <c r="AK702">
        <f t="shared" si="151"/>
        <v>0</v>
      </c>
      <c r="AL702">
        <f t="shared" si="151"/>
        <v>0</v>
      </c>
      <c r="AM702">
        <f t="shared" si="151"/>
        <v>0</v>
      </c>
      <c r="AN702">
        <f t="shared" si="151"/>
        <v>0</v>
      </c>
      <c r="AO702">
        <f t="shared" si="151"/>
        <v>0</v>
      </c>
      <c r="AP702">
        <f t="shared" si="151"/>
        <v>0</v>
      </c>
      <c r="AQ702">
        <f t="shared" si="151"/>
        <v>0</v>
      </c>
      <c r="AR702">
        <f t="shared" si="151"/>
        <v>0</v>
      </c>
    </row>
    <row r="703" spans="5:44" x14ac:dyDescent="0.2">
      <c r="E703" s="1">
        <f>moment_rate!$M703</f>
        <v>4.2948619922890362E-3</v>
      </c>
      <c r="F703" s="1">
        <f t="shared" si="141"/>
        <v>1.4809868938927672E-4</v>
      </c>
      <c r="G703">
        <f>moment_rate!I703-0.005</f>
        <v>6.959999999999896</v>
      </c>
      <c r="H703" s="1">
        <f t="shared" si="142"/>
        <v>1.4809868938927672E-4</v>
      </c>
      <c r="I703">
        <f t="shared" si="153"/>
        <v>0</v>
      </c>
      <c r="J703">
        <f t="shared" si="153"/>
        <v>0</v>
      </c>
      <c r="K703">
        <f t="shared" si="153"/>
        <v>0</v>
      </c>
      <c r="L703">
        <f t="shared" si="153"/>
        <v>0</v>
      </c>
      <c r="M703">
        <f t="shared" si="153"/>
        <v>0</v>
      </c>
      <c r="N703">
        <f t="shared" si="153"/>
        <v>0</v>
      </c>
      <c r="O703">
        <f t="shared" si="153"/>
        <v>0</v>
      </c>
      <c r="P703">
        <f t="shared" si="153"/>
        <v>0</v>
      </c>
      <c r="Q703">
        <f t="shared" si="153"/>
        <v>0</v>
      </c>
      <c r="R703">
        <f t="shared" si="153"/>
        <v>0</v>
      </c>
      <c r="S703">
        <f t="shared" si="153"/>
        <v>0</v>
      </c>
      <c r="T703">
        <f t="shared" si="153"/>
        <v>0</v>
      </c>
      <c r="U703">
        <f t="shared" si="153"/>
        <v>0</v>
      </c>
      <c r="V703">
        <f t="shared" si="153"/>
        <v>0</v>
      </c>
      <c r="W703">
        <f t="shared" si="153"/>
        <v>0</v>
      </c>
      <c r="X703">
        <f t="shared" si="153"/>
        <v>0</v>
      </c>
      <c r="Y703">
        <f t="shared" si="152"/>
        <v>0</v>
      </c>
      <c r="Z703">
        <f t="shared" si="152"/>
        <v>0</v>
      </c>
      <c r="AA703">
        <f t="shared" si="152"/>
        <v>0</v>
      </c>
      <c r="AB703">
        <f t="shared" si="152"/>
        <v>1.4809868938927672E-4</v>
      </c>
      <c r="AC703">
        <f t="shared" si="152"/>
        <v>0</v>
      </c>
      <c r="AD703">
        <f t="shared" si="152"/>
        <v>0</v>
      </c>
      <c r="AE703">
        <f t="shared" si="152"/>
        <v>0</v>
      </c>
      <c r="AF703">
        <f t="shared" si="152"/>
        <v>0</v>
      </c>
      <c r="AG703">
        <f t="shared" si="152"/>
        <v>0</v>
      </c>
      <c r="AH703">
        <f t="shared" si="152"/>
        <v>0</v>
      </c>
      <c r="AI703">
        <f t="shared" si="151"/>
        <v>0</v>
      </c>
      <c r="AJ703">
        <f t="shared" si="151"/>
        <v>0</v>
      </c>
      <c r="AK703">
        <f t="shared" si="151"/>
        <v>0</v>
      </c>
      <c r="AL703">
        <f t="shared" si="151"/>
        <v>0</v>
      </c>
      <c r="AM703">
        <f t="shared" si="151"/>
        <v>0</v>
      </c>
      <c r="AN703">
        <f t="shared" si="151"/>
        <v>0</v>
      </c>
      <c r="AO703">
        <f t="shared" si="151"/>
        <v>0</v>
      </c>
      <c r="AP703">
        <f t="shared" si="151"/>
        <v>0</v>
      </c>
      <c r="AQ703">
        <f t="shared" si="151"/>
        <v>0</v>
      </c>
      <c r="AR703">
        <f t="shared" si="151"/>
        <v>0</v>
      </c>
    </row>
    <row r="704" spans="5:44" x14ac:dyDescent="0.2">
      <c r="E704" s="1">
        <f>moment_rate!$M704</f>
        <v>4.1467633028997595E-3</v>
      </c>
      <c r="F704" s="1">
        <f t="shared" si="141"/>
        <v>1.4809868938927672E-4</v>
      </c>
      <c r="G704">
        <f>moment_rate!I704-0.005</f>
        <v>6.9699999999998958</v>
      </c>
      <c r="H704" s="1">
        <f t="shared" si="142"/>
        <v>1.4809868938927672E-4</v>
      </c>
      <c r="I704">
        <f t="shared" si="153"/>
        <v>0</v>
      </c>
      <c r="J704">
        <f t="shared" si="153"/>
        <v>0</v>
      </c>
      <c r="K704">
        <f t="shared" si="153"/>
        <v>0</v>
      </c>
      <c r="L704">
        <f t="shared" si="153"/>
        <v>0</v>
      </c>
      <c r="M704">
        <f t="shared" si="153"/>
        <v>0</v>
      </c>
      <c r="N704">
        <f t="shared" si="153"/>
        <v>0</v>
      </c>
      <c r="O704">
        <f t="shared" si="153"/>
        <v>0</v>
      </c>
      <c r="P704">
        <f t="shared" si="153"/>
        <v>0</v>
      </c>
      <c r="Q704">
        <f t="shared" si="153"/>
        <v>0</v>
      </c>
      <c r="R704">
        <f t="shared" si="153"/>
        <v>0</v>
      </c>
      <c r="S704">
        <f t="shared" si="153"/>
        <v>0</v>
      </c>
      <c r="T704">
        <f t="shared" si="153"/>
        <v>0</v>
      </c>
      <c r="U704">
        <f t="shared" si="153"/>
        <v>0</v>
      </c>
      <c r="V704">
        <f t="shared" si="153"/>
        <v>0</v>
      </c>
      <c r="W704">
        <f t="shared" si="153"/>
        <v>0</v>
      </c>
      <c r="X704">
        <f t="shared" si="153"/>
        <v>0</v>
      </c>
      <c r="Y704">
        <f t="shared" si="152"/>
        <v>0</v>
      </c>
      <c r="Z704">
        <f t="shared" si="152"/>
        <v>0</v>
      </c>
      <c r="AA704">
        <f t="shared" si="152"/>
        <v>0</v>
      </c>
      <c r="AB704">
        <f t="shared" si="152"/>
        <v>1.4809868938927672E-4</v>
      </c>
      <c r="AC704">
        <f t="shared" si="152"/>
        <v>0</v>
      </c>
      <c r="AD704">
        <f t="shared" si="152"/>
        <v>0</v>
      </c>
      <c r="AE704">
        <f t="shared" si="152"/>
        <v>0</v>
      </c>
      <c r="AF704">
        <f t="shared" si="152"/>
        <v>0</v>
      </c>
      <c r="AG704">
        <f t="shared" si="152"/>
        <v>0</v>
      </c>
      <c r="AH704">
        <f t="shared" si="152"/>
        <v>0</v>
      </c>
      <c r="AI704">
        <f t="shared" si="151"/>
        <v>0</v>
      </c>
      <c r="AJ704">
        <f t="shared" si="151"/>
        <v>0</v>
      </c>
      <c r="AK704">
        <f t="shared" si="151"/>
        <v>0</v>
      </c>
      <c r="AL704">
        <f t="shared" si="151"/>
        <v>0</v>
      </c>
      <c r="AM704">
        <f t="shared" si="151"/>
        <v>0</v>
      </c>
      <c r="AN704">
        <f t="shared" si="151"/>
        <v>0</v>
      </c>
      <c r="AO704">
        <f t="shared" si="151"/>
        <v>0</v>
      </c>
      <c r="AP704">
        <f t="shared" si="151"/>
        <v>0</v>
      </c>
      <c r="AQ704">
        <f t="shared" si="151"/>
        <v>0</v>
      </c>
      <c r="AR704">
        <f t="shared" si="151"/>
        <v>0</v>
      </c>
    </row>
    <row r="705" spans="5:44" x14ac:dyDescent="0.2">
      <c r="E705" s="1">
        <f>moment_rate!$M705</f>
        <v>3.9986646135104827E-3</v>
      </c>
      <c r="F705" s="1">
        <f t="shared" si="141"/>
        <v>1.4809868938927715E-4</v>
      </c>
      <c r="G705">
        <f>moment_rate!I705-0.005</f>
        <v>6.9799999999998956</v>
      </c>
      <c r="H705" s="1">
        <f t="shared" si="142"/>
        <v>1.4809868938927715E-4</v>
      </c>
      <c r="I705">
        <f t="shared" si="153"/>
        <v>0</v>
      </c>
      <c r="J705">
        <f t="shared" si="153"/>
        <v>0</v>
      </c>
      <c r="K705">
        <f t="shared" si="153"/>
        <v>0</v>
      </c>
      <c r="L705">
        <f t="shared" si="153"/>
        <v>0</v>
      </c>
      <c r="M705">
        <f t="shared" si="153"/>
        <v>0</v>
      </c>
      <c r="N705">
        <f t="shared" si="153"/>
        <v>0</v>
      </c>
      <c r="O705">
        <f t="shared" si="153"/>
        <v>0</v>
      </c>
      <c r="P705">
        <f t="shared" si="153"/>
        <v>0</v>
      </c>
      <c r="Q705">
        <f t="shared" si="153"/>
        <v>0</v>
      </c>
      <c r="R705">
        <f t="shared" si="153"/>
        <v>0</v>
      </c>
      <c r="S705">
        <f t="shared" si="153"/>
        <v>0</v>
      </c>
      <c r="T705">
        <f t="shared" si="153"/>
        <v>0</v>
      </c>
      <c r="U705">
        <f t="shared" si="153"/>
        <v>0</v>
      </c>
      <c r="V705">
        <f t="shared" si="153"/>
        <v>0</v>
      </c>
      <c r="W705">
        <f t="shared" si="153"/>
        <v>0</v>
      </c>
      <c r="X705">
        <f t="shared" si="153"/>
        <v>0</v>
      </c>
      <c r="Y705">
        <f t="shared" si="152"/>
        <v>0</v>
      </c>
      <c r="Z705">
        <f t="shared" si="152"/>
        <v>0</v>
      </c>
      <c r="AA705">
        <f t="shared" si="152"/>
        <v>0</v>
      </c>
      <c r="AB705">
        <f t="shared" si="152"/>
        <v>1.4809868938927715E-4</v>
      </c>
      <c r="AC705">
        <f t="shared" si="152"/>
        <v>0</v>
      </c>
      <c r="AD705">
        <f t="shared" si="152"/>
        <v>0</v>
      </c>
      <c r="AE705">
        <f t="shared" si="152"/>
        <v>0</v>
      </c>
      <c r="AF705">
        <f t="shared" si="152"/>
        <v>0</v>
      </c>
      <c r="AG705">
        <f t="shared" si="152"/>
        <v>0</v>
      </c>
      <c r="AH705">
        <f t="shared" si="152"/>
        <v>0</v>
      </c>
      <c r="AI705">
        <f t="shared" si="151"/>
        <v>0</v>
      </c>
      <c r="AJ705">
        <f t="shared" si="151"/>
        <v>0</v>
      </c>
      <c r="AK705">
        <f t="shared" si="151"/>
        <v>0</v>
      </c>
      <c r="AL705">
        <f t="shared" si="151"/>
        <v>0</v>
      </c>
      <c r="AM705">
        <f t="shared" si="151"/>
        <v>0</v>
      </c>
      <c r="AN705">
        <f t="shared" si="151"/>
        <v>0</v>
      </c>
      <c r="AO705">
        <f t="shared" si="151"/>
        <v>0</v>
      </c>
      <c r="AP705">
        <f t="shared" si="151"/>
        <v>0</v>
      </c>
      <c r="AQ705">
        <f t="shared" si="151"/>
        <v>0</v>
      </c>
      <c r="AR705">
        <f t="shared" si="151"/>
        <v>0</v>
      </c>
    </row>
    <row r="706" spans="5:44" x14ac:dyDescent="0.2">
      <c r="E706" s="1">
        <f>moment_rate!$M706</f>
        <v>3.8505659241212056E-3</v>
      </c>
      <c r="F706" s="1">
        <f t="shared" si="141"/>
        <v>1.4809868938927715E-4</v>
      </c>
      <c r="G706">
        <f>moment_rate!I706-0.005</f>
        <v>6.9899999999998954</v>
      </c>
      <c r="H706" s="1">
        <f t="shared" si="142"/>
        <v>1.4809868938927715E-4</v>
      </c>
      <c r="I706">
        <f t="shared" si="153"/>
        <v>0</v>
      </c>
      <c r="J706">
        <f t="shared" si="153"/>
        <v>0</v>
      </c>
      <c r="K706">
        <f t="shared" si="153"/>
        <v>0</v>
      </c>
      <c r="L706">
        <f t="shared" si="153"/>
        <v>0</v>
      </c>
      <c r="M706">
        <f t="shared" si="153"/>
        <v>0</v>
      </c>
      <c r="N706">
        <f t="shared" si="153"/>
        <v>0</v>
      </c>
      <c r="O706">
        <f t="shared" si="153"/>
        <v>0</v>
      </c>
      <c r="P706">
        <f t="shared" si="153"/>
        <v>0</v>
      </c>
      <c r="Q706">
        <f t="shared" si="153"/>
        <v>0</v>
      </c>
      <c r="R706">
        <f t="shared" si="153"/>
        <v>0</v>
      </c>
      <c r="S706">
        <f t="shared" si="153"/>
        <v>0</v>
      </c>
      <c r="T706">
        <f t="shared" si="153"/>
        <v>0</v>
      </c>
      <c r="U706">
        <f t="shared" si="153"/>
        <v>0</v>
      </c>
      <c r="V706">
        <f t="shared" si="153"/>
        <v>0</v>
      </c>
      <c r="W706">
        <f t="shared" si="153"/>
        <v>0</v>
      </c>
      <c r="X706">
        <f t="shared" si="153"/>
        <v>0</v>
      </c>
      <c r="Y706">
        <f t="shared" si="152"/>
        <v>0</v>
      </c>
      <c r="Z706">
        <f t="shared" si="152"/>
        <v>0</v>
      </c>
      <c r="AA706">
        <f t="shared" si="152"/>
        <v>0</v>
      </c>
      <c r="AB706">
        <f t="shared" si="152"/>
        <v>1.4809868938927715E-4</v>
      </c>
      <c r="AC706">
        <f t="shared" si="152"/>
        <v>0</v>
      </c>
      <c r="AD706">
        <f t="shared" si="152"/>
        <v>0</v>
      </c>
      <c r="AE706">
        <f t="shared" si="152"/>
        <v>0</v>
      </c>
      <c r="AF706">
        <f t="shared" si="152"/>
        <v>0</v>
      </c>
      <c r="AG706">
        <f t="shared" si="152"/>
        <v>0</v>
      </c>
      <c r="AH706">
        <f t="shared" si="152"/>
        <v>0</v>
      </c>
      <c r="AI706">
        <f t="shared" si="151"/>
        <v>0</v>
      </c>
      <c r="AJ706">
        <f t="shared" si="151"/>
        <v>0</v>
      </c>
      <c r="AK706">
        <f t="shared" si="151"/>
        <v>0</v>
      </c>
      <c r="AL706">
        <f t="shared" si="151"/>
        <v>0</v>
      </c>
      <c r="AM706">
        <f t="shared" si="151"/>
        <v>0</v>
      </c>
      <c r="AN706">
        <f t="shared" si="151"/>
        <v>0</v>
      </c>
      <c r="AO706">
        <f t="shared" si="151"/>
        <v>0</v>
      </c>
      <c r="AP706">
        <f t="shared" si="151"/>
        <v>0</v>
      </c>
      <c r="AQ706">
        <f t="shared" si="151"/>
        <v>0</v>
      </c>
      <c r="AR706">
        <f t="shared" si="151"/>
        <v>0</v>
      </c>
    </row>
    <row r="707" spans="5:44" x14ac:dyDescent="0.2">
      <c r="E707" s="1">
        <f>moment_rate!$M707</f>
        <v>3.7024672347319284E-3</v>
      </c>
      <c r="F707" s="1">
        <f t="shared" si="141"/>
        <v>1.4809868938927759E-4</v>
      </c>
      <c r="G707">
        <f>moment_rate!I707-0.005</f>
        <v>6.9999999999998952</v>
      </c>
      <c r="H707" s="1">
        <f t="shared" si="142"/>
        <v>1.4809868938927759E-4</v>
      </c>
      <c r="I707">
        <f t="shared" si="153"/>
        <v>0</v>
      </c>
      <c r="J707">
        <f t="shared" si="153"/>
        <v>0</v>
      </c>
      <c r="K707">
        <f t="shared" si="153"/>
        <v>0</v>
      </c>
      <c r="L707">
        <f t="shared" si="153"/>
        <v>0</v>
      </c>
      <c r="M707">
        <f t="shared" si="153"/>
        <v>0</v>
      </c>
      <c r="N707">
        <f t="shared" si="153"/>
        <v>0</v>
      </c>
      <c r="O707">
        <f t="shared" si="153"/>
        <v>0</v>
      </c>
      <c r="P707">
        <f t="shared" si="153"/>
        <v>0</v>
      </c>
      <c r="Q707">
        <f t="shared" si="153"/>
        <v>0</v>
      </c>
      <c r="R707">
        <f t="shared" si="153"/>
        <v>0</v>
      </c>
      <c r="S707">
        <f t="shared" si="153"/>
        <v>0</v>
      </c>
      <c r="T707">
        <f t="shared" si="153"/>
        <v>0</v>
      </c>
      <c r="U707">
        <f t="shared" si="153"/>
        <v>0</v>
      </c>
      <c r="V707">
        <f t="shared" si="153"/>
        <v>0</v>
      </c>
      <c r="W707">
        <f t="shared" si="153"/>
        <v>0</v>
      </c>
      <c r="X707">
        <f t="shared" si="153"/>
        <v>0</v>
      </c>
      <c r="Y707">
        <f t="shared" si="152"/>
        <v>0</v>
      </c>
      <c r="Z707">
        <f t="shared" si="152"/>
        <v>0</v>
      </c>
      <c r="AA707">
        <f t="shared" si="152"/>
        <v>0</v>
      </c>
      <c r="AB707">
        <f t="shared" si="152"/>
        <v>1.4809868938927759E-4</v>
      </c>
      <c r="AC707">
        <f t="shared" si="152"/>
        <v>0</v>
      </c>
      <c r="AD707">
        <f t="shared" si="152"/>
        <v>0</v>
      </c>
      <c r="AE707">
        <f t="shared" si="152"/>
        <v>0</v>
      </c>
      <c r="AF707">
        <f t="shared" si="152"/>
        <v>0</v>
      </c>
      <c r="AG707">
        <f t="shared" si="152"/>
        <v>0</v>
      </c>
      <c r="AH707">
        <f t="shared" si="152"/>
        <v>0</v>
      </c>
      <c r="AI707">
        <f t="shared" si="151"/>
        <v>0</v>
      </c>
      <c r="AJ707">
        <f t="shared" si="151"/>
        <v>0</v>
      </c>
      <c r="AK707">
        <f t="shared" si="151"/>
        <v>0</v>
      </c>
      <c r="AL707">
        <f t="shared" si="151"/>
        <v>0</v>
      </c>
      <c r="AM707">
        <f t="shared" si="151"/>
        <v>0</v>
      </c>
      <c r="AN707">
        <f t="shared" si="151"/>
        <v>0</v>
      </c>
      <c r="AO707">
        <f t="shared" si="151"/>
        <v>0</v>
      </c>
      <c r="AP707">
        <f t="shared" si="151"/>
        <v>0</v>
      </c>
      <c r="AQ707">
        <f t="shared" si="151"/>
        <v>0</v>
      </c>
      <c r="AR707">
        <f t="shared" si="151"/>
        <v>0</v>
      </c>
    </row>
    <row r="708" spans="5:44" x14ac:dyDescent="0.2">
      <c r="E708" s="1">
        <f>moment_rate!$M708</f>
        <v>3.5543685453426508E-3</v>
      </c>
      <c r="F708" s="1">
        <f t="shared" si="141"/>
        <v>1.4809868938927672E-4</v>
      </c>
      <c r="G708">
        <f>moment_rate!I708-0.005</f>
        <v>7.009999999999895</v>
      </c>
      <c r="H708" s="1">
        <f t="shared" si="142"/>
        <v>1.4809868938927672E-4</v>
      </c>
      <c r="I708">
        <f t="shared" si="153"/>
        <v>0</v>
      </c>
      <c r="J708">
        <f t="shared" si="153"/>
        <v>0</v>
      </c>
      <c r="K708">
        <f t="shared" si="153"/>
        <v>0</v>
      </c>
      <c r="L708">
        <f t="shared" si="153"/>
        <v>0</v>
      </c>
      <c r="M708">
        <f t="shared" si="153"/>
        <v>0</v>
      </c>
      <c r="N708">
        <f t="shared" si="153"/>
        <v>0</v>
      </c>
      <c r="O708">
        <f t="shared" si="153"/>
        <v>0</v>
      </c>
      <c r="P708">
        <f t="shared" si="153"/>
        <v>0</v>
      </c>
      <c r="Q708">
        <f t="shared" si="153"/>
        <v>0</v>
      </c>
      <c r="R708">
        <f t="shared" si="153"/>
        <v>0</v>
      </c>
      <c r="S708">
        <f t="shared" si="153"/>
        <v>0</v>
      </c>
      <c r="T708">
        <f t="shared" si="153"/>
        <v>0</v>
      </c>
      <c r="U708">
        <f t="shared" si="153"/>
        <v>0</v>
      </c>
      <c r="V708">
        <f t="shared" si="153"/>
        <v>0</v>
      </c>
      <c r="W708">
        <f t="shared" si="153"/>
        <v>0</v>
      </c>
      <c r="X708">
        <f t="shared" si="153"/>
        <v>0</v>
      </c>
      <c r="Y708">
        <f t="shared" si="152"/>
        <v>0</v>
      </c>
      <c r="Z708">
        <f t="shared" si="152"/>
        <v>0</v>
      </c>
      <c r="AA708">
        <f t="shared" si="152"/>
        <v>0</v>
      </c>
      <c r="AB708">
        <f t="shared" si="152"/>
        <v>0</v>
      </c>
      <c r="AC708">
        <f t="shared" si="152"/>
        <v>1.4809868938927672E-4</v>
      </c>
      <c r="AD708">
        <f t="shared" si="152"/>
        <v>0</v>
      </c>
      <c r="AE708">
        <f t="shared" si="152"/>
        <v>0</v>
      </c>
      <c r="AF708">
        <f t="shared" si="152"/>
        <v>0</v>
      </c>
      <c r="AG708">
        <f t="shared" si="152"/>
        <v>0</v>
      </c>
      <c r="AH708">
        <f t="shared" si="152"/>
        <v>0</v>
      </c>
      <c r="AI708">
        <f t="shared" si="151"/>
        <v>0</v>
      </c>
      <c r="AJ708">
        <f t="shared" si="151"/>
        <v>0</v>
      </c>
      <c r="AK708">
        <f t="shared" si="151"/>
        <v>0</v>
      </c>
      <c r="AL708">
        <f t="shared" si="151"/>
        <v>0</v>
      </c>
      <c r="AM708">
        <f t="shared" si="151"/>
        <v>0</v>
      </c>
      <c r="AN708">
        <f t="shared" si="151"/>
        <v>0</v>
      </c>
      <c r="AO708">
        <f t="shared" si="151"/>
        <v>0</v>
      </c>
      <c r="AP708">
        <f t="shared" si="151"/>
        <v>0</v>
      </c>
      <c r="AQ708">
        <f t="shared" si="151"/>
        <v>0</v>
      </c>
      <c r="AR708">
        <f t="shared" si="151"/>
        <v>0</v>
      </c>
    </row>
    <row r="709" spans="5:44" x14ac:dyDescent="0.2">
      <c r="E709" s="1">
        <f>moment_rate!$M709</f>
        <v>3.4062698559533741E-3</v>
      </c>
      <c r="F709" s="1">
        <f t="shared" si="141"/>
        <v>1.4809868938927715E-4</v>
      </c>
      <c r="G709">
        <f>moment_rate!I709-0.005</f>
        <v>7.0199999999998948</v>
      </c>
      <c r="H709" s="1">
        <f t="shared" si="142"/>
        <v>1.4809868938927715E-4</v>
      </c>
      <c r="I709">
        <f t="shared" si="153"/>
        <v>0</v>
      </c>
      <c r="J709">
        <f t="shared" si="153"/>
        <v>0</v>
      </c>
      <c r="K709">
        <f t="shared" si="153"/>
        <v>0</v>
      </c>
      <c r="L709">
        <f t="shared" si="153"/>
        <v>0</v>
      </c>
      <c r="M709">
        <f t="shared" si="153"/>
        <v>0</v>
      </c>
      <c r="N709">
        <f t="shared" si="153"/>
        <v>0</v>
      </c>
      <c r="O709">
        <f t="shared" si="153"/>
        <v>0</v>
      </c>
      <c r="P709">
        <f t="shared" si="153"/>
        <v>0</v>
      </c>
      <c r="Q709">
        <f t="shared" si="153"/>
        <v>0</v>
      </c>
      <c r="R709">
        <f t="shared" si="153"/>
        <v>0</v>
      </c>
      <c r="S709">
        <f t="shared" si="153"/>
        <v>0</v>
      </c>
      <c r="T709">
        <f t="shared" si="153"/>
        <v>0</v>
      </c>
      <c r="U709">
        <f t="shared" si="153"/>
        <v>0</v>
      </c>
      <c r="V709">
        <f t="shared" si="153"/>
        <v>0</v>
      </c>
      <c r="W709">
        <f t="shared" si="153"/>
        <v>0</v>
      </c>
      <c r="X709">
        <f t="shared" si="153"/>
        <v>0</v>
      </c>
      <c r="Y709">
        <f t="shared" si="152"/>
        <v>0</v>
      </c>
      <c r="Z709">
        <f t="shared" si="152"/>
        <v>0</v>
      </c>
      <c r="AA709">
        <f t="shared" si="152"/>
        <v>0</v>
      </c>
      <c r="AB709">
        <f t="shared" si="152"/>
        <v>0</v>
      </c>
      <c r="AC709">
        <f t="shared" si="152"/>
        <v>1.4809868938927715E-4</v>
      </c>
      <c r="AD709">
        <f t="shared" si="152"/>
        <v>0</v>
      </c>
      <c r="AE709">
        <f t="shared" si="152"/>
        <v>0</v>
      </c>
      <c r="AF709">
        <f t="shared" si="152"/>
        <v>0</v>
      </c>
      <c r="AG709">
        <f t="shared" si="152"/>
        <v>0</v>
      </c>
      <c r="AH709">
        <f t="shared" si="152"/>
        <v>0</v>
      </c>
      <c r="AI709">
        <f t="shared" si="152"/>
        <v>0</v>
      </c>
      <c r="AJ709">
        <f t="shared" si="152"/>
        <v>0</v>
      </c>
      <c r="AK709">
        <f t="shared" si="152"/>
        <v>0</v>
      </c>
      <c r="AL709">
        <f t="shared" si="152"/>
        <v>0</v>
      </c>
      <c r="AM709">
        <f t="shared" si="152"/>
        <v>0</v>
      </c>
      <c r="AN709">
        <f t="shared" si="151"/>
        <v>0</v>
      </c>
      <c r="AO709">
        <f t="shared" si="151"/>
        <v>0</v>
      </c>
      <c r="AP709">
        <f t="shared" si="151"/>
        <v>0</v>
      </c>
      <c r="AQ709">
        <f t="shared" si="151"/>
        <v>0</v>
      </c>
      <c r="AR709">
        <f t="shared" si="151"/>
        <v>0</v>
      </c>
    </row>
    <row r="710" spans="5:44" x14ac:dyDescent="0.2">
      <c r="E710" s="1">
        <f>moment_rate!$M710</f>
        <v>3.258171166564097E-3</v>
      </c>
      <c r="F710" s="1">
        <f t="shared" si="141"/>
        <v>1.4809868938927715E-4</v>
      </c>
      <c r="G710">
        <f>moment_rate!I710-0.005</f>
        <v>7.0299999999998946</v>
      </c>
      <c r="H710" s="1">
        <f t="shared" si="142"/>
        <v>1.4809868938927715E-4</v>
      </c>
      <c r="I710">
        <f t="shared" si="153"/>
        <v>0</v>
      </c>
      <c r="J710">
        <f t="shared" si="153"/>
        <v>0</v>
      </c>
      <c r="K710">
        <f t="shared" si="153"/>
        <v>0</v>
      </c>
      <c r="L710">
        <f t="shared" si="153"/>
        <v>0</v>
      </c>
      <c r="M710">
        <f t="shared" si="153"/>
        <v>0</v>
      </c>
      <c r="N710">
        <f t="shared" si="153"/>
        <v>0</v>
      </c>
      <c r="O710">
        <f t="shared" si="153"/>
        <v>0</v>
      </c>
      <c r="P710">
        <f t="shared" si="153"/>
        <v>0</v>
      </c>
      <c r="Q710">
        <f t="shared" si="153"/>
        <v>0</v>
      </c>
      <c r="R710">
        <f t="shared" si="153"/>
        <v>0</v>
      </c>
      <c r="S710">
        <f t="shared" si="153"/>
        <v>0</v>
      </c>
      <c r="T710">
        <f t="shared" si="153"/>
        <v>0</v>
      </c>
      <c r="U710">
        <f t="shared" si="153"/>
        <v>0</v>
      </c>
      <c r="V710">
        <f t="shared" si="153"/>
        <v>0</v>
      </c>
      <c r="W710">
        <f t="shared" si="153"/>
        <v>0</v>
      </c>
      <c r="X710">
        <f t="shared" si="153"/>
        <v>0</v>
      </c>
      <c r="Y710">
        <f t="shared" si="152"/>
        <v>0</v>
      </c>
      <c r="Z710">
        <f t="shared" si="152"/>
        <v>0</v>
      </c>
      <c r="AA710">
        <f t="shared" si="152"/>
        <v>0</v>
      </c>
      <c r="AB710">
        <f t="shared" si="152"/>
        <v>0</v>
      </c>
      <c r="AC710">
        <f t="shared" si="152"/>
        <v>1.4809868938927715E-4</v>
      </c>
      <c r="AD710">
        <f t="shared" si="152"/>
        <v>0</v>
      </c>
      <c r="AE710">
        <f t="shared" si="152"/>
        <v>0</v>
      </c>
      <c r="AF710">
        <f t="shared" si="152"/>
        <v>0</v>
      </c>
      <c r="AG710">
        <f t="shared" si="152"/>
        <v>0</v>
      </c>
      <c r="AH710">
        <f t="shared" si="152"/>
        <v>0</v>
      </c>
      <c r="AI710">
        <f t="shared" si="152"/>
        <v>0</v>
      </c>
      <c r="AJ710">
        <f t="shared" si="152"/>
        <v>0</v>
      </c>
      <c r="AK710">
        <f t="shared" si="152"/>
        <v>0</v>
      </c>
      <c r="AL710">
        <f t="shared" si="152"/>
        <v>0</v>
      </c>
      <c r="AM710">
        <f t="shared" si="152"/>
        <v>0</v>
      </c>
      <c r="AN710">
        <f t="shared" si="151"/>
        <v>0</v>
      </c>
      <c r="AO710">
        <f t="shared" si="151"/>
        <v>0</v>
      </c>
      <c r="AP710">
        <f t="shared" si="151"/>
        <v>0</v>
      </c>
      <c r="AQ710">
        <f t="shared" si="151"/>
        <v>0</v>
      </c>
      <c r="AR710">
        <f t="shared" si="151"/>
        <v>0</v>
      </c>
    </row>
    <row r="711" spans="5:44" x14ac:dyDescent="0.2">
      <c r="E711" s="1">
        <f>moment_rate!$M711</f>
        <v>3.1100724771748198E-3</v>
      </c>
      <c r="F711" s="1">
        <f t="shared" si="141"/>
        <v>1.4809868938927759E-4</v>
      </c>
      <c r="G711">
        <f>moment_rate!I711-0.005</f>
        <v>7.0399999999998943</v>
      </c>
      <c r="H711" s="1">
        <f t="shared" si="142"/>
        <v>1.4809868938927759E-4</v>
      </c>
      <c r="I711">
        <f t="shared" si="153"/>
        <v>0</v>
      </c>
      <c r="J711">
        <f t="shared" si="153"/>
        <v>0</v>
      </c>
      <c r="K711">
        <f t="shared" si="153"/>
        <v>0</v>
      </c>
      <c r="L711">
        <f t="shared" si="153"/>
        <v>0</v>
      </c>
      <c r="M711">
        <f t="shared" si="153"/>
        <v>0</v>
      </c>
      <c r="N711">
        <f t="shared" si="153"/>
        <v>0</v>
      </c>
      <c r="O711">
        <f t="shared" si="153"/>
        <v>0</v>
      </c>
      <c r="P711">
        <f t="shared" si="153"/>
        <v>0</v>
      </c>
      <c r="Q711">
        <f t="shared" si="153"/>
        <v>0</v>
      </c>
      <c r="R711">
        <f t="shared" si="153"/>
        <v>0</v>
      </c>
      <c r="S711">
        <f t="shared" si="153"/>
        <v>0</v>
      </c>
      <c r="T711">
        <f t="shared" si="153"/>
        <v>0</v>
      </c>
      <c r="U711">
        <f t="shared" si="153"/>
        <v>0</v>
      </c>
      <c r="V711">
        <f t="shared" si="153"/>
        <v>0</v>
      </c>
      <c r="W711">
        <f t="shared" si="153"/>
        <v>0</v>
      </c>
      <c r="X711">
        <f t="shared" si="153"/>
        <v>0</v>
      </c>
      <c r="Y711">
        <f t="shared" si="152"/>
        <v>0</v>
      </c>
      <c r="Z711">
        <f t="shared" si="152"/>
        <v>0</v>
      </c>
      <c r="AA711">
        <f t="shared" si="152"/>
        <v>0</v>
      </c>
      <c r="AB711">
        <f t="shared" si="152"/>
        <v>0</v>
      </c>
      <c r="AC711">
        <f t="shared" si="152"/>
        <v>1.4809868938927759E-4</v>
      </c>
      <c r="AD711">
        <f t="shared" si="152"/>
        <v>0</v>
      </c>
      <c r="AE711">
        <f t="shared" si="152"/>
        <v>0</v>
      </c>
      <c r="AF711">
        <f t="shared" si="152"/>
        <v>0</v>
      </c>
      <c r="AG711">
        <f t="shared" si="152"/>
        <v>0</v>
      </c>
      <c r="AH711">
        <f t="shared" si="152"/>
        <v>0</v>
      </c>
      <c r="AI711">
        <f t="shared" si="152"/>
        <v>0</v>
      </c>
      <c r="AJ711">
        <f t="shared" si="152"/>
        <v>0</v>
      </c>
      <c r="AK711">
        <f t="shared" si="152"/>
        <v>0</v>
      </c>
      <c r="AL711">
        <f t="shared" si="152"/>
        <v>0</v>
      </c>
      <c r="AM711">
        <f t="shared" si="152"/>
        <v>0</v>
      </c>
      <c r="AN711">
        <f t="shared" si="151"/>
        <v>0</v>
      </c>
      <c r="AO711">
        <f t="shared" si="151"/>
        <v>0</v>
      </c>
      <c r="AP711">
        <f t="shared" si="151"/>
        <v>0</v>
      </c>
      <c r="AQ711">
        <f t="shared" si="151"/>
        <v>0</v>
      </c>
      <c r="AR711">
        <f t="shared" si="151"/>
        <v>0</v>
      </c>
    </row>
    <row r="712" spans="5:44" x14ac:dyDescent="0.2">
      <c r="E712" s="1">
        <f>moment_rate!$M712</f>
        <v>2.9619737877855422E-3</v>
      </c>
      <c r="F712" s="1">
        <f t="shared" ref="F712:F775" si="154">E712-E713</f>
        <v>1.4809868938927672E-4</v>
      </c>
      <c r="G712">
        <f>moment_rate!I712-0.005</f>
        <v>7.0499999999998941</v>
      </c>
      <c r="H712" s="1">
        <f t="shared" ref="H712:H775" si="155">IF($G712&gt;=4.999,(E712-E713),0)</f>
        <v>1.4809868938927672E-4</v>
      </c>
      <c r="I712">
        <f t="shared" si="153"/>
        <v>0</v>
      </c>
      <c r="J712">
        <f t="shared" si="153"/>
        <v>0</v>
      </c>
      <c r="K712">
        <f t="shared" si="153"/>
        <v>0</v>
      </c>
      <c r="L712">
        <f t="shared" si="153"/>
        <v>0</v>
      </c>
      <c r="M712">
        <f t="shared" si="153"/>
        <v>0</v>
      </c>
      <c r="N712">
        <f t="shared" si="153"/>
        <v>0</v>
      </c>
      <c r="O712">
        <f t="shared" si="153"/>
        <v>0</v>
      </c>
      <c r="P712">
        <f t="shared" si="153"/>
        <v>0</v>
      </c>
      <c r="Q712">
        <f t="shared" si="153"/>
        <v>0</v>
      </c>
      <c r="R712">
        <f t="shared" si="153"/>
        <v>0</v>
      </c>
      <c r="S712">
        <f t="shared" si="153"/>
        <v>0</v>
      </c>
      <c r="T712">
        <f t="shared" si="153"/>
        <v>0</v>
      </c>
      <c r="U712">
        <f t="shared" si="153"/>
        <v>0</v>
      </c>
      <c r="V712">
        <f t="shared" si="153"/>
        <v>0</v>
      </c>
      <c r="W712">
        <f t="shared" si="153"/>
        <v>0</v>
      </c>
      <c r="X712">
        <f t="shared" si="153"/>
        <v>0</v>
      </c>
      <c r="Y712">
        <f t="shared" si="152"/>
        <v>0</v>
      </c>
      <c r="Z712">
        <f t="shared" si="152"/>
        <v>0</v>
      </c>
      <c r="AA712">
        <f t="shared" si="152"/>
        <v>0</v>
      </c>
      <c r="AB712">
        <f t="shared" si="152"/>
        <v>0</v>
      </c>
      <c r="AC712">
        <f t="shared" si="152"/>
        <v>1.4809868938927672E-4</v>
      </c>
      <c r="AD712">
        <f t="shared" si="152"/>
        <v>0</v>
      </c>
      <c r="AE712">
        <f t="shared" si="152"/>
        <v>0</v>
      </c>
      <c r="AF712">
        <f t="shared" si="152"/>
        <v>0</v>
      </c>
      <c r="AG712">
        <f t="shared" si="152"/>
        <v>0</v>
      </c>
      <c r="AH712">
        <f t="shared" si="152"/>
        <v>0</v>
      </c>
      <c r="AI712">
        <f t="shared" si="152"/>
        <v>0</v>
      </c>
      <c r="AJ712">
        <f t="shared" si="152"/>
        <v>0</v>
      </c>
      <c r="AK712">
        <f t="shared" si="152"/>
        <v>0</v>
      </c>
      <c r="AL712">
        <f t="shared" si="152"/>
        <v>0</v>
      </c>
      <c r="AM712">
        <f t="shared" si="152"/>
        <v>0</v>
      </c>
      <c r="AN712">
        <f t="shared" si="151"/>
        <v>0</v>
      </c>
      <c r="AO712">
        <f t="shared" si="151"/>
        <v>0</v>
      </c>
      <c r="AP712">
        <f t="shared" si="151"/>
        <v>0</v>
      </c>
      <c r="AQ712">
        <f t="shared" si="151"/>
        <v>0</v>
      </c>
      <c r="AR712">
        <f t="shared" si="151"/>
        <v>0</v>
      </c>
    </row>
    <row r="713" spans="5:44" x14ac:dyDescent="0.2">
      <c r="E713" s="1">
        <f>moment_rate!$M713</f>
        <v>2.8138750983962655E-3</v>
      </c>
      <c r="F713" s="1">
        <f t="shared" si="154"/>
        <v>1.4809868938927715E-4</v>
      </c>
      <c r="G713">
        <f>moment_rate!I713-0.005</f>
        <v>7.0599999999998939</v>
      </c>
      <c r="H713" s="1">
        <f t="shared" si="155"/>
        <v>1.4809868938927715E-4</v>
      </c>
      <c r="I713">
        <f t="shared" si="153"/>
        <v>0</v>
      </c>
      <c r="J713">
        <f t="shared" si="153"/>
        <v>0</v>
      </c>
      <c r="K713">
        <f t="shared" si="153"/>
        <v>0</v>
      </c>
      <c r="L713">
        <f t="shared" si="153"/>
        <v>0</v>
      </c>
      <c r="M713">
        <f t="shared" si="153"/>
        <v>0</v>
      </c>
      <c r="N713">
        <f t="shared" si="153"/>
        <v>0</v>
      </c>
      <c r="O713">
        <f t="shared" si="153"/>
        <v>0</v>
      </c>
      <c r="P713">
        <f t="shared" si="153"/>
        <v>0</v>
      </c>
      <c r="Q713">
        <f t="shared" si="153"/>
        <v>0</v>
      </c>
      <c r="R713">
        <f t="shared" si="153"/>
        <v>0</v>
      </c>
      <c r="S713">
        <f t="shared" si="153"/>
        <v>0</v>
      </c>
      <c r="T713">
        <f t="shared" si="153"/>
        <v>0</v>
      </c>
      <c r="U713">
        <f t="shared" si="153"/>
        <v>0</v>
      </c>
      <c r="V713">
        <f t="shared" si="153"/>
        <v>0</v>
      </c>
      <c r="W713">
        <f t="shared" si="153"/>
        <v>0</v>
      </c>
      <c r="X713">
        <f t="shared" si="153"/>
        <v>0</v>
      </c>
      <c r="Y713">
        <f t="shared" si="152"/>
        <v>0</v>
      </c>
      <c r="Z713">
        <f t="shared" si="152"/>
        <v>0</v>
      </c>
      <c r="AA713">
        <f t="shared" si="152"/>
        <v>0</v>
      </c>
      <c r="AB713">
        <f t="shared" si="152"/>
        <v>0</v>
      </c>
      <c r="AC713">
        <f t="shared" si="152"/>
        <v>1.4809868938927715E-4</v>
      </c>
      <c r="AD713">
        <f t="shared" si="152"/>
        <v>0</v>
      </c>
      <c r="AE713">
        <f t="shared" si="152"/>
        <v>0</v>
      </c>
      <c r="AF713">
        <f t="shared" si="152"/>
        <v>0</v>
      </c>
      <c r="AG713">
        <f t="shared" si="152"/>
        <v>0</v>
      </c>
      <c r="AH713">
        <f t="shared" si="152"/>
        <v>0</v>
      </c>
      <c r="AI713">
        <f t="shared" si="152"/>
        <v>0</v>
      </c>
      <c r="AJ713">
        <f t="shared" si="152"/>
        <v>0</v>
      </c>
      <c r="AK713">
        <f t="shared" si="152"/>
        <v>0</v>
      </c>
      <c r="AL713">
        <f t="shared" si="152"/>
        <v>0</v>
      </c>
      <c r="AM713">
        <f t="shared" si="152"/>
        <v>0</v>
      </c>
      <c r="AN713">
        <f t="shared" si="151"/>
        <v>0</v>
      </c>
      <c r="AO713">
        <f t="shared" si="151"/>
        <v>0</v>
      </c>
      <c r="AP713">
        <f t="shared" si="151"/>
        <v>0</v>
      </c>
      <c r="AQ713">
        <f t="shared" si="151"/>
        <v>0</v>
      </c>
      <c r="AR713">
        <f t="shared" si="151"/>
        <v>0</v>
      </c>
    </row>
    <row r="714" spans="5:44" x14ac:dyDescent="0.2">
      <c r="E714" s="1">
        <f>moment_rate!$M714</f>
        <v>2.6657764090069883E-3</v>
      </c>
      <c r="F714" s="1">
        <f t="shared" si="154"/>
        <v>1.4809868938927715E-4</v>
      </c>
      <c r="G714">
        <f>moment_rate!I714-0.005</f>
        <v>7.0699999999998937</v>
      </c>
      <c r="H714" s="1">
        <f t="shared" si="155"/>
        <v>1.4809868938927715E-4</v>
      </c>
      <c r="I714">
        <f t="shared" si="153"/>
        <v>0</v>
      </c>
      <c r="J714">
        <f t="shared" si="153"/>
        <v>0</v>
      </c>
      <c r="K714">
        <f t="shared" si="153"/>
        <v>0</v>
      </c>
      <c r="L714">
        <f t="shared" si="153"/>
        <v>0</v>
      </c>
      <c r="M714">
        <f t="shared" si="153"/>
        <v>0</v>
      </c>
      <c r="N714">
        <f t="shared" si="153"/>
        <v>0</v>
      </c>
      <c r="O714">
        <f t="shared" si="153"/>
        <v>0</v>
      </c>
      <c r="P714">
        <f t="shared" si="153"/>
        <v>0</v>
      </c>
      <c r="Q714">
        <f t="shared" si="153"/>
        <v>0</v>
      </c>
      <c r="R714">
        <f t="shared" si="153"/>
        <v>0</v>
      </c>
      <c r="S714">
        <f t="shared" si="153"/>
        <v>0</v>
      </c>
      <c r="T714">
        <f t="shared" si="153"/>
        <v>0</v>
      </c>
      <c r="U714">
        <f t="shared" si="153"/>
        <v>0</v>
      </c>
      <c r="V714">
        <f t="shared" si="153"/>
        <v>0</v>
      </c>
      <c r="W714">
        <f t="shared" si="153"/>
        <v>0</v>
      </c>
      <c r="X714">
        <f t="shared" ref="X714:AM729" si="156">IF(AND($G714&gt;=X$3,$G714&lt;X$4),$F714,0)</f>
        <v>0</v>
      </c>
      <c r="Y714">
        <f t="shared" si="156"/>
        <v>0</v>
      </c>
      <c r="Z714">
        <f t="shared" si="156"/>
        <v>0</v>
      </c>
      <c r="AA714">
        <f t="shared" si="156"/>
        <v>0</v>
      </c>
      <c r="AB714">
        <f t="shared" si="156"/>
        <v>0</v>
      </c>
      <c r="AC714">
        <f t="shared" si="156"/>
        <v>1.4809868938927715E-4</v>
      </c>
      <c r="AD714">
        <f t="shared" si="156"/>
        <v>0</v>
      </c>
      <c r="AE714">
        <f t="shared" si="156"/>
        <v>0</v>
      </c>
      <c r="AF714">
        <f t="shared" si="156"/>
        <v>0</v>
      </c>
      <c r="AG714">
        <f t="shared" si="156"/>
        <v>0</v>
      </c>
      <c r="AH714">
        <f t="shared" si="156"/>
        <v>0</v>
      </c>
      <c r="AI714">
        <f t="shared" si="156"/>
        <v>0</v>
      </c>
      <c r="AJ714">
        <f t="shared" si="156"/>
        <v>0</v>
      </c>
      <c r="AK714">
        <f t="shared" si="156"/>
        <v>0</v>
      </c>
      <c r="AL714">
        <f t="shared" si="156"/>
        <v>0</v>
      </c>
      <c r="AM714">
        <f t="shared" si="156"/>
        <v>0</v>
      </c>
      <c r="AN714">
        <f t="shared" si="151"/>
        <v>0</v>
      </c>
      <c r="AO714">
        <f t="shared" si="151"/>
        <v>0</v>
      </c>
      <c r="AP714">
        <f t="shared" si="151"/>
        <v>0</v>
      </c>
      <c r="AQ714">
        <f t="shared" si="151"/>
        <v>0</v>
      </c>
      <c r="AR714">
        <f t="shared" si="151"/>
        <v>0</v>
      </c>
    </row>
    <row r="715" spans="5:44" x14ac:dyDescent="0.2">
      <c r="E715" s="1">
        <f>moment_rate!$M715</f>
        <v>2.5176777196177112E-3</v>
      </c>
      <c r="F715" s="1">
        <f t="shared" si="154"/>
        <v>1.4809868938927715E-4</v>
      </c>
      <c r="G715">
        <f>moment_rate!I715-0.005</f>
        <v>7.0799999999998935</v>
      </c>
      <c r="H715" s="1">
        <f t="shared" si="155"/>
        <v>1.4809868938927715E-4</v>
      </c>
      <c r="I715">
        <f t="shared" ref="I715:X730" si="157">IF(AND($G715&gt;=I$3,$G715&lt;I$4),$F715,0)</f>
        <v>0</v>
      </c>
      <c r="J715">
        <f t="shared" si="157"/>
        <v>0</v>
      </c>
      <c r="K715">
        <f t="shared" si="157"/>
        <v>0</v>
      </c>
      <c r="L715">
        <f t="shared" si="157"/>
        <v>0</v>
      </c>
      <c r="M715">
        <f t="shared" si="157"/>
        <v>0</v>
      </c>
      <c r="N715">
        <f t="shared" si="157"/>
        <v>0</v>
      </c>
      <c r="O715">
        <f t="shared" si="157"/>
        <v>0</v>
      </c>
      <c r="P715">
        <f t="shared" si="157"/>
        <v>0</v>
      </c>
      <c r="Q715">
        <f t="shared" si="157"/>
        <v>0</v>
      </c>
      <c r="R715">
        <f t="shared" si="157"/>
        <v>0</v>
      </c>
      <c r="S715">
        <f t="shared" si="157"/>
        <v>0</v>
      </c>
      <c r="T715">
        <f t="shared" si="157"/>
        <v>0</v>
      </c>
      <c r="U715">
        <f t="shared" si="157"/>
        <v>0</v>
      </c>
      <c r="V715">
        <f t="shared" si="157"/>
        <v>0</v>
      </c>
      <c r="W715">
        <f t="shared" si="157"/>
        <v>0</v>
      </c>
      <c r="X715">
        <f t="shared" si="157"/>
        <v>0</v>
      </c>
      <c r="Y715">
        <f t="shared" si="156"/>
        <v>0</v>
      </c>
      <c r="Z715">
        <f t="shared" si="156"/>
        <v>0</v>
      </c>
      <c r="AA715">
        <f t="shared" si="156"/>
        <v>0</v>
      </c>
      <c r="AB715">
        <f t="shared" si="156"/>
        <v>0</v>
      </c>
      <c r="AC715">
        <f t="shared" si="156"/>
        <v>1.4809868938927715E-4</v>
      </c>
      <c r="AD715">
        <f t="shared" si="156"/>
        <v>0</v>
      </c>
      <c r="AE715">
        <f t="shared" si="156"/>
        <v>0</v>
      </c>
      <c r="AF715">
        <f t="shared" si="156"/>
        <v>0</v>
      </c>
      <c r="AG715">
        <f t="shared" si="156"/>
        <v>0</v>
      </c>
      <c r="AH715">
        <f t="shared" si="156"/>
        <v>0</v>
      </c>
      <c r="AI715">
        <f t="shared" si="156"/>
        <v>0</v>
      </c>
      <c r="AJ715">
        <f t="shared" si="156"/>
        <v>0</v>
      </c>
      <c r="AK715">
        <f t="shared" si="156"/>
        <v>0</v>
      </c>
      <c r="AL715">
        <f t="shared" si="156"/>
        <v>0</v>
      </c>
      <c r="AM715">
        <f t="shared" si="156"/>
        <v>0</v>
      </c>
      <c r="AN715">
        <f t="shared" si="151"/>
        <v>0</v>
      </c>
      <c r="AO715">
        <f t="shared" si="151"/>
        <v>0</v>
      </c>
      <c r="AP715">
        <f t="shared" si="151"/>
        <v>0</v>
      </c>
      <c r="AQ715">
        <f t="shared" si="151"/>
        <v>0</v>
      </c>
      <c r="AR715">
        <f t="shared" si="151"/>
        <v>0</v>
      </c>
    </row>
    <row r="716" spans="5:44" x14ac:dyDescent="0.2">
      <c r="E716" s="1">
        <f>moment_rate!$M716</f>
        <v>2.369579030228434E-3</v>
      </c>
      <c r="F716" s="1">
        <f t="shared" si="154"/>
        <v>1.4809868938927672E-4</v>
      </c>
      <c r="G716">
        <f>moment_rate!I716-0.005</f>
        <v>7.0899999999998933</v>
      </c>
      <c r="H716" s="1">
        <f t="shared" si="155"/>
        <v>1.4809868938927672E-4</v>
      </c>
      <c r="I716">
        <f t="shared" si="157"/>
        <v>0</v>
      </c>
      <c r="J716">
        <f t="shared" si="157"/>
        <v>0</v>
      </c>
      <c r="K716">
        <f t="shared" si="157"/>
        <v>0</v>
      </c>
      <c r="L716">
        <f t="shared" si="157"/>
        <v>0</v>
      </c>
      <c r="M716">
        <f t="shared" si="157"/>
        <v>0</v>
      </c>
      <c r="N716">
        <f t="shared" si="157"/>
        <v>0</v>
      </c>
      <c r="O716">
        <f t="shared" si="157"/>
        <v>0</v>
      </c>
      <c r="P716">
        <f t="shared" si="157"/>
        <v>0</v>
      </c>
      <c r="Q716">
        <f t="shared" si="157"/>
        <v>0</v>
      </c>
      <c r="R716">
        <f t="shared" si="157"/>
        <v>0</v>
      </c>
      <c r="S716">
        <f t="shared" si="157"/>
        <v>0</v>
      </c>
      <c r="T716">
        <f t="shared" si="157"/>
        <v>0</v>
      </c>
      <c r="U716">
        <f t="shared" si="157"/>
        <v>0</v>
      </c>
      <c r="V716">
        <f t="shared" si="157"/>
        <v>0</v>
      </c>
      <c r="W716">
        <f t="shared" si="157"/>
        <v>0</v>
      </c>
      <c r="X716">
        <f t="shared" si="157"/>
        <v>0</v>
      </c>
      <c r="Y716">
        <f t="shared" si="156"/>
        <v>0</v>
      </c>
      <c r="Z716">
        <f t="shared" si="156"/>
        <v>0</v>
      </c>
      <c r="AA716">
        <f t="shared" si="156"/>
        <v>0</v>
      </c>
      <c r="AB716">
        <f t="shared" si="156"/>
        <v>0</v>
      </c>
      <c r="AC716">
        <f t="shared" si="156"/>
        <v>1.4809868938927672E-4</v>
      </c>
      <c r="AD716">
        <f t="shared" si="156"/>
        <v>0</v>
      </c>
      <c r="AE716">
        <f t="shared" si="156"/>
        <v>0</v>
      </c>
      <c r="AF716">
        <f t="shared" si="156"/>
        <v>0</v>
      </c>
      <c r="AG716">
        <f t="shared" si="156"/>
        <v>0</v>
      </c>
      <c r="AH716">
        <f t="shared" si="156"/>
        <v>0</v>
      </c>
      <c r="AI716">
        <f t="shared" si="156"/>
        <v>0</v>
      </c>
      <c r="AJ716">
        <f t="shared" si="156"/>
        <v>0</v>
      </c>
      <c r="AK716">
        <f t="shared" si="156"/>
        <v>0</v>
      </c>
      <c r="AL716">
        <f t="shared" si="156"/>
        <v>0</v>
      </c>
      <c r="AM716">
        <f t="shared" si="156"/>
        <v>0</v>
      </c>
      <c r="AN716">
        <f t="shared" si="151"/>
        <v>0</v>
      </c>
      <c r="AO716">
        <f t="shared" si="151"/>
        <v>0</v>
      </c>
      <c r="AP716">
        <f t="shared" si="151"/>
        <v>0</v>
      </c>
      <c r="AQ716">
        <f t="shared" si="151"/>
        <v>0</v>
      </c>
      <c r="AR716">
        <f t="shared" si="151"/>
        <v>0</v>
      </c>
    </row>
    <row r="717" spans="5:44" x14ac:dyDescent="0.2">
      <c r="E717" s="1">
        <f>moment_rate!$M717</f>
        <v>2.2214803408391573E-3</v>
      </c>
      <c r="F717" s="1">
        <f t="shared" si="154"/>
        <v>1.4809868938927759E-4</v>
      </c>
      <c r="G717">
        <f>moment_rate!I717-0.005</f>
        <v>7.0999999999998931</v>
      </c>
      <c r="H717" s="1">
        <f t="shared" si="155"/>
        <v>1.4809868938927759E-4</v>
      </c>
      <c r="I717">
        <f t="shared" si="157"/>
        <v>0</v>
      </c>
      <c r="J717">
        <f t="shared" si="157"/>
        <v>0</v>
      </c>
      <c r="K717">
        <f t="shared" si="157"/>
        <v>0</v>
      </c>
      <c r="L717">
        <f t="shared" si="157"/>
        <v>0</v>
      </c>
      <c r="M717">
        <f t="shared" si="157"/>
        <v>0</v>
      </c>
      <c r="N717">
        <f t="shared" si="157"/>
        <v>0</v>
      </c>
      <c r="O717">
        <f t="shared" si="157"/>
        <v>0</v>
      </c>
      <c r="P717">
        <f t="shared" si="157"/>
        <v>0</v>
      </c>
      <c r="Q717">
        <f t="shared" si="157"/>
        <v>0</v>
      </c>
      <c r="R717">
        <f t="shared" si="157"/>
        <v>0</v>
      </c>
      <c r="S717">
        <f t="shared" si="157"/>
        <v>0</v>
      </c>
      <c r="T717">
        <f t="shared" si="157"/>
        <v>0</v>
      </c>
      <c r="U717">
        <f t="shared" si="157"/>
        <v>0</v>
      </c>
      <c r="V717">
        <f t="shared" si="157"/>
        <v>0</v>
      </c>
      <c r="W717">
        <f t="shared" si="157"/>
        <v>0</v>
      </c>
      <c r="X717">
        <f t="shared" si="157"/>
        <v>0</v>
      </c>
      <c r="Y717">
        <f t="shared" si="156"/>
        <v>0</v>
      </c>
      <c r="Z717">
        <f t="shared" si="156"/>
        <v>0</v>
      </c>
      <c r="AA717">
        <f t="shared" si="156"/>
        <v>0</v>
      </c>
      <c r="AB717">
        <f t="shared" si="156"/>
        <v>0</v>
      </c>
      <c r="AC717">
        <f t="shared" si="156"/>
        <v>1.4809868938927759E-4</v>
      </c>
      <c r="AD717">
        <f t="shared" si="156"/>
        <v>0</v>
      </c>
      <c r="AE717">
        <f t="shared" si="156"/>
        <v>0</v>
      </c>
      <c r="AF717">
        <f t="shared" si="156"/>
        <v>0</v>
      </c>
      <c r="AG717">
        <f t="shared" si="156"/>
        <v>0</v>
      </c>
      <c r="AH717">
        <f t="shared" si="156"/>
        <v>0</v>
      </c>
      <c r="AI717">
        <f t="shared" si="156"/>
        <v>0</v>
      </c>
      <c r="AJ717">
        <f t="shared" si="156"/>
        <v>0</v>
      </c>
      <c r="AK717">
        <f t="shared" si="156"/>
        <v>0</v>
      </c>
      <c r="AL717">
        <f t="shared" si="156"/>
        <v>0</v>
      </c>
      <c r="AM717">
        <f t="shared" si="156"/>
        <v>0</v>
      </c>
      <c r="AN717">
        <f t="shared" si="151"/>
        <v>0</v>
      </c>
      <c r="AO717">
        <f t="shared" si="151"/>
        <v>0</v>
      </c>
      <c r="AP717">
        <f t="shared" si="151"/>
        <v>0</v>
      </c>
      <c r="AQ717">
        <f t="shared" si="151"/>
        <v>0</v>
      </c>
      <c r="AR717">
        <f t="shared" si="151"/>
        <v>0</v>
      </c>
    </row>
    <row r="718" spans="5:44" x14ac:dyDescent="0.2">
      <c r="E718" s="1">
        <f>moment_rate!$M718</f>
        <v>2.0733816514498797E-3</v>
      </c>
      <c r="F718" s="1">
        <f t="shared" si="154"/>
        <v>1.4809868938927694E-4</v>
      </c>
      <c r="G718">
        <f>moment_rate!I718-0.005</f>
        <v>7.1099999999998929</v>
      </c>
      <c r="H718" s="1">
        <f t="shared" si="155"/>
        <v>1.4809868938927694E-4</v>
      </c>
      <c r="I718">
        <f t="shared" si="157"/>
        <v>0</v>
      </c>
      <c r="J718">
        <f t="shared" si="157"/>
        <v>0</v>
      </c>
      <c r="K718">
        <f t="shared" si="157"/>
        <v>0</v>
      </c>
      <c r="L718">
        <f t="shared" si="157"/>
        <v>0</v>
      </c>
      <c r="M718">
        <f t="shared" si="157"/>
        <v>0</v>
      </c>
      <c r="N718">
        <f t="shared" si="157"/>
        <v>0</v>
      </c>
      <c r="O718">
        <f t="shared" si="157"/>
        <v>0</v>
      </c>
      <c r="P718">
        <f t="shared" si="157"/>
        <v>0</v>
      </c>
      <c r="Q718">
        <f t="shared" si="157"/>
        <v>0</v>
      </c>
      <c r="R718">
        <f t="shared" si="157"/>
        <v>0</v>
      </c>
      <c r="S718">
        <f t="shared" si="157"/>
        <v>0</v>
      </c>
      <c r="T718">
        <f t="shared" si="157"/>
        <v>0</v>
      </c>
      <c r="U718">
        <f t="shared" si="157"/>
        <v>0</v>
      </c>
      <c r="V718">
        <f t="shared" si="157"/>
        <v>0</v>
      </c>
      <c r="W718">
        <f t="shared" si="157"/>
        <v>0</v>
      </c>
      <c r="X718">
        <f t="shared" si="157"/>
        <v>0</v>
      </c>
      <c r="Y718">
        <f t="shared" si="156"/>
        <v>0</v>
      </c>
      <c r="Z718">
        <f t="shared" si="156"/>
        <v>0</v>
      </c>
      <c r="AA718">
        <f t="shared" si="156"/>
        <v>0</v>
      </c>
      <c r="AB718">
        <f t="shared" si="156"/>
        <v>0</v>
      </c>
      <c r="AC718">
        <f t="shared" si="156"/>
        <v>0</v>
      </c>
      <c r="AD718">
        <f t="shared" si="156"/>
        <v>1.4809868938927694E-4</v>
      </c>
      <c r="AE718">
        <f t="shared" si="156"/>
        <v>0</v>
      </c>
      <c r="AF718">
        <f t="shared" si="156"/>
        <v>0</v>
      </c>
      <c r="AG718">
        <f t="shared" si="156"/>
        <v>0</v>
      </c>
      <c r="AH718">
        <f t="shared" si="156"/>
        <v>0</v>
      </c>
      <c r="AI718">
        <f t="shared" si="156"/>
        <v>0</v>
      </c>
      <c r="AJ718">
        <f t="shared" si="156"/>
        <v>0</v>
      </c>
      <c r="AK718">
        <f t="shared" si="156"/>
        <v>0</v>
      </c>
      <c r="AL718">
        <f t="shared" si="156"/>
        <v>0</v>
      </c>
      <c r="AM718">
        <f t="shared" si="156"/>
        <v>0</v>
      </c>
      <c r="AN718">
        <f t="shared" si="151"/>
        <v>0</v>
      </c>
      <c r="AO718">
        <f t="shared" si="151"/>
        <v>0</v>
      </c>
      <c r="AP718">
        <f t="shared" si="151"/>
        <v>0</v>
      </c>
      <c r="AQ718">
        <f t="shared" si="151"/>
        <v>0</v>
      </c>
      <c r="AR718">
        <f t="shared" si="151"/>
        <v>0</v>
      </c>
    </row>
    <row r="719" spans="5:44" x14ac:dyDescent="0.2">
      <c r="E719" s="1">
        <f>moment_rate!$M719</f>
        <v>1.9252829620606028E-3</v>
      </c>
      <c r="F719" s="1">
        <f t="shared" si="154"/>
        <v>1.4809868938927737E-4</v>
      </c>
      <c r="G719">
        <f>moment_rate!I719-0.005</f>
        <v>7.1199999999998926</v>
      </c>
      <c r="H719" s="1">
        <f t="shared" si="155"/>
        <v>1.4809868938927737E-4</v>
      </c>
      <c r="I719">
        <f t="shared" si="157"/>
        <v>0</v>
      </c>
      <c r="J719">
        <f t="shared" si="157"/>
        <v>0</v>
      </c>
      <c r="K719">
        <f t="shared" si="157"/>
        <v>0</v>
      </c>
      <c r="L719">
        <f t="shared" si="157"/>
        <v>0</v>
      </c>
      <c r="M719">
        <f t="shared" si="157"/>
        <v>0</v>
      </c>
      <c r="N719">
        <f t="shared" si="157"/>
        <v>0</v>
      </c>
      <c r="O719">
        <f t="shared" si="157"/>
        <v>0</v>
      </c>
      <c r="P719">
        <f t="shared" si="157"/>
        <v>0</v>
      </c>
      <c r="Q719">
        <f t="shared" si="157"/>
        <v>0</v>
      </c>
      <c r="R719">
        <f t="shared" si="157"/>
        <v>0</v>
      </c>
      <c r="S719">
        <f t="shared" si="157"/>
        <v>0</v>
      </c>
      <c r="T719">
        <f t="shared" si="157"/>
        <v>0</v>
      </c>
      <c r="U719">
        <f t="shared" si="157"/>
        <v>0</v>
      </c>
      <c r="V719">
        <f t="shared" si="157"/>
        <v>0</v>
      </c>
      <c r="W719">
        <f t="shared" si="157"/>
        <v>0</v>
      </c>
      <c r="X719">
        <f t="shared" si="157"/>
        <v>0</v>
      </c>
      <c r="Y719">
        <f t="shared" si="156"/>
        <v>0</v>
      </c>
      <c r="Z719">
        <f t="shared" si="156"/>
        <v>0</v>
      </c>
      <c r="AA719">
        <f t="shared" si="156"/>
        <v>0</v>
      </c>
      <c r="AB719">
        <f t="shared" si="156"/>
        <v>0</v>
      </c>
      <c r="AC719">
        <f t="shared" si="156"/>
        <v>0</v>
      </c>
      <c r="AD719">
        <f t="shared" si="156"/>
        <v>1.4809868938927737E-4</v>
      </c>
      <c r="AE719">
        <f t="shared" si="156"/>
        <v>0</v>
      </c>
      <c r="AF719">
        <f t="shared" si="156"/>
        <v>0</v>
      </c>
      <c r="AG719">
        <f t="shared" si="156"/>
        <v>0</v>
      </c>
      <c r="AH719">
        <f t="shared" si="156"/>
        <v>0</v>
      </c>
      <c r="AI719">
        <f t="shared" si="156"/>
        <v>0</v>
      </c>
      <c r="AJ719">
        <f t="shared" si="156"/>
        <v>0</v>
      </c>
      <c r="AK719">
        <f t="shared" si="156"/>
        <v>0</v>
      </c>
      <c r="AL719">
        <f t="shared" si="156"/>
        <v>0</v>
      </c>
      <c r="AM719">
        <f t="shared" si="156"/>
        <v>0</v>
      </c>
      <c r="AN719">
        <f t="shared" si="151"/>
        <v>0</v>
      </c>
      <c r="AO719">
        <f t="shared" si="151"/>
        <v>0</v>
      </c>
      <c r="AP719">
        <f t="shared" si="151"/>
        <v>0</v>
      </c>
      <c r="AQ719">
        <f t="shared" si="151"/>
        <v>0</v>
      </c>
      <c r="AR719">
        <f t="shared" si="151"/>
        <v>0</v>
      </c>
    </row>
    <row r="720" spans="5:44" x14ac:dyDescent="0.2">
      <c r="E720" s="1">
        <f>moment_rate!$M720</f>
        <v>1.7771842726713254E-3</v>
      </c>
      <c r="F720" s="1">
        <f t="shared" si="154"/>
        <v>1.4809868938927694E-4</v>
      </c>
      <c r="G720">
        <f>moment_rate!I720-0.005</f>
        <v>7.1299999999998924</v>
      </c>
      <c r="H720" s="1">
        <f t="shared" si="155"/>
        <v>1.4809868938927694E-4</v>
      </c>
      <c r="I720">
        <f t="shared" si="157"/>
        <v>0</v>
      </c>
      <c r="J720">
        <f t="shared" si="157"/>
        <v>0</v>
      </c>
      <c r="K720">
        <f t="shared" si="157"/>
        <v>0</v>
      </c>
      <c r="L720">
        <f t="shared" si="157"/>
        <v>0</v>
      </c>
      <c r="M720">
        <f t="shared" si="157"/>
        <v>0</v>
      </c>
      <c r="N720">
        <f t="shared" si="157"/>
        <v>0</v>
      </c>
      <c r="O720">
        <f t="shared" si="157"/>
        <v>0</v>
      </c>
      <c r="P720">
        <f t="shared" si="157"/>
        <v>0</v>
      </c>
      <c r="Q720">
        <f t="shared" si="157"/>
        <v>0</v>
      </c>
      <c r="R720">
        <f t="shared" si="157"/>
        <v>0</v>
      </c>
      <c r="S720">
        <f t="shared" si="157"/>
        <v>0</v>
      </c>
      <c r="T720">
        <f t="shared" si="157"/>
        <v>0</v>
      </c>
      <c r="U720">
        <f t="shared" si="157"/>
        <v>0</v>
      </c>
      <c r="V720">
        <f t="shared" si="157"/>
        <v>0</v>
      </c>
      <c r="W720">
        <f t="shared" si="157"/>
        <v>0</v>
      </c>
      <c r="X720">
        <f t="shared" si="157"/>
        <v>0</v>
      </c>
      <c r="Y720">
        <f t="shared" si="156"/>
        <v>0</v>
      </c>
      <c r="Z720">
        <f t="shared" si="156"/>
        <v>0</v>
      </c>
      <c r="AA720">
        <f t="shared" si="156"/>
        <v>0</v>
      </c>
      <c r="AB720">
        <f t="shared" si="156"/>
        <v>0</v>
      </c>
      <c r="AC720">
        <f t="shared" si="156"/>
        <v>0</v>
      </c>
      <c r="AD720">
        <f t="shared" si="156"/>
        <v>1.4809868938927694E-4</v>
      </c>
      <c r="AE720">
        <f t="shared" si="156"/>
        <v>0</v>
      </c>
      <c r="AF720">
        <f t="shared" si="156"/>
        <v>0</v>
      </c>
      <c r="AG720">
        <f t="shared" si="156"/>
        <v>0</v>
      </c>
      <c r="AH720">
        <f t="shared" si="156"/>
        <v>0</v>
      </c>
      <c r="AI720">
        <f t="shared" si="156"/>
        <v>0</v>
      </c>
      <c r="AJ720">
        <f t="shared" si="156"/>
        <v>0</v>
      </c>
      <c r="AK720">
        <f t="shared" si="156"/>
        <v>0</v>
      </c>
      <c r="AL720">
        <f t="shared" si="156"/>
        <v>0</v>
      </c>
      <c r="AM720">
        <f t="shared" si="156"/>
        <v>0</v>
      </c>
      <c r="AN720">
        <f t="shared" si="151"/>
        <v>0</v>
      </c>
      <c r="AO720">
        <f t="shared" si="151"/>
        <v>0</v>
      </c>
      <c r="AP720">
        <f t="shared" si="151"/>
        <v>0</v>
      </c>
      <c r="AQ720">
        <f t="shared" si="151"/>
        <v>0</v>
      </c>
      <c r="AR720">
        <f t="shared" si="151"/>
        <v>0</v>
      </c>
    </row>
    <row r="721" spans="5:44" x14ac:dyDescent="0.2">
      <c r="E721" s="1">
        <f>moment_rate!$M721</f>
        <v>1.6290855832820485E-3</v>
      </c>
      <c r="F721" s="1">
        <f t="shared" si="154"/>
        <v>1.4809868938927737E-4</v>
      </c>
      <c r="G721">
        <f>moment_rate!I721-0.005</f>
        <v>7.1399999999998922</v>
      </c>
      <c r="H721" s="1">
        <f t="shared" si="155"/>
        <v>1.4809868938927737E-4</v>
      </c>
      <c r="I721">
        <f t="shared" si="157"/>
        <v>0</v>
      </c>
      <c r="J721">
        <f t="shared" si="157"/>
        <v>0</v>
      </c>
      <c r="K721">
        <f t="shared" si="157"/>
        <v>0</v>
      </c>
      <c r="L721">
        <f t="shared" si="157"/>
        <v>0</v>
      </c>
      <c r="M721">
        <f t="shared" si="157"/>
        <v>0</v>
      </c>
      <c r="N721">
        <f t="shared" si="157"/>
        <v>0</v>
      </c>
      <c r="O721">
        <f t="shared" si="157"/>
        <v>0</v>
      </c>
      <c r="P721">
        <f t="shared" si="157"/>
        <v>0</v>
      </c>
      <c r="Q721">
        <f t="shared" si="157"/>
        <v>0</v>
      </c>
      <c r="R721">
        <f t="shared" si="157"/>
        <v>0</v>
      </c>
      <c r="S721">
        <f t="shared" si="157"/>
        <v>0</v>
      </c>
      <c r="T721">
        <f t="shared" si="157"/>
        <v>0</v>
      </c>
      <c r="U721">
        <f t="shared" si="157"/>
        <v>0</v>
      </c>
      <c r="V721">
        <f t="shared" si="157"/>
        <v>0</v>
      </c>
      <c r="W721">
        <f t="shared" si="157"/>
        <v>0</v>
      </c>
      <c r="X721">
        <f t="shared" si="157"/>
        <v>0</v>
      </c>
      <c r="Y721">
        <f t="shared" si="156"/>
        <v>0</v>
      </c>
      <c r="Z721">
        <f t="shared" si="156"/>
        <v>0</v>
      </c>
      <c r="AA721">
        <f t="shared" si="156"/>
        <v>0</v>
      </c>
      <c r="AB721">
        <f t="shared" si="156"/>
        <v>0</v>
      </c>
      <c r="AC721">
        <f t="shared" si="156"/>
        <v>0</v>
      </c>
      <c r="AD721">
        <f t="shared" si="156"/>
        <v>1.4809868938927737E-4</v>
      </c>
      <c r="AE721">
        <f t="shared" si="156"/>
        <v>0</v>
      </c>
      <c r="AF721">
        <f t="shared" si="156"/>
        <v>0</v>
      </c>
      <c r="AG721">
        <f t="shared" si="156"/>
        <v>0</v>
      </c>
      <c r="AH721">
        <f t="shared" si="156"/>
        <v>0</v>
      </c>
      <c r="AI721">
        <f t="shared" si="156"/>
        <v>0</v>
      </c>
      <c r="AJ721">
        <f t="shared" si="156"/>
        <v>0</v>
      </c>
      <c r="AK721">
        <f t="shared" si="156"/>
        <v>0</v>
      </c>
      <c r="AL721">
        <f t="shared" si="156"/>
        <v>0</v>
      </c>
      <c r="AM721">
        <f t="shared" si="156"/>
        <v>0</v>
      </c>
      <c r="AN721">
        <f t="shared" si="151"/>
        <v>0</v>
      </c>
      <c r="AO721">
        <f t="shared" si="151"/>
        <v>0</v>
      </c>
      <c r="AP721">
        <f t="shared" si="151"/>
        <v>0</v>
      </c>
      <c r="AQ721">
        <f t="shared" si="151"/>
        <v>0</v>
      </c>
      <c r="AR721">
        <f t="shared" si="151"/>
        <v>0</v>
      </c>
    </row>
    <row r="722" spans="5:44" x14ac:dyDescent="0.2">
      <c r="E722" s="1">
        <f>moment_rate!$M722</f>
        <v>1.4809868938927711E-3</v>
      </c>
      <c r="F722" s="1">
        <f t="shared" si="154"/>
        <v>1.4809868938927694E-4</v>
      </c>
      <c r="G722">
        <f>moment_rate!I722-0.005</f>
        <v>7.149999999999892</v>
      </c>
      <c r="H722" s="1">
        <f t="shared" si="155"/>
        <v>1.4809868938927694E-4</v>
      </c>
      <c r="I722">
        <f t="shared" si="157"/>
        <v>0</v>
      </c>
      <c r="J722">
        <f t="shared" si="157"/>
        <v>0</v>
      </c>
      <c r="K722">
        <f t="shared" si="157"/>
        <v>0</v>
      </c>
      <c r="L722">
        <f t="shared" si="157"/>
        <v>0</v>
      </c>
      <c r="M722">
        <f t="shared" si="157"/>
        <v>0</v>
      </c>
      <c r="N722">
        <f t="shared" si="157"/>
        <v>0</v>
      </c>
      <c r="O722">
        <f t="shared" si="157"/>
        <v>0</v>
      </c>
      <c r="P722">
        <f t="shared" si="157"/>
        <v>0</v>
      </c>
      <c r="Q722">
        <f t="shared" si="157"/>
        <v>0</v>
      </c>
      <c r="R722">
        <f t="shared" si="157"/>
        <v>0</v>
      </c>
      <c r="S722">
        <f t="shared" si="157"/>
        <v>0</v>
      </c>
      <c r="T722">
        <f t="shared" si="157"/>
        <v>0</v>
      </c>
      <c r="U722">
        <f t="shared" si="157"/>
        <v>0</v>
      </c>
      <c r="V722">
        <f t="shared" si="157"/>
        <v>0</v>
      </c>
      <c r="W722">
        <f t="shared" si="157"/>
        <v>0</v>
      </c>
      <c r="X722">
        <f t="shared" si="157"/>
        <v>0</v>
      </c>
      <c r="Y722">
        <f t="shared" si="156"/>
        <v>0</v>
      </c>
      <c r="Z722">
        <f t="shared" si="156"/>
        <v>0</v>
      </c>
      <c r="AA722">
        <f t="shared" si="156"/>
        <v>0</v>
      </c>
      <c r="AB722">
        <f t="shared" si="156"/>
        <v>0</v>
      </c>
      <c r="AC722">
        <f t="shared" si="156"/>
        <v>0</v>
      </c>
      <c r="AD722">
        <f t="shared" si="156"/>
        <v>1.4809868938927694E-4</v>
      </c>
      <c r="AE722">
        <f t="shared" si="156"/>
        <v>0</v>
      </c>
      <c r="AF722">
        <f t="shared" si="156"/>
        <v>0</v>
      </c>
      <c r="AG722">
        <f t="shared" si="156"/>
        <v>0</v>
      </c>
      <c r="AH722">
        <f t="shared" si="156"/>
        <v>0</v>
      </c>
      <c r="AI722">
        <f t="shared" si="156"/>
        <v>0</v>
      </c>
      <c r="AJ722">
        <f t="shared" si="156"/>
        <v>0</v>
      </c>
      <c r="AK722">
        <f t="shared" si="156"/>
        <v>0</v>
      </c>
      <c r="AL722">
        <f t="shared" si="156"/>
        <v>0</v>
      </c>
      <c r="AM722">
        <f t="shared" si="156"/>
        <v>0</v>
      </c>
      <c r="AN722">
        <f t="shared" si="151"/>
        <v>0</v>
      </c>
      <c r="AO722">
        <f t="shared" si="151"/>
        <v>0</v>
      </c>
      <c r="AP722">
        <f t="shared" si="151"/>
        <v>0</v>
      </c>
      <c r="AQ722">
        <f t="shared" si="151"/>
        <v>0</v>
      </c>
      <c r="AR722">
        <f t="shared" si="151"/>
        <v>0</v>
      </c>
    </row>
    <row r="723" spans="5:44" x14ac:dyDescent="0.2">
      <c r="E723" s="1">
        <f>moment_rate!$M723</f>
        <v>1.3328882045034942E-3</v>
      </c>
      <c r="F723" s="1">
        <f t="shared" si="154"/>
        <v>1.4809868938927715E-4</v>
      </c>
      <c r="G723">
        <f>moment_rate!I723-0.005</f>
        <v>7.1599999999998918</v>
      </c>
      <c r="H723" s="1">
        <f t="shared" si="155"/>
        <v>1.4809868938927715E-4</v>
      </c>
      <c r="I723">
        <f t="shared" si="157"/>
        <v>0</v>
      </c>
      <c r="J723">
        <f t="shared" si="157"/>
        <v>0</v>
      </c>
      <c r="K723">
        <f t="shared" si="157"/>
        <v>0</v>
      </c>
      <c r="L723">
        <f t="shared" si="157"/>
        <v>0</v>
      </c>
      <c r="M723">
        <f t="shared" si="157"/>
        <v>0</v>
      </c>
      <c r="N723">
        <f t="shared" si="157"/>
        <v>0</v>
      </c>
      <c r="O723">
        <f t="shared" si="157"/>
        <v>0</v>
      </c>
      <c r="P723">
        <f t="shared" si="157"/>
        <v>0</v>
      </c>
      <c r="Q723">
        <f t="shared" si="157"/>
        <v>0</v>
      </c>
      <c r="R723">
        <f t="shared" si="157"/>
        <v>0</v>
      </c>
      <c r="S723">
        <f t="shared" si="157"/>
        <v>0</v>
      </c>
      <c r="T723">
        <f t="shared" si="157"/>
        <v>0</v>
      </c>
      <c r="U723">
        <f t="shared" si="157"/>
        <v>0</v>
      </c>
      <c r="V723">
        <f t="shared" si="157"/>
        <v>0</v>
      </c>
      <c r="W723">
        <f t="shared" si="157"/>
        <v>0</v>
      </c>
      <c r="X723">
        <f t="shared" si="157"/>
        <v>0</v>
      </c>
      <c r="Y723">
        <f t="shared" si="156"/>
        <v>0</v>
      </c>
      <c r="Z723">
        <f t="shared" si="156"/>
        <v>0</v>
      </c>
      <c r="AA723">
        <f t="shared" si="156"/>
        <v>0</v>
      </c>
      <c r="AB723">
        <f t="shared" si="156"/>
        <v>0</v>
      </c>
      <c r="AC723">
        <f t="shared" si="156"/>
        <v>0</v>
      </c>
      <c r="AD723">
        <f t="shared" si="156"/>
        <v>1.4809868938927715E-4</v>
      </c>
      <c r="AE723">
        <f t="shared" si="156"/>
        <v>0</v>
      </c>
      <c r="AF723">
        <f t="shared" si="156"/>
        <v>0</v>
      </c>
      <c r="AG723">
        <f t="shared" si="156"/>
        <v>0</v>
      </c>
      <c r="AH723">
        <f t="shared" si="156"/>
        <v>0</v>
      </c>
      <c r="AI723">
        <f t="shared" si="156"/>
        <v>0</v>
      </c>
      <c r="AJ723">
        <f t="shared" si="156"/>
        <v>0</v>
      </c>
      <c r="AK723">
        <f t="shared" si="156"/>
        <v>0</v>
      </c>
      <c r="AL723">
        <f t="shared" si="156"/>
        <v>0</v>
      </c>
      <c r="AM723">
        <f t="shared" si="156"/>
        <v>0</v>
      </c>
      <c r="AN723">
        <f t="shared" si="151"/>
        <v>0</v>
      </c>
      <c r="AO723">
        <f t="shared" si="151"/>
        <v>0</v>
      </c>
      <c r="AP723">
        <f t="shared" si="151"/>
        <v>0</v>
      </c>
      <c r="AQ723">
        <f t="shared" si="151"/>
        <v>0</v>
      </c>
      <c r="AR723">
        <f t="shared" si="151"/>
        <v>0</v>
      </c>
    </row>
    <row r="724" spans="5:44" x14ac:dyDescent="0.2">
      <c r="E724" s="1">
        <f>moment_rate!$M724</f>
        <v>1.184789515114217E-3</v>
      </c>
      <c r="F724" s="1">
        <f t="shared" si="154"/>
        <v>1.4809868938927715E-4</v>
      </c>
      <c r="G724">
        <f>moment_rate!I724-0.005</f>
        <v>7.1699999999998916</v>
      </c>
      <c r="H724" s="1">
        <f t="shared" si="155"/>
        <v>1.4809868938927715E-4</v>
      </c>
      <c r="I724">
        <f t="shared" si="157"/>
        <v>0</v>
      </c>
      <c r="J724">
        <f t="shared" si="157"/>
        <v>0</v>
      </c>
      <c r="K724">
        <f t="shared" si="157"/>
        <v>0</v>
      </c>
      <c r="L724">
        <f t="shared" si="157"/>
        <v>0</v>
      </c>
      <c r="M724">
        <f t="shared" si="157"/>
        <v>0</v>
      </c>
      <c r="N724">
        <f t="shared" si="157"/>
        <v>0</v>
      </c>
      <c r="O724">
        <f t="shared" si="157"/>
        <v>0</v>
      </c>
      <c r="P724">
        <f t="shared" si="157"/>
        <v>0</v>
      </c>
      <c r="Q724">
        <f t="shared" si="157"/>
        <v>0</v>
      </c>
      <c r="R724">
        <f t="shared" si="157"/>
        <v>0</v>
      </c>
      <c r="S724">
        <f t="shared" si="157"/>
        <v>0</v>
      </c>
      <c r="T724">
        <f t="shared" si="157"/>
        <v>0</v>
      </c>
      <c r="U724">
        <f t="shared" si="157"/>
        <v>0</v>
      </c>
      <c r="V724">
        <f t="shared" si="157"/>
        <v>0</v>
      </c>
      <c r="W724">
        <f t="shared" si="157"/>
        <v>0</v>
      </c>
      <c r="X724">
        <f t="shared" si="157"/>
        <v>0</v>
      </c>
      <c r="Y724">
        <f t="shared" si="156"/>
        <v>0</v>
      </c>
      <c r="Z724">
        <f t="shared" si="156"/>
        <v>0</v>
      </c>
      <c r="AA724">
        <f t="shared" si="156"/>
        <v>0</v>
      </c>
      <c r="AB724">
        <f t="shared" si="156"/>
        <v>0</v>
      </c>
      <c r="AC724">
        <f t="shared" si="156"/>
        <v>0</v>
      </c>
      <c r="AD724">
        <f t="shared" si="156"/>
        <v>1.4809868938927715E-4</v>
      </c>
      <c r="AE724">
        <f t="shared" si="156"/>
        <v>0</v>
      </c>
      <c r="AF724">
        <f t="shared" si="156"/>
        <v>0</v>
      </c>
      <c r="AG724">
        <f t="shared" si="156"/>
        <v>0</v>
      </c>
      <c r="AH724">
        <f t="shared" si="156"/>
        <v>0</v>
      </c>
      <c r="AI724">
        <f t="shared" si="156"/>
        <v>0</v>
      </c>
      <c r="AJ724">
        <f t="shared" si="156"/>
        <v>0</v>
      </c>
      <c r="AK724">
        <f t="shared" si="156"/>
        <v>0</v>
      </c>
      <c r="AL724">
        <f t="shared" si="156"/>
        <v>0</v>
      </c>
      <c r="AM724">
        <f t="shared" si="156"/>
        <v>0</v>
      </c>
      <c r="AN724">
        <f t="shared" si="151"/>
        <v>0</v>
      </c>
      <c r="AO724">
        <f t="shared" si="151"/>
        <v>0</v>
      </c>
      <c r="AP724">
        <f t="shared" si="151"/>
        <v>0</v>
      </c>
      <c r="AQ724">
        <f t="shared" si="151"/>
        <v>0</v>
      </c>
      <c r="AR724">
        <f t="shared" si="151"/>
        <v>0</v>
      </c>
    </row>
    <row r="725" spans="5:44" x14ac:dyDescent="0.2">
      <c r="E725" s="1">
        <f>moment_rate!$M725</f>
        <v>1.0366908257249399E-3</v>
      </c>
      <c r="F725" s="1">
        <f t="shared" si="154"/>
        <v>1.4809868938927715E-4</v>
      </c>
      <c r="G725">
        <f>moment_rate!I725-0.005</f>
        <v>7.1799999999998914</v>
      </c>
      <c r="H725" s="1">
        <f t="shared" si="155"/>
        <v>1.4809868938927715E-4</v>
      </c>
      <c r="I725">
        <f t="shared" si="157"/>
        <v>0</v>
      </c>
      <c r="J725">
        <f t="shared" si="157"/>
        <v>0</v>
      </c>
      <c r="K725">
        <f t="shared" si="157"/>
        <v>0</v>
      </c>
      <c r="L725">
        <f t="shared" si="157"/>
        <v>0</v>
      </c>
      <c r="M725">
        <f t="shared" si="157"/>
        <v>0</v>
      </c>
      <c r="N725">
        <f t="shared" si="157"/>
        <v>0</v>
      </c>
      <c r="O725">
        <f t="shared" si="157"/>
        <v>0</v>
      </c>
      <c r="P725">
        <f t="shared" si="157"/>
        <v>0</v>
      </c>
      <c r="Q725">
        <f t="shared" si="157"/>
        <v>0</v>
      </c>
      <c r="R725">
        <f t="shared" si="157"/>
        <v>0</v>
      </c>
      <c r="S725">
        <f t="shared" si="157"/>
        <v>0</v>
      </c>
      <c r="T725">
        <f t="shared" si="157"/>
        <v>0</v>
      </c>
      <c r="U725">
        <f t="shared" si="157"/>
        <v>0</v>
      </c>
      <c r="V725">
        <f t="shared" si="157"/>
        <v>0</v>
      </c>
      <c r="W725">
        <f t="shared" si="157"/>
        <v>0</v>
      </c>
      <c r="X725">
        <f t="shared" si="157"/>
        <v>0</v>
      </c>
      <c r="Y725">
        <f t="shared" si="156"/>
        <v>0</v>
      </c>
      <c r="Z725">
        <f t="shared" si="156"/>
        <v>0</v>
      </c>
      <c r="AA725">
        <f t="shared" si="156"/>
        <v>0</v>
      </c>
      <c r="AB725">
        <f t="shared" si="156"/>
        <v>0</v>
      </c>
      <c r="AC725">
        <f t="shared" si="156"/>
        <v>0</v>
      </c>
      <c r="AD725">
        <f t="shared" si="156"/>
        <v>1.4809868938927715E-4</v>
      </c>
      <c r="AE725">
        <f t="shared" si="156"/>
        <v>0</v>
      </c>
      <c r="AF725">
        <f t="shared" si="156"/>
        <v>0</v>
      </c>
      <c r="AG725">
        <f t="shared" si="156"/>
        <v>0</v>
      </c>
      <c r="AH725">
        <f t="shared" si="156"/>
        <v>0</v>
      </c>
      <c r="AI725">
        <f t="shared" si="156"/>
        <v>0</v>
      </c>
      <c r="AJ725">
        <f t="shared" si="156"/>
        <v>0</v>
      </c>
      <c r="AK725">
        <f t="shared" si="156"/>
        <v>0</v>
      </c>
      <c r="AL725">
        <f t="shared" si="156"/>
        <v>0</v>
      </c>
      <c r="AM725">
        <f t="shared" si="156"/>
        <v>0</v>
      </c>
      <c r="AN725">
        <f t="shared" si="151"/>
        <v>0</v>
      </c>
      <c r="AO725">
        <f t="shared" si="151"/>
        <v>0</v>
      </c>
      <c r="AP725">
        <f t="shared" si="151"/>
        <v>0</v>
      </c>
      <c r="AQ725">
        <f t="shared" si="151"/>
        <v>0</v>
      </c>
      <c r="AR725">
        <f t="shared" si="151"/>
        <v>0</v>
      </c>
    </row>
    <row r="726" spans="5:44" x14ac:dyDescent="0.2">
      <c r="E726" s="1">
        <f>moment_rate!$M726</f>
        <v>8.8859213633566271E-4</v>
      </c>
      <c r="F726" s="1">
        <f t="shared" si="154"/>
        <v>1.4809868938927715E-4</v>
      </c>
      <c r="G726">
        <f>moment_rate!I726-0.005</f>
        <v>7.1899999999998911</v>
      </c>
      <c r="H726" s="1">
        <f t="shared" si="155"/>
        <v>1.4809868938927715E-4</v>
      </c>
      <c r="I726">
        <f t="shared" si="157"/>
        <v>0</v>
      </c>
      <c r="J726">
        <f t="shared" si="157"/>
        <v>0</v>
      </c>
      <c r="K726">
        <f t="shared" si="157"/>
        <v>0</v>
      </c>
      <c r="L726">
        <f t="shared" si="157"/>
        <v>0</v>
      </c>
      <c r="M726">
        <f t="shared" si="157"/>
        <v>0</v>
      </c>
      <c r="N726">
        <f t="shared" si="157"/>
        <v>0</v>
      </c>
      <c r="O726">
        <f t="shared" si="157"/>
        <v>0</v>
      </c>
      <c r="P726">
        <f t="shared" si="157"/>
        <v>0</v>
      </c>
      <c r="Q726">
        <f t="shared" si="157"/>
        <v>0</v>
      </c>
      <c r="R726">
        <f t="shared" si="157"/>
        <v>0</v>
      </c>
      <c r="S726">
        <f t="shared" si="157"/>
        <v>0</v>
      </c>
      <c r="T726">
        <f t="shared" si="157"/>
        <v>0</v>
      </c>
      <c r="U726">
        <f t="shared" si="157"/>
        <v>0</v>
      </c>
      <c r="V726">
        <f t="shared" si="157"/>
        <v>0</v>
      </c>
      <c r="W726">
        <f t="shared" si="157"/>
        <v>0</v>
      </c>
      <c r="X726">
        <f t="shared" si="157"/>
        <v>0</v>
      </c>
      <c r="Y726">
        <f t="shared" si="156"/>
        <v>0</v>
      </c>
      <c r="Z726">
        <f t="shared" si="156"/>
        <v>0</v>
      </c>
      <c r="AA726">
        <f t="shared" si="156"/>
        <v>0</v>
      </c>
      <c r="AB726">
        <f t="shared" si="156"/>
        <v>0</v>
      </c>
      <c r="AC726">
        <f t="shared" si="156"/>
        <v>0</v>
      </c>
      <c r="AD726">
        <f t="shared" si="156"/>
        <v>1.4809868938927715E-4</v>
      </c>
      <c r="AE726">
        <f t="shared" si="156"/>
        <v>0</v>
      </c>
      <c r="AF726">
        <f t="shared" si="156"/>
        <v>0</v>
      </c>
      <c r="AG726">
        <f t="shared" si="156"/>
        <v>0</v>
      </c>
      <c r="AH726">
        <f t="shared" si="156"/>
        <v>0</v>
      </c>
      <c r="AI726">
        <f t="shared" si="156"/>
        <v>0</v>
      </c>
      <c r="AJ726">
        <f t="shared" si="156"/>
        <v>0</v>
      </c>
      <c r="AK726">
        <f t="shared" si="156"/>
        <v>0</v>
      </c>
      <c r="AL726">
        <f t="shared" si="156"/>
        <v>0</v>
      </c>
      <c r="AM726">
        <f t="shared" si="156"/>
        <v>0</v>
      </c>
      <c r="AN726">
        <f t="shared" si="151"/>
        <v>0</v>
      </c>
      <c r="AO726">
        <f t="shared" si="151"/>
        <v>0</v>
      </c>
      <c r="AP726">
        <f t="shared" si="151"/>
        <v>0</v>
      </c>
      <c r="AQ726">
        <f t="shared" si="151"/>
        <v>0</v>
      </c>
      <c r="AR726">
        <f t="shared" si="151"/>
        <v>0</v>
      </c>
    </row>
    <row r="727" spans="5:44" x14ac:dyDescent="0.2">
      <c r="E727" s="1">
        <f>moment_rate!$M727</f>
        <v>7.4049344694638555E-4</v>
      </c>
      <c r="F727" s="1">
        <f t="shared" si="154"/>
        <v>1.4809868938927705E-4</v>
      </c>
      <c r="G727">
        <f>moment_rate!I727-0.005</f>
        <v>7.1999999999998909</v>
      </c>
      <c r="H727" s="1">
        <f t="shared" si="155"/>
        <v>1.4809868938927705E-4</v>
      </c>
      <c r="I727">
        <f t="shared" si="157"/>
        <v>0</v>
      </c>
      <c r="J727">
        <f t="shared" si="157"/>
        <v>0</v>
      </c>
      <c r="K727">
        <f t="shared" si="157"/>
        <v>0</v>
      </c>
      <c r="L727">
        <f t="shared" si="157"/>
        <v>0</v>
      </c>
      <c r="M727">
        <f t="shared" si="157"/>
        <v>0</v>
      </c>
      <c r="N727">
        <f t="shared" si="157"/>
        <v>0</v>
      </c>
      <c r="O727">
        <f t="shared" si="157"/>
        <v>0</v>
      </c>
      <c r="P727">
        <f t="shared" si="157"/>
        <v>0</v>
      </c>
      <c r="Q727">
        <f t="shared" si="157"/>
        <v>0</v>
      </c>
      <c r="R727">
        <f t="shared" si="157"/>
        <v>0</v>
      </c>
      <c r="S727">
        <f t="shared" si="157"/>
        <v>0</v>
      </c>
      <c r="T727">
        <f t="shared" si="157"/>
        <v>0</v>
      </c>
      <c r="U727">
        <f t="shared" si="157"/>
        <v>0</v>
      </c>
      <c r="V727">
        <f t="shared" si="157"/>
        <v>0</v>
      </c>
      <c r="W727">
        <f t="shared" si="157"/>
        <v>0</v>
      </c>
      <c r="X727">
        <f t="shared" si="157"/>
        <v>0</v>
      </c>
      <c r="Y727">
        <f t="shared" si="156"/>
        <v>0</v>
      </c>
      <c r="Z727">
        <f t="shared" si="156"/>
        <v>0</v>
      </c>
      <c r="AA727">
        <f t="shared" si="156"/>
        <v>0</v>
      </c>
      <c r="AB727">
        <f t="shared" si="156"/>
        <v>0</v>
      </c>
      <c r="AC727">
        <f t="shared" si="156"/>
        <v>0</v>
      </c>
      <c r="AD727">
        <f t="shared" si="156"/>
        <v>1.4809868938927705E-4</v>
      </c>
      <c r="AE727">
        <f t="shared" si="156"/>
        <v>0</v>
      </c>
      <c r="AF727">
        <f t="shared" si="156"/>
        <v>0</v>
      </c>
      <c r="AG727">
        <f t="shared" si="156"/>
        <v>0</v>
      </c>
      <c r="AH727">
        <f t="shared" si="156"/>
        <v>0</v>
      </c>
      <c r="AI727">
        <f t="shared" si="156"/>
        <v>0</v>
      </c>
      <c r="AJ727">
        <f t="shared" si="156"/>
        <v>0</v>
      </c>
      <c r="AK727">
        <f t="shared" si="156"/>
        <v>0</v>
      </c>
      <c r="AL727">
        <f t="shared" si="156"/>
        <v>0</v>
      </c>
      <c r="AM727">
        <f t="shared" si="156"/>
        <v>0</v>
      </c>
      <c r="AN727">
        <f t="shared" si="151"/>
        <v>0</v>
      </c>
      <c r="AO727">
        <f t="shared" si="151"/>
        <v>0</v>
      </c>
      <c r="AP727">
        <f t="shared" si="151"/>
        <v>0</v>
      </c>
      <c r="AQ727">
        <f t="shared" si="151"/>
        <v>0</v>
      </c>
      <c r="AR727">
        <f t="shared" si="151"/>
        <v>0</v>
      </c>
    </row>
    <row r="728" spans="5:44" x14ac:dyDescent="0.2">
      <c r="E728" s="1">
        <f>moment_rate!$M728</f>
        <v>5.9239475755710851E-4</v>
      </c>
      <c r="F728" s="1">
        <f t="shared" si="154"/>
        <v>1.4809868938927715E-4</v>
      </c>
      <c r="G728">
        <f>moment_rate!I728-0.005</f>
        <v>7.2099999999998907</v>
      </c>
      <c r="H728" s="1">
        <f t="shared" si="155"/>
        <v>1.4809868938927715E-4</v>
      </c>
      <c r="I728">
        <f t="shared" si="157"/>
        <v>0</v>
      </c>
      <c r="J728">
        <f t="shared" si="157"/>
        <v>0</v>
      </c>
      <c r="K728">
        <f t="shared" si="157"/>
        <v>0</v>
      </c>
      <c r="L728">
        <f t="shared" si="157"/>
        <v>0</v>
      </c>
      <c r="M728">
        <f t="shared" si="157"/>
        <v>0</v>
      </c>
      <c r="N728">
        <f t="shared" si="157"/>
        <v>0</v>
      </c>
      <c r="O728">
        <f t="shared" si="157"/>
        <v>0</v>
      </c>
      <c r="P728">
        <f t="shared" si="157"/>
        <v>0</v>
      </c>
      <c r="Q728">
        <f t="shared" si="157"/>
        <v>0</v>
      </c>
      <c r="R728">
        <f t="shared" si="157"/>
        <v>0</v>
      </c>
      <c r="S728">
        <f t="shared" si="157"/>
        <v>0</v>
      </c>
      <c r="T728">
        <f t="shared" si="157"/>
        <v>0</v>
      </c>
      <c r="U728">
        <f t="shared" si="157"/>
        <v>0</v>
      </c>
      <c r="V728">
        <f t="shared" si="157"/>
        <v>0</v>
      </c>
      <c r="W728">
        <f t="shared" si="157"/>
        <v>0</v>
      </c>
      <c r="X728">
        <f t="shared" si="157"/>
        <v>0</v>
      </c>
      <c r="Y728">
        <f t="shared" si="156"/>
        <v>0</v>
      </c>
      <c r="Z728">
        <f t="shared" si="156"/>
        <v>0</v>
      </c>
      <c r="AA728">
        <f t="shared" si="156"/>
        <v>0</v>
      </c>
      <c r="AB728">
        <f t="shared" si="156"/>
        <v>0</v>
      </c>
      <c r="AC728">
        <f t="shared" si="156"/>
        <v>0</v>
      </c>
      <c r="AD728">
        <f t="shared" si="156"/>
        <v>0</v>
      </c>
      <c r="AE728">
        <f t="shared" si="156"/>
        <v>1.4809868938927715E-4</v>
      </c>
      <c r="AF728">
        <f t="shared" si="156"/>
        <v>0</v>
      </c>
      <c r="AG728">
        <f t="shared" si="156"/>
        <v>0</v>
      </c>
      <c r="AH728">
        <f t="shared" si="156"/>
        <v>0</v>
      </c>
      <c r="AI728">
        <f t="shared" si="156"/>
        <v>0</v>
      </c>
      <c r="AJ728">
        <f t="shared" si="156"/>
        <v>0</v>
      </c>
      <c r="AK728">
        <f t="shared" si="156"/>
        <v>0</v>
      </c>
      <c r="AL728">
        <f t="shared" si="156"/>
        <v>0</v>
      </c>
      <c r="AM728">
        <f t="shared" si="156"/>
        <v>0</v>
      </c>
      <c r="AN728">
        <f t="shared" si="151"/>
        <v>0</v>
      </c>
      <c r="AO728">
        <f t="shared" si="151"/>
        <v>0</v>
      </c>
      <c r="AP728">
        <f t="shared" si="151"/>
        <v>0</v>
      </c>
      <c r="AQ728">
        <f t="shared" si="151"/>
        <v>0</v>
      </c>
      <c r="AR728">
        <f t="shared" si="151"/>
        <v>0</v>
      </c>
    </row>
    <row r="729" spans="5:44" x14ac:dyDescent="0.2">
      <c r="E729" s="1">
        <f>moment_rate!$M729</f>
        <v>4.4429606816783135E-4</v>
      </c>
      <c r="F729" s="1">
        <f t="shared" si="154"/>
        <v>1.480986893892771E-4</v>
      </c>
      <c r="G729">
        <f>moment_rate!I729-0.005</f>
        <v>7.2199999999998905</v>
      </c>
      <c r="H729" s="1">
        <f t="shared" si="155"/>
        <v>1.480986893892771E-4</v>
      </c>
      <c r="I729">
        <f t="shared" si="157"/>
        <v>0</v>
      </c>
      <c r="J729">
        <f t="shared" si="157"/>
        <v>0</v>
      </c>
      <c r="K729">
        <f t="shared" si="157"/>
        <v>0</v>
      </c>
      <c r="L729">
        <f t="shared" si="157"/>
        <v>0</v>
      </c>
      <c r="M729">
        <f t="shared" si="157"/>
        <v>0</v>
      </c>
      <c r="N729">
        <f t="shared" si="157"/>
        <v>0</v>
      </c>
      <c r="O729">
        <f t="shared" si="157"/>
        <v>0</v>
      </c>
      <c r="P729">
        <f t="shared" si="157"/>
        <v>0</v>
      </c>
      <c r="Q729">
        <f t="shared" si="157"/>
        <v>0</v>
      </c>
      <c r="R729">
        <f t="shared" si="157"/>
        <v>0</v>
      </c>
      <c r="S729">
        <f t="shared" si="157"/>
        <v>0</v>
      </c>
      <c r="T729">
        <f t="shared" si="157"/>
        <v>0</v>
      </c>
      <c r="U729">
        <f t="shared" si="157"/>
        <v>0</v>
      </c>
      <c r="V729">
        <f t="shared" si="157"/>
        <v>0</v>
      </c>
      <c r="W729">
        <f t="shared" si="157"/>
        <v>0</v>
      </c>
      <c r="X729">
        <f t="shared" si="157"/>
        <v>0</v>
      </c>
      <c r="Y729">
        <f t="shared" si="156"/>
        <v>0</v>
      </c>
      <c r="Z729">
        <f t="shared" si="156"/>
        <v>0</v>
      </c>
      <c r="AA729">
        <f t="shared" si="156"/>
        <v>0</v>
      </c>
      <c r="AB729">
        <f t="shared" si="156"/>
        <v>0</v>
      </c>
      <c r="AC729">
        <f t="shared" si="156"/>
        <v>0</v>
      </c>
      <c r="AD729">
        <f t="shared" si="156"/>
        <v>0</v>
      </c>
      <c r="AE729">
        <f t="shared" si="156"/>
        <v>1.480986893892771E-4</v>
      </c>
      <c r="AF729">
        <f t="shared" si="156"/>
        <v>0</v>
      </c>
      <c r="AG729">
        <f t="shared" si="156"/>
        <v>0</v>
      </c>
      <c r="AH729">
        <f t="shared" si="156"/>
        <v>0</v>
      </c>
      <c r="AI729">
        <f t="shared" si="156"/>
        <v>0</v>
      </c>
      <c r="AJ729">
        <f t="shared" si="156"/>
        <v>0</v>
      </c>
      <c r="AK729">
        <f t="shared" si="156"/>
        <v>0</v>
      </c>
      <c r="AL729">
        <f t="shared" si="156"/>
        <v>0</v>
      </c>
      <c r="AM729">
        <f t="shared" si="156"/>
        <v>0</v>
      </c>
      <c r="AN729">
        <f t="shared" si="151"/>
        <v>0</v>
      </c>
      <c r="AO729">
        <f t="shared" si="151"/>
        <v>0</v>
      </c>
      <c r="AP729">
        <f t="shared" si="151"/>
        <v>0</v>
      </c>
      <c r="AQ729">
        <f t="shared" si="151"/>
        <v>0</v>
      </c>
      <c r="AR729">
        <f t="shared" si="151"/>
        <v>0</v>
      </c>
    </row>
    <row r="730" spans="5:44" x14ac:dyDescent="0.2">
      <c r="E730" s="1">
        <f>moment_rate!$M730</f>
        <v>2.9619737877855425E-4</v>
      </c>
      <c r="F730" s="1">
        <f t="shared" si="154"/>
        <v>1.4809868938927713E-4</v>
      </c>
      <c r="G730">
        <f>moment_rate!I730-0.005</f>
        <v>7.2299999999998903</v>
      </c>
      <c r="H730" s="1">
        <f t="shared" si="155"/>
        <v>1.4809868938927713E-4</v>
      </c>
      <c r="I730">
        <f t="shared" si="157"/>
        <v>0</v>
      </c>
      <c r="J730">
        <f t="shared" si="157"/>
        <v>0</v>
      </c>
      <c r="K730">
        <f t="shared" si="157"/>
        <v>0</v>
      </c>
      <c r="L730">
        <f t="shared" si="157"/>
        <v>0</v>
      </c>
      <c r="M730">
        <f t="shared" si="157"/>
        <v>0</v>
      </c>
      <c r="N730">
        <f t="shared" si="157"/>
        <v>0</v>
      </c>
      <c r="O730">
        <f t="shared" si="157"/>
        <v>0</v>
      </c>
      <c r="P730">
        <f t="shared" si="157"/>
        <v>0</v>
      </c>
      <c r="Q730">
        <f t="shared" si="157"/>
        <v>0</v>
      </c>
      <c r="R730">
        <f t="shared" si="157"/>
        <v>0</v>
      </c>
      <c r="S730">
        <f t="shared" si="157"/>
        <v>0</v>
      </c>
      <c r="T730">
        <f t="shared" si="157"/>
        <v>0</v>
      </c>
      <c r="U730">
        <f t="shared" si="157"/>
        <v>0</v>
      </c>
      <c r="V730">
        <f t="shared" si="157"/>
        <v>0</v>
      </c>
      <c r="W730">
        <f t="shared" si="157"/>
        <v>0</v>
      </c>
      <c r="X730">
        <f t="shared" ref="X730:AM750" si="158">IF(AND($G730&gt;=X$3,$G730&lt;X$4),$F730,0)</f>
        <v>0</v>
      </c>
      <c r="Y730">
        <f t="shared" si="158"/>
        <v>0</v>
      </c>
      <c r="Z730">
        <f t="shared" si="158"/>
        <v>0</v>
      </c>
      <c r="AA730">
        <f t="shared" si="158"/>
        <v>0</v>
      </c>
      <c r="AB730">
        <f t="shared" si="158"/>
        <v>0</v>
      </c>
      <c r="AC730">
        <f t="shared" si="158"/>
        <v>0</v>
      </c>
      <c r="AD730">
        <f t="shared" si="158"/>
        <v>0</v>
      </c>
      <c r="AE730">
        <f t="shared" si="158"/>
        <v>1.4809868938927713E-4</v>
      </c>
      <c r="AF730">
        <f t="shared" si="158"/>
        <v>0</v>
      </c>
      <c r="AG730">
        <f t="shared" si="158"/>
        <v>0</v>
      </c>
      <c r="AH730">
        <f t="shared" si="158"/>
        <v>0</v>
      </c>
      <c r="AI730">
        <f t="shared" si="158"/>
        <v>0</v>
      </c>
      <c r="AJ730">
        <f t="shared" si="158"/>
        <v>0</v>
      </c>
      <c r="AK730">
        <f t="shared" si="158"/>
        <v>0</v>
      </c>
      <c r="AL730">
        <f t="shared" si="158"/>
        <v>0</v>
      </c>
      <c r="AM730">
        <f t="shared" si="158"/>
        <v>0</v>
      </c>
      <c r="AN730">
        <f t="shared" si="151"/>
        <v>0</v>
      </c>
      <c r="AO730">
        <f t="shared" si="151"/>
        <v>0</v>
      </c>
      <c r="AP730">
        <f t="shared" si="151"/>
        <v>0</v>
      </c>
      <c r="AQ730">
        <f t="shared" si="151"/>
        <v>0</v>
      </c>
      <c r="AR730">
        <f t="shared" si="151"/>
        <v>0</v>
      </c>
    </row>
    <row r="731" spans="5:44" x14ac:dyDescent="0.2">
      <c r="E731" s="1">
        <f>moment_rate!$M731</f>
        <v>1.4809868938927713E-4</v>
      </c>
      <c r="F731" s="1">
        <f t="shared" si="154"/>
        <v>1.4809868938927713E-4</v>
      </c>
      <c r="G731">
        <f>moment_rate!I731-0.005</f>
        <v>7.2399999999998901</v>
      </c>
      <c r="H731" s="1">
        <f t="shared" si="155"/>
        <v>1.4809868938927713E-4</v>
      </c>
      <c r="I731">
        <f t="shared" ref="I731:X746" si="159">IF(AND($G731&gt;=I$3,$G731&lt;I$4),$F731,0)</f>
        <v>0</v>
      </c>
      <c r="J731">
        <f t="shared" si="159"/>
        <v>0</v>
      </c>
      <c r="K731">
        <f t="shared" si="159"/>
        <v>0</v>
      </c>
      <c r="L731">
        <f t="shared" si="159"/>
        <v>0</v>
      </c>
      <c r="M731">
        <f t="shared" si="159"/>
        <v>0</v>
      </c>
      <c r="N731">
        <f t="shared" si="159"/>
        <v>0</v>
      </c>
      <c r="O731">
        <f t="shared" si="159"/>
        <v>0</v>
      </c>
      <c r="P731">
        <f t="shared" si="159"/>
        <v>0</v>
      </c>
      <c r="Q731">
        <f t="shared" si="159"/>
        <v>0</v>
      </c>
      <c r="R731">
        <f t="shared" si="159"/>
        <v>0</v>
      </c>
      <c r="S731">
        <f t="shared" si="159"/>
        <v>0</v>
      </c>
      <c r="T731">
        <f t="shared" si="159"/>
        <v>0</v>
      </c>
      <c r="U731">
        <f t="shared" si="159"/>
        <v>0</v>
      </c>
      <c r="V731">
        <f t="shared" si="159"/>
        <v>0</v>
      </c>
      <c r="W731">
        <f t="shared" si="159"/>
        <v>0</v>
      </c>
      <c r="X731">
        <f t="shared" si="159"/>
        <v>0</v>
      </c>
      <c r="Y731">
        <f t="shared" si="158"/>
        <v>0</v>
      </c>
      <c r="Z731">
        <f t="shared" si="158"/>
        <v>0</v>
      </c>
      <c r="AA731">
        <f t="shared" si="158"/>
        <v>0</v>
      </c>
      <c r="AB731">
        <f t="shared" si="158"/>
        <v>0</v>
      </c>
      <c r="AC731">
        <f t="shared" si="158"/>
        <v>0</v>
      </c>
      <c r="AD731">
        <f t="shared" si="158"/>
        <v>0</v>
      </c>
      <c r="AE731">
        <f t="shared" si="158"/>
        <v>1.4809868938927713E-4</v>
      </c>
      <c r="AF731">
        <f t="shared" si="158"/>
        <v>0</v>
      </c>
      <c r="AG731">
        <f t="shared" si="158"/>
        <v>0</v>
      </c>
      <c r="AH731">
        <f t="shared" si="158"/>
        <v>0</v>
      </c>
      <c r="AI731">
        <f t="shared" si="158"/>
        <v>0</v>
      </c>
      <c r="AJ731">
        <f t="shared" si="158"/>
        <v>0</v>
      </c>
      <c r="AK731">
        <f t="shared" si="158"/>
        <v>0</v>
      </c>
      <c r="AL731">
        <f t="shared" si="158"/>
        <v>0</v>
      </c>
      <c r="AM731">
        <f t="shared" si="158"/>
        <v>0</v>
      </c>
      <c r="AN731">
        <f t="shared" si="151"/>
        <v>0</v>
      </c>
      <c r="AO731">
        <f t="shared" si="151"/>
        <v>0</v>
      </c>
      <c r="AP731">
        <f t="shared" si="151"/>
        <v>0</v>
      </c>
      <c r="AQ731">
        <f t="shared" si="151"/>
        <v>0</v>
      </c>
      <c r="AR731">
        <f t="shared" si="151"/>
        <v>0</v>
      </c>
    </row>
    <row r="732" spans="5:44" x14ac:dyDescent="0.2">
      <c r="E732" s="1">
        <f>moment_rate!$M732</f>
        <v>0</v>
      </c>
      <c r="F732" s="1">
        <f t="shared" si="154"/>
        <v>0</v>
      </c>
      <c r="G732">
        <f>moment_rate!I732-0.005</f>
        <v>7.2499999999998899</v>
      </c>
      <c r="H732" s="1">
        <f t="shared" si="155"/>
        <v>0</v>
      </c>
      <c r="I732">
        <f t="shared" si="159"/>
        <v>0</v>
      </c>
      <c r="J732">
        <f t="shared" si="159"/>
        <v>0</v>
      </c>
      <c r="K732">
        <f t="shared" si="159"/>
        <v>0</v>
      </c>
      <c r="L732">
        <f t="shared" si="159"/>
        <v>0</v>
      </c>
      <c r="M732">
        <f t="shared" si="159"/>
        <v>0</v>
      </c>
      <c r="N732">
        <f t="shared" si="159"/>
        <v>0</v>
      </c>
      <c r="O732">
        <f t="shared" si="159"/>
        <v>0</v>
      </c>
      <c r="P732">
        <f t="shared" si="159"/>
        <v>0</v>
      </c>
      <c r="Q732">
        <f t="shared" si="159"/>
        <v>0</v>
      </c>
      <c r="R732">
        <f t="shared" si="159"/>
        <v>0</v>
      </c>
      <c r="S732">
        <f t="shared" si="159"/>
        <v>0</v>
      </c>
      <c r="T732">
        <f t="shared" si="159"/>
        <v>0</v>
      </c>
      <c r="U732">
        <f t="shared" si="159"/>
        <v>0</v>
      </c>
      <c r="V732">
        <f t="shared" si="159"/>
        <v>0</v>
      </c>
      <c r="W732">
        <f t="shared" si="159"/>
        <v>0</v>
      </c>
      <c r="X732">
        <f t="shared" si="159"/>
        <v>0</v>
      </c>
      <c r="Y732">
        <f t="shared" si="158"/>
        <v>0</v>
      </c>
      <c r="Z732">
        <f t="shared" si="158"/>
        <v>0</v>
      </c>
      <c r="AA732">
        <f t="shared" si="158"/>
        <v>0</v>
      </c>
      <c r="AB732">
        <f t="shared" si="158"/>
        <v>0</v>
      </c>
      <c r="AC732">
        <f t="shared" si="158"/>
        <v>0</v>
      </c>
      <c r="AD732">
        <f t="shared" si="158"/>
        <v>0</v>
      </c>
      <c r="AE732">
        <f t="shared" si="158"/>
        <v>0</v>
      </c>
      <c r="AF732">
        <f t="shared" si="158"/>
        <v>0</v>
      </c>
      <c r="AG732">
        <f t="shared" si="158"/>
        <v>0</v>
      </c>
      <c r="AH732">
        <f t="shared" si="158"/>
        <v>0</v>
      </c>
      <c r="AI732">
        <f t="shared" si="158"/>
        <v>0</v>
      </c>
      <c r="AJ732">
        <f t="shared" si="158"/>
        <v>0</v>
      </c>
      <c r="AK732">
        <f t="shared" si="158"/>
        <v>0</v>
      </c>
      <c r="AL732">
        <f t="shared" si="158"/>
        <v>0</v>
      </c>
      <c r="AM732">
        <f t="shared" si="158"/>
        <v>0</v>
      </c>
      <c r="AN732">
        <f t="shared" si="151"/>
        <v>0</v>
      </c>
      <c r="AO732">
        <f t="shared" si="151"/>
        <v>0</v>
      </c>
      <c r="AP732">
        <f t="shared" si="151"/>
        <v>0</v>
      </c>
      <c r="AQ732">
        <f t="shared" si="151"/>
        <v>0</v>
      </c>
      <c r="AR732">
        <f t="shared" si="151"/>
        <v>0</v>
      </c>
    </row>
    <row r="733" spans="5:44" x14ac:dyDescent="0.2">
      <c r="E733" s="1">
        <f>moment_rate!$M733</f>
        <v>0</v>
      </c>
      <c r="F733" s="1">
        <f t="shared" si="154"/>
        <v>0</v>
      </c>
      <c r="G733">
        <f>moment_rate!I733-0.005</f>
        <v>7.2599999999998897</v>
      </c>
      <c r="H733" s="1">
        <f t="shared" si="155"/>
        <v>0</v>
      </c>
      <c r="I733">
        <f t="shared" si="159"/>
        <v>0</v>
      </c>
      <c r="J733">
        <f t="shared" si="159"/>
        <v>0</v>
      </c>
      <c r="K733">
        <f t="shared" si="159"/>
        <v>0</v>
      </c>
      <c r="L733">
        <f t="shared" si="159"/>
        <v>0</v>
      </c>
      <c r="M733">
        <f t="shared" si="159"/>
        <v>0</v>
      </c>
      <c r="N733">
        <f t="shared" si="159"/>
        <v>0</v>
      </c>
      <c r="O733">
        <f t="shared" si="159"/>
        <v>0</v>
      </c>
      <c r="P733">
        <f t="shared" si="159"/>
        <v>0</v>
      </c>
      <c r="Q733">
        <f t="shared" si="159"/>
        <v>0</v>
      </c>
      <c r="R733">
        <f t="shared" si="159"/>
        <v>0</v>
      </c>
      <c r="S733">
        <f t="shared" si="159"/>
        <v>0</v>
      </c>
      <c r="T733">
        <f t="shared" si="159"/>
        <v>0</v>
      </c>
      <c r="U733">
        <f t="shared" si="159"/>
        <v>0</v>
      </c>
      <c r="V733">
        <f t="shared" si="159"/>
        <v>0</v>
      </c>
      <c r="W733">
        <f t="shared" si="159"/>
        <v>0</v>
      </c>
      <c r="X733">
        <f t="shared" si="159"/>
        <v>0</v>
      </c>
      <c r="Y733">
        <f t="shared" si="158"/>
        <v>0</v>
      </c>
      <c r="Z733">
        <f t="shared" si="158"/>
        <v>0</v>
      </c>
      <c r="AA733">
        <f t="shared" si="158"/>
        <v>0</v>
      </c>
      <c r="AB733">
        <f t="shared" si="158"/>
        <v>0</v>
      </c>
      <c r="AC733">
        <f t="shared" si="158"/>
        <v>0</v>
      </c>
      <c r="AD733">
        <f t="shared" si="158"/>
        <v>0</v>
      </c>
      <c r="AE733">
        <f t="shared" si="158"/>
        <v>0</v>
      </c>
      <c r="AF733">
        <f t="shared" si="158"/>
        <v>0</v>
      </c>
      <c r="AG733">
        <f t="shared" si="158"/>
        <v>0</v>
      </c>
      <c r="AH733">
        <f t="shared" si="158"/>
        <v>0</v>
      </c>
      <c r="AI733">
        <f t="shared" si="158"/>
        <v>0</v>
      </c>
      <c r="AJ733">
        <f t="shared" si="158"/>
        <v>0</v>
      </c>
      <c r="AK733">
        <f t="shared" si="158"/>
        <v>0</v>
      </c>
      <c r="AL733">
        <f t="shared" si="158"/>
        <v>0</v>
      </c>
      <c r="AM733">
        <f t="shared" si="158"/>
        <v>0</v>
      </c>
      <c r="AN733">
        <f t="shared" si="151"/>
        <v>0</v>
      </c>
      <c r="AO733">
        <f t="shared" si="151"/>
        <v>0</v>
      </c>
      <c r="AP733">
        <f t="shared" si="151"/>
        <v>0</v>
      </c>
      <c r="AQ733">
        <f t="shared" si="151"/>
        <v>0</v>
      </c>
      <c r="AR733">
        <f t="shared" si="151"/>
        <v>0</v>
      </c>
    </row>
    <row r="734" spans="5:44" x14ac:dyDescent="0.2">
      <c r="E734" s="1">
        <f>moment_rate!$M734</f>
        <v>0</v>
      </c>
      <c r="F734" s="1">
        <f t="shared" si="154"/>
        <v>0</v>
      </c>
      <c r="G734">
        <f>moment_rate!I734-0.005</f>
        <v>7.2699999999998894</v>
      </c>
      <c r="H734" s="1">
        <f t="shared" si="155"/>
        <v>0</v>
      </c>
      <c r="I734">
        <f t="shared" si="159"/>
        <v>0</v>
      </c>
      <c r="J734">
        <f t="shared" si="159"/>
        <v>0</v>
      </c>
      <c r="K734">
        <f t="shared" si="159"/>
        <v>0</v>
      </c>
      <c r="L734">
        <f t="shared" si="159"/>
        <v>0</v>
      </c>
      <c r="M734">
        <f t="shared" si="159"/>
        <v>0</v>
      </c>
      <c r="N734">
        <f t="shared" si="159"/>
        <v>0</v>
      </c>
      <c r="O734">
        <f t="shared" si="159"/>
        <v>0</v>
      </c>
      <c r="P734">
        <f t="shared" si="159"/>
        <v>0</v>
      </c>
      <c r="Q734">
        <f t="shared" si="159"/>
        <v>0</v>
      </c>
      <c r="R734">
        <f t="shared" si="159"/>
        <v>0</v>
      </c>
      <c r="S734">
        <f t="shared" si="159"/>
        <v>0</v>
      </c>
      <c r="T734">
        <f t="shared" si="159"/>
        <v>0</v>
      </c>
      <c r="U734">
        <f t="shared" si="159"/>
        <v>0</v>
      </c>
      <c r="V734">
        <f t="shared" si="159"/>
        <v>0</v>
      </c>
      <c r="W734">
        <f t="shared" si="159"/>
        <v>0</v>
      </c>
      <c r="X734">
        <f t="shared" si="159"/>
        <v>0</v>
      </c>
      <c r="Y734">
        <f t="shared" si="158"/>
        <v>0</v>
      </c>
      <c r="Z734">
        <f t="shared" si="158"/>
        <v>0</v>
      </c>
      <c r="AA734">
        <f t="shared" si="158"/>
        <v>0</v>
      </c>
      <c r="AB734">
        <f t="shared" si="158"/>
        <v>0</v>
      </c>
      <c r="AC734">
        <f t="shared" si="158"/>
        <v>0</v>
      </c>
      <c r="AD734">
        <f t="shared" si="158"/>
        <v>0</v>
      </c>
      <c r="AE734">
        <f t="shared" si="158"/>
        <v>0</v>
      </c>
      <c r="AF734">
        <f t="shared" si="158"/>
        <v>0</v>
      </c>
      <c r="AG734">
        <f t="shared" si="158"/>
        <v>0</v>
      </c>
      <c r="AH734">
        <f t="shared" si="158"/>
        <v>0</v>
      </c>
      <c r="AI734">
        <f t="shared" si="158"/>
        <v>0</v>
      </c>
      <c r="AJ734">
        <f t="shared" si="158"/>
        <v>0</v>
      </c>
      <c r="AK734">
        <f t="shared" si="158"/>
        <v>0</v>
      </c>
      <c r="AL734">
        <f t="shared" si="158"/>
        <v>0</v>
      </c>
      <c r="AM734">
        <f t="shared" si="158"/>
        <v>0</v>
      </c>
      <c r="AN734">
        <f t="shared" si="151"/>
        <v>0</v>
      </c>
      <c r="AO734">
        <f t="shared" si="151"/>
        <v>0</v>
      </c>
      <c r="AP734">
        <f t="shared" si="151"/>
        <v>0</v>
      </c>
      <c r="AQ734">
        <f t="shared" si="151"/>
        <v>0</v>
      </c>
      <c r="AR734">
        <f t="shared" si="151"/>
        <v>0</v>
      </c>
    </row>
    <row r="735" spans="5:44" x14ac:dyDescent="0.2">
      <c r="E735" s="1">
        <f>moment_rate!$M735</f>
        <v>0</v>
      </c>
      <c r="F735" s="1">
        <f t="shared" si="154"/>
        <v>0</v>
      </c>
      <c r="G735">
        <f>moment_rate!I735-0.005</f>
        <v>7.2799999999998892</v>
      </c>
      <c r="H735" s="1">
        <f t="shared" si="155"/>
        <v>0</v>
      </c>
      <c r="I735">
        <f t="shared" si="159"/>
        <v>0</v>
      </c>
      <c r="J735">
        <f t="shared" si="159"/>
        <v>0</v>
      </c>
      <c r="K735">
        <f t="shared" si="159"/>
        <v>0</v>
      </c>
      <c r="L735">
        <f t="shared" si="159"/>
        <v>0</v>
      </c>
      <c r="M735">
        <f t="shared" si="159"/>
        <v>0</v>
      </c>
      <c r="N735">
        <f t="shared" si="159"/>
        <v>0</v>
      </c>
      <c r="O735">
        <f t="shared" si="159"/>
        <v>0</v>
      </c>
      <c r="P735">
        <f t="shared" si="159"/>
        <v>0</v>
      </c>
      <c r="Q735">
        <f t="shared" si="159"/>
        <v>0</v>
      </c>
      <c r="R735">
        <f t="shared" si="159"/>
        <v>0</v>
      </c>
      <c r="S735">
        <f t="shared" si="159"/>
        <v>0</v>
      </c>
      <c r="T735">
        <f t="shared" si="159"/>
        <v>0</v>
      </c>
      <c r="U735">
        <f t="shared" si="159"/>
        <v>0</v>
      </c>
      <c r="V735">
        <f t="shared" si="159"/>
        <v>0</v>
      </c>
      <c r="W735">
        <f t="shared" si="159"/>
        <v>0</v>
      </c>
      <c r="X735">
        <f t="shared" si="159"/>
        <v>0</v>
      </c>
      <c r="Y735">
        <f t="shared" si="158"/>
        <v>0</v>
      </c>
      <c r="Z735">
        <f t="shared" si="158"/>
        <v>0</v>
      </c>
      <c r="AA735">
        <f t="shared" si="158"/>
        <v>0</v>
      </c>
      <c r="AB735">
        <f t="shared" si="158"/>
        <v>0</v>
      </c>
      <c r="AC735">
        <f t="shared" si="158"/>
        <v>0</v>
      </c>
      <c r="AD735">
        <f t="shared" si="158"/>
        <v>0</v>
      </c>
      <c r="AE735">
        <f t="shared" si="158"/>
        <v>0</v>
      </c>
      <c r="AF735">
        <f t="shared" si="158"/>
        <v>0</v>
      </c>
      <c r="AG735">
        <f t="shared" si="158"/>
        <v>0</v>
      </c>
      <c r="AH735">
        <f t="shared" si="158"/>
        <v>0</v>
      </c>
      <c r="AI735">
        <f t="shared" si="158"/>
        <v>0</v>
      </c>
      <c r="AJ735">
        <f t="shared" si="158"/>
        <v>0</v>
      </c>
      <c r="AK735">
        <f t="shared" si="158"/>
        <v>0</v>
      </c>
      <c r="AL735">
        <f t="shared" si="158"/>
        <v>0</v>
      </c>
      <c r="AM735">
        <f t="shared" si="158"/>
        <v>0</v>
      </c>
      <c r="AN735">
        <f t="shared" ref="AN735:AR749" si="160">IF(AND($G735&gt;=AN$3,$G735&lt;AN$4),$F735,0)</f>
        <v>0</v>
      </c>
      <c r="AO735">
        <f t="shared" si="160"/>
        <v>0</v>
      </c>
      <c r="AP735">
        <f t="shared" si="160"/>
        <v>0</v>
      </c>
      <c r="AQ735">
        <f t="shared" si="160"/>
        <v>0</v>
      </c>
      <c r="AR735">
        <f t="shared" si="160"/>
        <v>0</v>
      </c>
    </row>
    <row r="736" spans="5:44" x14ac:dyDescent="0.2">
      <c r="E736" s="1">
        <f>moment_rate!$M736</f>
        <v>0</v>
      </c>
      <c r="F736" s="1">
        <f t="shared" si="154"/>
        <v>0</v>
      </c>
      <c r="G736">
        <f>moment_rate!I736-0.005</f>
        <v>7.289999999999889</v>
      </c>
      <c r="H736" s="1">
        <f t="shared" si="155"/>
        <v>0</v>
      </c>
      <c r="I736">
        <f t="shared" si="159"/>
        <v>0</v>
      </c>
      <c r="J736">
        <f t="shared" si="159"/>
        <v>0</v>
      </c>
      <c r="K736">
        <f t="shared" si="159"/>
        <v>0</v>
      </c>
      <c r="L736">
        <f t="shared" si="159"/>
        <v>0</v>
      </c>
      <c r="M736">
        <f t="shared" si="159"/>
        <v>0</v>
      </c>
      <c r="N736">
        <f t="shared" si="159"/>
        <v>0</v>
      </c>
      <c r="O736">
        <f t="shared" si="159"/>
        <v>0</v>
      </c>
      <c r="P736">
        <f t="shared" si="159"/>
        <v>0</v>
      </c>
      <c r="Q736">
        <f t="shared" si="159"/>
        <v>0</v>
      </c>
      <c r="R736">
        <f t="shared" si="159"/>
        <v>0</v>
      </c>
      <c r="S736">
        <f t="shared" si="159"/>
        <v>0</v>
      </c>
      <c r="T736">
        <f t="shared" si="159"/>
        <v>0</v>
      </c>
      <c r="U736">
        <f t="shared" si="159"/>
        <v>0</v>
      </c>
      <c r="V736">
        <f t="shared" si="159"/>
        <v>0</v>
      </c>
      <c r="W736">
        <f t="shared" si="159"/>
        <v>0</v>
      </c>
      <c r="X736">
        <f t="shared" si="159"/>
        <v>0</v>
      </c>
      <c r="Y736">
        <f t="shared" si="158"/>
        <v>0</v>
      </c>
      <c r="Z736">
        <f t="shared" si="158"/>
        <v>0</v>
      </c>
      <c r="AA736">
        <f t="shared" si="158"/>
        <v>0</v>
      </c>
      <c r="AB736">
        <f t="shared" si="158"/>
        <v>0</v>
      </c>
      <c r="AC736">
        <f t="shared" si="158"/>
        <v>0</v>
      </c>
      <c r="AD736">
        <f t="shared" si="158"/>
        <v>0</v>
      </c>
      <c r="AE736">
        <f t="shared" si="158"/>
        <v>0</v>
      </c>
      <c r="AF736">
        <f t="shared" si="158"/>
        <v>0</v>
      </c>
      <c r="AG736">
        <f t="shared" si="158"/>
        <v>0</v>
      </c>
      <c r="AH736">
        <f t="shared" si="158"/>
        <v>0</v>
      </c>
      <c r="AI736">
        <f t="shared" si="158"/>
        <v>0</v>
      </c>
      <c r="AJ736">
        <f t="shared" si="158"/>
        <v>0</v>
      </c>
      <c r="AK736">
        <f t="shared" si="158"/>
        <v>0</v>
      </c>
      <c r="AL736">
        <f t="shared" si="158"/>
        <v>0</v>
      </c>
      <c r="AM736">
        <f t="shared" si="158"/>
        <v>0</v>
      </c>
      <c r="AN736">
        <f t="shared" si="160"/>
        <v>0</v>
      </c>
      <c r="AO736">
        <f t="shared" si="160"/>
        <v>0</v>
      </c>
      <c r="AP736">
        <f t="shared" si="160"/>
        <v>0</v>
      </c>
      <c r="AQ736">
        <f t="shared" si="160"/>
        <v>0</v>
      </c>
      <c r="AR736">
        <f t="shared" si="160"/>
        <v>0</v>
      </c>
    </row>
    <row r="737" spans="5:44" x14ac:dyDescent="0.2">
      <c r="E737" s="1">
        <f>moment_rate!$M737</f>
        <v>0</v>
      </c>
      <c r="F737" s="1">
        <f t="shared" si="154"/>
        <v>0</v>
      </c>
      <c r="G737">
        <f>moment_rate!I737-0.005</f>
        <v>7.2999999999998888</v>
      </c>
      <c r="H737" s="1">
        <f t="shared" si="155"/>
        <v>0</v>
      </c>
      <c r="I737">
        <f t="shared" si="159"/>
        <v>0</v>
      </c>
      <c r="J737">
        <f t="shared" si="159"/>
        <v>0</v>
      </c>
      <c r="K737">
        <f t="shared" si="159"/>
        <v>0</v>
      </c>
      <c r="L737">
        <f t="shared" si="159"/>
        <v>0</v>
      </c>
      <c r="M737">
        <f t="shared" si="159"/>
        <v>0</v>
      </c>
      <c r="N737">
        <f t="shared" si="159"/>
        <v>0</v>
      </c>
      <c r="O737">
        <f t="shared" si="159"/>
        <v>0</v>
      </c>
      <c r="P737">
        <f t="shared" si="159"/>
        <v>0</v>
      </c>
      <c r="Q737">
        <f t="shared" si="159"/>
        <v>0</v>
      </c>
      <c r="R737">
        <f t="shared" si="159"/>
        <v>0</v>
      </c>
      <c r="S737">
        <f t="shared" si="159"/>
        <v>0</v>
      </c>
      <c r="T737">
        <f t="shared" si="159"/>
        <v>0</v>
      </c>
      <c r="U737">
        <f t="shared" si="159"/>
        <v>0</v>
      </c>
      <c r="V737">
        <f t="shared" si="159"/>
        <v>0</v>
      </c>
      <c r="W737">
        <f t="shared" si="159"/>
        <v>0</v>
      </c>
      <c r="X737">
        <f t="shared" si="159"/>
        <v>0</v>
      </c>
      <c r="Y737">
        <f t="shared" si="158"/>
        <v>0</v>
      </c>
      <c r="Z737">
        <f t="shared" si="158"/>
        <v>0</v>
      </c>
      <c r="AA737">
        <f t="shared" si="158"/>
        <v>0</v>
      </c>
      <c r="AB737">
        <f t="shared" si="158"/>
        <v>0</v>
      </c>
      <c r="AC737">
        <f t="shared" si="158"/>
        <v>0</v>
      </c>
      <c r="AD737">
        <f t="shared" si="158"/>
        <v>0</v>
      </c>
      <c r="AE737">
        <f t="shared" si="158"/>
        <v>0</v>
      </c>
      <c r="AF737">
        <f t="shared" si="158"/>
        <v>0</v>
      </c>
      <c r="AG737">
        <f t="shared" si="158"/>
        <v>0</v>
      </c>
      <c r="AH737">
        <f t="shared" si="158"/>
        <v>0</v>
      </c>
      <c r="AI737">
        <f t="shared" si="158"/>
        <v>0</v>
      </c>
      <c r="AJ737">
        <f t="shared" si="158"/>
        <v>0</v>
      </c>
      <c r="AK737">
        <f t="shared" si="158"/>
        <v>0</v>
      </c>
      <c r="AL737">
        <f t="shared" si="158"/>
        <v>0</v>
      </c>
      <c r="AM737">
        <f t="shared" si="158"/>
        <v>0</v>
      </c>
      <c r="AN737">
        <f t="shared" si="160"/>
        <v>0</v>
      </c>
      <c r="AO737">
        <f t="shared" si="160"/>
        <v>0</v>
      </c>
      <c r="AP737">
        <f t="shared" si="160"/>
        <v>0</v>
      </c>
      <c r="AQ737">
        <f t="shared" si="160"/>
        <v>0</v>
      </c>
      <c r="AR737">
        <f t="shared" si="160"/>
        <v>0</v>
      </c>
    </row>
    <row r="738" spans="5:44" x14ac:dyDescent="0.2">
      <c r="E738" s="1">
        <f>moment_rate!$M738</f>
        <v>0</v>
      </c>
      <c r="F738" s="1">
        <f t="shared" si="154"/>
        <v>0</v>
      </c>
      <c r="G738">
        <f>moment_rate!I738-0.005</f>
        <v>7.3099999999998886</v>
      </c>
      <c r="H738" s="1">
        <f t="shared" si="155"/>
        <v>0</v>
      </c>
      <c r="I738">
        <f t="shared" si="159"/>
        <v>0</v>
      </c>
      <c r="J738">
        <f t="shared" si="159"/>
        <v>0</v>
      </c>
      <c r="K738">
        <f t="shared" si="159"/>
        <v>0</v>
      </c>
      <c r="L738">
        <f t="shared" si="159"/>
        <v>0</v>
      </c>
      <c r="M738">
        <f t="shared" si="159"/>
        <v>0</v>
      </c>
      <c r="N738">
        <f t="shared" si="159"/>
        <v>0</v>
      </c>
      <c r="O738">
        <f t="shared" si="159"/>
        <v>0</v>
      </c>
      <c r="P738">
        <f t="shared" si="159"/>
        <v>0</v>
      </c>
      <c r="Q738">
        <f t="shared" si="159"/>
        <v>0</v>
      </c>
      <c r="R738">
        <f t="shared" si="159"/>
        <v>0</v>
      </c>
      <c r="S738">
        <f t="shared" si="159"/>
        <v>0</v>
      </c>
      <c r="T738">
        <f t="shared" si="159"/>
        <v>0</v>
      </c>
      <c r="U738">
        <f t="shared" si="159"/>
        <v>0</v>
      </c>
      <c r="V738">
        <f t="shared" si="159"/>
        <v>0</v>
      </c>
      <c r="W738">
        <f t="shared" si="159"/>
        <v>0</v>
      </c>
      <c r="X738">
        <f t="shared" si="159"/>
        <v>0</v>
      </c>
      <c r="Y738">
        <f t="shared" si="158"/>
        <v>0</v>
      </c>
      <c r="Z738">
        <f t="shared" si="158"/>
        <v>0</v>
      </c>
      <c r="AA738">
        <f t="shared" si="158"/>
        <v>0</v>
      </c>
      <c r="AB738">
        <f t="shared" si="158"/>
        <v>0</v>
      </c>
      <c r="AC738">
        <f t="shared" si="158"/>
        <v>0</v>
      </c>
      <c r="AD738">
        <f t="shared" si="158"/>
        <v>0</v>
      </c>
      <c r="AE738">
        <f t="shared" si="158"/>
        <v>0</v>
      </c>
      <c r="AF738">
        <f t="shared" si="158"/>
        <v>0</v>
      </c>
      <c r="AG738">
        <f t="shared" si="158"/>
        <v>0</v>
      </c>
      <c r="AH738">
        <f t="shared" si="158"/>
        <v>0</v>
      </c>
      <c r="AI738">
        <f t="shared" si="158"/>
        <v>0</v>
      </c>
      <c r="AJ738">
        <f t="shared" si="158"/>
        <v>0</v>
      </c>
      <c r="AK738">
        <f t="shared" si="158"/>
        <v>0</v>
      </c>
      <c r="AL738">
        <f t="shared" si="158"/>
        <v>0</v>
      </c>
      <c r="AM738">
        <f t="shared" si="158"/>
        <v>0</v>
      </c>
      <c r="AN738">
        <f t="shared" si="160"/>
        <v>0</v>
      </c>
      <c r="AO738">
        <f t="shared" si="160"/>
        <v>0</v>
      </c>
      <c r="AP738">
        <f t="shared" si="160"/>
        <v>0</v>
      </c>
      <c r="AQ738">
        <f t="shared" si="160"/>
        <v>0</v>
      </c>
      <c r="AR738">
        <f t="shared" si="160"/>
        <v>0</v>
      </c>
    </row>
    <row r="739" spans="5:44" x14ac:dyDescent="0.2">
      <c r="E739" s="1">
        <f>moment_rate!$M739</f>
        <v>0</v>
      </c>
      <c r="F739" s="1">
        <f t="shared" si="154"/>
        <v>0</v>
      </c>
      <c r="G739">
        <f>moment_rate!I739-0.005</f>
        <v>7.3199999999998884</v>
      </c>
      <c r="H739" s="1">
        <f t="shared" si="155"/>
        <v>0</v>
      </c>
      <c r="I739">
        <f t="shared" si="159"/>
        <v>0</v>
      </c>
      <c r="J739">
        <f t="shared" si="159"/>
        <v>0</v>
      </c>
      <c r="K739">
        <f t="shared" si="159"/>
        <v>0</v>
      </c>
      <c r="L739">
        <f t="shared" si="159"/>
        <v>0</v>
      </c>
      <c r="M739">
        <f t="shared" si="159"/>
        <v>0</v>
      </c>
      <c r="N739">
        <f t="shared" si="159"/>
        <v>0</v>
      </c>
      <c r="O739">
        <f t="shared" si="159"/>
        <v>0</v>
      </c>
      <c r="P739">
        <f t="shared" si="159"/>
        <v>0</v>
      </c>
      <c r="Q739">
        <f t="shared" si="159"/>
        <v>0</v>
      </c>
      <c r="R739">
        <f t="shared" si="159"/>
        <v>0</v>
      </c>
      <c r="S739">
        <f t="shared" si="159"/>
        <v>0</v>
      </c>
      <c r="T739">
        <f t="shared" si="159"/>
        <v>0</v>
      </c>
      <c r="U739">
        <f t="shared" si="159"/>
        <v>0</v>
      </c>
      <c r="V739">
        <f t="shared" si="159"/>
        <v>0</v>
      </c>
      <c r="W739">
        <f t="shared" si="159"/>
        <v>0</v>
      </c>
      <c r="X739">
        <f t="shared" si="159"/>
        <v>0</v>
      </c>
      <c r="Y739">
        <f t="shared" si="158"/>
        <v>0</v>
      </c>
      <c r="Z739">
        <f t="shared" si="158"/>
        <v>0</v>
      </c>
      <c r="AA739">
        <f t="shared" si="158"/>
        <v>0</v>
      </c>
      <c r="AB739">
        <f t="shared" si="158"/>
        <v>0</v>
      </c>
      <c r="AC739">
        <f t="shared" si="158"/>
        <v>0</v>
      </c>
      <c r="AD739">
        <f t="shared" si="158"/>
        <v>0</v>
      </c>
      <c r="AE739">
        <f t="shared" si="158"/>
        <v>0</v>
      </c>
      <c r="AF739">
        <f t="shared" si="158"/>
        <v>0</v>
      </c>
      <c r="AG739">
        <f t="shared" si="158"/>
        <v>0</v>
      </c>
      <c r="AH739">
        <f t="shared" si="158"/>
        <v>0</v>
      </c>
      <c r="AI739">
        <f t="shared" si="158"/>
        <v>0</v>
      </c>
      <c r="AJ739">
        <f t="shared" si="158"/>
        <v>0</v>
      </c>
      <c r="AK739">
        <f t="shared" si="158"/>
        <v>0</v>
      </c>
      <c r="AL739">
        <f t="shared" si="158"/>
        <v>0</v>
      </c>
      <c r="AM739">
        <f t="shared" si="158"/>
        <v>0</v>
      </c>
      <c r="AN739">
        <f t="shared" si="160"/>
        <v>0</v>
      </c>
      <c r="AO739">
        <f t="shared" si="160"/>
        <v>0</v>
      </c>
      <c r="AP739">
        <f t="shared" si="160"/>
        <v>0</v>
      </c>
      <c r="AQ739">
        <f t="shared" si="160"/>
        <v>0</v>
      </c>
      <c r="AR739">
        <f t="shared" si="160"/>
        <v>0</v>
      </c>
    </row>
    <row r="740" spans="5:44" x14ac:dyDescent="0.2">
      <c r="E740" s="1">
        <f>moment_rate!$M740</f>
        <v>0</v>
      </c>
      <c r="F740" s="1">
        <f t="shared" si="154"/>
        <v>0</v>
      </c>
      <c r="G740">
        <f>moment_rate!I740-0.005</f>
        <v>7.3299999999998882</v>
      </c>
      <c r="H740" s="1">
        <f t="shared" si="155"/>
        <v>0</v>
      </c>
      <c r="I740">
        <f t="shared" si="159"/>
        <v>0</v>
      </c>
      <c r="J740">
        <f t="shared" si="159"/>
        <v>0</v>
      </c>
      <c r="K740">
        <f t="shared" si="159"/>
        <v>0</v>
      </c>
      <c r="L740">
        <f t="shared" si="159"/>
        <v>0</v>
      </c>
      <c r="M740">
        <f t="shared" si="159"/>
        <v>0</v>
      </c>
      <c r="N740">
        <f t="shared" si="159"/>
        <v>0</v>
      </c>
      <c r="O740">
        <f t="shared" si="159"/>
        <v>0</v>
      </c>
      <c r="P740">
        <f t="shared" si="159"/>
        <v>0</v>
      </c>
      <c r="Q740">
        <f t="shared" si="159"/>
        <v>0</v>
      </c>
      <c r="R740">
        <f t="shared" si="159"/>
        <v>0</v>
      </c>
      <c r="S740">
        <f t="shared" si="159"/>
        <v>0</v>
      </c>
      <c r="T740">
        <f t="shared" si="159"/>
        <v>0</v>
      </c>
      <c r="U740">
        <f t="shared" si="159"/>
        <v>0</v>
      </c>
      <c r="V740">
        <f t="shared" si="159"/>
        <v>0</v>
      </c>
      <c r="W740">
        <f t="shared" si="159"/>
        <v>0</v>
      </c>
      <c r="X740">
        <f t="shared" si="159"/>
        <v>0</v>
      </c>
      <c r="Y740">
        <f t="shared" si="158"/>
        <v>0</v>
      </c>
      <c r="Z740">
        <f t="shared" si="158"/>
        <v>0</v>
      </c>
      <c r="AA740">
        <f t="shared" si="158"/>
        <v>0</v>
      </c>
      <c r="AB740">
        <f t="shared" si="158"/>
        <v>0</v>
      </c>
      <c r="AC740">
        <f t="shared" si="158"/>
        <v>0</v>
      </c>
      <c r="AD740">
        <f t="shared" si="158"/>
        <v>0</v>
      </c>
      <c r="AE740">
        <f t="shared" si="158"/>
        <v>0</v>
      </c>
      <c r="AF740">
        <f t="shared" si="158"/>
        <v>0</v>
      </c>
      <c r="AG740">
        <f t="shared" si="158"/>
        <v>0</v>
      </c>
      <c r="AH740">
        <f t="shared" si="158"/>
        <v>0</v>
      </c>
      <c r="AI740">
        <f t="shared" si="158"/>
        <v>0</v>
      </c>
      <c r="AJ740">
        <f t="shared" si="158"/>
        <v>0</v>
      </c>
      <c r="AK740">
        <f t="shared" si="158"/>
        <v>0</v>
      </c>
      <c r="AL740">
        <f t="shared" si="158"/>
        <v>0</v>
      </c>
      <c r="AM740">
        <f t="shared" si="158"/>
        <v>0</v>
      </c>
      <c r="AN740">
        <f t="shared" si="160"/>
        <v>0</v>
      </c>
      <c r="AO740">
        <f t="shared" si="160"/>
        <v>0</v>
      </c>
      <c r="AP740">
        <f t="shared" si="160"/>
        <v>0</v>
      </c>
      <c r="AQ740">
        <f t="shared" si="160"/>
        <v>0</v>
      </c>
      <c r="AR740">
        <f t="shared" si="160"/>
        <v>0</v>
      </c>
    </row>
    <row r="741" spans="5:44" x14ac:dyDescent="0.2">
      <c r="E741" s="1">
        <f>moment_rate!$M741</f>
        <v>0</v>
      </c>
      <c r="F741" s="1">
        <f t="shared" si="154"/>
        <v>0</v>
      </c>
      <c r="G741">
        <f>moment_rate!I741-0.005</f>
        <v>7.3399999999998879</v>
      </c>
      <c r="H741" s="1">
        <f t="shared" si="155"/>
        <v>0</v>
      </c>
      <c r="I741">
        <f t="shared" si="159"/>
        <v>0</v>
      </c>
      <c r="J741">
        <f t="shared" si="159"/>
        <v>0</v>
      </c>
      <c r="K741">
        <f t="shared" si="159"/>
        <v>0</v>
      </c>
      <c r="L741">
        <f t="shared" si="159"/>
        <v>0</v>
      </c>
      <c r="M741">
        <f t="shared" si="159"/>
        <v>0</v>
      </c>
      <c r="N741">
        <f t="shared" si="159"/>
        <v>0</v>
      </c>
      <c r="O741">
        <f t="shared" si="159"/>
        <v>0</v>
      </c>
      <c r="P741">
        <f t="shared" si="159"/>
        <v>0</v>
      </c>
      <c r="Q741">
        <f t="shared" si="159"/>
        <v>0</v>
      </c>
      <c r="R741">
        <f t="shared" si="159"/>
        <v>0</v>
      </c>
      <c r="S741">
        <f t="shared" si="159"/>
        <v>0</v>
      </c>
      <c r="T741">
        <f t="shared" si="159"/>
        <v>0</v>
      </c>
      <c r="U741">
        <f t="shared" si="159"/>
        <v>0</v>
      </c>
      <c r="V741">
        <f t="shared" si="159"/>
        <v>0</v>
      </c>
      <c r="W741">
        <f t="shared" si="159"/>
        <v>0</v>
      </c>
      <c r="X741">
        <f t="shared" si="159"/>
        <v>0</v>
      </c>
      <c r="Y741">
        <f t="shared" si="158"/>
        <v>0</v>
      </c>
      <c r="Z741">
        <f t="shared" si="158"/>
        <v>0</v>
      </c>
      <c r="AA741">
        <f t="shared" si="158"/>
        <v>0</v>
      </c>
      <c r="AB741">
        <f t="shared" si="158"/>
        <v>0</v>
      </c>
      <c r="AC741">
        <f t="shared" si="158"/>
        <v>0</v>
      </c>
      <c r="AD741">
        <f t="shared" si="158"/>
        <v>0</v>
      </c>
      <c r="AE741">
        <f t="shared" si="158"/>
        <v>0</v>
      </c>
      <c r="AF741">
        <f t="shared" si="158"/>
        <v>0</v>
      </c>
      <c r="AG741">
        <f t="shared" si="158"/>
        <v>0</v>
      </c>
      <c r="AH741">
        <f t="shared" si="158"/>
        <v>0</v>
      </c>
      <c r="AI741">
        <f t="shared" si="158"/>
        <v>0</v>
      </c>
      <c r="AJ741">
        <f t="shared" si="158"/>
        <v>0</v>
      </c>
      <c r="AK741">
        <f t="shared" si="158"/>
        <v>0</v>
      </c>
      <c r="AL741">
        <f t="shared" si="158"/>
        <v>0</v>
      </c>
      <c r="AM741">
        <f t="shared" si="158"/>
        <v>0</v>
      </c>
      <c r="AN741">
        <f t="shared" si="160"/>
        <v>0</v>
      </c>
      <c r="AO741">
        <f t="shared" si="160"/>
        <v>0</v>
      </c>
      <c r="AP741">
        <f t="shared" si="160"/>
        <v>0</v>
      </c>
      <c r="AQ741">
        <f t="shared" si="160"/>
        <v>0</v>
      </c>
      <c r="AR741">
        <f t="shared" si="160"/>
        <v>0</v>
      </c>
    </row>
    <row r="742" spans="5:44" x14ac:dyDescent="0.2">
      <c r="E742" s="1">
        <f>moment_rate!$M742</f>
        <v>0</v>
      </c>
      <c r="F742" s="1">
        <f t="shared" si="154"/>
        <v>0</v>
      </c>
      <c r="G742">
        <f>moment_rate!I742-0.005</f>
        <v>7.3499999999998877</v>
      </c>
      <c r="H742" s="1">
        <f t="shared" si="155"/>
        <v>0</v>
      </c>
      <c r="I742">
        <f t="shared" si="159"/>
        <v>0</v>
      </c>
      <c r="J742">
        <f t="shared" si="159"/>
        <v>0</v>
      </c>
      <c r="K742">
        <f t="shared" si="159"/>
        <v>0</v>
      </c>
      <c r="L742">
        <f t="shared" si="159"/>
        <v>0</v>
      </c>
      <c r="M742">
        <f t="shared" si="159"/>
        <v>0</v>
      </c>
      <c r="N742">
        <f t="shared" si="159"/>
        <v>0</v>
      </c>
      <c r="O742">
        <f t="shared" si="159"/>
        <v>0</v>
      </c>
      <c r="P742">
        <f t="shared" si="159"/>
        <v>0</v>
      </c>
      <c r="Q742">
        <f t="shared" si="159"/>
        <v>0</v>
      </c>
      <c r="R742">
        <f t="shared" si="159"/>
        <v>0</v>
      </c>
      <c r="S742">
        <f t="shared" si="159"/>
        <v>0</v>
      </c>
      <c r="T742">
        <f t="shared" si="159"/>
        <v>0</v>
      </c>
      <c r="U742">
        <f t="shared" si="159"/>
        <v>0</v>
      </c>
      <c r="V742">
        <f t="shared" si="159"/>
        <v>0</v>
      </c>
      <c r="W742">
        <f t="shared" si="159"/>
        <v>0</v>
      </c>
      <c r="X742">
        <f t="shared" si="159"/>
        <v>0</v>
      </c>
      <c r="Y742">
        <f t="shared" si="158"/>
        <v>0</v>
      </c>
      <c r="Z742">
        <f t="shared" si="158"/>
        <v>0</v>
      </c>
      <c r="AA742">
        <f t="shared" si="158"/>
        <v>0</v>
      </c>
      <c r="AB742">
        <f t="shared" si="158"/>
        <v>0</v>
      </c>
      <c r="AC742">
        <f t="shared" si="158"/>
        <v>0</v>
      </c>
      <c r="AD742">
        <f t="shared" si="158"/>
        <v>0</v>
      </c>
      <c r="AE742">
        <f t="shared" si="158"/>
        <v>0</v>
      </c>
      <c r="AF742">
        <f t="shared" si="158"/>
        <v>0</v>
      </c>
      <c r="AG742">
        <f t="shared" si="158"/>
        <v>0</v>
      </c>
      <c r="AH742">
        <f t="shared" si="158"/>
        <v>0</v>
      </c>
      <c r="AI742">
        <f t="shared" si="158"/>
        <v>0</v>
      </c>
      <c r="AJ742">
        <f t="shared" si="158"/>
        <v>0</v>
      </c>
      <c r="AK742">
        <f t="shared" si="158"/>
        <v>0</v>
      </c>
      <c r="AL742">
        <f t="shared" si="158"/>
        <v>0</v>
      </c>
      <c r="AM742">
        <f t="shared" si="158"/>
        <v>0</v>
      </c>
      <c r="AN742">
        <f t="shared" si="160"/>
        <v>0</v>
      </c>
      <c r="AO742">
        <f t="shared" si="160"/>
        <v>0</v>
      </c>
      <c r="AP742">
        <f t="shared" si="160"/>
        <v>0</v>
      </c>
      <c r="AQ742">
        <f t="shared" si="160"/>
        <v>0</v>
      </c>
      <c r="AR742">
        <f t="shared" si="160"/>
        <v>0</v>
      </c>
    </row>
    <row r="743" spans="5:44" x14ac:dyDescent="0.2">
      <c r="E743" s="1">
        <f>moment_rate!$M743</f>
        <v>0</v>
      </c>
      <c r="F743" s="1">
        <f t="shared" si="154"/>
        <v>0</v>
      </c>
      <c r="G743">
        <f>moment_rate!I743-0.005</f>
        <v>7.3599999999998875</v>
      </c>
      <c r="H743" s="1">
        <f t="shared" si="155"/>
        <v>0</v>
      </c>
      <c r="I743">
        <f t="shared" si="159"/>
        <v>0</v>
      </c>
      <c r="J743">
        <f t="shared" si="159"/>
        <v>0</v>
      </c>
      <c r="K743">
        <f t="shared" si="159"/>
        <v>0</v>
      </c>
      <c r="L743">
        <f t="shared" si="159"/>
        <v>0</v>
      </c>
      <c r="M743">
        <f t="shared" si="159"/>
        <v>0</v>
      </c>
      <c r="N743">
        <f t="shared" si="159"/>
        <v>0</v>
      </c>
      <c r="O743">
        <f t="shared" si="159"/>
        <v>0</v>
      </c>
      <c r="P743">
        <f t="shared" si="159"/>
        <v>0</v>
      </c>
      <c r="Q743">
        <f t="shared" si="159"/>
        <v>0</v>
      </c>
      <c r="R743">
        <f t="shared" si="159"/>
        <v>0</v>
      </c>
      <c r="S743">
        <f t="shared" si="159"/>
        <v>0</v>
      </c>
      <c r="T743">
        <f t="shared" si="159"/>
        <v>0</v>
      </c>
      <c r="U743">
        <f t="shared" si="159"/>
        <v>0</v>
      </c>
      <c r="V743">
        <f t="shared" si="159"/>
        <v>0</v>
      </c>
      <c r="W743">
        <f t="shared" si="159"/>
        <v>0</v>
      </c>
      <c r="X743">
        <f t="shared" si="159"/>
        <v>0</v>
      </c>
      <c r="Y743">
        <f t="shared" si="158"/>
        <v>0</v>
      </c>
      <c r="Z743">
        <f t="shared" si="158"/>
        <v>0</v>
      </c>
      <c r="AA743">
        <f t="shared" si="158"/>
        <v>0</v>
      </c>
      <c r="AB743">
        <f t="shared" si="158"/>
        <v>0</v>
      </c>
      <c r="AC743">
        <f t="shared" si="158"/>
        <v>0</v>
      </c>
      <c r="AD743">
        <f t="shared" si="158"/>
        <v>0</v>
      </c>
      <c r="AE743">
        <f t="shared" si="158"/>
        <v>0</v>
      </c>
      <c r="AF743">
        <f t="shared" si="158"/>
        <v>0</v>
      </c>
      <c r="AG743">
        <f t="shared" si="158"/>
        <v>0</v>
      </c>
      <c r="AH743">
        <f t="shared" si="158"/>
        <v>0</v>
      </c>
      <c r="AI743">
        <f t="shared" si="158"/>
        <v>0</v>
      </c>
      <c r="AJ743">
        <f t="shared" si="158"/>
        <v>0</v>
      </c>
      <c r="AK743">
        <f t="shared" si="158"/>
        <v>0</v>
      </c>
      <c r="AL743">
        <f t="shared" si="158"/>
        <v>0</v>
      </c>
      <c r="AM743">
        <f t="shared" si="158"/>
        <v>0</v>
      </c>
      <c r="AN743">
        <f t="shared" si="160"/>
        <v>0</v>
      </c>
      <c r="AO743">
        <f t="shared" si="160"/>
        <v>0</v>
      </c>
      <c r="AP743">
        <f t="shared" si="160"/>
        <v>0</v>
      </c>
      <c r="AQ743">
        <f t="shared" si="160"/>
        <v>0</v>
      </c>
      <c r="AR743">
        <f t="shared" si="160"/>
        <v>0</v>
      </c>
    </row>
    <row r="744" spans="5:44" x14ac:dyDescent="0.2">
      <c r="E744" s="1">
        <f>moment_rate!$M744</f>
        <v>0</v>
      </c>
      <c r="F744" s="1">
        <f t="shared" si="154"/>
        <v>0</v>
      </c>
      <c r="G744">
        <f>moment_rate!I744-0.005</f>
        <v>7.3699999999998873</v>
      </c>
      <c r="H744" s="1">
        <f t="shared" si="155"/>
        <v>0</v>
      </c>
      <c r="I744">
        <f t="shared" si="159"/>
        <v>0</v>
      </c>
      <c r="J744">
        <f t="shared" si="159"/>
        <v>0</v>
      </c>
      <c r="K744">
        <f t="shared" si="159"/>
        <v>0</v>
      </c>
      <c r="L744">
        <f t="shared" si="159"/>
        <v>0</v>
      </c>
      <c r="M744">
        <f t="shared" si="159"/>
        <v>0</v>
      </c>
      <c r="N744">
        <f t="shared" si="159"/>
        <v>0</v>
      </c>
      <c r="O744">
        <f t="shared" si="159"/>
        <v>0</v>
      </c>
      <c r="P744">
        <f t="shared" si="159"/>
        <v>0</v>
      </c>
      <c r="Q744">
        <f t="shared" si="159"/>
        <v>0</v>
      </c>
      <c r="R744">
        <f t="shared" si="159"/>
        <v>0</v>
      </c>
      <c r="S744">
        <f t="shared" si="159"/>
        <v>0</v>
      </c>
      <c r="T744">
        <f t="shared" si="159"/>
        <v>0</v>
      </c>
      <c r="U744">
        <f t="shared" si="159"/>
        <v>0</v>
      </c>
      <c r="V744">
        <f t="shared" si="159"/>
        <v>0</v>
      </c>
      <c r="W744">
        <f t="shared" si="159"/>
        <v>0</v>
      </c>
      <c r="X744">
        <f t="shared" si="159"/>
        <v>0</v>
      </c>
      <c r="Y744">
        <f t="shared" si="158"/>
        <v>0</v>
      </c>
      <c r="Z744">
        <f t="shared" si="158"/>
        <v>0</v>
      </c>
      <c r="AA744">
        <f t="shared" si="158"/>
        <v>0</v>
      </c>
      <c r="AB744">
        <f t="shared" si="158"/>
        <v>0</v>
      </c>
      <c r="AC744">
        <f t="shared" si="158"/>
        <v>0</v>
      </c>
      <c r="AD744">
        <f t="shared" si="158"/>
        <v>0</v>
      </c>
      <c r="AE744">
        <f t="shared" si="158"/>
        <v>0</v>
      </c>
      <c r="AF744">
        <f t="shared" si="158"/>
        <v>0</v>
      </c>
      <c r="AG744">
        <f t="shared" si="158"/>
        <v>0</v>
      </c>
      <c r="AH744">
        <f t="shared" si="158"/>
        <v>0</v>
      </c>
      <c r="AI744">
        <f t="shared" si="158"/>
        <v>0</v>
      </c>
      <c r="AJ744">
        <f t="shared" si="158"/>
        <v>0</v>
      </c>
      <c r="AK744">
        <f t="shared" si="158"/>
        <v>0</v>
      </c>
      <c r="AL744">
        <f t="shared" si="158"/>
        <v>0</v>
      </c>
      <c r="AM744">
        <f t="shared" si="158"/>
        <v>0</v>
      </c>
      <c r="AN744">
        <f t="shared" si="160"/>
        <v>0</v>
      </c>
      <c r="AO744">
        <f t="shared" si="160"/>
        <v>0</v>
      </c>
      <c r="AP744">
        <f t="shared" si="160"/>
        <v>0</v>
      </c>
      <c r="AQ744">
        <f t="shared" si="160"/>
        <v>0</v>
      </c>
      <c r="AR744">
        <f t="shared" si="160"/>
        <v>0</v>
      </c>
    </row>
    <row r="745" spans="5:44" x14ac:dyDescent="0.2">
      <c r="E745" s="1">
        <f>moment_rate!$M745</f>
        <v>0</v>
      </c>
      <c r="F745" s="1">
        <f t="shared" si="154"/>
        <v>0</v>
      </c>
      <c r="G745">
        <f>moment_rate!I745-0.005</f>
        <v>7.3799999999998871</v>
      </c>
      <c r="H745" s="1">
        <f t="shared" si="155"/>
        <v>0</v>
      </c>
      <c r="I745">
        <f t="shared" si="159"/>
        <v>0</v>
      </c>
      <c r="J745">
        <f t="shared" si="159"/>
        <v>0</v>
      </c>
      <c r="K745">
        <f t="shared" si="159"/>
        <v>0</v>
      </c>
      <c r="L745">
        <f t="shared" si="159"/>
        <v>0</v>
      </c>
      <c r="M745">
        <f t="shared" si="159"/>
        <v>0</v>
      </c>
      <c r="N745">
        <f t="shared" si="159"/>
        <v>0</v>
      </c>
      <c r="O745">
        <f t="shared" si="159"/>
        <v>0</v>
      </c>
      <c r="P745">
        <f t="shared" si="159"/>
        <v>0</v>
      </c>
      <c r="Q745">
        <f t="shared" si="159"/>
        <v>0</v>
      </c>
      <c r="R745">
        <f t="shared" si="159"/>
        <v>0</v>
      </c>
      <c r="S745">
        <f t="shared" si="159"/>
        <v>0</v>
      </c>
      <c r="T745">
        <f t="shared" si="159"/>
        <v>0</v>
      </c>
      <c r="U745">
        <f t="shared" si="159"/>
        <v>0</v>
      </c>
      <c r="V745">
        <f t="shared" si="159"/>
        <v>0</v>
      </c>
      <c r="W745">
        <f t="shared" si="159"/>
        <v>0</v>
      </c>
      <c r="X745">
        <f t="shared" si="159"/>
        <v>0</v>
      </c>
      <c r="Y745">
        <f t="shared" si="158"/>
        <v>0</v>
      </c>
      <c r="Z745">
        <f t="shared" si="158"/>
        <v>0</v>
      </c>
      <c r="AA745">
        <f t="shared" si="158"/>
        <v>0</v>
      </c>
      <c r="AB745">
        <f t="shared" si="158"/>
        <v>0</v>
      </c>
      <c r="AC745">
        <f t="shared" si="158"/>
        <v>0</v>
      </c>
      <c r="AD745">
        <f t="shared" si="158"/>
        <v>0</v>
      </c>
      <c r="AE745">
        <f t="shared" si="158"/>
        <v>0</v>
      </c>
      <c r="AF745">
        <f t="shared" si="158"/>
        <v>0</v>
      </c>
      <c r="AG745">
        <f t="shared" si="158"/>
        <v>0</v>
      </c>
      <c r="AH745">
        <f t="shared" si="158"/>
        <v>0</v>
      </c>
      <c r="AI745">
        <f t="shared" si="158"/>
        <v>0</v>
      </c>
      <c r="AJ745">
        <f t="shared" si="158"/>
        <v>0</v>
      </c>
      <c r="AK745">
        <f t="shared" si="158"/>
        <v>0</v>
      </c>
      <c r="AL745">
        <f t="shared" si="158"/>
        <v>0</v>
      </c>
      <c r="AM745">
        <f t="shared" si="158"/>
        <v>0</v>
      </c>
      <c r="AN745">
        <f t="shared" si="160"/>
        <v>0</v>
      </c>
      <c r="AO745">
        <f t="shared" si="160"/>
        <v>0</v>
      </c>
      <c r="AP745">
        <f t="shared" si="160"/>
        <v>0</v>
      </c>
      <c r="AQ745">
        <f t="shared" si="160"/>
        <v>0</v>
      </c>
      <c r="AR745">
        <f t="shared" si="160"/>
        <v>0</v>
      </c>
    </row>
    <row r="746" spans="5:44" x14ac:dyDescent="0.2">
      <c r="E746" s="1">
        <f>moment_rate!$M746</f>
        <v>0</v>
      </c>
      <c r="F746" s="1">
        <f t="shared" si="154"/>
        <v>0</v>
      </c>
      <c r="G746">
        <f>moment_rate!I746-0.005</f>
        <v>7.3899999999998869</v>
      </c>
      <c r="H746" s="1">
        <f t="shared" si="155"/>
        <v>0</v>
      </c>
      <c r="I746">
        <f t="shared" si="159"/>
        <v>0</v>
      </c>
      <c r="J746">
        <f t="shared" si="159"/>
        <v>0</v>
      </c>
      <c r="K746">
        <f t="shared" si="159"/>
        <v>0</v>
      </c>
      <c r="L746">
        <f t="shared" si="159"/>
        <v>0</v>
      </c>
      <c r="M746">
        <f t="shared" si="159"/>
        <v>0</v>
      </c>
      <c r="N746">
        <f t="shared" si="159"/>
        <v>0</v>
      </c>
      <c r="O746">
        <f t="shared" si="159"/>
        <v>0</v>
      </c>
      <c r="P746">
        <f t="shared" si="159"/>
        <v>0</v>
      </c>
      <c r="Q746">
        <f t="shared" si="159"/>
        <v>0</v>
      </c>
      <c r="R746">
        <f t="shared" si="159"/>
        <v>0</v>
      </c>
      <c r="S746">
        <f t="shared" si="159"/>
        <v>0</v>
      </c>
      <c r="T746">
        <f t="shared" si="159"/>
        <v>0</v>
      </c>
      <c r="U746">
        <f t="shared" si="159"/>
        <v>0</v>
      </c>
      <c r="V746">
        <f t="shared" si="159"/>
        <v>0</v>
      </c>
      <c r="W746">
        <f t="shared" si="159"/>
        <v>0</v>
      </c>
      <c r="X746">
        <f t="shared" ref="X746:AJ761" si="161">IF(AND($G746&gt;=X$3,$G746&lt;X$4),$F746,0)</f>
        <v>0</v>
      </c>
      <c r="Y746">
        <f t="shared" si="161"/>
        <v>0</v>
      </c>
      <c r="Z746">
        <f t="shared" si="161"/>
        <v>0</v>
      </c>
      <c r="AA746">
        <f t="shared" si="161"/>
        <v>0</v>
      </c>
      <c r="AB746">
        <f t="shared" si="161"/>
        <v>0</v>
      </c>
      <c r="AC746">
        <f t="shared" si="161"/>
        <v>0</v>
      </c>
      <c r="AD746">
        <f t="shared" si="161"/>
        <v>0</v>
      </c>
      <c r="AE746">
        <f t="shared" si="161"/>
        <v>0</v>
      </c>
      <c r="AF746">
        <f t="shared" si="161"/>
        <v>0</v>
      </c>
      <c r="AG746">
        <f t="shared" si="161"/>
        <v>0</v>
      </c>
      <c r="AH746">
        <f t="shared" si="161"/>
        <v>0</v>
      </c>
      <c r="AI746">
        <f t="shared" si="161"/>
        <v>0</v>
      </c>
      <c r="AJ746">
        <f t="shared" si="161"/>
        <v>0</v>
      </c>
      <c r="AK746">
        <f t="shared" si="158"/>
        <v>0</v>
      </c>
      <c r="AL746">
        <f t="shared" si="158"/>
        <v>0</v>
      </c>
      <c r="AM746">
        <f t="shared" si="158"/>
        <v>0</v>
      </c>
      <c r="AN746">
        <f t="shared" si="160"/>
        <v>0</v>
      </c>
      <c r="AO746">
        <f t="shared" si="160"/>
        <v>0</v>
      </c>
      <c r="AP746">
        <f t="shared" si="160"/>
        <v>0</v>
      </c>
      <c r="AQ746">
        <f t="shared" si="160"/>
        <v>0</v>
      </c>
      <c r="AR746">
        <f t="shared" si="160"/>
        <v>0</v>
      </c>
    </row>
    <row r="747" spans="5:44" x14ac:dyDescent="0.2">
      <c r="E747" s="1">
        <f>moment_rate!$M747</f>
        <v>0</v>
      </c>
      <c r="F747" s="1">
        <f t="shared" si="154"/>
        <v>0</v>
      </c>
      <c r="G747">
        <f>moment_rate!I747-0.005</f>
        <v>7.3999999999998867</v>
      </c>
      <c r="H747" s="1">
        <f t="shared" si="155"/>
        <v>0</v>
      </c>
      <c r="I747">
        <f t="shared" ref="I747:X762" si="162">IF(AND($G747&gt;=I$3,$G747&lt;I$4),$F747,0)</f>
        <v>0</v>
      </c>
      <c r="J747">
        <f t="shared" si="162"/>
        <v>0</v>
      </c>
      <c r="K747">
        <f t="shared" si="162"/>
        <v>0</v>
      </c>
      <c r="L747">
        <f t="shared" si="162"/>
        <v>0</v>
      </c>
      <c r="M747">
        <f t="shared" si="162"/>
        <v>0</v>
      </c>
      <c r="N747">
        <f t="shared" si="162"/>
        <v>0</v>
      </c>
      <c r="O747">
        <f t="shared" si="162"/>
        <v>0</v>
      </c>
      <c r="P747">
        <f t="shared" si="162"/>
        <v>0</v>
      </c>
      <c r="Q747">
        <f t="shared" si="162"/>
        <v>0</v>
      </c>
      <c r="R747">
        <f t="shared" si="162"/>
        <v>0</v>
      </c>
      <c r="S747">
        <f t="shared" si="162"/>
        <v>0</v>
      </c>
      <c r="T747">
        <f t="shared" si="162"/>
        <v>0</v>
      </c>
      <c r="U747">
        <f t="shared" si="162"/>
        <v>0</v>
      </c>
      <c r="V747">
        <f t="shared" si="162"/>
        <v>0</v>
      </c>
      <c r="W747">
        <f t="shared" si="162"/>
        <v>0</v>
      </c>
      <c r="X747">
        <f t="shared" si="162"/>
        <v>0</v>
      </c>
      <c r="Y747">
        <f t="shared" si="161"/>
        <v>0</v>
      </c>
      <c r="Z747">
        <f t="shared" si="161"/>
        <v>0</v>
      </c>
      <c r="AA747">
        <f t="shared" si="161"/>
        <v>0</v>
      </c>
      <c r="AB747">
        <f t="shared" si="161"/>
        <v>0</v>
      </c>
      <c r="AC747">
        <f t="shared" si="161"/>
        <v>0</v>
      </c>
      <c r="AD747">
        <f t="shared" si="161"/>
        <v>0</v>
      </c>
      <c r="AE747">
        <f t="shared" si="161"/>
        <v>0</v>
      </c>
      <c r="AF747">
        <f t="shared" si="161"/>
        <v>0</v>
      </c>
      <c r="AG747">
        <f t="shared" si="161"/>
        <v>0</v>
      </c>
      <c r="AH747">
        <f t="shared" si="161"/>
        <v>0</v>
      </c>
      <c r="AI747">
        <f t="shared" si="161"/>
        <v>0</v>
      </c>
      <c r="AJ747">
        <f t="shared" si="161"/>
        <v>0</v>
      </c>
      <c r="AK747">
        <f t="shared" si="158"/>
        <v>0</v>
      </c>
      <c r="AL747">
        <f t="shared" si="158"/>
        <v>0</v>
      </c>
      <c r="AM747">
        <f t="shared" si="158"/>
        <v>0</v>
      </c>
      <c r="AN747">
        <f t="shared" si="160"/>
        <v>0</v>
      </c>
      <c r="AO747">
        <f t="shared" si="160"/>
        <v>0</v>
      </c>
      <c r="AP747">
        <f t="shared" si="160"/>
        <v>0</v>
      </c>
      <c r="AQ747">
        <f t="shared" si="160"/>
        <v>0</v>
      </c>
      <c r="AR747">
        <f t="shared" si="160"/>
        <v>0</v>
      </c>
    </row>
    <row r="748" spans="5:44" x14ac:dyDescent="0.2">
      <c r="E748" s="1">
        <f>moment_rate!$M748</f>
        <v>0</v>
      </c>
      <c r="F748" s="1">
        <f t="shared" si="154"/>
        <v>0</v>
      </c>
      <c r="G748">
        <f>moment_rate!I748-0.005</f>
        <v>7.4099999999998865</v>
      </c>
      <c r="H748" s="1">
        <f t="shared" si="155"/>
        <v>0</v>
      </c>
      <c r="I748">
        <f t="shared" si="162"/>
        <v>0</v>
      </c>
      <c r="J748">
        <f t="shared" si="162"/>
        <v>0</v>
      </c>
      <c r="K748">
        <f t="shared" si="162"/>
        <v>0</v>
      </c>
      <c r="L748">
        <f t="shared" si="162"/>
        <v>0</v>
      </c>
      <c r="M748">
        <f t="shared" si="162"/>
        <v>0</v>
      </c>
      <c r="N748">
        <f t="shared" si="162"/>
        <v>0</v>
      </c>
      <c r="O748">
        <f t="shared" si="162"/>
        <v>0</v>
      </c>
      <c r="P748">
        <f t="shared" si="162"/>
        <v>0</v>
      </c>
      <c r="Q748">
        <f t="shared" si="162"/>
        <v>0</v>
      </c>
      <c r="R748">
        <f t="shared" si="162"/>
        <v>0</v>
      </c>
      <c r="S748">
        <f t="shared" si="162"/>
        <v>0</v>
      </c>
      <c r="T748">
        <f t="shared" si="162"/>
        <v>0</v>
      </c>
      <c r="U748">
        <f t="shared" si="162"/>
        <v>0</v>
      </c>
      <c r="V748">
        <f t="shared" si="162"/>
        <v>0</v>
      </c>
      <c r="W748">
        <f t="shared" si="162"/>
        <v>0</v>
      </c>
      <c r="X748">
        <f t="shared" si="162"/>
        <v>0</v>
      </c>
      <c r="Y748">
        <f t="shared" si="161"/>
        <v>0</v>
      </c>
      <c r="Z748">
        <f t="shared" si="161"/>
        <v>0</v>
      </c>
      <c r="AA748">
        <f t="shared" si="161"/>
        <v>0</v>
      </c>
      <c r="AB748">
        <f t="shared" si="161"/>
        <v>0</v>
      </c>
      <c r="AC748">
        <f t="shared" si="161"/>
        <v>0</v>
      </c>
      <c r="AD748">
        <f t="shared" si="161"/>
        <v>0</v>
      </c>
      <c r="AE748">
        <f t="shared" si="161"/>
        <v>0</v>
      </c>
      <c r="AF748">
        <f t="shared" si="161"/>
        <v>0</v>
      </c>
      <c r="AG748">
        <f t="shared" si="161"/>
        <v>0</v>
      </c>
      <c r="AH748">
        <f t="shared" si="161"/>
        <v>0</v>
      </c>
      <c r="AI748">
        <f t="shared" si="161"/>
        <v>0</v>
      </c>
      <c r="AJ748">
        <f t="shared" si="161"/>
        <v>0</v>
      </c>
      <c r="AK748">
        <f t="shared" si="158"/>
        <v>0</v>
      </c>
      <c r="AL748">
        <f t="shared" si="158"/>
        <v>0</v>
      </c>
      <c r="AM748">
        <f t="shared" si="158"/>
        <v>0</v>
      </c>
      <c r="AN748">
        <f t="shared" si="160"/>
        <v>0</v>
      </c>
      <c r="AO748">
        <f t="shared" si="160"/>
        <v>0</v>
      </c>
      <c r="AP748">
        <f t="shared" si="160"/>
        <v>0</v>
      </c>
      <c r="AQ748">
        <f t="shared" si="160"/>
        <v>0</v>
      </c>
      <c r="AR748">
        <f t="shared" si="160"/>
        <v>0</v>
      </c>
    </row>
    <row r="749" spans="5:44" x14ac:dyDescent="0.2">
      <c r="E749" s="1">
        <f>moment_rate!$M749</f>
        <v>0</v>
      </c>
      <c r="F749" s="1">
        <f t="shared" si="154"/>
        <v>0</v>
      </c>
      <c r="G749">
        <f>moment_rate!I749-0.005</f>
        <v>7.4199999999998862</v>
      </c>
      <c r="H749" s="1">
        <f t="shared" si="155"/>
        <v>0</v>
      </c>
      <c r="I749">
        <f t="shared" si="162"/>
        <v>0</v>
      </c>
      <c r="J749">
        <f t="shared" si="162"/>
        <v>0</v>
      </c>
      <c r="K749">
        <f t="shared" si="162"/>
        <v>0</v>
      </c>
      <c r="L749">
        <f t="shared" si="162"/>
        <v>0</v>
      </c>
      <c r="M749">
        <f t="shared" si="162"/>
        <v>0</v>
      </c>
      <c r="N749">
        <f t="shared" si="162"/>
        <v>0</v>
      </c>
      <c r="O749">
        <f t="shared" si="162"/>
        <v>0</v>
      </c>
      <c r="P749">
        <f t="shared" si="162"/>
        <v>0</v>
      </c>
      <c r="Q749">
        <f t="shared" si="162"/>
        <v>0</v>
      </c>
      <c r="R749">
        <f t="shared" si="162"/>
        <v>0</v>
      </c>
      <c r="S749">
        <f t="shared" si="162"/>
        <v>0</v>
      </c>
      <c r="T749">
        <f t="shared" si="162"/>
        <v>0</v>
      </c>
      <c r="U749">
        <f t="shared" si="162"/>
        <v>0</v>
      </c>
      <c r="V749">
        <f t="shared" si="162"/>
        <v>0</v>
      </c>
      <c r="W749">
        <f t="shared" si="162"/>
        <v>0</v>
      </c>
      <c r="X749">
        <f t="shared" si="162"/>
        <v>0</v>
      </c>
      <c r="Y749">
        <f t="shared" si="161"/>
        <v>0</v>
      </c>
      <c r="Z749">
        <f t="shared" si="161"/>
        <v>0</v>
      </c>
      <c r="AA749">
        <f t="shared" si="161"/>
        <v>0</v>
      </c>
      <c r="AB749">
        <f t="shared" si="161"/>
        <v>0</v>
      </c>
      <c r="AC749">
        <f t="shared" si="161"/>
        <v>0</v>
      </c>
      <c r="AD749">
        <f t="shared" si="161"/>
        <v>0</v>
      </c>
      <c r="AE749">
        <f t="shared" si="161"/>
        <v>0</v>
      </c>
      <c r="AF749">
        <f t="shared" si="161"/>
        <v>0</v>
      </c>
      <c r="AG749">
        <f t="shared" si="161"/>
        <v>0</v>
      </c>
      <c r="AH749">
        <f t="shared" si="161"/>
        <v>0</v>
      </c>
      <c r="AI749">
        <f t="shared" si="161"/>
        <v>0</v>
      </c>
      <c r="AJ749">
        <f t="shared" si="161"/>
        <v>0</v>
      </c>
      <c r="AK749">
        <f t="shared" si="158"/>
        <v>0</v>
      </c>
      <c r="AL749">
        <f t="shared" si="158"/>
        <v>0</v>
      </c>
      <c r="AM749">
        <f t="shared" si="158"/>
        <v>0</v>
      </c>
      <c r="AN749">
        <f t="shared" si="160"/>
        <v>0</v>
      </c>
      <c r="AO749">
        <f t="shared" si="160"/>
        <v>0</v>
      </c>
      <c r="AP749">
        <f t="shared" si="160"/>
        <v>0</v>
      </c>
      <c r="AQ749">
        <f t="shared" si="160"/>
        <v>0</v>
      </c>
      <c r="AR749">
        <f t="shared" si="160"/>
        <v>0</v>
      </c>
    </row>
    <row r="750" spans="5:44" x14ac:dyDescent="0.2">
      <c r="E750" s="1">
        <f>moment_rate!$M750</f>
        <v>0</v>
      </c>
      <c r="F750" s="1">
        <f t="shared" si="154"/>
        <v>0</v>
      </c>
      <c r="G750">
        <f>moment_rate!I750-0.005</f>
        <v>7.429999999999886</v>
      </c>
      <c r="H750" s="1">
        <f t="shared" si="155"/>
        <v>0</v>
      </c>
      <c r="I750">
        <f t="shared" si="162"/>
        <v>0</v>
      </c>
      <c r="J750">
        <f t="shared" si="162"/>
        <v>0</v>
      </c>
      <c r="K750">
        <f t="shared" si="162"/>
        <v>0</v>
      </c>
      <c r="L750">
        <f t="shared" si="162"/>
        <v>0</v>
      </c>
      <c r="M750">
        <f t="shared" si="162"/>
        <v>0</v>
      </c>
      <c r="N750">
        <f t="shared" si="162"/>
        <v>0</v>
      </c>
      <c r="O750">
        <f t="shared" si="162"/>
        <v>0</v>
      </c>
      <c r="P750">
        <f t="shared" si="162"/>
        <v>0</v>
      </c>
      <c r="Q750">
        <f t="shared" si="162"/>
        <v>0</v>
      </c>
      <c r="R750">
        <f t="shared" si="162"/>
        <v>0</v>
      </c>
      <c r="S750">
        <f t="shared" si="162"/>
        <v>0</v>
      </c>
      <c r="T750">
        <f t="shared" si="162"/>
        <v>0</v>
      </c>
      <c r="U750">
        <f t="shared" si="162"/>
        <v>0</v>
      </c>
      <c r="V750">
        <f t="shared" si="162"/>
        <v>0</v>
      </c>
      <c r="W750">
        <f t="shared" si="162"/>
        <v>0</v>
      </c>
      <c r="X750">
        <f t="shared" si="162"/>
        <v>0</v>
      </c>
      <c r="Y750">
        <f t="shared" si="161"/>
        <v>0</v>
      </c>
      <c r="Z750">
        <f t="shared" si="161"/>
        <v>0</v>
      </c>
      <c r="AA750">
        <f t="shared" si="161"/>
        <v>0</v>
      </c>
      <c r="AB750">
        <f t="shared" si="161"/>
        <v>0</v>
      </c>
      <c r="AC750">
        <f t="shared" si="161"/>
        <v>0</v>
      </c>
      <c r="AD750">
        <f t="shared" si="161"/>
        <v>0</v>
      </c>
      <c r="AE750">
        <f t="shared" si="161"/>
        <v>0</v>
      </c>
      <c r="AF750">
        <f t="shared" si="161"/>
        <v>0</v>
      </c>
      <c r="AG750">
        <f t="shared" si="161"/>
        <v>0</v>
      </c>
      <c r="AH750">
        <f t="shared" si="161"/>
        <v>0</v>
      </c>
      <c r="AI750">
        <f t="shared" si="161"/>
        <v>0</v>
      </c>
      <c r="AJ750">
        <f t="shared" si="161"/>
        <v>0</v>
      </c>
      <c r="AK750">
        <f t="shared" si="158"/>
        <v>0</v>
      </c>
      <c r="AL750">
        <f t="shared" si="158"/>
        <v>0</v>
      </c>
      <c r="AM750">
        <f t="shared" ref="AI750:AR788" si="163">IF(AND($G750&gt;=AM$3,$G750&lt;AM$4),$F750,0)</f>
        <v>0</v>
      </c>
      <c r="AN750">
        <f t="shared" si="163"/>
        <v>0</v>
      </c>
      <c r="AO750">
        <f t="shared" si="163"/>
        <v>0</v>
      </c>
      <c r="AP750">
        <f t="shared" si="163"/>
        <v>0</v>
      </c>
      <c r="AQ750">
        <f t="shared" si="163"/>
        <v>0</v>
      </c>
      <c r="AR750">
        <f t="shared" si="163"/>
        <v>0</v>
      </c>
    </row>
    <row r="751" spans="5:44" x14ac:dyDescent="0.2">
      <c r="E751" s="1">
        <f>moment_rate!$M751</f>
        <v>0</v>
      </c>
      <c r="F751" s="1">
        <f t="shared" si="154"/>
        <v>0</v>
      </c>
      <c r="G751">
        <f>moment_rate!I751-0.005</f>
        <v>7.4399999999998858</v>
      </c>
      <c r="H751" s="1">
        <f t="shared" si="155"/>
        <v>0</v>
      </c>
      <c r="I751">
        <f t="shared" si="162"/>
        <v>0</v>
      </c>
      <c r="J751">
        <f t="shared" si="162"/>
        <v>0</v>
      </c>
      <c r="K751">
        <f t="shared" si="162"/>
        <v>0</v>
      </c>
      <c r="L751">
        <f t="shared" si="162"/>
        <v>0</v>
      </c>
      <c r="M751">
        <f t="shared" si="162"/>
        <v>0</v>
      </c>
      <c r="N751">
        <f t="shared" si="162"/>
        <v>0</v>
      </c>
      <c r="O751">
        <f t="shared" si="162"/>
        <v>0</v>
      </c>
      <c r="P751">
        <f t="shared" si="162"/>
        <v>0</v>
      </c>
      <c r="Q751">
        <f t="shared" si="162"/>
        <v>0</v>
      </c>
      <c r="R751">
        <f t="shared" si="162"/>
        <v>0</v>
      </c>
      <c r="S751">
        <f t="shared" si="162"/>
        <v>0</v>
      </c>
      <c r="T751">
        <f t="shared" si="162"/>
        <v>0</v>
      </c>
      <c r="U751">
        <f t="shared" si="162"/>
        <v>0</v>
      </c>
      <c r="V751">
        <f t="shared" si="162"/>
        <v>0</v>
      </c>
      <c r="W751">
        <f t="shared" si="162"/>
        <v>0</v>
      </c>
      <c r="X751">
        <f t="shared" si="162"/>
        <v>0</v>
      </c>
      <c r="Y751">
        <f t="shared" si="161"/>
        <v>0</v>
      </c>
      <c r="Z751">
        <f t="shared" si="161"/>
        <v>0</v>
      </c>
      <c r="AA751">
        <f t="shared" si="161"/>
        <v>0</v>
      </c>
      <c r="AB751">
        <f t="shared" si="161"/>
        <v>0</v>
      </c>
      <c r="AC751">
        <f t="shared" si="161"/>
        <v>0</v>
      </c>
      <c r="AD751">
        <f t="shared" si="161"/>
        <v>0</v>
      </c>
      <c r="AE751">
        <f t="shared" si="161"/>
        <v>0</v>
      </c>
      <c r="AF751">
        <f t="shared" si="161"/>
        <v>0</v>
      </c>
      <c r="AG751">
        <f t="shared" si="161"/>
        <v>0</v>
      </c>
      <c r="AH751">
        <f t="shared" si="161"/>
        <v>0</v>
      </c>
      <c r="AI751">
        <f t="shared" si="161"/>
        <v>0</v>
      </c>
      <c r="AJ751">
        <f t="shared" si="161"/>
        <v>0</v>
      </c>
      <c r="AK751">
        <f t="shared" si="163"/>
        <v>0</v>
      </c>
      <c r="AL751">
        <f t="shared" si="163"/>
        <v>0</v>
      </c>
      <c r="AM751">
        <f t="shared" si="163"/>
        <v>0</v>
      </c>
      <c r="AN751">
        <f t="shared" si="163"/>
        <v>0</v>
      </c>
      <c r="AO751">
        <f t="shared" si="163"/>
        <v>0</v>
      </c>
      <c r="AP751">
        <f t="shared" si="163"/>
        <v>0</v>
      </c>
      <c r="AQ751">
        <f t="shared" si="163"/>
        <v>0</v>
      </c>
      <c r="AR751">
        <f t="shared" si="163"/>
        <v>0</v>
      </c>
    </row>
    <row r="752" spans="5:44" x14ac:dyDescent="0.2">
      <c r="E752" s="1">
        <f>moment_rate!$M752</f>
        <v>0</v>
      </c>
      <c r="F752" s="1">
        <f t="shared" si="154"/>
        <v>0</v>
      </c>
      <c r="G752">
        <f>moment_rate!I752-0.005</f>
        <v>7.4499999999998856</v>
      </c>
      <c r="H752" s="1">
        <f t="shared" si="155"/>
        <v>0</v>
      </c>
      <c r="I752">
        <f t="shared" si="162"/>
        <v>0</v>
      </c>
      <c r="J752">
        <f t="shared" si="162"/>
        <v>0</v>
      </c>
      <c r="K752">
        <f t="shared" si="162"/>
        <v>0</v>
      </c>
      <c r="L752">
        <f t="shared" si="162"/>
        <v>0</v>
      </c>
      <c r="M752">
        <f t="shared" si="162"/>
        <v>0</v>
      </c>
      <c r="N752">
        <f t="shared" si="162"/>
        <v>0</v>
      </c>
      <c r="O752">
        <f t="shared" si="162"/>
        <v>0</v>
      </c>
      <c r="P752">
        <f t="shared" si="162"/>
        <v>0</v>
      </c>
      <c r="Q752">
        <f t="shared" si="162"/>
        <v>0</v>
      </c>
      <c r="R752">
        <f t="shared" si="162"/>
        <v>0</v>
      </c>
      <c r="S752">
        <f t="shared" si="162"/>
        <v>0</v>
      </c>
      <c r="T752">
        <f t="shared" si="162"/>
        <v>0</v>
      </c>
      <c r="U752">
        <f t="shared" si="162"/>
        <v>0</v>
      </c>
      <c r="V752">
        <f t="shared" si="162"/>
        <v>0</v>
      </c>
      <c r="W752">
        <f t="shared" si="162"/>
        <v>0</v>
      </c>
      <c r="X752">
        <f t="shared" si="162"/>
        <v>0</v>
      </c>
      <c r="Y752">
        <f t="shared" si="161"/>
        <v>0</v>
      </c>
      <c r="Z752">
        <f t="shared" si="161"/>
        <v>0</v>
      </c>
      <c r="AA752">
        <f t="shared" si="161"/>
        <v>0</v>
      </c>
      <c r="AB752">
        <f t="shared" si="161"/>
        <v>0</v>
      </c>
      <c r="AC752">
        <f t="shared" si="161"/>
        <v>0</v>
      </c>
      <c r="AD752">
        <f t="shared" si="161"/>
        <v>0</v>
      </c>
      <c r="AE752">
        <f t="shared" si="161"/>
        <v>0</v>
      </c>
      <c r="AF752">
        <f t="shared" si="161"/>
        <v>0</v>
      </c>
      <c r="AG752">
        <f t="shared" si="161"/>
        <v>0</v>
      </c>
      <c r="AH752">
        <f t="shared" si="161"/>
        <v>0</v>
      </c>
      <c r="AI752">
        <f t="shared" si="161"/>
        <v>0</v>
      </c>
      <c r="AJ752">
        <f t="shared" si="161"/>
        <v>0</v>
      </c>
      <c r="AK752">
        <f t="shared" si="163"/>
        <v>0</v>
      </c>
      <c r="AL752">
        <f t="shared" si="163"/>
        <v>0</v>
      </c>
      <c r="AM752">
        <f t="shared" si="163"/>
        <v>0</v>
      </c>
      <c r="AN752">
        <f t="shared" si="163"/>
        <v>0</v>
      </c>
      <c r="AO752">
        <f t="shared" si="163"/>
        <v>0</v>
      </c>
      <c r="AP752">
        <f t="shared" si="163"/>
        <v>0</v>
      </c>
      <c r="AQ752">
        <f t="shared" si="163"/>
        <v>0</v>
      </c>
      <c r="AR752">
        <f t="shared" si="163"/>
        <v>0</v>
      </c>
    </row>
    <row r="753" spans="5:44" x14ac:dyDescent="0.2">
      <c r="E753" s="1">
        <f>moment_rate!$M753</f>
        <v>0</v>
      </c>
      <c r="F753" s="1">
        <f t="shared" si="154"/>
        <v>0</v>
      </c>
      <c r="G753">
        <f>moment_rate!I753-0.005</f>
        <v>7.4599999999998854</v>
      </c>
      <c r="H753" s="1">
        <f t="shared" si="155"/>
        <v>0</v>
      </c>
      <c r="I753">
        <f t="shared" si="162"/>
        <v>0</v>
      </c>
      <c r="J753">
        <f t="shared" si="162"/>
        <v>0</v>
      </c>
      <c r="K753">
        <f t="shared" si="162"/>
        <v>0</v>
      </c>
      <c r="L753">
        <f t="shared" si="162"/>
        <v>0</v>
      </c>
      <c r="M753">
        <f t="shared" si="162"/>
        <v>0</v>
      </c>
      <c r="N753">
        <f t="shared" si="162"/>
        <v>0</v>
      </c>
      <c r="O753">
        <f t="shared" si="162"/>
        <v>0</v>
      </c>
      <c r="P753">
        <f t="shared" si="162"/>
        <v>0</v>
      </c>
      <c r="Q753">
        <f t="shared" si="162"/>
        <v>0</v>
      </c>
      <c r="R753">
        <f t="shared" si="162"/>
        <v>0</v>
      </c>
      <c r="S753">
        <f t="shared" si="162"/>
        <v>0</v>
      </c>
      <c r="T753">
        <f t="shared" si="162"/>
        <v>0</v>
      </c>
      <c r="U753">
        <f t="shared" si="162"/>
        <v>0</v>
      </c>
      <c r="V753">
        <f t="shared" si="162"/>
        <v>0</v>
      </c>
      <c r="W753">
        <f t="shared" si="162"/>
        <v>0</v>
      </c>
      <c r="X753">
        <f t="shared" si="162"/>
        <v>0</v>
      </c>
      <c r="Y753">
        <f t="shared" si="161"/>
        <v>0</v>
      </c>
      <c r="Z753">
        <f t="shared" si="161"/>
        <v>0</v>
      </c>
      <c r="AA753">
        <f t="shared" si="161"/>
        <v>0</v>
      </c>
      <c r="AB753">
        <f t="shared" si="161"/>
        <v>0</v>
      </c>
      <c r="AC753">
        <f t="shared" si="161"/>
        <v>0</v>
      </c>
      <c r="AD753">
        <f t="shared" si="161"/>
        <v>0</v>
      </c>
      <c r="AE753">
        <f t="shared" si="161"/>
        <v>0</v>
      </c>
      <c r="AF753">
        <f t="shared" si="161"/>
        <v>0</v>
      </c>
      <c r="AG753">
        <f t="shared" si="161"/>
        <v>0</v>
      </c>
      <c r="AH753">
        <f t="shared" si="161"/>
        <v>0</v>
      </c>
      <c r="AI753">
        <f t="shared" si="161"/>
        <v>0</v>
      </c>
      <c r="AJ753">
        <f t="shared" si="161"/>
        <v>0</v>
      </c>
      <c r="AK753">
        <f t="shared" si="163"/>
        <v>0</v>
      </c>
      <c r="AL753">
        <f t="shared" si="163"/>
        <v>0</v>
      </c>
      <c r="AM753">
        <f t="shared" si="163"/>
        <v>0</v>
      </c>
      <c r="AN753">
        <f t="shared" si="163"/>
        <v>0</v>
      </c>
      <c r="AO753">
        <f t="shared" si="163"/>
        <v>0</v>
      </c>
      <c r="AP753">
        <f t="shared" si="163"/>
        <v>0</v>
      </c>
      <c r="AQ753">
        <f t="shared" si="163"/>
        <v>0</v>
      </c>
      <c r="AR753">
        <f t="shared" si="163"/>
        <v>0</v>
      </c>
    </row>
    <row r="754" spans="5:44" x14ac:dyDescent="0.2">
      <c r="E754" s="1">
        <f>moment_rate!$M754</f>
        <v>0</v>
      </c>
      <c r="F754" s="1">
        <f t="shared" si="154"/>
        <v>0</v>
      </c>
      <c r="G754">
        <f>moment_rate!I754-0.005</f>
        <v>7.4699999999998852</v>
      </c>
      <c r="H754" s="1">
        <f t="shared" si="155"/>
        <v>0</v>
      </c>
      <c r="I754">
        <f t="shared" si="162"/>
        <v>0</v>
      </c>
      <c r="J754">
        <f t="shared" si="162"/>
        <v>0</v>
      </c>
      <c r="K754">
        <f t="shared" si="162"/>
        <v>0</v>
      </c>
      <c r="L754">
        <f t="shared" si="162"/>
        <v>0</v>
      </c>
      <c r="M754">
        <f t="shared" si="162"/>
        <v>0</v>
      </c>
      <c r="N754">
        <f t="shared" si="162"/>
        <v>0</v>
      </c>
      <c r="O754">
        <f t="shared" si="162"/>
        <v>0</v>
      </c>
      <c r="P754">
        <f t="shared" si="162"/>
        <v>0</v>
      </c>
      <c r="Q754">
        <f t="shared" si="162"/>
        <v>0</v>
      </c>
      <c r="R754">
        <f t="shared" si="162"/>
        <v>0</v>
      </c>
      <c r="S754">
        <f t="shared" si="162"/>
        <v>0</v>
      </c>
      <c r="T754">
        <f t="shared" si="162"/>
        <v>0</v>
      </c>
      <c r="U754">
        <f t="shared" si="162"/>
        <v>0</v>
      </c>
      <c r="V754">
        <f t="shared" si="162"/>
        <v>0</v>
      </c>
      <c r="W754">
        <f t="shared" si="162"/>
        <v>0</v>
      </c>
      <c r="X754">
        <f t="shared" si="162"/>
        <v>0</v>
      </c>
      <c r="Y754">
        <f t="shared" si="161"/>
        <v>0</v>
      </c>
      <c r="Z754">
        <f t="shared" si="161"/>
        <v>0</v>
      </c>
      <c r="AA754">
        <f t="shared" si="161"/>
        <v>0</v>
      </c>
      <c r="AB754">
        <f t="shared" si="161"/>
        <v>0</v>
      </c>
      <c r="AC754">
        <f t="shared" si="161"/>
        <v>0</v>
      </c>
      <c r="AD754">
        <f t="shared" si="161"/>
        <v>0</v>
      </c>
      <c r="AE754">
        <f t="shared" si="161"/>
        <v>0</v>
      </c>
      <c r="AF754">
        <f t="shared" si="161"/>
        <v>0</v>
      </c>
      <c r="AG754">
        <f t="shared" si="161"/>
        <v>0</v>
      </c>
      <c r="AH754">
        <f t="shared" si="161"/>
        <v>0</v>
      </c>
      <c r="AI754">
        <f t="shared" si="161"/>
        <v>0</v>
      </c>
      <c r="AJ754">
        <f t="shared" si="161"/>
        <v>0</v>
      </c>
      <c r="AK754">
        <f t="shared" si="163"/>
        <v>0</v>
      </c>
      <c r="AL754">
        <f t="shared" si="163"/>
        <v>0</v>
      </c>
      <c r="AM754">
        <f t="shared" si="163"/>
        <v>0</v>
      </c>
      <c r="AN754">
        <f t="shared" si="163"/>
        <v>0</v>
      </c>
      <c r="AO754">
        <f t="shared" si="163"/>
        <v>0</v>
      </c>
      <c r="AP754">
        <f t="shared" si="163"/>
        <v>0</v>
      </c>
      <c r="AQ754">
        <f t="shared" si="163"/>
        <v>0</v>
      </c>
      <c r="AR754">
        <f t="shared" si="163"/>
        <v>0</v>
      </c>
    </row>
    <row r="755" spans="5:44" x14ac:dyDescent="0.2">
      <c r="E755" s="1">
        <f>moment_rate!$M755</f>
        <v>0</v>
      </c>
      <c r="F755" s="1">
        <f t="shared" si="154"/>
        <v>0</v>
      </c>
      <c r="G755">
        <f>moment_rate!I755-0.005</f>
        <v>7.479999999999885</v>
      </c>
      <c r="H755" s="1">
        <f t="shared" si="155"/>
        <v>0</v>
      </c>
      <c r="I755">
        <f t="shared" si="162"/>
        <v>0</v>
      </c>
      <c r="J755">
        <f t="shared" si="162"/>
        <v>0</v>
      </c>
      <c r="K755">
        <f t="shared" si="162"/>
        <v>0</v>
      </c>
      <c r="L755">
        <f t="shared" si="162"/>
        <v>0</v>
      </c>
      <c r="M755">
        <f t="shared" si="162"/>
        <v>0</v>
      </c>
      <c r="N755">
        <f t="shared" si="162"/>
        <v>0</v>
      </c>
      <c r="O755">
        <f t="shared" si="162"/>
        <v>0</v>
      </c>
      <c r="P755">
        <f t="shared" si="162"/>
        <v>0</v>
      </c>
      <c r="Q755">
        <f t="shared" si="162"/>
        <v>0</v>
      </c>
      <c r="R755">
        <f t="shared" si="162"/>
        <v>0</v>
      </c>
      <c r="S755">
        <f t="shared" si="162"/>
        <v>0</v>
      </c>
      <c r="T755">
        <f t="shared" si="162"/>
        <v>0</v>
      </c>
      <c r="U755">
        <f t="shared" si="162"/>
        <v>0</v>
      </c>
      <c r="V755">
        <f t="shared" si="162"/>
        <v>0</v>
      </c>
      <c r="W755">
        <f t="shared" si="162"/>
        <v>0</v>
      </c>
      <c r="X755">
        <f t="shared" si="162"/>
        <v>0</v>
      </c>
      <c r="Y755">
        <f t="shared" si="161"/>
        <v>0</v>
      </c>
      <c r="Z755">
        <f t="shared" si="161"/>
        <v>0</v>
      </c>
      <c r="AA755">
        <f t="shared" si="161"/>
        <v>0</v>
      </c>
      <c r="AB755">
        <f t="shared" si="161"/>
        <v>0</v>
      </c>
      <c r="AC755">
        <f t="shared" si="161"/>
        <v>0</v>
      </c>
      <c r="AD755">
        <f t="shared" si="161"/>
        <v>0</v>
      </c>
      <c r="AE755">
        <f t="shared" si="161"/>
        <v>0</v>
      </c>
      <c r="AF755">
        <f t="shared" si="161"/>
        <v>0</v>
      </c>
      <c r="AG755">
        <f t="shared" si="161"/>
        <v>0</v>
      </c>
      <c r="AH755">
        <f t="shared" si="161"/>
        <v>0</v>
      </c>
      <c r="AI755">
        <f t="shared" si="161"/>
        <v>0</v>
      </c>
      <c r="AJ755">
        <f t="shared" si="161"/>
        <v>0</v>
      </c>
      <c r="AK755">
        <f t="shared" si="163"/>
        <v>0</v>
      </c>
      <c r="AL755">
        <f t="shared" si="163"/>
        <v>0</v>
      </c>
      <c r="AM755">
        <f t="shared" si="163"/>
        <v>0</v>
      </c>
      <c r="AN755">
        <f t="shared" si="163"/>
        <v>0</v>
      </c>
      <c r="AO755">
        <f t="shared" si="163"/>
        <v>0</v>
      </c>
      <c r="AP755">
        <f t="shared" si="163"/>
        <v>0</v>
      </c>
      <c r="AQ755">
        <f t="shared" si="163"/>
        <v>0</v>
      </c>
      <c r="AR755">
        <f t="shared" si="163"/>
        <v>0</v>
      </c>
    </row>
    <row r="756" spans="5:44" x14ac:dyDescent="0.2">
      <c r="E756" s="1">
        <f>moment_rate!$M756</f>
        <v>0</v>
      </c>
      <c r="F756" s="1">
        <f t="shared" si="154"/>
        <v>0</v>
      </c>
      <c r="G756">
        <f>moment_rate!I756-0.005</f>
        <v>7.4899999999998847</v>
      </c>
      <c r="H756" s="1">
        <f t="shared" si="155"/>
        <v>0</v>
      </c>
      <c r="I756">
        <f t="shared" si="162"/>
        <v>0</v>
      </c>
      <c r="J756">
        <f t="shared" si="162"/>
        <v>0</v>
      </c>
      <c r="K756">
        <f t="shared" si="162"/>
        <v>0</v>
      </c>
      <c r="L756">
        <f t="shared" si="162"/>
        <v>0</v>
      </c>
      <c r="M756">
        <f t="shared" si="162"/>
        <v>0</v>
      </c>
      <c r="N756">
        <f t="shared" si="162"/>
        <v>0</v>
      </c>
      <c r="O756">
        <f t="shared" si="162"/>
        <v>0</v>
      </c>
      <c r="P756">
        <f t="shared" si="162"/>
        <v>0</v>
      </c>
      <c r="Q756">
        <f t="shared" si="162"/>
        <v>0</v>
      </c>
      <c r="R756">
        <f t="shared" si="162"/>
        <v>0</v>
      </c>
      <c r="S756">
        <f t="shared" si="162"/>
        <v>0</v>
      </c>
      <c r="T756">
        <f t="shared" si="162"/>
        <v>0</v>
      </c>
      <c r="U756">
        <f t="shared" si="162"/>
        <v>0</v>
      </c>
      <c r="V756">
        <f t="shared" si="162"/>
        <v>0</v>
      </c>
      <c r="W756">
        <f t="shared" si="162"/>
        <v>0</v>
      </c>
      <c r="X756">
        <f t="shared" si="162"/>
        <v>0</v>
      </c>
      <c r="Y756">
        <f t="shared" si="161"/>
        <v>0</v>
      </c>
      <c r="Z756">
        <f t="shared" si="161"/>
        <v>0</v>
      </c>
      <c r="AA756">
        <f t="shared" si="161"/>
        <v>0</v>
      </c>
      <c r="AB756">
        <f t="shared" si="161"/>
        <v>0</v>
      </c>
      <c r="AC756">
        <f t="shared" si="161"/>
        <v>0</v>
      </c>
      <c r="AD756">
        <f t="shared" si="161"/>
        <v>0</v>
      </c>
      <c r="AE756">
        <f t="shared" si="161"/>
        <v>0</v>
      </c>
      <c r="AF756">
        <f t="shared" si="161"/>
        <v>0</v>
      </c>
      <c r="AG756">
        <f t="shared" si="161"/>
        <v>0</v>
      </c>
      <c r="AH756">
        <f t="shared" si="161"/>
        <v>0</v>
      </c>
      <c r="AI756">
        <f t="shared" si="161"/>
        <v>0</v>
      </c>
      <c r="AJ756">
        <f t="shared" si="161"/>
        <v>0</v>
      </c>
      <c r="AK756">
        <f t="shared" si="163"/>
        <v>0</v>
      </c>
      <c r="AL756">
        <f t="shared" si="163"/>
        <v>0</v>
      </c>
      <c r="AM756">
        <f t="shared" si="163"/>
        <v>0</v>
      </c>
      <c r="AN756">
        <f t="shared" si="163"/>
        <v>0</v>
      </c>
      <c r="AO756">
        <f t="shared" si="163"/>
        <v>0</v>
      </c>
      <c r="AP756">
        <f t="shared" si="163"/>
        <v>0</v>
      </c>
      <c r="AQ756">
        <f t="shared" si="163"/>
        <v>0</v>
      </c>
      <c r="AR756">
        <f t="shared" si="163"/>
        <v>0</v>
      </c>
    </row>
    <row r="757" spans="5:44" x14ac:dyDescent="0.2">
      <c r="E757" s="1">
        <f>moment_rate!$M757</f>
        <v>0</v>
      </c>
      <c r="F757" s="1">
        <f t="shared" si="154"/>
        <v>0</v>
      </c>
      <c r="G757">
        <f>moment_rate!I757-0.005</f>
        <v>7.4999999999998845</v>
      </c>
      <c r="H757" s="1">
        <f t="shared" si="155"/>
        <v>0</v>
      </c>
      <c r="I757">
        <f t="shared" si="162"/>
        <v>0</v>
      </c>
      <c r="J757">
        <f t="shared" si="162"/>
        <v>0</v>
      </c>
      <c r="K757">
        <f t="shared" si="162"/>
        <v>0</v>
      </c>
      <c r="L757">
        <f t="shared" si="162"/>
        <v>0</v>
      </c>
      <c r="M757">
        <f t="shared" si="162"/>
        <v>0</v>
      </c>
      <c r="N757">
        <f t="shared" si="162"/>
        <v>0</v>
      </c>
      <c r="O757">
        <f t="shared" si="162"/>
        <v>0</v>
      </c>
      <c r="P757">
        <f t="shared" si="162"/>
        <v>0</v>
      </c>
      <c r="Q757">
        <f t="shared" si="162"/>
        <v>0</v>
      </c>
      <c r="R757">
        <f t="shared" si="162"/>
        <v>0</v>
      </c>
      <c r="S757">
        <f t="shared" si="162"/>
        <v>0</v>
      </c>
      <c r="T757">
        <f t="shared" si="162"/>
        <v>0</v>
      </c>
      <c r="U757">
        <f t="shared" si="162"/>
        <v>0</v>
      </c>
      <c r="V757">
        <f t="shared" si="162"/>
        <v>0</v>
      </c>
      <c r="W757">
        <f t="shared" si="162"/>
        <v>0</v>
      </c>
      <c r="X757">
        <f t="shared" si="162"/>
        <v>0</v>
      </c>
      <c r="Y757">
        <f t="shared" si="161"/>
        <v>0</v>
      </c>
      <c r="Z757">
        <f t="shared" si="161"/>
        <v>0</v>
      </c>
      <c r="AA757">
        <f t="shared" si="161"/>
        <v>0</v>
      </c>
      <c r="AB757">
        <f t="shared" si="161"/>
        <v>0</v>
      </c>
      <c r="AC757">
        <f t="shared" si="161"/>
        <v>0</v>
      </c>
      <c r="AD757">
        <f t="shared" si="161"/>
        <v>0</v>
      </c>
      <c r="AE757">
        <f t="shared" si="161"/>
        <v>0</v>
      </c>
      <c r="AF757">
        <f t="shared" si="161"/>
        <v>0</v>
      </c>
      <c r="AG757">
        <f t="shared" si="161"/>
        <v>0</v>
      </c>
      <c r="AH757">
        <f t="shared" si="161"/>
        <v>0</v>
      </c>
      <c r="AI757">
        <f t="shared" si="161"/>
        <v>0</v>
      </c>
      <c r="AJ757">
        <f t="shared" si="161"/>
        <v>0</v>
      </c>
      <c r="AK757">
        <f t="shared" si="163"/>
        <v>0</v>
      </c>
      <c r="AL757">
        <f t="shared" si="163"/>
        <v>0</v>
      </c>
      <c r="AM757">
        <f t="shared" si="163"/>
        <v>0</v>
      </c>
      <c r="AN757">
        <f t="shared" si="163"/>
        <v>0</v>
      </c>
      <c r="AO757">
        <f t="shared" si="163"/>
        <v>0</v>
      </c>
      <c r="AP757">
        <f t="shared" si="163"/>
        <v>0</v>
      </c>
      <c r="AQ757">
        <f t="shared" si="163"/>
        <v>0</v>
      </c>
      <c r="AR757">
        <f t="shared" si="163"/>
        <v>0</v>
      </c>
    </row>
    <row r="758" spans="5:44" x14ac:dyDescent="0.2">
      <c r="E758" s="1">
        <f>moment_rate!$M758</f>
        <v>0</v>
      </c>
      <c r="F758" s="1">
        <f t="shared" si="154"/>
        <v>0</v>
      </c>
      <c r="G758">
        <f>moment_rate!I758-0.005</f>
        <v>7.5099999999998843</v>
      </c>
      <c r="H758" s="1">
        <f t="shared" si="155"/>
        <v>0</v>
      </c>
      <c r="I758">
        <f t="shared" si="162"/>
        <v>0</v>
      </c>
      <c r="J758">
        <f t="shared" si="162"/>
        <v>0</v>
      </c>
      <c r="K758">
        <f t="shared" si="162"/>
        <v>0</v>
      </c>
      <c r="L758">
        <f t="shared" si="162"/>
        <v>0</v>
      </c>
      <c r="M758">
        <f t="shared" si="162"/>
        <v>0</v>
      </c>
      <c r="N758">
        <f t="shared" si="162"/>
        <v>0</v>
      </c>
      <c r="O758">
        <f t="shared" si="162"/>
        <v>0</v>
      </c>
      <c r="P758">
        <f t="shared" si="162"/>
        <v>0</v>
      </c>
      <c r="Q758">
        <f t="shared" si="162"/>
        <v>0</v>
      </c>
      <c r="R758">
        <f t="shared" si="162"/>
        <v>0</v>
      </c>
      <c r="S758">
        <f t="shared" si="162"/>
        <v>0</v>
      </c>
      <c r="T758">
        <f t="shared" si="162"/>
        <v>0</v>
      </c>
      <c r="U758">
        <f t="shared" si="162"/>
        <v>0</v>
      </c>
      <c r="V758">
        <f t="shared" si="162"/>
        <v>0</v>
      </c>
      <c r="W758">
        <f t="shared" si="162"/>
        <v>0</v>
      </c>
      <c r="X758">
        <f t="shared" si="162"/>
        <v>0</v>
      </c>
      <c r="Y758">
        <f t="shared" si="161"/>
        <v>0</v>
      </c>
      <c r="Z758">
        <f t="shared" si="161"/>
        <v>0</v>
      </c>
      <c r="AA758">
        <f t="shared" si="161"/>
        <v>0</v>
      </c>
      <c r="AB758">
        <f t="shared" si="161"/>
        <v>0</v>
      </c>
      <c r="AC758">
        <f t="shared" si="161"/>
        <v>0</v>
      </c>
      <c r="AD758">
        <f t="shared" si="161"/>
        <v>0</v>
      </c>
      <c r="AE758">
        <f t="shared" si="161"/>
        <v>0</v>
      </c>
      <c r="AF758">
        <f t="shared" si="161"/>
        <v>0</v>
      </c>
      <c r="AG758">
        <f t="shared" si="161"/>
        <v>0</v>
      </c>
      <c r="AH758">
        <f t="shared" si="161"/>
        <v>0</v>
      </c>
      <c r="AI758">
        <f t="shared" si="161"/>
        <v>0</v>
      </c>
      <c r="AJ758">
        <f t="shared" si="161"/>
        <v>0</v>
      </c>
      <c r="AK758">
        <f t="shared" si="163"/>
        <v>0</v>
      </c>
      <c r="AL758">
        <f t="shared" si="163"/>
        <v>0</v>
      </c>
      <c r="AM758">
        <f t="shared" si="163"/>
        <v>0</v>
      </c>
      <c r="AN758">
        <f t="shared" si="163"/>
        <v>0</v>
      </c>
      <c r="AO758">
        <f t="shared" si="163"/>
        <v>0</v>
      </c>
      <c r="AP758">
        <f t="shared" si="163"/>
        <v>0</v>
      </c>
      <c r="AQ758">
        <f t="shared" si="163"/>
        <v>0</v>
      </c>
      <c r="AR758">
        <f t="shared" si="163"/>
        <v>0</v>
      </c>
    </row>
    <row r="759" spans="5:44" x14ac:dyDescent="0.2">
      <c r="E759" s="1">
        <f>moment_rate!$M759</f>
        <v>0</v>
      </c>
      <c r="F759" s="1">
        <f t="shared" si="154"/>
        <v>0</v>
      </c>
      <c r="G759">
        <f>moment_rate!I759-0.005</f>
        <v>7.5199999999998841</v>
      </c>
      <c r="H759" s="1">
        <f t="shared" si="155"/>
        <v>0</v>
      </c>
      <c r="I759">
        <f t="shared" si="162"/>
        <v>0</v>
      </c>
      <c r="J759">
        <f t="shared" si="162"/>
        <v>0</v>
      </c>
      <c r="K759">
        <f t="shared" si="162"/>
        <v>0</v>
      </c>
      <c r="L759">
        <f t="shared" si="162"/>
        <v>0</v>
      </c>
      <c r="M759">
        <f t="shared" si="162"/>
        <v>0</v>
      </c>
      <c r="N759">
        <f t="shared" si="162"/>
        <v>0</v>
      </c>
      <c r="O759">
        <f t="shared" si="162"/>
        <v>0</v>
      </c>
      <c r="P759">
        <f t="shared" si="162"/>
        <v>0</v>
      </c>
      <c r="Q759">
        <f t="shared" si="162"/>
        <v>0</v>
      </c>
      <c r="R759">
        <f t="shared" si="162"/>
        <v>0</v>
      </c>
      <c r="S759">
        <f t="shared" si="162"/>
        <v>0</v>
      </c>
      <c r="T759">
        <f t="shared" si="162"/>
        <v>0</v>
      </c>
      <c r="U759">
        <f t="shared" si="162"/>
        <v>0</v>
      </c>
      <c r="V759">
        <f t="shared" si="162"/>
        <v>0</v>
      </c>
      <c r="W759">
        <f t="shared" si="162"/>
        <v>0</v>
      </c>
      <c r="X759">
        <f t="shared" si="162"/>
        <v>0</v>
      </c>
      <c r="Y759">
        <f t="shared" si="161"/>
        <v>0</v>
      </c>
      <c r="Z759">
        <f t="shared" si="161"/>
        <v>0</v>
      </c>
      <c r="AA759">
        <f t="shared" si="161"/>
        <v>0</v>
      </c>
      <c r="AB759">
        <f t="shared" si="161"/>
        <v>0</v>
      </c>
      <c r="AC759">
        <f t="shared" si="161"/>
        <v>0</v>
      </c>
      <c r="AD759">
        <f t="shared" si="161"/>
        <v>0</v>
      </c>
      <c r="AE759">
        <f t="shared" si="161"/>
        <v>0</v>
      </c>
      <c r="AF759">
        <f t="shared" si="161"/>
        <v>0</v>
      </c>
      <c r="AG759">
        <f t="shared" si="161"/>
        <v>0</v>
      </c>
      <c r="AH759">
        <f t="shared" si="161"/>
        <v>0</v>
      </c>
      <c r="AI759">
        <f t="shared" si="161"/>
        <v>0</v>
      </c>
      <c r="AJ759">
        <f t="shared" si="161"/>
        <v>0</v>
      </c>
      <c r="AK759">
        <f t="shared" si="163"/>
        <v>0</v>
      </c>
      <c r="AL759">
        <f t="shared" si="163"/>
        <v>0</v>
      </c>
      <c r="AM759">
        <f t="shared" si="163"/>
        <v>0</v>
      </c>
      <c r="AN759">
        <f t="shared" si="163"/>
        <v>0</v>
      </c>
      <c r="AO759">
        <f t="shared" si="163"/>
        <v>0</v>
      </c>
      <c r="AP759">
        <f t="shared" si="163"/>
        <v>0</v>
      </c>
      <c r="AQ759">
        <f t="shared" si="163"/>
        <v>0</v>
      </c>
      <c r="AR759">
        <f t="shared" si="163"/>
        <v>0</v>
      </c>
    </row>
    <row r="760" spans="5:44" x14ac:dyDescent="0.2">
      <c r="E760" s="1">
        <f>moment_rate!$M760</f>
        <v>0</v>
      </c>
      <c r="F760" s="1">
        <f t="shared" si="154"/>
        <v>0</v>
      </c>
      <c r="G760">
        <f>moment_rate!I760-0.005</f>
        <v>7.5299999999998839</v>
      </c>
      <c r="H760" s="1">
        <f t="shared" si="155"/>
        <v>0</v>
      </c>
      <c r="I760">
        <f t="shared" si="162"/>
        <v>0</v>
      </c>
      <c r="J760">
        <f t="shared" si="162"/>
        <v>0</v>
      </c>
      <c r="K760">
        <f t="shared" si="162"/>
        <v>0</v>
      </c>
      <c r="L760">
        <f t="shared" si="162"/>
        <v>0</v>
      </c>
      <c r="M760">
        <f t="shared" si="162"/>
        <v>0</v>
      </c>
      <c r="N760">
        <f t="shared" si="162"/>
        <v>0</v>
      </c>
      <c r="O760">
        <f t="shared" si="162"/>
        <v>0</v>
      </c>
      <c r="P760">
        <f t="shared" si="162"/>
        <v>0</v>
      </c>
      <c r="Q760">
        <f t="shared" si="162"/>
        <v>0</v>
      </c>
      <c r="R760">
        <f t="shared" si="162"/>
        <v>0</v>
      </c>
      <c r="S760">
        <f t="shared" si="162"/>
        <v>0</v>
      </c>
      <c r="T760">
        <f t="shared" si="162"/>
        <v>0</v>
      </c>
      <c r="U760">
        <f t="shared" si="162"/>
        <v>0</v>
      </c>
      <c r="V760">
        <f t="shared" si="162"/>
        <v>0</v>
      </c>
      <c r="W760">
        <f t="shared" si="162"/>
        <v>0</v>
      </c>
      <c r="X760">
        <f t="shared" si="162"/>
        <v>0</v>
      </c>
      <c r="Y760">
        <f t="shared" si="161"/>
        <v>0</v>
      </c>
      <c r="Z760">
        <f t="shared" si="161"/>
        <v>0</v>
      </c>
      <c r="AA760">
        <f t="shared" si="161"/>
        <v>0</v>
      </c>
      <c r="AB760">
        <f t="shared" si="161"/>
        <v>0</v>
      </c>
      <c r="AC760">
        <f t="shared" si="161"/>
        <v>0</v>
      </c>
      <c r="AD760">
        <f t="shared" si="161"/>
        <v>0</v>
      </c>
      <c r="AE760">
        <f t="shared" si="161"/>
        <v>0</v>
      </c>
      <c r="AF760">
        <f t="shared" si="161"/>
        <v>0</v>
      </c>
      <c r="AG760">
        <f t="shared" si="161"/>
        <v>0</v>
      </c>
      <c r="AH760">
        <f t="shared" si="161"/>
        <v>0</v>
      </c>
      <c r="AI760">
        <f t="shared" si="161"/>
        <v>0</v>
      </c>
      <c r="AJ760">
        <f t="shared" si="161"/>
        <v>0</v>
      </c>
      <c r="AK760">
        <f t="shared" si="163"/>
        <v>0</v>
      </c>
      <c r="AL760">
        <f t="shared" si="163"/>
        <v>0</v>
      </c>
      <c r="AM760">
        <f t="shared" si="163"/>
        <v>0</v>
      </c>
      <c r="AN760">
        <f t="shared" si="163"/>
        <v>0</v>
      </c>
      <c r="AO760">
        <f t="shared" si="163"/>
        <v>0</v>
      </c>
      <c r="AP760">
        <f t="shared" si="163"/>
        <v>0</v>
      </c>
      <c r="AQ760">
        <f t="shared" si="163"/>
        <v>0</v>
      </c>
      <c r="AR760">
        <f t="shared" si="163"/>
        <v>0</v>
      </c>
    </row>
    <row r="761" spans="5:44" x14ac:dyDescent="0.2">
      <c r="E761" s="1">
        <f>moment_rate!$M761</f>
        <v>0</v>
      </c>
      <c r="F761" s="1">
        <f t="shared" si="154"/>
        <v>0</v>
      </c>
      <c r="G761">
        <f>moment_rate!I761-0.005</f>
        <v>7.5399999999998837</v>
      </c>
      <c r="H761" s="1">
        <f t="shared" si="155"/>
        <v>0</v>
      </c>
      <c r="I761">
        <f t="shared" si="162"/>
        <v>0</v>
      </c>
      <c r="J761">
        <f t="shared" si="162"/>
        <v>0</v>
      </c>
      <c r="K761">
        <f t="shared" si="162"/>
        <v>0</v>
      </c>
      <c r="L761">
        <f t="shared" si="162"/>
        <v>0</v>
      </c>
      <c r="M761">
        <f t="shared" si="162"/>
        <v>0</v>
      </c>
      <c r="N761">
        <f t="shared" si="162"/>
        <v>0</v>
      </c>
      <c r="O761">
        <f t="shared" si="162"/>
        <v>0</v>
      </c>
      <c r="P761">
        <f t="shared" si="162"/>
        <v>0</v>
      </c>
      <c r="Q761">
        <f t="shared" si="162"/>
        <v>0</v>
      </c>
      <c r="R761">
        <f t="shared" si="162"/>
        <v>0</v>
      </c>
      <c r="S761">
        <f t="shared" si="162"/>
        <v>0</v>
      </c>
      <c r="T761">
        <f t="shared" si="162"/>
        <v>0</v>
      </c>
      <c r="U761">
        <f t="shared" si="162"/>
        <v>0</v>
      </c>
      <c r="V761">
        <f t="shared" si="162"/>
        <v>0</v>
      </c>
      <c r="W761">
        <f t="shared" si="162"/>
        <v>0</v>
      </c>
      <c r="X761">
        <f t="shared" si="162"/>
        <v>0</v>
      </c>
      <c r="Y761">
        <f t="shared" si="161"/>
        <v>0</v>
      </c>
      <c r="Z761">
        <f t="shared" si="161"/>
        <v>0</v>
      </c>
      <c r="AA761">
        <f t="shared" si="161"/>
        <v>0</v>
      </c>
      <c r="AB761">
        <f t="shared" si="161"/>
        <v>0</v>
      </c>
      <c r="AC761">
        <f t="shared" si="161"/>
        <v>0</v>
      </c>
      <c r="AD761">
        <f t="shared" si="161"/>
        <v>0</v>
      </c>
      <c r="AE761">
        <f t="shared" si="161"/>
        <v>0</v>
      </c>
      <c r="AF761">
        <f t="shared" si="161"/>
        <v>0</v>
      </c>
      <c r="AG761">
        <f t="shared" si="161"/>
        <v>0</v>
      </c>
      <c r="AH761">
        <f t="shared" si="161"/>
        <v>0</v>
      </c>
      <c r="AI761">
        <f t="shared" si="161"/>
        <v>0</v>
      </c>
      <c r="AJ761">
        <f t="shared" si="161"/>
        <v>0</v>
      </c>
      <c r="AK761">
        <f t="shared" si="163"/>
        <v>0</v>
      </c>
      <c r="AL761">
        <f t="shared" si="163"/>
        <v>0</v>
      </c>
      <c r="AM761">
        <f t="shared" si="163"/>
        <v>0</v>
      </c>
      <c r="AN761">
        <f t="shared" si="163"/>
        <v>0</v>
      </c>
      <c r="AO761">
        <f t="shared" si="163"/>
        <v>0</v>
      </c>
      <c r="AP761">
        <f t="shared" si="163"/>
        <v>0</v>
      </c>
      <c r="AQ761">
        <f t="shared" si="163"/>
        <v>0</v>
      </c>
      <c r="AR761">
        <f t="shared" si="163"/>
        <v>0</v>
      </c>
    </row>
    <row r="762" spans="5:44" x14ac:dyDescent="0.2">
      <c r="E762" s="1">
        <f>moment_rate!$M762</f>
        <v>0</v>
      </c>
      <c r="F762" s="1">
        <f t="shared" si="154"/>
        <v>0</v>
      </c>
      <c r="G762">
        <f>moment_rate!I762-0.005</f>
        <v>7.5499999999998835</v>
      </c>
      <c r="H762" s="1">
        <f t="shared" si="155"/>
        <v>0</v>
      </c>
      <c r="I762">
        <f t="shared" si="162"/>
        <v>0</v>
      </c>
      <c r="J762">
        <f t="shared" si="162"/>
        <v>0</v>
      </c>
      <c r="K762">
        <f t="shared" si="162"/>
        <v>0</v>
      </c>
      <c r="L762">
        <f t="shared" si="162"/>
        <v>0</v>
      </c>
      <c r="M762">
        <f t="shared" si="162"/>
        <v>0</v>
      </c>
      <c r="N762">
        <f t="shared" si="162"/>
        <v>0</v>
      </c>
      <c r="O762">
        <f t="shared" si="162"/>
        <v>0</v>
      </c>
      <c r="P762">
        <f t="shared" si="162"/>
        <v>0</v>
      </c>
      <c r="Q762">
        <f t="shared" si="162"/>
        <v>0</v>
      </c>
      <c r="R762">
        <f t="shared" si="162"/>
        <v>0</v>
      </c>
      <c r="S762">
        <f t="shared" si="162"/>
        <v>0</v>
      </c>
      <c r="T762">
        <f t="shared" si="162"/>
        <v>0</v>
      </c>
      <c r="U762">
        <f t="shared" si="162"/>
        <v>0</v>
      </c>
      <c r="V762">
        <f t="shared" si="162"/>
        <v>0</v>
      </c>
      <c r="W762">
        <f t="shared" si="162"/>
        <v>0</v>
      </c>
      <c r="X762">
        <f t="shared" ref="X762:AM777" si="164">IF(AND($G762&gt;=X$3,$G762&lt;X$4),$F762,0)</f>
        <v>0</v>
      </c>
      <c r="Y762">
        <f t="shared" si="164"/>
        <v>0</v>
      </c>
      <c r="Z762">
        <f t="shared" si="164"/>
        <v>0</v>
      </c>
      <c r="AA762">
        <f t="shared" si="164"/>
        <v>0</v>
      </c>
      <c r="AB762">
        <f t="shared" si="164"/>
        <v>0</v>
      </c>
      <c r="AC762">
        <f t="shared" si="164"/>
        <v>0</v>
      </c>
      <c r="AD762">
        <f t="shared" si="164"/>
        <v>0</v>
      </c>
      <c r="AE762">
        <f t="shared" si="164"/>
        <v>0</v>
      </c>
      <c r="AF762">
        <f t="shared" si="164"/>
        <v>0</v>
      </c>
      <c r="AG762">
        <f t="shared" si="164"/>
        <v>0</v>
      </c>
      <c r="AH762">
        <f t="shared" si="164"/>
        <v>0</v>
      </c>
      <c r="AI762">
        <f t="shared" si="164"/>
        <v>0</v>
      </c>
      <c r="AJ762">
        <f t="shared" si="164"/>
        <v>0</v>
      </c>
      <c r="AK762">
        <f t="shared" si="164"/>
        <v>0</v>
      </c>
      <c r="AL762">
        <f t="shared" si="164"/>
        <v>0</v>
      </c>
      <c r="AM762">
        <f t="shared" si="164"/>
        <v>0</v>
      </c>
      <c r="AN762">
        <f t="shared" si="163"/>
        <v>0</v>
      </c>
      <c r="AO762">
        <f t="shared" si="163"/>
        <v>0</v>
      </c>
      <c r="AP762">
        <f t="shared" si="163"/>
        <v>0</v>
      </c>
      <c r="AQ762">
        <f t="shared" si="163"/>
        <v>0</v>
      </c>
      <c r="AR762">
        <f t="shared" si="163"/>
        <v>0</v>
      </c>
    </row>
    <row r="763" spans="5:44" x14ac:dyDescent="0.2">
      <c r="E763" s="1">
        <f>moment_rate!$M763</f>
        <v>0</v>
      </c>
      <c r="F763" s="1">
        <f t="shared" si="154"/>
        <v>0</v>
      </c>
      <c r="G763">
        <f>moment_rate!I763-0.005</f>
        <v>7.5599999999998833</v>
      </c>
      <c r="H763" s="1">
        <f t="shared" si="155"/>
        <v>0</v>
      </c>
      <c r="I763">
        <f t="shared" ref="I763:X778" si="165">IF(AND($G763&gt;=I$3,$G763&lt;I$4),$F763,0)</f>
        <v>0</v>
      </c>
      <c r="J763">
        <f t="shared" si="165"/>
        <v>0</v>
      </c>
      <c r="K763">
        <f t="shared" si="165"/>
        <v>0</v>
      </c>
      <c r="L763">
        <f t="shared" si="165"/>
        <v>0</v>
      </c>
      <c r="M763">
        <f t="shared" si="165"/>
        <v>0</v>
      </c>
      <c r="N763">
        <f t="shared" si="165"/>
        <v>0</v>
      </c>
      <c r="O763">
        <f t="shared" si="165"/>
        <v>0</v>
      </c>
      <c r="P763">
        <f t="shared" si="165"/>
        <v>0</v>
      </c>
      <c r="Q763">
        <f t="shared" si="165"/>
        <v>0</v>
      </c>
      <c r="R763">
        <f t="shared" si="165"/>
        <v>0</v>
      </c>
      <c r="S763">
        <f t="shared" si="165"/>
        <v>0</v>
      </c>
      <c r="T763">
        <f t="shared" si="165"/>
        <v>0</v>
      </c>
      <c r="U763">
        <f t="shared" si="165"/>
        <v>0</v>
      </c>
      <c r="V763">
        <f t="shared" si="165"/>
        <v>0</v>
      </c>
      <c r="W763">
        <f t="shared" si="165"/>
        <v>0</v>
      </c>
      <c r="X763">
        <f t="shared" si="165"/>
        <v>0</v>
      </c>
      <c r="Y763">
        <f t="shared" si="164"/>
        <v>0</v>
      </c>
      <c r="Z763">
        <f t="shared" si="164"/>
        <v>0</v>
      </c>
      <c r="AA763">
        <f t="shared" si="164"/>
        <v>0</v>
      </c>
      <c r="AB763">
        <f t="shared" si="164"/>
        <v>0</v>
      </c>
      <c r="AC763">
        <f t="shared" si="164"/>
        <v>0</v>
      </c>
      <c r="AD763">
        <f t="shared" si="164"/>
        <v>0</v>
      </c>
      <c r="AE763">
        <f t="shared" si="164"/>
        <v>0</v>
      </c>
      <c r="AF763">
        <f t="shared" si="164"/>
        <v>0</v>
      </c>
      <c r="AG763">
        <f t="shared" si="164"/>
        <v>0</v>
      </c>
      <c r="AH763">
        <f t="shared" si="164"/>
        <v>0</v>
      </c>
      <c r="AI763">
        <f t="shared" si="164"/>
        <v>0</v>
      </c>
      <c r="AJ763">
        <f t="shared" si="164"/>
        <v>0</v>
      </c>
      <c r="AK763">
        <f t="shared" si="164"/>
        <v>0</v>
      </c>
      <c r="AL763">
        <f t="shared" si="164"/>
        <v>0</v>
      </c>
      <c r="AM763">
        <f t="shared" si="164"/>
        <v>0</v>
      </c>
      <c r="AN763">
        <f t="shared" si="163"/>
        <v>0</v>
      </c>
      <c r="AO763">
        <f t="shared" si="163"/>
        <v>0</v>
      </c>
      <c r="AP763">
        <f t="shared" si="163"/>
        <v>0</v>
      </c>
      <c r="AQ763">
        <f t="shared" si="163"/>
        <v>0</v>
      </c>
      <c r="AR763">
        <f t="shared" si="163"/>
        <v>0</v>
      </c>
    </row>
    <row r="764" spans="5:44" x14ac:dyDescent="0.2">
      <c r="E764" s="1">
        <f>moment_rate!$M764</f>
        <v>0</v>
      </c>
      <c r="F764" s="1">
        <f t="shared" si="154"/>
        <v>0</v>
      </c>
      <c r="G764">
        <f>moment_rate!I764-0.005</f>
        <v>7.569999999999883</v>
      </c>
      <c r="H764" s="1">
        <f t="shared" si="155"/>
        <v>0</v>
      </c>
      <c r="I764">
        <f t="shared" si="165"/>
        <v>0</v>
      </c>
      <c r="J764">
        <f t="shared" si="165"/>
        <v>0</v>
      </c>
      <c r="K764">
        <f t="shared" si="165"/>
        <v>0</v>
      </c>
      <c r="L764">
        <f t="shared" si="165"/>
        <v>0</v>
      </c>
      <c r="M764">
        <f t="shared" si="165"/>
        <v>0</v>
      </c>
      <c r="N764">
        <f t="shared" si="165"/>
        <v>0</v>
      </c>
      <c r="O764">
        <f t="shared" si="165"/>
        <v>0</v>
      </c>
      <c r="P764">
        <f t="shared" si="165"/>
        <v>0</v>
      </c>
      <c r="Q764">
        <f t="shared" si="165"/>
        <v>0</v>
      </c>
      <c r="R764">
        <f t="shared" si="165"/>
        <v>0</v>
      </c>
      <c r="S764">
        <f t="shared" si="165"/>
        <v>0</v>
      </c>
      <c r="T764">
        <f t="shared" si="165"/>
        <v>0</v>
      </c>
      <c r="U764">
        <f t="shared" si="165"/>
        <v>0</v>
      </c>
      <c r="V764">
        <f t="shared" si="165"/>
        <v>0</v>
      </c>
      <c r="W764">
        <f t="shared" si="165"/>
        <v>0</v>
      </c>
      <c r="X764">
        <f t="shared" si="165"/>
        <v>0</v>
      </c>
      <c r="Y764">
        <f t="shared" si="164"/>
        <v>0</v>
      </c>
      <c r="Z764">
        <f t="shared" si="164"/>
        <v>0</v>
      </c>
      <c r="AA764">
        <f t="shared" si="164"/>
        <v>0</v>
      </c>
      <c r="AB764">
        <f t="shared" si="164"/>
        <v>0</v>
      </c>
      <c r="AC764">
        <f t="shared" si="164"/>
        <v>0</v>
      </c>
      <c r="AD764">
        <f t="shared" si="164"/>
        <v>0</v>
      </c>
      <c r="AE764">
        <f t="shared" si="164"/>
        <v>0</v>
      </c>
      <c r="AF764">
        <f t="shared" si="164"/>
        <v>0</v>
      </c>
      <c r="AG764">
        <f t="shared" si="164"/>
        <v>0</v>
      </c>
      <c r="AH764">
        <f t="shared" si="164"/>
        <v>0</v>
      </c>
      <c r="AI764">
        <f t="shared" si="164"/>
        <v>0</v>
      </c>
      <c r="AJ764">
        <f t="shared" si="164"/>
        <v>0</v>
      </c>
      <c r="AK764">
        <f t="shared" si="164"/>
        <v>0</v>
      </c>
      <c r="AL764">
        <f t="shared" si="164"/>
        <v>0</v>
      </c>
      <c r="AM764">
        <f t="shared" si="164"/>
        <v>0</v>
      </c>
      <c r="AN764">
        <f t="shared" si="163"/>
        <v>0</v>
      </c>
      <c r="AO764">
        <f t="shared" si="163"/>
        <v>0</v>
      </c>
      <c r="AP764">
        <f t="shared" si="163"/>
        <v>0</v>
      </c>
      <c r="AQ764">
        <f t="shared" si="163"/>
        <v>0</v>
      </c>
      <c r="AR764">
        <f t="shared" si="163"/>
        <v>0</v>
      </c>
    </row>
    <row r="765" spans="5:44" x14ac:dyDescent="0.2">
      <c r="E765" s="1">
        <f>moment_rate!$M765</f>
        <v>0</v>
      </c>
      <c r="F765" s="1">
        <f t="shared" si="154"/>
        <v>0</v>
      </c>
      <c r="G765">
        <f>moment_rate!I765-0.005</f>
        <v>7.5799999999998828</v>
      </c>
      <c r="H765" s="1">
        <f t="shared" si="155"/>
        <v>0</v>
      </c>
      <c r="I765">
        <f t="shared" si="165"/>
        <v>0</v>
      </c>
      <c r="J765">
        <f t="shared" si="165"/>
        <v>0</v>
      </c>
      <c r="K765">
        <f t="shared" si="165"/>
        <v>0</v>
      </c>
      <c r="L765">
        <f t="shared" si="165"/>
        <v>0</v>
      </c>
      <c r="M765">
        <f t="shared" si="165"/>
        <v>0</v>
      </c>
      <c r="N765">
        <f t="shared" si="165"/>
        <v>0</v>
      </c>
      <c r="O765">
        <f t="shared" si="165"/>
        <v>0</v>
      </c>
      <c r="P765">
        <f t="shared" si="165"/>
        <v>0</v>
      </c>
      <c r="Q765">
        <f t="shared" si="165"/>
        <v>0</v>
      </c>
      <c r="R765">
        <f t="shared" si="165"/>
        <v>0</v>
      </c>
      <c r="S765">
        <f t="shared" si="165"/>
        <v>0</v>
      </c>
      <c r="T765">
        <f t="shared" si="165"/>
        <v>0</v>
      </c>
      <c r="U765">
        <f t="shared" si="165"/>
        <v>0</v>
      </c>
      <c r="V765">
        <f t="shared" si="165"/>
        <v>0</v>
      </c>
      <c r="W765">
        <f t="shared" si="165"/>
        <v>0</v>
      </c>
      <c r="X765">
        <f t="shared" si="165"/>
        <v>0</v>
      </c>
      <c r="Y765">
        <f t="shared" si="164"/>
        <v>0</v>
      </c>
      <c r="Z765">
        <f t="shared" si="164"/>
        <v>0</v>
      </c>
      <c r="AA765">
        <f t="shared" si="164"/>
        <v>0</v>
      </c>
      <c r="AB765">
        <f t="shared" si="164"/>
        <v>0</v>
      </c>
      <c r="AC765">
        <f t="shared" si="164"/>
        <v>0</v>
      </c>
      <c r="AD765">
        <f t="shared" si="164"/>
        <v>0</v>
      </c>
      <c r="AE765">
        <f t="shared" si="164"/>
        <v>0</v>
      </c>
      <c r="AF765">
        <f t="shared" si="164"/>
        <v>0</v>
      </c>
      <c r="AG765">
        <f t="shared" si="164"/>
        <v>0</v>
      </c>
      <c r="AH765">
        <f t="shared" si="164"/>
        <v>0</v>
      </c>
      <c r="AI765">
        <f t="shared" si="164"/>
        <v>0</v>
      </c>
      <c r="AJ765">
        <f t="shared" si="164"/>
        <v>0</v>
      </c>
      <c r="AK765">
        <f t="shared" si="164"/>
        <v>0</v>
      </c>
      <c r="AL765">
        <f t="shared" si="164"/>
        <v>0</v>
      </c>
      <c r="AM765">
        <f t="shared" si="164"/>
        <v>0</v>
      </c>
      <c r="AN765">
        <f t="shared" si="163"/>
        <v>0</v>
      </c>
      <c r="AO765">
        <f t="shared" si="163"/>
        <v>0</v>
      </c>
      <c r="AP765">
        <f t="shared" si="163"/>
        <v>0</v>
      </c>
      <c r="AQ765">
        <f t="shared" si="163"/>
        <v>0</v>
      </c>
      <c r="AR765">
        <f t="shared" si="163"/>
        <v>0</v>
      </c>
    </row>
    <row r="766" spans="5:44" x14ac:dyDescent="0.2">
      <c r="E766" s="1">
        <f>moment_rate!$M766</f>
        <v>0</v>
      </c>
      <c r="F766" s="1">
        <f t="shared" si="154"/>
        <v>0</v>
      </c>
      <c r="G766">
        <f>moment_rate!I766-0.005</f>
        <v>7.5899999999998826</v>
      </c>
      <c r="H766" s="1">
        <f t="shared" si="155"/>
        <v>0</v>
      </c>
      <c r="I766">
        <f t="shared" si="165"/>
        <v>0</v>
      </c>
      <c r="J766">
        <f t="shared" si="165"/>
        <v>0</v>
      </c>
      <c r="K766">
        <f t="shared" si="165"/>
        <v>0</v>
      </c>
      <c r="L766">
        <f t="shared" si="165"/>
        <v>0</v>
      </c>
      <c r="M766">
        <f t="shared" si="165"/>
        <v>0</v>
      </c>
      <c r="N766">
        <f t="shared" si="165"/>
        <v>0</v>
      </c>
      <c r="O766">
        <f t="shared" si="165"/>
        <v>0</v>
      </c>
      <c r="P766">
        <f t="shared" si="165"/>
        <v>0</v>
      </c>
      <c r="Q766">
        <f t="shared" si="165"/>
        <v>0</v>
      </c>
      <c r="R766">
        <f t="shared" si="165"/>
        <v>0</v>
      </c>
      <c r="S766">
        <f t="shared" si="165"/>
        <v>0</v>
      </c>
      <c r="T766">
        <f t="shared" si="165"/>
        <v>0</v>
      </c>
      <c r="U766">
        <f t="shared" si="165"/>
        <v>0</v>
      </c>
      <c r="V766">
        <f t="shared" si="165"/>
        <v>0</v>
      </c>
      <c r="W766">
        <f t="shared" si="165"/>
        <v>0</v>
      </c>
      <c r="X766">
        <f t="shared" si="165"/>
        <v>0</v>
      </c>
      <c r="Y766">
        <f t="shared" si="164"/>
        <v>0</v>
      </c>
      <c r="Z766">
        <f t="shared" si="164"/>
        <v>0</v>
      </c>
      <c r="AA766">
        <f t="shared" si="164"/>
        <v>0</v>
      </c>
      <c r="AB766">
        <f t="shared" si="164"/>
        <v>0</v>
      </c>
      <c r="AC766">
        <f t="shared" si="164"/>
        <v>0</v>
      </c>
      <c r="AD766">
        <f t="shared" si="164"/>
        <v>0</v>
      </c>
      <c r="AE766">
        <f t="shared" si="164"/>
        <v>0</v>
      </c>
      <c r="AF766">
        <f t="shared" si="164"/>
        <v>0</v>
      </c>
      <c r="AG766">
        <f t="shared" si="164"/>
        <v>0</v>
      </c>
      <c r="AH766">
        <f t="shared" si="164"/>
        <v>0</v>
      </c>
      <c r="AI766">
        <f t="shared" si="164"/>
        <v>0</v>
      </c>
      <c r="AJ766">
        <f t="shared" si="164"/>
        <v>0</v>
      </c>
      <c r="AK766">
        <f t="shared" si="164"/>
        <v>0</v>
      </c>
      <c r="AL766">
        <f t="shared" si="164"/>
        <v>0</v>
      </c>
      <c r="AM766">
        <f t="shared" si="164"/>
        <v>0</v>
      </c>
      <c r="AN766">
        <f t="shared" si="163"/>
        <v>0</v>
      </c>
      <c r="AO766">
        <f t="shared" si="163"/>
        <v>0</v>
      </c>
      <c r="AP766">
        <f t="shared" si="163"/>
        <v>0</v>
      </c>
      <c r="AQ766">
        <f t="shared" si="163"/>
        <v>0</v>
      </c>
      <c r="AR766">
        <f t="shared" si="163"/>
        <v>0</v>
      </c>
    </row>
    <row r="767" spans="5:44" x14ac:dyDescent="0.2">
      <c r="E767" s="1">
        <f>moment_rate!$M767</f>
        <v>0</v>
      </c>
      <c r="F767" s="1">
        <f t="shared" si="154"/>
        <v>0</v>
      </c>
      <c r="G767">
        <f>moment_rate!I767-0.005</f>
        <v>7.5999999999998824</v>
      </c>
      <c r="H767" s="1">
        <f t="shared" si="155"/>
        <v>0</v>
      </c>
      <c r="I767">
        <f t="shared" si="165"/>
        <v>0</v>
      </c>
      <c r="J767">
        <f t="shared" si="165"/>
        <v>0</v>
      </c>
      <c r="K767">
        <f t="shared" si="165"/>
        <v>0</v>
      </c>
      <c r="L767">
        <f t="shared" si="165"/>
        <v>0</v>
      </c>
      <c r="M767">
        <f t="shared" si="165"/>
        <v>0</v>
      </c>
      <c r="N767">
        <f t="shared" si="165"/>
        <v>0</v>
      </c>
      <c r="O767">
        <f t="shared" si="165"/>
        <v>0</v>
      </c>
      <c r="P767">
        <f t="shared" si="165"/>
        <v>0</v>
      </c>
      <c r="Q767">
        <f t="shared" si="165"/>
        <v>0</v>
      </c>
      <c r="R767">
        <f t="shared" si="165"/>
        <v>0</v>
      </c>
      <c r="S767">
        <f t="shared" si="165"/>
        <v>0</v>
      </c>
      <c r="T767">
        <f t="shared" si="165"/>
        <v>0</v>
      </c>
      <c r="U767">
        <f t="shared" si="165"/>
        <v>0</v>
      </c>
      <c r="V767">
        <f t="shared" si="165"/>
        <v>0</v>
      </c>
      <c r="W767">
        <f t="shared" si="165"/>
        <v>0</v>
      </c>
      <c r="X767">
        <f t="shared" si="165"/>
        <v>0</v>
      </c>
      <c r="Y767">
        <f t="shared" si="164"/>
        <v>0</v>
      </c>
      <c r="Z767">
        <f t="shared" si="164"/>
        <v>0</v>
      </c>
      <c r="AA767">
        <f t="shared" si="164"/>
        <v>0</v>
      </c>
      <c r="AB767">
        <f t="shared" si="164"/>
        <v>0</v>
      </c>
      <c r="AC767">
        <f t="shared" si="164"/>
        <v>0</v>
      </c>
      <c r="AD767">
        <f t="shared" si="164"/>
        <v>0</v>
      </c>
      <c r="AE767">
        <f t="shared" si="164"/>
        <v>0</v>
      </c>
      <c r="AF767">
        <f t="shared" si="164"/>
        <v>0</v>
      </c>
      <c r="AG767">
        <f t="shared" si="164"/>
        <v>0</v>
      </c>
      <c r="AH767">
        <f t="shared" si="164"/>
        <v>0</v>
      </c>
      <c r="AI767">
        <f t="shared" si="164"/>
        <v>0</v>
      </c>
      <c r="AJ767">
        <f t="shared" si="164"/>
        <v>0</v>
      </c>
      <c r="AK767">
        <f t="shared" si="164"/>
        <v>0</v>
      </c>
      <c r="AL767">
        <f t="shared" si="164"/>
        <v>0</v>
      </c>
      <c r="AM767">
        <f t="shared" si="164"/>
        <v>0</v>
      </c>
      <c r="AN767">
        <f t="shared" si="163"/>
        <v>0</v>
      </c>
      <c r="AO767">
        <f t="shared" si="163"/>
        <v>0</v>
      </c>
      <c r="AP767">
        <f t="shared" si="163"/>
        <v>0</v>
      </c>
      <c r="AQ767">
        <f t="shared" si="163"/>
        <v>0</v>
      </c>
      <c r="AR767">
        <f t="shared" si="163"/>
        <v>0</v>
      </c>
    </row>
    <row r="768" spans="5:44" x14ac:dyDescent="0.2">
      <c r="E768" s="1">
        <f>moment_rate!$M768</f>
        <v>0</v>
      </c>
      <c r="F768" s="1">
        <f t="shared" si="154"/>
        <v>0</v>
      </c>
      <c r="G768">
        <f>moment_rate!I768-0.005</f>
        <v>7.6099999999998822</v>
      </c>
      <c r="H768" s="1">
        <f t="shared" si="155"/>
        <v>0</v>
      </c>
      <c r="I768">
        <f t="shared" si="165"/>
        <v>0</v>
      </c>
      <c r="J768">
        <f t="shared" si="165"/>
        <v>0</v>
      </c>
      <c r="K768">
        <f t="shared" si="165"/>
        <v>0</v>
      </c>
      <c r="L768">
        <f t="shared" si="165"/>
        <v>0</v>
      </c>
      <c r="M768">
        <f t="shared" si="165"/>
        <v>0</v>
      </c>
      <c r="N768">
        <f t="shared" si="165"/>
        <v>0</v>
      </c>
      <c r="O768">
        <f t="shared" si="165"/>
        <v>0</v>
      </c>
      <c r="P768">
        <f t="shared" si="165"/>
        <v>0</v>
      </c>
      <c r="Q768">
        <f t="shared" si="165"/>
        <v>0</v>
      </c>
      <c r="R768">
        <f t="shared" si="165"/>
        <v>0</v>
      </c>
      <c r="S768">
        <f t="shared" si="165"/>
        <v>0</v>
      </c>
      <c r="T768">
        <f t="shared" si="165"/>
        <v>0</v>
      </c>
      <c r="U768">
        <f t="shared" si="165"/>
        <v>0</v>
      </c>
      <c r="V768">
        <f t="shared" si="165"/>
        <v>0</v>
      </c>
      <c r="W768">
        <f t="shared" si="165"/>
        <v>0</v>
      </c>
      <c r="X768">
        <f t="shared" si="165"/>
        <v>0</v>
      </c>
      <c r="Y768">
        <f t="shared" si="164"/>
        <v>0</v>
      </c>
      <c r="Z768">
        <f t="shared" si="164"/>
        <v>0</v>
      </c>
      <c r="AA768">
        <f t="shared" si="164"/>
        <v>0</v>
      </c>
      <c r="AB768">
        <f t="shared" si="164"/>
        <v>0</v>
      </c>
      <c r="AC768">
        <f t="shared" si="164"/>
        <v>0</v>
      </c>
      <c r="AD768">
        <f t="shared" si="164"/>
        <v>0</v>
      </c>
      <c r="AE768">
        <f t="shared" si="164"/>
        <v>0</v>
      </c>
      <c r="AF768">
        <f t="shared" si="164"/>
        <v>0</v>
      </c>
      <c r="AG768">
        <f t="shared" si="164"/>
        <v>0</v>
      </c>
      <c r="AH768">
        <f t="shared" si="164"/>
        <v>0</v>
      </c>
      <c r="AI768">
        <f t="shared" si="164"/>
        <v>0</v>
      </c>
      <c r="AJ768">
        <f t="shared" si="164"/>
        <v>0</v>
      </c>
      <c r="AK768">
        <f t="shared" si="164"/>
        <v>0</v>
      </c>
      <c r="AL768">
        <f t="shared" si="164"/>
        <v>0</v>
      </c>
      <c r="AM768">
        <f t="shared" si="164"/>
        <v>0</v>
      </c>
      <c r="AN768">
        <f t="shared" si="163"/>
        <v>0</v>
      </c>
      <c r="AO768">
        <f t="shared" si="163"/>
        <v>0</v>
      </c>
      <c r="AP768">
        <f t="shared" si="163"/>
        <v>0</v>
      </c>
      <c r="AQ768">
        <f t="shared" si="163"/>
        <v>0</v>
      </c>
      <c r="AR768">
        <f t="shared" si="163"/>
        <v>0</v>
      </c>
    </row>
    <row r="769" spans="5:44" x14ac:dyDescent="0.2">
      <c r="E769" s="1">
        <f>moment_rate!$M769</f>
        <v>0</v>
      </c>
      <c r="F769" s="1">
        <f t="shared" si="154"/>
        <v>0</v>
      </c>
      <c r="G769">
        <f>moment_rate!I769-0.005</f>
        <v>7.619999999999882</v>
      </c>
      <c r="H769" s="1">
        <f t="shared" si="155"/>
        <v>0</v>
      </c>
      <c r="I769">
        <f t="shared" si="165"/>
        <v>0</v>
      </c>
      <c r="J769">
        <f t="shared" si="165"/>
        <v>0</v>
      </c>
      <c r="K769">
        <f t="shared" si="165"/>
        <v>0</v>
      </c>
      <c r="L769">
        <f t="shared" si="165"/>
        <v>0</v>
      </c>
      <c r="M769">
        <f t="shared" si="165"/>
        <v>0</v>
      </c>
      <c r="N769">
        <f t="shared" si="165"/>
        <v>0</v>
      </c>
      <c r="O769">
        <f t="shared" si="165"/>
        <v>0</v>
      </c>
      <c r="P769">
        <f t="shared" si="165"/>
        <v>0</v>
      </c>
      <c r="Q769">
        <f t="shared" si="165"/>
        <v>0</v>
      </c>
      <c r="R769">
        <f t="shared" si="165"/>
        <v>0</v>
      </c>
      <c r="S769">
        <f t="shared" si="165"/>
        <v>0</v>
      </c>
      <c r="T769">
        <f t="shared" si="165"/>
        <v>0</v>
      </c>
      <c r="U769">
        <f t="shared" si="165"/>
        <v>0</v>
      </c>
      <c r="V769">
        <f t="shared" si="165"/>
        <v>0</v>
      </c>
      <c r="W769">
        <f t="shared" si="165"/>
        <v>0</v>
      </c>
      <c r="X769">
        <f t="shared" si="165"/>
        <v>0</v>
      </c>
      <c r="Y769">
        <f t="shared" si="164"/>
        <v>0</v>
      </c>
      <c r="Z769">
        <f t="shared" si="164"/>
        <v>0</v>
      </c>
      <c r="AA769">
        <f t="shared" si="164"/>
        <v>0</v>
      </c>
      <c r="AB769">
        <f t="shared" si="164"/>
        <v>0</v>
      </c>
      <c r="AC769">
        <f t="shared" si="164"/>
        <v>0</v>
      </c>
      <c r="AD769">
        <f t="shared" si="164"/>
        <v>0</v>
      </c>
      <c r="AE769">
        <f t="shared" si="164"/>
        <v>0</v>
      </c>
      <c r="AF769">
        <f t="shared" si="164"/>
        <v>0</v>
      </c>
      <c r="AG769">
        <f t="shared" si="164"/>
        <v>0</v>
      </c>
      <c r="AH769">
        <f t="shared" si="164"/>
        <v>0</v>
      </c>
      <c r="AI769">
        <f t="shared" si="164"/>
        <v>0</v>
      </c>
      <c r="AJ769">
        <f t="shared" si="164"/>
        <v>0</v>
      </c>
      <c r="AK769">
        <f t="shared" si="164"/>
        <v>0</v>
      </c>
      <c r="AL769">
        <f t="shared" si="164"/>
        <v>0</v>
      </c>
      <c r="AM769">
        <f t="shared" si="164"/>
        <v>0</v>
      </c>
      <c r="AN769">
        <f t="shared" si="163"/>
        <v>0</v>
      </c>
      <c r="AO769">
        <f t="shared" si="163"/>
        <v>0</v>
      </c>
      <c r="AP769">
        <f t="shared" si="163"/>
        <v>0</v>
      </c>
      <c r="AQ769">
        <f t="shared" si="163"/>
        <v>0</v>
      </c>
      <c r="AR769">
        <f t="shared" si="163"/>
        <v>0</v>
      </c>
    </row>
    <row r="770" spans="5:44" x14ac:dyDescent="0.2">
      <c r="E770" s="1">
        <f>moment_rate!$M770</f>
        <v>0</v>
      </c>
      <c r="F770" s="1">
        <f t="shared" si="154"/>
        <v>0</v>
      </c>
      <c r="G770">
        <f>moment_rate!I770-0.005</f>
        <v>7.6299999999998818</v>
      </c>
      <c r="H770" s="1">
        <f t="shared" si="155"/>
        <v>0</v>
      </c>
      <c r="I770">
        <f t="shared" si="165"/>
        <v>0</v>
      </c>
      <c r="J770">
        <f t="shared" si="165"/>
        <v>0</v>
      </c>
      <c r="K770">
        <f t="shared" si="165"/>
        <v>0</v>
      </c>
      <c r="L770">
        <f t="shared" si="165"/>
        <v>0</v>
      </c>
      <c r="M770">
        <f t="shared" si="165"/>
        <v>0</v>
      </c>
      <c r="N770">
        <f t="shared" si="165"/>
        <v>0</v>
      </c>
      <c r="O770">
        <f t="shared" si="165"/>
        <v>0</v>
      </c>
      <c r="P770">
        <f t="shared" si="165"/>
        <v>0</v>
      </c>
      <c r="Q770">
        <f t="shared" si="165"/>
        <v>0</v>
      </c>
      <c r="R770">
        <f t="shared" si="165"/>
        <v>0</v>
      </c>
      <c r="S770">
        <f t="shared" si="165"/>
        <v>0</v>
      </c>
      <c r="T770">
        <f t="shared" si="165"/>
        <v>0</v>
      </c>
      <c r="U770">
        <f t="shared" si="165"/>
        <v>0</v>
      </c>
      <c r="V770">
        <f t="shared" si="165"/>
        <v>0</v>
      </c>
      <c r="W770">
        <f t="shared" si="165"/>
        <v>0</v>
      </c>
      <c r="X770">
        <f t="shared" si="165"/>
        <v>0</v>
      </c>
      <c r="Y770">
        <f t="shared" si="164"/>
        <v>0</v>
      </c>
      <c r="Z770">
        <f t="shared" si="164"/>
        <v>0</v>
      </c>
      <c r="AA770">
        <f t="shared" si="164"/>
        <v>0</v>
      </c>
      <c r="AB770">
        <f t="shared" si="164"/>
        <v>0</v>
      </c>
      <c r="AC770">
        <f t="shared" si="164"/>
        <v>0</v>
      </c>
      <c r="AD770">
        <f t="shared" si="164"/>
        <v>0</v>
      </c>
      <c r="AE770">
        <f t="shared" si="164"/>
        <v>0</v>
      </c>
      <c r="AF770">
        <f t="shared" si="164"/>
        <v>0</v>
      </c>
      <c r="AG770">
        <f t="shared" si="164"/>
        <v>0</v>
      </c>
      <c r="AH770">
        <f t="shared" si="164"/>
        <v>0</v>
      </c>
      <c r="AI770">
        <f t="shared" si="164"/>
        <v>0</v>
      </c>
      <c r="AJ770">
        <f t="shared" si="164"/>
        <v>0</v>
      </c>
      <c r="AK770">
        <f t="shared" si="164"/>
        <v>0</v>
      </c>
      <c r="AL770">
        <f t="shared" si="164"/>
        <v>0</v>
      </c>
      <c r="AM770">
        <f t="shared" si="164"/>
        <v>0</v>
      </c>
      <c r="AN770">
        <f t="shared" si="163"/>
        <v>0</v>
      </c>
      <c r="AO770">
        <f t="shared" si="163"/>
        <v>0</v>
      </c>
      <c r="AP770">
        <f t="shared" si="163"/>
        <v>0</v>
      </c>
      <c r="AQ770">
        <f t="shared" si="163"/>
        <v>0</v>
      </c>
      <c r="AR770">
        <f t="shared" si="163"/>
        <v>0</v>
      </c>
    </row>
    <row r="771" spans="5:44" x14ac:dyDescent="0.2">
      <c r="E771" s="1">
        <f>moment_rate!$M771</f>
        <v>0</v>
      </c>
      <c r="F771" s="1">
        <f t="shared" si="154"/>
        <v>0</v>
      </c>
      <c r="G771">
        <f>moment_rate!I771-0.005</f>
        <v>7.6399999999998816</v>
      </c>
      <c r="H771" s="1">
        <f t="shared" si="155"/>
        <v>0</v>
      </c>
      <c r="I771">
        <f t="shared" si="165"/>
        <v>0</v>
      </c>
      <c r="J771">
        <f t="shared" si="165"/>
        <v>0</v>
      </c>
      <c r="K771">
        <f t="shared" si="165"/>
        <v>0</v>
      </c>
      <c r="L771">
        <f t="shared" si="165"/>
        <v>0</v>
      </c>
      <c r="M771">
        <f t="shared" si="165"/>
        <v>0</v>
      </c>
      <c r="N771">
        <f t="shared" si="165"/>
        <v>0</v>
      </c>
      <c r="O771">
        <f t="shared" si="165"/>
        <v>0</v>
      </c>
      <c r="P771">
        <f t="shared" si="165"/>
        <v>0</v>
      </c>
      <c r="Q771">
        <f t="shared" si="165"/>
        <v>0</v>
      </c>
      <c r="R771">
        <f t="shared" si="165"/>
        <v>0</v>
      </c>
      <c r="S771">
        <f t="shared" si="165"/>
        <v>0</v>
      </c>
      <c r="T771">
        <f t="shared" si="165"/>
        <v>0</v>
      </c>
      <c r="U771">
        <f t="shared" si="165"/>
        <v>0</v>
      </c>
      <c r="V771">
        <f t="shared" si="165"/>
        <v>0</v>
      </c>
      <c r="W771">
        <f t="shared" si="165"/>
        <v>0</v>
      </c>
      <c r="X771">
        <f t="shared" si="165"/>
        <v>0</v>
      </c>
      <c r="Y771">
        <f t="shared" si="164"/>
        <v>0</v>
      </c>
      <c r="Z771">
        <f t="shared" si="164"/>
        <v>0</v>
      </c>
      <c r="AA771">
        <f t="shared" si="164"/>
        <v>0</v>
      </c>
      <c r="AB771">
        <f t="shared" si="164"/>
        <v>0</v>
      </c>
      <c r="AC771">
        <f t="shared" si="164"/>
        <v>0</v>
      </c>
      <c r="AD771">
        <f t="shared" si="164"/>
        <v>0</v>
      </c>
      <c r="AE771">
        <f t="shared" si="164"/>
        <v>0</v>
      </c>
      <c r="AF771">
        <f t="shared" si="164"/>
        <v>0</v>
      </c>
      <c r="AG771">
        <f t="shared" si="164"/>
        <v>0</v>
      </c>
      <c r="AH771">
        <f t="shared" si="164"/>
        <v>0</v>
      </c>
      <c r="AI771">
        <f t="shared" si="164"/>
        <v>0</v>
      </c>
      <c r="AJ771">
        <f t="shared" si="164"/>
        <v>0</v>
      </c>
      <c r="AK771">
        <f t="shared" si="164"/>
        <v>0</v>
      </c>
      <c r="AL771">
        <f t="shared" si="164"/>
        <v>0</v>
      </c>
      <c r="AM771">
        <f t="shared" si="164"/>
        <v>0</v>
      </c>
      <c r="AN771">
        <f t="shared" si="163"/>
        <v>0</v>
      </c>
      <c r="AO771">
        <f t="shared" si="163"/>
        <v>0</v>
      </c>
      <c r="AP771">
        <f t="shared" si="163"/>
        <v>0</v>
      </c>
      <c r="AQ771">
        <f t="shared" si="163"/>
        <v>0</v>
      </c>
      <c r="AR771">
        <f t="shared" si="163"/>
        <v>0</v>
      </c>
    </row>
    <row r="772" spans="5:44" x14ac:dyDescent="0.2">
      <c r="E772" s="1">
        <f>moment_rate!$M772</f>
        <v>0</v>
      </c>
      <c r="F772" s="1">
        <f t="shared" si="154"/>
        <v>0</v>
      </c>
      <c r="G772">
        <f>moment_rate!I772-0.005</f>
        <v>7.6499999999998813</v>
      </c>
      <c r="H772" s="1">
        <f t="shared" si="155"/>
        <v>0</v>
      </c>
      <c r="I772">
        <f t="shared" si="165"/>
        <v>0</v>
      </c>
      <c r="J772">
        <f t="shared" si="165"/>
        <v>0</v>
      </c>
      <c r="K772">
        <f t="shared" si="165"/>
        <v>0</v>
      </c>
      <c r="L772">
        <f t="shared" si="165"/>
        <v>0</v>
      </c>
      <c r="M772">
        <f t="shared" si="165"/>
        <v>0</v>
      </c>
      <c r="N772">
        <f t="shared" si="165"/>
        <v>0</v>
      </c>
      <c r="O772">
        <f t="shared" si="165"/>
        <v>0</v>
      </c>
      <c r="P772">
        <f t="shared" si="165"/>
        <v>0</v>
      </c>
      <c r="Q772">
        <f t="shared" si="165"/>
        <v>0</v>
      </c>
      <c r="R772">
        <f t="shared" si="165"/>
        <v>0</v>
      </c>
      <c r="S772">
        <f t="shared" si="165"/>
        <v>0</v>
      </c>
      <c r="T772">
        <f t="shared" si="165"/>
        <v>0</v>
      </c>
      <c r="U772">
        <f t="shared" si="165"/>
        <v>0</v>
      </c>
      <c r="V772">
        <f t="shared" si="165"/>
        <v>0</v>
      </c>
      <c r="W772">
        <f t="shared" si="165"/>
        <v>0</v>
      </c>
      <c r="X772">
        <f t="shared" si="165"/>
        <v>0</v>
      </c>
      <c r="Y772">
        <f t="shared" si="164"/>
        <v>0</v>
      </c>
      <c r="Z772">
        <f t="shared" si="164"/>
        <v>0</v>
      </c>
      <c r="AA772">
        <f t="shared" si="164"/>
        <v>0</v>
      </c>
      <c r="AB772">
        <f t="shared" si="164"/>
        <v>0</v>
      </c>
      <c r="AC772">
        <f t="shared" si="164"/>
        <v>0</v>
      </c>
      <c r="AD772">
        <f t="shared" si="164"/>
        <v>0</v>
      </c>
      <c r="AE772">
        <f t="shared" si="164"/>
        <v>0</v>
      </c>
      <c r="AF772">
        <f t="shared" si="164"/>
        <v>0</v>
      </c>
      <c r="AG772">
        <f t="shared" si="164"/>
        <v>0</v>
      </c>
      <c r="AH772">
        <f t="shared" si="164"/>
        <v>0</v>
      </c>
      <c r="AI772">
        <f t="shared" si="164"/>
        <v>0</v>
      </c>
      <c r="AJ772">
        <f t="shared" si="164"/>
        <v>0</v>
      </c>
      <c r="AK772">
        <f t="shared" si="164"/>
        <v>0</v>
      </c>
      <c r="AL772">
        <f t="shared" si="164"/>
        <v>0</v>
      </c>
      <c r="AM772">
        <f t="shared" si="164"/>
        <v>0</v>
      </c>
      <c r="AN772">
        <f t="shared" si="163"/>
        <v>0</v>
      </c>
      <c r="AO772">
        <f t="shared" si="163"/>
        <v>0</v>
      </c>
      <c r="AP772">
        <f t="shared" si="163"/>
        <v>0</v>
      </c>
      <c r="AQ772">
        <f t="shared" si="163"/>
        <v>0</v>
      </c>
      <c r="AR772">
        <f t="shared" si="163"/>
        <v>0</v>
      </c>
    </row>
    <row r="773" spans="5:44" x14ac:dyDescent="0.2">
      <c r="E773" s="1">
        <f>moment_rate!$M773</f>
        <v>0</v>
      </c>
      <c r="F773" s="1">
        <f t="shared" si="154"/>
        <v>0</v>
      </c>
      <c r="G773">
        <f>moment_rate!I773-0.005</f>
        <v>7.6599999999998811</v>
      </c>
      <c r="H773" s="1">
        <f t="shared" si="155"/>
        <v>0</v>
      </c>
      <c r="I773">
        <f t="shared" si="165"/>
        <v>0</v>
      </c>
      <c r="J773">
        <f t="shared" si="165"/>
        <v>0</v>
      </c>
      <c r="K773">
        <f t="shared" si="165"/>
        <v>0</v>
      </c>
      <c r="L773">
        <f t="shared" si="165"/>
        <v>0</v>
      </c>
      <c r="M773">
        <f t="shared" si="165"/>
        <v>0</v>
      </c>
      <c r="N773">
        <f t="shared" si="165"/>
        <v>0</v>
      </c>
      <c r="O773">
        <f t="shared" si="165"/>
        <v>0</v>
      </c>
      <c r="P773">
        <f t="shared" si="165"/>
        <v>0</v>
      </c>
      <c r="Q773">
        <f t="shared" si="165"/>
        <v>0</v>
      </c>
      <c r="R773">
        <f t="shared" si="165"/>
        <v>0</v>
      </c>
      <c r="S773">
        <f t="shared" si="165"/>
        <v>0</v>
      </c>
      <c r="T773">
        <f t="shared" si="165"/>
        <v>0</v>
      </c>
      <c r="U773">
        <f t="shared" si="165"/>
        <v>0</v>
      </c>
      <c r="V773">
        <f t="shared" si="165"/>
        <v>0</v>
      </c>
      <c r="W773">
        <f t="shared" si="165"/>
        <v>0</v>
      </c>
      <c r="X773">
        <f t="shared" si="165"/>
        <v>0</v>
      </c>
      <c r="Y773">
        <f t="shared" si="164"/>
        <v>0</v>
      </c>
      <c r="Z773">
        <f t="shared" si="164"/>
        <v>0</v>
      </c>
      <c r="AA773">
        <f t="shared" si="164"/>
        <v>0</v>
      </c>
      <c r="AB773">
        <f t="shared" si="164"/>
        <v>0</v>
      </c>
      <c r="AC773">
        <f t="shared" si="164"/>
        <v>0</v>
      </c>
      <c r="AD773">
        <f t="shared" si="164"/>
        <v>0</v>
      </c>
      <c r="AE773">
        <f t="shared" si="164"/>
        <v>0</v>
      </c>
      <c r="AF773">
        <f t="shared" si="164"/>
        <v>0</v>
      </c>
      <c r="AG773">
        <f t="shared" si="164"/>
        <v>0</v>
      </c>
      <c r="AH773">
        <f t="shared" si="164"/>
        <v>0</v>
      </c>
      <c r="AI773">
        <f t="shared" si="164"/>
        <v>0</v>
      </c>
      <c r="AJ773">
        <f t="shared" si="164"/>
        <v>0</v>
      </c>
      <c r="AK773">
        <f t="shared" si="164"/>
        <v>0</v>
      </c>
      <c r="AL773">
        <f t="shared" si="164"/>
        <v>0</v>
      </c>
      <c r="AM773">
        <f t="shared" si="164"/>
        <v>0</v>
      </c>
      <c r="AN773">
        <f t="shared" si="163"/>
        <v>0</v>
      </c>
      <c r="AO773">
        <f t="shared" si="163"/>
        <v>0</v>
      </c>
      <c r="AP773">
        <f t="shared" si="163"/>
        <v>0</v>
      </c>
      <c r="AQ773">
        <f t="shared" si="163"/>
        <v>0</v>
      </c>
      <c r="AR773">
        <f t="shared" si="163"/>
        <v>0</v>
      </c>
    </row>
    <row r="774" spans="5:44" x14ac:dyDescent="0.2">
      <c r="E774" s="1">
        <f>moment_rate!$M774</f>
        <v>0</v>
      </c>
      <c r="F774" s="1">
        <f t="shared" si="154"/>
        <v>0</v>
      </c>
      <c r="G774">
        <f>moment_rate!I774-0.005</f>
        <v>7.6699999999998809</v>
      </c>
      <c r="H774" s="1">
        <f t="shared" si="155"/>
        <v>0</v>
      </c>
      <c r="I774">
        <f t="shared" si="165"/>
        <v>0</v>
      </c>
      <c r="J774">
        <f t="shared" si="165"/>
        <v>0</v>
      </c>
      <c r="K774">
        <f t="shared" si="165"/>
        <v>0</v>
      </c>
      <c r="L774">
        <f t="shared" si="165"/>
        <v>0</v>
      </c>
      <c r="M774">
        <f t="shared" si="165"/>
        <v>0</v>
      </c>
      <c r="N774">
        <f t="shared" si="165"/>
        <v>0</v>
      </c>
      <c r="O774">
        <f t="shared" si="165"/>
        <v>0</v>
      </c>
      <c r="P774">
        <f t="shared" si="165"/>
        <v>0</v>
      </c>
      <c r="Q774">
        <f t="shared" si="165"/>
        <v>0</v>
      </c>
      <c r="R774">
        <f t="shared" si="165"/>
        <v>0</v>
      </c>
      <c r="S774">
        <f t="shared" si="165"/>
        <v>0</v>
      </c>
      <c r="T774">
        <f t="shared" si="165"/>
        <v>0</v>
      </c>
      <c r="U774">
        <f t="shared" si="165"/>
        <v>0</v>
      </c>
      <c r="V774">
        <f t="shared" si="165"/>
        <v>0</v>
      </c>
      <c r="W774">
        <f t="shared" si="165"/>
        <v>0</v>
      </c>
      <c r="X774">
        <f t="shared" si="165"/>
        <v>0</v>
      </c>
      <c r="Y774">
        <f t="shared" si="164"/>
        <v>0</v>
      </c>
      <c r="Z774">
        <f t="shared" si="164"/>
        <v>0</v>
      </c>
      <c r="AA774">
        <f t="shared" si="164"/>
        <v>0</v>
      </c>
      <c r="AB774">
        <f t="shared" si="164"/>
        <v>0</v>
      </c>
      <c r="AC774">
        <f t="shared" si="164"/>
        <v>0</v>
      </c>
      <c r="AD774">
        <f t="shared" si="164"/>
        <v>0</v>
      </c>
      <c r="AE774">
        <f t="shared" si="164"/>
        <v>0</v>
      </c>
      <c r="AF774">
        <f t="shared" si="164"/>
        <v>0</v>
      </c>
      <c r="AG774">
        <f t="shared" si="164"/>
        <v>0</v>
      </c>
      <c r="AH774">
        <f t="shared" si="164"/>
        <v>0</v>
      </c>
      <c r="AI774">
        <f t="shared" si="164"/>
        <v>0</v>
      </c>
      <c r="AJ774">
        <f t="shared" si="164"/>
        <v>0</v>
      </c>
      <c r="AK774">
        <f t="shared" si="164"/>
        <v>0</v>
      </c>
      <c r="AL774">
        <f t="shared" si="164"/>
        <v>0</v>
      </c>
      <c r="AM774">
        <f t="shared" si="164"/>
        <v>0</v>
      </c>
      <c r="AN774">
        <f t="shared" si="163"/>
        <v>0</v>
      </c>
      <c r="AO774">
        <f t="shared" si="163"/>
        <v>0</v>
      </c>
      <c r="AP774">
        <f t="shared" si="163"/>
        <v>0</v>
      </c>
      <c r="AQ774">
        <f t="shared" si="163"/>
        <v>0</v>
      </c>
      <c r="AR774">
        <f t="shared" si="163"/>
        <v>0</v>
      </c>
    </row>
    <row r="775" spans="5:44" x14ac:dyDescent="0.2">
      <c r="E775" s="1">
        <f>moment_rate!$M775</f>
        <v>0</v>
      </c>
      <c r="F775" s="1">
        <f t="shared" si="154"/>
        <v>0</v>
      </c>
      <c r="G775">
        <f>moment_rate!I775-0.005</f>
        <v>7.6799999999998807</v>
      </c>
      <c r="H775" s="1">
        <f t="shared" si="155"/>
        <v>0</v>
      </c>
      <c r="I775">
        <f t="shared" si="165"/>
        <v>0</v>
      </c>
      <c r="J775">
        <f t="shared" si="165"/>
        <v>0</v>
      </c>
      <c r="K775">
        <f t="shared" si="165"/>
        <v>0</v>
      </c>
      <c r="L775">
        <f t="shared" si="165"/>
        <v>0</v>
      </c>
      <c r="M775">
        <f t="shared" si="165"/>
        <v>0</v>
      </c>
      <c r="N775">
        <f t="shared" si="165"/>
        <v>0</v>
      </c>
      <c r="O775">
        <f t="shared" si="165"/>
        <v>0</v>
      </c>
      <c r="P775">
        <f t="shared" si="165"/>
        <v>0</v>
      </c>
      <c r="Q775">
        <f t="shared" si="165"/>
        <v>0</v>
      </c>
      <c r="R775">
        <f t="shared" si="165"/>
        <v>0</v>
      </c>
      <c r="S775">
        <f t="shared" si="165"/>
        <v>0</v>
      </c>
      <c r="T775">
        <f t="shared" si="165"/>
        <v>0</v>
      </c>
      <c r="U775">
        <f t="shared" si="165"/>
        <v>0</v>
      </c>
      <c r="V775">
        <f t="shared" si="165"/>
        <v>0</v>
      </c>
      <c r="W775">
        <f t="shared" si="165"/>
        <v>0</v>
      </c>
      <c r="X775">
        <f t="shared" si="165"/>
        <v>0</v>
      </c>
      <c r="Y775">
        <f t="shared" si="164"/>
        <v>0</v>
      </c>
      <c r="Z775">
        <f t="shared" si="164"/>
        <v>0</v>
      </c>
      <c r="AA775">
        <f t="shared" si="164"/>
        <v>0</v>
      </c>
      <c r="AB775">
        <f t="shared" si="164"/>
        <v>0</v>
      </c>
      <c r="AC775">
        <f t="shared" si="164"/>
        <v>0</v>
      </c>
      <c r="AD775">
        <f t="shared" si="164"/>
        <v>0</v>
      </c>
      <c r="AE775">
        <f t="shared" si="164"/>
        <v>0</v>
      </c>
      <c r="AF775">
        <f t="shared" si="164"/>
        <v>0</v>
      </c>
      <c r="AG775">
        <f t="shared" si="164"/>
        <v>0</v>
      </c>
      <c r="AH775">
        <f t="shared" si="164"/>
        <v>0</v>
      </c>
      <c r="AI775">
        <f t="shared" si="164"/>
        <v>0</v>
      </c>
      <c r="AJ775">
        <f t="shared" si="164"/>
        <v>0</v>
      </c>
      <c r="AK775">
        <f t="shared" si="164"/>
        <v>0</v>
      </c>
      <c r="AL775">
        <f t="shared" si="164"/>
        <v>0</v>
      </c>
      <c r="AM775">
        <f t="shared" si="164"/>
        <v>0</v>
      </c>
      <c r="AN775">
        <f t="shared" si="163"/>
        <v>0</v>
      </c>
      <c r="AO775">
        <f t="shared" si="163"/>
        <v>0</v>
      </c>
      <c r="AP775">
        <f t="shared" si="163"/>
        <v>0</v>
      </c>
      <c r="AQ775">
        <f t="shared" si="163"/>
        <v>0</v>
      </c>
      <c r="AR775">
        <f t="shared" si="163"/>
        <v>0</v>
      </c>
    </row>
    <row r="776" spans="5:44" x14ac:dyDescent="0.2">
      <c r="E776" s="1">
        <f>moment_rate!$M776</f>
        <v>0</v>
      </c>
      <c r="F776" s="1">
        <f t="shared" ref="F776:F839" si="166">E776-E777</f>
        <v>0</v>
      </c>
      <c r="G776">
        <f>moment_rate!I776-0.005</f>
        <v>7.6899999999998805</v>
      </c>
      <c r="H776" s="1">
        <f t="shared" ref="H776:H839" si="167">IF($G776&gt;=4.999,(E776-E777),0)</f>
        <v>0</v>
      </c>
      <c r="I776">
        <f t="shared" si="165"/>
        <v>0</v>
      </c>
      <c r="J776">
        <f t="shared" si="165"/>
        <v>0</v>
      </c>
      <c r="K776">
        <f t="shared" si="165"/>
        <v>0</v>
      </c>
      <c r="L776">
        <f t="shared" si="165"/>
        <v>0</v>
      </c>
      <c r="M776">
        <f t="shared" si="165"/>
        <v>0</v>
      </c>
      <c r="N776">
        <f t="shared" si="165"/>
        <v>0</v>
      </c>
      <c r="O776">
        <f t="shared" si="165"/>
        <v>0</v>
      </c>
      <c r="P776">
        <f t="shared" si="165"/>
        <v>0</v>
      </c>
      <c r="Q776">
        <f t="shared" si="165"/>
        <v>0</v>
      </c>
      <c r="R776">
        <f t="shared" si="165"/>
        <v>0</v>
      </c>
      <c r="S776">
        <f t="shared" si="165"/>
        <v>0</v>
      </c>
      <c r="T776">
        <f t="shared" si="165"/>
        <v>0</v>
      </c>
      <c r="U776">
        <f t="shared" si="165"/>
        <v>0</v>
      </c>
      <c r="V776">
        <f t="shared" si="165"/>
        <v>0</v>
      </c>
      <c r="W776">
        <f t="shared" si="165"/>
        <v>0</v>
      </c>
      <c r="X776">
        <f t="shared" si="165"/>
        <v>0</v>
      </c>
      <c r="Y776">
        <f t="shared" si="164"/>
        <v>0</v>
      </c>
      <c r="Z776">
        <f t="shared" si="164"/>
        <v>0</v>
      </c>
      <c r="AA776">
        <f t="shared" si="164"/>
        <v>0</v>
      </c>
      <c r="AB776">
        <f t="shared" si="164"/>
        <v>0</v>
      </c>
      <c r="AC776">
        <f t="shared" si="164"/>
        <v>0</v>
      </c>
      <c r="AD776">
        <f t="shared" si="164"/>
        <v>0</v>
      </c>
      <c r="AE776">
        <f t="shared" si="164"/>
        <v>0</v>
      </c>
      <c r="AF776">
        <f t="shared" si="164"/>
        <v>0</v>
      </c>
      <c r="AG776">
        <f t="shared" si="164"/>
        <v>0</v>
      </c>
      <c r="AH776">
        <f t="shared" si="164"/>
        <v>0</v>
      </c>
      <c r="AI776">
        <f t="shared" si="164"/>
        <v>0</v>
      </c>
      <c r="AJ776">
        <f t="shared" si="164"/>
        <v>0</v>
      </c>
      <c r="AK776">
        <f t="shared" si="164"/>
        <v>0</v>
      </c>
      <c r="AL776">
        <f t="shared" si="164"/>
        <v>0</v>
      </c>
      <c r="AM776">
        <f t="shared" si="164"/>
        <v>0</v>
      </c>
      <c r="AN776">
        <f t="shared" si="163"/>
        <v>0</v>
      </c>
      <c r="AO776">
        <f t="shared" si="163"/>
        <v>0</v>
      </c>
      <c r="AP776">
        <f t="shared" si="163"/>
        <v>0</v>
      </c>
      <c r="AQ776">
        <f t="shared" si="163"/>
        <v>0</v>
      </c>
      <c r="AR776">
        <f t="shared" si="163"/>
        <v>0</v>
      </c>
    </row>
    <row r="777" spans="5:44" x14ac:dyDescent="0.2">
      <c r="E777" s="1">
        <f>moment_rate!$M777</f>
        <v>0</v>
      </c>
      <c r="F777" s="1">
        <f t="shared" si="166"/>
        <v>0</v>
      </c>
      <c r="G777">
        <f>moment_rate!I777-0.005</f>
        <v>7.6999999999998803</v>
      </c>
      <c r="H777" s="1">
        <f t="shared" si="167"/>
        <v>0</v>
      </c>
      <c r="I777">
        <f t="shared" si="165"/>
        <v>0</v>
      </c>
      <c r="J777">
        <f t="shared" si="165"/>
        <v>0</v>
      </c>
      <c r="K777">
        <f t="shared" si="165"/>
        <v>0</v>
      </c>
      <c r="L777">
        <f t="shared" si="165"/>
        <v>0</v>
      </c>
      <c r="M777">
        <f t="shared" si="165"/>
        <v>0</v>
      </c>
      <c r="N777">
        <f t="shared" si="165"/>
        <v>0</v>
      </c>
      <c r="O777">
        <f t="shared" si="165"/>
        <v>0</v>
      </c>
      <c r="P777">
        <f t="shared" si="165"/>
        <v>0</v>
      </c>
      <c r="Q777">
        <f t="shared" si="165"/>
        <v>0</v>
      </c>
      <c r="R777">
        <f t="shared" si="165"/>
        <v>0</v>
      </c>
      <c r="S777">
        <f t="shared" si="165"/>
        <v>0</v>
      </c>
      <c r="T777">
        <f t="shared" si="165"/>
        <v>0</v>
      </c>
      <c r="U777">
        <f t="shared" si="165"/>
        <v>0</v>
      </c>
      <c r="V777">
        <f t="shared" si="165"/>
        <v>0</v>
      </c>
      <c r="W777">
        <f t="shared" si="165"/>
        <v>0</v>
      </c>
      <c r="X777">
        <f t="shared" si="165"/>
        <v>0</v>
      </c>
      <c r="Y777">
        <f t="shared" si="164"/>
        <v>0</v>
      </c>
      <c r="Z777">
        <f t="shared" si="164"/>
        <v>0</v>
      </c>
      <c r="AA777">
        <f t="shared" si="164"/>
        <v>0</v>
      </c>
      <c r="AB777">
        <f t="shared" si="164"/>
        <v>0</v>
      </c>
      <c r="AC777">
        <f t="shared" si="164"/>
        <v>0</v>
      </c>
      <c r="AD777">
        <f t="shared" si="164"/>
        <v>0</v>
      </c>
      <c r="AE777">
        <f t="shared" si="164"/>
        <v>0</v>
      </c>
      <c r="AF777">
        <f t="shared" si="164"/>
        <v>0</v>
      </c>
      <c r="AG777">
        <f t="shared" si="164"/>
        <v>0</v>
      </c>
      <c r="AH777">
        <f t="shared" si="164"/>
        <v>0</v>
      </c>
      <c r="AI777">
        <f t="shared" si="164"/>
        <v>0</v>
      </c>
      <c r="AJ777">
        <f t="shared" si="164"/>
        <v>0</v>
      </c>
      <c r="AK777">
        <f t="shared" si="164"/>
        <v>0</v>
      </c>
      <c r="AL777">
        <f t="shared" si="164"/>
        <v>0</v>
      </c>
      <c r="AM777">
        <f t="shared" si="164"/>
        <v>0</v>
      </c>
      <c r="AN777">
        <f t="shared" si="163"/>
        <v>0</v>
      </c>
      <c r="AO777">
        <f t="shared" si="163"/>
        <v>0</v>
      </c>
      <c r="AP777">
        <f t="shared" si="163"/>
        <v>0</v>
      </c>
      <c r="AQ777">
        <f t="shared" si="163"/>
        <v>0</v>
      </c>
      <c r="AR777">
        <f t="shared" si="163"/>
        <v>0</v>
      </c>
    </row>
    <row r="778" spans="5:44" x14ac:dyDescent="0.2">
      <c r="E778" s="1">
        <f>moment_rate!$M778</f>
        <v>0</v>
      </c>
      <c r="F778" s="1">
        <f t="shared" si="166"/>
        <v>0</v>
      </c>
      <c r="G778">
        <f>moment_rate!I778-0.005</f>
        <v>7.7099999999998801</v>
      </c>
      <c r="H778" s="1">
        <f t="shared" si="167"/>
        <v>0</v>
      </c>
      <c r="I778">
        <f t="shared" si="165"/>
        <v>0</v>
      </c>
      <c r="J778">
        <f t="shared" si="165"/>
        <v>0</v>
      </c>
      <c r="K778">
        <f t="shared" si="165"/>
        <v>0</v>
      </c>
      <c r="L778">
        <f t="shared" si="165"/>
        <v>0</v>
      </c>
      <c r="M778">
        <f t="shared" si="165"/>
        <v>0</v>
      </c>
      <c r="N778">
        <f t="shared" si="165"/>
        <v>0</v>
      </c>
      <c r="O778">
        <f t="shared" si="165"/>
        <v>0</v>
      </c>
      <c r="P778">
        <f t="shared" si="165"/>
        <v>0</v>
      </c>
      <c r="Q778">
        <f t="shared" si="165"/>
        <v>0</v>
      </c>
      <c r="R778">
        <f t="shared" si="165"/>
        <v>0</v>
      </c>
      <c r="S778">
        <f t="shared" si="165"/>
        <v>0</v>
      </c>
      <c r="T778">
        <f t="shared" si="165"/>
        <v>0</v>
      </c>
      <c r="U778">
        <f t="shared" si="165"/>
        <v>0</v>
      </c>
      <c r="V778">
        <f t="shared" si="165"/>
        <v>0</v>
      </c>
      <c r="W778">
        <f t="shared" si="165"/>
        <v>0</v>
      </c>
      <c r="X778">
        <f t="shared" ref="X778:AM793" si="168">IF(AND($G778&gt;=X$3,$G778&lt;X$4),$F778,0)</f>
        <v>0</v>
      </c>
      <c r="Y778">
        <f t="shared" si="168"/>
        <v>0</v>
      </c>
      <c r="Z778">
        <f t="shared" si="168"/>
        <v>0</v>
      </c>
      <c r="AA778">
        <f t="shared" si="168"/>
        <v>0</v>
      </c>
      <c r="AB778">
        <f t="shared" si="168"/>
        <v>0</v>
      </c>
      <c r="AC778">
        <f t="shared" si="168"/>
        <v>0</v>
      </c>
      <c r="AD778">
        <f t="shared" si="168"/>
        <v>0</v>
      </c>
      <c r="AE778">
        <f t="shared" si="168"/>
        <v>0</v>
      </c>
      <c r="AF778">
        <f t="shared" si="168"/>
        <v>0</v>
      </c>
      <c r="AG778">
        <f t="shared" si="168"/>
        <v>0</v>
      </c>
      <c r="AH778">
        <f t="shared" si="168"/>
        <v>0</v>
      </c>
      <c r="AI778">
        <f t="shared" si="168"/>
        <v>0</v>
      </c>
      <c r="AJ778">
        <f t="shared" si="168"/>
        <v>0</v>
      </c>
      <c r="AK778">
        <f t="shared" si="168"/>
        <v>0</v>
      </c>
      <c r="AL778">
        <f t="shared" si="168"/>
        <v>0</v>
      </c>
      <c r="AM778">
        <f t="shared" si="168"/>
        <v>0</v>
      </c>
      <c r="AN778">
        <f t="shared" si="163"/>
        <v>0</v>
      </c>
      <c r="AO778">
        <f t="shared" si="163"/>
        <v>0</v>
      </c>
      <c r="AP778">
        <f t="shared" si="163"/>
        <v>0</v>
      </c>
      <c r="AQ778">
        <f t="shared" si="163"/>
        <v>0</v>
      </c>
      <c r="AR778">
        <f t="shared" si="163"/>
        <v>0</v>
      </c>
    </row>
    <row r="779" spans="5:44" x14ac:dyDescent="0.2">
      <c r="E779" s="1">
        <f>moment_rate!$M779</f>
        <v>0</v>
      </c>
      <c r="F779" s="1">
        <f t="shared" si="166"/>
        <v>0</v>
      </c>
      <c r="G779">
        <f>moment_rate!I779-0.005</f>
        <v>7.7199999999998798</v>
      </c>
      <c r="H779" s="1">
        <f t="shared" si="167"/>
        <v>0</v>
      </c>
      <c r="I779">
        <f t="shared" ref="I779:X794" si="169">IF(AND($G779&gt;=I$3,$G779&lt;I$4),$F779,0)</f>
        <v>0</v>
      </c>
      <c r="J779">
        <f t="shared" si="169"/>
        <v>0</v>
      </c>
      <c r="K779">
        <f t="shared" si="169"/>
        <v>0</v>
      </c>
      <c r="L779">
        <f t="shared" si="169"/>
        <v>0</v>
      </c>
      <c r="M779">
        <f t="shared" si="169"/>
        <v>0</v>
      </c>
      <c r="N779">
        <f t="shared" si="169"/>
        <v>0</v>
      </c>
      <c r="O779">
        <f t="shared" si="169"/>
        <v>0</v>
      </c>
      <c r="P779">
        <f t="shared" si="169"/>
        <v>0</v>
      </c>
      <c r="Q779">
        <f t="shared" si="169"/>
        <v>0</v>
      </c>
      <c r="R779">
        <f t="shared" si="169"/>
        <v>0</v>
      </c>
      <c r="S779">
        <f t="shared" si="169"/>
        <v>0</v>
      </c>
      <c r="T779">
        <f t="shared" si="169"/>
        <v>0</v>
      </c>
      <c r="U779">
        <f t="shared" si="169"/>
        <v>0</v>
      </c>
      <c r="V779">
        <f t="shared" si="169"/>
        <v>0</v>
      </c>
      <c r="W779">
        <f t="shared" si="169"/>
        <v>0</v>
      </c>
      <c r="X779">
        <f t="shared" si="169"/>
        <v>0</v>
      </c>
      <c r="Y779">
        <f t="shared" si="168"/>
        <v>0</v>
      </c>
      <c r="Z779">
        <f t="shared" si="168"/>
        <v>0</v>
      </c>
      <c r="AA779">
        <f t="shared" si="168"/>
        <v>0</v>
      </c>
      <c r="AB779">
        <f t="shared" si="168"/>
        <v>0</v>
      </c>
      <c r="AC779">
        <f t="shared" si="168"/>
        <v>0</v>
      </c>
      <c r="AD779">
        <f t="shared" si="168"/>
        <v>0</v>
      </c>
      <c r="AE779">
        <f t="shared" si="168"/>
        <v>0</v>
      </c>
      <c r="AF779">
        <f t="shared" si="168"/>
        <v>0</v>
      </c>
      <c r="AG779">
        <f t="shared" si="168"/>
        <v>0</v>
      </c>
      <c r="AH779">
        <f t="shared" si="168"/>
        <v>0</v>
      </c>
      <c r="AI779">
        <f t="shared" si="168"/>
        <v>0</v>
      </c>
      <c r="AJ779">
        <f t="shared" si="168"/>
        <v>0</v>
      </c>
      <c r="AK779">
        <f t="shared" si="168"/>
        <v>0</v>
      </c>
      <c r="AL779">
        <f t="shared" si="168"/>
        <v>0</v>
      </c>
      <c r="AM779">
        <f t="shared" si="168"/>
        <v>0</v>
      </c>
      <c r="AN779">
        <f t="shared" si="163"/>
        <v>0</v>
      </c>
      <c r="AO779">
        <f t="shared" si="163"/>
        <v>0</v>
      </c>
      <c r="AP779">
        <f t="shared" si="163"/>
        <v>0</v>
      </c>
      <c r="AQ779">
        <f t="shared" si="163"/>
        <v>0</v>
      </c>
      <c r="AR779">
        <f t="shared" si="163"/>
        <v>0</v>
      </c>
    </row>
    <row r="780" spans="5:44" x14ac:dyDescent="0.2">
      <c r="E780" s="1">
        <f>moment_rate!$M780</f>
        <v>0</v>
      </c>
      <c r="F780" s="1">
        <f t="shared" si="166"/>
        <v>0</v>
      </c>
      <c r="G780">
        <f>moment_rate!I780-0.005</f>
        <v>7.7299999999998796</v>
      </c>
      <c r="H780" s="1">
        <f t="shared" si="167"/>
        <v>0</v>
      </c>
      <c r="I780">
        <f t="shared" si="169"/>
        <v>0</v>
      </c>
      <c r="J780">
        <f t="shared" si="169"/>
        <v>0</v>
      </c>
      <c r="K780">
        <f t="shared" si="169"/>
        <v>0</v>
      </c>
      <c r="L780">
        <f t="shared" si="169"/>
        <v>0</v>
      </c>
      <c r="M780">
        <f t="shared" si="169"/>
        <v>0</v>
      </c>
      <c r="N780">
        <f t="shared" si="169"/>
        <v>0</v>
      </c>
      <c r="O780">
        <f t="shared" si="169"/>
        <v>0</v>
      </c>
      <c r="P780">
        <f t="shared" si="169"/>
        <v>0</v>
      </c>
      <c r="Q780">
        <f t="shared" si="169"/>
        <v>0</v>
      </c>
      <c r="R780">
        <f t="shared" si="169"/>
        <v>0</v>
      </c>
      <c r="S780">
        <f t="shared" si="169"/>
        <v>0</v>
      </c>
      <c r="T780">
        <f t="shared" si="169"/>
        <v>0</v>
      </c>
      <c r="U780">
        <f t="shared" si="169"/>
        <v>0</v>
      </c>
      <c r="V780">
        <f t="shared" si="169"/>
        <v>0</v>
      </c>
      <c r="W780">
        <f t="shared" si="169"/>
        <v>0</v>
      </c>
      <c r="X780">
        <f t="shared" si="169"/>
        <v>0</v>
      </c>
      <c r="Y780">
        <f t="shared" si="168"/>
        <v>0</v>
      </c>
      <c r="Z780">
        <f t="shared" si="168"/>
        <v>0</v>
      </c>
      <c r="AA780">
        <f t="shared" si="168"/>
        <v>0</v>
      </c>
      <c r="AB780">
        <f t="shared" si="168"/>
        <v>0</v>
      </c>
      <c r="AC780">
        <f t="shared" si="168"/>
        <v>0</v>
      </c>
      <c r="AD780">
        <f t="shared" si="168"/>
        <v>0</v>
      </c>
      <c r="AE780">
        <f t="shared" si="168"/>
        <v>0</v>
      </c>
      <c r="AF780">
        <f t="shared" si="168"/>
        <v>0</v>
      </c>
      <c r="AG780">
        <f t="shared" si="168"/>
        <v>0</v>
      </c>
      <c r="AH780">
        <f t="shared" si="168"/>
        <v>0</v>
      </c>
      <c r="AI780">
        <f t="shared" si="168"/>
        <v>0</v>
      </c>
      <c r="AJ780">
        <f t="shared" si="168"/>
        <v>0</v>
      </c>
      <c r="AK780">
        <f t="shared" si="168"/>
        <v>0</v>
      </c>
      <c r="AL780">
        <f t="shared" si="168"/>
        <v>0</v>
      </c>
      <c r="AM780">
        <f t="shared" si="168"/>
        <v>0</v>
      </c>
      <c r="AN780">
        <f t="shared" si="163"/>
        <v>0</v>
      </c>
      <c r="AO780">
        <f t="shared" si="163"/>
        <v>0</v>
      </c>
      <c r="AP780">
        <f t="shared" si="163"/>
        <v>0</v>
      </c>
      <c r="AQ780">
        <f t="shared" si="163"/>
        <v>0</v>
      </c>
      <c r="AR780">
        <f t="shared" si="163"/>
        <v>0</v>
      </c>
    </row>
    <row r="781" spans="5:44" x14ac:dyDescent="0.2">
      <c r="E781" s="1">
        <f>moment_rate!$M781</f>
        <v>0</v>
      </c>
      <c r="F781" s="1">
        <f t="shared" si="166"/>
        <v>0</v>
      </c>
      <c r="G781">
        <f>moment_rate!I781-0.005</f>
        <v>7.7399999999998794</v>
      </c>
      <c r="H781" s="1">
        <f t="shared" si="167"/>
        <v>0</v>
      </c>
      <c r="I781">
        <f t="shared" si="169"/>
        <v>0</v>
      </c>
      <c r="J781">
        <f t="shared" si="169"/>
        <v>0</v>
      </c>
      <c r="K781">
        <f t="shared" si="169"/>
        <v>0</v>
      </c>
      <c r="L781">
        <f t="shared" si="169"/>
        <v>0</v>
      </c>
      <c r="M781">
        <f t="shared" si="169"/>
        <v>0</v>
      </c>
      <c r="N781">
        <f t="shared" si="169"/>
        <v>0</v>
      </c>
      <c r="O781">
        <f t="shared" si="169"/>
        <v>0</v>
      </c>
      <c r="P781">
        <f t="shared" si="169"/>
        <v>0</v>
      </c>
      <c r="Q781">
        <f t="shared" si="169"/>
        <v>0</v>
      </c>
      <c r="R781">
        <f t="shared" si="169"/>
        <v>0</v>
      </c>
      <c r="S781">
        <f t="shared" si="169"/>
        <v>0</v>
      </c>
      <c r="T781">
        <f t="shared" si="169"/>
        <v>0</v>
      </c>
      <c r="U781">
        <f t="shared" si="169"/>
        <v>0</v>
      </c>
      <c r="V781">
        <f t="shared" si="169"/>
        <v>0</v>
      </c>
      <c r="W781">
        <f t="shared" si="169"/>
        <v>0</v>
      </c>
      <c r="X781">
        <f t="shared" si="169"/>
        <v>0</v>
      </c>
      <c r="Y781">
        <f t="shared" si="168"/>
        <v>0</v>
      </c>
      <c r="Z781">
        <f t="shared" si="168"/>
        <v>0</v>
      </c>
      <c r="AA781">
        <f t="shared" si="168"/>
        <v>0</v>
      </c>
      <c r="AB781">
        <f t="shared" si="168"/>
        <v>0</v>
      </c>
      <c r="AC781">
        <f t="shared" si="168"/>
        <v>0</v>
      </c>
      <c r="AD781">
        <f t="shared" si="168"/>
        <v>0</v>
      </c>
      <c r="AE781">
        <f t="shared" si="168"/>
        <v>0</v>
      </c>
      <c r="AF781">
        <f t="shared" si="168"/>
        <v>0</v>
      </c>
      <c r="AG781">
        <f t="shared" si="168"/>
        <v>0</v>
      </c>
      <c r="AH781">
        <f t="shared" si="168"/>
        <v>0</v>
      </c>
      <c r="AI781">
        <f t="shared" si="168"/>
        <v>0</v>
      </c>
      <c r="AJ781">
        <f t="shared" si="168"/>
        <v>0</v>
      </c>
      <c r="AK781">
        <f t="shared" si="168"/>
        <v>0</v>
      </c>
      <c r="AL781">
        <f t="shared" si="168"/>
        <v>0</v>
      </c>
      <c r="AM781">
        <f t="shared" si="168"/>
        <v>0</v>
      </c>
      <c r="AN781">
        <f t="shared" si="163"/>
        <v>0</v>
      </c>
      <c r="AO781">
        <f t="shared" si="163"/>
        <v>0</v>
      </c>
      <c r="AP781">
        <f t="shared" si="163"/>
        <v>0</v>
      </c>
      <c r="AQ781">
        <f t="shared" si="163"/>
        <v>0</v>
      </c>
      <c r="AR781">
        <f t="shared" si="163"/>
        <v>0</v>
      </c>
    </row>
    <row r="782" spans="5:44" x14ac:dyDescent="0.2">
      <c r="E782" s="1">
        <f>moment_rate!$M782</f>
        <v>0</v>
      </c>
      <c r="F782" s="1">
        <f t="shared" si="166"/>
        <v>0</v>
      </c>
      <c r="G782">
        <f>moment_rate!I782-0.005</f>
        <v>7.7499999999998792</v>
      </c>
      <c r="H782" s="1">
        <f t="shared" si="167"/>
        <v>0</v>
      </c>
      <c r="I782">
        <f t="shared" si="169"/>
        <v>0</v>
      </c>
      <c r="J782">
        <f t="shared" si="169"/>
        <v>0</v>
      </c>
      <c r="K782">
        <f t="shared" si="169"/>
        <v>0</v>
      </c>
      <c r="L782">
        <f t="shared" si="169"/>
        <v>0</v>
      </c>
      <c r="M782">
        <f t="shared" si="169"/>
        <v>0</v>
      </c>
      <c r="N782">
        <f t="shared" si="169"/>
        <v>0</v>
      </c>
      <c r="O782">
        <f t="shared" si="169"/>
        <v>0</v>
      </c>
      <c r="P782">
        <f t="shared" si="169"/>
        <v>0</v>
      </c>
      <c r="Q782">
        <f t="shared" si="169"/>
        <v>0</v>
      </c>
      <c r="R782">
        <f t="shared" si="169"/>
        <v>0</v>
      </c>
      <c r="S782">
        <f t="shared" si="169"/>
        <v>0</v>
      </c>
      <c r="T782">
        <f t="shared" si="169"/>
        <v>0</v>
      </c>
      <c r="U782">
        <f t="shared" si="169"/>
        <v>0</v>
      </c>
      <c r="V782">
        <f t="shared" si="169"/>
        <v>0</v>
      </c>
      <c r="W782">
        <f t="shared" si="169"/>
        <v>0</v>
      </c>
      <c r="X782">
        <f t="shared" si="169"/>
        <v>0</v>
      </c>
      <c r="Y782">
        <f t="shared" si="168"/>
        <v>0</v>
      </c>
      <c r="Z782">
        <f t="shared" si="168"/>
        <v>0</v>
      </c>
      <c r="AA782">
        <f t="shared" si="168"/>
        <v>0</v>
      </c>
      <c r="AB782">
        <f t="shared" si="168"/>
        <v>0</v>
      </c>
      <c r="AC782">
        <f t="shared" si="168"/>
        <v>0</v>
      </c>
      <c r="AD782">
        <f t="shared" si="168"/>
        <v>0</v>
      </c>
      <c r="AE782">
        <f t="shared" si="168"/>
        <v>0</v>
      </c>
      <c r="AF782">
        <f t="shared" si="168"/>
        <v>0</v>
      </c>
      <c r="AG782">
        <f t="shared" si="168"/>
        <v>0</v>
      </c>
      <c r="AH782">
        <f t="shared" si="168"/>
        <v>0</v>
      </c>
      <c r="AI782">
        <f t="shared" si="168"/>
        <v>0</v>
      </c>
      <c r="AJ782">
        <f t="shared" si="168"/>
        <v>0</v>
      </c>
      <c r="AK782">
        <f t="shared" si="168"/>
        <v>0</v>
      </c>
      <c r="AL782">
        <f t="shared" si="168"/>
        <v>0</v>
      </c>
      <c r="AM782">
        <f t="shared" si="168"/>
        <v>0</v>
      </c>
      <c r="AN782">
        <f t="shared" si="163"/>
        <v>0</v>
      </c>
      <c r="AO782">
        <f t="shared" si="163"/>
        <v>0</v>
      </c>
      <c r="AP782">
        <f t="shared" si="163"/>
        <v>0</v>
      </c>
      <c r="AQ782">
        <f t="shared" si="163"/>
        <v>0</v>
      </c>
      <c r="AR782">
        <f t="shared" si="163"/>
        <v>0</v>
      </c>
    </row>
    <row r="783" spans="5:44" x14ac:dyDescent="0.2">
      <c r="E783" s="1">
        <f>moment_rate!$M783</f>
        <v>0</v>
      </c>
      <c r="F783" s="1">
        <f t="shared" si="166"/>
        <v>0</v>
      </c>
      <c r="G783">
        <f>moment_rate!I783-0.005</f>
        <v>7.759999999999879</v>
      </c>
      <c r="H783" s="1">
        <f t="shared" si="167"/>
        <v>0</v>
      </c>
      <c r="I783">
        <f t="shared" si="169"/>
        <v>0</v>
      </c>
      <c r="J783">
        <f t="shared" si="169"/>
        <v>0</v>
      </c>
      <c r="K783">
        <f t="shared" si="169"/>
        <v>0</v>
      </c>
      <c r="L783">
        <f t="shared" si="169"/>
        <v>0</v>
      </c>
      <c r="M783">
        <f t="shared" si="169"/>
        <v>0</v>
      </c>
      <c r="N783">
        <f t="shared" si="169"/>
        <v>0</v>
      </c>
      <c r="O783">
        <f t="shared" si="169"/>
        <v>0</v>
      </c>
      <c r="P783">
        <f t="shared" si="169"/>
        <v>0</v>
      </c>
      <c r="Q783">
        <f t="shared" si="169"/>
        <v>0</v>
      </c>
      <c r="R783">
        <f t="shared" si="169"/>
        <v>0</v>
      </c>
      <c r="S783">
        <f t="shared" si="169"/>
        <v>0</v>
      </c>
      <c r="T783">
        <f t="shared" si="169"/>
        <v>0</v>
      </c>
      <c r="U783">
        <f t="shared" si="169"/>
        <v>0</v>
      </c>
      <c r="V783">
        <f t="shared" si="169"/>
        <v>0</v>
      </c>
      <c r="W783">
        <f t="shared" si="169"/>
        <v>0</v>
      </c>
      <c r="X783">
        <f t="shared" si="169"/>
        <v>0</v>
      </c>
      <c r="Y783">
        <f t="shared" si="168"/>
        <v>0</v>
      </c>
      <c r="Z783">
        <f t="shared" si="168"/>
        <v>0</v>
      </c>
      <c r="AA783">
        <f t="shared" si="168"/>
        <v>0</v>
      </c>
      <c r="AB783">
        <f t="shared" si="168"/>
        <v>0</v>
      </c>
      <c r="AC783">
        <f t="shared" si="168"/>
        <v>0</v>
      </c>
      <c r="AD783">
        <f t="shared" si="168"/>
        <v>0</v>
      </c>
      <c r="AE783">
        <f t="shared" si="168"/>
        <v>0</v>
      </c>
      <c r="AF783">
        <f t="shared" si="168"/>
        <v>0</v>
      </c>
      <c r="AG783">
        <f t="shared" si="168"/>
        <v>0</v>
      </c>
      <c r="AH783">
        <f t="shared" si="168"/>
        <v>0</v>
      </c>
      <c r="AI783">
        <f t="shared" si="168"/>
        <v>0</v>
      </c>
      <c r="AJ783">
        <f t="shared" si="168"/>
        <v>0</v>
      </c>
      <c r="AK783">
        <f t="shared" si="168"/>
        <v>0</v>
      </c>
      <c r="AL783">
        <f t="shared" si="168"/>
        <v>0</v>
      </c>
      <c r="AM783">
        <f t="shared" si="168"/>
        <v>0</v>
      </c>
      <c r="AN783">
        <f t="shared" si="163"/>
        <v>0</v>
      </c>
      <c r="AO783">
        <f t="shared" si="163"/>
        <v>0</v>
      </c>
      <c r="AP783">
        <f t="shared" si="163"/>
        <v>0</v>
      </c>
      <c r="AQ783">
        <f t="shared" si="163"/>
        <v>0</v>
      </c>
      <c r="AR783">
        <f t="shared" si="163"/>
        <v>0</v>
      </c>
    </row>
    <row r="784" spans="5:44" x14ac:dyDescent="0.2">
      <c r="E784" s="1">
        <f>moment_rate!$M784</f>
        <v>0</v>
      </c>
      <c r="F784" s="1">
        <f t="shared" si="166"/>
        <v>0</v>
      </c>
      <c r="G784">
        <f>moment_rate!I784-0.005</f>
        <v>7.7699999999998788</v>
      </c>
      <c r="H784" s="1">
        <f t="shared" si="167"/>
        <v>0</v>
      </c>
      <c r="I784">
        <f t="shared" si="169"/>
        <v>0</v>
      </c>
      <c r="J784">
        <f t="shared" si="169"/>
        <v>0</v>
      </c>
      <c r="K784">
        <f t="shared" si="169"/>
        <v>0</v>
      </c>
      <c r="L784">
        <f t="shared" si="169"/>
        <v>0</v>
      </c>
      <c r="M784">
        <f t="shared" si="169"/>
        <v>0</v>
      </c>
      <c r="N784">
        <f t="shared" si="169"/>
        <v>0</v>
      </c>
      <c r="O784">
        <f t="shared" si="169"/>
        <v>0</v>
      </c>
      <c r="P784">
        <f t="shared" si="169"/>
        <v>0</v>
      </c>
      <c r="Q784">
        <f t="shared" si="169"/>
        <v>0</v>
      </c>
      <c r="R784">
        <f t="shared" si="169"/>
        <v>0</v>
      </c>
      <c r="S784">
        <f t="shared" si="169"/>
        <v>0</v>
      </c>
      <c r="T784">
        <f t="shared" si="169"/>
        <v>0</v>
      </c>
      <c r="U784">
        <f t="shared" si="169"/>
        <v>0</v>
      </c>
      <c r="V784">
        <f t="shared" si="169"/>
        <v>0</v>
      </c>
      <c r="W784">
        <f t="shared" si="169"/>
        <v>0</v>
      </c>
      <c r="X784">
        <f t="shared" si="169"/>
        <v>0</v>
      </c>
      <c r="Y784">
        <f t="shared" si="168"/>
        <v>0</v>
      </c>
      <c r="Z784">
        <f t="shared" si="168"/>
        <v>0</v>
      </c>
      <c r="AA784">
        <f t="shared" si="168"/>
        <v>0</v>
      </c>
      <c r="AB784">
        <f t="shared" si="168"/>
        <v>0</v>
      </c>
      <c r="AC784">
        <f t="shared" si="168"/>
        <v>0</v>
      </c>
      <c r="AD784">
        <f t="shared" si="168"/>
        <v>0</v>
      </c>
      <c r="AE784">
        <f t="shared" si="168"/>
        <v>0</v>
      </c>
      <c r="AF784">
        <f t="shared" si="168"/>
        <v>0</v>
      </c>
      <c r="AG784">
        <f t="shared" si="168"/>
        <v>0</v>
      </c>
      <c r="AH784">
        <f t="shared" si="168"/>
        <v>0</v>
      </c>
      <c r="AI784">
        <f t="shared" si="168"/>
        <v>0</v>
      </c>
      <c r="AJ784">
        <f t="shared" si="168"/>
        <v>0</v>
      </c>
      <c r="AK784">
        <f t="shared" si="168"/>
        <v>0</v>
      </c>
      <c r="AL784">
        <f t="shared" si="168"/>
        <v>0</v>
      </c>
      <c r="AM784">
        <f t="shared" si="168"/>
        <v>0</v>
      </c>
      <c r="AN784">
        <f t="shared" si="163"/>
        <v>0</v>
      </c>
      <c r="AO784">
        <f t="shared" si="163"/>
        <v>0</v>
      </c>
      <c r="AP784">
        <f t="shared" si="163"/>
        <v>0</v>
      </c>
      <c r="AQ784">
        <f t="shared" si="163"/>
        <v>0</v>
      </c>
      <c r="AR784">
        <f t="shared" si="163"/>
        <v>0</v>
      </c>
    </row>
    <row r="785" spans="5:44" x14ac:dyDescent="0.2">
      <c r="E785" s="1">
        <f>moment_rate!$M785</f>
        <v>0</v>
      </c>
      <c r="F785" s="1">
        <f t="shared" si="166"/>
        <v>0</v>
      </c>
      <c r="G785">
        <f>moment_rate!I785-0.005</f>
        <v>7.7799999999998786</v>
      </c>
      <c r="H785" s="1">
        <f t="shared" si="167"/>
        <v>0</v>
      </c>
      <c r="I785">
        <f t="shared" si="169"/>
        <v>0</v>
      </c>
      <c r="J785">
        <f t="shared" si="169"/>
        <v>0</v>
      </c>
      <c r="K785">
        <f t="shared" si="169"/>
        <v>0</v>
      </c>
      <c r="L785">
        <f t="shared" si="169"/>
        <v>0</v>
      </c>
      <c r="M785">
        <f t="shared" si="169"/>
        <v>0</v>
      </c>
      <c r="N785">
        <f t="shared" si="169"/>
        <v>0</v>
      </c>
      <c r="O785">
        <f t="shared" si="169"/>
        <v>0</v>
      </c>
      <c r="P785">
        <f t="shared" si="169"/>
        <v>0</v>
      </c>
      <c r="Q785">
        <f t="shared" si="169"/>
        <v>0</v>
      </c>
      <c r="R785">
        <f t="shared" si="169"/>
        <v>0</v>
      </c>
      <c r="S785">
        <f t="shared" si="169"/>
        <v>0</v>
      </c>
      <c r="T785">
        <f t="shared" si="169"/>
        <v>0</v>
      </c>
      <c r="U785">
        <f t="shared" si="169"/>
        <v>0</v>
      </c>
      <c r="V785">
        <f t="shared" si="169"/>
        <v>0</v>
      </c>
      <c r="W785">
        <f t="shared" si="169"/>
        <v>0</v>
      </c>
      <c r="X785">
        <f t="shared" si="169"/>
        <v>0</v>
      </c>
      <c r="Y785">
        <f t="shared" si="168"/>
        <v>0</v>
      </c>
      <c r="Z785">
        <f t="shared" si="168"/>
        <v>0</v>
      </c>
      <c r="AA785">
        <f t="shared" si="168"/>
        <v>0</v>
      </c>
      <c r="AB785">
        <f t="shared" si="168"/>
        <v>0</v>
      </c>
      <c r="AC785">
        <f t="shared" si="168"/>
        <v>0</v>
      </c>
      <c r="AD785">
        <f t="shared" si="168"/>
        <v>0</v>
      </c>
      <c r="AE785">
        <f t="shared" si="168"/>
        <v>0</v>
      </c>
      <c r="AF785">
        <f t="shared" si="168"/>
        <v>0</v>
      </c>
      <c r="AG785">
        <f t="shared" si="168"/>
        <v>0</v>
      </c>
      <c r="AH785">
        <f t="shared" si="168"/>
        <v>0</v>
      </c>
      <c r="AI785">
        <f t="shared" si="168"/>
        <v>0</v>
      </c>
      <c r="AJ785">
        <f t="shared" si="168"/>
        <v>0</v>
      </c>
      <c r="AK785">
        <f t="shared" si="168"/>
        <v>0</v>
      </c>
      <c r="AL785">
        <f t="shared" si="168"/>
        <v>0</v>
      </c>
      <c r="AM785">
        <f t="shared" si="168"/>
        <v>0</v>
      </c>
      <c r="AN785">
        <f t="shared" si="163"/>
        <v>0</v>
      </c>
      <c r="AO785">
        <f t="shared" si="163"/>
        <v>0</v>
      </c>
      <c r="AP785">
        <f t="shared" si="163"/>
        <v>0</v>
      </c>
      <c r="AQ785">
        <f t="shared" si="163"/>
        <v>0</v>
      </c>
      <c r="AR785">
        <f t="shared" si="163"/>
        <v>0</v>
      </c>
    </row>
    <row r="786" spans="5:44" x14ac:dyDescent="0.2">
      <c r="E786" s="1">
        <f>moment_rate!$M786</f>
        <v>0</v>
      </c>
      <c r="F786" s="1">
        <f t="shared" si="166"/>
        <v>0</v>
      </c>
      <c r="G786">
        <f>moment_rate!I786-0.005</f>
        <v>7.7899999999998784</v>
      </c>
      <c r="H786" s="1">
        <f t="shared" si="167"/>
        <v>0</v>
      </c>
      <c r="I786">
        <f t="shared" si="169"/>
        <v>0</v>
      </c>
      <c r="J786">
        <f t="shared" si="169"/>
        <v>0</v>
      </c>
      <c r="K786">
        <f t="shared" si="169"/>
        <v>0</v>
      </c>
      <c r="L786">
        <f t="shared" si="169"/>
        <v>0</v>
      </c>
      <c r="M786">
        <f t="shared" si="169"/>
        <v>0</v>
      </c>
      <c r="N786">
        <f t="shared" si="169"/>
        <v>0</v>
      </c>
      <c r="O786">
        <f t="shared" si="169"/>
        <v>0</v>
      </c>
      <c r="P786">
        <f t="shared" si="169"/>
        <v>0</v>
      </c>
      <c r="Q786">
        <f t="shared" si="169"/>
        <v>0</v>
      </c>
      <c r="R786">
        <f t="shared" si="169"/>
        <v>0</v>
      </c>
      <c r="S786">
        <f t="shared" si="169"/>
        <v>0</v>
      </c>
      <c r="T786">
        <f t="shared" si="169"/>
        <v>0</v>
      </c>
      <c r="U786">
        <f t="shared" si="169"/>
        <v>0</v>
      </c>
      <c r="V786">
        <f t="shared" si="169"/>
        <v>0</v>
      </c>
      <c r="W786">
        <f t="shared" si="169"/>
        <v>0</v>
      </c>
      <c r="X786">
        <f t="shared" si="169"/>
        <v>0</v>
      </c>
      <c r="Y786">
        <f t="shared" si="168"/>
        <v>0</v>
      </c>
      <c r="Z786">
        <f t="shared" si="168"/>
        <v>0</v>
      </c>
      <c r="AA786">
        <f t="shared" si="168"/>
        <v>0</v>
      </c>
      <c r="AB786">
        <f t="shared" si="168"/>
        <v>0</v>
      </c>
      <c r="AC786">
        <f t="shared" si="168"/>
        <v>0</v>
      </c>
      <c r="AD786">
        <f t="shared" si="168"/>
        <v>0</v>
      </c>
      <c r="AE786">
        <f t="shared" si="168"/>
        <v>0</v>
      </c>
      <c r="AF786">
        <f t="shared" si="168"/>
        <v>0</v>
      </c>
      <c r="AG786">
        <f t="shared" si="168"/>
        <v>0</v>
      </c>
      <c r="AH786">
        <f t="shared" si="168"/>
        <v>0</v>
      </c>
      <c r="AI786">
        <f t="shared" si="168"/>
        <v>0</v>
      </c>
      <c r="AJ786">
        <f t="shared" si="168"/>
        <v>0</v>
      </c>
      <c r="AK786">
        <f t="shared" si="168"/>
        <v>0</v>
      </c>
      <c r="AL786">
        <f t="shared" si="168"/>
        <v>0</v>
      </c>
      <c r="AM786">
        <f t="shared" si="168"/>
        <v>0</v>
      </c>
      <c r="AN786">
        <f t="shared" si="163"/>
        <v>0</v>
      </c>
      <c r="AO786">
        <f t="shared" si="163"/>
        <v>0</v>
      </c>
      <c r="AP786">
        <f t="shared" si="163"/>
        <v>0</v>
      </c>
      <c r="AQ786">
        <f t="shared" si="163"/>
        <v>0</v>
      </c>
      <c r="AR786">
        <f t="shared" si="163"/>
        <v>0</v>
      </c>
    </row>
    <row r="787" spans="5:44" x14ac:dyDescent="0.2">
      <c r="E787" s="1">
        <f>moment_rate!$M787</f>
        <v>0</v>
      </c>
      <c r="F787" s="1">
        <f t="shared" si="166"/>
        <v>0</v>
      </c>
      <c r="G787">
        <f>moment_rate!I787-0.005</f>
        <v>7.7999999999998781</v>
      </c>
      <c r="H787" s="1">
        <f t="shared" si="167"/>
        <v>0</v>
      </c>
      <c r="I787">
        <f t="shared" si="169"/>
        <v>0</v>
      </c>
      <c r="J787">
        <f t="shared" si="169"/>
        <v>0</v>
      </c>
      <c r="K787">
        <f t="shared" si="169"/>
        <v>0</v>
      </c>
      <c r="L787">
        <f t="shared" si="169"/>
        <v>0</v>
      </c>
      <c r="M787">
        <f t="shared" si="169"/>
        <v>0</v>
      </c>
      <c r="N787">
        <f t="shared" si="169"/>
        <v>0</v>
      </c>
      <c r="O787">
        <f t="shared" si="169"/>
        <v>0</v>
      </c>
      <c r="P787">
        <f t="shared" si="169"/>
        <v>0</v>
      </c>
      <c r="Q787">
        <f t="shared" si="169"/>
        <v>0</v>
      </c>
      <c r="R787">
        <f t="shared" si="169"/>
        <v>0</v>
      </c>
      <c r="S787">
        <f t="shared" si="169"/>
        <v>0</v>
      </c>
      <c r="T787">
        <f t="shared" si="169"/>
        <v>0</v>
      </c>
      <c r="U787">
        <f t="shared" si="169"/>
        <v>0</v>
      </c>
      <c r="V787">
        <f t="shared" si="169"/>
        <v>0</v>
      </c>
      <c r="W787">
        <f t="shared" si="169"/>
        <v>0</v>
      </c>
      <c r="X787">
        <f t="shared" si="169"/>
        <v>0</v>
      </c>
      <c r="Y787">
        <f t="shared" si="168"/>
        <v>0</v>
      </c>
      <c r="Z787">
        <f t="shared" si="168"/>
        <v>0</v>
      </c>
      <c r="AA787">
        <f t="shared" si="168"/>
        <v>0</v>
      </c>
      <c r="AB787">
        <f t="shared" si="168"/>
        <v>0</v>
      </c>
      <c r="AC787">
        <f t="shared" si="168"/>
        <v>0</v>
      </c>
      <c r="AD787">
        <f t="shared" si="168"/>
        <v>0</v>
      </c>
      <c r="AE787">
        <f t="shared" si="168"/>
        <v>0</v>
      </c>
      <c r="AF787">
        <f t="shared" si="168"/>
        <v>0</v>
      </c>
      <c r="AG787">
        <f t="shared" si="168"/>
        <v>0</v>
      </c>
      <c r="AH787">
        <f t="shared" si="168"/>
        <v>0</v>
      </c>
      <c r="AI787">
        <f t="shared" si="163"/>
        <v>0</v>
      </c>
      <c r="AJ787">
        <f t="shared" si="163"/>
        <v>0</v>
      </c>
      <c r="AK787">
        <f t="shared" si="163"/>
        <v>0</v>
      </c>
      <c r="AL787">
        <f t="shared" si="163"/>
        <v>0</v>
      </c>
      <c r="AM787">
        <f t="shared" si="163"/>
        <v>0</v>
      </c>
      <c r="AN787">
        <f t="shared" si="163"/>
        <v>0</v>
      </c>
      <c r="AO787">
        <f t="shared" si="163"/>
        <v>0</v>
      </c>
      <c r="AP787">
        <f t="shared" si="163"/>
        <v>0</v>
      </c>
      <c r="AQ787">
        <f t="shared" si="163"/>
        <v>0</v>
      </c>
      <c r="AR787">
        <f t="shared" si="163"/>
        <v>0</v>
      </c>
    </row>
    <row r="788" spans="5:44" x14ac:dyDescent="0.2">
      <c r="E788" s="1">
        <f>moment_rate!$M788</f>
        <v>0</v>
      </c>
      <c r="F788" s="1">
        <f t="shared" si="166"/>
        <v>0</v>
      </c>
      <c r="G788">
        <f>moment_rate!I788-0.005</f>
        <v>7.8099999999998779</v>
      </c>
      <c r="H788" s="1">
        <f t="shared" si="167"/>
        <v>0</v>
      </c>
      <c r="I788">
        <f t="shared" si="169"/>
        <v>0</v>
      </c>
      <c r="J788">
        <f t="shared" si="169"/>
        <v>0</v>
      </c>
      <c r="K788">
        <f t="shared" si="169"/>
        <v>0</v>
      </c>
      <c r="L788">
        <f t="shared" si="169"/>
        <v>0</v>
      </c>
      <c r="M788">
        <f t="shared" si="169"/>
        <v>0</v>
      </c>
      <c r="N788">
        <f t="shared" si="169"/>
        <v>0</v>
      </c>
      <c r="O788">
        <f t="shared" si="169"/>
        <v>0</v>
      </c>
      <c r="P788">
        <f t="shared" si="169"/>
        <v>0</v>
      </c>
      <c r="Q788">
        <f t="shared" si="169"/>
        <v>0</v>
      </c>
      <c r="R788">
        <f t="shared" si="169"/>
        <v>0</v>
      </c>
      <c r="S788">
        <f t="shared" si="169"/>
        <v>0</v>
      </c>
      <c r="T788">
        <f t="shared" si="169"/>
        <v>0</v>
      </c>
      <c r="U788">
        <f t="shared" si="169"/>
        <v>0</v>
      </c>
      <c r="V788">
        <f t="shared" si="169"/>
        <v>0</v>
      </c>
      <c r="W788">
        <f t="shared" si="169"/>
        <v>0</v>
      </c>
      <c r="X788">
        <f t="shared" si="169"/>
        <v>0</v>
      </c>
      <c r="Y788">
        <f t="shared" si="168"/>
        <v>0</v>
      </c>
      <c r="Z788">
        <f t="shared" si="168"/>
        <v>0</v>
      </c>
      <c r="AA788">
        <f t="shared" si="168"/>
        <v>0</v>
      </c>
      <c r="AB788">
        <f t="shared" si="168"/>
        <v>0</v>
      </c>
      <c r="AC788">
        <f t="shared" si="168"/>
        <v>0</v>
      </c>
      <c r="AD788">
        <f t="shared" si="168"/>
        <v>0</v>
      </c>
      <c r="AE788">
        <f t="shared" si="168"/>
        <v>0</v>
      </c>
      <c r="AF788">
        <f t="shared" si="168"/>
        <v>0</v>
      </c>
      <c r="AG788">
        <f t="shared" si="168"/>
        <v>0</v>
      </c>
      <c r="AH788">
        <f t="shared" si="168"/>
        <v>0</v>
      </c>
      <c r="AI788">
        <f t="shared" si="163"/>
        <v>0</v>
      </c>
      <c r="AJ788">
        <f t="shared" si="163"/>
        <v>0</v>
      </c>
      <c r="AK788">
        <f t="shared" si="163"/>
        <v>0</v>
      </c>
      <c r="AL788">
        <f t="shared" si="163"/>
        <v>0</v>
      </c>
      <c r="AM788">
        <f t="shared" si="163"/>
        <v>0</v>
      </c>
      <c r="AN788">
        <f t="shared" si="163"/>
        <v>0</v>
      </c>
      <c r="AO788">
        <f t="shared" si="163"/>
        <v>0</v>
      </c>
      <c r="AP788">
        <f t="shared" si="163"/>
        <v>0</v>
      </c>
      <c r="AQ788">
        <f t="shared" si="163"/>
        <v>0</v>
      </c>
      <c r="AR788">
        <f t="shared" si="163"/>
        <v>0</v>
      </c>
    </row>
    <row r="789" spans="5:44" x14ac:dyDescent="0.2">
      <c r="E789" s="1">
        <f>moment_rate!$M789</f>
        <v>0</v>
      </c>
      <c r="F789" s="1">
        <f t="shared" si="166"/>
        <v>0</v>
      </c>
      <c r="G789">
        <f>moment_rate!I789-0.005</f>
        <v>7.8199999999998777</v>
      </c>
      <c r="H789" s="1">
        <f t="shared" si="167"/>
        <v>0</v>
      </c>
      <c r="I789">
        <f t="shared" si="169"/>
        <v>0</v>
      </c>
      <c r="J789">
        <f t="shared" si="169"/>
        <v>0</v>
      </c>
      <c r="K789">
        <f t="shared" si="169"/>
        <v>0</v>
      </c>
      <c r="L789">
        <f t="shared" si="169"/>
        <v>0</v>
      </c>
      <c r="M789">
        <f t="shared" si="169"/>
        <v>0</v>
      </c>
      <c r="N789">
        <f t="shared" si="169"/>
        <v>0</v>
      </c>
      <c r="O789">
        <f t="shared" si="169"/>
        <v>0</v>
      </c>
      <c r="P789">
        <f t="shared" si="169"/>
        <v>0</v>
      </c>
      <c r="Q789">
        <f t="shared" si="169"/>
        <v>0</v>
      </c>
      <c r="R789">
        <f t="shared" si="169"/>
        <v>0</v>
      </c>
      <c r="S789">
        <f t="shared" si="169"/>
        <v>0</v>
      </c>
      <c r="T789">
        <f t="shared" si="169"/>
        <v>0</v>
      </c>
      <c r="U789">
        <f t="shared" si="169"/>
        <v>0</v>
      </c>
      <c r="V789">
        <f t="shared" si="169"/>
        <v>0</v>
      </c>
      <c r="W789">
        <f t="shared" si="169"/>
        <v>0</v>
      </c>
      <c r="X789">
        <f t="shared" si="169"/>
        <v>0</v>
      </c>
      <c r="Y789">
        <f t="shared" si="168"/>
        <v>0</v>
      </c>
      <c r="Z789">
        <f t="shared" si="168"/>
        <v>0</v>
      </c>
      <c r="AA789">
        <f t="shared" si="168"/>
        <v>0</v>
      </c>
      <c r="AB789">
        <f t="shared" si="168"/>
        <v>0</v>
      </c>
      <c r="AC789">
        <f t="shared" si="168"/>
        <v>0</v>
      </c>
      <c r="AD789">
        <f t="shared" si="168"/>
        <v>0</v>
      </c>
      <c r="AE789">
        <f t="shared" si="168"/>
        <v>0</v>
      </c>
      <c r="AF789">
        <f t="shared" si="168"/>
        <v>0</v>
      </c>
      <c r="AG789">
        <f t="shared" si="168"/>
        <v>0</v>
      </c>
      <c r="AH789">
        <f t="shared" si="168"/>
        <v>0</v>
      </c>
      <c r="AI789">
        <f t="shared" si="168"/>
        <v>0</v>
      </c>
      <c r="AJ789">
        <f t="shared" si="168"/>
        <v>0</v>
      </c>
      <c r="AK789">
        <f t="shared" si="168"/>
        <v>0</v>
      </c>
      <c r="AL789">
        <f t="shared" si="168"/>
        <v>0</v>
      </c>
      <c r="AM789">
        <f t="shared" si="168"/>
        <v>0</v>
      </c>
      <c r="AN789">
        <f t="shared" ref="AI789:AR817" si="170">IF(AND($G789&gt;=AN$3,$G789&lt;AN$4),$F789,0)</f>
        <v>0</v>
      </c>
      <c r="AO789">
        <f t="shared" si="170"/>
        <v>0</v>
      </c>
      <c r="AP789">
        <f t="shared" si="170"/>
        <v>0</v>
      </c>
      <c r="AQ789">
        <f t="shared" si="170"/>
        <v>0</v>
      </c>
      <c r="AR789">
        <f t="shared" si="170"/>
        <v>0</v>
      </c>
    </row>
    <row r="790" spans="5:44" x14ac:dyDescent="0.2">
      <c r="E790" s="1">
        <f>moment_rate!$M790</f>
        <v>0</v>
      </c>
      <c r="F790" s="1">
        <f t="shared" si="166"/>
        <v>0</v>
      </c>
      <c r="G790">
        <f>moment_rate!I790-0.005</f>
        <v>7.8299999999998775</v>
      </c>
      <c r="H790" s="1">
        <f t="shared" si="167"/>
        <v>0</v>
      </c>
      <c r="I790">
        <f t="shared" si="169"/>
        <v>0</v>
      </c>
      <c r="J790">
        <f t="shared" si="169"/>
        <v>0</v>
      </c>
      <c r="K790">
        <f t="shared" si="169"/>
        <v>0</v>
      </c>
      <c r="L790">
        <f t="shared" si="169"/>
        <v>0</v>
      </c>
      <c r="M790">
        <f t="shared" si="169"/>
        <v>0</v>
      </c>
      <c r="N790">
        <f t="shared" si="169"/>
        <v>0</v>
      </c>
      <c r="O790">
        <f t="shared" si="169"/>
        <v>0</v>
      </c>
      <c r="P790">
        <f t="shared" si="169"/>
        <v>0</v>
      </c>
      <c r="Q790">
        <f t="shared" si="169"/>
        <v>0</v>
      </c>
      <c r="R790">
        <f t="shared" si="169"/>
        <v>0</v>
      </c>
      <c r="S790">
        <f t="shared" si="169"/>
        <v>0</v>
      </c>
      <c r="T790">
        <f t="shared" si="169"/>
        <v>0</v>
      </c>
      <c r="U790">
        <f t="shared" si="169"/>
        <v>0</v>
      </c>
      <c r="V790">
        <f t="shared" si="169"/>
        <v>0</v>
      </c>
      <c r="W790">
        <f t="shared" si="169"/>
        <v>0</v>
      </c>
      <c r="X790">
        <f t="shared" si="169"/>
        <v>0</v>
      </c>
      <c r="Y790">
        <f t="shared" si="168"/>
        <v>0</v>
      </c>
      <c r="Z790">
        <f t="shared" si="168"/>
        <v>0</v>
      </c>
      <c r="AA790">
        <f t="shared" si="168"/>
        <v>0</v>
      </c>
      <c r="AB790">
        <f t="shared" si="168"/>
        <v>0</v>
      </c>
      <c r="AC790">
        <f t="shared" si="168"/>
        <v>0</v>
      </c>
      <c r="AD790">
        <f t="shared" si="168"/>
        <v>0</v>
      </c>
      <c r="AE790">
        <f t="shared" si="168"/>
        <v>0</v>
      </c>
      <c r="AF790">
        <f t="shared" si="168"/>
        <v>0</v>
      </c>
      <c r="AG790">
        <f t="shared" si="168"/>
        <v>0</v>
      </c>
      <c r="AH790">
        <f t="shared" si="168"/>
        <v>0</v>
      </c>
      <c r="AI790">
        <f t="shared" si="170"/>
        <v>0</v>
      </c>
      <c r="AJ790">
        <f t="shared" si="170"/>
        <v>0</v>
      </c>
      <c r="AK790">
        <f t="shared" si="170"/>
        <v>0</v>
      </c>
      <c r="AL790">
        <f t="shared" si="170"/>
        <v>0</v>
      </c>
      <c r="AM790">
        <f t="shared" si="170"/>
        <v>0</v>
      </c>
      <c r="AN790">
        <f t="shared" si="170"/>
        <v>0</v>
      </c>
      <c r="AO790">
        <f t="shared" si="170"/>
        <v>0</v>
      </c>
      <c r="AP790">
        <f t="shared" si="170"/>
        <v>0</v>
      </c>
      <c r="AQ790">
        <f t="shared" si="170"/>
        <v>0</v>
      </c>
      <c r="AR790">
        <f t="shared" si="170"/>
        <v>0</v>
      </c>
    </row>
    <row r="791" spans="5:44" x14ac:dyDescent="0.2">
      <c r="E791" s="1">
        <f>moment_rate!$M791</f>
        <v>0</v>
      </c>
      <c r="F791" s="1">
        <f t="shared" si="166"/>
        <v>0</v>
      </c>
      <c r="G791">
        <f>moment_rate!I791-0.005</f>
        <v>7.8399999999998773</v>
      </c>
      <c r="H791" s="1">
        <f t="shared" si="167"/>
        <v>0</v>
      </c>
      <c r="I791">
        <f t="shared" si="169"/>
        <v>0</v>
      </c>
      <c r="J791">
        <f t="shared" si="169"/>
        <v>0</v>
      </c>
      <c r="K791">
        <f t="shared" si="169"/>
        <v>0</v>
      </c>
      <c r="L791">
        <f t="shared" si="169"/>
        <v>0</v>
      </c>
      <c r="M791">
        <f t="shared" si="169"/>
        <v>0</v>
      </c>
      <c r="N791">
        <f t="shared" si="169"/>
        <v>0</v>
      </c>
      <c r="O791">
        <f t="shared" si="169"/>
        <v>0</v>
      </c>
      <c r="P791">
        <f t="shared" si="169"/>
        <v>0</v>
      </c>
      <c r="Q791">
        <f t="shared" si="169"/>
        <v>0</v>
      </c>
      <c r="R791">
        <f t="shared" si="169"/>
        <v>0</v>
      </c>
      <c r="S791">
        <f t="shared" si="169"/>
        <v>0</v>
      </c>
      <c r="T791">
        <f t="shared" si="169"/>
        <v>0</v>
      </c>
      <c r="U791">
        <f t="shared" si="169"/>
        <v>0</v>
      </c>
      <c r="V791">
        <f t="shared" si="169"/>
        <v>0</v>
      </c>
      <c r="W791">
        <f t="shared" si="169"/>
        <v>0</v>
      </c>
      <c r="X791">
        <f t="shared" si="169"/>
        <v>0</v>
      </c>
      <c r="Y791">
        <f t="shared" si="168"/>
        <v>0</v>
      </c>
      <c r="Z791">
        <f t="shared" si="168"/>
        <v>0</v>
      </c>
      <c r="AA791">
        <f t="shared" si="168"/>
        <v>0</v>
      </c>
      <c r="AB791">
        <f t="shared" si="168"/>
        <v>0</v>
      </c>
      <c r="AC791">
        <f t="shared" si="168"/>
        <v>0</v>
      </c>
      <c r="AD791">
        <f t="shared" si="168"/>
        <v>0</v>
      </c>
      <c r="AE791">
        <f t="shared" si="168"/>
        <v>0</v>
      </c>
      <c r="AF791">
        <f t="shared" si="168"/>
        <v>0</v>
      </c>
      <c r="AG791">
        <f t="shared" si="168"/>
        <v>0</v>
      </c>
      <c r="AH791">
        <f t="shared" si="168"/>
        <v>0</v>
      </c>
      <c r="AI791">
        <f t="shared" si="170"/>
        <v>0</v>
      </c>
      <c r="AJ791">
        <f t="shared" si="170"/>
        <v>0</v>
      </c>
      <c r="AK791">
        <f t="shared" si="170"/>
        <v>0</v>
      </c>
      <c r="AL791">
        <f t="shared" si="170"/>
        <v>0</v>
      </c>
      <c r="AM791">
        <f t="shared" si="170"/>
        <v>0</v>
      </c>
      <c r="AN791">
        <f t="shared" si="170"/>
        <v>0</v>
      </c>
      <c r="AO791">
        <f t="shared" si="170"/>
        <v>0</v>
      </c>
      <c r="AP791">
        <f t="shared" si="170"/>
        <v>0</v>
      </c>
      <c r="AQ791">
        <f t="shared" si="170"/>
        <v>0</v>
      </c>
      <c r="AR791">
        <f t="shared" si="170"/>
        <v>0</v>
      </c>
    </row>
    <row r="792" spans="5:44" x14ac:dyDescent="0.2">
      <c r="E792" s="1">
        <f>moment_rate!$M792</f>
        <v>0</v>
      </c>
      <c r="F792" s="1">
        <f t="shared" si="166"/>
        <v>0</v>
      </c>
      <c r="G792">
        <f>moment_rate!I792-0.005</f>
        <v>7.8499999999998771</v>
      </c>
      <c r="H792" s="1">
        <f t="shared" si="167"/>
        <v>0</v>
      </c>
      <c r="I792">
        <f t="shared" si="169"/>
        <v>0</v>
      </c>
      <c r="J792">
        <f t="shared" si="169"/>
        <v>0</v>
      </c>
      <c r="K792">
        <f t="shared" si="169"/>
        <v>0</v>
      </c>
      <c r="L792">
        <f t="shared" si="169"/>
        <v>0</v>
      </c>
      <c r="M792">
        <f t="shared" si="169"/>
        <v>0</v>
      </c>
      <c r="N792">
        <f t="shared" si="169"/>
        <v>0</v>
      </c>
      <c r="O792">
        <f t="shared" si="169"/>
        <v>0</v>
      </c>
      <c r="P792">
        <f t="shared" si="169"/>
        <v>0</v>
      </c>
      <c r="Q792">
        <f t="shared" si="169"/>
        <v>0</v>
      </c>
      <c r="R792">
        <f t="shared" si="169"/>
        <v>0</v>
      </c>
      <c r="S792">
        <f t="shared" si="169"/>
        <v>0</v>
      </c>
      <c r="T792">
        <f t="shared" si="169"/>
        <v>0</v>
      </c>
      <c r="U792">
        <f t="shared" si="169"/>
        <v>0</v>
      </c>
      <c r="V792">
        <f t="shared" si="169"/>
        <v>0</v>
      </c>
      <c r="W792">
        <f t="shared" si="169"/>
        <v>0</v>
      </c>
      <c r="X792">
        <f t="shared" si="169"/>
        <v>0</v>
      </c>
      <c r="Y792">
        <f t="shared" si="168"/>
        <v>0</v>
      </c>
      <c r="Z792">
        <f t="shared" si="168"/>
        <v>0</v>
      </c>
      <c r="AA792">
        <f t="shared" si="168"/>
        <v>0</v>
      </c>
      <c r="AB792">
        <f t="shared" si="168"/>
        <v>0</v>
      </c>
      <c r="AC792">
        <f t="shared" si="168"/>
        <v>0</v>
      </c>
      <c r="AD792">
        <f t="shared" si="168"/>
        <v>0</v>
      </c>
      <c r="AE792">
        <f t="shared" si="168"/>
        <v>0</v>
      </c>
      <c r="AF792">
        <f t="shared" si="168"/>
        <v>0</v>
      </c>
      <c r="AG792">
        <f t="shared" si="168"/>
        <v>0</v>
      </c>
      <c r="AH792">
        <f t="shared" si="168"/>
        <v>0</v>
      </c>
      <c r="AI792">
        <f t="shared" si="170"/>
        <v>0</v>
      </c>
      <c r="AJ792">
        <f t="shared" si="170"/>
        <v>0</v>
      </c>
      <c r="AK792">
        <f t="shared" si="170"/>
        <v>0</v>
      </c>
      <c r="AL792">
        <f t="shared" si="170"/>
        <v>0</v>
      </c>
      <c r="AM792">
        <f t="shared" si="170"/>
        <v>0</v>
      </c>
      <c r="AN792">
        <f t="shared" si="170"/>
        <v>0</v>
      </c>
      <c r="AO792">
        <f t="shared" si="170"/>
        <v>0</v>
      </c>
      <c r="AP792">
        <f t="shared" si="170"/>
        <v>0</v>
      </c>
      <c r="AQ792">
        <f t="shared" si="170"/>
        <v>0</v>
      </c>
      <c r="AR792">
        <f t="shared" si="170"/>
        <v>0</v>
      </c>
    </row>
    <row r="793" spans="5:44" x14ac:dyDescent="0.2">
      <c r="E793" s="1">
        <f>moment_rate!$M793</f>
        <v>0</v>
      </c>
      <c r="F793" s="1">
        <f t="shared" si="166"/>
        <v>0</v>
      </c>
      <c r="G793">
        <f>moment_rate!I793-0.005</f>
        <v>7.8599999999998769</v>
      </c>
      <c r="H793" s="1">
        <f t="shared" si="167"/>
        <v>0</v>
      </c>
      <c r="I793">
        <f t="shared" si="169"/>
        <v>0</v>
      </c>
      <c r="J793">
        <f t="shared" si="169"/>
        <v>0</v>
      </c>
      <c r="K793">
        <f t="shared" si="169"/>
        <v>0</v>
      </c>
      <c r="L793">
        <f t="shared" si="169"/>
        <v>0</v>
      </c>
      <c r="M793">
        <f t="shared" si="169"/>
        <v>0</v>
      </c>
      <c r="N793">
        <f t="shared" si="169"/>
        <v>0</v>
      </c>
      <c r="O793">
        <f t="shared" si="169"/>
        <v>0</v>
      </c>
      <c r="P793">
        <f t="shared" si="169"/>
        <v>0</v>
      </c>
      <c r="Q793">
        <f t="shared" si="169"/>
        <v>0</v>
      </c>
      <c r="R793">
        <f t="shared" si="169"/>
        <v>0</v>
      </c>
      <c r="S793">
        <f t="shared" si="169"/>
        <v>0</v>
      </c>
      <c r="T793">
        <f t="shared" si="169"/>
        <v>0</v>
      </c>
      <c r="U793">
        <f t="shared" si="169"/>
        <v>0</v>
      </c>
      <c r="V793">
        <f t="shared" si="169"/>
        <v>0</v>
      </c>
      <c r="W793">
        <f t="shared" si="169"/>
        <v>0</v>
      </c>
      <c r="X793">
        <f t="shared" si="169"/>
        <v>0</v>
      </c>
      <c r="Y793">
        <f t="shared" si="168"/>
        <v>0</v>
      </c>
      <c r="Z793">
        <f t="shared" si="168"/>
        <v>0</v>
      </c>
      <c r="AA793">
        <f t="shared" si="168"/>
        <v>0</v>
      </c>
      <c r="AB793">
        <f t="shared" si="168"/>
        <v>0</v>
      </c>
      <c r="AC793">
        <f t="shared" si="168"/>
        <v>0</v>
      </c>
      <c r="AD793">
        <f t="shared" si="168"/>
        <v>0</v>
      </c>
      <c r="AE793">
        <f t="shared" si="168"/>
        <v>0</v>
      </c>
      <c r="AF793">
        <f t="shared" si="168"/>
        <v>0</v>
      </c>
      <c r="AG793">
        <f t="shared" si="168"/>
        <v>0</v>
      </c>
      <c r="AH793">
        <f t="shared" si="168"/>
        <v>0</v>
      </c>
      <c r="AI793">
        <f t="shared" si="170"/>
        <v>0</v>
      </c>
      <c r="AJ793">
        <f t="shared" si="170"/>
        <v>0</v>
      </c>
      <c r="AK793">
        <f t="shared" si="170"/>
        <v>0</v>
      </c>
      <c r="AL793">
        <f t="shared" si="170"/>
        <v>0</v>
      </c>
      <c r="AM793">
        <f t="shared" si="170"/>
        <v>0</v>
      </c>
      <c r="AN793">
        <f t="shared" si="170"/>
        <v>0</v>
      </c>
      <c r="AO793">
        <f t="shared" si="170"/>
        <v>0</v>
      </c>
      <c r="AP793">
        <f t="shared" si="170"/>
        <v>0</v>
      </c>
      <c r="AQ793">
        <f t="shared" si="170"/>
        <v>0</v>
      </c>
      <c r="AR793">
        <f t="shared" si="170"/>
        <v>0</v>
      </c>
    </row>
    <row r="794" spans="5:44" x14ac:dyDescent="0.2">
      <c r="E794" s="1">
        <f>moment_rate!$M794</f>
        <v>0</v>
      </c>
      <c r="F794" s="1">
        <f t="shared" si="166"/>
        <v>0</v>
      </c>
      <c r="G794">
        <f>moment_rate!I794-0.005</f>
        <v>7.8699999999998766</v>
      </c>
      <c r="H794" s="1">
        <f t="shared" si="167"/>
        <v>0</v>
      </c>
      <c r="I794">
        <f t="shared" si="169"/>
        <v>0</v>
      </c>
      <c r="J794">
        <f t="shared" si="169"/>
        <v>0</v>
      </c>
      <c r="K794">
        <f t="shared" si="169"/>
        <v>0</v>
      </c>
      <c r="L794">
        <f t="shared" si="169"/>
        <v>0</v>
      </c>
      <c r="M794">
        <f t="shared" si="169"/>
        <v>0</v>
      </c>
      <c r="N794">
        <f t="shared" si="169"/>
        <v>0</v>
      </c>
      <c r="O794">
        <f t="shared" si="169"/>
        <v>0</v>
      </c>
      <c r="P794">
        <f t="shared" si="169"/>
        <v>0</v>
      </c>
      <c r="Q794">
        <f t="shared" si="169"/>
        <v>0</v>
      </c>
      <c r="R794">
        <f t="shared" si="169"/>
        <v>0</v>
      </c>
      <c r="S794">
        <f t="shared" si="169"/>
        <v>0</v>
      </c>
      <c r="T794">
        <f t="shared" si="169"/>
        <v>0</v>
      </c>
      <c r="U794">
        <f t="shared" si="169"/>
        <v>0</v>
      </c>
      <c r="V794">
        <f t="shared" si="169"/>
        <v>0</v>
      </c>
      <c r="W794">
        <f t="shared" si="169"/>
        <v>0</v>
      </c>
      <c r="X794">
        <f t="shared" ref="X794:AJ814" si="171">IF(AND($G794&gt;=X$3,$G794&lt;X$4),$F794,0)</f>
        <v>0</v>
      </c>
      <c r="Y794">
        <f t="shared" si="171"/>
        <v>0</v>
      </c>
      <c r="Z794">
        <f t="shared" si="171"/>
        <v>0</v>
      </c>
      <c r="AA794">
        <f t="shared" si="171"/>
        <v>0</v>
      </c>
      <c r="AB794">
        <f t="shared" si="171"/>
        <v>0</v>
      </c>
      <c r="AC794">
        <f t="shared" si="171"/>
        <v>0</v>
      </c>
      <c r="AD794">
        <f t="shared" si="171"/>
        <v>0</v>
      </c>
      <c r="AE794">
        <f t="shared" si="171"/>
        <v>0</v>
      </c>
      <c r="AF794">
        <f t="shared" si="171"/>
        <v>0</v>
      </c>
      <c r="AG794">
        <f t="shared" si="171"/>
        <v>0</v>
      </c>
      <c r="AH794">
        <f t="shared" si="171"/>
        <v>0</v>
      </c>
      <c r="AI794">
        <f t="shared" si="170"/>
        <v>0</v>
      </c>
      <c r="AJ794">
        <f t="shared" si="170"/>
        <v>0</v>
      </c>
      <c r="AK794">
        <f t="shared" si="170"/>
        <v>0</v>
      </c>
      <c r="AL794">
        <f t="shared" si="170"/>
        <v>0</v>
      </c>
      <c r="AM794">
        <f t="shared" si="170"/>
        <v>0</v>
      </c>
      <c r="AN794">
        <f t="shared" si="170"/>
        <v>0</v>
      </c>
      <c r="AO794">
        <f t="shared" si="170"/>
        <v>0</v>
      </c>
      <c r="AP794">
        <f t="shared" si="170"/>
        <v>0</v>
      </c>
      <c r="AQ794">
        <f t="shared" si="170"/>
        <v>0</v>
      </c>
      <c r="AR794">
        <f t="shared" si="170"/>
        <v>0</v>
      </c>
    </row>
    <row r="795" spans="5:44" x14ac:dyDescent="0.2">
      <c r="E795" s="1">
        <f>moment_rate!$M795</f>
        <v>0</v>
      </c>
      <c r="F795" s="1">
        <f t="shared" si="166"/>
        <v>0</v>
      </c>
      <c r="G795">
        <f>moment_rate!I795-0.005</f>
        <v>7.8799999999998764</v>
      </c>
      <c r="H795" s="1">
        <f t="shared" si="167"/>
        <v>0</v>
      </c>
      <c r="I795">
        <f t="shared" ref="I795:X810" si="172">IF(AND($G795&gt;=I$3,$G795&lt;I$4),$F795,0)</f>
        <v>0</v>
      </c>
      <c r="J795">
        <f t="shared" si="172"/>
        <v>0</v>
      </c>
      <c r="K795">
        <f t="shared" si="172"/>
        <v>0</v>
      </c>
      <c r="L795">
        <f t="shared" si="172"/>
        <v>0</v>
      </c>
      <c r="M795">
        <f t="shared" si="172"/>
        <v>0</v>
      </c>
      <c r="N795">
        <f t="shared" si="172"/>
        <v>0</v>
      </c>
      <c r="O795">
        <f t="shared" si="172"/>
        <v>0</v>
      </c>
      <c r="P795">
        <f t="shared" si="172"/>
        <v>0</v>
      </c>
      <c r="Q795">
        <f t="shared" si="172"/>
        <v>0</v>
      </c>
      <c r="R795">
        <f t="shared" si="172"/>
        <v>0</v>
      </c>
      <c r="S795">
        <f t="shared" si="172"/>
        <v>0</v>
      </c>
      <c r="T795">
        <f t="shared" si="172"/>
        <v>0</v>
      </c>
      <c r="U795">
        <f t="shared" si="172"/>
        <v>0</v>
      </c>
      <c r="V795">
        <f t="shared" si="172"/>
        <v>0</v>
      </c>
      <c r="W795">
        <f t="shared" si="172"/>
        <v>0</v>
      </c>
      <c r="X795">
        <f t="shared" si="172"/>
        <v>0</v>
      </c>
      <c r="Y795">
        <f t="shared" si="171"/>
        <v>0</v>
      </c>
      <c r="Z795">
        <f t="shared" si="171"/>
        <v>0</v>
      </c>
      <c r="AA795">
        <f t="shared" si="171"/>
        <v>0</v>
      </c>
      <c r="AB795">
        <f t="shared" si="171"/>
        <v>0</v>
      </c>
      <c r="AC795">
        <f t="shared" si="171"/>
        <v>0</v>
      </c>
      <c r="AD795">
        <f t="shared" si="171"/>
        <v>0</v>
      </c>
      <c r="AE795">
        <f t="shared" si="171"/>
        <v>0</v>
      </c>
      <c r="AF795">
        <f t="shared" si="171"/>
        <v>0</v>
      </c>
      <c r="AG795">
        <f t="shared" si="171"/>
        <v>0</v>
      </c>
      <c r="AH795">
        <f t="shared" si="171"/>
        <v>0</v>
      </c>
      <c r="AI795">
        <f t="shared" si="170"/>
        <v>0</v>
      </c>
      <c r="AJ795">
        <f t="shared" si="170"/>
        <v>0</v>
      </c>
      <c r="AK795">
        <f t="shared" si="170"/>
        <v>0</v>
      </c>
      <c r="AL795">
        <f t="shared" si="170"/>
        <v>0</v>
      </c>
      <c r="AM795">
        <f t="shared" si="170"/>
        <v>0</v>
      </c>
      <c r="AN795">
        <f t="shared" si="170"/>
        <v>0</v>
      </c>
      <c r="AO795">
        <f t="shared" si="170"/>
        <v>0</v>
      </c>
      <c r="AP795">
        <f t="shared" si="170"/>
        <v>0</v>
      </c>
      <c r="AQ795">
        <f t="shared" si="170"/>
        <v>0</v>
      </c>
      <c r="AR795">
        <f t="shared" si="170"/>
        <v>0</v>
      </c>
    </row>
    <row r="796" spans="5:44" x14ac:dyDescent="0.2">
      <c r="E796" s="1">
        <f>moment_rate!$M796</f>
        <v>0</v>
      </c>
      <c r="F796" s="1">
        <f t="shared" si="166"/>
        <v>0</v>
      </c>
      <c r="G796">
        <f>moment_rate!I796-0.005</f>
        <v>7.8899999999998762</v>
      </c>
      <c r="H796" s="1">
        <f t="shared" si="167"/>
        <v>0</v>
      </c>
      <c r="I796">
        <f t="shared" si="172"/>
        <v>0</v>
      </c>
      <c r="J796">
        <f t="shared" si="172"/>
        <v>0</v>
      </c>
      <c r="K796">
        <f t="shared" si="172"/>
        <v>0</v>
      </c>
      <c r="L796">
        <f t="shared" si="172"/>
        <v>0</v>
      </c>
      <c r="M796">
        <f t="shared" si="172"/>
        <v>0</v>
      </c>
      <c r="N796">
        <f t="shared" si="172"/>
        <v>0</v>
      </c>
      <c r="O796">
        <f t="shared" si="172"/>
        <v>0</v>
      </c>
      <c r="P796">
        <f t="shared" si="172"/>
        <v>0</v>
      </c>
      <c r="Q796">
        <f t="shared" si="172"/>
        <v>0</v>
      </c>
      <c r="R796">
        <f t="shared" si="172"/>
        <v>0</v>
      </c>
      <c r="S796">
        <f t="shared" si="172"/>
        <v>0</v>
      </c>
      <c r="T796">
        <f t="shared" si="172"/>
        <v>0</v>
      </c>
      <c r="U796">
        <f t="shared" si="172"/>
        <v>0</v>
      </c>
      <c r="V796">
        <f t="shared" si="172"/>
        <v>0</v>
      </c>
      <c r="W796">
        <f t="shared" si="172"/>
        <v>0</v>
      </c>
      <c r="X796">
        <f t="shared" si="172"/>
        <v>0</v>
      </c>
      <c r="Y796">
        <f t="shared" si="171"/>
        <v>0</v>
      </c>
      <c r="Z796">
        <f t="shared" si="171"/>
        <v>0</v>
      </c>
      <c r="AA796">
        <f t="shared" si="171"/>
        <v>0</v>
      </c>
      <c r="AB796">
        <f t="shared" si="171"/>
        <v>0</v>
      </c>
      <c r="AC796">
        <f t="shared" si="171"/>
        <v>0</v>
      </c>
      <c r="AD796">
        <f t="shared" si="171"/>
        <v>0</v>
      </c>
      <c r="AE796">
        <f t="shared" si="171"/>
        <v>0</v>
      </c>
      <c r="AF796">
        <f t="shared" si="171"/>
        <v>0</v>
      </c>
      <c r="AG796">
        <f t="shared" si="171"/>
        <v>0</v>
      </c>
      <c r="AH796">
        <f t="shared" si="171"/>
        <v>0</v>
      </c>
      <c r="AI796">
        <f t="shared" si="170"/>
        <v>0</v>
      </c>
      <c r="AJ796">
        <f t="shared" si="170"/>
        <v>0</v>
      </c>
      <c r="AK796">
        <f t="shared" si="170"/>
        <v>0</v>
      </c>
      <c r="AL796">
        <f t="shared" si="170"/>
        <v>0</v>
      </c>
      <c r="AM796">
        <f t="shared" si="170"/>
        <v>0</v>
      </c>
      <c r="AN796">
        <f t="shared" si="170"/>
        <v>0</v>
      </c>
      <c r="AO796">
        <f t="shared" si="170"/>
        <v>0</v>
      </c>
      <c r="AP796">
        <f t="shared" si="170"/>
        <v>0</v>
      </c>
      <c r="AQ796">
        <f t="shared" si="170"/>
        <v>0</v>
      </c>
      <c r="AR796">
        <f t="shared" si="170"/>
        <v>0</v>
      </c>
    </row>
    <row r="797" spans="5:44" x14ac:dyDescent="0.2">
      <c r="E797" s="1">
        <f>moment_rate!$M797</f>
        <v>0</v>
      </c>
      <c r="F797" s="1">
        <f t="shared" si="166"/>
        <v>0</v>
      </c>
      <c r="G797">
        <f>moment_rate!I797-0.005</f>
        <v>7.899999999999876</v>
      </c>
      <c r="H797" s="1">
        <f t="shared" si="167"/>
        <v>0</v>
      </c>
      <c r="I797">
        <f t="shared" si="172"/>
        <v>0</v>
      </c>
      <c r="J797">
        <f t="shared" si="172"/>
        <v>0</v>
      </c>
      <c r="K797">
        <f t="shared" si="172"/>
        <v>0</v>
      </c>
      <c r="L797">
        <f t="shared" si="172"/>
        <v>0</v>
      </c>
      <c r="M797">
        <f t="shared" si="172"/>
        <v>0</v>
      </c>
      <c r="N797">
        <f t="shared" si="172"/>
        <v>0</v>
      </c>
      <c r="O797">
        <f t="shared" si="172"/>
        <v>0</v>
      </c>
      <c r="P797">
        <f t="shared" si="172"/>
        <v>0</v>
      </c>
      <c r="Q797">
        <f t="shared" si="172"/>
        <v>0</v>
      </c>
      <c r="R797">
        <f t="shared" si="172"/>
        <v>0</v>
      </c>
      <c r="S797">
        <f t="shared" si="172"/>
        <v>0</v>
      </c>
      <c r="T797">
        <f t="shared" si="172"/>
        <v>0</v>
      </c>
      <c r="U797">
        <f t="shared" si="172"/>
        <v>0</v>
      </c>
      <c r="V797">
        <f t="shared" si="172"/>
        <v>0</v>
      </c>
      <c r="W797">
        <f t="shared" si="172"/>
        <v>0</v>
      </c>
      <c r="X797">
        <f t="shared" si="172"/>
        <v>0</v>
      </c>
      <c r="Y797">
        <f t="shared" si="171"/>
        <v>0</v>
      </c>
      <c r="Z797">
        <f t="shared" si="171"/>
        <v>0</v>
      </c>
      <c r="AA797">
        <f t="shared" si="171"/>
        <v>0</v>
      </c>
      <c r="AB797">
        <f t="shared" si="171"/>
        <v>0</v>
      </c>
      <c r="AC797">
        <f t="shared" si="171"/>
        <v>0</v>
      </c>
      <c r="AD797">
        <f t="shared" si="171"/>
        <v>0</v>
      </c>
      <c r="AE797">
        <f t="shared" si="171"/>
        <v>0</v>
      </c>
      <c r="AF797">
        <f t="shared" si="171"/>
        <v>0</v>
      </c>
      <c r="AG797">
        <f t="shared" si="171"/>
        <v>0</v>
      </c>
      <c r="AH797">
        <f t="shared" si="171"/>
        <v>0</v>
      </c>
      <c r="AI797">
        <f t="shared" si="170"/>
        <v>0</v>
      </c>
      <c r="AJ797">
        <f t="shared" si="170"/>
        <v>0</v>
      </c>
      <c r="AK797">
        <f t="shared" si="170"/>
        <v>0</v>
      </c>
      <c r="AL797">
        <f t="shared" si="170"/>
        <v>0</v>
      </c>
      <c r="AM797">
        <f t="shared" si="170"/>
        <v>0</v>
      </c>
      <c r="AN797">
        <f t="shared" si="170"/>
        <v>0</v>
      </c>
      <c r="AO797">
        <f t="shared" si="170"/>
        <v>0</v>
      </c>
      <c r="AP797">
        <f t="shared" si="170"/>
        <v>0</v>
      </c>
      <c r="AQ797">
        <f t="shared" si="170"/>
        <v>0</v>
      </c>
      <c r="AR797">
        <f t="shared" si="170"/>
        <v>0</v>
      </c>
    </row>
    <row r="798" spans="5:44" x14ac:dyDescent="0.2">
      <c r="E798" s="1">
        <f>moment_rate!$M798</f>
        <v>0</v>
      </c>
      <c r="F798" s="1">
        <f t="shared" si="166"/>
        <v>0</v>
      </c>
      <c r="G798">
        <f>moment_rate!I798-0.005</f>
        <v>7.9099999999998758</v>
      </c>
      <c r="H798" s="1">
        <f t="shared" si="167"/>
        <v>0</v>
      </c>
      <c r="I798">
        <f t="shared" si="172"/>
        <v>0</v>
      </c>
      <c r="J798">
        <f t="shared" si="172"/>
        <v>0</v>
      </c>
      <c r="K798">
        <f t="shared" si="172"/>
        <v>0</v>
      </c>
      <c r="L798">
        <f t="shared" si="172"/>
        <v>0</v>
      </c>
      <c r="M798">
        <f t="shared" si="172"/>
        <v>0</v>
      </c>
      <c r="N798">
        <f t="shared" si="172"/>
        <v>0</v>
      </c>
      <c r="O798">
        <f t="shared" si="172"/>
        <v>0</v>
      </c>
      <c r="P798">
        <f t="shared" si="172"/>
        <v>0</v>
      </c>
      <c r="Q798">
        <f t="shared" si="172"/>
        <v>0</v>
      </c>
      <c r="R798">
        <f t="shared" si="172"/>
        <v>0</v>
      </c>
      <c r="S798">
        <f t="shared" si="172"/>
        <v>0</v>
      </c>
      <c r="T798">
        <f t="shared" si="172"/>
        <v>0</v>
      </c>
      <c r="U798">
        <f t="shared" si="172"/>
        <v>0</v>
      </c>
      <c r="V798">
        <f t="shared" si="172"/>
        <v>0</v>
      </c>
      <c r="W798">
        <f t="shared" si="172"/>
        <v>0</v>
      </c>
      <c r="X798">
        <f t="shared" si="172"/>
        <v>0</v>
      </c>
      <c r="Y798">
        <f t="shared" si="171"/>
        <v>0</v>
      </c>
      <c r="Z798">
        <f t="shared" si="171"/>
        <v>0</v>
      </c>
      <c r="AA798">
        <f t="shared" si="171"/>
        <v>0</v>
      </c>
      <c r="AB798">
        <f t="shared" si="171"/>
        <v>0</v>
      </c>
      <c r="AC798">
        <f t="shared" si="171"/>
        <v>0</v>
      </c>
      <c r="AD798">
        <f t="shared" si="171"/>
        <v>0</v>
      </c>
      <c r="AE798">
        <f t="shared" si="171"/>
        <v>0</v>
      </c>
      <c r="AF798">
        <f t="shared" si="171"/>
        <v>0</v>
      </c>
      <c r="AG798">
        <f t="shared" si="171"/>
        <v>0</v>
      </c>
      <c r="AH798">
        <f t="shared" si="171"/>
        <v>0</v>
      </c>
      <c r="AI798">
        <f t="shared" si="170"/>
        <v>0</v>
      </c>
      <c r="AJ798">
        <f t="shared" si="170"/>
        <v>0</v>
      </c>
      <c r="AK798">
        <f t="shared" si="170"/>
        <v>0</v>
      </c>
      <c r="AL798">
        <f t="shared" si="170"/>
        <v>0</v>
      </c>
      <c r="AM798">
        <f t="shared" si="170"/>
        <v>0</v>
      </c>
      <c r="AN798">
        <f t="shared" si="170"/>
        <v>0</v>
      </c>
      <c r="AO798">
        <f t="shared" si="170"/>
        <v>0</v>
      </c>
      <c r="AP798">
        <f t="shared" si="170"/>
        <v>0</v>
      </c>
      <c r="AQ798">
        <f t="shared" si="170"/>
        <v>0</v>
      </c>
      <c r="AR798">
        <f t="shared" si="170"/>
        <v>0</v>
      </c>
    </row>
    <row r="799" spans="5:44" x14ac:dyDescent="0.2">
      <c r="E799" s="1">
        <f>moment_rate!$M799</f>
        <v>0</v>
      </c>
      <c r="F799" s="1">
        <f t="shared" si="166"/>
        <v>0</v>
      </c>
      <c r="G799">
        <f>moment_rate!I799-0.005</f>
        <v>7.9199999999998756</v>
      </c>
      <c r="H799" s="1">
        <f t="shared" si="167"/>
        <v>0</v>
      </c>
      <c r="I799">
        <f t="shared" si="172"/>
        <v>0</v>
      </c>
      <c r="J799">
        <f t="shared" si="172"/>
        <v>0</v>
      </c>
      <c r="K799">
        <f t="shared" si="172"/>
        <v>0</v>
      </c>
      <c r="L799">
        <f t="shared" si="172"/>
        <v>0</v>
      </c>
      <c r="M799">
        <f t="shared" si="172"/>
        <v>0</v>
      </c>
      <c r="N799">
        <f t="shared" si="172"/>
        <v>0</v>
      </c>
      <c r="O799">
        <f t="shared" si="172"/>
        <v>0</v>
      </c>
      <c r="P799">
        <f t="shared" si="172"/>
        <v>0</v>
      </c>
      <c r="Q799">
        <f t="shared" si="172"/>
        <v>0</v>
      </c>
      <c r="R799">
        <f t="shared" si="172"/>
        <v>0</v>
      </c>
      <c r="S799">
        <f t="shared" si="172"/>
        <v>0</v>
      </c>
      <c r="T799">
        <f t="shared" si="172"/>
        <v>0</v>
      </c>
      <c r="U799">
        <f t="shared" si="172"/>
        <v>0</v>
      </c>
      <c r="V799">
        <f t="shared" si="172"/>
        <v>0</v>
      </c>
      <c r="W799">
        <f t="shared" si="172"/>
        <v>0</v>
      </c>
      <c r="X799">
        <f t="shared" si="172"/>
        <v>0</v>
      </c>
      <c r="Y799">
        <f t="shared" si="171"/>
        <v>0</v>
      </c>
      <c r="Z799">
        <f t="shared" si="171"/>
        <v>0</v>
      </c>
      <c r="AA799">
        <f t="shared" si="171"/>
        <v>0</v>
      </c>
      <c r="AB799">
        <f t="shared" si="171"/>
        <v>0</v>
      </c>
      <c r="AC799">
        <f t="shared" si="171"/>
        <v>0</v>
      </c>
      <c r="AD799">
        <f t="shared" si="171"/>
        <v>0</v>
      </c>
      <c r="AE799">
        <f t="shared" si="171"/>
        <v>0</v>
      </c>
      <c r="AF799">
        <f t="shared" si="171"/>
        <v>0</v>
      </c>
      <c r="AG799">
        <f t="shared" si="171"/>
        <v>0</v>
      </c>
      <c r="AH799">
        <f t="shared" si="171"/>
        <v>0</v>
      </c>
      <c r="AI799">
        <f t="shared" si="171"/>
        <v>0</v>
      </c>
      <c r="AJ799">
        <f t="shared" si="171"/>
        <v>0</v>
      </c>
      <c r="AK799">
        <f t="shared" si="170"/>
        <v>0</v>
      </c>
      <c r="AL799">
        <f t="shared" si="170"/>
        <v>0</v>
      </c>
      <c r="AM799">
        <f t="shared" si="170"/>
        <v>0</v>
      </c>
      <c r="AN799">
        <f t="shared" si="170"/>
        <v>0</v>
      </c>
      <c r="AO799">
        <f t="shared" si="170"/>
        <v>0</v>
      </c>
      <c r="AP799">
        <f t="shared" si="170"/>
        <v>0</v>
      </c>
      <c r="AQ799">
        <f t="shared" si="170"/>
        <v>0</v>
      </c>
      <c r="AR799">
        <f t="shared" si="170"/>
        <v>0</v>
      </c>
    </row>
    <row r="800" spans="5:44" x14ac:dyDescent="0.2">
      <c r="E800" s="1">
        <f>moment_rate!$M800</f>
        <v>0</v>
      </c>
      <c r="F800" s="1">
        <f t="shared" si="166"/>
        <v>0</v>
      </c>
      <c r="G800">
        <f>moment_rate!I800-0.005</f>
        <v>7.9299999999998754</v>
      </c>
      <c r="H800" s="1">
        <f t="shared" si="167"/>
        <v>0</v>
      </c>
      <c r="I800">
        <f t="shared" si="172"/>
        <v>0</v>
      </c>
      <c r="J800">
        <f t="shared" si="172"/>
        <v>0</v>
      </c>
      <c r="K800">
        <f t="shared" si="172"/>
        <v>0</v>
      </c>
      <c r="L800">
        <f t="shared" si="172"/>
        <v>0</v>
      </c>
      <c r="M800">
        <f t="shared" si="172"/>
        <v>0</v>
      </c>
      <c r="N800">
        <f t="shared" si="172"/>
        <v>0</v>
      </c>
      <c r="O800">
        <f t="shared" si="172"/>
        <v>0</v>
      </c>
      <c r="P800">
        <f t="shared" si="172"/>
        <v>0</v>
      </c>
      <c r="Q800">
        <f t="shared" si="172"/>
        <v>0</v>
      </c>
      <c r="R800">
        <f t="shared" si="172"/>
        <v>0</v>
      </c>
      <c r="S800">
        <f t="shared" si="172"/>
        <v>0</v>
      </c>
      <c r="T800">
        <f t="shared" si="172"/>
        <v>0</v>
      </c>
      <c r="U800">
        <f t="shared" si="172"/>
        <v>0</v>
      </c>
      <c r="V800">
        <f t="shared" si="172"/>
        <v>0</v>
      </c>
      <c r="W800">
        <f t="shared" si="172"/>
        <v>0</v>
      </c>
      <c r="X800">
        <f t="shared" si="172"/>
        <v>0</v>
      </c>
      <c r="Y800">
        <f t="shared" si="171"/>
        <v>0</v>
      </c>
      <c r="Z800">
        <f t="shared" si="171"/>
        <v>0</v>
      </c>
      <c r="AA800">
        <f t="shared" si="171"/>
        <v>0</v>
      </c>
      <c r="AB800">
        <f t="shared" si="171"/>
        <v>0</v>
      </c>
      <c r="AC800">
        <f t="shared" si="171"/>
        <v>0</v>
      </c>
      <c r="AD800">
        <f t="shared" si="171"/>
        <v>0</v>
      </c>
      <c r="AE800">
        <f t="shared" si="171"/>
        <v>0</v>
      </c>
      <c r="AF800">
        <f t="shared" si="171"/>
        <v>0</v>
      </c>
      <c r="AG800">
        <f t="shared" si="171"/>
        <v>0</v>
      </c>
      <c r="AH800">
        <f t="shared" si="171"/>
        <v>0</v>
      </c>
      <c r="AI800">
        <f t="shared" si="171"/>
        <v>0</v>
      </c>
      <c r="AJ800">
        <f t="shared" si="171"/>
        <v>0</v>
      </c>
      <c r="AK800">
        <f t="shared" si="170"/>
        <v>0</v>
      </c>
      <c r="AL800">
        <f t="shared" si="170"/>
        <v>0</v>
      </c>
      <c r="AM800">
        <f t="shared" si="170"/>
        <v>0</v>
      </c>
      <c r="AN800">
        <f t="shared" si="170"/>
        <v>0</v>
      </c>
      <c r="AO800">
        <f t="shared" si="170"/>
        <v>0</v>
      </c>
      <c r="AP800">
        <f t="shared" si="170"/>
        <v>0</v>
      </c>
      <c r="AQ800">
        <f t="shared" si="170"/>
        <v>0</v>
      </c>
      <c r="AR800">
        <f t="shared" si="170"/>
        <v>0</v>
      </c>
    </row>
    <row r="801" spans="5:44" x14ac:dyDescent="0.2">
      <c r="E801" s="1">
        <f>moment_rate!$M801</f>
        <v>0</v>
      </c>
      <c r="F801" s="1">
        <f t="shared" si="166"/>
        <v>0</v>
      </c>
      <c r="G801">
        <f>moment_rate!I801-0.005</f>
        <v>7.9399999999998752</v>
      </c>
      <c r="H801" s="1">
        <f t="shared" si="167"/>
        <v>0</v>
      </c>
      <c r="I801">
        <f t="shared" si="172"/>
        <v>0</v>
      </c>
      <c r="J801">
        <f t="shared" si="172"/>
        <v>0</v>
      </c>
      <c r="K801">
        <f t="shared" si="172"/>
        <v>0</v>
      </c>
      <c r="L801">
        <f t="shared" si="172"/>
        <v>0</v>
      </c>
      <c r="M801">
        <f t="shared" si="172"/>
        <v>0</v>
      </c>
      <c r="N801">
        <f t="shared" si="172"/>
        <v>0</v>
      </c>
      <c r="O801">
        <f t="shared" si="172"/>
        <v>0</v>
      </c>
      <c r="P801">
        <f t="shared" si="172"/>
        <v>0</v>
      </c>
      <c r="Q801">
        <f t="shared" si="172"/>
        <v>0</v>
      </c>
      <c r="R801">
        <f t="shared" si="172"/>
        <v>0</v>
      </c>
      <c r="S801">
        <f t="shared" si="172"/>
        <v>0</v>
      </c>
      <c r="T801">
        <f t="shared" si="172"/>
        <v>0</v>
      </c>
      <c r="U801">
        <f t="shared" si="172"/>
        <v>0</v>
      </c>
      <c r="V801">
        <f t="shared" si="172"/>
        <v>0</v>
      </c>
      <c r="W801">
        <f t="shared" si="172"/>
        <v>0</v>
      </c>
      <c r="X801">
        <f t="shared" si="172"/>
        <v>0</v>
      </c>
      <c r="Y801">
        <f t="shared" si="171"/>
        <v>0</v>
      </c>
      <c r="Z801">
        <f t="shared" si="171"/>
        <v>0</v>
      </c>
      <c r="AA801">
        <f t="shared" si="171"/>
        <v>0</v>
      </c>
      <c r="AB801">
        <f t="shared" si="171"/>
        <v>0</v>
      </c>
      <c r="AC801">
        <f t="shared" si="171"/>
        <v>0</v>
      </c>
      <c r="AD801">
        <f t="shared" si="171"/>
        <v>0</v>
      </c>
      <c r="AE801">
        <f t="shared" si="171"/>
        <v>0</v>
      </c>
      <c r="AF801">
        <f t="shared" si="171"/>
        <v>0</v>
      </c>
      <c r="AG801">
        <f t="shared" si="171"/>
        <v>0</v>
      </c>
      <c r="AH801">
        <f t="shared" si="171"/>
        <v>0</v>
      </c>
      <c r="AI801">
        <f t="shared" si="171"/>
        <v>0</v>
      </c>
      <c r="AJ801">
        <f t="shared" si="171"/>
        <v>0</v>
      </c>
      <c r="AK801">
        <f t="shared" si="170"/>
        <v>0</v>
      </c>
      <c r="AL801">
        <f t="shared" si="170"/>
        <v>0</v>
      </c>
      <c r="AM801">
        <f t="shared" si="170"/>
        <v>0</v>
      </c>
      <c r="AN801">
        <f t="shared" si="170"/>
        <v>0</v>
      </c>
      <c r="AO801">
        <f t="shared" si="170"/>
        <v>0</v>
      </c>
      <c r="AP801">
        <f t="shared" si="170"/>
        <v>0</v>
      </c>
      <c r="AQ801">
        <f t="shared" si="170"/>
        <v>0</v>
      </c>
      <c r="AR801">
        <f t="shared" si="170"/>
        <v>0</v>
      </c>
    </row>
    <row r="802" spans="5:44" x14ac:dyDescent="0.2">
      <c r="E802" s="1">
        <f>moment_rate!$M802</f>
        <v>0</v>
      </c>
      <c r="F802" s="1">
        <f t="shared" si="166"/>
        <v>0</v>
      </c>
      <c r="G802">
        <f>moment_rate!I802-0.005</f>
        <v>7.9499999999998749</v>
      </c>
      <c r="H802" s="1">
        <f t="shared" si="167"/>
        <v>0</v>
      </c>
      <c r="I802">
        <f t="shared" si="172"/>
        <v>0</v>
      </c>
      <c r="J802">
        <f t="shared" si="172"/>
        <v>0</v>
      </c>
      <c r="K802">
        <f t="shared" si="172"/>
        <v>0</v>
      </c>
      <c r="L802">
        <f t="shared" si="172"/>
        <v>0</v>
      </c>
      <c r="M802">
        <f t="shared" si="172"/>
        <v>0</v>
      </c>
      <c r="N802">
        <f t="shared" si="172"/>
        <v>0</v>
      </c>
      <c r="O802">
        <f t="shared" si="172"/>
        <v>0</v>
      </c>
      <c r="P802">
        <f t="shared" si="172"/>
        <v>0</v>
      </c>
      <c r="Q802">
        <f t="shared" si="172"/>
        <v>0</v>
      </c>
      <c r="R802">
        <f t="shared" si="172"/>
        <v>0</v>
      </c>
      <c r="S802">
        <f t="shared" si="172"/>
        <v>0</v>
      </c>
      <c r="T802">
        <f t="shared" si="172"/>
        <v>0</v>
      </c>
      <c r="U802">
        <f t="shared" si="172"/>
        <v>0</v>
      </c>
      <c r="V802">
        <f t="shared" si="172"/>
        <v>0</v>
      </c>
      <c r="W802">
        <f t="shared" si="172"/>
        <v>0</v>
      </c>
      <c r="X802">
        <f t="shared" si="172"/>
        <v>0</v>
      </c>
      <c r="Y802">
        <f t="shared" si="171"/>
        <v>0</v>
      </c>
      <c r="Z802">
        <f t="shared" si="171"/>
        <v>0</v>
      </c>
      <c r="AA802">
        <f t="shared" si="171"/>
        <v>0</v>
      </c>
      <c r="AB802">
        <f t="shared" si="171"/>
        <v>0</v>
      </c>
      <c r="AC802">
        <f t="shared" si="171"/>
        <v>0</v>
      </c>
      <c r="AD802">
        <f t="shared" si="171"/>
        <v>0</v>
      </c>
      <c r="AE802">
        <f t="shared" si="171"/>
        <v>0</v>
      </c>
      <c r="AF802">
        <f t="shared" si="171"/>
        <v>0</v>
      </c>
      <c r="AG802">
        <f t="shared" si="171"/>
        <v>0</v>
      </c>
      <c r="AH802">
        <f t="shared" si="171"/>
        <v>0</v>
      </c>
      <c r="AI802">
        <f t="shared" si="171"/>
        <v>0</v>
      </c>
      <c r="AJ802">
        <f t="shared" si="171"/>
        <v>0</v>
      </c>
      <c r="AK802">
        <f t="shared" si="170"/>
        <v>0</v>
      </c>
      <c r="AL802">
        <f t="shared" si="170"/>
        <v>0</v>
      </c>
      <c r="AM802">
        <f t="shared" si="170"/>
        <v>0</v>
      </c>
      <c r="AN802">
        <f t="shared" si="170"/>
        <v>0</v>
      </c>
      <c r="AO802">
        <f t="shared" si="170"/>
        <v>0</v>
      </c>
      <c r="AP802">
        <f t="shared" si="170"/>
        <v>0</v>
      </c>
      <c r="AQ802">
        <f t="shared" si="170"/>
        <v>0</v>
      </c>
      <c r="AR802">
        <f t="shared" si="170"/>
        <v>0</v>
      </c>
    </row>
    <row r="803" spans="5:44" x14ac:dyDescent="0.2">
      <c r="E803" s="1">
        <f>moment_rate!$M803</f>
        <v>0</v>
      </c>
      <c r="F803" s="1">
        <f t="shared" si="166"/>
        <v>0</v>
      </c>
      <c r="G803">
        <f>moment_rate!I803-0.005</f>
        <v>7.9599999999998747</v>
      </c>
      <c r="H803" s="1">
        <f t="shared" si="167"/>
        <v>0</v>
      </c>
      <c r="I803">
        <f t="shared" si="172"/>
        <v>0</v>
      </c>
      <c r="J803">
        <f t="shared" si="172"/>
        <v>0</v>
      </c>
      <c r="K803">
        <f t="shared" si="172"/>
        <v>0</v>
      </c>
      <c r="L803">
        <f t="shared" si="172"/>
        <v>0</v>
      </c>
      <c r="M803">
        <f t="shared" si="172"/>
        <v>0</v>
      </c>
      <c r="N803">
        <f t="shared" si="172"/>
        <v>0</v>
      </c>
      <c r="O803">
        <f t="shared" si="172"/>
        <v>0</v>
      </c>
      <c r="P803">
        <f t="shared" si="172"/>
        <v>0</v>
      </c>
      <c r="Q803">
        <f t="shared" si="172"/>
        <v>0</v>
      </c>
      <c r="R803">
        <f t="shared" si="172"/>
        <v>0</v>
      </c>
      <c r="S803">
        <f t="shared" si="172"/>
        <v>0</v>
      </c>
      <c r="T803">
        <f t="shared" si="172"/>
        <v>0</v>
      </c>
      <c r="U803">
        <f t="shared" si="172"/>
        <v>0</v>
      </c>
      <c r="V803">
        <f t="shared" si="172"/>
        <v>0</v>
      </c>
      <c r="W803">
        <f t="shared" si="172"/>
        <v>0</v>
      </c>
      <c r="X803">
        <f t="shared" si="172"/>
        <v>0</v>
      </c>
      <c r="Y803">
        <f t="shared" si="171"/>
        <v>0</v>
      </c>
      <c r="Z803">
        <f t="shared" si="171"/>
        <v>0</v>
      </c>
      <c r="AA803">
        <f t="shared" si="171"/>
        <v>0</v>
      </c>
      <c r="AB803">
        <f t="shared" si="171"/>
        <v>0</v>
      </c>
      <c r="AC803">
        <f t="shared" si="171"/>
        <v>0</v>
      </c>
      <c r="AD803">
        <f t="shared" si="171"/>
        <v>0</v>
      </c>
      <c r="AE803">
        <f t="shared" si="171"/>
        <v>0</v>
      </c>
      <c r="AF803">
        <f t="shared" si="171"/>
        <v>0</v>
      </c>
      <c r="AG803">
        <f t="shared" si="171"/>
        <v>0</v>
      </c>
      <c r="AH803">
        <f t="shared" si="171"/>
        <v>0</v>
      </c>
      <c r="AI803">
        <f t="shared" si="171"/>
        <v>0</v>
      </c>
      <c r="AJ803">
        <f t="shared" si="171"/>
        <v>0</v>
      </c>
      <c r="AK803">
        <f t="shared" si="170"/>
        <v>0</v>
      </c>
      <c r="AL803">
        <f t="shared" si="170"/>
        <v>0</v>
      </c>
      <c r="AM803">
        <f t="shared" si="170"/>
        <v>0</v>
      </c>
      <c r="AN803">
        <f t="shared" si="170"/>
        <v>0</v>
      </c>
      <c r="AO803">
        <f t="shared" si="170"/>
        <v>0</v>
      </c>
      <c r="AP803">
        <f t="shared" si="170"/>
        <v>0</v>
      </c>
      <c r="AQ803">
        <f t="shared" si="170"/>
        <v>0</v>
      </c>
      <c r="AR803">
        <f t="shared" si="170"/>
        <v>0</v>
      </c>
    </row>
    <row r="804" spans="5:44" x14ac:dyDescent="0.2">
      <c r="E804" s="1">
        <f>moment_rate!$M804</f>
        <v>0</v>
      </c>
      <c r="F804" s="1">
        <f t="shared" si="166"/>
        <v>0</v>
      </c>
      <c r="G804">
        <f>moment_rate!I804-0.005</f>
        <v>7.9699999999998745</v>
      </c>
      <c r="H804" s="1">
        <f t="shared" si="167"/>
        <v>0</v>
      </c>
      <c r="I804">
        <f t="shared" si="172"/>
        <v>0</v>
      </c>
      <c r="J804">
        <f t="shared" si="172"/>
        <v>0</v>
      </c>
      <c r="K804">
        <f t="shared" si="172"/>
        <v>0</v>
      </c>
      <c r="L804">
        <f t="shared" si="172"/>
        <v>0</v>
      </c>
      <c r="M804">
        <f t="shared" si="172"/>
        <v>0</v>
      </c>
      <c r="N804">
        <f t="shared" si="172"/>
        <v>0</v>
      </c>
      <c r="O804">
        <f t="shared" si="172"/>
        <v>0</v>
      </c>
      <c r="P804">
        <f t="shared" si="172"/>
        <v>0</v>
      </c>
      <c r="Q804">
        <f t="shared" si="172"/>
        <v>0</v>
      </c>
      <c r="R804">
        <f t="shared" si="172"/>
        <v>0</v>
      </c>
      <c r="S804">
        <f t="shared" si="172"/>
        <v>0</v>
      </c>
      <c r="T804">
        <f t="shared" si="172"/>
        <v>0</v>
      </c>
      <c r="U804">
        <f t="shared" si="172"/>
        <v>0</v>
      </c>
      <c r="V804">
        <f t="shared" si="172"/>
        <v>0</v>
      </c>
      <c r="W804">
        <f t="shared" si="172"/>
        <v>0</v>
      </c>
      <c r="X804">
        <f t="shared" si="172"/>
        <v>0</v>
      </c>
      <c r="Y804">
        <f t="shared" si="171"/>
        <v>0</v>
      </c>
      <c r="Z804">
        <f t="shared" si="171"/>
        <v>0</v>
      </c>
      <c r="AA804">
        <f t="shared" si="171"/>
        <v>0</v>
      </c>
      <c r="AB804">
        <f t="shared" si="171"/>
        <v>0</v>
      </c>
      <c r="AC804">
        <f t="shared" si="171"/>
        <v>0</v>
      </c>
      <c r="AD804">
        <f t="shared" si="171"/>
        <v>0</v>
      </c>
      <c r="AE804">
        <f t="shared" si="171"/>
        <v>0</v>
      </c>
      <c r="AF804">
        <f t="shared" si="171"/>
        <v>0</v>
      </c>
      <c r="AG804">
        <f t="shared" si="171"/>
        <v>0</v>
      </c>
      <c r="AH804">
        <f t="shared" si="171"/>
        <v>0</v>
      </c>
      <c r="AI804">
        <f t="shared" si="171"/>
        <v>0</v>
      </c>
      <c r="AJ804">
        <f t="shared" si="171"/>
        <v>0</v>
      </c>
      <c r="AK804">
        <f t="shared" si="170"/>
        <v>0</v>
      </c>
      <c r="AL804">
        <f t="shared" si="170"/>
        <v>0</v>
      </c>
      <c r="AM804">
        <f t="shared" si="170"/>
        <v>0</v>
      </c>
      <c r="AN804">
        <f t="shared" si="170"/>
        <v>0</v>
      </c>
      <c r="AO804">
        <f t="shared" si="170"/>
        <v>0</v>
      </c>
      <c r="AP804">
        <f t="shared" si="170"/>
        <v>0</v>
      </c>
      <c r="AQ804">
        <f t="shared" si="170"/>
        <v>0</v>
      </c>
      <c r="AR804">
        <f t="shared" si="170"/>
        <v>0</v>
      </c>
    </row>
    <row r="805" spans="5:44" x14ac:dyDescent="0.2">
      <c r="E805" s="1">
        <f>moment_rate!$M805</f>
        <v>0</v>
      </c>
      <c r="F805" s="1">
        <f t="shared" si="166"/>
        <v>0</v>
      </c>
      <c r="G805">
        <f>moment_rate!I805-0.005</f>
        <v>7.9799999999998743</v>
      </c>
      <c r="H805" s="1">
        <f t="shared" si="167"/>
        <v>0</v>
      </c>
      <c r="I805">
        <f t="shared" si="172"/>
        <v>0</v>
      </c>
      <c r="J805">
        <f t="shared" si="172"/>
        <v>0</v>
      </c>
      <c r="K805">
        <f t="shared" si="172"/>
        <v>0</v>
      </c>
      <c r="L805">
        <f t="shared" si="172"/>
        <v>0</v>
      </c>
      <c r="M805">
        <f t="shared" si="172"/>
        <v>0</v>
      </c>
      <c r="N805">
        <f t="shared" si="172"/>
        <v>0</v>
      </c>
      <c r="O805">
        <f t="shared" si="172"/>
        <v>0</v>
      </c>
      <c r="P805">
        <f t="shared" si="172"/>
        <v>0</v>
      </c>
      <c r="Q805">
        <f t="shared" si="172"/>
        <v>0</v>
      </c>
      <c r="R805">
        <f t="shared" si="172"/>
        <v>0</v>
      </c>
      <c r="S805">
        <f t="shared" si="172"/>
        <v>0</v>
      </c>
      <c r="T805">
        <f t="shared" si="172"/>
        <v>0</v>
      </c>
      <c r="U805">
        <f t="shared" si="172"/>
        <v>0</v>
      </c>
      <c r="V805">
        <f t="shared" si="172"/>
        <v>0</v>
      </c>
      <c r="W805">
        <f t="shared" si="172"/>
        <v>0</v>
      </c>
      <c r="X805">
        <f t="shared" si="172"/>
        <v>0</v>
      </c>
      <c r="Y805">
        <f t="shared" si="171"/>
        <v>0</v>
      </c>
      <c r="Z805">
        <f t="shared" si="171"/>
        <v>0</v>
      </c>
      <c r="AA805">
        <f t="shared" si="171"/>
        <v>0</v>
      </c>
      <c r="AB805">
        <f t="shared" si="171"/>
        <v>0</v>
      </c>
      <c r="AC805">
        <f t="shared" si="171"/>
        <v>0</v>
      </c>
      <c r="AD805">
        <f t="shared" si="171"/>
        <v>0</v>
      </c>
      <c r="AE805">
        <f t="shared" si="171"/>
        <v>0</v>
      </c>
      <c r="AF805">
        <f t="shared" si="171"/>
        <v>0</v>
      </c>
      <c r="AG805">
        <f t="shared" si="171"/>
        <v>0</v>
      </c>
      <c r="AH805">
        <f t="shared" si="171"/>
        <v>0</v>
      </c>
      <c r="AI805">
        <f t="shared" si="171"/>
        <v>0</v>
      </c>
      <c r="AJ805">
        <f t="shared" si="171"/>
        <v>0</v>
      </c>
      <c r="AK805">
        <f t="shared" si="170"/>
        <v>0</v>
      </c>
      <c r="AL805">
        <f t="shared" si="170"/>
        <v>0</v>
      </c>
      <c r="AM805">
        <f t="shared" si="170"/>
        <v>0</v>
      </c>
      <c r="AN805">
        <f t="shared" si="170"/>
        <v>0</v>
      </c>
      <c r="AO805">
        <f t="shared" si="170"/>
        <v>0</v>
      </c>
      <c r="AP805">
        <f t="shared" si="170"/>
        <v>0</v>
      </c>
      <c r="AQ805">
        <f t="shared" si="170"/>
        <v>0</v>
      </c>
      <c r="AR805">
        <f t="shared" si="170"/>
        <v>0</v>
      </c>
    </row>
    <row r="806" spans="5:44" x14ac:dyDescent="0.2">
      <c r="E806" s="1">
        <f>moment_rate!$M806</f>
        <v>0</v>
      </c>
      <c r="F806" s="1">
        <f t="shared" si="166"/>
        <v>0</v>
      </c>
      <c r="G806">
        <f>moment_rate!I806-0.005</f>
        <v>7.9899999999998741</v>
      </c>
      <c r="H806" s="1">
        <f t="shared" si="167"/>
        <v>0</v>
      </c>
      <c r="I806">
        <f t="shared" si="172"/>
        <v>0</v>
      </c>
      <c r="J806">
        <f t="shared" si="172"/>
        <v>0</v>
      </c>
      <c r="K806">
        <f t="shared" si="172"/>
        <v>0</v>
      </c>
      <c r="L806">
        <f t="shared" si="172"/>
        <v>0</v>
      </c>
      <c r="M806">
        <f t="shared" si="172"/>
        <v>0</v>
      </c>
      <c r="N806">
        <f t="shared" si="172"/>
        <v>0</v>
      </c>
      <c r="O806">
        <f t="shared" si="172"/>
        <v>0</v>
      </c>
      <c r="P806">
        <f t="shared" si="172"/>
        <v>0</v>
      </c>
      <c r="Q806">
        <f t="shared" si="172"/>
        <v>0</v>
      </c>
      <c r="R806">
        <f t="shared" si="172"/>
        <v>0</v>
      </c>
      <c r="S806">
        <f t="shared" si="172"/>
        <v>0</v>
      </c>
      <c r="T806">
        <f t="shared" si="172"/>
        <v>0</v>
      </c>
      <c r="U806">
        <f t="shared" si="172"/>
        <v>0</v>
      </c>
      <c r="V806">
        <f t="shared" si="172"/>
        <v>0</v>
      </c>
      <c r="W806">
        <f t="shared" si="172"/>
        <v>0</v>
      </c>
      <c r="X806">
        <f t="shared" si="172"/>
        <v>0</v>
      </c>
      <c r="Y806">
        <f t="shared" si="171"/>
        <v>0</v>
      </c>
      <c r="Z806">
        <f t="shared" si="171"/>
        <v>0</v>
      </c>
      <c r="AA806">
        <f t="shared" si="171"/>
        <v>0</v>
      </c>
      <c r="AB806">
        <f t="shared" si="171"/>
        <v>0</v>
      </c>
      <c r="AC806">
        <f t="shared" si="171"/>
        <v>0</v>
      </c>
      <c r="AD806">
        <f t="shared" si="171"/>
        <v>0</v>
      </c>
      <c r="AE806">
        <f t="shared" si="171"/>
        <v>0</v>
      </c>
      <c r="AF806">
        <f t="shared" si="171"/>
        <v>0</v>
      </c>
      <c r="AG806">
        <f t="shared" si="171"/>
        <v>0</v>
      </c>
      <c r="AH806">
        <f t="shared" si="171"/>
        <v>0</v>
      </c>
      <c r="AI806">
        <f t="shared" si="171"/>
        <v>0</v>
      </c>
      <c r="AJ806">
        <f t="shared" si="171"/>
        <v>0</v>
      </c>
      <c r="AK806">
        <f t="shared" si="170"/>
        <v>0</v>
      </c>
      <c r="AL806">
        <f t="shared" si="170"/>
        <v>0</v>
      </c>
      <c r="AM806">
        <f t="shared" si="170"/>
        <v>0</v>
      </c>
      <c r="AN806">
        <f t="shared" si="170"/>
        <v>0</v>
      </c>
      <c r="AO806">
        <f t="shared" si="170"/>
        <v>0</v>
      </c>
      <c r="AP806">
        <f t="shared" si="170"/>
        <v>0</v>
      </c>
      <c r="AQ806">
        <f t="shared" si="170"/>
        <v>0</v>
      </c>
      <c r="AR806">
        <f t="shared" si="170"/>
        <v>0</v>
      </c>
    </row>
    <row r="807" spans="5:44" x14ac:dyDescent="0.2">
      <c r="E807" s="1">
        <f>moment_rate!$M807</f>
        <v>0</v>
      </c>
      <c r="F807" s="1">
        <f t="shared" si="166"/>
        <v>0</v>
      </c>
      <c r="G807">
        <f>moment_rate!I807-0.005</f>
        <v>7.9999999999998748</v>
      </c>
      <c r="H807" s="1">
        <f t="shared" si="167"/>
        <v>0</v>
      </c>
      <c r="I807">
        <f t="shared" si="172"/>
        <v>0</v>
      </c>
      <c r="J807">
        <f t="shared" si="172"/>
        <v>0</v>
      </c>
      <c r="K807">
        <f t="shared" si="172"/>
        <v>0</v>
      </c>
      <c r="L807">
        <f t="shared" si="172"/>
        <v>0</v>
      </c>
      <c r="M807">
        <f t="shared" si="172"/>
        <v>0</v>
      </c>
      <c r="N807">
        <f t="shared" si="172"/>
        <v>0</v>
      </c>
      <c r="O807">
        <f t="shared" si="172"/>
        <v>0</v>
      </c>
      <c r="P807">
        <f t="shared" si="172"/>
        <v>0</v>
      </c>
      <c r="Q807">
        <f t="shared" si="172"/>
        <v>0</v>
      </c>
      <c r="R807">
        <f t="shared" si="172"/>
        <v>0</v>
      </c>
      <c r="S807">
        <f t="shared" si="172"/>
        <v>0</v>
      </c>
      <c r="T807">
        <f t="shared" si="172"/>
        <v>0</v>
      </c>
      <c r="U807">
        <f t="shared" si="172"/>
        <v>0</v>
      </c>
      <c r="V807">
        <f t="shared" si="172"/>
        <v>0</v>
      </c>
      <c r="W807">
        <f t="shared" si="172"/>
        <v>0</v>
      </c>
      <c r="X807">
        <f t="shared" si="172"/>
        <v>0</v>
      </c>
      <c r="Y807">
        <f t="shared" si="171"/>
        <v>0</v>
      </c>
      <c r="Z807">
        <f t="shared" si="171"/>
        <v>0</v>
      </c>
      <c r="AA807">
        <f t="shared" si="171"/>
        <v>0</v>
      </c>
      <c r="AB807">
        <f t="shared" si="171"/>
        <v>0</v>
      </c>
      <c r="AC807">
        <f t="shared" si="171"/>
        <v>0</v>
      </c>
      <c r="AD807">
        <f t="shared" si="171"/>
        <v>0</v>
      </c>
      <c r="AE807">
        <f t="shared" si="171"/>
        <v>0</v>
      </c>
      <c r="AF807">
        <f t="shared" si="171"/>
        <v>0</v>
      </c>
      <c r="AG807">
        <f t="shared" si="171"/>
        <v>0</v>
      </c>
      <c r="AH807">
        <f t="shared" si="171"/>
        <v>0</v>
      </c>
      <c r="AI807">
        <f t="shared" si="171"/>
        <v>0</v>
      </c>
      <c r="AJ807">
        <f t="shared" si="171"/>
        <v>0</v>
      </c>
      <c r="AK807">
        <f t="shared" si="170"/>
        <v>0</v>
      </c>
      <c r="AL807">
        <f t="shared" si="170"/>
        <v>0</v>
      </c>
      <c r="AM807">
        <f t="shared" si="170"/>
        <v>0</v>
      </c>
      <c r="AN807">
        <f t="shared" si="170"/>
        <v>0</v>
      </c>
      <c r="AO807">
        <f t="shared" si="170"/>
        <v>0</v>
      </c>
      <c r="AP807">
        <f t="shared" si="170"/>
        <v>0</v>
      </c>
      <c r="AQ807">
        <f t="shared" si="170"/>
        <v>0</v>
      </c>
      <c r="AR807">
        <f t="shared" si="170"/>
        <v>0</v>
      </c>
    </row>
    <row r="808" spans="5:44" x14ac:dyDescent="0.2">
      <c r="E808" s="1">
        <f>moment_rate!$M808</f>
        <v>0</v>
      </c>
      <c r="F808" s="1">
        <f t="shared" si="166"/>
        <v>0</v>
      </c>
      <c r="G808">
        <f>moment_rate!I808-0.005</f>
        <v>8.0099999999998737</v>
      </c>
      <c r="H808" s="1">
        <f t="shared" si="167"/>
        <v>0</v>
      </c>
      <c r="I808">
        <f t="shared" si="172"/>
        <v>0</v>
      </c>
      <c r="J808">
        <f t="shared" si="172"/>
        <v>0</v>
      </c>
      <c r="K808">
        <f t="shared" si="172"/>
        <v>0</v>
      </c>
      <c r="L808">
        <f t="shared" si="172"/>
        <v>0</v>
      </c>
      <c r="M808">
        <f t="shared" si="172"/>
        <v>0</v>
      </c>
      <c r="N808">
        <f t="shared" si="172"/>
        <v>0</v>
      </c>
      <c r="O808">
        <f t="shared" si="172"/>
        <v>0</v>
      </c>
      <c r="P808">
        <f t="shared" si="172"/>
        <v>0</v>
      </c>
      <c r="Q808">
        <f t="shared" si="172"/>
        <v>0</v>
      </c>
      <c r="R808">
        <f t="shared" si="172"/>
        <v>0</v>
      </c>
      <c r="S808">
        <f t="shared" si="172"/>
        <v>0</v>
      </c>
      <c r="T808">
        <f t="shared" si="172"/>
        <v>0</v>
      </c>
      <c r="U808">
        <f t="shared" si="172"/>
        <v>0</v>
      </c>
      <c r="V808">
        <f t="shared" si="172"/>
        <v>0</v>
      </c>
      <c r="W808">
        <f t="shared" si="172"/>
        <v>0</v>
      </c>
      <c r="X808">
        <f t="shared" si="172"/>
        <v>0</v>
      </c>
      <c r="Y808">
        <f t="shared" si="171"/>
        <v>0</v>
      </c>
      <c r="Z808">
        <f t="shared" si="171"/>
        <v>0</v>
      </c>
      <c r="AA808">
        <f t="shared" si="171"/>
        <v>0</v>
      </c>
      <c r="AB808">
        <f t="shared" si="171"/>
        <v>0</v>
      </c>
      <c r="AC808">
        <f t="shared" si="171"/>
        <v>0</v>
      </c>
      <c r="AD808">
        <f t="shared" si="171"/>
        <v>0</v>
      </c>
      <c r="AE808">
        <f t="shared" si="171"/>
        <v>0</v>
      </c>
      <c r="AF808">
        <f t="shared" si="171"/>
        <v>0</v>
      </c>
      <c r="AG808">
        <f t="shared" si="171"/>
        <v>0</v>
      </c>
      <c r="AH808">
        <f t="shared" si="171"/>
        <v>0</v>
      </c>
      <c r="AI808">
        <f t="shared" si="171"/>
        <v>0</v>
      </c>
      <c r="AJ808">
        <f t="shared" si="171"/>
        <v>0</v>
      </c>
      <c r="AK808">
        <f t="shared" si="170"/>
        <v>0</v>
      </c>
      <c r="AL808">
        <f t="shared" si="170"/>
        <v>0</v>
      </c>
      <c r="AM808">
        <f t="shared" si="170"/>
        <v>0</v>
      </c>
      <c r="AN808">
        <f t="shared" si="170"/>
        <v>0</v>
      </c>
      <c r="AO808">
        <f t="shared" si="170"/>
        <v>0</v>
      </c>
      <c r="AP808">
        <f t="shared" si="170"/>
        <v>0</v>
      </c>
      <c r="AQ808">
        <f t="shared" si="170"/>
        <v>0</v>
      </c>
      <c r="AR808">
        <f t="shared" si="170"/>
        <v>0</v>
      </c>
    </row>
    <row r="809" spans="5:44" x14ac:dyDescent="0.2">
      <c r="E809" s="1">
        <f>moment_rate!$M809</f>
        <v>0</v>
      </c>
      <c r="F809" s="1">
        <f t="shared" si="166"/>
        <v>0</v>
      </c>
      <c r="G809">
        <f>moment_rate!I809-0.005</f>
        <v>8.0199999999998735</v>
      </c>
      <c r="H809" s="1">
        <f t="shared" si="167"/>
        <v>0</v>
      </c>
      <c r="I809">
        <f t="shared" si="172"/>
        <v>0</v>
      </c>
      <c r="J809">
        <f t="shared" si="172"/>
        <v>0</v>
      </c>
      <c r="K809">
        <f t="shared" si="172"/>
        <v>0</v>
      </c>
      <c r="L809">
        <f t="shared" si="172"/>
        <v>0</v>
      </c>
      <c r="M809">
        <f t="shared" si="172"/>
        <v>0</v>
      </c>
      <c r="N809">
        <f t="shared" si="172"/>
        <v>0</v>
      </c>
      <c r="O809">
        <f t="shared" si="172"/>
        <v>0</v>
      </c>
      <c r="P809">
        <f t="shared" si="172"/>
        <v>0</v>
      </c>
      <c r="Q809">
        <f t="shared" si="172"/>
        <v>0</v>
      </c>
      <c r="R809">
        <f t="shared" si="172"/>
        <v>0</v>
      </c>
      <c r="S809">
        <f t="shared" si="172"/>
        <v>0</v>
      </c>
      <c r="T809">
        <f t="shared" si="172"/>
        <v>0</v>
      </c>
      <c r="U809">
        <f t="shared" si="172"/>
        <v>0</v>
      </c>
      <c r="V809">
        <f t="shared" si="172"/>
        <v>0</v>
      </c>
      <c r="W809">
        <f t="shared" si="172"/>
        <v>0</v>
      </c>
      <c r="X809">
        <f t="shared" si="172"/>
        <v>0</v>
      </c>
      <c r="Y809">
        <f t="shared" si="171"/>
        <v>0</v>
      </c>
      <c r="Z809">
        <f t="shared" si="171"/>
        <v>0</v>
      </c>
      <c r="AA809">
        <f t="shared" si="171"/>
        <v>0</v>
      </c>
      <c r="AB809">
        <f t="shared" si="171"/>
        <v>0</v>
      </c>
      <c r="AC809">
        <f t="shared" si="171"/>
        <v>0</v>
      </c>
      <c r="AD809">
        <f t="shared" si="171"/>
        <v>0</v>
      </c>
      <c r="AE809">
        <f t="shared" si="171"/>
        <v>0</v>
      </c>
      <c r="AF809">
        <f t="shared" si="171"/>
        <v>0</v>
      </c>
      <c r="AG809">
        <f t="shared" si="171"/>
        <v>0</v>
      </c>
      <c r="AH809">
        <f t="shared" si="171"/>
        <v>0</v>
      </c>
      <c r="AI809">
        <f t="shared" si="171"/>
        <v>0</v>
      </c>
      <c r="AJ809">
        <f t="shared" si="171"/>
        <v>0</v>
      </c>
      <c r="AK809">
        <f t="shared" si="170"/>
        <v>0</v>
      </c>
      <c r="AL809">
        <f t="shared" si="170"/>
        <v>0</v>
      </c>
      <c r="AM809">
        <f t="shared" si="170"/>
        <v>0</v>
      </c>
      <c r="AN809">
        <f t="shared" si="170"/>
        <v>0</v>
      </c>
      <c r="AO809">
        <f t="shared" si="170"/>
        <v>0</v>
      </c>
      <c r="AP809">
        <f t="shared" si="170"/>
        <v>0</v>
      </c>
      <c r="AQ809">
        <f t="shared" si="170"/>
        <v>0</v>
      </c>
      <c r="AR809">
        <f t="shared" si="170"/>
        <v>0</v>
      </c>
    </row>
    <row r="810" spans="5:44" x14ac:dyDescent="0.2">
      <c r="E810" s="1">
        <f>moment_rate!$M810</f>
        <v>0</v>
      </c>
      <c r="F810" s="1">
        <f t="shared" si="166"/>
        <v>0</v>
      </c>
      <c r="G810">
        <f>moment_rate!I810-0.005</f>
        <v>8.0299999999998732</v>
      </c>
      <c r="H810" s="1">
        <f t="shared" si="167"/>
        <v>0</v>
      </c>
      <c r="I810">
        <f t="shared" si="172"/>
        <v>0</v>
      </c>
      <c r="J810">
        <f t="shared" si="172"/>
        <v>0</v>
      </c>
      <c r="K810">
        <f t="shared" si="172"/>
        <v>0</v>
      </c>
      <c r="L810">
        <f t="shared" si="172"/>
        <v>0</v>
      </c>
      <c r="M810">
        <f t="shared" si="172"/>
        <v>0</v>
      </c>
      <c r="N810">
        <f t="shared" si="172"/>
        <v>0</v>
      </c>
      <c r="O810">
        <f t="shared" si="172"/>
        <v>0</v>
      </c>
      <c r="P810">
        <f t="shared" si="172"/>
        <v>0</v>
      </c>
      <c r="Q810">
        <f t="shared" si="172"/>
        <v>0</v>
      </c>
      <c r="R810">
        <f t="shared" si="172"/>
        <v>0</v>
      </c>
      <c r="S810">
        <f t="shared" si="172"/>
        <v>0</v>
      </c>
      <c r="T810">
        <f t="shared" si="172"/>
        <v>0</v>
      </c>
      <c r="U810">
        <f t="shared" si="172"/>
        <v>0</v>
      </c>
      <c r="V810">
        <f t="shared" si="172"/>
        <v>0</v>
      </c>
      <c r="W810">
        <f t="shared" si="172"/>
        <v>0</v>
      </c>
      <c r="X810">
        <f t="shared" ref="X810:AM825" si="173">IF(AND($G810&gt;=X$3,$G810&lt;X$4),$F810,0)</f>
        <v>0</v>
      </c>
      <c r="Y810">
        <f t="shared" si="173"/>
        <v>0</v>
      </c>
      <c r="Z810">
        <f t="shared" si="171"/>
        <v>0</v>
      </c>
      <c r="AA810">
        <f t="shared" si="171"/>
        <v>0</v>
      </c>
      <c r="AB810">
        <f t="shared" si="171"/>
        <v>0</v>
      </c>
      <c r="AC810">
        <f t="shared" si="171"/>
        <v>0</v>
      </c>
      <c r="AD810">
        <f t="shared" si="171"/>
        <v>0</v>
      </c>
      <c r="AE810">
        <f t="shared" si="171"/>
        <v>0</v>
      </c>
      <c r="AF810">
        <f t="shared" si="171"/>
        <v>0</v>
      </c>
      <c r="AG810">
        <f t="shared" si="171"/>
        <v>0</v>
      </c>
      <c r="AH810">
        <f t="shared" si="171"/>
        <v>0</v>
      </c>
      <c r="AI810">
        <f t="shared" si="171"/>
        <v>0</v>
      </c>
      <c r="AJ810">
        <f t="shared" si="171"/>
        <v>0</v>
      </c>
      <c r="AK810">
        <f t="shared" si="170"/>
        <v>0</v>
      </c>
      <c r="AL810">
        <f t="shared" si="170"/>
        <v>0</v>
      </c>
      <c r="AM810">
        <f t="shared" si="170"/>
        <v>0</v>
      </c>
      <c r="AN810">
        <f t="shared" si="170"/>
        <v>0</v>
      </c>
      <c r="AO810">
        <f t="shared" si="170"/>
        <v>0</v>
      </c>
      <c r="AP810">
        <f t="shared" si="170"/>
        <v>0</v>
      </c>
      <c r="AQ810">
        <f t="shared" si="170"/>
        <v>0</v>
      </c>
      <c r="AR810">
        <f t="shared" si="170"/>
        <v>0</v>
      </c>
    </row>
    <row r="811" spans="5:44" x14ac:dyDescent="0.2">
      <c r="E811" s="1">
        <f>moment_rate!$M811</f>
        <v>0</v>
      </c>
      <c r="F811" s="1">
        <f t="shared" si="166"/>
        <v>0</v>
      </c>
      <c r="G811">
        <f>moment_rate!I811-0.005</f>
        <v>8.039999999999873</v>
      </c>
      <c r="H811" s="1">
        <f t="shared" si="167"/>
        <v>0</v>
      </c>
      <c r="I811">
        <f t="shared" ref="I811:X826" si="174">IF(AND($G811&gt;=I$3,$G811&lt;I$4),$F811,0)</f>
        <v>0</v>
      </c>
      <c r="J811">
        <f t="shared" si="174"/>
        <v>0</v>
      </c>
      <c r="K811">
        <f t="shared" si="174"/>
        <v>0</v>
      </c>
      <c r="L811">
        <f t="shared" si="174"/>
        <v>0</v>
      </c>
      <c r="M811">
        <f t="shared" si="174"/>
        <v>0</v>
      </c>
      <c r="N811">
        <f t="shared" si="174"/>
        <v>0</v>
      </c>
      <c r="O811">
        <f t="shared" si="174"/>
        <v>0</v>
      </c>
      <c r="P811">
        <f t="shared" si="174"/>
        <v>0</v>
      </c>
      <c r="Q811">
        <f t="shared" si="174"/>
        <v>0</v>
      </c>
      <c r="R811">
        <f t="shared" si="174"/>
        <v>0</v>
      </c>
      <c r="S811">
        <f t="shared" si="174"/>
        <v>0</v>
      </c>
      <c r="T811">
        <f t="shared" si="174"/>
        <v>0</v>
      </c>
      <c r="U811">
        <f t="shared" si="174"/>
        <v>0</v>
      </c>
      <c r="V811">
        <f t="shared" si="174"/>
        <v>0</v>
      </c>
      <c r="W811">
        <f t="shared" si="174"/>
        <v>0</v>
      </c>
      <c r="X811">
        <f t="shared" si="174"/>
        <v>0</v>
      </c>
      <c r="Y811">
        <f t="shared" si="173"/>
        <v>0</v>
      </c>
      <c r="Z811">
        <f t="shared" si="171"/>
        <v>0</v>
      </c>
      <c r="AA811">
        <f t="shared" si="171"/>
        <v>0</v>
      </c>
      <c r="AB811">
        <f t="shared" si="171"/>
        <v>0</v>
      </c>
      <c r="AC811">
        <f t="shared" si="171"/>
        <v>0</v>
      </c>
      <c r="AD811">
        <f t="shared" si="171"/>
        <v>0</v>
      </c>
      <c r="AE811">
        <f t="shared" si="171"/>
        <v>0</v>
      </c>
      <c r="AF811">
        <f t="shared" si="171"/>
        <v>0</v>
      </c>
      <c r="AG811">
        <f t="shared" si="171"/>
        <v>0</v>
      </c>
      <c r="AH811">
        <f t="shared" si="171"/>
        <v>0</v>
      </c>
      <c r="AI811">
        <f t="shared" si="171"/>
        <v>0</v>
      </c>
      <c r="AJ811">
        <f t="shared" si="171"/>
        <v>0</v>
      </c>
      <c r="AK811">
        <f t="shared" si="170"/>
        <v>0</v>
      </c>
      <c r="AL811">
        <f t="shared" si="170"/>
        <v>0</v>
      </c>
      <c r="AM811">
        <f t="shared" si="170"/>
        <v>0</v>
      </c>
      <c r="AN811">
        <f t="shared" si="170"/>
        <v>0</v>
      </c>
      <c r="AO811">
        <f t="shared" si="170"/>
        <v>0</v>
      </c>
      <c r="AP811">
        <f t="shared" si="170"/>
        <v>0</v>
      </c>
      <c r="AQ811">
        <f t="shared" si="170"/>
        <v>0</v>
      </c>
      <c r="AR811">
        <f t="shared" si="170"/>
        <v>0</v>
      </c>
    </row>
    <row r="812" spans="5:44" x14ac:dyDescent="0.2">
      <c r="E812" s="1">
        <f>moment_rate!$M812</f>
        <v>0</v>
      </c>
      <c r="F812" s="1">
        <f t="shared" si="166"/>
        <v>0</v>
      </c>
      <c r="G812">
        <f>moment_rate!I812-0.005</f>
        <v>8.0499999999998728</v>
      </c>
      <c r="H812" s="1">
        <f t="shared" si="167"/>
        <v>0</v>
      </c>
      <c r="I812">
        <f t="shared" si="174"/>
        <v>0</v>
      </c>
      <c r="J812">
        <f t="shared" si="174"/>
        <v>0</v>
      </c>
      <c r="K812">
        <f t="shared" si="174"/>
        <v>0</v>
      </c>
      <c r="L812">
        <f t="shared" si="174"/>
        <v>0</v>
      </c>
      <c r="M812">
        <f t="shared" si="174"/>
        <v>0</v>
      </c>
      <c r="N812">
        <f t="shared" si="174"/>
        <v>0</v>
      </c>
      <c r="O812">
        <f t="shared" si="174"/>
        <v>0</v>
      </c>
      <c r="P812">
        <f t="shared" si="174"/>
        <v>0</v>
      </c>
      <c r="Q812">
        <f t="shared" si="174"/>
        <v>0</v>
      </c>
      <c r="R812">
        <f t="shared" si="174"/>
        <v>0</v>
      </c>
      <c r="S812">
        <f t="shared" si="174"/>
        <v>0</v>
      </c>
      <c r="T812">
        <f t="shared" si="174"/>
        <v>0</v>
      </c>
      <c r="U812">
        <f t="shared" si="174"/>
        <v>0</v>
      </c>
      <c r="V812">
        <f t="shared" si="174"/>
        <v>0</v>
      </c>
      <c r="W812">
        <f t="shared" si="174"/>
        <v>0</v>
      </c>
      <c r="X812">
        <f t="shared" si="174"/>
        <v>0</v>
      </c>
      <c r="Y812">
        <f t="shared" si="173"/>
        <v>0</v>
      </c>
      <c r="Z812">
        <f t="shared" si="171"/>
        <v>0</v>
      </c>
      <c r="AA812">
        <f t="shared" si="171"/>
        <v>0</v>
      </c>
      <c r="AB812">
        <f t="shared" si="171"/>
        <v>0</v>
      </c>
      <c r="AC812">
        <f t="shared" si="171"/>
        <v>0</v>
      </c>
      <c r="AD812">
        <f t="shared" si="171"/>
        <v>0</v>
      </c>
      <c r="AE812">
        <f t="shared" si="171"/>
        <v>0</v>
      </c>
      <c r="AF812">
        <f t="shared" si="171"/>
        <v>0</v>
      </c>
      <c r="AG812">
        <f t="shared" si="171"/>
        <v>0</v>
      </c>
      <c r="AH812">
        <f t="shared" si="171"/>
        <v>0</v>
      </c>
      <c r="AI812">
        <f t="shared" si="171"/>
        <v>0</v>
      </c>
      <c r="AJ812">
        <f t="shared" si="171"/>
        <v>0</v>
      </c>
      <c r="AK812">
        <f t="shared" si="170"/>
        <v>0</v>
      </c>
      <c r="AL812">
        <f t="shared" si="170"/>
        <v>0</v>
      </c>
      <c r="AM812">
        <f t="shared" si="170"/>
        <v>0</v>
      </c>
      <c r="AN812">
        <f t="shared" si="170"/>
        <v>0</v>
      </c>
      <c r="AO812">
        <f t="shared" si="170"/>
        <v>0</v>
      </c>
      <c r="AP812">
        <f t="shared" si="170"/>
        <v>0</v>
      </c>
      <c r="AQ812">
        <f t="shared" si="170"/>
        <v>0</v>
      </c>
      <c r="AR812">
        <f t="shared" si="170"/>
        <v>0</v>
      </c>
    </row>
    <row r="813" spans="5:44" x14ac:dyDescent="0.2">
      <c r="E813" s="1">
        <f>moment_rate!$M813</f>
        <v>0</v>
      </c>
      <c r="F813" s="1">
        <f t="shared" si="166"/>
        <v>0</v>
      </c>
      <c r="G813">
        <f>moment_rate!I813-0.005</f>
        <v>8.0599999999998726</v>
      </c>
      <c r="H813" s="1">
        <f t="shared" si="167"/>
        <v>0</v>
      </c>
      <c r="I813">
        <f t="shared" si="174"/>
        <v>0</v>
      </c>
      <c r="J813">
        <f t="shared" si="174"/>
        <v>0</v>
      </c>
      <c r="K813">
        <f t="shared" si="174"/>
        <v>0</v>
      </c>
      <c r="L813">
        <f t="shared" si="174"/>
        <v>0</v>
      </c>
      <c r="M813">
        <f t="shared" si="174"/>
        <v>0</v>
      </c>
      <c r="N813">
        <f t="shared" si="174"/>
        <v>0</v>
      </c>
      <c r="O813">
        <f t="shared" si="174"/>
        <v>0</v>
      </c>
      <c r="P813">
        <f t="shared" si="174"/>
        <v>0</v>
      </c>
      <c r="Q813">
        <f t="shared" si="174"/>
        <v>0</v>
      </c>
      <c r="R813">
        <f t="shared" si="174"/>
        <v>0</v>
      </c>
      <c r="S813">
        <f t="shared" si="174"/>
        <v>0</v>
      </c>
      <c r="T813">
        <f t="shared" si="174"/>
        <v>0</v>
      </c>
      <c r="U813">
        <f t="shared" si="174"/>
        <v>0</v>
      </c>
      <c r="V813">
        <f t="shared" si="174"/>
        <v>0</v>
      </c>
      <c r="W813">
        <f t="shared" si="174"/>
        <v>0</v>
      </c>
      <c r="X813">
        <f t="shared" si="174"/>
        <v>0</v>
      </c>
      <c r="Y813">
        <f t="shared" si="173"/>
        <v>0</v>
      </c>
      <c r="Z813">
        <f t="shared" si="171"/>
        <v>0</v>
      </c>
      <c r="AA813">
        <f t="shared" si="171"/>
        <v>0</v>
      </c>
      <c r="AB813">
        <f t="shared" si="171"/>
        <v>0</v>
      </c>
      <c r="AC813">
        <f t="shared" si="171"/>
        <v>0</v>
      </c>
      <c r="AD813">
        <f t="shared" si="171"/>
        <v>0</v>
      </c>
      <c r="AE813">
        <f t="shared" si="171"/>
        <v>0</v>
      </c>
      <c r="AF813">
        <f t="shared" si="171"/>
        <v>0</v>
      </c>
      <c r="AG813">
        <f t="shared" si="171"/>
        <v>0</v>
      </c>
      <c r="AH813">
        <f t="shared" si="171"/>
        <v>0</v>
      </c>
      <c r="AI813">
        <f t="shared" si="171"/>
        <v>0</v>
      </c>
      <c r="AJ813">
        <f t="shared" si="171"/>
        <v>0</v>
      </c>
      <c r="AK813">
        <f t="shared" si="170"/>
        <v>0</v>
      </c>
      <c r="AL813">
        <f t="shared" si="170"/>
        <v>0</v>
      </c>
      <c r="AM813">
        <f t="shared" si="170"/>
        <v>0</v>
      </c>
      <c r="AN813">
        <f t="shared" si="170"/>
        <v>0</v>
      </c>
      <c r="AO813">
        <f t="shared" si="170"/>
        <v>0</v>
      </c>
      <c r="AP813">
        <f t="shared" si="170"/>
        <v>0</v>
      </c>
      <c r="AQ813">
        <f t="shared" si="170"/>
        <v>0</v>
      </c>
      <c r="AR813">
        <f t="shared" si="170"/>
        <v>0</v>
      </c>
    </row>
    <row r="814" spans="5:44" x14ac:dyDescent="0.2">
      <c r="E814" s="1">
        <f>moment_rate!$M814</f>
        <v>0</v>
      </c>
      <c r="F814" s="1">
        <f t="shared" si="166"/>
        <v>0</v>
      </c>
      <c r="G814">
        <f>moment_rate!I814-0.005</f>
        <v>8.0699999999998724</v>
      </c>
      <c r="H814" s="1">
        <f t="shared" si="167"/>
        <v>0</v>
      </c>
      <c r="I814">
        <f t="shared" si="174"/>
        <v>0</v>
      </c>
      <c r="J814">
        <f t="shared" si="174"/>
        <v>0</v>
      </c>
      <c r="K814">
        <f t="shared" si="174"/>
        <v>0</v>
      </c>
      <c r="L814">
        <f t="shared" si="174"/>
        <v>0</v>
      </c>
      <c r="M814">
        <f t="shared" si="174"/>
        <v>0</v>
      </c>
      <c r="N814">
        <f t="shared" si="174"/>
        <v>0</v>
      </c>
      <c r="O814">
        <f t="shared" si="174"/>
        <v>0</v>
      </c>
      <c r="P814">
        <f t="shared" si="174"/>
        <v>0</v>
      </c>
      <c r="Q814">
        <f t="shared" si="174"/>
        <v>0</v>
      </c>
      <c r="R814">
        <f t="shared" si="174"/>
        <v>0</v>
      </c>
      <c r="S814">
        <f t="shared" si="174"/>
        <v>0</v>
      </c>
      <c r="T814">
        <f t="shared" si="174"/>
        <v>0</v>
      </c>
      <c r="U814">
        <f t="shared" si="174"/>
        <v>0</v>
      </c>
      <c r="V814">
        <f t="shared" si="174"/>
        <v>0</v>
      </c>
      <c r="W814">
        <f t="shared" si="174"/>
        <v>0</v>
      </c>
      <c r="X814">
        <f t="shared" si="174"/>
        <v>0</v>
      </c>
      <c r="Y814">
        <f t="shared" si="173"/>
        <v>0</v>
      </c>
      <c r="Z814">
        <f t="shared" si="171"/>
        <v>0</v>
      </c>
      <c r="AA814">
        <f t="shared" si="171"/>
        <v>0</v>
      </c>
      <c r="AB814">
        <f t="shared" si="171"/>
        <v>0</v>
      </c>
      <c r="AC814">
        <f t="shared" si="171"/>
        <v>0</v>
      </c>
      <c r="AD814">
        <f t="shared" si="171"/>
        <v>0</v>
      </c>
      <c r="AE814">
        <f t="shared" si="171"/>
        <v>0</v>
      </c>
      <c r="AF814">
        <f t="shared" si="171"/>
        <v>0</v>
      </c>
      <c r="AG814">
        <f t="shared" si="171"/>
        <v>0</v>
      </c>
      <c r="AH814">
        <f t="shared" si="171"/>
        <v>0</v>
      </c>
      <c r="AI814">
        <f t="shared" si="171"/>
        <v>0</v>
      </c>
      <c r="AJ814">
        <f t="shared" si="171"/>
        <v>0</v>
      </c>
      <c r="AK814">
        <f t="shared" si="170"/>
        <v>0</v>
      </c>
      <c r="AL814">
        <f t="shared" si="170"/>
        <v>0</v>
      </c>
      <c r="AM814">
        <f t="shared" si="170"/>
        <v>0</v>
      </c>
      <c r="AN814">
        <f t="shared" si="170"/>
        <v>0</v>
      </c>
      <c r="AO814">
        <f t="shared" si="170"/>
        <v>0</v>
      </c>
      <c r="AP814">
        <f t="shared" si="170"/>
        <v>0</v>
      </c>
      <c r="AQ814">
        <f t="shared" si="170"/>
        <v>0</v>
      </c>
      <c r="AR814">
        <f t="shared" si="170"/>
        <v>0</v>
      </c>
    </row>
    <row r="815" spans="5:44" x14ac:dyDescent="0.2">
      <c r="E815" s="1">
        <f>moment_rate!$M815</f>
        <v>0</v>
      </c>
      <c r="F815" s="1">
        <f t="shared" si="166"/>
        <v>0</v>
      </c>
      <c r="G815">
        <f>moment_rate!I815-0.005</f>
        <v>8.0799999999998722</v>
      </c>
      <c r="H815" s="1">
        <f t="shared" si="167"/>
        <v>0</v>
      </c>
      <c r="I815">
        <f t="shared" si="174"/>
        <v>0</v>
      </c>
      <c r="J815">
        <f t="shared" si="174"/>
        <v>0</v>
      </c>
      <c r="K815">
        <f t="shared" si="174"/>
        <v>0</v>
      </c>
      <c r="L815">
        <f t="shared" si="174"/>
        <v>0</v>
      </c>
      <c r="M815">
        <f t="shared" si="174"/>
        <v>0</v>
      </c>
      <c r="N815">
        <f t="shared" si="174"/>
        <v>0</v>
      </c>
      <c r="O815">
        <f t="shared" si="174"/>
        <v>0</v>
      </c>
      <c r="P815">
        <f t="shared" si="174"/>
        <v>0</v>
      </c>
      <c r="Q815">
        <f t="shared" si="174"/>
        <v>0</v>
      </c>
      <c r="R815">
        <f t="shared" si="174"/>
        <v>0</v>
      </c>
      <c r="S815">
        <f t="shared" si="174"/>
        <v>0</v>
      </c>
      <c r="T815">
        <f t="shared" si="174"/>
        <v>0</v>
      </c>
      <c r="U815">
        <f t="shared" si="174"/>
        <v>0</v>
      </c>
      <c r="V815">
        <f t="shared" si="174"/>
        <v>0</v>
      </c>
      <c r="W815">
        <f t="shared" si="174"/>
        <v>0</v>
      </c>
      <c r="X815">
        <f t="shared" si="174"/>
        <v>0</v>
      </c>
      <c r="Y815">
        <f t="shared" si="173"/>
        <v>0</v>
      </c>
      <c r="Z815">
        <f t="shared" si="173"/>
        <v>0</v>
      </c>
      <c r="AA815">
        <f t="shared" si="173"/>
        <v>0</v>
      </c>
      <c r="AB815">
        <f t="shared" si="173"/>
        <v>0</v>
      </c>
      <c r="AC815">
        <f t="shared" si="173"/>
        <v>0</v>
      </c>
      <c r="AD815">
        <f t="shared" si="173"/>
        <v>0</v>
      </c>
      <c r="AE815">
        <f t="shared" si="173"/>
        <v>0</v>
      </c>
      <c r="AF815">
        <f t="shared" si="173"/>
        <v>0</v>
      </c>
      <c r="AG815">
        <f t="shared" si="173"/>
        <v>0</v>
      </c>
      <c r="AH815">
        <f t="shared" si="173"/>
        <v>0</v>
      </c>
      <c r="AI815">
        <f t="shared" si="173"/>
        <v>0</v>
      </c>
      <c r="AJ815">
        <f t="shared" si="173"/>
        <v>0</v>
      </c>
      <c r="AK815">
        <f t="shared" si="173"/>
        <v>0</v>
      </c>
      <c r="AL815">
        <f t="shared" si="173"/>
        <v>0</v>
      </c>
      <c r="AM815">
        <f t="shared" si="173"/>
        <v>0</v>
      </c>
      <c r="AN815">
        <f t="shared" si="170"/>
        <v>0</v>
      </c>
      <c r="AO815">
        <f t="shared" si="170"/>
        <v>0</v>
      </c>
      <c r="AP815">
        <f t="shared" si="170"/>
        <v>0</v>
      </c>
      <c r="AQ815">
        <f t="shared" si="170"/>
        <v>0</v>
      </c>
      <c r="AR815">
        <f t="shared" si="170"/>
        <v>0</v>
      </c>
    </row>
    <row r="816" spans="5:44" x14ac:dyDescent="0.2">
      <c r="E816" s="1">
        <f>moment_rate!$M816</f>
        <v>0</v>
      </c>
      <c r="F816" s="1">
        <f t="shared" si="166"/>
        <v>0</v>
      </c>
      <c r="G816">
        <f>moment_rate!I816-0.005</f>
        <v>8.089999999999872</v>
      </c>
      <c r="H816" s="1">
        <f t="shared" si="167"/>
        <v>0</v>
      </c>
      <c r="I816">
        <f t="shared" si="174"/>
        <v>0</v>
      </c>
      <c r="J816">
        <f t="shared" si="174"/>
        <v>0</v>
      </c>
      <c r="K816">
        <f t="shared" si="174"/>
        <v>0</v>
      </c>
      <c r="L816">
        <f t="shared" si="174"/>
        <v>0</v>
      </c>
      <c r="M816">
        <f t="shared" si="174"/>
        <v>0</v>
      </c>
      <c r="N816">
        <f t="shared" si="174"/>
        <v>0</v>
      </c>
      <c r="O816">
        <f t="shared" si="174"/>
        <v>0</v>
      </c>
      <c r="P816">
        <f t="shared" si="174"/>
        <v>0</v>
      </c>
      <c r="Q816">
        <f t="shared" si="174"/>
        <v>0</v>
      </c>
      <c r="R816">
        <f t="shared" si="174"/>
        <v>0</v>
      </c>
      <c r="S816">
        <f t="shared" si="174"/>
        <v>0</v>
      </c>
      <c r="T816">
        <f t="shared" si="174"/>
        <v>0</v>
      </c>
      <c r="U816">
        <f t="shared" si="174"/>
        <v>0</v>
      </c>
      <c r="V816">
        <f t="shared" si="174"/>
        <v>0</v>
      </c>
      <c r="W816">
        <f t="shared" si="174"/>
        <v>0</v>
      </c>
      <c r="X816">
        <f t="shared" si="174"/>
        <v>0</v>
      </c>
      <c r="Y816">
        <f t="shared" si="173"/>
        <v>0</v>
      </c>
      <c r="Z816">
        <f t="shared" si="173"/>
        <v>0</v>
      </c>
      <c r="AA816">
        <f t="shared" si="173"/>
        <v>0</v>
      </c>
      <c r="AB816">
        <f t="shared" si="173"/>
        <v>0</v>
      </c>
      <c r="AC816">
        <f t="shared" si="173"/>
        <v>0</v>
      </c>
      <c r="AD816">
        <f t="shared" si="173"/>
        <v>0</v>
      </c>
      <c r="AE816">
        <f t="shared" si="173"/>
        <v>0</v>
      </c>
      <c r="AF816">
        <f t="shared" si="173"/>
        <v>0</v>
      </c>
      <c r="AG816">
        <f t="shared" si="173"/>
        <v>0</v>
      </c>
      <c r="AH816">
        <f t="shared" si="173"/>
        <v>0</v>
      </c>
      <c r="AI816">
        <f t="shared" si="173"/>
        <v>0</v>
      </c>
      <c r="AJ816">
        <f t="shared" si="173"/>
        <v>0</v>
      </c>
      <c r="AK816">
        <f t="shared" si="173"/>
        <v>0</v>
      </c>
      <c r="AL816">
        <f t="shared" si="173"/>
        <v>0</v>
      </c>
      <c r="AM816">
        <f t="shared" si="173"/>
        <v>0</v>
      </c>
      <c r="AN816">
        <f t="shared" si="170"/>
        <v>0</v>
      </c>
      <c r="AO816">
        <f t="shared" si="170"/>
        <v>0</v>
      </c>
      <c r="AP816">
        <f t="shared" si="170"/>
        <v>0</v>
      </c>
      <c r="AQ816">
        <f t="shared" si="170"/>
        <v>0</v>
      </c>
      <c r="AR816">
        <f t="shared" si="170"/>
        <v>0</v>
      </c>
    </row>
    <row r="817" spans="5:44" x14ac:dyDescent="0.2">
      <c r="E817" s="1">
        <f>moment_rate!$M817</f>
        <v>0</v>
      </c>
      <c r="F817" s="1">
        <f t="shared" si="166"/>
        <v>0</v>
      </c>
      <c r="G817">
        <f>moment_rate!I817-0.005</f>
        <v>8.0999999999998717</v>
      </c>
      <c r="H817" s="1">
        <f t="shared" si="167"/>
        <v>0</v>
      </c>
      <c r="I817">
        <f t="shared" si="174"/>
        <v>0</v>
      </c>
      <c r="J817">
        <f t="shared" si="174"/>
        <v>0</v>
      </c>
      <c r="K817">
        <f t="shared" si="174"/>
        <v>0</v>
      </c>
      <c r="L817">
        <f t="shared" si="174"/>
        <v>0</v>
      </c>
      <c r="M817">
        <f t="shared" si="174"/>
        <v>0</v>
      </c>
      <c r="N817">
        <f t="shared" si="174"/>
        <v>0</v>
      </c>
      <c r="O817">
        <f t="shared" si="174"/>
        <v>0</v>
      </c>
      <c r="P817">
        <f t="shared" si="174"/>
        <v>0</v>
      </c>
      <c r="Q817">
        <f t="shared" si="174"/>
        <v>0</v>
      </c>
      <c r="R817">
        <f t="shared" si="174"/>
        <v>0</v>
      </c>
      <c r="S817">
        <f t="shared" si="174"/>
        <v>0</v>
      </c>
      <c r="T817">
        <f t="shared" si="174"/>
        <v>0</v>
      </c>
      <c r="U817">
        <f t="shared" si="174"/>
        <v>0</v>
      </c>
      <c r="V817">
        <f t="shared" si="174"/>
        <v>0</v>
      </c>
      <c r="W817">
        <f t="shared" si="174"/>
        <v>0</v>
      </c>
      <c r="X817">
        <f t="shared" si="174"/>
        <v>0</v>
      </c>
      <c r="Y817">
        <f t="shared" si="173"/>
        <v>0</v>
      </c>
      <c r="Z817">
        <f t="shared" si="173"/>
        <v>0</v>
      </c>
      <c r="AA817">
        <f t="shared" si="173"/>
        <v>0</v>
      </c>
      <c r="AB817">
        <f t="shared" si="173"/>
        <v>0</v>
      </c>
      <c r="AC817">
        <f t="shared" si="173"/>
        <v>0</v>
      </c>
      <c r="AD817">
        <f t="shared" si="173"/>
        <v>0</v>
      </c>
      <c r="AE817">
        <f t="shared" si="173"/>
        <v>0</v>
      </c>
      <c r="AF817">
        <f t="shared" si="173"/>
        <v>0</v>
      </c>
      <c r="AG817">
        <f t="shared" si="173"/>
        <v>0</v>
      </c>
      <c r="AH817">
        <f t="shared" si="173"/>
        <v>0</v>
      </c>
      <c r="AI817">
        <f t="shared" si="173"/>
        <v>0</v>
      </c>
      <c r="AJ817">
        <f t="shared" si="173"/>
        <v>0</v>
      </c>
      <c r="AK817">
        <f t="shared" si="173"/>
        <v>0</v>
      </c>
      <c r="AL817">
        <f t="shared" si="173"/>
        <v>0</v>
      </c>
      <c r="AM817">
        <f t="shared" si="173"/>
        <v>0</v>
      </c>
      <c r="AN817">
        <f t="shared" si="170"/>
        <v>0</v>
      </c>
      <c r="AO817">
        <f t="shared" si="170"/>
        <v>0</v>
      </c>
      <c r="AP817">
        <f t="shared" si="170"/>
        <v>0</v>
      </c>
      <c r="AQ817">
        <f t="shared" si="170"/>
        <v>0</v>
      </c>
      <c r="AR817">
        <f t="shared" si="170"/>
        <v>0</v>
      </c>
    </row>
    <row r="818" spans="5:44" x14ac:dyDescent="0.2">
      <c r="E818" s="1">
        <f>moment_rate!$M818</f>
        <v>0</v>
      </c>
      <c r="F818" s="1">
        <f t="shared" si="166"/>
        <v>0</v>
      </c>
      <c r="G818">
        <f>moment_rate!I818-0.005</f>
        <v>8.1099999999998715</v>
      </c>
      <c r="H818" s="1">
        <f t="shared" si="167"/>
        <v>0</v>
      </c>
      <c r="I818">
        <f t="shared" si="174"/>
        <v>0</v>
      </c>
      <c r="J818">
        <f t="shared" si="174"/>
        <v>0</v>
      </c>
      <c r="K818">
        <f t="shared" si="174"/>
        <v>0</v>
      </c>
      <c r="L818">
        <f t="shared" si="174"/>
        <v>0</v>
      </c>
      <c r="M818">
        <f t="shared" si="174"/>
        <v>0</v>
      </c>
      <c r="N818">
        <f t="shared" si="174"/>
        <v>0</v>
      </c>
      <c r="O818">
        <f t="shared" si="174"/>
        <v>0</v>
      </c>
      <c r="P818">
        <f t="shared" si="174"/>
        <v>0</v>
      </c>
      <c r="Q818">
        <f t="shared" si="174"/>
        <v>0</v>
      </c>
      <c r="R818">
        <f t="shared" si="174"/>
        <v>0</v>
      </c>
      <c r="S818">
        <f t="shared" si="174"/>
        <v>0</v>
      </c>
      <c r="T818">
        <f t="shared" si="174"/>
        <v>0</v>
      </c>
      <c r="U818">
        <f t="shared" si="174"/>
        <v>0</v>
      </c>
      <c r="V818">
        <f t="shared" si="174"/>
        <v>0</v>
      </c>
      <c r="W818">
        <f t="shared" si="174"/>
        <v>0</v>
      </c>
      <c r="X818">
        <f t="shared" si="174"/>
        <v>0</v>
      </c>
      <c r="Y818">
        <f t="shared" si="173"/>
        <v>0</v>
      </c>
      <c r="Z818">
        <f t="shared" si="173"/>
        <v>0</v>
      </c>
      <c r="AA818">
        <f t="shared" si="173"/>
        <v>0</v>
      </c>
      <c r="AB818">
        <f t="shared" si="173"/>
        <v>0</v>
      </c>
      <c r="AC818">
        <f t="shared" si="173"/>
        <v>0</v>
      </c>
      <c r="AD818">
        <f t="shared" si="173"/>
        <v>0</v>
      </c>
      <c r="AE818">
        <f t="shared" si="173"/>
        <v>0</v>
      </c>
      <c r="AF818">
        <f t="shared" si="173"/>
        <v>0</v>
      </c>
      <c r="AG818">
        <f t="shared" si="173"/>
        <v>0</v>
      </c>
      <c r="AH818">
        <f t="shared" si="173"/>
        <v>0</v>
      </c>
      <c r="AI818">
        <f t="shared" si="173"/>
        <v>0</v>
      </c>
      <c r="AJ818">
        <f t="shared" si="173"/>
        <v>0</v>
      </c>
      <c r="AK818">
        <f t="shared" si="173"/>
        <v>0</v>
      </c>
      <c r="AL818">
        <f t="shared" si="173"/>
        <v>0</v>
      </c>
      <c r="AM818">
        <f t="shared" si="173"/>
        <v>0</v>
      </c>
      <c r="AN818">
        <f t="shared" ref="AN818:AR833" si="175">IF(AND($G818&gt;=AN$3,$G818&lt;AN$4),$F818,0)</f>
        <v>0</v>
      </c>
      <c r="AO818">
        <f t="shared" si="175"/>
        <v>0</v>
      </c>
      <c r="AP818">
        <f t="shared" si="175"/>
        <v>0</v>
      </c>
      <c r="AQ818">
        <f t="shared" si="175"/>
        <v>0</v>
      </c>
      <c r="AR818">
        <f t="shared" si="175"/>
        <v>0</v>
      </c>
    </row>
    <row r="819" spans="5:44" x14ac:dyDescent="0.2">
      <c r="E819" s="1">
        <f>moment_rate!$M819</f>
        <v>0</v>
      </c>
      <c r="F819" s="1">
        <f t="shared" si="166"/>
        <v>0</v>
      </c>
      <c r="G819">
        <f>moment_rate!I819-0.005</f>
        <v>8.1199999999998713</v>
      </c>
      <c r="H819" s="1">
        <f t="shared" si="167"/>
        <v>0</v>
      </c>
      <c r="I819">
        <f t="shared" si="174"/>
        <v>0</v>
      </c>
      <c r="J819">
        <f t="shared" si="174"/>
        <v>0</v>
      </c>
      <c r="K819">
        <f t="shared" si="174"/>
        <v>0</v>
      </c>
      <c r="L819">
        <f t="shared" si="174"/>
        <v>0</v>
      </c>
      <c r="M819">
        <f t="shared" si="174"/>
        <v>0</v>
      </c>
      <c r="N819">
        <f t="shared" si="174"/>
        <v>0</v>
      </c>
      <c r="O819">
        <f t="shared" si="174"/>
        <v>0</v>
      </c>
      <c r="P819">
        <f t="shared" si="174"/>
        <v>0</v>
      </c>
      <c r="Q819">
        <f t="shared" si="174"/>
        <v>0</v>
      </c>
      <c r="R819">
        <f t="shared" si="174"/>
        <v>0</v>
      </c>
      <c r="S819">
        <f t="shared" si="174"/>
        <v>0</v>
      </c>
      <c r="T819">
        <f t="shared" si="174"/>
        <v>0</v>
      </c>
      <c r="U819">
        <f t="shared" si="174"/>
        <v>0</v>
      </c>
      <c r="V819">
        <f t="shared" si="174"/>
        <v>0</v>
      </c>
      <c r="W819">
        <f t="shared" si="174"/>
        <v>0</v>
      </c>
      <c r="X819">
        <f t="shared" si="174"/>
        <v>0</v>
      </c>
      <c r="Y819">
        <f t="shared" si="173"/>
        <v>0</v>
      </c>
      <c r="Z819">
        <f t="shared" si="173"/>
        <v>0</v>
      </c>
      <c r="AA819">
        <f t="shared" si="173"/>
        <v>0</v>
      </c>
      <c r="AB819">
        <f t="shared" si="173"/>
        <v>0</v>
      </c>
      <c r="AC819">
        <f t="shared" si="173"/>
        <v>0</v>
      </c>
      <c r="AD819">
        <f t="shared" si="173"/>
        <v>0</v>
      </c>
      <c r="AE819">
        <f t="shared" si="173"/>
        <v>0</v>
      </c>
      <c r="AF819">
        <f t="shared" si="173"/>
        <v>0</v>
      </c>
      <c r="AG819">
        <f t="shared" si="173"/>
        <v>0</v>
      </c>
      <c r="AH819">
        <f t="shared" si="173"/>
        <v>0</v>
      </c>
      <c r="AI819">
        <f t="shared" si="173"/>
        <v>0</v>
      </c>
      <c r="AJ819">
        <f t="shared" si="173"/>
        <v>0</v>
      </c>
      <c r="AK819">
        <f t="shared" si="173"/>
        <v>0</v>
      </c>
      <c r="AL819">
        <f t="shared" si="173"/>
        <v>0</v>
      </c>
      <c r="AM819">
        <f t="shared" si="173"/>
        <v>0</v>
      </c>
      <c r="AN819">
        <f t="shared" si="175"/>
        <v>0</v>
      </c>
      <c r="AO819">
        <f t="shared" si="175"/>
        <v>0</v>
      </c>
      <c r="AP819">
        <f t="shared" si="175"/>
        <v>0</v>
      </c>
      <c r="AQ819">
        <f t="shared" si="175"/>
        <v>0</v>
      </c>
      <c r="AR819">
        <f t="shared" si="175"/>
        <v>0</v>
      </c>
    </row>
    <row r="820" spans="5:44" x14ac:dyDescent="0.2">
      <c r="E820" s="1">
        <f>moment_rate!$M820</f>
        <v>0</v>
      </c>
      <c r="F820" s="1">
        <f t="shared" si="166"/>
        <v>0</v>
      </c>
      <c r="G820">
        <f>moment_rate!I820-0.005</f>
        <v>8.1299999999998711</v>
      </c>
      <c r="H820" s="1">
        <f t="shared" si="167"/>
        <v>0</v>
      </c>
      <c r="I820">
        <f t="shared" si="174"/>
        <v>0</v>
      </c>
      <c r="J820">
        <f t="shared" si="174"/>
        <v>0</v>
      </c>
      <c r="K820">
        <f t="shared" si="174"/>
        <v>0</v>
      </c>
      <c r="L820">
        <f t="shared" si="174"/>
        <v>0</v>
      </c>
      <c r="M820">
        <f t="shared" si="174"/>
        <v>0</v>
      </c>
      <c r="N820">
        <f t="shared" si="174"/>
        <v>0</v>
      </c>
      <c r="O820">
        <f t="shared" si="174"/>
        <v>0</v>
      </c>
      <c r="P820">
        <f t="shared" si="174"/>
        <v>0</v>
      </c>
      <c r="Q820">
        <f t="shared" si="174"/>
        <v>0</v>
      </c>
      <c r="R820">
        <f t="shared" si="174"/>
        <v>0</v>
      </c>
      <c r="S820">
        <f t="shared" si="174"/>
        <v>0</v>
      </c>
      <c r="T820">
        <f t="shared" si="174"/>
        <v>0</v>
      </c>
      <c r="U820">
        <f t="shared" si="174"/>
        <v>0</v>
      </c>
      <c r="V820">
        <f t="shared" si="174"/>
        <v>0</v>
      </c>
      <c r="W820">
        <f t="shared" si="174"/>
        <v>0</v>
      </c>
      <c r="X820">
        <f t="shared" si="174"/>
        <v>0</v>
      </c>
      <c r="Y820">
        <f t="shared" si="173"/>
        <v>0</v>
      </c>
      <c r="Z820">
        <f t="shared" si="173"/>
        <v>0</v>
      </c>
      <c r="AA820">
        <f t="shared" si="173"/>
        <v>0</v>
      </c>
      <c r="AB820">
        <f t="shared" si="173"/>
        <v>0</v>
      </c>
      <c r="AC820">
        <f t="shared" si="173"/>
        <v>0</v>
      </c>
      <c r="AD820">
        <f t="shared" si="173"/>
        <v>0</v>
      </c>
      <c r="AE820">
        <f t="shared" si="173"/>
        <v>0</v>
      </c>
      <c r="AF820">
        <f t="shared" si="173"/>
        <v>0</v>
      </c>
      <c r="AG820">
        <f t="shared" si="173"/>
        <v>0</v>
      </c>
      <c r="AH820">
        <f t="shared" si="173"/>
        <v>0</v>
      </c>
      <c r="AI820">
        <f t="shared" si="173"/>
        <v>0</v>
      </c>
      <c r="AJ820">
        <f t="shared" si="173"/>
        <v>0</v>
      </c>
      <c r="AK820">
        <f t="shared" si="173"/>
        <v>0</v>
      </c>
      <c r="AL820">
        <f t="shared" si="173"/>
        <v>0</v>
      </c>
      <c r="AM820">
        <f t="shared" si="173"/>
        <v>0</v>
      </c>
      <c r="AN820">
        <f t="shared" si="175"/>
        <v>0</v>
      </c>
      <c r="AO820">
        <f t="shared" si="175"/>
        <v>0</v>
      </c>
      <c r="AP820">
        <f t="shared" si="175"/>
        <v>0</v>
      </c>
      <c r="AQ820">
        <f t="shared" si="175"/>
        <v>0</v>
      </c>
      <c r="AR820">
        <f t="shared" si="175"/>
        <v>0</v>
      </c>
    </row>
    <row r="821" spans="5:44" x14ac:dyDescent="0.2">
      <c r="E821" s="1">
        <f>moment_rate!$M821</f>
        <v>0</v>
      </c>
      <c r="F821" s="1">
        <f t="shared" si="166"/>
        <v>0</v>
      </c>
      <c r="G821">
        <f>moment_rate!I821-0.005</f>
        <v>8.1399999999998709</v>
      </c>
      <c r="H821" s="1">
        <f t="shared" si="167"/>
        <v>0</v>
      </c>
      <c r="I821">
        <f t="shared" si="174"/>
        <v>0</v>
      </c>
      <c r="J821">
        <f t="shared" si="174"/>
        <v>0</v>
      </c>
      <c r="K821">
        <f t="shared" si="174"/>
        <v>0</v>
      </c>
      <c r="L821">
        <f t="shared" si="174"/>
        <v>0</v>
      </c>
      <c r="M821">
        <f t="shared" si="174"/>
        <v>0</v>
      </c>
      <c r="N821">
        <f t="shared" si="174"/>
        <v>0</v>
      </c>
      <c r="O821">
        <f t="shared" si="174"/>
        <v>0</v>
      </c>
      <c r="P821">
        <f t="shared" si="174"/>
        <v>0</v>
      </c>
      <c r="Q821">
        <f t="shared" si="174"/>
        <v>0</v>
      </c>
      <c r="R821">
        <f t="shared" si="174"/>
        <v>0</v>
      </c>
      <c r="S821">
        <f t="shared" si="174"/>
        <v>0</v>
      </c>
      <c r="T821">
        <f t="shared" si="174"/>
        <v>0</v>
      </c>
      <c r="U821">
        <f t="shared" si="174"/>
        <v>0</v>
      </c>
      <c r="V821">
        <f t="shared" si="174"/>
        <v>0</v>
      </c>
      <c r="W821">
        <f t="shared" si="174"/>
        <v>0</v>
      </c>
      <c r="X821">
        <f t="shared" si="174"/>
        <v>0</v>
      </c>
      <c r="Y821">
        <f t="shared" si="173"/>
        <v>0</v>
      </c>
      <c r="Z821">
        <f t="shared" si="173"/>
        <v>0</v>
      </c>
      <c r="AA821">
        <f t="shared" si="173"/>
        <v>0</v>
      </c>
      <c r="AB821">
        <f t="shared" si="173"/>
        <v>0</v>
      </c>
      <c r="AC821">
        <f t="shared" si="173"/>
        <v>0</v>
      </c>
      <c r="AD821">
        <f t="shared" si="173"/>
        <v>0</v>
      </c>
      <c r="AE821">
        <f t="shared" si="173"/>
        <v>0</v>
      </c>
      <c r="AF821">
        <f t="shared" si="173"/>
        <v>0</v>
      </c>
      <c r="AG821">
        <f t="shared" si="173"/>
        <v>0</v>
      </c>
      <c r="AH821">
        <f t="shared" si="173"/>
        <v>0</v>
      </c>
      <c r="AI821">
        <f t="shared" si="173"/>
        <v>0</v>
      </c>
      <c r="AJ821">
        <f t="shared" si="173"/>
        <v>0</v>
      </c>
      <c r="AK821">
        <f t="shared" si="173"/>
        <v>0</v>
      </c>
      <c r="AL821">
        <f t="shared" si="173"/>
        <v>0</v>
      </c>
      <c r="AM821">
        <f t="shared" si="173"/>
        <v>0</v>
      </c>
      <c r="AN821">
        <f t="shared" si="175"/>
        <v>0</v>
      </c>
      <c r="AO821">
        <f t="shared" si="175"/>
        <v>0</v>
      </c>
      <c r="AP821">
        <f t="shared" si="175"/>
        <v>0</v>
      </c>
      <c r="AQ821">
        <f t="shared" si="175"/>
        <v>0</v>
      </c>
      <c r="AR821">
        <f t="shared" si="175"/>
        <v>0</v>
      </c>
    </row>
    <row r="822" spans="5:44" x14ac:dyDescent="0.2">
      <c r="E822" s="1">
        <f>moment_rate!$M822</f>
        <v>0</v>
      </c>
      <c r="F822" s="1">
        <f t="shared" si="166"/>
        <v>0</v>
      </c>
      <c r="G822">
        <f>moment_rate!I822-0.005</f>
        <v>8.1499999999998707</v>
      </c>
      <c r="H822" s="1">
        <f t="shared" si="167"/>
        <v>0</v>
      </c>
      <c r="I822">
        <f t="shared" si="174"/>
        <v>0</v>
      </c>
      <c r="J822">
        <f t="shared" si="174"/>
        <v>0</v>
      </c>
      <c r="K822">
        <f t="shared" si="174"/>
        <v>0</v>
      </c>
      <c r="L822">
        <f t="shared" si="174"/>
        <v>0</v>
      </c>
      <c r="M822">
        <f t="shared" si="174"/>
        <v>0</v>
      </c>
      <c r="N822">
        <f t="shared" si="174"/>
        <v>0</v>
      </c>
      <c r="O822">
        <f t="shared" si="174"/>
        <v>0</v>
      </c>
      <c r="P822">
        <f t="shared" si="174"/>
        <v>0</v>
      </c>
      <c r="Q822">
        <f t="shared" si="174"/>
        <v>0</v>
      </c>
      <c r="R822">
        <f t="shared" si="174"/>
        <v>0</v>
      </c>
      <c r="S822">
        <f t="shared" si="174"/>
        <v>0</v>
      </c>
      <c r="T822">
        <f t="shared" si="174"/>
        <v>0</v>
      </c>
      <c r="U822">
        <f t="shared" si="174"/>
        <v>0</v>
      </c>
      <c r="V822">
        <f t="shared" si="174"/>
        <v>0</v>
      </c>
      <c r="W822">
        <f t="shared" si="174"/>
        <v>0</v>
      </c>
      <c r="X822">
        <f t="shared" si="174"/>
        <v>0</v>
      </c>
      <c r="Y822">
        <f t="shared" si="173"/>
        <v>0</v>
      </c>
      <c r="Z822">
        <f t="shared" si="173"/>
        <v>0</v>
      </c>
      <c r="AA822">
        <f t="shared" si="173"/>
        <v>0</v>
      </c>
      <c r="AB822">
        <f t="shared" si="173"/>
        <v>0</v>
      </c>
      <c r="AC822">
        <f t="shared" si="173"/>
        <v>0</v>
      </c>
      <c r="AD822">
        <f t="shared" si="173"/>
        <v>0</v>
      </c>
      <c r="AE822">
        <f t="shared" si="173"/>
        <v>0</v>
      </c>
      <c r="AF822">
        <f t="shared" si="173"/>
        <v>0</v>
      </c>
      <c r="AG822">
        <f t="shared" si="173"/>
        <v>0</v>
      </c>
      <c r="AH822">
        <f t="shared" si="173"/>
        <v>0</v>
      </c>
      <c r="AI822">
        <f t="shared" si="173"/>
        <v>0</v>
      </c>
      <c r="AJ822">
        <f t="shared" si="173"/>
        <v>0</v>
      </c>
      <c r="AK822">
        <f t="shared" si="173"/>
        <v>0</v>
      </c>
      <c r="AL822">
        <f t="shared" si="173"/>
        <v>0</v>
      </c>
      <c r="AM822">
        <f t="shared" si="173"/>
        <v>0</v>
      </c>
      <c r="AN822">
        <f t="shared" si="175"/>
        <v>0</v>
      </c>
      <c r="AO822">
        <f t="shared" si="175"/>
        <v>0</v>
      </c>
      <c r="AP822">
        <f t="shared" si="175"/>
        <v>0</v>
      </c>
      <c r="AQ822">
        <f t="shared" si="175"/>
        <v>0</v>
      </c>
      <c r="AR822">
        <f t="shared" si="175"/>
        <v>0</v>
      </c>
    </row>
    <row r="823" spans="5:44" x14ac:dyDescent="0.2">
      <c r="E823" s="1">
        <f>moment_rate!$M823</f>
        <v>0</v>
      </c>
      <c r="F823" s="1">
        <f t="shared" si="166"/>
        <v>0</v>
      </c>
      <c r="G823">
        <f>moment_rate!I823-0.005</f>
        <v>8.1599999999998705</v>
      </c>
      <c r="H823" s="1">
        <f t="shared" si="167"/>
        <v>0</v>
      </c>
      <c r="I823">
        <f t="shared" si="174"/>
        <v>0</v>
      </c>
      <c r="J823">
        <f t="shared" si="174"/>
        <v>0</v>
      </c>
      <c r="K823">
        <f t="shared" si="174"/>
        <v>0</v>
      </c>
      <c r="L823">
        <f t="shared" si="174"/>
        <v>0</v>
      </c>
      <c r="M823">
        <f t="shared" si="174"/>
        <v>0</v>
      </c>
      <c r="N823">
        <f t="shared" si="174"/>
        <v>0</v>
      </c>
      <c r="O823">
        <f t="shared" si="174"/>
        <v>0</v>
      </c>
      <c r="P823">
        <f t="shared" si="174"/>
        <v>0</v>
      </c>
      <c r="Q823">
        <f t="shared" si="174"/>
        <v>0</v>
      </c>
      <c r="R823">
        <f t="shared" si="174"/>
        <v>0</v>
      </c>
      <c r="S823">
        <f t="shared" si="174"/>
        <v>0</v>
      </c>
      <c r="T823">
        <f t="shared" si="174"/>
        <v>0</v>
      </c>
      <c r="U823">
        <f t="shared" si="174"/>
        <v>0</v>
      </c>
      <c r="V823">
        <f t="shared" si="174"/>
        <v>0</v>
      </c>
      <c r="W823">
        <f t="shared" si="174"/>
        <v>0</v>
      </c>
      <c r="X823">
        <f t="shared" si="174"/>
        <v>0</v>
      </c>
      <c r="Y823">
        <f t="shared" si="173"/>
        <v>0</v>
      </c>
      <c r="Z823">
        <f t="shared" si="173"/>
        <v>0</v>
      </c>
      <c r="AA823">
        <f t="shared" si="173"/>
        <v>0</v>
      </c>
      <c r="AB823">
        <f t="shared" si="173"/>
        <v>0</v>
      </c>
      <c r="AC823">
        <f t="shared" si="173"/>
        <v>0</v>
      </c>
      <c r="AD823">
        <f t="shared" si="173"/>
        <v>0</v>
      </c>
      <c r="AE823">
        <f t="shared" si="173"/>
        <v>0</v>
      </c>
      <c r="AF823">
        <f t="shared" si="173"/>
        <v>0</v>
      </c>
      <c r="AG823">
        <f t="shared" si="173"/>
        <v>0</v>
      </c>
      <c r="AH823">
        <f t="shared" si="173"/>
        <v>0</v>
      </c>
      <c r="AI823">
        <f t="shared" si="173"/>
        <v>0</v>
      </c>
      <c r="AJ823">
        <f t="shared" si="173"/>
        <v>0</v>
      </c>
      <c r="AK823">
        <f t="shared" si="173"/>
        <v>0</v>
      </c>
      <c r="AL823">
        <f t="shared" si="173"/>
        <v>0</v>
      </c>
      <c r="AM823">
        <f t="shared" si="173"/>
        <v>0</v>
      </c>
      <c r="AN823">
        <f t="shared" si="175"/>
        <v>0</v>
      </c>
      <c r="AO823">
        <f t="shared" si="175"/>
        <v>0</v>
      </c>
      <c r="AP823">
        <f t="shared" si="175"/>
        <v>0</v>
      </c>
      <c r="AQ823">
        <f t="shared" si="175"/>
        <v>0</v>
      </c>
      <c r="AR823">
        <f t="shared" si="175"/>
        <v>0</v>
      </c>
    </row>
    <row r="824" spans="5:44" x14ac:dyDescent="0.2">
      <c r="E824" s="1">
        <f>moment_rate!$M824</f>
        <v>0</v>
      </c>
      <c r="F824" s="1">
        <f t="shared" si="166"/>
        <v>0</v>
      </c>
      <c r="G824">
        <f>moment_rate!I824-0.005</f>
        <v>8.1699999999998703</v>
      </c>
      <c r="H824" s="1">
        <f t="shared" si="167"/>
        <v>0</v>
      </c>
      <c r="I824">
        <f t="shared" si="174"/>
        <v>0</v>
      </c>
      <c r="J824">
        <f t="shared" si="174"/>
        <v>0</v>
      </c>
      <c r="K824">
        <f t="shared" si="174"/>
        <v>0</v>
      </c>
      <c r="L824">
        <f t="shared" si="174"/>
        <v>0</v>
      </c>
      <c r="M824">
        <f t="shared" si="174"/>
        <v>0</v>
      </c>
      <c r="N824">
        <f t="shared" si="174"/>
        <v>0</v>
      </c>
      <c r="O824">
        <f t="shared" si="174"/>
        <v>0</v>
      </c>
      <c r="P824">
        <f t="shared" si="174"/>
        <v>0</v>
      </c>
      <c r="Q824">
        <f t="shared" si="174"/>
        <v>0</v>
      </c>
      <c r="R824">
        <f t="shared" si="174"/>
        <v>0</v>
      </c>
      <c r="S824">
        <f t="shared" si="174"/>
        <v>0</v>
      </c>
      <c r="T824">
        <f t="shared" si="174"/>
        <v>0</v>
      </c>
      <c r="U824">
        <f t="shared" si="174"/>
        <v>0</v>
      </c>
      <c r="V824">
        <f t="shared" si="174"/>
        <v>0</v>
      </c>
      <c r="W824">
        <f t="shared" si="174"/>
        <v>0</v>
      </c>
      <c r="X824">
        <f t="shared" si="174"/>
        <v>0</v>
      </c>
      <c r="Y824">
        <f t="shared" si="173"/>
        <v>0</v>
      </c>
      <c r="Z824">
        <f t="shared" si="173"/>
        <v>0</v>
      </c>
      <c r="AA824">
        <f t="shared" si="173"/>
        <v>0</v>
      </c>
      <c r="AB824">
        <f t="shared" si="173"/>
        <v>0</v>
      </c>
      <c r="AC824">
        <f t="shared" si="173"/>
        <v>0</v>
      </c>
      <c r="AD824">
        <f t="shared" si="173"/>
        <v>0</v>
      </c>
      <c r="AE824">
        <f t="shared" si="173"/>
        <v>0</v>
      </c>
      <c r="AF824">
        <f t="shared" si="173"/>
        <v>0</v>
      </c>
      <c r="AG824">
        <f t="shared" si="173"/>
        <v>0</v>
      </c>
      <c r="AH824">
        <f t="shared" si="173"/>
        <v>0</v>
      </c>
      <c r="AI824">
        <f t="shared" si="173"/>
        <v>0</v>
      </c>
      <c r="AJ824">
        <f t="shared" si="173"/>
        <v>0</v>
      </c>
      <c r="AK824">
        <f t="shared" si="173"/>
        <v>0</v>
      </c>
      <c r="AL824">
        <f t="shared" si="173"/>
        <v>0</v>
      </c>
      <c r="AM824">
        <f t="shared" si="173"/>
        <v>0</v>
      </c>
      <c r="AN824">
        <f t="shared" si="175"/>
        <v>0</v>
      </c>
      <c r="AO824">
        <f t="shared" si="175"/>
        <v>0</v>
      </c>
      <c r="AP824">
        <f t="shared" si="175"/>
        <v>0</v>
      </c>
      <c r="AQ824">
        <f t="shared" si="175"/>
        <v>0</v>
      </c>
      <c r="AR824">
        <f t="shared" si="175"/>
        <v>0</v>
      </c>
    </row>
    <row r="825" spans="5:44" x14ac:dyDescent="0.2">
      <c r="E825" s="1">
        <f>moment_rate!$M825</f>
        <v>0</v>
      </c>
      <c r="F825" s="1">
        <f t="shared" si="166"/>
        <v>0</v>
      </c>
      <c r="G825">
        <f>moment_rate!I825-0.005</f>
        <v>8.17999999999987</v>
      </c>
      <c r="H825" s="1">
        <f t="shared" si="167"/>
        <v>0</v>
      </c>
      <c r="I825">
        <f t="shared" si="174"/>
        <v>0</v>
      </c>
      <c r="J825">
        <f t="shared" si="174"/>
        <v>0</v>
      </c>
      <c r="K825">
        <f t="shared" si="174"/>
        <v>0</v>
      </c>
      <c r="L825">
        <f t="shared" si="174"/>
        <v>0</v>
      </c>
      <c r="M825">
        <f t="shared" si="174"/>
        <v>0</v>
      </c>
      <c r="N825">
        <f t="shared" si="174"/>
        <v>0</v>
      </c>
      <c r="O825">
        <f t="shared" si="174"/>
        <v>0</v>
      </c>
      <c r="P825">
        <f t="shared" si="174"/>
        <v>0</v>
      </c>
      <c r="Q825">
        <f t="shared" si="174"/>
        <v>0</v>
      </c>
      <c r="R825">
        <f t="shared" si="174"/>
        <v>0</v>
      </c>
      <c r="S825">
        <f t="shared" si="174"/>
        <v>0</v>
      </c>
      <c r="T825">
        <f t="shared" si="174"/>
        <v>0</v>
      </c>
      <c r="U825">
        <f t="shared" si="174"/>
        <v>0</v>
      </c>
      <c r="V825">
        <f t="shared" si="174"/>
        <v>0</v>
      </c>
      <c r="W825">
        <f t="shared" si="174"/>
        <v>0</v>
      </c>
      <c r="X825">
        <f t="shared" si="174"/>
        <v>0</v>
      </c>
      <c r="Y825">
        <f t="shared" si="173"/>
        <v>0</v>
      </c>
      <c r="Z825">
        <f t="shared" si="173"/>
        <v>0</v>
      </c>
      <c r="AA825">
        <f t="shared" si="173"/>
        <v>0</v>
      </c>
      <c r="AB825">
        <f t="shared" si="173"/>
        <v>0</v>
      </c>
      <c r="AC825">
        <f t="shared" si="173"/>
        <v>0</v>
      </c>
      <c r="AD825">
        <f t="shared" si="173"/>
        <v>0</v>
      </c>
      <c r="AE825">
        <f t="shared" si="173"/>
        <v>0</v>
      </c>
      <c r="AF825">
        <f t="shared" si="173"/>
        <v>0</v>
      </c>
      <c r="AG825">
        <f t="shared" si="173"/>
        <v>0</v>
      </c>
      <c r="AH825">
        <f t="shared" si="173"/>
        <v>0</v>
      </c>
      <c r="AI825">
        <f t="shared" si="173"/>
        <v>0</v>
      </c>
      <c r="AJ825">
        <f t="shared" si="173"/>
        <v>0</v>
      </c>
      <c r="AK825">
        <f t="shared" si="173"/>
        <v>0</v>
      </c>
      <c r="AL825">
        <f t="shared" si="173"/>
        <v>0</v>
      </c>
      <c r="AM825">
        <f t="shared" si="173"/>
        <v>0</v>
      </c>
      <c r="AN825">
        <f t="shared" si="175"/>
        <v>0</v>
      </c>
      <c r="AO825">
        <f t="shared" si="175"/>
        <v>0</v>
      </c>
      <c r="AP825">
        <f t="shared" si="175"/>
        <v>0</v>
      </c>
      <c r="AQ825">
        <f t="shared" si="175"/>
        <v>0</v>
      </c>
      <c r="AR825">
        <f t="shared" si="175"/>
        <v>0</v>
      </c>
    </row>
    <row r="826" spans="5:44" x14ac:dyDescent="0.2">
      <c r="E826" s="1">
        <f>moment_rate!$M826</f>
        <v>0</v>
      </c>
      <c r="F826" s="1">
        <f t="shared" si="166"/>
        <v>0</v>
      </c>
      <c r="G826">
        <f>moment_rate!I826-0.005</f>
        <v>8.1899999999998698</v>
      </c>
      <c r="H826" s="1">
        <f t="shared" si="167"/>
        <v>0</v>
      </c>
      <c r="I826">
        <f t="shared" si="174"/>
        <v>0</v>
      </c>
      <c r="J826">
        <f t="shared" si="174"/>
        <v>0</v>
      </c>
      <c r="K826">
        <f t="shared" si="174"/>
        <v>0</v>
      </c>
      <c r="L826">
        <f t="shared" si="174"/>
        <v>0</v>
      </c>
      <c r="M826">
        <f t="shared" si="174"/>
        <v>0</v>
      </c>
      <c r="N826">
        <f t="shared" si="174"/>
        <v>0</v>
      </c>
      <c r="O826">
        <f t="shared" si="174"/>
        <v>0</v>
      </c>
      <c r="P826">
        <f t="shared" si="174"/>
        <v>0</v>
      </c>
      <c r="Q826">
        <f t="shared" si="174"/>
        <v>0</v>
      </c>
      <c r="R826">
        <f t="shared" si="174"/>
        <v>0</v>
      </c>
      <c r="S826">
        <f t="shared" si="174"/>
        <v>0</v>
      </c>
      <c r="T826">
        <f t="shared" si="174"/>
        <v>0</v>
      </c>
      <c r="U826">
        <f t="shared" si="174"/>
        <v>0</v>
      </c>
      <c r="V826">
        <f t="shared" si="174"/>
        <v>0</v>
      </c>
      <c r="W826">
        <f t="shared" si="174"/>
        <v>0</v>
      </c>
      <c r="X826">
        <f t="shared" ref="X826:AM841" si="176">IF(AND($G826&gt;=X$3,$G826&lt;X$4),$F826,0)</f>
        <v>0</v>
      </c>
      <c r="Y826">
        <f t="shared" si="176"/>
        <v>0</v>
      </c>
      <c r="Z826">
        <f t="shared" si="176"/>
        <v>0</v>
      </c>
      <c r="AA826">
        <f t="shared" si="176"/>
        <v>0</v>
      </c>
      <c r="AB826">
        <f t="shared" si="176"/>
        <v>0</v>
      </c>
      <c r="AC826">
        <f t="shared" si="176"/>
        <v>0</v>
      </c>
      <c r="AD826">
        <f t="shared" si="176"/>
        <v>0</v>
      </c>
      <c r="AE826">
        <f t="shared" si="176"/>
        <v>0</v>
      </c>
      <c r="AF826">
        <f t="shared" si="176"/>
        <v>0</v>
      </c>
      <c r="AG826">
        <f t="shared" si="176"/>
        <v>0</v>
      </c>
      <c r="AH826">
        <f t="shared" si="176"/>
        <v>0</v>
      </c>
      <c r="AI826">
        <f t="shared" si="176"/>
        <v>0</v>
      </c>
      <c r="AJ826">
        <f t="shared" si="176"/>
        <v>0</v>
      </c>
      <c r="AK826">
        <f t="shared" si="176"/>
        <v>0</v>
      </c>
      <c r="AL826">
        <f t="shared" si="176"/>
        <v>0</v>
      </c>
      <c r="AM826">
        <f t="shared" si="176"/>
        <v>0</v>
      </c>
      <c r="AN826">
        <f t="shared" si="175"/>
        <v>0</v>
      </c>
      <c r="AO826">
        <f t="shared" si="175"/>
        <v>0</v>
      </c>
      <c r="AP826">
        <f t="shared" si="175"/>
        <v>0</v>
      </c>
      <c r="AQ826">
        <f t="shared" si="175"/>
        <v>0</v>
      </c>
      <c r="AR826">
        <f t="shared" si="175"/>
        <v>0</v>
      </c>
    </row>
    <row r="827" spans="5:44" x14ac:dyDescent="0.2">
      <c r="E827" s="1">
        <f>moment_rate!$M827</f>
        <v>0</v>
      </c>
      <c r="F827" s="1">
        <f t="shared" si="166"/>
        <v>0</v>
      </c>
      <c r="G827">
        <f>moment_rate!I827-0.005</f>
        <v>8.1999999999998696</v>
      </c>
      <c r="H827" s="1">
        <f t="shared" si="167"/>
        <v>0</v>
      </c>
      <c r="I827">
        <f t="shared" ref="I827:X842" si="177">IF(AND($G827&gt;=I$3,$G827&lt;I$4),$F827,0)</f>
        <v>0</v>
      </c>
      <c r="J827">
        <f t="shared" si="177"/>
        <v>0</v>
      </c>
      <c r="K827">
        <f t="shared" si="177"/>
        <v>0</v>
      </c>
      <c r="L827">
        <f t="shared" si="177"/>
        <v>0</v>
      </c>
      <c r="M827">
        <f t="shared" si="177"/>
        <v>0</v>
      </c>
      <c r="N827">
        <f t="shared" si="177"/>
        <v>0</v>
      </c>
      <c r="O827">
        <f t="shared" si="177"/>
        <v>0</v>
      </c>
      <c r="P827">
        <f t="shared" si="177"/>
        <v>0</v>
      </c>
      <c r="Q827">
        <f t="shared" si="177"/>
        <v>0</v>
      </c>
      <c r="R827">
        <f t="shared" si="177"/>
        <v>0</v>
      </c>
      <c r="S827">
        <f t="shared" si="177"/>
        <v>0</v>
      </c>
      <c r="T827">
        <f t="shared" si="177"/>
        <v>0</v>
      </c>
      <c r="U827">
        <f t="shared" si="177"/>
        <v>0</v>
      </c>
      <c r="V827">
        <f t="shared" si="177"/>
        <v>0</v>
      </c>
      <c r="W827">
        <f t="shared" si="177"/>
        <v>0</v>
      </c>
      <c r="X827">
        <f t="shared" si="177"/>
        <v>0</v>
      </c>
      <c r="Y827">
        <f t="shared" si="176"/>
        <v>0</v>
      </c>
      <c r="Z827">
        <f t="shared" si="176"/>
        <v>0</v>
      </c>
      <c r="AA827">
        <f t="shared" si="176"/>
        <v>0</v>
      </c>
      <c r="AB827">
        <f t="shared" si="176"/>
        <v>0</v>
      </c>
      <c r="AC827">
        <f t="shared" si="176"/>
        <v>0</v>
      </c>
      <c r="AD827">
        <f t="shared" si="176"/>
        <v>0</v>
      </c>
      <c r="AE827">
        <f t="shared" si="176"/>
        <v>0</v>
      </c>
      <c r="AF827">
        <f t="shared" si="176"/>
        <v>0</v>
      </c>
      <c r="AG827">
        <f t="shared" si="176"/>
        <v>0</v>
      </c>
      <c r="AH827">
        <f t="shared" si="176"/>
        <v>0</v>
      </c>
      <c r="AI827">
        <f t="shared" si="176"/>
        <v>0</v>
      </c>
      <c r="AJ827">
        <f t="shared" si="176"/>
        <v>0</v>
      </c>
      <c r="AK827">
        <f t="shared" si="176"/>
        <v>0</v>
      </c>
      <c r="AL827">
        <f t="shared" si="176"/>
        <v>0</v>
      </c>
      <c r="AM827">
        <f t="shared" si="176"/>
        <v>0</v>
      </c>
      <c r="AN827">
        <f t="shared" si="175"/>
        <v>0</v>
      </c>
      <c r="AO827">
        <f t="shared" si="175"/>
        <v>0</v>
      </c>
      <c r="AP827">
        <f t="shared" si="175"/>
        <v>0</v>
      </c>
      <c r="AQ827">
        <f t="shared" si="175"/>
        <v>0</v>
      </c>
      <c r="AR827">
        <f t="shared" si="175"/>
        <v>0</v>
      </c>
    </row>
    <row r="828" spans="5:44" x14ac:dyDescent="0.2">
      <c r="E828" s="1">
        <f>moment_rate!$M828</f>
        <v>0</v>
      </c>
      <c r="F828" s="1">
        <f t="shared" si="166"/>
        <v>0</v>
      </c>
      <c r="G828">
        <f>moment_rate!I828-0.005</f>
        <v>8.2099999999998694</v>
      </c>
      <c r="H828" s="1">
        <f t="shared" si="167"/>
        <v>0</v>
      </c>
      <c r="I828">
        <f t="shared" si="177"/>
        <v>0</v>
      </c>
      <c r="J828">
        <f t="shared" si="177"/>
        <v>0</v>
      </c>
      <c r="K828">
        <f t="shared" si="177"/>
        <v>0</v>
      </c>
      <c r="L828">
        <f t="shared" si="177"/>
        <v>0</v>
      </c>
      <c r="M828">
        <f t="shared" si="177"/>
        <v>0</v>
      </c>
      <c r="N828">
        <f t="shared" si="177"/>
        <v>0</v>
      </c>
      <c r="O828">
        <f t="shared" si="177"/>
        <v>0</v>
      </c>
      <c r="P828">
        <f t="shared" si="177"/>
        <v>0</v>
      </c>
      <c r="Q828">
        <f t="shared" si="177"/>
        <v>0</v>
      </c>
      <c r="R828">
        <f t="shared" si="177"/>
        <v>0</v>
      </c>
      <c r="S828">
        <f t="shared" si="177"/>
        <v>0</v>
      </c>
      <c r="T828">
        <f t="shared" si="177"/>
        <v>0</v>
      </c>
      <c r="U828">
        <f t="shared" si="177"/>
        <v>0</v>
      </c>
      <c r="V828">
        <f t="shared" si="177"/>
        <v>0</v>
      </c>
      <c r="W828">
        <f t="shared" si="177"/>
        <v>0</v>
      </c>
      <c r="X828">
        <f t="shared" si="177"/>
        <v>0</v>
      </c>
      <c r="Y828">
        <f t="shared" si="176"/>
        <v>0</v>
      </c>
      <c r="Z828">
        <f t="shared" si="176"/>
        <v>0</v>
      </c>
      <c r="AA828">
        <f t="shared" si="176"/>
        <v>0</v>
      </c>
      <c r="AB828">
        <f t="shared" si="176"/>
        <v>0</v>
      </c>
      <c r="AC828">
        <f t="shared" si="176"/>
        <v>0</v>
      </c>
      <c r="AD828">
        <f t="shared" si="176"/>
        <v>0</v>
      </c>
      <c r="AE828">
        <f t="shared" si="176"/>
        <v>0</v>
      </c>
      <c r="AF828">
        <f t="shared" si="176"/>
        <v>0</v>
      </c>
      <c r="AG828">
        <f t="shared" si="176"/>
        <v>0</v>
      </c>
      <c r="AH828">
        <f t="shared" si="176"/>
        <v>0</v>
      </c>
      <c r="AI828">
        <f t="shared" si="176"/>
        <v>0</v>
      </c>
      <c r="AJ828">
        <f t="shared" si="176"/>
        <v>0</v>
      </c>
      <c r="AK828">
        <f t="shared" si="176"/>
        <v>0</v>
      </c>
      <c r="AL828">
        <f t="shared" si="176"/>
        <v>0</v>
      </c>
      <c r="AM828">
        <f t="shared" si="176"/>
        <v>0</v>
      </c>
      <c r="AN828">
        <f t="shared" si="175"/>
        <v>0</v>
      </c>
      <c r="AO828">
        <f t="shared" si="175"/>
        <v>0</v>
      </c>
      <c r="AP828">
        <f t="shared" si="175"/>
        <v>0</v>
      </c>
      <c r="AQ828">
        <f t="shared" si="175"/>
        <v>0</v>
      </c>
      <c r="AR828">
        <f t="shared" si="175"/>
        <v>0</v>
      </c>
    </row>
    <row r="829" spans="5:44" x14ac:dyDescent="0.2">
      <c r="E829" s="1">
        <f>moment_rate!$M829</f>
        <v>0</v>
      </c>
      <c r="F829" s="1">
        <f t="shared" si="166"/>
        <v>0</v>
      </c>
      <c r="G829">
        <f>moment_rate!I829-0.005</f>
        <v>8.2199999999998692</v>
      </c>
      <c r="H829" s="1">
        <f t="shared" si="167"/>
        <v>0</v>
      </c>
      <c r="I829">
        <f t="shared" si="177"/>
        <v>0</v>
      </c>
      <c r="J829">
        <f t="shared" si="177"/>
        <v>0</v>
      </c>
      <c r="K829">
        <f t="shared" si="177"/>
        <v>0</v>
      </c>
      <c r="L829">
        <f t="shared" si="177"/>
        <v>0</v>
      </c>
      <c r="M829">
        <f t="shared" si="177"/>
        <v>0</v>
      </c>
      <c r="N829">
        <f t="shared" si="177"/>
        <v>0</v>
      </c>
      <c r="O829">
        <f t="shared" si="177"/>
        <v>0</v>
      </c>
      <c r="P829">
        <f t="shared" si="177"/>
        <v>0</v>
      </c>
      <c r="Q829">
        <f t="shared" si="177"/>
        <v>0</v>
      </c>
      <c r="R829">
        <f t="shared" si="177"/>
        <v>0</v>
      </c>
      <c r="S829">
        <f t="shared" si="177"/>
        <v>0</v>
      </c>
      <c r="T829">
        <f t="shared" si="177"/>
        <v>0</v>
      </c>
      <c r="U829">
        <f t="shared" si="177"/>
        <v>0</v>
      </c>
      <c r="V829">
        <f t="shared" si="177"/>
        <v>0</v>
      </c>
      <c r="W829">
        <f t="shared" si="177"/>
        <v>0</v>
      </c>
      <c r="X829">
        <f t="shared" si="177"/>
        <v>0</v>
      </c>
      <c r="Y829">
        <f t="shared" si="176"/>
        <v>0</v>
      </c>
      <c r="Z829">
        <f t="shared" si="176"/>
        <v>0</v>
      </c>
      <c r="AA829">
        <f t="shared" si="176"/>
        <v>0</v>
      </c>
      <c r="AB829">
        <f t="shared" si="176"/>
        <v>0</v>
      </c>
      <c r="AC829">
        <f t="shared" si="176"/>
        <v>0</v>
      </c>
      <c r="AD829">
        <f t="shared" si="176"/>
        <v>0</v>
      </c>
      <c r="AE829">
        <f t="shared" si="176"/>
        <v>0</v>
      </c>
      <c r="AF829">
        <f t="shared" si="176"/>
        <v>0</v>
      </c>
      <c r="AG829">
        <f t="shared" si="176"/>
        <v>0</v>
      </c>
      <c r="AH829">
        <f t="shared" si="176"/>
        <v>0</v>
      </c>
      <c r="AI829">
        <f t="shared" si="176"/>
        <v>0</v>
      </c>
      <c r="AJ829">
        <f t="shared" si="176"/>
        <v>0</v>
      </c>
      <c r="AK829">
        <f t="shared" si="176"/>
        <v>0</v>
      </c>
      <c r="AL829">
        <f t="shared" si="176"/>
        <v>0</v>
      </c>
      <c r="AM829">
        <f t="shared" si="176"/>
        <v>0</v>
      </c>
      <c r="AN829">
        <f t="shared" si="175"/>
        <v>0</v>
      </c>
      <c r="AO829">
        <f t="shared" si="175"/>
        <v>0</v>
      </c>
      <c r="AP829">
        <f t="shared" si="175"/>
        <v>0</v>
      </c>
      <c r="AQ829">
        <f t="shared" si="175"/>
        <v>0</v>
      </c>
      <c r="AR829">
        <f t="shared" si="175"/>
        <v>0</v>
      </c>
    </row>
    <row r="830" spans="5:44" x14ac:dyDescent="0.2">
      <c r="E830" s="1">
        <f>moment_rate!$M830</f>
        <v>0</v>
      </c>
      <c r="F830" s="1">
        <f t="shared" si="166"/>
        <v>0</v>
      </c>
      <c r="G830">
        <f>moment_rate!I830-0.005</f>
        <v>8.229999999999869</v>
      </c>
      <c r="H830" s="1">
        <f t="shared" si="167"/>
        <v>0</v>
      </c>
      <c r="I830">
        <f t="shared" si="177"/>
        <v>0</v>
      </c>
      <c r="J830">
        <f t="shared" si="177"/>
        <v>0</v>
      </c>
      <c r="K830">
        <f t="shared" si="177"/>
        <v>0</v>
      </c>
      <c r="L830">
        <f t="shared" si="177"/>
        <v>0</v>
      </c>
      <c r="M830">
        <f t="shared" si="177"/>
        <v>0</v>
      </c>
      <c r="N830">
        <f t="shared" si="177"/>
        <v>0</v>
      </c>
      <c r="O830">
        <f t="shared" si="177"/>
        <v>0</v>
      </c>
      <c r="P830">
        <f t="shared" si="177"/>
        <v>0</v>
      </c>
      <c r="Q830">
        <f t="shared" si="177"/>
        <v>0</v>
      </c>
      <c r="R830">
        <f t="shared" si="177"/>
        <v>0</v>
      </c>
      <c r="S830">
        <f t="shared" si="177"/>
        <v>0</v>
      </c>
      <c r="T830">
        <f t="shared" si="177"/>
        <v>0</v>
      </c>
      <c r="U830">
        <f t="shared" si="177"/>
        <v>0</v>
      </c>
      <c r="V830">
        <f t="shared" si="177"/>
        <v>0</v>
      </c>
      <c r="W830">
        <f t="shared" si="177"/>
        <v>0</v>
      </c>
      <c r="X830">
        <f t="shared" si="177"/>
        <v>0</v>
      </c>
      <c r="Y830">
        <f t="shared" si="176"/>
        <v>0</v>
      </c>
      <c r="Z830">
        <f t="shared" si="176"/>
        <v>0</v>
      </c>
      <c r="AA830">
        <f t="shared" si="176"/>
        <v>0</v>
      </c>
      <c r="AB830">
        <f t="shared" si="176"/>
        <v>0</v>
      </c>
      <c r="AC830">
        <f t="shared" si="176"/>
        <v>0</v>
      </c>
      <c r="AD830">
        <f t="shared" si="176"/>
        <v>0</v>
      </c>
      <c r="AE830">
        <f t="shared" si="176"/>
        <v>0</v>
      </c>
      <c r="AF830">
        <f t="shared" si="176"/>
        <v>0</v>
      </c>
      <c r="AG830">
        <f t="shared" si="176"/>
        <v>0</v>
      </c>
      <c r="AH830">
        <f t="shared" si="176"/>
        <v>0</v>
      </c>
      <c r="AI830">
        <f t="shared" si="176"/>
        <v>0</v>
      </c>
      <c r="AJ830">
        <f t="shared" si="176"/>
        <v>0</v>
      </c>
      <c r="AK830">
        <f t="shared" si="176"/>
        <v>0</v>
      </c>
      <c r="AL830">
        <f t="shared" si="176"/>
        <v>0</v>
      </c>
      <c r="AM830">
        <f t="shared" si="176"/>
        <v>0</v>
      </c>
      <c r="AN830">
        <f t="shared" si="175"/>
        <v>0</v>
      </c>
      <c r="AO830">
        <f t="shared" si="175"/>
        <v>0</v>
      </c>
      <c r="AP830">
        <f t="shared" si="175"/>
        <v>0</v>
      </c>
      <c r="AQ830">
        <f t="shared" si="175"/>
        <v>0</v>
      </c>
      <c r="AR830">
        <f t="shared" si="175"/>
        <v>0</v>
      </c>
    </row>
    <row r="831" spans="5:44" x14ac:dyDescent="0.2">
      <c r="E831" s="1">
        <f>moment_rate!$M831</f>
        <v>0</v>
      </c>
      <c r="F831" s="1">
        <f t="shared" si="166"/>
        <v>0</v>
      </c>
      <c r="G831">
        <f>moment_rate!I831-0.005</f>
        <v>8.2399999999998688</v>
      </c>
      <c r="H831" s="1">
        <f t="shared" si="167"/>
        <v>0</v>
      </c>
      <c r="I831">
        <f t="shared" si="177"/>
        <v>0</v>
      </c>
      <c r="J831">
        <f t="shared" si="177"/>
        <v>0</v>
      </c>
      <c r="K831">
        <f t="shared" si="177"/>
        <v>0</v>
      </c>
      <c r="L831">
        <f t="shared" si="177"/>
        <v>0</v>
      </c>
      <c r="M831">
        <f t="shared" si="177"/>
        <v>0</v>
      </c>
      <c r="N831">
        <f t="shared" si="177"/>
        <v>0</v>
      </c>
      <c r="O831">
        <f t="shared" si="177"/>
        <v>0</v>
      </c>
      <c r="P831">
        <f t="shared" si="177"/>
        <v>0</v>
      </c>
      <c r="Q831">
        <f t="shared" si="177"/>
        <v>0</v>
      </c>
      <c r="R831">
        <f t="shared" si="177"/>
        <v>0</v>
      </c>
      <c r="S831">
        <f t="shared" si="177"/>
        <v>0</v>
      </c>
      <c r="T831">
        <f t="shared" si="177"/>
        <v>0</v>
      </c>
      <c r="U831">
        <f t="shared" si="177"/>
        <v>0</v>
      </c>
      <c r="V831">
        <f t="shared" si="177"/>
        <v>0</v>
      </c>
      <c r="W831">
        <f t="shared" si="177"/>
        <v>0</v>
      </c>
      <c r="X831">
        <f t="shared" si="177"/>
        <v>0</v>
      </c>
      <c r="Y831">
        <f t="shared" si="176"/>
        <v>0</v>
      </c>
      <c r="Z831">
        <f t="shared" si="176"/>
        <v>0</v>
      </c>
      <c r="AA831">
        <f t="shared" si="176"/>
        <v>0</v>
      </c>
      <c r="AB831">
        <f t="shared" si="176"/>
        <v>0</v>
      </c>
      <c r="AC831">
        <f t="shared" si="176"/>
        <v>0</v>
      </c>
      <c r="AD831">
        <f t="shared" si="176"/>
        <v>0</v>
      </c>
      <c r="AE831">
        <f t="shared" si="176"/>
        <v>0</v>
      </c>
      <c r="AF831">
        <f t="shared" si="176"/>
        <v>0</v>
      </c>
      <c r="AG831">
        <f t="shared" si="176"/>
        <v>0</v>
      </c>
      <c r="AH831">
        <f t="shared" si="176"/>
        <v>0</v>
      </c>
      <c r="AI831">
        <f t="shared" si="176"/>
        <v>0</v>
      </c>
      <c r="AJ831">
        <f t="shared" si="176"/>
        <v>0</v>
      </c>
      <c r="AK831">
        <f t="shared" si="176"/>
        <v>0</v>
      </c>
      <c r="AL831">
        <f t="shared" si="176"/>
        <v>0</v>
      </c>
      <c r="AM831">
        <f t="shared" si="176"/>
        <v>0</v>
      </c>
      <c r="AN831">
        <f t="shared" si="175"/>
        <v>0</v>
      </c>
      <c r="AO831">
        <f t="shared" si="175"/>
        <v>0</v>
      </c>
      <c r="AP831">
        <f t="shared" si="175"/>
        <v>0</v>
      </c>
      <c r="AQ831">
        <f t="shared" si="175"/>
        <v>0</v>
      </c>
      <c r="AR831">
        <f t="shared" si="175"/>
        <v>0</v>
      </c>
    </row>
    <row r="832" spans="5:44" x14ac:dyDescent="0.2">
      <c r="E832" s="1">
        <f>moment_rate!$M832</f>
        <v>0</v>
      </c>
      <c r="F832" s="1">
        <f t="shared" si="166"/>
        <v>0</v>
      </c>
      <c r="G832">
        <f>moment_rate!I832-0.005</f>
        <v>8.2499999999998685</v>
      </c>
      <c r="H832" s="1">
        <f t="shared" si="167"/>
        <v>0</v>
      </c>
      <c r="I832">
        <f t="shared" si="177"/>
        <v>0</v>
      </c>
      <c r="J832">
        <f t="shared" si="177"/>
        <v>0</v>
      </c>
      <c r="K832">
        <f t="shared" si="177"/>
        <v>0</v>
      </c>
      <c r="L832">
        <f t="shared" si="177"/>
        <v>0</v>
      </c>
      <c r="M832">
        <f t="shared" si="177"/>
        <v>0</v>
      </c>
      <c r="N832">
        <f t="shared" si="177"/>
        <v>0</v>
      </c>
      <c r="O832">
        <f t="shared" si="177"/>
        <v>0</v>
      </c>
      <c r="P832">
        <f t="shared" si="177"/>
        <v>0</v>
      </c>
      <c r="Q832">
        <f t="shared" si="177"/>
        <v>0</v>
      </c>
      <c r="R832">
        <f t="shared" si="177"/>
        <v>0</v>
      </c>
      <c r="S832">
        <f t="shared" si="177"/>
        <v>0</v>
      </c>
      <c r="T832">
        <f t="shared" si="177"/>
        <v>0</v>
      </c>
      <c r="U832">
        <f t="shared" si="177"/>
        <v>0</v>
      </c>
      <c r="V832">
        <f t="shared" si="177"/>
        <v>0</v>
      </c>
      <c r="W832">
        <f t="shared" si="177"/>
        <v>0</v>
      </c>
      <c r="X832">
        <f t="shared" si="177"/>
        <v>0</v>
      </c>
      <c r="Y832">
        <f t="shared" si="176"/>
        <v>0</v>
      </c>
      <c r="Z832">
        <f t="shared" si="176"/>
        <v>0</v>
      </c>
      <c r="AA832">
        <f t="shared" si="176"/>
        <v>0</v>
      </c>
      <c r="AB832">
        <f t="shared" si="176"/>
        <v>0</v>
      </c>
      <c r="AC832">
        <f t="shared" si="176"/>
        <v>0</v>
      </c>
      <c r="AD832">
        <f t="shared" si="176"/>
        <v>0</v>
      </c>
      <c r="AE832">
        <f t="shared" si="176"/>
        <v>0</v>
      </c>
      <c r="AF832">
        <f t="shared" si="176"/>
        <v>0</v>
      </c>
      <c r="AG832">
        <f t="shared" si="176"/>
        <v>0</v>
      </c>
      <c r="AH832">
        <f t="shared" si="176"/>
        <v>0</v>
      </c>
      <c r="AI832">
        <f t="shared" si="176"/>
        <v>0</v>
      </c>
      <c r="AJ832">
        <f t="shared" si="176"/>
        <v>0</v>
      </c>
      <c r="AK832">
        <f t="shared" si="176"/>
        <v>0</v>
      </c>
      <c r="AL832">
        <f t="shared" si="176"/>
        <v>0</v>
      </c>
      <c r="AM832">
        <f t="shared" si="176"/>
        <v>0</v>
      </c>
      <c r="AN832">
        <f t="shared" si="175"/>
        <v>0</v>
      </c>
      <c r="AO832">
        <f t="shared" si="175"/>
        <v>0</v>
      </c>
      <c r="AP832">
        <f t="shared" si="175"/>
        <v>0</v>
      </c>
      <c r="AQ832">
        <f t="shared" si="175"/>
        <v>0</v>
      </c>
      <c r="AR832">
        <f t="shared" si="175"/>
        <v>0</v>
      </c>
    </row>
    <row r="833" spans="5:44" x14ac:dyDescent="0.2">
      <c r="E833" s="1">
        <f>moment_rate!$M833</f>
        <v>0</v>
      </c>
      <c r="F833" s="1">
        <f t="shared" si="166"/>
        <v>0</v>
      </c>
      <c r="G833">
        <f>moment_rate!I833-0.005</f>
        <v>8.2599999999998683</v>
      </c>
      <c r="H833" s="1">
        <f t="shared" si="167"/>
        <v>0</v>
      </c>
      <c r="I833">
        <f t="shared" si="177"/>
        <v>0</v>
      </c>
      <c r="J833">
        <f t="shared" si="177"/>
        <v>0</v>
      </c>
      <c r="K833">
        <f t="shared" si="177"/>
        <v>0</v>
      </c>
      <c r="L833">
        <f t="shared" si="177"/>
        <v>0</v>
      </c>
      <c r="M833">
        <f t="shared" si="177"/>
        <v>0</v>
      </c>
      <c r="N833">
        <f t="shared" si="177"/>
        <v>0</v>
      </c>
      <c r="O833">
        <f t="shared" si="177"/>
        <v>0</v>
      </c>
      <c r="P833">
        <f t="shared" si="177"/>
        <v>0</v>
      </c>
      <c r="Q833">
        <f t="shared" si="177"/>
        <v>0</v>
      </c>
      <c r="R833">
        <f t="shared" si="177"/>
        <v>0</v>
      </c>
      <c r="S833">
        <f t="shared" si="177"/>
        <v>0</v>
      </c>
      <c r="T833">
        <f t="shared" si="177"/>
        <v>0</v>
      </c>
      <c r="U833">
        <f t="shared" si="177"/>
        <v>0</v>
      </c>
      <c r="V833">
        <f t="shared" si="177"/>
        <v>0</v>
      </c>
      <c r="W833">
        <f t="shared" si="177"/>
        <v>0</v>
      </c>
      <c r="X833">
        <f t="shared" si="177"/>
        <v>0</v>
      </c>
      <c r="Y833">
        <f t="shared" si="176"/>
        <v>0</v>
      </c>
      <c r="Z833">
        <f t="shared" si="176"/>
        <v>0</v>
      </c>
      <c r="AA833">
        <f t="shared" si="176"/>
        <v>0</v>
      </c>
      <c r="AB833">
        <f t="shared" si="176"/>
        <v>0</v>
      </c>
      <c r="AC833">
        <f t="shared" si="176"/>
        <v>0</v>
      </c>
      <c r="AD833">
        <f t="shared" si="176"/>
        <v>0</v>
      </c>
      <c r="AE833">
        <f t="shared" si="176"/>
        <v>0</v>
      </c>
      <c r="AF833">
        <f t="shared" si="176"/>
        <v>0</v>
      </c>
      <c r="AG833">
        <f t="shared" si="176"/>
        <v>0</v>
      </c>
      <c r="AH833">
        <f t="shared" si="176"/>
        <v>0</v>
      </c>
      <c r="AI833">
        <f t="shared" si="176"/>
        <v>0</v>
      </c>
      <c r="AJ833">
        <f t="shared" si="176"/>
        <v>0</v>
      </c>
      <c r="AK833">
        <f t="shared" si="176"/>
        <v>0</v>
      </c>
      <c r="AL833">
        <f t="shared" si="176"/>
        <v>0</v>
      </c>
      <c r="AM833">
        <f t="shared" si="176"/>
        <v>0</v>
      </c>
      <c r="AN833">
        <f t="shared" si="175"/>
        <v>0</v>
      </c>
      <c r="AO833">
        <f t="shared" si="175"/>
        <v>0</v>
      </c>
      <c r="AP833">
        <f t="shared" si="175"/>
        <v>0</v>
      </c>
      <c r="AQ833">
        <f t="shared" si="175"/>
        <v>0</v>
      </c>
      <c r="AR833">
        <f t="shared" si="175"/>
        <v>0</v>
      </c>
    </row>
    <row r="834" spans="5:44" x14ac:dyDescent="0.2">
      <c r="E834" s="1">
        <f>moment_rate!$M834</f>
        <v>0</v>
      </c>
      <c r="F834" s="1">
        <f t="shared" si="166"/>
        <v>0</v>
      </c>
      <c r="G834">
        <f>moment_rate!I834-0.005</f>
        <v>8.2699999999998681</v>
      </c>
      <c r="H834" s="1">
        <f t="shared" si="167"/>
        <v>0</v>
      </c>
      <c r="I834">
        <f t="shared" si="177"/>
        <v>0</v>
      </c>
      <c r="J834">
        <f t="shared" si="177"/>
        <v>0</v>
      </c>
      <c r="K834">
        <f t="shared" si="177"/>
        <v>0</v>
      </c>
      <c r="L834">
        <f t="shared" si="177"/>
        <v>0</v>
      </c>
      <c r="M834">
        <f t="shared" si="177"/>
        <v>0</v>
      </c>
      <c r="N834">
        <f t="shared" si="177"/>
        <v>0</v>
      </c>
      <c r="O834">
        <f t="shared" si="177"/>
        <v>0</v>
      </c>
      <c r="P834">
        <f t="shared" si="177"/>
        <v>0</v>
      </c>
      <c r="Q834">
        <f t="shared" si="177"/>
        <v>0</v>
      </c>
      <c r="R834">
        <f t="shared" si="177"/>
        <v>0</v>
      </c>
      <c r="S834">
        <f t="shared" si="177"/>
        <v>0</v>
      </c>
      <c r="T834">
        <f t="shared" si="177"/>
        <v>0</v>
      </c>
      <c r="U834">
        <f t="shared" si="177"/>
        <v>0</v>
      </c>
      <c r="V834">
        <f t="shared" si="177"/>
        <v>0</v>
      </c>
      <c r="W834">
        <f t="shared" si="177"/>
        <v>0</v>
      </c>
      <c r="X834">
        <f t="shared" si="177"/>
        <v>0</v>
      </c>
      <c r="Y834">
        <f t="shared" si="176"/>
        <v>0</v>
      </c>
      <c r="Z834">
        <f t="shared" si="176"/>
        <v>0</v>
      </c>
      <c r="AA834">
        <f t="shared" si="176"/>
        <v>0</v>
      </c>
      <c r="AB834">
        <f t="shared" si="176"/>
        <v>0</v>
      </c>
      <c r="AC834">
        <f t="shared" si="176"/>
        <v>0</v>
      </c>
      <c r="AD834">
        <f t="shared" si="176"/>
        <v>0</v>
      </c>
      <c r="AE834">
        <f t="shared" si="176"/>
        <v>0</v>
      </c>
      <c r="AF834">
        <f t="shared" si="176"/>
        <v>0</v>
      </c>
      <c r="AG834">
        <f t="shared" si="176"/>
        <v>0</v>
      </c>
      <c r="AH834">
        <f t="shared" si="176"/>
        <v>0</v>
      </c>
      <c r="AI834">
        <f t="shared" si="176"/>
        <v>0</v>
      </c>
      <c r="AJ834">
        <f t="shared" si="176"/>
        <v>0</v>
      </c>
      <c r="AK834">
        <f t="shared" si="176"/>
        <v>0</v>
      </c>
      <c r="AL834">
        <f t="shared" si="176"/>
        <v>0</v>
      </c>
      <c r="AM834">
        <f t="shared" si="176"/>
        <v>0</v>
      </c>
      <c r="AN834">
        <f t="shared" ref="AN834:AR849" si="178">IF(AND($G834&gt;=AN$3,$G834&lt;AN$4),$F834,0)</f>
        <v>0</v>
      </c>
      <c r="AO834">
        <f t="shared" si="178"/>
        <v>0</v>
      </c>
      <c r="AP834">
        <f t="shared" si="178"/>
        <v>0</v>
      </c>
      <c r="AQ834">
        <f t="shared" si="178"/>
        <v>0</v>
      </c>
      <c r="AR834">
        <f t="shared" si="178"/>
        <v>0</v>
      </c>
    </row>
    <row r="835" spans="5:44" x14ac:dyDescent="0.2">
      <c r="E835" s="1">
        <f>moment_rate!$M835</f>
        <v>0</v>
      </c>
      <c r="F835" s="1">
        <f t="shared" si="166"/>
        <v>0</v>
      </c>
      <c r="G835">
        <f>moment_rate!I835-0.005</f>
        <v>8.2799999999998679</v>
      </c>
      <c r="H835" s="1">
        <f t="shared" si="167"/>
        <v>0</v>
      </c>
      <c r="I835">
        <f t="shared" si="177"/>
        <v>0</v>
      </c>
      <c r="J835">
        <f t="shared" si="177"/>
        <v>0</v>
      </c>
      <c r="K835">
        <f t="shared" si="177"/>
        <v>0</v>
      </c>
      <c r="L835">
        <f t="shared" si="177"/>
        <v>0</v>
      </c>
      <c r="M835">
        <f t="shared" si="177"/>
        <v>0</v>
      </c>
      <c r="N835">
        <f t="shared" si="177"/>
        <v>0</v>
      </c>
      <c r="O835">
        <f t="shared" si="177"/>
        <v>0</v>
      </c>
      <c r="P835">
        <f t="shared" si="177"/>
        <v>0</v>
      </c>
      <c r="Q835">
        <f t="shared" si="177"/>
        <v>0</v>
      </c>
      <c r="R835">
        <f t="shared" si="177"/>
        <v>0</v>
      </c>
      <c r="S835">
        <f t="shared" si="177"/>
        <v>0</v>
      </c>
      <c r="T835">
        <f t="shared" si="177"/>
        <v>0</v>
      </c>
      <c r="U835">
        <f t="shared" si="177"/>
        <v>0</v>
      </c>
      <c r="V835">
        <f t="shared" si="177"/>
        <v>0</v>
      </c>
      <c r="W835">
        <f t="shared" si="177"/>
        <v>0</v>
      </c>
      <c r="X835">
        <f t="shared" si="177"/>
        <v>0</v>
      </c>
      <c r="Y835">
        <f t="shared" si="176"/>
        <v>0</v>
      </c>
      <c r="Z835">
        <f t="shared" si="176"/>
        <v>0</v>
      </c>
      <c r="AA835">
        <f t="shared" si="176"/>
        <v>0</v>
      </c>
      <c r="AB835">
        <f t="shared" si="176"/>
        <v>0</v>
      </c>
      <c r="AC835">
        <f t="shared" si="176"/>
        <v>0</v>
      </c>
      <c r="AD835">
        <f t="shared" si="176"/>
        <v>0</v>
      </c>
      <c r="AE835">
        <f t="shared" si="176"/>
        <v>0</v>
      </c>
      <c r="AF835">
        <f t="shared" si="176"/>
        <v>0</v>
      </c>
      <c r="AG835">
        <f t="shared" si="176"/>
        <v>0</v>
      </c>
      <c r="AH835">
        <f t="shared" si="176"/>
        <v>0</v>
      </c>
      <c r="AI835">
        <f t="shared" si="176"/>
        <v>0</v>
      </c>
      <c r="AJ835">
        <f t="shared" si="176"/>
        <v>0</v>
      </c>
      <c r="AK835">
        <f t="shared" si="176"/>
        <v>0</v>
      </c>
      <c r="AL835">
        <f t="shared" si="176"/>
        <v>0</v>
      </c>
      <c r="AM835">
        <f t="shared" si="176"/>
        <v>0</v>
      </c>
      <c r="AN835">
        <f t="shared" si="178"/>
        <v>0</v>
      </c>
      <c r="AO835">
        <f t="shared" si="178"/>
        <v>0</v>
      </c>
      <c r="AP835">
        <f t="shared" si="178"/>
        <v>0</v>
      </c>
      <c r="AQ835">
        <f t="shared" si="178"/>
        <v>0</v>
      </c>
      <c r="AR835">
        <f t="shared" si="178"/>
        <v>0</v>
      </c>
    </row>
    <row r="836" spans="5:44" x14ac:dyDescent="0.2">
      <c r="E836" s="1">
        <f>moment_rate!$M836</f>
        <v>0</v>
      </c>
      <c r="F836" s="1">
        <f t="shared" si="166"/>
        <v>0</v>
      </c>
      <c r="G836">
        <f>moment_rate!I836-0.005</f>
        <v>8.2899999999998677</v>
      </c>
      <c r="H836" s="1">
        <f t="shared" si="167"/>
        <v>0</v>
      </c>
      <c r="I836">
        <f t="shared" si="177"/>
        <v>0</v>
      </c>
      <c r="J836">
        <f t="shared" si="177"/>
        <v>0</v>
      </c>
      <c r="K836">
        <f t="shared" si="177"/>
        <v>0</v>
      </c>
      <c r="L836">
        <f t="shared" si="177"/>
        <v>0</v>
      </c>
      <c r="M836">
        <f t="shared" si="177"/>
        <v>0</v>
      </c>
      <c r="N836">
        <f t="shared" si="177"/>
        <v>0</v>
      </c>
      <c r="O836">
        <f t="shared" si="177"/>
        <v>0</v>
      </c>
      <c r="P836">
        <f t="shared" si="177"/>
        <v>0</v>
      </c>
      <c r="Q836">
        <f t="shared" si="177"/>
        <v>0</v>
      </c>
      <c r="R836">
        <f t="shared" si="177"/>
        <v>0</v>
      </c>
      <c r="S836">
        <f t="shared" si="177"/>
        <v>0</v>
      </c>
      <c r="T836">
        <f t="shared" si="177"/>
        <v>0</v>
      </c>
      <c r="U836">
        <f t="shared" si="177"/>
        <v>0</v>
      </c>
      <c r="V836">
        <f t="shared" si="177"/>
        <v>0</v>
      </c>
      <c r="W836">
        <f t="shared" si="177"/>
        <v>0</v>
      </c>
      <c r="X836">
        <f t="shared" si="177"/>
        <v>0</v>
      </c>
      <c r="Y836">
        <f t="shared" si="176"/>
        <v>0</v>
      </c>
      <c r="Z836">
        <f t="shared" si="176"/>
        <v>0</v>
      </c>
      <c r="AA836">
        <f t="shared" si="176"/>
        <v>0</v>
      </c>
      <c r="AB836">
        <f t="shared" si="176"/>
        <v>0</v>
      </c>
      <c r="AC836">
        <f t="shared" si="176"/>
        <v>0</v>
      </c>
      <c r="AD836">
        <f t="shared" si="176"/>
        <v>0</v>
      </c>
      <c r="AE836">
        <f t="shared" si="176"/>
        <v>0</v>
      </c>
      <c r="AF836">
        <f t="shared" si="176"/>
        <v>0</v>
      </c>
      <c r="AG836">
        <f t="shared" si="176"/>
        <v>0</v>
      </c>
      <c r="AH836">
        <f t="shared" si="176"/>
        <v>0</v>
      </c>
      <c r="AI836">
        <f t="shared" si="176"/>
        <v>0</v>
      </c>
      <c r="AJ836">
        <f t="shared" si="176"/>
        <v>0</v>
      </c>
      <c r="AK836">
        <f t="shared" si="176"/>
        <v>0</v>
      </c>
      <c r="AL836">
        <f t="shared" si="176"/>
        <v>0</v>
      </c>
      <c r="AM836">
        <f t="shared" si="176"/>
        <v>0</v>
      </c>
      <c r="AN836">
        <f t="shared" si="178"/>
        <v>0</v>
      </c>
      <c r="AO836">
        <f t="shared" si="178"/>
        <v>0</v>
      </c>
      <c r="AP836">
        <f t="shared" si="178"/>
        <v>0</v>
      </c>
      <c r="AQ836">
        <f t="shared" si="178"/>
        <v>0</v>
      </c>
      <c r="AR836">
        <f t="shared" si="178"/>
        <v>0</v>
      </c>
    </row>
    <row r="837" spans="5:44" x14ac:dyDescent="0.2">
      <c r="E837" s="1">
        <f>moment_rate!$M837</f>
        <v>0</v>
      </c>
      <c r="F837" s="1">
        <f t="shared" si="166"/>
        <v>0</v>
      </c>
      <c r="G837">
        <f>moment_rate!I837-0.005</f>
        <v>8.2999999999998675</v>
      </c>
      <c r="H837" s="1">
        <f t="shared" si="167"/>
        <v>0</v>
      </c>
      <c r="I837">
        <f t="shared" si="177"/>
        <v>0</v>
      </c>
      <c r="J837">
        <f t="shared" si="177"/>
        <v>0</v>
      </c>
      <c r="K837">
        <f t="shared" si="177"/>
        <v>0</v>
      </c>
      <c r="L837">
        <f t="shared" si="177"/>
        <v>0</v>
      </c>
      <c r="M837">
        <f t="shared" si="177"/>
        <v>0</v>
      </c>
      <c r="N837">
        <f t="shared" si="177"/>
        <v>0</v>
      </c>
      <c r="O837">
        <f t="shared" si="177"/>
        <v>0</v>
      </c>
      <c r="P837">
        <f t="shared" si="177"/>
        <v>0</v>
      </c>
      <c r="Q837">
        <f t="shared" si="177"/>
        <v>0</v>
      </c>
      <c r="R837">
        <f t="shared" si="177"/>
        <v>0</v>
      </c>
      <c r="S837">
        <f t="shared" si="177"/>
        <v>0</v>
      </c>
      <c r="T837">
        <f t="shared" si="177"/>
        <v>0</v>
      </c>
      <c r="U837">
        <f t="shared" si="177"/>
        <v>0</v>
      </c>
      <c r="V837">
        <f t="shared" si="177"/>
        <v>0</v>
      </c>
      <c r="W837">
        <f t="shared" si="177"/>
        <v>0</v>
      </c>
      <c r="X837">
        <f t="shared" si="177"/>
        <v>0</v>
      </c>
      <c r="Y837">
        <f t="shared" si="176"/>
        <v>0</v>
      </c>
      <c r="Z837">
        <f t="shared" si="176"/>
        <v>0</v>
      </c>
      <c r="AA837">
        <f t="shared" si="176"/>
        <v>0</v>
      </c>
      <c r="AB837">
        <f t="shared" si="176"/>
        <v>0</v>
      </c>
      <c r="AC837">
        <f t="shared" si="176"/>
        <v>0</v>
      </c>
      <c r="AD837">
        <f t="shared" si="176"/>
        <v>0</v>
      </c>
      <c r="AE837">
        <f t="shared" si="176"/>
        <v>0</v>
      </c>
      <c r="AF837">
        <f t="shared" si="176"/>
        <v>0</v>
      </c>
      <c r="AG837">
        <f t="shared" si="176"/>
        <v>0</v>
      </c>
      <c r="AH837">
        <f t="shared" si="176"/>
        <v>0</v>
      </c>
      <c r="AI837">
        <f t="shared" si="176"/>
        <v>0</v>
      </c>
      <c r="AJ837">
        <f t="shared" si="176"/>
        <v>0</v>
      </c>
      <c r="AK837">
        <f t="shared" si="176"/>
        <v>0</v>
      </c>
      <c r="AL837">
        <f t="shared" si="176"/>
        <v>0</v>
      </c>
      <c r="AM837">
        <f t="shared" si="176"/>
        <v>0</v>
      </c>
      <c r="AN837">
        <f t="shared" si="178"/>
        <v>0</v>
      </c>
      <c r="AO837">
        <f t="shared" si="178"/>
        <v>0</v>
      </c>
      <c r="AP837">
        <f t="shared" si="178"/>
        <v>0</v>
      </c>
      <c r="AQ837">
        <f t="shared" si="178"/>
        <v>0</v>
      </c>
      <c r="AR837">
        <f t="shared" si="178"/>
        <v>0</v>
      </c>
    </row>
    <row r="838" spans="5:44" x14ac:dyDescent="0.2">
      <c r="E838" s="1">
        <f>moment_rate!$M838</f>
        <v>0</v>
      </c>
      <c r="F838" s="1">
        <f t="shared" si="166"/>
        <v>0</v>
      </c>
      <c r="G838">
        <f>moment_rate!I838-0.005</f>
        <v>8.3099999999998673</v>
      </c>
      <c r="H838" s="1">
        <f t="shared" si="167"/>
        <v>0</v>
      </c>
      <c r="I838">
        <f t="shared" si="177"/>
        <v>0</v>
      </c>
      <c r="J838">
        <f t="shared" si="177"/>
        <v>0</v>
      </c>
      <c r="K838">
        <f t="shared" si="177"/>
        <v>0</v>
      </c>
      <c r="L838">
        <f t="shared" si="177"/>
        <v>0</v>
      </c>
      <c r="M838">
        <f t="shared" si="177"/>
        <v>0</v>
      </c>
      <c r="N838">
        <f t="shared" si="177"/>
        <v>0</v>
      </c>
      <c r="O838">
        <f t="shared" si="177"/>
        <v>0</v>
      </c>
      <c r="P838">
        <f t="shared" si="177"/>
        <v>0</v>
      </c>
      <c r="Q838">
        <f t="shared" si="177"/>
        <v>0</v>
      </c>
      <c r="R838">
        <f t="shared" si="177"/>
        <v>0</v>
      </c>
      <c r="S838">
        <f t="shared" si="177"/>
        <v>0</v>
      </c>
      <c r="T838">
        <f t="shared" si="177"/>
        <v>0</v>
      </c>
      <c r="U838">
        <f t="shared" si="177"/>
        <v>0</v>
      </c>
      <c r="V838">
        <f t="shared" si="177"/>
        <v>0</v>
      </c>
      <c r="W838">
        <f t="shared" si="177"/>
        <v>0</v>
      </c>
      <c r="X838">
        <f t="shared" si="177"/>
        <v>0</v>
      </c>
      <c r="Y838">
        <f t="shared" si="176"/>
        <v>0</v>
      </c>
      <c r="Z838">
        <f t="shared" si="176"/>
        <v>0</v>
      </c>
      <c r="AA838">
        <f t="shared" si="176"/>
        <v>0</v>
      </c>
      <c r="AB838">
        <f t="shared" si="176"/>
        <v>0</v>
      </c>
      <c r="AC838">
        <f t="shared" si="176"/>
        <v>0</v>
      </c>
      <c r="AD838">
        <f t="shared" si="176"/>
        <v>0</v>
      </c>
      <c r="AE838">
        <f t="shared" si="176"/>
        <v>0</v>
      </c>
      <c r="AF838">
        <f t="shared" si="176"/>
        <v>0</v>
      </c>
      <c r="AG838">
        <f t="shared" si="176"/>
        <v>0</v>
      </c>
      <c r="AH838">
        <f t="shared" si="176"/>
        <v>0</v>
      </c>
      <c r="AI838">
        <f t="shared" si="176"/>
        <v>0</v>
      </c>
      <c r="AJ838">
        <f t="shared" si="176"/>
        <v>0</v>
      </c>
      <c r="AK838">
        <f t="shared" si="176"/>
        <v>0</v>
      </c>
      <c r="AL838">
        <f t="shared" si="176"/>
        <v>0</v>
      </c>
      <c r="AM838">
        <f t="shared" si="176"/>
        <v>0</v>
      </c>
      <c r="AN838">
        <f t="shared" si="178"/>
        <v>0</v>
      </c>
      <c r="AO838">
        <f t="shared" si="178"/>
        <v>0</v>
      </c>
      <c r="AP838">
        <f t="shared" si="178"/>
        <v>0</v>
      </c>
      <c r="AQ838">
        <f t="shared" si="178"/>
        <v>0</v>
      </c>
      <c r="AR838">
        <f t="shared" si="178"/>
        <v>0</v>
      </c>
    </row>
    <row r="839" spans="5:44" x14ac:dyDescent="0.2">
      <c r="E839" s="1">
        <f>moment_rate!$M839</f>
        <v>0</v>
      </c>
      <c r="F839" s="1">
        <f t="shared" si="166"/>
        <v>0</v>
      </c>
      <c r="G839">
        <f>moment_rate!I839-0.005</f>
        <v>8.3199999999998671</v>
      </c>
      <c r="H839" s="1">
        <f t="shared" si="167"/>
        <v>0</v>
      </c>
      <c r="I839">
        <f t="shared" si="177"/>
        <v>0</v>
      </c>
      <c r="J839">
        <f t="shared" si="177"/>
        <v>0</v>
      </c>
      <c r="K839">
        <f t="shared" si="177"/>
        <v>0</v>
      </c>
      <c r="L839">
        <f t="shared" si="177"/>
        <v>0</v>
      </c>
      <c r="M839">
        <f t="shared" si="177"/>
        <v>0</v>
      </c>
      <c r="N839">
        <f t="shared" si="177"/>
        <v>0</v>
      </c>
      <c r="O839">
        <f t="shared" si="177"/>
        <v>0</v>
      </c>
      <c r="P839">
        <f t="shared" si="177"/>
        <v>0</v>
      </c>
      <c r="Q839">
        <f t="shared" si="177"/>
        <v>0</v>
      </c>
      <c r="R839">
        <f t="shared" si="177"/>
        <v>0</v>
      </c>
      <c r="S839">
        <f t="shared" si="177"/>
        <v>0</v>
      </c>
      <c r="T839">
        <f t="shared" si="177"/>
        <v>0</v>
      </c>
      <c r="U839">
        <f t="shared" si="177"/>
        <v>0</v>
      </c>
      <c r="V839">
        <f t="shared" si="177"/>
        <v>0</v>
      </c>
      <c r="W839">
        <f t="shared" si="177"/>
        <v>0</v>
      </c>
      <c r="X839">
        <f t="shared" si="177"/>
        <v>0</v>
      </c>
      <c r="Y839">
        <f t="shared" si="176"/>
        <v>0</v>
      </c>
      <c r="Z839">
        <f t="shared" si="176"/>
        <v>0</v>
      </c>
      <c r="AA839">
        <f t="shared" si="176"/>
        <v>0</v>
      </c>
      <c r="AB839">
        <f t="shared" si="176"/>
        <v>0</v>
      </c>
      <c r="AC839">
        <f t="shared" si="176"/>
        <v>0</v>
      </c>
      <c r="AD839">
        <f t="shared" si="176"/>
        <v>0</v>
      </c>
      <c r="AE839">
        <f t="shared" si="176"/>
        <v>0</v>
      </c>
      <c r="AF839">
        <f t="shared" si="176"/>
        <v>0</v>
      </c>
      <c r="AG839">
        <f t="shared" si="176"/>
        <v>0</v>
      </c>
      <c r="AH839">
        <f t="shared" si="176"/>
        <v>0</v>
      </c>
      <c r="AI839">
        <f t="shared" si="176"/>
        <v>0</v>
      </c>
      <c r="AJ839">
        <f t="shared" si="176"/>
        <v>0</v>
      </c>
      <c r="AK839">
        <f t="shared" si="176"/>
        <v>0</v>
      </c>
      <c r="AL839">
        <f t="shared" si="176"/>
        <v>0</v>
      </c>
      <c r="AM839">
        <f t="shared" si="176"/>
        <v>0</v>
      </c>
      <c r="AN839">
        <f t="shared" si="178"/>
        <v>0</v>
      </c>
      <c r="AO839">
        <f t="shared" si="178"/>
        <v>0</v>
      </c>
      <c r="AP839">
        <f t="shared" si="178"/>
        <v>0</v>
      </c>
      <c r="AQ839">
        <f t="shared" si="178"/>
        <v>0</v>
      </c>
      <c r="AR839">
        <f t="shared" si="178"/>
        <v>0</v>
      </c>
    </row>
    <row r="840" spans="5:44" x14ac:dyDescent="0.2">
      <c r="E840" s="1">
        <f>moment_rate!$M840</f>
        <v>0</v>
      </c>
      <c r="F840" s="1">
        <f t="shared" ref="F840:F863" si="179">E840-E841</f>
        <v>0</v>
      </c>
      <c r="G840">
        <f>moment_rate!I840-0.005</f>
        <v>8.3299999999998668</v>
      </c>
      <c r="H840" s="1">
        <f t="shared" ref="H840:H863" si="180">IF($G840&gt;=4.999,(E840-E841),0)</f>
        <v>0</v>
      </c>
      <c r="I840">
        <f t="shared" si="177"/>
        <v>0</v>
      </c>
      <c r="J840">
        <f t="shared" si="177"/>
        <v>0</v>
      </c>
      <c r="K840">
        <f t="shared" si="177"/>
        <v>0</v>
      </c>
      <c r="L840">
        <f t="shared" si="177"/>
        <v>0</v>
      </c>
      <c r="M840">
        <f t="shared" si="177"/>
        <v>0</v>
      </c>
      <c r="N840">
        <f t="shared" si="177"/>
        <v>0</v>
      </c>
      <c r="O840">
        <f t="shared" si="177"/>
        <v>0</v>
      </c>
      <c r="P840">
        <f t="shared" si="177"/>
        <v>0</v>
      </c>
      <c r="Q840">
        <f t="shared" si="177"/>
        <v>0</v>
      </c>
      <c r="R840">
        <f t="shared" si="177"/>
        <v>0</v>
      </c>
      <c r="S840">
        <f t="shared" si="177"/>
        <v>0</v>
      </c>
      <c r="T840">
        <f t="shared" si="177"/>
        <v>0</v>
      </c>
      <c r="U840">
        <f t="shared" si="177"/>
        <v>0</v>
      </c>
      <c r="V840">
        <f t="shared" si="177"/>
        <v>0</v>
      </c>
      <c r="W840">
        <f t="shared" si="177"/>
        <v>0</v>
      </c>
      <c r="X840">
        <f t="shared" si="177"/>
        <v>0</v>
      </c>
      <c r="Y840">
        <f t="shared" si="176"/>
        <v>0</v>
      </c>
      <c r="Z840">
        <f t="shared" si="176"/>
        <v>0</v>
      </c>
      <c r="AA840">
        <f t="shared" si="176"/>
        <v>0</v>
      </c>
      <c r="AB840">
        <f t="shared" si="176"/>
        <v>0</v>
      </c>
      <c r="AC840">
        <f t="shared" si="176"/>
        <v>0</v>
      </c>
      <c r="AD840">
        <f t="shared" si="176"/>
        <v>0</v>
      </c>
      <c r="AE840">
        <f t="shared" si="176"/>
        <v>0</v>
      </c>
      <c r="AF840">
        <f t="shared" si="176"/>
        <v>0</v>
      </c>
      <c r="AG840">
        <f t="shared" si="176"/>
        <v>0</v>
      </c>
      <c r="AH840">
        <f t="shared" si="176"/>
        <v>0</v>
      </c>
      <c r="AI840">
        <f t="shared" si="176"/>
        <v>0</v>
      </c>
      <c r="AJ840">
        <f t="shared" si="176"/>
        <v>0</v>
      </c>
      <c r="AK840">
        <f t="shared" si="176"/>
        <v>0</v>
      </c>
      <c r="AL840">
        <f t="shared" si="176"/>
        <v>0</v>
      </c>
      <c r="AM840">
        <f t="shared" si="176"/>
        <v>0</v>
      </c>
      <c r="AN840">
        <f t="shared" si="178"/>
        <v>0</v>
      </c>
      <c r="AO840">
        <f t="shared" si="178"/>
        <v>0</v>
      </c>
      <c r="AP840">
        <f t="shared" si="178"/>
        <v>0</v>
      </c>
      <c r="AQ840">
        <f t="shared" si="178"/>
        <v>0</v>
      </c>
      <c r="AR840">
        <f t="shared" si="178"/>
        <v>0</v>
      </c>
    </row>
    <row r="841" spans="5:44" x14ac:dyDescent="0.2">
      <c r="E841" s="1">
        <f>moment_rate!$M841</f>
        <v>0</v>
      </c>
      <c r="F841" s="1">
        <f t="shared" si="179"/>
        <v>0</v>
      </c>
      <c r="G841">
        <f>moment_rate!I841-0.005</f>
        <v>8.3399999999998666</v>
      </c>
      <c r="H841" s="1">
        <f t="shared" si="180"/>
        <v>0</v>
      </c>
      <c r="I841">
        <f t="shared" si="177"/>
        <v>0</v>
      </c>
      <c r="J841">
        <f t="shared" si="177"/>
        <v>0</v>
      </c>
      <c r="K841">
        <f t="shared" si="177"/>
        <v>0</v>
      </c>
      <c r="L841">
        <f t="shared" si="177"/>
        <v>0</v>
      </c>
      <c r="M841">
        <f t="shared" si="177"/>
        <v>0</v>
      </c>
      <c r="N841">
        <f t="shared" si="177"/>
        <v>0</v>
      </c>
      <c r="O841">
        <f t="shared" si="177"/>
        <v>0</v>
      </c>
      <c r="P841">
        <f t="shared" si="177"/>
        <v>0</v>
      </c>
      <c r="Q841">
        <f t="shared" si="177"/>
        <v>0</v>
      </c>
      <c r="R841">
        <f t="shared" si="177"/>
        <v>0</v>
      </c>
      <c r="S841">
        <f t="shared" si="177"/>
        <v>0</v>
      </c>
      <c r="T841">
        <f t="shared" si="177"/>
        <v>0</v>
      </c>
      <c r="U841">
        <f t="shared" si="177"/>
        <v>0</v>
      </c>
      <c r="V841">
        <f t="shared" si="177"/>
        <v>0</v>
      </c>
      <c r="W841">
        <f t="shared" si="177"/>
        <v>0</v>
      </c>
      <c r="X841">
        <f t="shared" si="177"/>
        <v>0</v>
      </c>
      <c r="Y841">
        <f t="shared" si="176"/>
        <v>0</v>
      </c>
      <c r="Z841">
        <f t="shared" si="176"/>
        <v>0</v>
      </c>
      <c r="AA841">
        <f t="shared" si="176"/>
        <v>0</v>
      </c>
      <c r="AB841">
        <f t="shared" si="176"/>
        <v>0</v>
      </c>
      <c r="AC841">
        <f t="shared" si="176"/>
        <v>0</v>
      </c>
      <c r="AD841">
        <f t="shared" si="176"/>
        <v>0</v>
      </c>
      <c r="AE841">
        <f t="shared" si="176"/>
        <v>0</v>
      </c>
      <c r="AF841">
        <f t="shared" si="176"/>
        <v>0</v>
      </c>
      <c r="AG841">
        <f t="shared" si="176"/>
        <v>0</v>
      </c>
      <c r="AH841">
        <f t="shared" si="176"/>
        <v>0</v>
      </c>
      <c r="AI841">
        <f t="shared" si="176"/>
        <v>0</v>
      </c>
      <c r="AJ841">
        <f t="shared" si="176"/>
        <v>0</v>
      </c>
      <c r="AK841">
        <f t="shared" si="176"/>
        <v>0</v>
      </c>
      <c r="AL841">
        <f t="shared" si="176"/>
        <v>0</v>
      </c>
      <c r="AM841">
        <f t="shared" si="176"/>
        <v>0</v>
      </c>
      <c r="AN841">
        <f t="shared" si="178"/>
        <v>0</v>
      </c>
      <c r="AO841">
        <f t="shared" si="178"/>
        <v>0</v>
      </c>
      <c r="AP841">
        <f t="shared" si="178"/>
        <v>0</v>
      </c>
      <c r="AQ841">
        <f t="shared" si="178"/>
        <v>0</v>
      </c>
      <c r="AR841">
        <f t="shared" si="178"/>
        <v>0</v>
      </c>
    </row>
    <row r="842" spans="5:44" x14ac:dyDescent="0.2">
      <c r="E842" s="1">
        <f>moment_rate!$M842</f>
        <v>0</v>
      </c>
      <c r="F842" s="1">
        <f t="shared" si="179"/>
        <v>0</v>
      </c>
      <c r="G842">
        <f>moment_rate!I842-0.005</f>
        <v>8.3499999999998664</v>
      </c>
      <c r="H842" s="1">
        <f t="shared" si="180"/>
        <v>0</v>
      </c>
      <c r="I842">
        <f t="shared" si="177"/>
        <v>0</v>
      </c>
      <c r="J842">
        <f t="shared" si="177"/>
        <v>0</v>
      </c>
      <c r="K842">
        <f t="shared" si="177"/>
        <v>0</v>
      </c>
      <c r="L842">
        <f t="shared" si="177"/>
        <v>0</v>
      </c>
      <c r="M842">
        <f t="shared" si="177"/>
        <v>0</v>
      </c>
      <c r="N842">
        <f t="shared" si="177"/>
        <v>0</v>
      </c>
      <c r="O842">
        <f t="shared" si="177"/>
        <v>0</v>
      </c>
      <c r="P842">
        <f t="shared" si="177"/>
        <v>0</v>
      </c>
      <c r="Q842">
        <f t="shared" si="177"/>
        <v>0</v>
      </c>
      <c r="R842">
        <f t="shared" si="177"/>
        <v>0</v>
      </c>
      <c r="S842">
        <f t="shared" si="177"/>
        <v>0</v>
      </c>
      <c r="T842">
        <f t="shared" si="177"/>
        <v>0</v>
      </c>
      <c r="U842">
        <f t="shared" si="177"/>
        <v>0</v>
      </c>
      <c r="V842">
        <f t="shared" si="177"/>
        <v>0</v>
      </c>
      <c r="W842">
        <f t="shared" si="177"/>
        <v>0</v>
      </c>
      <c r="X842">
        <f t="shared" ref="X842:AM857" si="181">IF(AND($G842&gt;=X$3,$G842&lt;X$4),$F842,0)</f>
        <v>0</v>
      </c>
      <c r="Y842">
        <f t="shared" si="181"/>
        <v>0</v>
      </c>
      <c r="Z842">
        <f t="shared" si="181"/>
        <v>0</v>
      </c>
      <c r="AA842">
        <f t="shared" si="181"/>
        <v>0</v>
      </c>
      <c r="AB842">
        <f t="shared" si="181"/>
        <v>0</v>
      </c>
      <c r="AC842">
        <f t="shared" si="181"/>
        <v>0</v>
      </c>
      <c r="AD842">
        <f t="shared" si="181"/>
        <v>0</v>
      </c>
      <c r="AE842">
        <f t="shared" si="181"/>
        <v>0</v>
      </c>
      <c r="AF842">
        <f t="shared" si="181"/>
        <v>0</v>
      </c>
      <c r="AG842">
        <f t="shared" si="181"/>
        <v>0</v>
      </c>
      <c r="AH842">
        <f t="shared" si="181"/>
        <v>0</v>
      </c>
      <c r="AI842">
        <f t="shared" si="181"/>
        <v>0</v>
      </c>
      <c r="AJ842">
        <f t="shared" si="181"/>
        <v>0</v>
      </c>
      <c r="AK842">
        <f t="shared" si="181"/>
        <v>0</v>
      </c>
      <c r="AL842">
        <f t="shared" si="181"/>
        <v>0</v>
      </c>
      <c r="AM842">
        <f t="shared" si="181"/>
        <v>0</v>
      </c>
      <c r="AN842">
        <f t="shared" si="178"/>
        <v>0</v>
      </c>
      <c r="AO842">
        <f t="shared" si="178"/>
        <v>0</v>
      </c>
      <c r="AP842">
        <f t="shared" si="178"/>
        <v>0</v>
      </c>
      <c r="AQ842">
        <f t="shared" si="178"/>
        <v>0</v>
      </c>
      <c r="AR842">
        <f t="shared" si="178"/>
        <v>0</v>
      </c>
    </row>
    <row r="843" spans="5:44" x14ac:dyDescent="0.2">
      <c r="E843" s="1">
        <f>moment_rate!$M843</f>
        <v>0</v>
      </c>
      <c r="F843" s="1">
        <f t="shared" si="179"/>
        <v>0</v>
      </c>
      <c r="G843">
        <f>moment_rate!I843-0.005</f>
        <v>8.3599999999998662</v>
      </c>
      <c r="H843" s="1">
        <f t="shared" si="180"/>
        <v>0</v>
      </c>
      <c r="I843">
        <f t="shared" ref="I843:X858" si="182">IF(AND($G843&gt;=I$3,$G843&lt;I$4),$F843,0)</f>
        <v>0</v>
      </c>
      <c r="J843">
        <f t="shared" si="182"/>
        <v>0</v>
      </c>
      <c r="K843">
        <f t="shared" si="182"/>
        <v>0</v>
      </c>
      <c r="L843">
        <f t="shared" si="182"/>
        <v>0</v>
      </c>
      <c r="M843">
        <f t="shared" si="182"/>
        <v>0</v>
      </c>
      <c r="N843">
        <f t="shared" si="182"/>
        <v>0</v>
      </c>
      <c r="O843">
        <f t="shared" si="182"/>
        <v>0</v>
      </c>
      <c r="P843">
        <f t="shared" si="182"/>
        <v>0</v>
      </c>
      <c r="Q843">
        <f t="shared" si="182"/>
        <v>0</v>
      </c>
      <c r="R843">
        <f t="shared" si="182"/>
        <v>0</v>
      </c>
      <c r="S843">
        <f t="shared" si="182"/>
        <v>0</v>
      </c>
      <c r="T843">
        <f t="shared" si="182"/>
        <v>0</v>
      </c>
      <c r="U843">
        <f t="shared" si="182"/>
        <v>0</v>
      </c>
      <c r="V843">
        <f t="shared" si="182"/>
        <v>0</v>
      </c>
      <c r="W843">
        <f t="shared" si="182"/>
        <v>0</v>
      </c>
      <c r="X843">
        <f t="shared" si="182"/>
        <v>0</v>
      </c>
      <c r="Y843">
        <f t="shared" si="181"/>
        <v>0</v>
      </c>
      <c r="Z843">
        <f t="shared" si="181"/>
        <v>0</v>
      </c>
      <c r="AA843">
        <f t="shared" si="181"/>
        <v>0</v>
      </c>
      <c r="AB843">
        <f t="shared" si="181"/>
        <v>0</v>
      </c>
      <c r="AC843">
        <f t="shared" si="181"/>
        <v>0</v>
      </c>
      <c r="AD843">
        <f t="shared" si="181"/>
        <v>0</v>
      </c>
      <c r="AE843">
        <f t="shared" si="181"/>
        <v>0</v>
      </c>
      <c r="AF843">
        <f t="shared" si="181"/>
        <v>0</v>
      </c>
      <c r="AG843">
        <f t="shared" si="181"/>
        <v>0</v>
      </c>
      <c r="AH843">
        <f t="shared" si="181"/>
        <v>0</v>
      </c>
      <c r="AI843">
        <f t="shared" si="181"/>
        <v>0</v>
      </c>
      <c r="AJ843">
        <f t="shared" si="181"/>
        <v>0</v>
      </c>
      <c r="AK843">
        <f t="shared" si="181"/>
        <v>0</v>
      </c>
      <c r="AL843">
        <f t="shared" si="181"/>
        <v>0</v>
      </c>
      <c r="AM843">
        <f t="shared" si="181"/>
        <v>0</v>
      </c>
      <c r="AN843">
        <f t="shared" si="178"/>
        <v>0</v>
      </c>
      <c r="AO843">
        <f t="shared" si="178"/>
        <v>0</v>
      </c>
      <c r="AP843">
        <f t="shared" si="178"/>
        <v>0</v>
      </c>
      <c r="AQ843">
        <f t="shared" si="178"/>
        <v>0</v>
      </c>
      <c r="AR843">
        <f t="shared" si="178"/>
        <v>0</v>
      </c>
    </row>
    <row r="844" spans="5:44" x14ac:dyDescent="0.2">
      <c r="E844" s="1">
        <f>moment_rate!$M844</f>
        <v>0</v>
      </c>
      <c r="F844" s="1">
        <f t="shared" si="179"/>
        <v>0</v>
      </c>
      <c r="G844">
        <f>moment_rate!I844-0.005</f>
        <v>8.369999999999866</v>
      </c>
      <c r="H844" s="1">
        <f t="shared" si="180"/>
        <v>0</v>
      </c>
      <c r="I844">
        <f t="shared" si="182"/>
        <v>0</v>
      </c>
      <c r="J844">
        <f t="shared" si="182"/>
        <v>0</v>
      </c>
      <c r="K844">
        <f t="shared" si="182"/>
        <v>0</v>
      </c>
      <c r="L844">
        <f t="shared" si="182"/>
        <v>0</v>
      </c>
      <c r="M844">
        <f t="shared" si="182"/>
        <v>0</v>
      </c>
      <c r="N844">
        <f t="shared" si="182"/>
        <v>0</v>
      </c>
      <c r="O844">
        <f t="shared" si="182"/>
        <v>0</v>
      </c>
      <c r="P844">
        <f t="shared" si="182"/>
        <v>0</v>
      </c>
      <c r="Q844">
        <f t="shared" si="182"/>
        <v>0</v>
      </c>
      <c r="R844">
        <f t="shared" si="182"/>
        <v>0</v>
      </c>
      <c r="S844">
        <f t="shared" si="182"/>
        <v>0</v>
      </c>
      <c r="T844">
        <f t="shared" si="182"/>
        <v>0</v>
      </c>
      <c r="U844">
        <f t="shared" si="182"/>
        <v>0</v>
      </c>
      <c r="V844">
        <f t="shared" si="182"/>
        <v>0</v>
      </c>
      <c r="W844">
        <f t="shared" si="182"/>
        <v>0</v>
      </c>
      <c r="X844">
        <f t="shared" si="182"/>
        <v>0</v>
      </c>
      <c r="Y844">
        <f t="shared" si="181"/>
        <v>0</v>
      </c>
      <c r="Z844">
        <f t="shared" si="181"/>
        <v>0</v>
      </c>
      <c r="AA844">
        <f t="shared" si="181"/>
        <v>0</v>
      </c>
      <c r="AB844">
        <f t="shared" si="181"/>
        <v>0</v>
      </c>
      <c r="AC844">
        <f t="shared" si="181"/>
        <v>0</v>
      </c>
      <c r="AD844">
        <f t="shared" si="181"/>
        <v>0</v>
      </c>
      <c r="AE844">
        <f t="shared" si="181"/>
        <v>0</v>
      </c>
      <c r="AF844">
        <f t="shared" si="181"/>
        <v>0</v>
      </c>
      <c r="AG844">
        <f t="shared" si="181"/>
        <v>0</v>
      </c>
      <c r="AH844">
        <f t="shared" si="181"/>
        <v>0</v>
      </c>
      <c r="AI844">
        <f t="shared" si="181"/>
        <v>0</v>
      </c>
      <c r="AJ844">
        <f t="shared" si="181"/>
        <v>0</v>
      </c>
      <c r="AK844">
        <f t="shared" si="181"/>
        <v>0</v>
      </c>
      <c r="AL844">
        <f t="shared" si="181"/>
        <v>0</v>
      </c>
      <c r="AM844">
        <f t="shared" si="181"/>
        <v>0</v>
      </c>
      <c r="AN844">
        <f t="shared" si="178"/>
        <v>0</v>
      </c>
      <c r="AO844">
        <f t="shared" si="178"/>
        <v>0</v>
      </c>
      <c r="AP844">
        <f t="shared" si="178"/>
        <v>0</v>
      </c>
      <c r="AQ844">
        <f t="shared" si="178"/>
        <v>0</v>
      </c>
      <c r="AR844">
        <f t="shared" si="178"/>
        <v>0</v>
      </c>
    </row>
    <row r="845" spans="5:44" x14ac:dyDescent="0.2">
      <c r="E845" s="1">
        <f>moment_rate!$M845</f>
        <v>0</v>
      </c>
      <c r="F845" s="1">
        <f t="shared" si="179"/>
        <v>0</v>
      </c>
      <c r="G845">
        <f>moment_rate!I845-0.005</f>
        <v>8.3799999999998658</v>
      </c>
      <c r="H845" s="1">
        <f t="shared" si="180"/>
        <v>0</v>
      </c>
      <c r="I845">
        <f t="shared" si="182"/>
        <v>0</v>
      </c>
      <c r="J845">
        <f t="shared" si="182"/>
        <v>0</v>
      </c>
      <c r="K845">
        <f t="shared" si="182"/>
        <v>0</v>
      </c>
      <c r="L845">
        <f t="shared" si="182"/>
        <v>0</v>
      </c>
      <c r="M845">
        <f t="shared" si="182"/>
        <v>0</v>
      </c>
      <c r="N845">
        <f t="shared" si="182"/>
        <v>0</v>
      </c>
      <c r="O845">
        <f t="shared" si="182"/>
        <v>0</v>
      </c>
      <c r="P845">
        <f t="shared" si="182"/>
        <v>0</v>
      </c>
      <c r="Q845">
        <f t="shared" si="182"/>
        <v>0</v>
      </c>
      <c r="R845">
        <f t="shared" si="182"/>
        <v>0</v>
      </c>
      <c r="S845">
        <f t="shared" si="182"/>
        <v>0</v>
      </c>
      <c r="T845">
        <f t="shared" si="182"/>
        <v>0</v>
      </c>
      <c r="U845">
        <f t="shared" si="182"/>
        <v>0</v>
      </c>
      <c r="V845">
        <f t="shared" si="182"/>
        <v>0</v>
      </c>
      <c r="W845">
        <f t="shared" si="182"/>
        <v>0</v>
      </c>
      <c r="X845">
        <f t="shared" si="182"/>
        <v>0</v>
      </c>
      <c r="Y845">
        <f t="shared" si="181"/>
        <v>0</v>
      </c>
      <c r="Z845">
        <f t="shared" si="181"/>
        <v>0</v>
      </c>
      <c r="AA845">
        <f t="shared" si="181"/>
        <v>0</v>
      </c>
      <c r="AB845">
        <f t="shared" si="181"/>
        <v>0</v>
      </c>
      <c r="AC845">
        <f t="shared" si="181"/>
        <v>0</v>
      </c>
      <c r="AD845">
        <f t="shared" si="181"/>
        <v>0</v>
      </c>
      <c r="AE845">
        <f t="shared" si="181"/>
        <v>0</v>
      </c>
      <c r="AF845">
        <f t="shared" si="181"/>
        <v>0</v>
      </c>
      <c r="AG845">
        <f t="shared" si="181"/>
        <v>0</v>
      </c>
      <c r="AH845">
        <f t="shared" si="181"/>
        <v>0</v>
      </c>
      <c r="AI845">
        <f t="shared" si="181"/>
        <v>0</v>
      </c>
      <c r="AJ845">
        <f t="shared" si="181"/>
        <v>0</v>
      </c>
      <c r="AK845">
        <f t="shared" si="181"/>
        <v>0</v>
      </c>
      <c r="AL845">
        <f t="shared" si="181"/>
        <v>0</v>
      </c>
      <c r="AM845">
        <f t="shared" si="181"/>
        <v>0</v>
      </c>
      <c r="AN845">
        <f t="shared" si="178"/>
        <v>0</v>
      </c>
      <c r="AO845">
        <f t="shared" si="178"/>
        <v>0</v>
      </c>
      <c r="AP845">
        <f t="shared" si="178"/>
        <v>0</v>
      </c>
      <c r="AQ845">
        <f t="shared" si="178"/>
        <v>0</v>
      </c>
      <c r="AR845">
        <f t="shared" si="178"/>
        <v>0</v>
      </c>
    </row>
    <row r="846" spans="5:44" x14ac:dyDescent="0.2">
      <c r="E846" s="1">
        <f>moment_rate!$M846</f>
        <v>0</v>
      </c>
      <c r="F846" s="1">
        <f t="shared" si="179"/>
        <v>0</v>
      </c>
      <c r="G846">
        <f>moment_rate!I846-0.005</f>
        <v>8.3899999999998656</v>
      </c>
      <c r="H846" s="1">
        <f t="shared" si="180"/>
        <v>0</v>
      </c>
      <c r="I846">
        <f t="shared" si="182"/>
        <v>0</v>
      </c>
      <c r="J846">
        <f t="shared" si="182"/>
        <v>0</v>
      </c>
      <c r="K846">
        <f t="shared" si="182"/>
        <v>0</v>
      </c>
      <c r="L846">
        <f t="shared" si="182"/>
        <v>0</v>
      </c>
      <c r="M846">
        <f t="shared" si="182"/>
        <v>0</v>
      </c>
      <c r="N846">
        <f t="shared" si="182"/>
        <v>0</v>
      </c>
      <c r="O846">
        <f t="shared" si="182"/>
        <v>0</v>
      </c>
      <c r="P846">
        <f t="shared" si="182"/>
        <v>0</v>
      </c>
      <c r="Q846">
        <f t="shared" si="182"/>
        <v>0</v>
      </c>
      <c r="R846">
        <f t="shared" si="182"/>
        <v>0</v>
      </c>
      <c r="S846">
        <f t="shared" si="182"/>
        <v>0</v>
      </c>
      <c r="T846">
        <f t="shared" si="182"/>
        <v>0</v>
      </c>
      <c r="U846">
        <f t="shared" si="182"/>
        <v>0</v>
      </c>
      <c r="V846">
        <f t="shared" si="182"/>
        <v>0</v>
      </c>
      <c r="W846">
        <f t="shared" si="182"/>
        <v>0</v>
      </c>
      <c r="X846">
        <f t="shared" si="182"/>
        <v>0</v>
      </c>
      <c r="Y846">
        <f t="shared" si="181"/>
        <v>0</v>
      </c>
      <c r="Z846">
        <f t="shared" si="181"/>
        <v>0</v>
      </c>
      <c r="AA846">
        <f t="shared" si="181"/>
        <v>0</v>
      </c>
      <c r="AB846">
        <f t="shared" si="181"/>
        <v>0</v>
      </c>
      <c r="AC846">
        <f t="shared" si="181"/>
        <v>0</v>
      </c>
      <c r="AD846">
        <f t="shared" si="181"/>
        <v>0</v>
      </c>
      <c r="AE846">
        <f t="shared" si="181"/>
        <v>0</v>
      </c>
      <c r="AF846">
        <f t="shared" si="181"/>
        <v>0</v>
      </c>
      <c r="AG846">
        <f t="shared" si="181"/>
        <v>0</v>
      </c>
      <c r="AH846">
        <f t="shared" si="181"/>
        <v>0</v>
      </c>
      <c r="AI846">
        <f t="shared" si="181"/>
        <v>0</v>
      </c>
      <c r="AJ846">
        <f t="shared" si="181"/>
        <v>0</v>
      </c>
      <c r="AK846">
        <f t="shared" si="181"/>
        <v>0</v>
      </c>
      <c r="AL846">
        <f t="shared" si="181"/>
        <v>0</v>
      </c>
      <c r="AM846">
        <f t="shared" si="181"/>
        <v>0</v>
      </c>
      <c r="AN846">
        <f t="shared" si="178"/>
        <v>0</v>
      </c>
      <c r="AO846">
        <f t="shared" si="178"/>
        <v>0</v>
      </c>
      <c r="AP846">
        <f t="shared" si="178"/>
        <v>0</v>
      </c>
      <c r="AQ846">
        <f t="shared" si="178"/>
        <v>0</v>
      </c>
      <c r="AR846">
        <f t="shared" si="178"/>
        <v>0</v>
      </c>
    </row>
    <row r="847" spans="5:44" x14ac:dyDescent="0.2">
      <c r="E847" s="1">
        <f>moment_rate!$M847</f>
        <v>0</v>
      </c>
      <c r="F847" s="1">
        <f t="shared" si="179"/>
        <v>0</v>
      </c>
      <c r="G847">
        <f>moment_rate!I847-0.005</f>
        <v>8.3999999999998654</v>
      </c>
      <c r="H847" s="1">
        <f t="shared" si="180"/>
        <v>0</v>
      </c>
      <c r="I847">
        <f t="shared" si="182"/>
        <v>0</v>
      </c>
      <c r="J847">
        <f t="shared" si="182"/>
        <v>0</v>
      </c>
      <c r="K847">
        <f t="shared" si="182"/>
        <v>0</v>
      </c>
      <c r="L847">
        <f t="shared" si="182"/>
        <v>0</v>
      </c>
      <c r="M847">
        <f t="shared" si="182"/>
        <v>0</v>
      </c>
      <c r="N847">
        <f t="shared" si="182"/>
        <v>0</v>
      </c>
      <c r="O847">
        <f t="shared" si="182"/>
        <v>0</v>
      </c>
      <c r="P847">
        <f t="shared" si="182"/>
        <v>0</v>
      </c>
      <c r="Q847">
        <f t="shared" si="182"/>
        <v>0</v>
      </c>
      <c r="R847">
        <f t="shared" si="182"/>
        <v>0</v>
      </c>
      <c r="S847">
        <f t="shared" si="182"/>
        <v>0</v>
      </c>
      <c r="T847">
        <f t="shared" si="182"/>
        <v>0</v>
      </c>
      <c r="U847">
        <f t="shared" si="182"/>
        <v>0</v>
      </c>
      <c r="V847">
        <f t="shared" si="182"/>
        <v>0</v>
      </c>
      <c r="W847">
        <f t="shared" si="182"/>
        <v>0</v>
      </c>
      <c r="X847">
        <f t="shared" si="182"/>
        <v>0</v>
      </c>
      <c r="Y847">
        <f t="shared" si="181"/>
        <v>0</v>
      </c>
      <c r="Z847">
        <f t="shared" si="181"/>
        <v>0</v>
      </c>
      <c r="AA847">
        <f t="shared" si="181"/>
        <v>0</v>
      </c>
      <c r="AB847">
        <f t="shared" si="181"/>
        <v>0</v>
      </c>
      <c r="AC847">
        <f t="shared" si="181"/>
        <v>0</v>
      </c>
      <c r="AD847">
        <f t="shared" si="181"/>
        <v>0</v>
      </c>
      <c r="AE847">
        <f t="shared" si="181"/>
        <v>0</v>
      </c>
      <c r="AF847">
        <f t="shared" si="181"/>
        <v>0</v>
      </c>
      <c r="AG847">
        <f t="shared" si="181"/>
        <v>0</v>
      </c>
      <c r="AH847">
        <f t="shared" si="181"/>
        <v>0</v>
      </c>
      <c r="AI847">
        <f t="shared" si="181"/>
        <v>0</v>
      </c>
      <c r="AJ847">
        <f t="shared" si="181"/>
        <v>0</v>
      </c>
      <c r="AK847">
        <f t="shared" si="181"/>
        <v>0</v>
      </c>
      <c r="AL847">
        <f t="shared" si="181"/>
        <v>0</v>
      </c>
      <c r="AM847">
        <f t="shared" si="181"/>
        <v>0</v>
      </c>
      <c r="AN847">
        <f t="shared" si="178"/>
        <v>0</v>
      </c>
      <c r="AO847">
        <f t="shared" si="178"/>
        <v>0</v>
      </c>
      <c r="AP847">
        <f t="shared" si="178"/>
        <v>0</v>
      </c>
      <c r="AQ847">
        <f t="shared" si="178"/>
        <v>0</v>
      </c>
      <c r="AR847">
        <f t="shared" si="178"/>
        <v>0</v>
      </c>
    </row>
    <row r="848" spans="5:44" x14ac:dyDescent="0.2">
      <c r="E848" s="1">
        <f>moment_rate!$M848</f>
        <v>0</v>
      </c>
      <c r="F848" s="1">
        <f t="shared" si="179"/>
        <v>0</v>
      </c>
      <c r="G848">
        <f>moment_rate!I848-0.005</f>
        <v>8.4099999999998651</v>
      </c>
      <c r="H848" s="1">
        <f t="shared" si="180"/>
        <v>0</v>
      </c>
      <c r="I848">
        <f t="shared" si="182"/>
        <v>0</v>
      </c>
      <c r="J848">
        <f t="shared" si="182"/>
        <v>0</v>
      </c>
      <c r="K848">
        <f t="shared" si="182"/>
        <v>0</v>
      </c>
      <c r="L848">
        <f t="shared" si="182"/>
        <v>0</v>
      </c>
      <c r="M848">
        <f t="shared" si="182"/>
        <v>0</v>
      </c>
      <c r="N848">
        <f t="shared" si="182"/>
        <v>0</v>
      </c>
      <c r="O848">
        <f t="shared" si="182"/>
        <v>0</v>
      </c>
      <c r="P848">
        <f t="shared" si="182"/>
        <v>0</v>
      </c>
      <c r="Q848">
        <f t="shared" si="182"/>
        <v>0</v>
      </c>
      <c r="R848">
        <f t="shared" si="182"/>
        <v>0</v>
      </c>
      <c r="S848">
        <f t="shared" si="182"/>
        <v>0</v>
      </c>
      <c r="T848">
        <f t="shared" si="182"/>
        <v>0</v>
      </c>
      <c r="U848">
        <f t="shared" si="182"/>
        <v>0</v>
      </c>
      <c r="V848">
        <f t="shared" si="182"/>
        <v>0</v>
      </c>
      <c r="W848">
        <f t="shared" si="182"/>
        <v>0</v>
      </c>
      <c r="X848">
        <f t="shared" si="182"/>
        <v>0</v>
      </c>
      <c r="Y848">
        <f t="shared" si="181"/>
        <v>0</v>
      </c>
      <c r="Z848">
        <f t="shared" si="181"/>
        <v>0</v>
      </c>
      <c r="AA848">
        <f t="shared" si="181"/>
        <v>0</v>
      </c>
      <c r="AB848">
        <f t="shared" si="181"/>
        <v>0</v>
      </c>
      <c r="AC848">
        <f t="shared" si="181"/>
        <v>0</v>
      </c>
      <c r="AD848">
        <f t="shared" si="181"/>
        <v>0</v>
      </c>
      <c r="AE848">
        <f t="shared" si="181"/>
        <v>0</v>
      </c>
      <c r="AF848">
        <f t="shared" si="181"/>
        <v>0</v>
      </c>
      <c r="AG848">
        <f t="shared" si="181"/>
        <v>0</v>
      </c>
      <c r="AH848">
        <f t="shared" si="181"/>
        <v>0</v>
      </c>
      <c r="AI848">
        <f t="shared" si="181"/>
        <v>0</v>
      </c>
      <c r="AJ848">
        <f t="shared" si="181"/>
        <v>0</v>
      </c>
      <c r="AK848">
        <f t="shared" si="181"/>
        <v>0</v>
      </c>
      <c r="AL848">
        <f t="shared" si="181"/>
        <v>0</v>
      </c>
      <c r="AM848">
        <f t="shared" si="181"/>
        <v>0</v>
      </c>
      <c r="AN848">
        <f t="shared" si="178"/>
        <v>0</v>
      </c>
      <c r="AO848">
        <f t="shared" si="178"/>
        <v>0</v>
      </c>
      <c r="AP848">
        <f t="shared" si="178"/>
        <v>0</v>
      </c>
      <c r="AQ848">
        <f t="shared" si="178"/>
        <v>0</v>
      </c>
      <c r="AR848">
        <f t="shared" si="178"/>
        <v>0</v>
      </c>
    </row>
    <row r="849" spans="5:44" x14ac:dyDescent="0.2">
      <c r="E849" s="1">
        <f>moment_rate!$M849</f>
        <v>0</v>
      </c>
      <c r="F849" s="1">
        <f t="shared" si="179"/>
        <v>0</v>
      </c>
      <c r="G849">
        <f>moment_rate!I849-0.005</f>
        <v>8.4199999999998649</v>
      </c>
      <c r="H849" s="1">
        <f t="shared" si="180"/>
        <v>0</v>
      </c>
      <c r="I849">
        <f t="shared" si="182"/>
        <v>0</v>
      </c>
      <c r="J849">
        <f t="shared" si="182"/>
        <v>0</v>
      </c>
      <c r="K849">
        <f t="shared" si="182"/>
        <v>0</v>
      </c>
      <c r="L849">
        <f t="shared" si="182"/>
        <v>0</v>
      </c>
      <c r="M849">
        <f t="shared" si="182"/>
        <v>0</v>
      </c>
      <c r="N849">
        <f t="shared" si="182"/>
        <v>0</v>
      </c>
      <c r="O849">
        <f t="shared" si="182"/>
        <v>0</v>
      </c>
      <c r="P849">
        <f t="shared" si="182"/>
        <v>0</v>
      </c>
      <c r="Q849">
        <f t="shared" si="182"/>
        <v>0</v>
      </c>
      <c r="R849">
        <f t="shared" si="182"/>
        <v>0</v>
      </c>
      <c r="S849">
        <f t="shared" si="182"/>
        <v>0</v>
      </c>
      <c r="T849">
        <f t="shared" si="182"/>
        <v>0</v>
      </c>
      <c r="U849">
        <f t="shared" si="182"/>
        <v>0</v>
      </c>
      <c r="V849">
        <f t="shared" si="182"/>
        <v>0</v>
      </c>
      <c r="W849">
        <f t="shared" si="182"/>
        <v>0</v>
      </c>
      <c r="X849">
        <f t="shared" si="182"/>
        <v>0</v>
      </c>
      <c r="Y849">
        <f t="shared" si="181"/>
        <v>0</v>
      </c>
      <c r="Z849">
        <f t="shared" si="181"/>
        <v>0</v>
      </c>
      <c r="AA849">
        <f t="shared" si="181"/>
        <v>0</v>
      </c>
      <c r="AB849">
        <f t="shared" si="181"/>
        <v>0</v>
      </c>
      <c r="AC849">
        <f t="shared" si="181"/>
        <v>0</v>
      </c>
      <c r="AD849">
        <f t="shared" si="181"/>
        <v>0</v>
      </c>
      <c r="AE849">
        <f t="shared" si="181"/>
        <v>0</v>
      </c>
      <c r="AF849">
        <f t="shared" si="181"/>
        <v>0</v>
      </c>
      <c r="AG849">
        <f t="shared" si="181"/>
        <v>0</v>
      </c>
      <c r="AH849">
        <f t="shared" si="181"/>
        <v>0</v>
      </c>
      <c r="AI849">
        <f t="shared" si="181"/>
        <v>0</v>
      </c>
      <c r="AJ849">
        <f t="shared" si="181"/>
        <v>0</v>
      </c>
      <c r="AK849">
        <f t="shared" si="181"/>
        <v>0</v>
      </c>
      <c r="AL849">
        <f t="shared" si="181"/>
        <v>0</v>
      </c>
      <c r="AM849">
        <f t="shared" si="181"/>
        <v>0</v>
      </c>
      <c r="AN849">
        <f t="shared" si="178"/>
        <v>0</v>
      </c>
      <c r="AO849">
        <f t="shared" si="178"/>
        <v>0</v>
      </c>
      <c r="AP849">
        <f t="shared" si="178"/>
        <v>0</v>
      </c>
      <c r="AQ849">
        <f t="shared" si="178"/>
        <v>0</v>
      </c>
      <c r="AR849">
        <f t="shared" si="178"/>
        <v>0</v>
      </c>
    </row>
    <row r="850" spans="5:44" x14ac:dyDescent="0.2">
      <c r="E850" s="1">
        <f>moment_rate!$M850</f>
        <v>0</v>
      </c>
      <c r="F850" s="1">
        <f t="shared" si="179"/>
        <v>0</v>
      </c>
      <c r="G850">
        <f>moment_rate!I850-0.005</f>
        <v>8.4299999999998647</v>
      </c>
      <c r="H850" s="1">
        <f t="shared" si="180"/>
        <v>0</v>
      </c>
      <c r="I850">
        <f t="shared" si="182"/>
        <v>0</v>
      </c>
      <c r="J850">
        <f t="shared" si="182"/>
        <v>0</v>
      </c>
      <c r="K850">
        <f t="shared" si="182"/>
        <v>0</v>
      </c>
      <c r="L850">
        <f t="shared" si="182"/>
        <v>0</v>
      </c>
      <c r="M850">
        <f t="shared" si="182"/>
        <v>0</v>
      </c>
      <c r="N850">
        <f t="shared" si="182"/>
        <v>0</v>
      </c>
      <c r="O850">
        <f t="shared" si="182"/>
        <v>0</v>
      </c>
      <c r="P850">
        <f t="shared" si="182"/>
        <v>0</v>
      </c>
      <c r="Q850">
        <f t="shared" si="182"/>
        <v>0</v>
      </c>
      <c r="R850">
        <f t="shared" si="182"/>
        <v>0</v>
      </c>
      <c r="S850">
        <f t="shared" si="182"/>
        <v>0</v>
      </c>
      <c r="T850">
        <f t="shared" si="182"/>
        <v>0</v>
      </c>
      <c r="U850">
        <f t="shared" si="182"/>
        <v>0</v>
      </c>
      <c r="V850">
        <f t="shared" si="182"/>
        <v>0</v>
      </c>
      <c r="W850">
        <f t="shared" si="182"/>
        <v>0</v>
      </c>
      <c r="X850">
        <f t="shared" si="182"/>
        <v>0</v>
      </c>
      <c r="Y850">
        <f t="shared" si="181"/>
        <v>0</v>
      </c>
      <c r="Z850">
        <f t="shared" si="181"/>
        <v>0</v>
      </c>
      <c r="AA850">
        <f t="shared" si="181"/>
        <v>0</v>
      </c>
      <c r="AB850">
        <f t="shared" si="181"/>
        <v>0</v>
      </c>
      <c r="AC850">
        <f t="shared" si="181"/>
        <v>0</v>
      </c>
      <c r="AD850">
        <f t="shared" si="181"/>
        <v>0</v>
      </c>
      <c r="AE850">
        <f t="shared" si="181"/>
        <v>0</v>
      </c>
      <c r="AF850">
        <f t="shared" si="181"/>
        <v>0</v>
      </c>
      <c r="AG850">
        <f t="shared" si="181"/>
        <v>0</v>
      </c>
      <c r="AH850">
        <f t="shared" si="181"/>
        <v>0</v>
      </c>
      <c r="AI850">
        <f t="shared" si="181"/>
        <v>0</v>
      </c>
      <c r="AJ850">
        <f t="shared" si="181"/>
        <v>0</v>
      </c>
      <c r="AK850">
        <f t="shared" si="181"/>
        <v>0</v>
      </c>
      <c r="AL850">
        <f t="shared" si="181"/>
        <v>0</v>
      </c>
      <c r="AM850">
        <f t="shared" si="181"/>
        <v>0</v>
      </c>
      <c r="AN850">
        <f t="shared" ref="AN850:AR863" si="183">IF(AND($G850&gt;=AN$3,$G850&lt;AN$4),$F850,0)</f>
        <v>0</v>
      </c>
      <c r="AO850">
        <f t="shared" si="183"/>
        <v>0</v>
      </c>
      <c r="AP850">
        <f t="shared" si="183"/>
        <v>0</v>
      </c>
      <c r="AQ850">
        <f t="shared" si="183"/>
        <v>0</v>
      </c>
      <c r="AR850">
        <f t="shared" si="183"/>
        <v>0</v>
      </c>
    </row>
    <row r="851" spans="5:44" x14ac:dyDescent="0.2">
      <c r="E851" s="1">
        <f>moment_rate!$M851</f>
        <v>0</v>
      </c>
      <c r="F851" s="1">
        <f t="shared" si="179"/>
        <v>0</v>
      </c>
      <c r="G851">
        <f>moment_rate!I851-0.005</f>
        <v>8.4399999999998645</v>
      </c>
      <c r="H851" s="1">
        <f t="shared" si="180"/>
        <v>0</v>
      </c>
      <c r="I851">
        <f t="shared" si="182"/>
        <v>0</v>
      </c>
      <c r="J851">
        <f t="shared" si="182"/>
        <v>0</v>
      </c>
      <c r="K851">
        <f t="shared" si="182"/>
        <v>0</v>
      </c>
      <c r="L851">
        <f t="shared" si="182"/>
        <v>0</v>
      </c>
      <c r="M851">
        <f t="shared" si="182"/>
        <v>0</v>
      </c>
      <c r="N851">
        <f t="shared" si="182"/>
        <v>0</v>
      </c>
      <c r="O851">
        <f t="shared" si="182"/>
        <v>0</v>
      </c>
      <c r="P851">
        <f t="shared" si="182"/>
        <v>0</v>
      </c>
      <c r="Q851">
        <f t="shared" si="182"/>
        <v>0</v>
      </c>
      <c r="R851">
        <f t="shared" si="182"/>
        <v>0</v>
      </c>
      <c r="S851">
        <f t="shared" si="182"/>
        <v>0</v>
      </c>
      <c r="T851">
        <f t="shared" si="182"/>
        <v>0</v>
      </c>
      <c r="U851">
        <f t="shared" si="182"/>
        <v>0</v>
      </c>
      <c r="V851">
        <f t="shared" si="182"/>
        <v>0</v>
      </c>
      <c r="W851">
        <f t="shared" si="182"/>
        <v>0</v>
      </c>
      <c r="X851">
        <f t="shared" si="182"/>
        <v>0</v>
      </c>
      <c r="Y851">
        <f t="shared" si="181"/>
        <v>0</v>
      </c>
      <c r="Z851">
        <f t="shared" si="181"/>
        <v>0</v>
      </c>
      <c r="AA851">
        <f t="shared" si="181"/>
        <v>0</v>
      </c>
      <c r="AB851">
        <f t="shared" si="181"/>
        <v>0</v>
      </c>
      <c r="AC851">
        <f t="shared" si="181"/>
        <v>0</v>
      </c>
      <c r="AD851">
        <f t="shared" si="181"/>
        <v>0</v>
      </c>
      <c r="AE851">
        <f t="shared" si="181"/>
        <v>0</v>
      </c>
      <c r="AF851">
        <f t="shared" si="181"/>
        <v>0</v>
      </c>
      <c r="AG851">
        <f t="shared" si="181"/>
        <v>0</v>
      </c>
      <c r="AH851">
        <f t="shared" si="181"/>
        <v>0</v>
      </c>
      <c r="AI851">
        <f t="shared" si="181"/>
        <v>0</v>
      </c>
      <c r="AJ851">
        <f t="shared" si="181"/>
        <v>0</v>
      </c>
      <c r="AK851">
        <f t="shared" si="181"/>
        <v>0</v>
      </c>
      <c r="AL851">
        <f t="shared" si="181"/>
        <v>0</v>
      </c>
      <c r="AM851">
        <f t="shared" si="181"/>
        <v>0</v>
      </c>
      <c r="AN851">
        <f t="shared" si="183"/>
        <v>0</v>
      </c>
      <c r="AO851">
        <f t="shared" si="183"/>
        <v>0</v>
      </c>
      <c r="AP851">
        <f t="shared" si="183"/>
        <v>0</v>
      </c>
      <c r="AQ851">
        <f t="shared" si="183"/>
        <v>0</v>
      </c>
      <c r="AR851">
        <f t="shared" si="183"/>
        <v>0</v>
      </c>
    </row>
    <row r="852" spans="5:44" x14ac:dyDescent="0.2">
      <c r="E852" s="1">
        <f>moment_rate!$M852</f>
        <v>0</v>
      </c>
      <c r="F852" s="1">
        <f t="shared" si="179"/>
        <v>0</v>
      </c>
      <c r="G852">
        <f>moment_rate!I852-0.005</f>
        <v>8.4499999999998643</v>
      </c>
      <c r="H852" s="1">
        <f t="shared" si="180"/>
        <v>0</v>
      </c>
      <c r="I852">
        <f t="shared" si="182"/>
        <v>0</v>
      </c>
      <c r="J852">
        <f t="shared" si="182"/>
        <v>0</v>
      </c>
      <c r="K852">
        <f t="shared" si="182"/>
        <v>0</v>
      </c>
      <c r="L852">
        <f t="shared" si="182"/>
        <v>0</v>
      </c>
      <c r="M852">
        <f t="shared" si="182"/>
        <v>0</v>
      </c>
      <c r="N852">
        <f t="shared" si="182"/>
        <v>0</v>
      </c>
      <c r="O852">
        <f t="shared" si="182"/>
        <v>0</v>
      </c>
      <c r="P852">
        <f t="shared" si="182"/>
        <v>0</v>
      </c>
      <c r="Q852">
        <f t="shared" si="182"/>
        <v>0</v>
      </c>
      <c r="R852">
        <f t="shared" si="182"/>
        <v>0</v>
      </c>
      <c r="S852">
        <f t="shared" si="182"/>
        <v>0</v>
      </c>
      <c r="T852">
        <f t="shared" si="182"/>
        <v>0</v>
      </c>
      <c r="U852">
        <f t="shared" si="182"/>
        <v>0</v>
      </c>
      <c r="V852">
        <f t="shared" si="182"/>
        <v>0</v>
      </c>
      <c r="W852">
        <f t="shared" si="182"/>
        <v>0</v>
      </c>
      <c r="X852">
        <f t="shared" si="182"/>
        <v>0</v>
      </c>
      <c r="Y852">
        <f t="shared" si="181"/>
        <v>0</v>
      </c>
      <c r="Z852">
        <f t="shared" si="181"/>
        <v>0</v>
      </c>
      <c r="AA852">
        <f t="shared" si="181"/>
        <v>0</v>
      </c>
      <c r="AB852">
        <f t="shared" si="181"/>
        <v>0</v>
      </c>
      <c r="AC852">
        <f t="shared" si="181"/>
        <v>0</v>
      </c>
      <c r="AD852">
        <f t="shared" si="181"/>
        <v>0</v>
      </c>
      <c r="AE852">
        <f t="shared" si="181"/>
        <v>0</v>
      </c>
      <c r="AF852">
        <f t="shared" si="181"/>
        <v>0</v>
      </c>
      <c r="AG852">
        <f t="shared" si="181"/>
        <v>0</v>
      </c>
      <c r="AH852">
        <f t="shared" si="181"/>
        <v>0</v>
      </c>
      <c r="AI852">
        <f t="shared" si="181"/>
        <v>0</v>
      </c>
      <c r="AJ852">
        <f t="shared" si="181"/>
        <v>0</v>
      </c>
      <c r="AK852">
        <f t="shared" si="181"/>
        <v>0</v>
      </c>
      <c r="AL852">
        <f t="shared" si="181"/>
        <v>0</v>
      </c>
      <c r="AM852">
        <f t="shared" si="181"/>
        <v>0</v>
      </c>
      <c r="AN852">
        <f t="shared" si="183"/>
        <v>0</v>
      </c>
      <c r="AO852">
        <f t="shared" si="183"/>
        <v>0</v>
      </c>
      <c r="AP852">
        <f t="shared" si="183"/>
        <v>0</v>
      </c>
      <c r="AQ852">
        <f t="shared" si="183"/>
        <v>0</v>
      </c>
      <c r="AR852">
        <f t="shared" si="183"/>
        <v>0</v>
      </c>
    </row>
    <row r="853" spans="5:44" x14ac:dyDescent="0.2">
      <c r="E853" s="1">
        <f>moment_rate!$M853</f>
        <v>0</v>
      </c>
      <c r="F853" s="1">
        <f t="shared" si="179"/>
        <v>0</v>
      </c>
      <c r="G853">
        <f>moment_rate!I853-0.005</f>
        <v>8.4599999999998641</v>
      </c>
      <c r="H853" s="1">
        <f t="shared" si="180"/>
        <v>0</v>
      </c>
      <c r="I853">
        <f t="shared" si="182"/>
        <v>0</v>
      </c>
      <c r="J853">
        <f t="shared" si="182"/>
        <v>0</v>
      </c>
      <c r="K853">
        <f t="shared" si="182"/>
        <v>0</v>
      </c>
      <c r="L853">
        <f t="shared" si="182"/>
        <v>0</v>
      </c>
      <c r="M853">
        <f t="shared" si="182"/>
        <v>0</v>
      </c>
      <c r="N853">
        <f t="shared" si="182"/>
        <v>0</v>
      </c>
      <c r="O853">
        <f t="shared" si="182"/>
        <v>0</v>
      </c>
      <c r="P853">
        <f t="shared" si="182"/>
        <v>0</v>
      </c>
      <c r="Q853">
        <f t="shared" si="182"/>
        <v>0</v>
      </c>
      <c r="R853">
        <f t="shared" si="182"/>
        <v>0</v>
      </c>
      <c r="S853">
        <f t="shared" si="182"/>
        <v>0</v>
      </c>
      <c r="T853">
        <f t="shared" si="182"/>
        <v>0</v>
      </c>
      <c r="U853">
        <f t="shared" si="182"/>
        <v>0</v>
      </c>
      <c r="V853">
        <f t="shared" si="182"/>
        <v>0</v>
      </c>
      <c r="W853">
        <f t="shared" si="182"/>
        <v>0</v>
      </c>
      <c r="X853">
        <f t="shared" si="182"/>
        <v>0</v>
      </c>
      <c r="Y853">
        <f t="shared" si="181"/>
        <v>0</v>
      </c>
      <c r="Z853">
        <f t="shared" si="181"/>
        <v>0</v>
      </c>
      <c r="AA853">
        <f t="shared" si="181"/>
        <v>0</v>
      </c>
      <c r="AB853">
        <f t="shared" si="181"/>
        <v>0</v>
      </c>
      <c r="AC853">
        <f t="shared" si="181"/>
        <v>0</v>
      </c>
      <c r="AD853">
        <f t="shared" si="181"/>
        <v>0</v>
      </c>
      <c r="AE853">
        <f t="shared" si="181"/>
        <v>0</v>
      </c>
      <c r="AF853">
        <f t="shared" si="181"/>
        <v>0</v>
      </c>
      <c r="AG853">
        <f t="shared" si="181"/>
        <v>0</v>
      </c>
      <c r="AH853">
        <f t="shared" si="181"/>
        <v>0</v>
      </c>
      <c r="AI853">
        <f t="shared" si="181"/>
        <v>0</v>
      </c>
      <c r="AJ853">
        <f t="shared" si="181"/>
        <v>0</v>
      </c>
      <c r="AK853">
        <f t="shared" si="181"/>
        <v>0</v>
      </c>
      <c r="AL853">
        <f t="shared" si="181"/>
        <v>0</v>
      </c>
      <c r="AM853">
        <f t="shared" si="181"/>
        <v>0</v>
      </c>
      <c r="AN853">
        <f t="shared" si="183"/>
        <v>0</v>
      </c>
      <c r="AO853">
        <f t="shared" si="183"/>
        <v>0</v>
      </c>
      <c r="AP853">
        <f t="shared" si="183"/>
        <v>0</v>
      </c>
      <c r="AQ853">
        <f t="shared" si="183"/>
        <v>0</v>
      </c>
      <c r="AR853">
        <f t="shared" si="183"/>
        <v>0</v>
      </c>
    </row>
    <row r="854" spans="5:44" x14ac:dyDescent="0.2">
      <c r="E854" s="1">
        <f>moment_rate!$M854</f>
        <v>0</v>
      </c>
      <c r="F854" s="1">
        <f t="shared" si="179"/>
        <v>0</v>
      </c>
      <c r="G854">
        <f>moment_rate!I854-0.005</f>
        <v>8.4699999999998639</v>
      </c>
      <c r="H854" s="1">
        <f t="shared" si="180"/>
        <v>0</v>
      </c>
      <c r="I854">
        <f t="shared" si="182"/>
        <v>0</v>
      </c>
      <c r="J854">
        <f t="shared" si="182"/>
        <v>0</v>
      </c>
      <c r="K854">
        <f t="shared" si="182"/>
        <v>0</v>
      </c>
      <c r="L854">
        <f t="shared" si="182"/>
        <v>0</v>
      </c>
      <c r="M854">
        <f t="shared" si="182"/>
        <v>0</v>
      </c>
      <c r="N854">
        <f t="shared" si="182"/>
        <v>0</v>
      </c>
      <c r="O854">
        <f t="shared" si="182"/>
        <v>0</v>
      </c>
      <c r="P854">
        <f t="shared" si="182"/>
        <v>0</v>
      </c>
      <c r="Q854">
        <f t="shared" si="182"/>
        <v>0</v>
      </c>
      <c r="R854">
        <f t="shared" si="182"/>
        <v>0</v>
      </c>
      <c r="S854">
        <f t="shared" si="182"/>
        <v>0</v>
      </c>
      <c r="T854">
        <f t="shared" si="182"/>
        <v>0</v>
      </c>
      <c r="U854">
        <f t="shared" si="182"/>
        <v>0</v>
      </c>
      <c r="V854">
        <f t="shared" si="182"/>
        <v>0</v>
      </c>
      <c r="W854">
        <f t="shared" si="182"/>
        <v>0</v>
      </c>
      <c r="X854">
        <f t="shared" si="182"/>
        <v>0</v>
      </c>
      <c r="Y854">
        <f t="shared" si="181"/>
        <v>0</v>
      </c>
      <c r="Z854">
        <f t="shared" si="181"/>
        <v>0</v>
      </c>
      <c r="AA854">
        <f t="shared" si="181"/>
        <v>0</v>
      </c>
      <c r="AB854">
        <f t="shared" si="181"/>
        <v>0</v>
      </c>
      <c r="AC854">
        <f t="shared" si="181"/>
        <v>0</v>
      </c>
      <c r="AD854">
        <f t="shared" si="181"/>
        <v>0</v>
      </c>
      <c r="AE854">
        <f t="shared" si="181"/>
        <v>0</v>
      </c>
      <c r="AF854">
        <f t="shared" si="181"/>
        <v>0</v>
      </c>
      <c r="AG854">
        <f t="shared" si="181"/>
        <v>0</v>
      </c>
      <c r="AH854">
        <f t="shared" si="181"/>
        <v>0</v>
      </c>
      <c r="AI854">
        <f t="shared" si="181"/>
        <v>0</v>
      </c>
      <c r="AJ854">
        <f t="shared" si="181"/>
        <v>0</v>
      </c>
      <c r="AK854">
        <f t="shared" si="181"/>
        <v>0</v>
      </c>
      <c r="AL854">
        <f t="shared" si="181"/>
        <v>0</v>
      </c>
      <c r="AM854">
        <f t="shared" si="181"/>
        <v>0</v>
      </c>
      <c r="AN854">
        <f t="shared" si="183"/>
        <v>0</v>
      </c>
      <c r="AO854">
        <f t="shared" si="183"/>
        <v>0</v>
      </c>
      <c r="AP854">
        <f t="shared" si="183"/>
        <v>0</v>
      </c>
      <c r="AQ854">
        <f t="shared" si="183"/>
        <v>0</v>
      </c>
      <c r="AR854">
        <f t="shared" si="183"/>
        <v>0</v>
      </c>
    </row>
    <row r="855" spans="5:44" x14ac:dyDescent="0.2">
      <c r="E855" s="1">
        <f>moment_rate!$M855</f>
        <v>0</v>
      </c>
      <c r="F855" s="1">
        <f t="shared" si="179"/>
        <v>0</v>
      </c>
      <c r="G855">
        <f>moment_rate!I855-0.005</f>
        <v>8.4799999999998636</v>
      </c>
      <c r="H855" s="1">
        <f t="shared" si="180"/>
        <v>0</v>
      </c>
      <c r="I855">
        <f t="shared" si="182"/>
        <v>0</v>
      </c>
      <c r="J855">
        <f t="shared" si="182"/>
        <v>0</v>
      </c>
      <c r="K855">
        <f t="shared" si="182"/>
        <v>0</v>
      </c>
      <c r="L855">
        <f t="shared" si="182"/>
        <v>0</v>
      </c>
      <c r="M855">
        <f t="shared" si="182"/>
        <v>0</v>
      </c>
      <c r="N855">
        <f t="shared" si="182"/>
        <v>0</v>
      </c>
      <c r="O855">
        <f t="shared" si="182"/>
        <v>0</v>
      </c>
      <c r="P855">
        <f t="shared" si="182"/>
        <v>0</v>
      </c>
      <c r="Q855">
        <f t="shared" si="182"/>
        <v>0</v>
      </c>
      <c r="R855">
        <f t="shared" si="182"/>
        <v>0</v>
      </c>
      <c r="S855">
        <f t="shared" si="182"/>
        <v>0</v>
      </c>
      <c r="T855">
        <f t="shared" si="182"/>
        <v>0</v>
      </c>
      <c r="U855">
        <f t="shared" si="182"/>
        <v>0</v>
      </c>
      <c r="V855">
        <f t="shared" si="182"/>
        <v>0</v>
      </c>
      <c r="W855">
        <f t="shared" si="182"/>
        <v>0</v>
      </c>
      <c r="X855">
        <f t="shared" si="182"/>
        <v>0</v>
      </c>
      <c r="Y855">
        <f t="shared" si="181"/>
        <v>0</v>
      </c>
      <c r="Z855">
        <f t="shared" si="181"/>
        <v>0</v>
      </c>
      <c r="AA855">
        <f t="shared" si="181"/>
        <v>0</v>
      </c>
      <c r="AB855">
        <f t="shared" si="181"/>
        <v>0</v>
      </c>
      <c r="AC855">
        <f t="shared" si="181"/>
        <v>0</v>
      </c>
      <c r="AD855">
        <f t="shared" si="181"/>
        <v>0</v>
      </c>
      <c r="AE855">
        <f t="shared" si="181"/>
        <v>0</v>
      </c>
      <c r="AF855">
        <f t="shared" si="181"/>
        <v>0</v>
      </c>
      <c r="AG855">
        <f t="shared" si="181"/>
        <v>0</v>
      </c>
      <c r="AH855">
        <f t="shared" si="181"/>
        <v>0</v>
      </c>
      <c r="AI855">
        <f t="shared" si="181"/>
        <v>0</v>
      </c>
      <c r="AJ855">
        <f t="shared" si="181"/>
        <v>0</v>
      </c>
      <c r="AK855">
        <f t="shared" si="181"/>
        <v>0</v>
      </c>
      <c r="AL855">
        <f t="shared" si="181"/>
        <v>0</v>
      </c>
      <c r="AM855">
        <f t="shared" si="181"/>
        <v>0</v>
      </c>
      <c r="AN855">
        <f t="shared" si="183"/>
        <v>0</v>
      </c>
      <c r="AO855">
        <f t="shared" si="183"/>
        <v>0</v>
      </c>
      <c r="AP855">
        <f t="shared" si="183"/>
        <v>0</v>
      </c>
      <c r="AQ855">
        <f t="shared" si="183"/>
        <v>0</v>
      </c>
      <c r="AR855">
        <f t="shared" si="183"/>
        <v>0</v>
      </c>
    </row>
    <row r="856" spans="5:44" x14ac:dyDescent="0.2">
      <c r="E856" s="1">
        <f>moment_rate!$M856</f>
        <v>0</v>
      </c>
      <c r="F856" s="1">
        <f t="shared" si="179"/>
        <v>0</v>
      </c>
      <c r="G856">
        <f>moment_rate!I856-0.005</f>
        <v>8.4899999999998634</v>
      </c>
      <c r="H856" s="1">
        <f t="shared" si="180"/>
        <v>0</v>
      </c>
      <c r="I856">
        <f t="shared" si="182"/>
        <v>0</v>
      </c>
      <c r="J856">
        <f t="shared" si="182"/>
        <v>0</v>
      </c>
      <c r="K856">
        <f t="shared" si="182"/>
        <v>0</v>
      </c>
      <c r="L856">
        <f t="shared" si="182"/>
        <v>0</v>
      </c>
      <c r="M856">
        <f t="shared" si="182"/>
        <v>0</v>
      </c>
      <c r="N856">
        <f t="shared" si="182"/>
        <v>0</v>
      </c>
      <c r="O856">
        <f t="shared" si="182"/>
        <v>0</v>
      </c>
      <c r="P856">
        <f t="shared" si="182"/>
        <v>0</v>
      </c>
      <c r="Q856">
        <f t="shared" si="182"/>
        <v>0</v>
      </c>
      <c r="R856">
        <f t="shared" si="182"/>
        <v>0</v>
      </c>
      <c r="S856">
        <f t="shared" si="182"/>
        <v>0</v>
      </c>
      <c r="T856">
        <f t="shared" si="182"/>
        <v>0</v>
      </c>
      <c r="U856">
        <f t="shared" si="182"/>
        <v>0</v>
      </c>
      <c r="V856">
        <f t="shared" si="182"/>
        <v>0</v>
      </c>
      <c r="W856">
        <f t="shared" si="182"/>
        <v>0</v>
      </c>
      <c r="X856">
        <f t="shared" si="182"/>
        <v>0</v>
      </c>
      <c r="Y856">
        <f t="shared" si="181"/>
        <v>0</v>
      </c>
      <c r="Z856">
        <f t="shared" si="181"/>
        <v>0</v>
      </c>
      <c r="AA856">
        <f t="shared" si="181"/>
        <v>0</v>
      </c>
      <c r="AB856">
        <f t="shared" si="181"/>
        <v>0</v>
      </c>
      <c r="AC856">
        <f t="shared" si="181"/>
        <v>0</v>
      </c>
      <c r="AD856">
        <f t="shared" si="181"/>
        <v>0</v>
      </c>
      <c r="AE856">
        <f t="shared" si="181"/>
        <v>0</v>
      </c>
      <c r="AF856">
        <f t="shared" si="181"/>
        <v>0</v>
      </c>
      <c r="AG856">
        <f t="shared" si="181"/>
        <v>0</v>
      </c>
      <c r="AH856">
        <f t="shared" si="181"/>
        <v>0</v>
      </c>
      <c r="AI856">
        <f t="shared" si="181"/>
        <v>0</v>
      </c>
      <c r="AJ856">
        <f t="shared" si="181"/>
        <v>0</v>
      </c>
      <c r="AK856">
        <f t="shared" si="181"/>
        <v>0</v>
      </c>
      <c r="AL856">
        <f t="shared" si="181"/>
        <v>0</v>
      </c>
      <c r="AM856">
        <f t="shared" si="181"/>
        <v>0</v>
      </c>
      <c r="AN856">
        <f t="shared" si="183"/>
        <v>0</v>
      </c>
      <c r="AO856">
        <f t="shared" si="183"/>
        <v>0</v>
      </c>
      <c r="AP856">
        <f t="shared" si="183"/>
        <v>0</v>
      </c>
      <c r="AQ856">
        <f t="shared" si="183"/>
        <v>0</v>
      </c>
      <c r="AR856">
        <f t="shared" si="183"/>
        <v>0</v>
      </c>
    </row>
    <row r="857" spans="5:44" x14ac:dyDescent="0.2">
      <c r="E857" s="1">
        <f>moment_rate!$M857</f>
        <v>0</v>
      </c>
      <c r="F857" s="1">
        <f t="shared" si="179"/>
        <v>0</v>
      </c>
      <c r="G857">
        <f>moment_rate!I857-0.005</f>
        <v>8.4999999999998632</v>
      </c>
      <c r="H857" s="1">
        <f t="shared" si="180"/>
        <v>0</v>
      </c>
      <c r="I857">
        <f t="shared" si="182"/>
        <v>0</v>
      </c>
      <c r="J857">
        <f t="shared" si="182"/>
        <v>0</v>
      </c>
      <c r="K857">
        <f t="shared" si="182"/>
        <v>0</v>
      </c>
      <c r="L857">
        <f t="shared" si="182"/>
        <v>0</v>
      </c>
      <c r="M857">
        <f t="shared" si="182"/>
        <v>0</v>
      </c>
      <c r="N857">
        <f t="shared" si="182"/>
        <v>0</v>
      </c>
      <c r="O857">
        <f t="shared" si="182"/>
        <v>0</v>
      </c>
      <c r="P857">
        <f t="shared" si="182"/>
        <v>0</v>
      </c>
      <c r="Q857">
        <f t="shared" si="182"/>
        <v>0</v>
      </c>
      <c r="R857">
        <f t="shared" si="182"/>
        <v>0</v>
      </c>
      <c r="S857">
        <f t="shared" si="182"/>
        <v>0</v>
      </c>
      <c r="T857">
        <f t="shared" si="182"/>
        <v>0</v>
      </c>
      <c r="U857">
        <f t="shared" si="182"/>
        <v>0</v>
      </c>
      <c r="V857">
        <f t="shared" si="182"/>
        <v>0</v>
      </c>
      <c r="W857">
        <f t="shared" si="182"/>
        <v>0</v>
      </c>
      <c r="X857">
        <f t="shared" si="182"/>
        <v>0</v>
      </c>
      <c r="Y857">
        <f t="shared" si="181"/>
        <v>0</v>
      </c>
      <c r="Z857">
        <f t="shared" si="181"/>
        <v>0</v>
      </c>
      <c r="AA857">
        <f t="shared" si="181"/>
        <v>0</v>
      </c>
      <c r="AB857">
        <f t="shared" si="181"/>
        <v>0</v>
      </c>
      <c r="AC857">
        <f t="shared" si="181"/>
        <v>0</v>
      </c>
      <c r="AD857">
        <f t="shared" si="181"/>
        <v>0</v>
      </c>
      <c r="AE857">
        <f t="shared" si="181"/>
        <v>0</v>
      </c>
      <c r="AF857">
        <f t="shared" si="181"/>
        <v>0</v>
      </c>
      <c r="AG857">
        <f t="shared" si="181"/>
        <v>0</v>
      </c>
      <c r="AH857">
        <f t="shared" si="181"/>
        <v>0</v>
      </c>
      <c r="AI857">
        <f t="shared" si="181"/>
        <v>0</v>
      </c>
      <c r="AJ857">
        <f t="shared" si="181"/>
        <v>0</v>
      </c>
      <c r="AK857">
        <f t="shared" si="181"/>
        <v>0</v>
      </c>
      <c r="AL857">
        <f t="shared" si="181"/>
        <v>0</v>
      </c>
      <c r="AM857">
        <f t="shared" si="181"/>
        <v>0</v>
      </c>
      <c r="AN857">
        <f t="shared" si="183"/>
        <v>0</v>
      </c>
      <c r="AO857">
        <f t="shared" si="183"/>
        <v>0</v>
      </c>
      <c r="AP857">
        <f t="shared" si="183"/>
        <v>0</v>
      </c>
      <c r="AQ857">
        <f t="shared" si="183"/>
        <v>0</v>
      </c>
      <c r="AR857">
        <f t="shared" si="183"/>
        <v>0</v>
      </c>
    </row>
    <row r="858" spans="5:44" x14ac:dyDescent="0.2">
      <c r="E858" s="1">
        <f>moment_rate!$M858</f>
        <v>0</v>
      </c>
      <c r="F858" s="1">
        <f t="shared" si="179"/>
        <v>0</v>
      </c>
      <c r="G858">
        <f>moment_rate!I858-0.005</f>
        <v>8.509999999999863</v>
      </c>
      <c r="H858" s="1">
        <f t="shared" si="180"/>
        <v>0</v>
      </c>
      <c r="I858">
        <f t="shared" si="182"/>
        <v>0</v>
      </c>
      <c r="J858">
        <f t="shared" si="182"/>
        <v>0</v>
      </c>
      <c r="K858">
        <f t="shared" si="182"/>
        <v>0</v>
      </c>
      <c r="L858">
        <f t="shared" si="182"/>
        <v>0</v>
      </c>
      <c r="M858">
        <f t="shared" si="182"/>
        <v>0</v>
      </c>
      <c r="N858">
        <f t="shared" si="182"/>
        <v>0</v>
      </c>
      <c r="O858">
        <f t="shared" si="182"/>
        <v>0</v>
      </c>
      <c r="P858">
        <f t="shared" si="182"/>
        <v>0</v>
      </c>
      <c r="Q858">
        <f t="shared" si="182"/>
        <v>0</v>
      </c>
      <c r="R858">
        <f t="shared" si="182"/>
        <v>0</v>
      </c>
      <c r="S858">
        <f t="shared" si="182"/>
        <v>0</v>
      </c>
      <c r="T858">
        <f t="shared" si="182"/>
        <v>0</v>
      </c>
      <c r="U858">
        <f t="shared" si="182"/>
        <v>0</v>
      </c>
      <c r="V858">
        <f t="shared" si="182"/>
        <v>0</v>
      </c>
      <c r="W858">
        <f t="shared" si="182"/>
        <v>0</v>
      </c>
      <c r="X858">
        <f t="shared" ref="X858:AM863" si="184">IF(AND($G858&gt;=X$3,$G858&lt;X$4),$F858,0)</f>
        <v>0</v>
      </c>
      <c r="Y858">
        <f t="shared" si="184"/>
        <v>0</v>
      </c>
      <c r="Z858">
        <f t="shared" si="184"/>
        <v>0</v>
      </c>
      <c r="AA858">
        <f t="shared" si="184"/>
        <v>0</v>
      </c>
      <c r="AB858">
        <f t="shared" si="184"/>
        <v>0</v>
      </c>
      <c r="AC858">
        <f t="shared" si="184"/>
        <v>0</v>
      </c>
      <c r="AD858">
        <f t="shared" si="184"/>
        <v>0</v>
      </c>
      <c r="AE858">
        <f t="shared" si="184"/>
        <v>0</v>
      </c>
      <c r="AF858">
        <f t="shared" si="184"/>
        <v>0</v>
      </c>
      <c r="AG858">
        <f t="shared" si="184"/>
        <v>0</v>
      </c>
      <c r="AH858">
        <f t="shared" si="184"/>
        <v>0</v>
      </c>
      <c r="AI858">
        <f t="shared" si="184"/>
        <v>0</v>
      </c>
      <c r="AJ858">
        <f t="shared" si="184"/>
        <v>0</v>
      </c>
      <c r="AK858">
        <f t="shared" si="184"/>
        <v>0</v>
      </c>
      <c r="AL858">
        <f t="shared" si="184"/>
        <v>0</v>
      </c>
      <c r="AM858">
        <f t="shared" si="184"/>
        <v>0</v>
      </c>
      <c r="AN858">
        <f t="shared" si="183"/>
        <v>0</v>
      </c>
      <c r="AO858">
        <f t="shared" si="183"/>
        <v>0</v>
      </c>
      <c r="AP858">
        <f t="shared" si="183"/>
        <v>0</v>
      </c>
      <c r="AQ858">
        <f t="shared" si="183"/>
        <v>0</v>
      </c>
      <c r="AR858">
        <f t="shared" si="183"/>
        <v>0</v>
      </c>
    </row>
    <row r="859" spans="5:44" x14ac:dyDescent="0.2">
      <c r="E859" s="1">
        <f>moment_rate!$M859</f>
        <v>0</v>
      </c>
      <c r="F859" s="1">
        <f t="shared" si="179"/>
        <v>0</v>
      </c>
      <c r="G859">
        <f>moment_rate!I859-0.005</f>
        <v>8.5199999999998628</v>
      </c>
      <c r="H859" s="1">
        <f t="shared" si="180"/>
        <v>0</v>
      </c>
      <c r="I859">
        <f t="shared" ref="I859:X863" si="185">IF(AND($G859&gt;=I$3,$G859&lt;I$4),$F859,0)</f>
        <v>0</v>
      </c>
      <c r="J859">
        <f t="shared" si="185"/>
        <v>0</v>
      </c>
      <c r="K859">
        <f t="shared" si="185"/>
        <v>0</v>
      </c>
      <c r="L859">
        <f t="shared" si="185"/>
        <v>0</v>
      </c>
      <c r="M859">
        <f t="shared" si="185"/>
        <v>0</v>
      </c>
      <c r="N859">
        <f t="shared" si="185"/>
        <v>0</v>
      </c>
      <c r="O859">
        <f t="shared" si="185"/>
        <v>0</v>
      </c>
      <c r="P859">
        <f t="shared" si="185"/>
        <v>0</v>
      </c>
      <c r="Q859">
        <f t="shared" si="185"/>
        <v>0</v>
      </c>
      <c r="R859">
        <f t="shared" si="185"/>
        <v>0</v>
      </c>
      <c r="S859">
        <f t="shared" si="185"/>
        <v>0</v>
      </c>
      <c r="T859">
        <f t="shared" si="185"/>
        <v>0</v>
      </c>
      <c r="U859">
        <f t="shared" si="185"/>
        <v>0</v>
      </c>
      <c r="V859">
        <f t="shared" si="185"/>
        <v>0</v>
      </c>
      <c r="W859">
        <f t="shared" si="185"/>
        <v>0</v>
      </c>
      <c r="X859">
        <f t="shared" si="185"/>
        <v>0</v>
      </c>
      <c r="Y859">
        <f t="shared" si="184"/>
        <v>0</v>
      </c>
      <c r="Z859">
        <f t="shared" si="184"/>
        <v>0</v>
      </c>
      <c r="AA859">
        <f t="shared" si="184"/>
        <v>0</v>
      </c>
      <c r="AB859">
        <f t="shared" si="184"/>
        <v>0</v>
      </c>
      <c r="AC859">
        <f t="shared" si="184"/>
        <v>0</v>
      </c>
      <c r="AD859">
        <f t="shared" si="184"/>
        <v>0</v>
      </c>
      <c r="AE859">
        <f t="shared" si="184"/>
        <v>0</v>
      </c>
      <c r="AF859">
        <f t="shared" si="184"/>
        <v>0</v>
      </c>
      <c r="AG859">
        <f t="shared" si="184"/>
        <v>0</v>
      </c>
      <c r="AH859">
        <f t="shared" si="184"/>
        <v>0</v>
      </c>
      <c r="AI859">
        <f t="shared" si="184"/>
        <v>0</v>
      </c>
      <c r="AJ859">
        <f t="shared" si="184"/>
        <v>0</v>
      </c>
      <c r="AK859">
        <f t="shared" si="184"/>
        <v>0</v>
      </c>
      <c r="AL859">
        <f t="shared" si="184"/>
        <v>0</v>
      </c>
      <c r="AM859">
        <f t="shared" si="184"/>
        <v>0</v>
      </c>
      <c r="AN859">
        <f t="shared" si="183"/>
        <v>0</v>
      </c>
      <c r="AO859">
        <f t="shared" si="183"/>
        <v>0</v>
      </c>
      <c r="AP859">
        <f t="shared" si="183"/>
        <v>0</v>
      </c>
      <c r="AQ859">
        <f t="shared" si="183"/>
        <v>0</v>
      </c>
      <c r="AR859">
        <f t="shared" si="183"/>
        <v>0</v>
      </c>
    </row>
    <row r="860" spans="5:44" x14ac:dyDescent="0.2">
      <c r="E860" s="1">
        <f>moment_rate!$M860</f>
        <v>0</v>
      </c>
      <c r="F860" s="1">
        <f t="shared" si="179"/>
        <v>0</v>
      </c>
      <c r="G860">
        <f>moment_rate!I860-0.005</f>
        <v>8.5299999999998626</v>
      </c>
      <c r="H860" s="1">
        <f t="shared" si="180"/>
        <v>0</v>
      </c>
      <c r="I860">
        <f t="shared" si="185"/>
        <v>0</v>
      </c>
      <c r="J860">
        <f t="shared" si="185"/>
        <v>0</v>
      </c>
      <c r="K860">
        <f t="shared" si="185"/>
        <v>0</v>
      </c>
      <c r="L860">
        <f t="shared" si="185"/>
        <v>0</v>
      </c>
      <c r="M860">
        <f t="shared" si="185"/>
        <v>0</v>
      </c>
      <c r="N860">
        <f t="shared" si="185"/>
        <v>0</v>
      </c>
      <c r="O860">
        <f t="shared" si="185"/>
        <v>0</v>
      </c>
      <c r="P860">
        <f t="shared" si="185"/>
        <v>0</v>
      </c>
      <c r="Q860">
        <f t="shared" si="185"/>
        <v>0</v>
      </c>
      <c r="R860">
        <f t="shared" si="185"/>
        <v>0</v>
      </c>
      <c r="S860">
        <f t="shared" si="185"/>
        <v>0</v>
      </c>
      <c r="T860">
        <f t="shared" si="185"/>
        <v>0</v>
      </c>
      <c r="U860">
        <f t="shared" si="185"/>
        <v>0</v>
      </c>
      <c r="V860">
        <f t="shared" si="185"/>
        <v>0</v>
      </c>
      <c r="W860">
        <f t="shared" si="185"/>
        <v>0</v>
      </c>
      <c r="X860">
        <f t="shared" si="185"/>
        <v>0</v>
      </c>
      <c r="Y860">
        <f t="shared" si="184"/>
        <v>0</v>
      </c>
      <c r="Z860">
        <f t="shared" si="184"/>
        <v>0</v>
      </c>
      <c r="AA860">
        <f t="shared" si="184"/>
        <v>0</v>
      </c>
      <c r="AB860">
        <f t="shared" si="184"/>
        <v>0</v>
      </c>
      <c r="AC860">
        <f t="shared" si="184"/>
        <v>0</v>
      </c>
      <c r="AD860">
        <f t="shared" si="184"/>
        <v>0</v>
      </c>
      <c r="AE860">
        <f t="shared" si="184"/>
        <v>0</v>
      </c>
      <c r="AF860">
        <f t="shared" si="184"/>
        <v>0</v>
      </c>
      <c r="AG860">
        <f t="shared" si="184"/>
        <v>0</v>
      </c>
      <c r="AH860">
        <f t="shared" si="184"/>
        <v>0</v>
      </c>
      <c r="AI860">
        <f t="shared" si="184"/>
        <v>0</v>
      </c>
      <c r="AJ860">
        <f t="shared" si="184"/>
        <v>0</v>
      </c>
      <c r="AK860">
        <f t="shared" si="184"/>
        <v>0</v>
      </c>
      <c r="AL860">
        <f t="shared" si="184"/>
        <v>0</v>
      </c>
      <c r="AM860">
        <f t="shared" si="184"/>
        <v>0</v>
      </c>
      <c r="AN860">
        <f t="shared" si="183"/>
        <v>0</v>
      </c>
      <c r="AO860">
        <f t="shared" si="183"/>
        <v>0</v>
      </c>
      <c r="AP860">
        <f t="shared" si="183"/>
        <v>0</v>
      </c>
      <c r="AQ860">
        <f t="shared" si="183"/>
        <v>0</v>
      </c>
      <c r="AR860">
        <f t="shared" si="183"/>
        <v>0</v>
      </c>
    </row>
    <row r="861" spans="5:44" x14ac:dyDescent="0.2">
      <c r="E861" s="1">
        <f>moment_rate!$M861</f>
        <v>0</v>
      </c>
      <c r="F861" s="1">
        <f t="shared" si="179"/>
        <v>0</v>
      </c>
      <c r="G861">
        <f>moment_rate!I861-0.005</f>
        <v>8.5399999999998624</v>
      </c>
      <c r="H861" s="1">
        <f t="shared" si="180"/>
        <v>0</v>
      </c>
      <c r="I861">
        <f t="shared" si="185"/>
        <v>0</v>
      </c>
      <c r="J861">
        <f t="shared" si="185"/>
        <v>0</v>
      </c>
      <c r="K861">
        <f t="shared" si="185"/>
        <v>0</v>
      </c>
      <c r="L861">
        <f t="shared" si="185"/>
        <v>0</v>
      </c>
      <c r="M861">
        <f t="shared" si="185"/>
        <v>0</v>
      </c>
      <c r="N861">
        <f t="shared" si="185"/>
        <v>0</v>
      </c>
      <c r="O861">
        <f t="shared" si="185"/>
        <v>0</v>
      </c>
      <c r="P861">
        <f t="shared" si="185"/>
        <v>0</v>
      </c>
      <c r="Q861">
        <f t="shared" si="185"/>
        <v>0</v>
      </c>
      <c r="R861">
        <f t="shared" si="185"/>
        <v>0</v>
      </c>
      <c r="S861">
        <f t="shared" si="185"/>
        <v>0</v>
      </c>
      <c r="T861">
        <f t="shared" si="185"/>
        <v>0</v>
      </c>
      <c r="U861">
        <f t="shared" si="185"/>
        <v>0</v>
      </c>
      <c r="V861">
        <f t="shared" si="185"/>
        <v>0</v>
      </c>
      <c r="W861">
        <f t="shared" si="185"/>
        <v>0</v>
      </c>
      <c r="X861">
        <f t="shared" si="185"/>
        <v>0</v>
      </c>
      <c r="Y861">
        <f t="shared" si="184"/>
        <v>0</v>
      </c>
      <c r="Z861">
        <f t="shared" si="184"/>
        <v>0</v>
      </c>
      <c r="AA861">
        <f t="shared" si="184"/>
        <v>0</v>
      </c>
      <c r="AB861">
        <f t="shared" si="184"/>
        <v>0</v>
      </c>
      <c r="AC861">
        <f t="shared" si="184"/>
        <v>0</v>
      </c>
      <c r="AD861">
        <f t="shared" si="184"/>
        <v>0</v>
      </c>
      <c r="AE861">
        <f t="shared" si="184"/>
        <v>0</v>
      </c>
      <c r="AF861">
        <f t="shared" si="184"/>
        <v>0</v>
      </c>
      <c r="AG861">
        <f t="shared" si="184"/>
        <v>0</v>
      </c>
      <c r="AH861">
        <f t="shared" si="184"/>
        <v>0</v>
      </c>
      <c r="AI861">
        <f t="shared" si="184"/>
        <v>0</v>
      </c>
      <c r="AJ861">
        <f t="shared" si="184"/>
        <v>0</v>
      </c>
      <c r="AK861">
        <f t="shared" si="184"/>
        <v>0</v>
      </c>
      <c r="AL861">
        <f t="shared" si="184"/>
        <v>0</v>
      </c>
      <c r="AM861">
        <f t="shared" si="184"/>
        <v>0</v>
      </c>
      <c r="AN861">
        <f t="shared" si="183"/>
        <v>0</v>
      </c>
      <c r="AO861">
        <f t="shared" si="183"/>
        <v>0</v>
      </c>
      <c r="AP861">
        <f t="shared" si="183"/>
        <v>0</v>
      </c>
      <c r="AQ861">
        <f t="shared" si="183"/>
        <v>0</v>
      </c>
      <c r="AR861">
        <f t="shared" si="183"/>
        <v>0</v>
      </c>
    </row>
    <row r="862" spans="5:44" x14ac:dyDescent="0.2">
      <c r="E862" s="1">
        <f>moment_rate!$M862</f>
        <v>0</v>
      </c>
      <c r="F862" s="1">
        <f t="shared" si="179"/>
        <v>0</v>
      </c>
      <c r="G862">
        <f>moment_rate!I862-0.005</f>
        <v>8.5499999999998622</v>
      </c>
      <c r="H862" s="1">
        <f t="shared" si="180"/>
        <v>0</v>
      </c>
      <c r="I862">
        <f t="shared" si="185"/>
        <v>0</v>
      </c>
      <c r="J862">
        <f t="shared" si="185"/>
        <v>0</v>
      </c>
      <c r="K862">
        <f t="shared" si="185"/>
        <v>0</v>
      </c>
      <c r="L862">
        <f t="shared" si="185"/>
        <v>0</v>
      </c>
      <c r="M862">
        <f t="shared" si="185"/>
        <v>0</v>
      </c>
      <c r="N862">
        <f t="shared" si="185"/>
        <v>0</v>
      </c>
      <c r="O862">
        <f t="shared" si="185"/>
        <v>0</v>
      </c>
      <c r="P862">
        <f t="shared" si="185"/>
        <v>0</v>
      </c>
      <c r="Q862">
        <f t="shared" si="185"/>
        <v>0</v>
      </c>
      <c r="R862">
        <f t="shared" si="185"/>
        <v>0</v>
      </c>
      <c r="S862">
        <f t="shared" si="185"/>
        <v>0</v>
      </c>
      <c r="T862">
        <f t="shared" si="185"/>
        <v>0</v>
      </c>
      <c r="U862">
        <f t="shared" si="185"/>
        <v>0</v>
      </c>
      <c r="V862">
        <f t="shared" si="185"/>
        <v>0</v>
      </c>
      <c r="W862">
        <f t="shared" si="185"/>
        <v>0</v>
      </c>
      <c r="X862">
        <f t="shared" si="185"/>
        <v>0</v>
      </c>
      <c r="Y862">
        <f t="shared" si="184"/>
        <v>0</v>
      </c>
      <c r="Z862">
        <f t="shared" si="184"/>
        <v>0</v>
      </c>
      <c r="AA862">
        <f t="shared" si="184"/>
        <v>0</v>
      </c>
      <c r="AB862">
        <f t="shared" si="184"/>
        <v>0</v>
      </c>
      <c r="AC862">
        <f t="shared" si="184"/>
        <v>0</v>
      </c>
      <c r="AD862">
        <f t="shared" si="184"/>
        <v>0</v>
      </c>
      <c r="AE862">
        <f t="shared" si="184"/>
        <v>0</v>
      </c>
      <c r="AF862">
        <f t="shared" si="184"/>
        <v>0</v>
      </c>
      <c r="AG862">
        <f t="shared" si="184"/>
        <v>0</v>
      </c>
      <c r="AH862">
        <f t="shared" si="184"/>
        <v>0</v>
      </c>
      <c r="AI862">
        <f t="shared" si="184"/>
        <v>0</v>
      </c>
      <c r="AJ862">
        <f t="shared" si="184"/>
        <v>0</v>
      </c>
      <c r="AK862">
        <f t="shared" si="184"/>
        <v>0</v>
      </c>
      <c r="AL862">
        <f t="shared" si="184"/>
        <v>0</v>
      </c>
      <c r="AM862">
        <f t="shared" si="184"/>
        <v>0</v>
      </c>
      <c r="AN862">
        <f t="shared" si="183"/>
        <v>0</v>
      </c>
      <c r="AO862">
        <f t="shared" si="183"/>
        <v>0</v>
      </c>
      <c r="AP862">
        <f t="shared" si="183"/>
        <v>0</v>
      </c>
      <c r="AQ862">
        <f t="shared" si="183"/>
        <v>0</v>
      </c>
      <c r="AR862">
        <f t="shared" si="183"/>
        <v>0</v>
      </c>
    </row>
    <row r="863" spans="5:44" x14ac:dyDescent="0.2">
      <c r="E863" s="1">
        <f>moment_rate!$M863</f>
        <v>0</v>
      </c>
      <c r="F863" s="1">
        <f t="shared" si="179"/>
        <v>0</v>
      </c>
      <c r="G863">
        <f>moment_rate!I863-0.005</f>
        <v>8.5599999999998619</v>
      </c>
      <c r="H863" s="1">
        <f t="shared" si="180"/>
        <v>0</v>
      </c>
      <c r="I863">
        <f t="shared" si="185"/>
        <v>0</v>
      </c>
      <c r="J863">
        <f t="shared" si="185"/>
        <v>0</v>
      </c>
      <c r="K863">
        <f t="shared" si="185"/>
        <v>0</v>
      </c>
      <c r="L863">
        <f t="shared" si="185"/>
        <v>0</v>
      </c>
      <c r="M863">
        <f t="shared" si="185"/>
        <v>0</v>
      </c>
      <c r="N863">
        <f t="shared" si="185"/>
        <v>0</v>
      </c>
      <c r="O863">
        <f t="shared" si="185"/>
        <v>0</v>
      </c>
      <c r="P863">
        <f t="shared" si="185"/>
        <v>0</v>
      </c>
      <c r="Q863">
        <f t="shared" si="185"/>
        <v>0</v>
      </c>
      <c r="R863">
        <f t="shared" si="185"/>
        <v>0</v>
      </c>
      <c r="S863">
        <f t="shared" si="185"/>
        <v>0</v>
      </c>
      <c r="T863">
        <f t="shared" si="185"/>
        <v>0</v>
      </c>
      <c r="U863">
        <f t="shared" si="185"/>
        <v>0</v>
      </c>
      <c r="V863">
        <f t="shared" si="185"/>
        <v>0</v>
      </c>
      <c r="W863">
        <f t="shared" si="185"/>
        <v>0</v>
      </c>
      <c r="X863">
        <f t="shared" si="185"/>
        <v>0</v>
      </c>
      <c r="Y863">
        <f t="shared" si="184"/>
        <v>0</v>
      </c>
      <c r="Z863">
        <f t="shared" si="184"/>
        <v>0</v>
      </c>
      <c r="AA863">
        <f t="shared" si="184"/>
        <v>0</v>
      </c>
      <c r="AB863">
        <f t="shared" si="184"/>
        <v>0</v>
      </c>
      <c r="AC863">
        <f t="shared" si="184"/>
        <v>0</v>
      </c>
      <c r="AD863">
        <f t="shared" si="184"/>
        <v>0</v>
      </c>
      <c r="AE863">
        <f t="shared" si="184"/>
        <v>0</v>
      </c>
      <c r="AF863">
        <f t="shared" si="184"/>
        <v>0</v>
      </c>
      <c r="AG863">
        <f t="shared" si="184"/>
        <v>0</v>
      </c>
      <c r="AH863">
        <f t="shared" si="184"/>
        <v>0</v>
      </c>
      <c r="AI863">
        <f t="shared" si="184"/>
        <v>0</v>
      </c>
      <c r="AJ863">
        <f t="shared" si="184"/>
        <v>0</v>
      </c>
      <c r="AK863">
        <f t="shared" si="184"/>
        <v>0</v>
      </c>
      <c r="AL863">
        <f t="shared" si="184"/>
        <v>0</v>
      </c>
      <c r="AM863">
        <f t="shared" si="184"/>
        <v>0</v>
      </c>
      <c r="AN863">
        <f t="shared" si="183"/>
        <v>0</v>
      </c>
      <c r="AO863">
        <f t="shared" si="183"/>
        <v>0</v>
      </c>
      <c r="AP863">
        <f t="shared" si="183"/>
        <v>0</v>
      </c>
      <c r="AQ863">
        <f t="shared" si="183"/>
        <v>0</v>
      </c>
      <c r="AR863">
        <f t="shared" si="18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moment_rate</vt:lpstr>
      <vt:lpstr>Out2 for pureChar</vt:lpstr>
      <vt:lpstr>out2 for YC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 Liou</cp:lastModifiedBy>
  <dcterms:created xsi:type="dcterms:W3CDTF">2016-08-02T13:42:46Z</dcterms:created>
  <dcterms:modified xsi:type="dcterms:W3CDTF">2026-07-01T10:02:06Z</dcterms:modified>
</cp:coreProperties>
</file>